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365" windowHeight="17040" activeTab="3"/>
  </bookViews>
  <sheets>
    <sheet name="Report" sheetId="6" r:id="rId1"/>
    <sheet name="Time Series Query" sheetId="18" r:id="rId2"/>
    <sheet name="Rates Summary" sheetId="19" r:id="rId3"/>
    <sheet name="Upload Result" sheetId="20" r:id="rId4"/>
    <sheet name="Input Data" sheetId="14" state="hidden" r:id="rId5"/>
    <sheet name="Historic Result" sheetId="16" r:id="rId6"/>
    <sheet name="BoA - Conventional" sheetId="3" r:id="rId7"/>
    <sheet name="Chase - Conventional" sheetId="4" r:id="rId8"/>
    <sheet name="Quicken - Conventional" sheetId="5" r:id="rId9"/>
    <sheet name="Wells - Conventional" sheetId="2" r:id="rId10"/>
    <sheet name="Wells - Jumbo conformin" sheetId="13" r:id="rId11"/>
    <sheet name="Wells - Jumbo Non-conforming" sheetId="12" r:id="rId12"/>
    <sheet name="Wells - FHA" sheetId="15" r:id="rId13"/>
  </sheets>
  <functionGroups builtInGroupCount="17"/>
  <externalReferences>
    <externalReference r:id="rId14"/>
  </externalReferences>
  <definedNames>
    <definedName name="AIR" localSheetId="12">#REF!</definedName>
    <definedName name="AIR" localSheetId="10">'Wells - Jumbo conformin'!$AIR$4</definedName>
    <definedName name="AIR" localSheetId="11">'Wells - Jumbo Non-conforming'!$AIR$4</definedName>
    <definedName name="AIR">'BoA - Conventional'!$AIR$4</definedName>
    <definedName name="BOAIR" localSheetId="12">#REF!</definedName>
    <definedName name="BOAIR" localSheetId="10">'Wells - Jumbo conformin'!$AIR$4</definedName>
    <definedName name="BOAIR" localSheetId="11">'Wells - Jumbo Non-conforming'!$AIR$4</definedName>
    <definedName name="BOAIR">'BoA - Conventional'!$AIR$4</definedName>
    <definedName name="CAPR" localSheetId="12">#REF!</definedName>
    <definedName name="CAPR">'Wells - Conventional'!$C$5</definedName>
    <definedName name="CIR" localSheetId="12">#REF!</definedName>
    <definedName name="CIR">'Wells - Conventional'!$C$4</definedName>
    <definedName name="CP" localSheetId="12">#REF!</definedName>
    <definedName name="CP">'Wells - Conventional'!$C$6</definedName>
    <definedName name="CurrentCloseDate">Report!$Y$2</definedName>
    <definedName name="DatabaseEnv">Report!$Y$1</definedName>
    <definedName name="HistoricalMtgRatesDataTable">OneWeekMtgRatesDataTable9[]</definedName>
    <definedName name="HistoricStartDate">'Time Series Query'!$AD$2</definedName>
    <definedName name="IR" localSheetId="12">#REF!</definedName>
    <definedName name="IR" localSheetId="10">#REF!</definedName>
    <definedName name="IR" localSheetId="11">#REF!</definedName>
    <definedName name="IR">#REF!</definedName>
    <definedName name="MmExcelLinker_D5EFE7B8_A5AE_4CC6_B628_05FDC84CBEA4">Early Market [1]Data!$C$44:$C$44</definedName>
    <definedName name="OneDayBusDate">TimeSeriesDataTable34[Column1]</definedName>
    <definedName name="OneMonthBusDate">TimeSeriesDataTable310[Column1]</definedName>
    <definedName name="OneMonthMtgRatesDataTable">OneWeekMtgRatesDataTable8[]</definedName>
    <definedName name="OneMonthMtgRatesDataTable1">OneWeekMtgRatesDataTable8[]</definedName>
    <definedName name="OneWeekBusDate">TimeSeriesDataTable3[Column1]</definedName>
    <definedName name="PDFReportDir">Report!$Y$3</definedName>
    <definedName name="PDFReportName">Report!$Y$4</definedName>
    <definedName name="_xlnm.Print_Area" localSheetId="0">Report!$B$1:$V$56</definedName>
    <definedName name="Query_from_Agency" localSheetId="1" hidden="1">'Time Series Query'!$A$6:$F$53</definedName>
    <definedName name="Query_from_Agency_1" localSheetId="1" hidden="1">'Time Series Query'!$P$1:$P$2</definedName>
    <definedName name="Query_from_Agency_10" localSheetId="1" hidden="1">'Time Series Query'!$AR$6:$AW$53</definedName>
    <definedName name="Query_from_Agency_2" localSheetId="1" hidden="1">'Time Series Query'!$H$1:$H$2</definedName>
    <definedName name="Query_from_Agency_3" localSheetId="1" hidden="1">'Time Series Query'!$I$6:$N$53</definedName>
    <definedName name="Query_from_Agency_4" localSheetId="1" hidden="1">'Time Series Query'!$Q$6:$V$53</definedName>
    <definedName name="Query_from_Agency_5" localSheetId="1" hidden="1">'Time Series Query'!$X$6:$Z$8</definedName>
    <definedName name="Query_from_Agency_6" localSheetId="1" hidden="1">'Time Series Query'!$AC$6:$AH$762</definedName>
    <definedName name="Query_from_Agency_7" localSheetId="1" hidden="1">'Time Series Query'!$AB$1:$AB$2</definedName>
    <definedName name="Query_from_Agency_8" localSheetId="1" hidden="1">'Time Series Query'!#REF!</definedName>
    <definedName name="Query_from_Agency_9" localSheetId="1" hidden="1">'Time Series Query'!$AJ$6:$AO$546</definedName>
    <definedName name="RatesList">'Upload Result'!$B$2:$E$30</definedName>
    <definedName name="SaveRatesToDB">Report!$AA$1</definedName>
    <definedName name="WIR" localSheetId="12">#REF!</definedName>
    <definedName name="WIR">'Wells - Conventional'!$C$4</definedName>
  </definedNames>
  <calcPr calcId="145621"/>
  <pivotCaches>
    <pivotCache cacheId="66" r:id="rId15"/>
    <pivotCache cacheId="70" r:id="rId16"/>
    <pivotCache cacheId="74" r:id="rId17"/>
    <pivotCache cacheId="80" r:id="rId18"/>
    <pivotCache cacheId="86" r:id="rId19"/>
  </pivotCaches>
</workbook>
</file>

<file path=xl/calcChain.xml><?xml version="1.0" encoding="utf-8"?>
<calcChain xmlns="http://schemas.openxmlformats.org/spreadsheetml/2006/main">
  <c r="H14" i="16" l="1" a="1"/>
  <c r="H14" i="16" s="1"/>
  <c r="G14" i="16" a="1"/>
  <c r="G14" i="16" s="1"/>
  <c r="G12" i="16" a="1"/>
  <c r="G12" i="16" s="1"/>
  <c r="H12" i="16" a="1"/>
  <c r="H12" i="16" s="1"/>
  <c r="H10" i="16" a="1"/>
  <c r="H10" i="16" s="1"/>
  <c r="G10" i="16" a="1"/>
  <c r="G10" i="16" s="1"/>
  <c r="H8" i="16" a="1"/>
  <c r="H8" i="16" s="1"/>
  <c r="H7" i="16" a="1"/>
  <c r="H7" i="16" s="1"/>
  <c r="H6" i="16" a="1"/>
  <c r="H6" i="16" s="1"/>
  <c r="G8" i="16" a="1"/>
  <c r="G8" i="16" s="1"/>
  <c r="G7" i="16" a="1"/>
  <c r="G7" i="16" s="1"/>
  <c r="H5" i="16" a="1"/>
  <c r="H5" i="16" s="1"/>
  <c r="G6" i="16" a="1"/>
  <c r="G6" i="16" s="1"/>
  <c r="G5" i="16" a="1"/>
  <c r="G5" i="16" s="1"/>
  <c r="Y4" i="6" l="1"/>
  <c r="C9" i="15" l="1" a="1"/>
  <c r="C9" i="15" s="1"/>
  <c r="E12" i="16" l="1" a="1"/>
  <c r="E12" i="16" s="1"/>
  <c r="E8" i="16" a="1"/>
  <c r="E8" i="16" s="1"/>
  <c r="E7" i="16" a="1"/>
  <c r="E7" i="16" s="1"/>
  <c r="E6" i="16" a="1"/>
  <c r="E6" i="16" s="1"/>
  <c r="E5" i="16" a="1"/>
  <c r="E5" i="16" s="1"/>
  <c r="F5" i="16" a="1"/>
  <c r="F5" i="16" s="1"/>
  <c r="F6" i="16" a="1"/>
  <c r="F6" i="16" s="1"/>
  <c r="F14" i="16" l="1" a="1"/>
  <c r="F14" i="16" s="1"/>
  <c r="F12" i="16" a="1"/>
  <c r="F12" i="16" s="1"/>
  <c r="F10" i="16" a="1"/>
  <c r="F10" i="16" s="1"/>
  <c r="F7" i="16" a="1"/>
  <c r="F7" i="16" s="1"/>
  <c r="F8" i="16" a="1"/>
  <c r="F8" i="16" s="1"/>
  <c r="E14" i="16" a="1"/>
  <c r="E14" i="16" s="1"/>
  <c r="E10" i="16" a="1"/>
  <c r="E10" i="16" s="1"/>
  <c r="D14" i="16" a="1"/>
  <c r="D14" i="16" s="1"/>
  <c r="D12" i="16" a="1"/>
  <c r="D12" i="16" s="1"/>
  <c r="D10" i="16" a="1"/>
  <c r="D10" i="16" s="1"/>
  <c r="C14" i="16" a="1"/>
  <c r="C14" i="16" s="1"/>
  <c r="C12" i="16" a="1"/>
  <c r="C12" i="16" s="1"/>
  <c r="C10" i="16" a="1"/>
  <c r="C10" i="16" s="1"/>
  <c r="D6" i="16" a="1"/>
  <c r="D6" i="16" s="1"/>
  <c r="D7" i="16" a="1"/>
  <c r="D7" i="16" s="1"/>
  <c r="D8" i="16" a="1"/>
  <c r="D8" i="16" s="1"/>
  <c r="D5" i="16" a="1"/>
  <c r="D5" i="16" s="1"/>
  <c r="C6" i="16" a="1"/>
  <c r="C6" i="16" s="1"/>
  <c r="C7" i="16" a="1"/>
  <c r="C7" i="16" s="1"/>
  <c r="C8" i="16" a="1"/>
  <c r="C8" i="16" s="1"/>
  <c r="C5" i="16" a="1"/>
  <c r="C5" i="16" s="1"/>
  <c r="Z13" i="18" l="1"/>
  <c r="D25" i="6" s="1"/>
  <c r="Z12" i="18"/>
  <c r="D24" i="6" s="1"/>
  <c r="C7" i="15" l="1" a="1"/>
  <c r="C7" i="15" s="1"/>
  <c r="C6" i="15" a="1"/>
  <c r="C6" i="15" s="1"/>
  <c r="C5" i="15" a="1"/>
  <c r="C5" i="15" s="1"/>
  <c r="C4" i="15" a="1"/>
  <c r="C4" i="15" s="1"/>
  <c r="D20" i="6" s="1"/>
  <c r="C7" i="12" a="1"/>
  <c r="C7" i="12" s="1"/>
  <c r="C6" i="12" a="1"/>
  <c r="C6" i="12" s="1"/>
  <c r="C5" i="12" a="1"/>
  <c r="C5" i="12" s="1"/>
  <c r="C4" i="12" a="1"/>
  <c r="C4" i="12" s="1"/>
  <c r="C7" i="13" a="1"/>
  <c r="C7" i="13" s="1"/>
  <c r="C6" i="13" a="1"/>
  <c r="C6" i="13" s="1"/>
  <c r="C5" i="13" a="1"/>
  <c r="C5" i="13" s="1"/>
  <c r="C4" i="13" a="1"/>
  <c r="C4" i="13" s="1"/>
  <c r="C7" i="2" a="1"/>
  <c r="C7" i="2" s="1"/>
  <c r="C6" i="2" a="1"/>
  <c r="C6" i="2" s="1"/>
  <c r="C5" i="2" a="1"/>
  <c r="C5" i="2" s="1"/>
  <c r="C4" i="2" a="1"/>
  <c r="C4" i="2" s="1"/>
  <c r="C8" i="5" a="1"/>
  <c r="C8" i="5" s="1"/>
  <c r="C5" i="5" a="1"/>
  <c r="C5" i="5" s="1"/>
  <c r="C4" i="5" a="1"/>
  <c r="C4" i="5" s="1"/>
  <c r="F4" i="15" l="1"/>
  <c r="F6" i="15" s="1"/>
  <c r="K20" i="6" s="1"/>
  <c r="C8" i="4" a="1"/>
  <c r="C8" i="4" s="1"/>
  <c r="C5" i="4" a="1"/>
  <c r="C5" i="4" s="1"/>
  <c r="C4" i="4" a="1"/>
  <c r="C4" i="4" s="1"/>
  <c r="C8" i="3" a="1"/>
  <c r="C8" i="3" s="1"/>
  <c r="C5" i="3" a="1"/>
  <c r="C5" i="3" s="1"/>
  <c r="C4" i="3" a="1"/>
  <c r="C4" i="3" s="1"/>
  <c r="K5" i="3" a="1"/>
  <c r="K5" i="3" s="1"/>
  <c r="K4" i="3" a="1"/>
  <c r="K4" i="3" s="1"/>
  <c r="F20" i="6" l="1"/>
  <c r="F5" i="14"/>
  <c r="F4" i="14"/>
  <c r="F3" i="14"/>
  <c r="F2" i="14"/>
  <c r="F9" i="15" l="1"/>
  <c r="F5" i="15"/>
  <c r="J20" i="6" s="1"/>
  <c r="F7" i="15" l="1"/>
  <c r="G18" i="6"/>
  <c r="D18" i="6"/>
  <c r="G16" i="6"/>
  <c r="D16" i="6"/>
  <c r="I4" i="15" l="1"/>
  <c r="N20" i="6" s="1"/>
  <c r="T20" i="6" s="1"/>
  <c r="L20" i="6"/>
  <c r="I6" i="12"/>
  <c r="I6" i="13"/>
  <c r="O20" i="6" l="1"/>
  <c r="M20" i="6"/>
  <c r="P20" i="6"/>
  <c r="R20" i="6"/>
  <c r="E10" i="20"/>
  <c r="F6" i="13"/>
  <c r="K16" i="6" s="1"/>
  <c r="F4" i="13"/>
  <c r="F5" i="13" s="1"/>
  <c r="F6" i="12"/>
  <c r="K18" i="6" s="1"/>
  <c r="F4" i="12"/>
  <c r="F5" i="12" s="1"/>
  <c r="J18" i="6" s="1"/>
  <c r="S20" i="6" l="1"/>
  <c r="U20" i="6"/>
  <c r="Q20" i="6"/>
  <c r="E11" i="20"/>
  <c r="F7" i="13"/>
  <c r="J16" i="6"/>
  <c r="F7" i="12"/>
  <c r="I4" i="12" l="1"/>
  <c r="N18" i="6" s="1"/>
  <c r="T18" i="6" s="1"/>
  <c r="L18" i="6"/>
  <c r="I4" i="13"/>
  <c r="N16" i="6" s="1"/>
  <c r="T16" i="6" s="1"/>
  <c r="L16" i="6"/>
  <c r="E12" i="20" l="1"/>
  <c r="M16" i="6"/>
  <c r="E14" i="20"/>
  <c r="M18" i="6"/>
  <c r="R16" i="6"/>
  <c r="P16" i="6"/>
  <c r="P18" i="6"/>
  <c r="R18" i="6"/>
  <c r="O16" i="6"/>
  <c r="O18" i="6"/>
  <c r="E15" i="20" l="1"/>
  <c r="U18" i="6"/>
  <c r="E13" i="20"/>
  <c r="U16" i="6"/>
  <c r="Q18" i="6"/>
  <c r="S18" i="6"/>
  <c r="Q16" i="6"/>
  <c r="S16" i="6"/>
  <c r="I6" i="5"/>
  <c r="I6" i="4"/>
  <c r="I6" i="3"/>
  <c r="I6" i="2"/>
  <c r="G13" i="6"/>
  <c r="G12" i="6"/>
  <c r="G11" i="6"/>
  <c r="G10" i="6"/>
  <c r="G14" i="6" l="1"/>
  <c r="D13" i="6"/>
  <c r="D12" i="6"/>
  <c r="D11" i="6"/>
  <c r="D10" i="6"/>
  <c r="F5" i="5"/>
  <c r="J12" i="6" s="1"/>
  <c r="F4" i="5"/>
  <c r="F6" i="5" s="1"/>
  <c r="K12" i="6" s="1"/>
  <c r="F5" i="4"/>
  <c r="F4" i="4"/>
  <c r="F6" i="4" s="1"/>
  <c r="F5" i="3"/>
  <c r="J10" i="6" s="1"/>
  <c r="F4" i="3"/>
  <c r="F6" i="3" s="1"/>
  <c r="K10" i="6" s="1"/>
  <c r="F8" i="2"/>
  <c r="K13" i="6" s="1"/>
  <c r="F6" i="2"/>
  <c r="F4" i="2"/>
  <c r="F5" i="2" s="1"/>
  <c r="K14" i="6" l="1"/>
  <c r="F9" i="2"/>
  <c r="J13" i="6"/>
  <c r="J14" i="6" s="1"/>
  <c r="D14" i="6"/>
  <c r="F7" i="3"/>
  <c r="L10" i="6" s="1"/>
  <c r="F7" i="5"/>
  <c r="I4" i="5" s="1"/>
  <c r="F7" i="4"/>
  <c r="I4" i="4" s="1"/>
  <c r="I4" i="2" l="1"/>
  <c r="N13" i="6" s="1"/>
  <c r="L13" i="6"/>
  <c r="N11" i="6"/>
  <c r="T11" i="6" s="1"/>
  <c r="L11" i="6"/>
  <c r="I4" i="3"/>
  <c r="N10" i="6" s="1"/>
  <c r="T10" i="6" s="1"/>
  <c r="N12" i="6"/>
  <c r="T12" i="6" s="1"/>
  <c r="L12" i="6"/>
  <c r="M13" i="6" l="1"/>
  <c r="T13" i="6"/>
  <c r="T14" i="6" s="1"/>
  <c r="E6" i="20"/>
  <c r="M12" i="6"/>
  <c r="E2" i="20"/>
  <c r="M10" i="6"/>
  <c r="E4" i="20"/>
  <c r="M11" i="6"/>
  <c r="E8" i="20"/>
  <c r="P13" i="6"/>
  <c r="O13" i="6"/>
  <c r="R13" i="6"/>
  <c r="L14" i="6"/>
  <c r="P12" i="6"/>
  <c r="R12" i="6"/>
  <c r="P10" i="6"/>
  <c r="R10" i="6"/>
  <c r="R11" i="6"/>
  <c r="P11" i="6"/>
  <c r="O11" i="6"/>
  <c r="O10" i="6"/>
  <c r="O12" i="6"/>
  <c r="N14" i="6"/>
  <c r="E7" i="20" l="1"/>
  <c r="U12" i="6"/>
  <c r="E9" i="20"/>
  <c r="U13" i="6"/>
  <c r="E5" i="20"/>
  <c r="U11" i="6"/>
  <c r="E3" i="20"/>
  <c r="U10" i="6"/>
  <c r="M14" i="6"/>
  <c r="Q13" i="6"/>
  <c r="S13" i="6"/>
  <c r="P14" i="6"/>
  <c r="R14" i="6"/>
  <c r="Q10" i="6"/>
  <c r="S10" i="6"/>
  <c r="Q12" i="6"/>
  <c r="S12" i="6"/>
  <c r="S11" i="6"/>
  <c r="Q11" i="6"/>
  <c r="O14" i="6"/>
  <c r="U14" i="6" l="1"/>
  <c r="Q14" i="6"/>
  <c r="S14" i="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5-08-03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7-31' order by TickerName,Source,SeriesType,AsOfDate"/>
  </connection>
  <connection id="3" name="1MonthBusDateQuery" type="1" refreshedVersion="4" savePassword="1" saveData="1">
    <dbPr connection="DSN=Cello SQL Server;UID=report;PWD=gm4SJDw4;APP=Microsoft Office 2010;WSID=CELLO-PC4;DATABASE=Cello" command="select dbo.GetNthBusinessDate('2015-08-03',-22)"/>
  </connection>
  <connection id="4" name="1Month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SeriesType='1Point Rate' and Category='MTG' AND AsOfDate &lt;= '2015-08-03' AND AsOfDate &gt;= '2015-03-03' order by TickerName,Source,SeriesType,AsOfDate"/>
  </connection>
  <connection id="5" name="1MonthMtgRatesQuery1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7-01' order by TickerName,Source,SeriesType,AsOfDate"/>
  </connection>
  <connection id="6" name="1MonthSpread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Conventional','FN_CMM_30Yr') and m.timeseriesmetaId = t.timeseriesmetaId and SeriesType in ('Servicing Spread') and Category='MTG' AND AsOfDate &lt;= '2015-08-03' AND AsOfDate &gt;= '2015-03-03' UNION select TickerName,Source,SeriesType,Category,AsOfDate,SeriesNumValue from TimeSeriesMeta m, TimeSeries t where TickerName IN ('30YrConformingConventional','FN_CMM_30Yr') and m.timeseriesmetaId = t.timeseriesmetaId and SeriesType in ('Rate') and Category='MTG' and Source = 'CELLO' AND AsOfDate &lt;= '2015-08-03' AND AsOfDate &gt;= '2015-03-03' order by TickerName,Source,SeriesType,AsOfDate"/>
  </connection>
  <connection id="7" name="1WeekBusDateQuery" type="1" refreshedVersion="4" savePassword="1" saveData="1">
    <dbPr connection="DSN=Cello SQL Server;UID=report;PWD=gm4SJDw4;APP=Microsoft Office 2010;WSID=CELLO-PC4;DATABASE=Cello" command="select dbo.GetNthBusinessDate('2015-08-03',-5)"/>
  </connection>
  <connection id="8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7-27' order by TickerName,Source,SeriesType,AsOfDate"/>
  </connection>
  <connection id="9" name="CurrentCouponQuery" type="1" refreshedVersion="4" savePassword="1" saveData="1">
    <dbPr connection="DSN=Cello SQL Server;UID=report;PWD=gm4SJDw4;APP=Microsoft Office 2010;WSID=CELLO-PC4;DATABASE=Cello" command="select d.AsOfDate, m.TickerName, d.SeriesNumValue from TimeSeriesMeta as m,TimeSeries as d where m.TimeSeriesMetaId = d.TimeSeriesMetaId and m.source = 'CELLO' and m.TickerName like '%N_CMM_30%' and Category='MTG' AND AsOfDate = '08/03/2015' order by AsOfDate"/>
  </connection>
  <connection id="10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8-03' order by TickerName,Source,SeriesType,AsOfDate"/>
  </connection>
</connections>
</file>

<file path=xl/sharedStrings.xml><?xml version="1.0" encoding="utf-8"?>
<sst xmlns="http://schemas.openxmlformats.org/spreadsheetml/2006/main" count="8105" uniqueCount="216">
  <si>
    <t>APR</t>
  </si>
  <si>
    <t>Loan Amount</t>
  </si>
  <si>
    <t>n/a</t>
  </si>
  <si>
    <t>Input</t>
  </si>
  <si>
    <t>Closing costs</t>
  </si>
  <si>
    <t>Intermediate Calculation</t>
  </si>
  <si>
    <t>Loan Amount for APR</t>
  </si>
  <si>
    <t>Points</t>
  </si>
  <si>
    <t>Points for APR</t>
  </si>
  <si>
    <t>Origination Points</t>
  </si>
  <si>
    <t>Total Points</t>
  </si>
  <si>
    <t>1-point rate</t>
  </si>
  <si>
    <t>Result</t>
  </si>
  <si>
    <t>No need to calculate numbers in the gray area</t>
  </si>
  <si>
    <t>Discount Point</t>
  </si>
  <si>
    <t>Points for APR(as Discount Points)</t>
  </si>
  <si>
    <t>30-year Conforming Conventional</t>
  </si>
  <si>
    <t>Bank of America</t>
  </si>
  <si>
    <t>Chase</t>
  </si>
  <si>
    <t>Quicken</t>
  </si>
  <si>
    <t>Wells Fargo</t>
  </si>
  <si>
    <t>Average</t>
  </si>
  <si>
    <t>One formula for AA Software</t>
  </si>
  <si>
    <t>Current Coupon</t>
  </si>
  <si>
    <t>Type</t>
  </si>
  <si>
    <t>Rate</t>
  </si>
  <si>
    <t>FNMA 30-Year</t>
  </si>
  <si>
    <t>GNMA 30-Year</t>
  </si>
  <si>
    <t>Servicing Spread</t>
  </si>
  <si>
    <t>Discount Points</t>
  </si>
  <si>
    <t>Base Rate</t>
  </si>
  <si>
    <t>30-year Jumbo Conforming</t>
  </si>
  <si>
    <t>30-year Jumbo Non-Conforming</t>
  </si>
  <si>
    <t>30-year FHA</t>
  </si>
  <si>
    <t>UFMIP</t>
  </si>
  <si>
    <t>Ann. MIP</t>
  </si>
  <si>
    <t>Date</t>
  </si>
  <si>
    <t>OriginatorNAme</t>
  </si>
  <si>
    <t>RateType</t>
  </si>
  <si>
    <t xml:space="preserve">Points </t>
  </si>
  <si>
    <t>Closing Cost</t>
  </si>
  <si>
    <t>Upfront MIP</t>
  </si>
  <si>
    <t>Closing Costs</t>
  </si>
  <si>
    <t>1D</t>
  </si>
  <si>
    <t>1W</t>
  </si>
  <si>
    <t>Source</t>
  </si>
  <si>
    <t>TickerName</t>
  </si>
  <si>
    <t>SeriesType</t>
  </si>
  <si>
    <t>Category</t>
  </si>
  <si>
    <t>AsOfDate</t>
  </si>
  <si>
    <t>SeriesNumValue</t>
  </si>
  <si>
    <t>MTG</t>
  </si>
  <si>
    <t>30YrConformingConventional</t>
  </si>
  <si>
    <t>30YrConformingFHA</t>
  </si>
  <si>
    <t>30YrJumboConforming</t>
  </si>
  <si>
    <t>30YrJumboNonConforming</t>
  </si>
  <si>
    <t>Sum of SeriesNumValue</t>
  </si>
  <si>
    <t>Database Env</t>
  </si>
  <si>
    <t>As of Date</t>
  </si>
  <si>
    <t>Column1</t>
  </si>
  <si>
    <t>1 Day</t>
  </si>
  <si>
    <t>1 Week Date</t>
  </si>
  <si>
    <t>1 Day Date</t>
  </si>
  <si>
    <t>Current Date</t>
  </si>
  <si>
    <t>1 Week</t>
  </si>
  <si>
    <t>Current RATES Summary</t>
  </si>
  <si>
    <t>1 Day RATES Summary</t>
  </si>
  <si>
    <t>1 Week RATES Summary</t>
  </si>
  <si>
    <t>Report Name</t>
  </si>
  <si>
    <t xml:space="preserve"> 30YrJumboConforming</t>
  </si>
  <si>
    <t>2.25 </t>
  </si>
  <si>
    <t>Closing cost</t>
  </si>
  <si>
    <t>1Point Rate</t>
  </si>
  <si>
    <t>GN_CMM_30Yr</t>
  </si>
  <si>
    <t>FN_CMM_30Yr</t>
  </si>
  <si>
    <t>Save Data to DB</t>
  </si>
  <si>
    <t>PROD</t>
  </si>
  <si>
    <t>Historical RATES Summary</t>
  </si>
  <si>
    <t>Average of SeriesNumValue</t>
  </si>
  <si>
    <t>30Yr Conforming Conventional</t>
  </si>
  <si>
    <t>30Yr Conforming FHA</t>
  </si>
  <si>
    <t>30Yr Jumbo Conforming</t>
  </si>
  <si>
    <t>30Yr Jumbo Non-Conforming</t>
  </si>
  <si>
    <t>1 Month Date</t>
  </si>
  <si>
    <t>Source:</t>
  </si>
  <si>
    <t>Sources: Bank of Amarica; Chase; Quicken; Wells Fargo</t>
  </si>
  <si>
    <t>1 month historic - 1 point rate</t>
  </si>
  <si>
    <t>1 month historic - Spread</t>
  </si>
  <si>
    <t>CELLO</t>
  </si>
  <si>
    <t>Historical Spread Summary</t>
  </si>
  <si>
    <t>30-Yr Conventional Servicing Spread</t>
  </si>
  <si>
    <t>FNMA 30-yr Current Coupon</t>
  </si>
  <si>
    <t>Yes</t>
  </si>
  <si>
    <t>Report Folder</t>
  </si>
  <si>
    <t>S:\IT\Production\Daily Reports\Primary Market\tmp\</t>
  </si>
  <si>
    <t>Originator Mortgage Rates (refinance)</t>
  </si>
  <si>
    <t>2015-07-01</t>
  </si>
  <si>
    <t>2015-07-02</t>
  </si>
  <si>
    <t>2015-06-30</t>
  </si>
  <si>
    <t>2015-07-22</t>
  </si>
  <si>
    <t>2015-07-16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</si>
  <si>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</si>
  <si>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</si>
  <si>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</si>
  <si>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</si>
  <si>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</si>
  <si>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</si>
  <si>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</si>
  <si>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</si>
  <si>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2015-07-17</t>
  </si>
  <si>
    <t>2015-07-20</t>
  </si>
  <si>
    <t>2015-07-21</t>
  </si>
  <si>
    <t>1D SS 
Chg</t>
  </si>
  <si>
    <t>1M SS 
Chg</t>
  </si>
  <si>
    <t>1wk SS 
Chg</t>
  </si>
  <si>
    <t>2-Point 
Rate</t>
  </si>
  <si>
    <t>1-Point 
Rate</t>
  </si>
  <si>
    <t>Total 
Points</t>
  </si>
  <si>
    <t>1 Month</t>
  </si>
  <si>
    <t>1M</t>
  </si>
  <si>
    <t>1M Rate 
Chg</t>
  </si>
  <si>
    <t>1wk Rate 
Chg</t>
  </si>
  <si>
    <t>1D Rate Chg 
(bps)</t>
  </si>
  <si>
    <t>2015-07-30</t>
  </si>
  <si>
    <t>2015-07-24</t>
  </si>
  <si>
    <t>2015-07-31</t>
  </si>
  <si>
    <t>2015-07-23</t>
  </si>
  <si>
    <t>2015-07-27</t>
  </si>
  <si>
    <t>2015-07-28</t>
  </si>
  <si>
    <t>2015-07-29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</si>
  <si>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</si>
  <si>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</si>
  <si>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</si>
  <si>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</si>
  <si>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</si>
  <si>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</si>
  <si>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</si>
  <si>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</si>
  <si>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</si>
  <si>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</si>
  <si>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</si>
  <si>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</si>
  <si>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</si>
  <si>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</si>
  <si>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</si>
  <si>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</si>
  <si>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</si>
  <si>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</si>
  <si>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</si>
  <si>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</si>
  <si>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</si>
  <si>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</si>
  <si>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</si>
  <si>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2015-04-03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</si>
  <si>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</si>
  <si>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</si>
  <si>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</si>
  <si>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</si>
  <si>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</si>
  <si>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</si>
  <si>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</si>
  <si>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</si>
  <si>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</si>
  <si>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</si>
  <si>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</si>
  <si>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</si>
  <si>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</si>
  <si>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</si>
  <si>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</si>
  <si>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</si>
  <si>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</si>
  <si>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</si>
  <si>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</si>
  <si>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</si>
  <si>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</si>
  <si>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</si>
  <si>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</si>
  <si>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</si>
  <si>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</si>
  <si>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</si>
  <si>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</si>
  <si>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</si>
  <si>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</si>
  <si>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</si>
  <si>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</si>
  <si>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</si>
  <si>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</si>
  <si>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</si>
  <si>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</si>
  <si>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</si>
  <si>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</si>
  <si>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</si>
  <si>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</si>
  <si>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</si>
  <si>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</si>
  <si>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</si>
  <si>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</si>
  <si>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</si>
  <si>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</si>
  <si>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</si>
  <si>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</si>
  <si>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</si>
  <si>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</si>
  <si>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</si>
  <si>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</si>
  <si>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</si>
  <si>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</si>
  <si>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</si>
  <si>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</si>
  <si>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</si>
  <si>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</si>
  <si>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</si>
  <si>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</si>
  <si>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</si>
  <si>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Historic Start Date</t>
  </si>
  <si>
    <t>2015-08-03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</si>
</sst>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0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0.000"/>
    <numFmt numFmtId="167" formatCode="0.0"/>
    <numFmt numFmtId="168" formatCode="\£\ #,##0_);[Red]\(\£\ #,##0\)"/>
    <numFmt numFmtId="169" formatCode="\¥\ #,##0_);[Red]\(\¥\ #,##0\)"/>
    <numFmt numFmtId="170" formatCode="\•\ \ @"/>
    <numFmt numFmtId="171" formatCode="_(&quot;$&quot;* #,##0_);_(&quot;$&quot;* \(#,##0.0\);_(&quot;$&quot;* &quot;-&quot;??_);_(@_)"/>
    <numFmt numFmtId="172" formatCode="&quot;$&quot;#,##0.000"/>
    <numFmt numFmtId="173" formatCode="&quot;$&quot;#,##0.000000_);\(&quot;$&quot;#,##0.000000\)"/>
    <numFmt numFmtId="174" formatCode="#,##0.0_);[Red]\(&quot;$&quot;#,##0.0\)"/>
    <numFmt numFmtId="175" formatCode="0.000_)"/>
    <numFmt numFmtId="176" formatCode="\ \ _•\–\ \ \ \ @"/>
    <numFmt numFmtId="177" formatCode="0.00&quot;%&quot;"/>
    <numFmt numFmtId="178" formatCode="0&quot;%&quot;"/>
    <numFmt numFmtId="179" formatCode="mmmm\ d\,\ yyyy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6" formatCode="0.0%"/>
    <numFmt numFmtId="197" formatCode="_(* #,##0.000_);_(* \(#,##0.000\);_(* &quot;-&quot;??_);_(@_)"/>
    <numFmt numFmtId="198" formatCode="m/d;@"/>
    <numFmt numFmtId="199" formatCode="0.0000000000000000%"/>
  </numFmts>
  <fonts count="146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6" tint="-0.2499465926084170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1"/>
      <color theme="5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222222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entury Gothic"/>
      <family val="2"/>
    </font>
    <font>
      <b/>
      <sz val="11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EBE4"/>
        <bgColor rgb="FF000000"/>
      </patternFill>
    </fill>
    <fill>
      <patternFill patternType="solid">
        <fgColor theme="4" tint="-0.49998474074526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rgb="FF2E398A"/>
      </bottom>
      <diagonal/>
    </border>
    <border>
      <left/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indexed="64"/>
      </bottom>
      <diagonal/>
    </border>
    <border>
      <left style="thin">
        <color rgb="FF2E398A"/>
      </left>
      <right/>
      <top style="thin">
        <color indexed="64"/>
      </top>
      <bottom style="thin">
        <color rgb="FF2E398A"/>
      </bottom>
      <diagonal/>
    </border>
    <border>
      <left/>
      <right style="thin">
        <color rgb="FF2E398A"/>
      </right>
      <top style="thin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29">
    <xf numFmtId="0" fontId="0" fillId="0" borderId="0"/>
    <xf numFmtId="9" fontId="2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6" borderId="3" applyNumberFormat="0"/>
    <xf numFmtId="0" fontId="7" fillId="7" borderId="4" applyNumberFormat="0"/>
    <xf numFmtId="14" fontId="8" fillId="6" borderId="5" applyNumberFormat="0" applyAlignment="0"/>
    <xf numFmtId="0" fontId="2" fillId="0" borderId="0"/>
    <xf numFmtId="0" fontId="2" fillId="0" borderId="0"/>
    <xf numFmtId="0" fontId="6" fillId="6" borderId="0"/>
    <xf numFmtId="0" fontId="6" fillId="3" borderId="2" applyNumberFormat="0" applyFont="0" applyAlignment="0" applyProtection="0"/>
    <xf numFmtId="0" fontId="6" fillId="8" borderId="6" applyBorder="0">
      <alignment horizontal="center" wrapText="1"/>
    </xf>
    <xf numFmtId="0" fontId="6" fillId="9" borderId="7" applyBorder="0">
      <alignment horizontal="center" wrapText="1"/>
    </xf>
    <xf numFmtId="0" fontId="5" fillId="10" borderId="7" applyBorder="0">
      <alignment horizontal="center" wrapText="1"/>
    </xf>
    <xf numFmtId="1" fontId="9" fillId="6" borderId="5"/>
    <xf numFmtId="0" fontId="10" fillId="6" borderId="4" applyNumberFormat="0" applyAlignment="0"/>
    <xf numFmtId="0" fontId="11" fillId="11" borderId="4" applyNumberFormat="0" applyAlignment="0"/>
    <xf numFmtId="166" fontId="12" fillId="11" borderId="5" applyNumberFormat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15" fillId="13" borderId="7" applyBorder="0">
      <alignment horizontal="center" wrapText="1"/>
    </xf>
    <xf numFmtId="0" fontId="6" fillId="14" borderId="3" applyNumberFormat="0"/>
    <xf numFmtId="0" fontId="7" fillId="7" borderId="4" applyNumberFormat="0" applyBorder="0"/>
    <xf numFmtId="0" fontId="7" fillId="7" borderId="4" applyNumberFormat="0"/>
    <xf numFmtId="0" fontId="2" fillId="0" borderId="0"/>
    <xf numFmtId="0" fontId="2" fillId="0" borderId="0"/>
    <xf numFmtId="0" fontId="16" fillId="0" borderId="0"/>
    <xf numFmtId="0" fontId="15" fillId="15" borderId="7" applyBorder="0">
      <alignment horizontal="center" wrapText="1"/>
    </xf>
    <xf numFmtId="0" fontId="15" fillId="15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19" fillId="20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1" fillId="22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6" borderId="0" applyNumberFormat="0" applyBorder="0" applyAlignment="0" applyProtection="0"/>
    <xf numFmtId="0" fontId="19" fillId="24" borderId="0" applyNumberFormat="0" applyBorder="0" applyAlignment="0" applyProtection="0"/>
    <xf numFmtId="0" fontId="20" fillId="25" borderId="0" applyNumberFormat="0" applyBorder="0" applyAlignment="0" applyProtection="0"/>
    <xf numFmtId="0" fontId="21" fillId="26" borderId="0" applyNumberFormat="0" applyBorder="0" applyAlignment="0" applyProtection="0"/>
    <xf numFmtId="0" fontId="19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27" borderId="0" applyNumberFormat="0" applyBorder="0" applyAlignment="0" applyProtection="0"/>
    <xf numFmtId="0" fontId="19" fillId="18" borderId="0" applyNumberFormat="0" applyBorder="0" applyAlignment="0" applyProtection="0"/>
    <xf numFmtId="0" fontId="20" fillId="21" borderId="0" applyNumberFormat="0" applyBorder="0" applyAlignment="0" applyProtection="0"/>
    <xf numFmtId="0" fontId="21" fillId="28" borderId="0" applyNumberFormat="0" applyBorder="0" applyAlignment="0" applyProtection="0"/>
    <xf numFmtId="0" fontId="19" fillId="24" borderId="0" applyNumberFormat="0" applyBorder="0" applyAlignment="0" applyProtection="0"/>
    <xf numFmtId="0" fontId="20" fillId="29" borderId="0" applyNumberFormat="0" applyBorder="0" applyAlignment="0" applyProtection="0"/>
    <xf numFmtId="0" fontId="21" fillId="21" borderId="0" applyNumberFormat="0" applyBorder="0" applyAlignment="0" applyProtection="0"/>
    <xf numFmtId="0" fontId="19" fillId="26" borderId="0" applyNumberFormat="0" applyBorder="0" applyAlignment="0" applyProtection="0"/>
    <xf numFmtId="0" fontId="20" fillId="23" borderId="0" applyNumberFormat="0" applyBorder="0" applyAlignment="0" applyProtection="0"/>
    <xf numFmtId="0" fontId="21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30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3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18" borderId="0" applyNumberFormat="0" applyBorder="0" applyAlignment="0" applyProtection="0"/>
    <xf numFmtId="0" fontId="23" fillId="21" borderId="0" applyNumberFormat="0" applyBorder="0" applyAlignment="0" applyProtection="0"/>
    <xf numFmtId="0" fontId="24" fillId="28" borderId="0" applyNumberFormat="0" applyBorder="0" applyAlignment="0" applyProtection="0"/>
    <xf numFmtId="0" fontId="22" fillId="24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1" borderId="0" applyNumberFormat="0" applyBorder="0" applyAlignment="0" applyProtection="0"/>
    <xf numFmtId="0" fontId="22" fillId="16" borderId="0" applyNumberFormat="0" applyBorder="0" applyAlignment="0" applyProtection="0"/>
    <xf numFmtId="0" fontId="23" fillId="16" borderId="0" applyNumberFormat="0" applyBorder="0" applyAlignment="0" applyProtection="0"/>
    <xf numFmtId="0" fontId="24" fillId="36" borderId="0" applyNumberFormat="0" applyBorder="0" applyAlignment="0" applyProtection="0"/>
    <xf numFmtId="0" fontId="22" fillId="31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2" fillId="39" borderId="0" applyNumberFormat="0" applyBorder="0" applyAlignment="0" applyProtection="0"/>
    <xf numFmtId="0" fontId="23" fillId="40" borderId="0" applyNumberFormat="0" applyBorder="0" applyAlignment="0" applyProtection="0"/>
    <xf numFmtId="0" fontId="24" fillId="39" borderId="0" applyNumberFormat="0" applyBorder="0" applyAlignment="0" applyProtection="0"/>
    <xf numFmtId="0" fontId="22" fillId="41" borderId="0" applyNumberFormat="0" applyBorder="0" applyAlignment="0" applyProtection="0"/>
    <xf numFmtId="0" fontId="23" fillId="40" borderId="0" applyNumberFormat="0" applyBorder="0" applyAlignment="0" applyProtection="0"/>
    <xf numFmtId="0" fontId="24" fillId="41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41" borderId="0" applyNumberFormat="0" applyBorder="0" applyAlignment="0" applyProtection="0"/>
    <xf numFmtId="0" fontId="24" fillId="31" borderId="0" applyNumberFormat="0" applyBorder="0" applyAlignment="0" applyProtection="0"/>
    <xf numFmtId="0" fontId="22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17" fillId="0" borderId="0"/>
    <xf numFmtId="17" fontId="17" fillId="0" borderId="0" applyFont="0" applyFill="0" applyBorder="0" applyProtection="0">
      <alignment horizontal="left"/>
    </xf>
    <xf numFmtId="0" fontId="17" fillId="0" borderId="0" applyFont="0" applyFill="0" applyBorder="0" applyProtection="0">
      <alignment horizontal="left"/>
    </xf>
    <xf numFmtId="0" fontId="25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38" fontId="28" fillId="20" borderId="0"/>
    <xf numFmtId="0" fontId="29" fillId="0" borderId="0" applyNumberFormat="0" applyFill="0" applyBorder="0" applyAlignment="0" applyProtection="0"/>
    <xf numFmtId="0" fontId="30" fillId="43" borderId="0">
      <alignment horizontal="left"/>
    </xf>
    <xf numFmtId="2" fontId="31" fillId="44" borderId="8" applyProtection="0">
      <alignment horizontal="left"/>
      <protection locked="0"/>
    </xf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17" fillId="45" borderId="0"/>
    <xf numFmtId="170" fontId="18" fillId="0" borderId="0" applyFont="0" applyFill="0" applyBorder="0" applyAlignment="0" applyProtection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3" fontId="17" fillId="0" borderId="0" applyFill="0" applyBorder="0" applyAlignment="0"/>
    <xf numFmtId="0" fontId="17" fillId="0" borderId="0" applyFill="0" applyBorder="0" applyAlignment="0"/>
    <xf numFmtId="171" fontId="35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6" fillId="20" borderId="10" applyNumberFormat="0" applyAlignment="0" applyProtection="0"/>
    <xf numFmtId="0" fontId="37" fillId="22" borderId="10" applyNumberFormat="0" applyAlignment="0" applyProtection="0"/>
    <xf numFmtId="0" fontId="38" fillId="24" borderId="10" applyNumberFormat="0" applyAlignment="0" applyProtection="0"/>
    <xf numFmtId="0" fontId="39" fillId="14" borderId="3" applyNumberFormat="0"/>
    <xf numFmtId="0" fontId="15" fillId="46" borderId="7" applyBorder="0">
      <alignment horizontal="center" wrapText="1"/>
    </xf>
    <xf numFmtId="0" fontId="13" fillId="11" borderId="3" applyNumberFormat="0"/>
    <xf numFmtId="0" fontId="4" fillId="11" borderId="3" applyNumberFormat="0"/>
    <xf numFmtId="0" fontId="6" fillId="6" borderId="3" applyNumberFormat="0"/>
    <xf numFmtId="0" fontId="13" fillId="6" borderId="3" applyNumberFormat="0"/>
    <xf numFmtId="0" fontId="39" fillId="14" borderId="3" applyNumberFormat="0"/>
    <xf numFmtId="0" fontId="7" fillId="7" borderId="4" applyNumberFormat="0" applyBorder="0"/>
    <xf numFmtId="0" fontId="7" fillId="7" borderId="4" applyNumberFormat="0" applyBorder="0"/>
    <xf numFmtId="14" fontId="8" fillId="11" borderId="5" applyNumberFormat="0" applyAlignment="0"/>
    <xf numFmtId="14" fontId="40" fillId="11" borderId="5" applyNumberFormat="0" applyAlignment="0"/>
    <xf numFmtId="0" fontId="41" fillId="47" borderId="11" applyNumberFormat="0" applyAlignment="0" applyProtection="0"/>
    <xf numFmtId="0" fontId="42" fillId="47" borderId="11" applyNumberFormat="0" applyAlignment="0" applyProtection="0"/>
    <xf numFmtId="0" fontId="43" fillId="47" borderId="11" applyNumberFormat="0" applyAlignment="0" applyProtection="0"/>
    <xf numFmtId="0" fontId="44" fillId="0" borderId="0" applyNumberFormat="0" applyFill="0" applyBorder="0" applyAlignment="0" applyProtection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0" fontId="34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3" fontId="17" fillId="0" borderId="0" applyFill="0" applyBorder="0" applyAlignment="0" applyProtection="0"/>
    <xf numFmtId="0" fontId="47" fillId="0" borderId="0"/>
    <xf numFmtId="0" fontId="48" fillId="0" borderId="0" applyNumberFormat="0" applyAlignment="0">
      <alignment horizontal="left"/>
    </xf>
    <xf numFmtId="0" fontId="49" fillId="0" borderId="0">
      <alignment horizontal="center"/>
    </xf>
    <xf numFmtId="0" fontId="47" fillId="0" borderId="0"/>
    <xf numFmtId="0" fontId="34" fillId="0" borderId="0" applyFont="0" applyFill="0" applyBorder="0" applyAlignment="0" applyProtection="0"/>
    <xf numFmtId="172" fontId="17" fillId="0" borderId="0" applyFont="0" applyFill="0" applyBorder="0" applyAlignment="0" applyProtection="0"/>
    <xf numFmtId="8" fontId="50" fillId="0" borderId="12">
      <protection locked="0"/>
    </xf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17" fillId="0" borderId="0" applyFill="0" applyBorder="0" applyAlignment="0" applyProtection="0"/>
    <xf numFmtId="176" fontId="18" fillId="0" borderId="0" applyFont="0" applyFill="0" applyBorder="0" applyAlignment="0" applyProtection="0"/>
    <xf numFmtId="10" fontId="17" fillId="0" borderId="0" applyFont="0" applyFill="0" applyBorder="0" applyProtection="0">
      <alignment horizontal="center"/>
    </xf>
    <xf numFmtId="177" fontId="17" fillId="0" borderId="0" applyFont="0" applyFill="0" applyBorder="0" applyProtection="0"/>
    <xf numFmtId="178" fontId="17" fillId="0" borderId="0" applyFont="0" applyFill="0" applyBorder="0" applyProtection="0"/>
    <xf numFmtId="15" fontId="51" fillId="0" borderId="0" applyFont="0" applyFill="0" applyBorder="0" applyAlignment="0" applyProtection="0"/>
    <xf numFmtId="0" fontId="47" fillId="0" borderId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5" fontId="20" fillId="20" borderId="0"/>
    <xf numFmtId="14" fontId="20" fillId="0" borderId="0" applyFill="0" applyBorder="0" applyAlignment="0"/>
    <xf numFmtId="0" fontId="49" fillId="44" borderId="0">
      <alignment horizontal="left"/>
    </xf>
    <xf numFmtId="179" fontId="17" fillId="0" borderId="0" applyFill="0" applyBorder="0" applyAlignment="0" applyProtection="0"/>
    <xf numFmtId="14" fontId="17" fillId="0" borderId="0"/>
    <xf numFmtId="0" fontId="52" fillId="27" borderId="0">
      <alignment horizontal="left"/>
    </xf>
    <xf numFmtId="0" fontId="53" fillId="0" borderId="0">
      <alignment horizontal="left"/>
    </xf>
    <xf numFmtId="38" fontId="54" fillId="0" borderId="13">
      <alignment vertical="center"/>
    </xf>
    <xf numFmtId="166" fontId="17" fillId="0" borderId="0">
      <alignment horizontal="right"/>
    </xf>
    <xf numFmtId="1" fontId="17" fillId="0" borderId="0">
      <alignment horizontal="right"/>
    </xf>
    <xf numFmtId="1" fontId="17" fillId="0" borderId="0">
      <alignment horizontal="right"/>
    </xf>
    <xf numFmtId="180" fontId="17" fillId="0" borderId="0">
      <alignment horizontal="right"/>
    </xf>
    <xf numFmtId="49" fontId="17" fillId="0" borderId="0">
      <alignment horizontal="left"/>
    </xf>
    <xf numFmtId="49" fontId="17" fillId="0" borderId="0">
      <alignment horizontal="left"/>
    </xf>
    <xf numFmtId="49" fontId="17" fillId="0" borderId="0">
      <alignment horizontal="right"/>
    </xf>
    <xf numFmtId="14" fontId="17" fillId="0" borderId="0">
      <alignment horizontal="left"/>
    </xf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55" fillId="0" borderId="0" applyNumberFormat="0" applyAlignment="0">
      <alignment horizontal="left"/>
    </xf>
    <xf numFmtId="9" fontId="56" fillId="0" borderId="14" applyNumberFormat="0" applyBorder="0" applyAlignment="0">
      <protection locked="0"/>
    </xf>
    <xf numFmtId="181" fontId="1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" fontId="17" fillId="0" borderId="0" applyFill="0" applyBorder="0" applyAlignment="0" applyProtection="0"/>
    <xf numFmtId="182" fontId="17" fillId="0" borderId="0" applyFont="0" applyFill="0" applyBorder="0" applyAlignment="0" applyProtection="0"/>
    <xf numFmtId="0" fontId="20" fillId="20" borderId="0"/>
    <xf numFmtId="0" fontId="60" fillId="19" borderId="0" applyNumberFormat="0" applyBorder="0" applyAlignment="0" applyProtection="0"/>
    <xf numFmtId="0" fontId="61" fillId="23" borderId="0" applyNumberFormat="0" applyBorder="0" applyAlignment="0" applyProtection="0"/>
    <xf numFmtId="0" fontId="62" fillId="19" borderId="0" applyNumberFormat="0" applyBorder="0" applyAlignment="0" applyProtection="0"/>
    <xf numFmtId="2" fontId="63" fillId="44" borderId="8" applyProtection="0">
      <alignment horizontal="left"/>
      <protection locked="0"/>
    </xf>
    <xf numFmtId="38" fontId="44" fillId="48" borderId="0" applyNumberFormat="0" applyBorder="0" applyAlignment="0" applyProtection="0"/>
    <xf numFmtId="0" fontId="64" fillId="0" borderId="15" applyNumberFormat="0" applyAlignment="0" applyProtection="0">
      <alignment horizontal="left" vertical="center"/>
    </xf>
    <xf numFmtId="0" fontId="64" fillId="0" borderId="16">
      <alignment horizontal="left" vertical="center"/>
    </xf>
    <xf numFmtId="0" fontId="65" fillId="24" borderId="14">
      <alignment horizontal="centerContinuous"/>
    </xf>
    <xf numFmtId="0" fontId="66" fillId="0" borderId="17" applyNumberFormat="0" applyFill="0" applyAlignment="0" applyProtection="0"/>
    <xf numFmtId="0" fontId="67" fillId="0" borderId="18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72" fillId="0" borderId="21" applyNumberFormat="0" applyFill="0" applyAlignment="0" applyProtection="0"/>
    <xf numFmtId="0" fontId="52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3" fillId="0" borderId="20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6" fillId="0" borderId="24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20" borderId="0"/>
    <xf numFmtId="0" fontId="6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top"/>
      <protection locked="0"/>
    </xf>
    <xf numFmtId="10" fontId="44" fillId="49" borderId="14" applyNumberFormat="0" applyBorder="0" applyAlignment="0" applyProtection="0"/>
    <xf numFmtId="2" fontId="79" fillId="0" borderId="25" applyNumberFormat="0" applyFill="0" applyBorder="0" applyAlignment="0">
      <alignment horizontal="center"/>
      <protection locked="0"/>
    </xf>
    <xf numFmtId="2" fontId="79" fillId="0" borderId="25" applyNumberFormat="0" applyFill="0" applyBorder="0" applyAlignment="0">
      <alignment horizontal="center"/>
      <protection locked="0"/>
    </xf>
    <xf numFmtId="0" fontId="3" fillId="2" borderId="1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37" fontId="81" fillId="0" borderId="0" applyNumberFormat="0" applyAlignment="0">
      <protection locked="0"/>
    </xf>
    <xf numFmtId="0" fontId="82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83" fillId="0" borderId="26" applyNumberFormat="0" applyFill="0" applyAlignment="0" applyProtection="0"/>
    <xf numFmtId="0" fontId="84" fillId="0" borderId="26" applyNumberFormat="0" applyFill="0" applyAlignment="0" applyProtection="0"/>
    <xf numFmtId="0" fontId="85" fillId="0" borderId="26" applyNumberFormat="0" applyFill="0" applyAlignment="0" applyProtection="0"/>
    <xf numFmtId="0" fontId="17" fillId="48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38" fontId="20" fillId="20" borderId="0"/>
    <xf numFmtId="0" fontId="86" fillId="16" borderId="0" applyNumberFormat="0" applyBorder="0" applyAlignment="0" applyProtection="0"/>
    <xf numFmtId="0" fontId="87" fillId="21" borderId="0" applyNumberFormat="0" applyBorder="0" applyAlignment="0" applyProtection="0"/>
    <xf numFmtId="0" fontId="88" fillId="45" borderId="0" applyNumberFormat="0" applyBorder="0" applyAlignment="0" applyProtection="0"/>
    <xf numFmtId="37" fontId="89" fillId="0" borderId="0"/>
    <xf numFmtId="0" fontId="52" fillId="20" borderId="0" applyNumberFormat="0" applyFont="0" applyFill="0" applyBorder="0" applyAlignment="0"/>
    <xf numFmtId="10" fontId="20" fillId="20" borderId="0"/>
    <xf numFmtId="183" fontId="9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6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1" borderId="0"/>
    <xf numFmtId="0" fontId="17" fillId="11" borderId="0"/>
    <xf numFmtId="0" fontId="17" fillId="0" borderId="0"/>
    <xf numFmtId="0" fontId="17" fillId="0" borderId="0"/>
    <xf numFmtId="0" fontId="6" fillId="6" borderId="0"/>
    <xf numFmtId="0" fontId="6" fillId="6" borderId="0"/>
    <xf numFmtId="0" fontId="6" fillId="6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  <xf numFmtId="0" fontId="6" fillId="6" borderId="0"/>
    <xf numFmtId="0" fontId="2" fillId="0" borderId="0"/>
    <xf numFmtId="0" fontId="2" fillId="0" borderId="0"/>
    <xf numFmtId="0" fontId="17" fillId="0" borderId="0">
      <alignment vertical="top"/>
    </xf>
    <xf numFmtId="0" fontId="17" fillId="0" borderId="0">
      <alignment vertical="top"/>
    </xf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18" borderId="27" applyNumberFormat="0" applyFont="0" applyAlignment="0" applyProtection="0"/>
    <xf numFmtId="0" fontId="91" fillId="18" borderId="27" applyNumberFormat="0" applyFont="0" applyAlignment="0" applyProtection="0"/>
    <xf numFmtId="0" fontId="6" fillId="3" borderId="2" applyNumberFormat="0" applyFont="0" applyAlignment="0" applyProtection="0"/>
    <xf numFmtId="0" fontId="92" fillId="0" borderId="0"/>
    <xf numFmtId="0" fontId="21" fillId="18" borderId="27" applyNumberFormat="0" applyFont="0" applyAlignment="0" applyProtection="0"/>
    <xf numFmtId="0" fontId="6" fillId="3" borderId="2" applyNumberFormat="0" applyFont="0" applyAlignment="0" applyProtection="0"/>
    <xf numFmtId="0" fontId="6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184" fontId="34" fillId="0" borderId="0">
      <alignment horizontal="center"/>
    </xf>
    <xf numFmtId="37" fontId="17" fillId="0" borderId="0"/>
    <xf numFmtId="185" fontId="4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7" fontId="34" fillId="0" borderId="0">
      <alignment horizontal="center"/>
    </xf>
    <xf numFmtId="0" fontId="6" fillId="12" borderId="0" applyNumberFormat="0" applyFont="0" applyBorder="0" applyAlignment="0" applyProtection="0"/>
    <xf numFmtId="0" fontId="93" fillId="0" borderId="28"/>
    <xf numFmtId="2" fontId="94" fillId="44" borderId="8">
      <alignment horizontal="left"/>
    </xf>
    <xf numFmtId="0" fontId="95" fillId="20" borderId="29" applyNumberFormat="0" applyAlignment="0" applyProtection="0"/>
    <xf numFmtId="0" fontId="96" fillId="22" borderId="29" applyNumberFormat="0" applyAlignment="0" applyProtection="0"/>
    <xf numFmtId="0" fontId="97" fillId="24" borderId="29" applyNumberFormat="0" applyAlignment="0" applyProtection="0"/>
    <xf numFmtId="40" fontId="20" fillId="44" borderId="0">
      <alignment horizontal="right"/>
    </xf>
    <xf numFmtId="0" fontId="98" fillId="49" borderId="0">
      <alignment horizontal="center"/>
    </xf>
    <xf numFmtId="0" fontId="42" fillId="50" borderId="8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4" fillId="0" borderId="0"/>
    <xf numFmtId="0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5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3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188" fontId="34" fillId="0" borderId="0">
      <alignment horizontal="center"/>
    </xf>
    <xf numFmtId="189" fontId="34" fillId="0" borderId="14">
      <alignment horizontal="center"/>
    </xf>
    <xf numFmtId="0" fontId="102" fillId="0" borderId="30" applyAlignment="0">
      <alignment horizontal="center"/>
    </xf>
    <xf numFmtId="0" fontId="103" fillId="48" borderId="0"/>
    <xf numFmtId="0" fontId="54" fillId="0" borderId="0" applyNumberFormat="0" applyFont="0" applyFill="0" applyBorder="0" applyAlignment="0" applyProtection="0">
      <alignment horizontal="left"/>
    </xf>
    <xf numFmtId="0" fontId="104" fillId="0" borderId="31">
      <alignment horizontal="center"/>
    </xf>
    <xf numFmtId="0" fontId="51" fillId="0" borderId="0">
      <alignment vertical="top"/>
    </xf>
    <xf numFmtId="190" fontId="51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20" fillId="0" borderId="8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2" fillId="41" borderId="0">
      <alignment horizontal="left"/>
    </xf>
    <xf numFmtId="0" fontId="106" fillId="0" borderId="32"/>
    <xf numFmtId="189" fontId="31" fillId="18" borderId="0">
      <alignment horizontal="center"/>
    </xf>
    <xf numFmtId="189" fontId="107" fillId="18" borderId="0">
      <alignment horizontal="center"/>
    </xf>
    <xf numFmtId="189" fontId="31" fillId="19" borderId="0">
      <alignment horizontal="center"/>
    </xf>
    <xf numFmtId="0" fontId="31" fillId="18" borderId="0">
      <alignment horizontal="left"/>
    </xf>
    <xf numFmtId="0" fontId="108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17" fillId="0" borderId="0"/>
    <xf numFmtId="0" fontId="17" fillId="0" borderId="0"/>
    <xf numFmtId="0" fontId="17" fillId="0" borderId="0">
      <alignment horizontal="left" wrapText="1"/>
    </xf>
    <xf numFmtId="0" fontId="31" fillId="18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7" fillId="44" borderId="27"/>
    <xf numFmtId="0" fontId="34" fillId="0" borderId="0">
      <alignment horizontal="center"/>
    </xf>
    <xf numFmtId="15" fontId="34" fillId="0" borderId="0">
      <alignment horizontal="center"/>
    </xf>
    <xf numFmtId="0" fontId="111" fillId="0" borderId="0">
      <alignment horizontal="center"/>
    </xf>
    <xf numFmtId="3" fontId="34" fillId="0" borderId="0">
      <alignment horizontal="center"/>
    </xf>
    <xf numFmtId="194" fontId="34" fillId="0" borderId="0">
      <alignment horizontal="center"/>
    </xf>
    <xf numFmtId="189" fontId="34" fillId="0" borderId="0">
      <alignment horizontal="center"/>
    </xf>
    <xf numFmtId="0" fontId="112" fillId="51" borderId="0"/>
    <xf numFmtId="195" fontId="34" fillId="0" borderId="0">
      <alignment horizontal="center"/>
    </xf>
    <xf numFmtId="195" fontId="34" fillId="0" borderId="33">
      <alignment horizontal="center"/>
    </xf>
    <xf numFmtId="0" fontId="34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20" fillId="20" borderId="0"/>
    <xf numFmtId="49" fontId="20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49" fontId="17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8" fillId="20" borderId="0"/>
    <xf numFmtId="0" fontId="15" fillId="13" borderId="7" applyBorder="0">
      <alignment horizontal="center" wrapText="1"/>
    </xf>
    <xf numFmtId="0" fontId="15" fillId="46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8" fillId="0" borderId="35" applyNumberFormat="0" applyFill="0" applyAlignment="0" applyProtection="0"/>
    <xf numFmtId="0" fontId="17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2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9" fillId="11" borderId="5"/>
    <xf numFmtId="2" fontId="126" fillId="11" borderId="5"/>
    <xf numFmtId="1" fontId="127" fillId="11" borderId="5" applyNumberFormat="0"/>
    <xf numFmtId="0" fontId="1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39" fillId="0" borderId="0" applyNumberFormat="0" applyFill="0" applyBorder="0" applyAlignment="0" applyProtection="0"/>
  </cellStyleXfs>
  <cellXfs count="194">
    <xf numFmtId="0" fontId="0" fillId="0" borderId="0" xfId="0"/>
    <xf numFmtId="0" fontId="0" fillId="0" borderId="0" xfId="0"/>
    <xf numFmtId="0" fontId="5" fillId="0" borderId="0" xfId="0" applyFont="1"/>
    <xf numFmtId="0" fontId="128" fillId="0" borderId="0" xfId="0" applyFont="1" applyFill="1" applyBorder="1"/>
    <xf numFmtId="0" fontId="14" fillId="0" borderId="0" xfId="0" applyFont="1" applyAlignment="1">
      <alignment horizontal="center"/>
    </xf>
    <xf numFmtId="10" fontId="5" fillId="0" borderId="0" xfId="1" applyNumberFormat="1" applyFont="1"/>
    <xf numFmtId="0" fontId="5" fillId="5" borderId="0" xfId="0" applyFont="1" applyFill="1"/>
    <xf numFmtId="164" fontId="5" fillId="5" borderId="0" xfId="0" applyNumberFormat="1" applyFont="1" applyFill="1"/>
    <xf numFmtId="0" fontId="14" fillId="0" borderId="0" xfId="0" applyFont="1"/>
    <xf numFmtId="165" fontId="14" fillId="0" borderId="0" xfId="0" applyNumberFormat="1" applyFont="1"/>
    <xf numFmtId="10" fontId="5" fillId="5" borderId="0" xfId="1" applyNumberFormat="1" applyFont="1" applyFill="1"/>
    <xf numFmtId="165" fontId="5" fillId="5" borderId="0" xfId="1" applyNumberFormat="1" applyFont="1" applyFill="1"/>
    <xf numFmtId="164" fontId="5" fillId="0" borderId="0" xfId="0" applyNumberFormat="1" applyFont="1"/>
    <xf numFmtId="165" fontId="5" fillId="0" borderId="0" xfId="1" applyNumberFormat="1" applyFont="1"/>
    <xf numFmtId="0" fontId="5" fillId="5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5" fillId="0" borderId="0" xfId="0" applyNumberFormat="1" applyFont="1"/>
    <xf numFmtId="165" fontId="5" fillId="5" borderId="0" xfId="0" applyNumberFormat="1" applyFont="1" applyFill="1"/>
    <xf numFmtId="164" fontId="5" fillId="5" borderId="0" xfId="0" applyNumberFormat="1" applyFont="1" applyFill="1" applyAlignment="1">
      <alignment horizontal="right"/>
    </xf>
    <xf numFmtId="165" fontId="0" fillId="0" borderId="0" xfId="0" applyNumberForma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44" fontId="0" fillId="0" borderId="0" xfId="526" applyFont="1" applyAlignment="1">
      <alignment horizontal="left" indent="1"/>
    </xf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196" fontId="0" fillId="0" borderId="0" xfId="1" applyNumberFormat="1" applyFont="1" applyAlignment="1">
      <alignment horizontal="right"/>
    </xf>
    <xf numFmtId="44" fontId="0" fillId="0" borderId="0" xfId="526" applyFont="1"/>
    <xf numFmtId="165" fontId="128" fillId="0" borderId="0" xfId="1" applyNumberFormat="1" applyFont="1" applyFill="1" applyBorder="1" applyAlignment="1">
      <alignment horizontal="center"/>
    </xf>
    <xf numFmtId="197" fontId="0" fillId="0" borderId="0" xfId="527" applyNumberFormat="1" applyFont="1"/>
    <xf numFmtId="3" fontId="0" fillId="0" borderId="0" xfId="0" applyNumberFormat="1"/>
    <xf numFmtId="4" fontId="0" fillId="0" borderId="0" xfId="0" applyNumberFormat="1"/>
    <xf numFmtId="44" fontId="5" fillId="0" borderId="0" xfId="526" applyFont="1"/>
    <xf numFmtId="0" fontId="5" fillId="0" borderId="0" xfId="0" applyFont="1" applyFill="1"/>
    <xf numFmtId="165" fontId="5" fillId="0" borderId="0" xfId="0" applyNumberFormat="1" applyFont="1" applyFill="1"/>
    <xf numFmtId="165" fontId="5" fillId="0" borderId="0" xfId="1" applyNumberFormat="1" applyFont="1" applyFill="1"/>
    <xf numFmtId="0" fontId="130" fillId="0" borderId="0" xfId="0" applyFont="1"/>
    <xf numFmtId="167" fontId="5" fillId="0" borderId="0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6" fillId="6" borderId="0" xfId="366"/>
    <xf numFmtId="0" fontId="0" fillId="0" borderId="0" xfId="0" pivotButton="1"/>
    <xf numFmtId="0" fontId="0" fillId="0" borderId="0" xfId="0" applyNumberFormat="1"/>
    <xf numFmtId="0" fontId="13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7" fontId="5" fillId="0" borderId="39" xfId="1" applyNumberFormat="1" applyFont="1" applyBorder="1" applyAlignment="1">
      <alignment horizontal="center"/>
    </xf>
    <xf numFmtId="167" fontId="5" fillId="0" borderId="41" xfId="1" applyNumberFormat="1" applyFont="1" applyBorder="1" applyAlignment="1">
      <alignment horizontal="center"/>
    </xf>
    <xf numFmtId="167" fontId="5" fillId="0" borderId="42" xfId="1" applyNumberFormat="1" applyFont="1" applyBorder="1" applyAlignment="1">
      <alignment horizontal="center"/>
    </xf>
    <xf numFmtId="167" fontId="5" fillId="0" borderId="43" xfId="1" applyNumberFormat="1" applyFont="1" applyBorder="1" applyAlignment="1">
      <alignment horizontal="center"/>
    </xf>
    <xf numFmtId="167" fontId="5" fillId="0" borderId="45" xfId="1" applyNumberFormat="1" applyFont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167" fontId="14" fillId="12" borderId="43" xfId="0" applyNumberFormat="1" applyFont="1" applyFill="1" applyBorder="1" applyAlignment="1">
      <alignment horizontal="center"/>
    </xf>
    <xf numFmtId="167" fontId="14" fillId="12" borderId="0" xfId="0" applyNumberFormat="1" applyFont="1" applyFill="1" applyBorder="1" applyAlignment="1">
      <alignment horizontal="center"/>
    </xf>
    <xf numFmtId="167" fontId="14" fillId="12" borderId="39" xfId="0" applyNumberFormat="1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0" fontId="129" fillId="52" borderId="46" xfId="0" applyFont="1" applyFill="1" applyBorder="1" applyAlignment="1">
      <alignment horizontal="center"/>
    </xf>
    <xf numFmtId="167" fontId="129" fillId="52" borderId="44" xfId="0" applyNumberFormat="1" applyFont="1" applyFill="1" applyBorder="1" applyAlignment="1">
      <alignment horizontal="center"/>
    </xf>
    <xf numFmtId="167" fontId="129" fillId="52" borderId="9" xfId="0" applyNumberFormat="1" applyFont="1" applyFill="1" applyBorder="1" applyAlignment="1">
      <alignment horizontal="center"/>
    </xf>
    <xf numFmtId="167" fontId="129" fillId="52" borderId="46" xfId="0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7" fontId="14" fillId="0" borderId="49" xfId="0" applyNumberFormat="1" applyFont="1" applyBorder="1" applyAlignment="1">
      <alignment horizontal="center"/>
    </xf>
    <xf numFmtId="167" fontId="14" fillId="0" borderId="50" xfId="0" applyNumberFormat="1" applyFont="1" applyBorder="1" applyAlignment="1">
      <alignment horizontal="center"/>
    </xf>
    <xf numFmtId="167" fontId="14" fillId="0" borderId="51" xfId="0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167" fontId="5" fillId="0" borderId="49" xfId="1" applyNumberFormat="1" applyFont="1" applyBorder="1" applyAlignment="1">
      <alignment horizontal="center"/>
    </xf>
    <xf numFmtId="167" fontId="5" fillId="0" borderId="50" xfId="1" applyNumberFormat="1" applyFont="1" applyBorder="1" applyAlignment="1">
      <alignment horizontal="center"/>
    </xf>
    <xf numFmtId="167" fontId="5" fillId="0" borderId="51" xfId="1" applyNumberFormat="1" applyFont="1" applyBorder="1" applyAlignment="1">
      <alignment horizontal="center"/>
    </xf>
    <xf numFmtId="0" fontId="128" fillId="0" borderId="43" xfId="0" applyFont="1" applyFill="1" applyBorder="1" applyAlignment="1">
      <alignment horizontal="left"/>
    </xf>
    <xf numFmtId="0" fontId="128" fillId="0" borderId="45" xfId="0" applyFont="1" applyFill="1" applyBorder="1" applyAlignment="1">
      <alignment horizontal="left"/>
    </xf>
    <xf numFmtId="165" fontId="128" fillId="0" borderId="41" xfId="1" applyNumberFormat="1" applyFont="1" applyFill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0" borderId="14" xfId="0" applyFont="1" applyBorder="1"/>
    <xf numFmtId="0" fontId="7" fillId="7" borderId="14" xfId="5" applyFont="1" applyBorder="1" applyAlignment="1">
      <alignment horizontal="center"/>
    </xf>
    <xf numFmtId="14" fontId="7" fillId="7" borderId="14" xfId="5" applyNumberFormat="1" applyFont="1" applyBorder="1"/>
    <xf numFmtId="0" fontId="134" fillId="0" borderId="0" xfId="0" applyFont="1"/>
    <xf numFmtId="0" fontId="135" fillId="6" borderId="0" xfId="366" applyFont="1"/>
    <xf numFmtId="0" fontId="1" fillId="0" borderId="0" xfId="0" applyFont="1"/>
    <xf numFmtId="0" fontId="136" fillId="6" borderId="0" xfId="366" applyFont="1"/>
    <xf numFmtId="0" fontId="6" fillId="6" borderId="0" xfId="366" applyFont="1"/>
    <xf numFmtId="14" fontId="6" fillId="6" borderId="0" xfId="366" applyNumberFormat="1" applyFont="1"/>
    <xf numFmtId="0" fontId="14" fillId="12" borderId="49" xfId="0" applyFont="1" applyFill="1" applyBorder="1" applyAlignment="1">
      <alignment horizontal="left"/>
    </xf>
    <xf numFmtId="0" fontId="14" fillId="12" borderId="43" xfId="0" applyFont="1" applyFill="1" applyBorder="1" applyAlignment="1">
      <alignment horizontal="left"/>
    </xf>
    <xf numFmtId="0" fontId="129" fillId="52" borderId="44" xfId="0" applyFont="1" applyFill="1" applyBorder="1" applyAlignment="1">
      <alignment horizontal="left"/>
    </xf>
    <xf numFmtId="0" fontId="5" fillId="0" borderId="43" xfId="0" applyFont="1" applyBorder="1" applyAlignment="1">
      <alignment horizontal="right"/>
    </xf>
    <xf numFmtId="0" fontId="0" fillId="0" borderId="0" xfId="0" applyAlignment="1"/>
    <xf numFmtId="0" fontId="14" fillId="0" borderId="49" xfId="0" applyFont="1" applyFill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128" fillId="0" borderId="45" xfId="0" applyFont="1" applyFill="1" applyBorder="1" applyAlignment="1">
      <alignment horizontal="right"/>
    </xf>
    <xf numFmtId="0" fontId="129" fillId="52" borderId="49" xfId="0" applyFont="1" applyFill="1" applyBorder="1" applyAlignment="1">
      <alignment horizontal="center"/>
    </xf>
    <xf numFmtId="0" fontId="6" fillId="6" borderId="52" xfId="366" applyNumberFormat="1" applyFont="1" applyFill="1" applyBorder="1" applyAlignment="1"/>
    <xf numFmtId="0" fontId="6" fillId="6" borderId="53" xfId="366" applyNumberFormat="1" applyFont="1" applyFill="1" applyBorder="1" applyAlignment="1"/>
    <xf numFmtId="0" fontId="6" fillId="6" borderId="0" xfId="366" applyNumberFormat="1" applyFont="1" applyFill="1" applyBorder="1" applyAlignment="1"/>
    <xf numFmtId="0" fontId="128" fillId="5" borderId="54" xfId="0" applyFont="1" applyFill="1" applyBorder="1" applyAlignment="1">
      <alignment horizontal="left"/>
    </xf>
    <xf numFmtId="0" fontId="6" fillId="5" borderId="54" xfId="366" applyNumberFormat="1" applyFont="1" applyFill="1" applyBorder="1" applyAlignment="1"/>
    <xf numFmtId="0" fontId="6" fillId="5" borderId="55" xfId="366" applyNumberFormat="1" applyFont="1" applyFill="1" applyBorder="1" applyAlignment="1"/>
    <xf numFmtId="0" fontId="6" fillId="6" borderId="60" xfId="366" applyNumberFormat="1" applyFont="1" applyFill="1" applyBorder="1" applyAlignment="1"/>
    <xf numFmtId="0" fontId="6" fillId="6" borderId="61" xfId="366" applyNumberFormat="1" applyFont="1" applyFill="1" applyBorder="1" applyAlignment="1"/>
    <xf numFmtId="0" fontId="0" fillId="0" borderId="62" xfId="0" applyBorder="1"/>
    <xf numFmtId="0" fontId="0" fillId="0" borderId="0" xfId="0" applyBorder="1"/>
    <xf numFmtId="0" fontId="0" fillId="0" borderId="8" xfId="0" applyBorder="1"/>
    <xf numFmtId="0" fontId="0" fillId="0" borderId="63" xfId="0" applyBorder="1"/>
    <xf numFmtId="0" fontId="0" fillId="0" borderId="9" xfId="0" applyBorder="1"/>
    <xf numFmtId="0" fontId="0" fillId="0" borderId="38" xfId="0" applyBorder="1"/>
    <xf numFmtId="0" fontId="137" fillId="12" borderId="56" xfId="366" applyNumberFormat="1" applyFont="1" applyFill="1" applyBorder="1" applyAlignment="1">
      <alignment horizontal="center"/>
    </xf>
    <xf numFmtId="0" fontId="137" fillId="12" borderId="57" xfId="366" applyNumberFormat="1" applyFont="1" applyFill="1" applyBorder="1" applyAlignment="1">
      <alignment horizontal="center"/>
    </xf>
    <xf numFmtId="0" fontId="137" fillId="12" borderId="58" xfId="366" applyNumberFormat="1" applyFont="1" applyFill="1" applyBorder="1" applyAlignment="1">
      <alignment horizontal="center"/>
    </xf>
    <xf numFmtId="0" fontId="137" fillId="12" borderId="59" xfId="366" applyNumberFormat="1" applyFont="1" applyFill="1" applyBorder="1" applyAlignment="1">
      <alignment horizontal="center"/>
    </xf>
    <xf numFmtId="0" fontId="6" fillId="6" borderId="56" xfId="366" applyNumberFormat="1" applyFont="1" applyFill="1" applyBorder="1" applyAlignment="1"/>
    <xf numFmtId="0" fontId="6" fillId="6" borderId="57" xfId="366" applyNumberFormat="1" applyFont="1" applyFill="1" applyBorder="1" applyAlignment="1"/>
    <xf numFmtId="0" fontId="6" fillId="6" borderId="58" xfId="366" applyNumberFormat="1" applyFont="1" applyFill="1" applyBorder="1" applyAlignment="1"/>
    <xf numFmtId="0" fontId="6" fillId="6" borderId="59" xfId="366" applyNumberFormat="1" applyFont="1" applyFill="1" applyBorder="1" applyAlignment="1"/>
    <xf numFmtId="0" fontId="137" fillId="12" borderId="14" xfId="366" applyNumberFormat="1" applyFont="1" applyFill="1" applyBorder="1" applyAlignment="1">
      <alignment horizontal="center"/>
    </xf>
    <xf numFmtId="0" fontId="6" fillId="6" borderId="14" xfId="366" applyNumberFormat="1" applyFont="1" applyFill="1" applyBorder="1" applyAlignment="1"/>
    <xf numFmtId="165" fontId="6" fillId="6" borderId="14" xfId="1" applyNumberFormat="1" applyFont="1" applyFill="1" applyBorder="1" applyAlignment="1"/>
    <xf numFmtId="165" fontId="137" fillId="12" borderId="14" xfId="1" applyNumberFormat="1" applyFont="1" applyFill="1" applyBorder="1" applyAlignment="1">
      <alignment horizontal="center"/>
    </xf>
    <xf numFmtId="0" fontId="138" fillId="6" borderId="0" xfId="366" applyFont="1"/>
    <xf numFmtId="0" fontId="6" fillId="5" borderId="0" xfId="366" applyNumberFormat="1" applyFont="1" applyFill="1" applyBorder="1" applyAlignment="1"/>
    <xf numFmtId="198" fontId="0" fillId="0" borderId="0" xfId="0" applyNumberFormat="1" applyAlignment="1">
      <alignment horizontal="left"/>
    </xf>
    <xf numFmtId="0" fontId="1" fillId="0" borderId="43" xfId="0" applyFont="1" applyBorder="1" applyAlignment="1">
      <alignment horizontal="right"/>
    </xf>
    <xf numFmtId="0" fontId="140" fillId="0" borderId="0" xfId="0" applyFont="1"/>
    <xf numFmtId="0" fontId="141" fillId="0" borderId="0" xfId="528" applyFont="1"/>
    <xf numFmtId="0" fontId="140" fillId="0" borderId="0" xfId="0" applyFont="1" applyAlignment="1">
      <alignment horizontal="right"/>
    </xf>
    <xf numFmtId="0" fontId="141" fillId="0" borderId="0" xfId="528" applyFont="1" applyAlignment="1">
      <alignment vertical="top"/>
    </xf>
    <xf numFmtId="0" fontId="142" fillId="0" borderId="0" xfId="0" applyFont="1"/>
    <xf numFmtId="199" fontId="14" fillId="0" borderId="0" xfId="0" applyNumberFormat="1" applyFont="1"/>
    <xf numFmtId="0" fontId="143" fillId="6" borderId="0" xfId="366" applyFont="1"/>
    <xf numFmtId="0" fontId="7" fillId="7" borderId="14" xfId="5" applyFont="1" applyBorder="1" applyAlignment="1">
      <alignment horizontal="left"/>
    </xf>
    <xf numFmtId="165" fontId="128" fillId="0" borderId="45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165" fontId="5" fillId="0" borderId="43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165" fontId="14" fillId="0" borderId="0" xfId="1" applyNumberFormat="1" applyFont="1" applyBorder="1" applyAlignment="1">
      <alignment horizontal="center"/>
    </xf>
    <xf numFmtId="165" fontId="14" fillId="0" borderId="50" xfId="1" applyNumberFormat="1" applyFont="1" applyBorder="1" applyAlignment="1">
      <alignment horizontal="center"/>
    </xf>
    <xf numFmtId="165" fontId="129" fillId="0" borderId="41" xfId="1" applyNumberFormat="1" applyFont="1" applyFill="1" applyBorder="1" applyAlignment="1">
      <alignment horizontal="center"/>
    </xf>
    <xf numFmtId="0" fontId="144" fillId="6" borderId="0" xfId="366" applyFont="1"/>
    <xf numFmtId="14" fontId="144" fillId="6" borderId="0" xfId="366" applyNumberFormat="1" applyFont="1"/>
    <xf numFmtId="0" fontId="14" fillId="12" borderId="5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0" fontId="14" fillId="12" borderId="49" xfId="0" applyFont="1" applyFill="1" applyBorder="1" applyAlignment="1">
      <alignment horizontal="left" vertical="center" wrapText="1"/>
    </xf>
    <xf numFmtId="0" fontId="14" fillId="12" borderId="50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 wrapText="1"/>
    </xf>
    <xf numFmtId="0" fontId="14" fillId="12" borderId="51" xfId="0" applyFont="1" applyFill="1" applyBorder="1" applyAlignment="1">
      <alignment horizontal="center" vertical="center" wrapText="1"/>
    </xf>
    <xf numFmtId="0" fontId="14" fillId="12" borderId="50" xfId="0" applyFont="1" applyFill="1" applyBorder="1" applyAlignment="1">
      <alignment horizontal="center" vertical="center" wrapText="1"/>
    </xf>
    <xf numFmtId="0" fontId="14" fillId="12" borderId="51" xfId="0" applyFont="1" applyFill="1" applyBorder="1" applyAlignment="1">
      <alignment horizontal="center" vertical="center" wrapText="1"/>
    </xf>
    <xf numFmtId="165" fontId="5" fillId="0" borderId="0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 vertical="center" wrapText="1"/>
    </xf>
    <xf numFmtId="165" fontId="5" fillId="0" borderId="43" xfId="1" applyNumberFormat="1" applyFont="1" applyBorder="1" applyAlignment="1">
      <alignment horizontal="center"/>
    </xf>
    <xf numFmtId="0" fontId="129" fillId="52" borderId="9" xfId="0" quotePrefix="1" applyFont="1" applyFill="1" applyBorder="1" applyAlignment="1">
      <alignment horizontal="center"/>
    </xf>
    <xf numFmtId="0" fontId="129" fillId="52" borderId="46" xfId="0" quotePrefix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28" fillId="0" borderId="40" xfId="1" applyNumberFormat="1" applyFont="1" applyFill="1" applyBorder="1" applyAlignment="1">
      <alignment horizontal="center"/>
    </xf>
    <xf numFmtId="165" fontId="128" fillId="0" borderId="48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0" fontId="129" fillId="52" borderId="49" xfId="0" applyFont="1" applyFill="1" applyBorder="1" applyAlignment="1">
      <alignment horizontal="center"/>
    </xf>
    <xf numFmtId="0" fontId="129" fillId="52" borderId="50" xfId="0" applyFont="1" applyFill="1" applyBorder="1" applyAlignment="1">
      <alignment horizontal="center"/>
    </xf>
    <xf numFmtId="0" fontId="129" fillId="52" borderId="51" xfId="0" applyFont="1" applyFill="1" applyBorder="1" applyAlignment="1">
      <alignment horizontal="center"/>
    </xf>
    <xf numFmtId="165" fontId="128" fillId="0" borderId="43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165" fontId="128" fillId="0" borderId="39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165" fontId="128" fillId="0" borderId="47" xfId="1" applyNumberFormat="1" applyFont="1" applyFill="1" applyBorder="1" applyAlignment="1">
      <alignment horizontal="center"/>
    </xf>
    <xf numFmtId="0" fontId="133" fillId="53" borderId="0" xfId="0" applyFont="1" applyFill="1" applyAlignment="1">
      <alignment horizontal="center"/>
    </xf>
    <xf numFmtId="0" fontId="13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5" fillId="6" borderId="0" xfId="366" applyFont="1"/>
    <xf numFmtId="14" fontId="6" fillId="6" borderId="0" xfId="366" applyNumberFormat="1"/>
  </cellXfs>
  <cellStyles count="529">
    <cellStyle name="_Bonds" xfId="37"/>
    <cellStyle name="_Bonds 2" xfId="38"/>
    <cellStyle name="_Offering" xfId="39"/>
    <cellStyle name="_Offering 2" xfId="40"/>
    <cellStyle name="£ BP" xfId="41"/>
    <cellStyle name="¥ JY" xfId="42"/>
    <cellStyle name="20% - Accent1 2" xfId="2"/>
    <cellStyle name="20% - Accent1 2 2" xfId="18"/>
    <cellStyle name="20% - Accent1 2 3" xfId="19"/>
    <cellStyle name="20% - Accent1 3" xfId="3"/>
    <cellStyle name="20% - Accent1 3 2" xfId="20"/>
    <cellStyle name="20% - Accent1 3 3" xfId="21"/>
    <cellStyle name="20% - Accent1 4" xfId="22"/>
    <cellStyle name="20% - Accent1 5" xfId="23"/>
    <cellStyle name="20% - Accent2 2" xfId="43"/>
    <cellStyle name="20% - Accent2 3" xfId="44"/>
    <cellStyle name="20% - Accent2 4" xfId="45"/>
    <cellStyle name="20% - Accent3 2" xfId="46"/>
    <cellStyle name="20% - Accent3 3" xfId="47"/>
    <cellStyle name="20% - Accent3 4" xfId="48"/>
    <cellStyle name="20% - Accent4 2" xfId="49"/>
    <cellStyle name="20% - Accent4 3" xfId="50"/>
    <cellStyle name="20% - Accent4 4" xfId="51"/>
    <cellStyle name="20% - Accent5 2" xfId="52"/>
    <cellStyle name="20% - Accent5 3" xfId="53"/>
    <cellStyle name="20% - Accent5 4" xfId="54"/>
    <cellStyle name="20% - Accent6 2" xfId="55"/>
    <cellStyle name="20% - Accent6 3" xfId="56"/>
    <cellStyle name="20% - Accent6 4" xfId="57"/>
    <cellStyle name="40% - Accent1 2" xfId="58"/>
    <cellStyle name="40% - Accent1 3" xfId="59"/>
    <cellStyle name="40% - Accent1 4" xfId="60"/>
    <cellStyle name="40% - Accent2 2" xfId="61"/>
    <cellStyle name="40% - Accent2 3" xfId="62"/>
    <cellStyle name="40% - Accent2 4" xfId="63"/>
    <cellStyle name="40% - Accent3 2" xfId="64"/>
    <cellStyle name="40% - Accent3 3" xfId="65"/>
    <cellStyle name="40% - Accent3 4" xfId="66"/>
    <cellStyle name="40% - Accent4 2" xfId="67"/>
    <cellStyle name="40% - Accent4 3" xfId="68"/>
    <cellStyle name="40% - Accent4 4" xfId="69"/>
    <cellStyle name="40% - Accent5 2" xfId="70"/>
    <cellStyle name="40% - Accent5 3" xfId="71"/>
    <cellStyle name="40% - Accent5 4" xfId="72"/>
    <cellStyle name="40% - Accent6 2" xfId="73"/>
    <cellStyle name="40% - Accent6 3" xfId="74"/>
    <cellStyle name="40% - Accent6 4" xfId="75"/>
    <cellStyle name="60% - Accent1 2" xfId="76"/>
    <cellStyle name="60% - Accent1 3" xfId="77"/>
    <cellStyle name="60% - Accent1 4" xfId="78"/>
    <cellStyle name="60% - Accent2 2" xfId="79"/>
    <cellStyle name="60% - Accent2 3" xfId="80"/>
    <cellStyle name="60% - Accent2 4" xfId="81"/>
    <cellStyle name="60% - Accent3 2" xfId="82"/>
    <cellStyle name="60% - Accent3 3" xfId="83"/>
    <cellStyle name="60% - Accent3 4" xfId="84"/>
    <cellStyle name="60% - Accent4 2" xfId="85"/>
    <cellStyle name="60% - Accent4 3" xfId="86"/>
    <cellStyle name="60% - Accent4 4" xfId="87"/>
    <cellStyle name="60% - Accent5 2" xfId="88"/>
    <cellStyle name="60% - Accent5 3" xfId="89"/>
    <cellStyle name="60% - Accent5 4" xfId="90"/>
    <cellStyle name="60% - Accent6 2" xfId="91"/>
    <cellStyle name="60% - Accent6 3" xfId="92"/>
    <cellStyle name="60% - Accent6 4" xfId="93"/>
    <cellStyle name="Accent1 2" xfId="94"/>
    <cellStyle name="Accent1 3" xfId="95"/>
    <cellStyle name="Accent1 4" xfId="96"/>
    <cellStyle name="Accent2 2" xfId="97"/>
    <cellStyle name="Accent2 3" xfId="98"/>
    <cellStyle name="Accent2 4" xfId="99"/>
    <cellStyle name="Accent3 2" xfId="100"/>
    <cellStyle name="Accent3 3" xfId="101"/>
    <cellStyle name="Accent3 4" xfId="102"/>
    <cellStyle name="Accent4 2" xfId="103"/>
    <cellStyle name="Accent4 3" xfId="104"/>
    <cellStyle name="Accent4 4" xfId="105"/>
    <cellStyle name="Accent5 2" xfId="106"/>
    <cellStyle name="Accent5 3" xfId="107"/>
    <cellStyle name="Accent5 4" xfId="108"/>
    <cellStyle name="Accent6 2" xfId="109"/>
    <cellStyle name="Accent6 3" xfId="110"/>
    <cellStyle name="Accent6 4" xfId="111"/>
    <cellStyle name="Auto_OpenAuto_CloseExtractD_Sheet1" xfId="112"/>
    <cellStyle name="Axis.EffectiveDate" xfId="113"/>
    <cellStyle name="Axis.Seasoning" xfId="114"/>
    <cellStyle name="Bad 2" xfId="115"/>
    <cellStyle name="Bad 3" xfId="116"/>
    <cellStyle name="Bad 4" xfId="117"/>
    <cellStyle name="Big Money" xfId="118"/>
    <cellStyle name="Blue" xfId="119"/>
    <cellStyle name="blue axis cells" xfId="120"/>
    <cellStyle name="blue text cells" xfId="121"/>
    <cellStyle name="Body" xfId="122"/>
    <cellStyle name="Bold/Border" xfId="123"/>
    <cellStyle name="Border" xfId="124"/>
    <cellStyle name="Bullet" xfId="125"/>
    <cellStyle name="Calc Currency (0)" xfId="126"/>
    <cellStyle name="Calc Currency (0) 2" xfId="127"/>
    <cellStyle name="Calc Currency (2)" xfId="128"/>
    <cellStyle name="Calc Currency (2) 2" xfId="129"/>
    <cellStyle name="Calc Percent (0)" xfId="130"/>
    <cellStyle name="Calc Percent (0) 2" xfId="131"/>
    <cellStyle name="Calc Percent (1)" xfId="132"/>
    <cellStyle name="Calc Percent (1) 2" xfId="133"/>
    <cellStyle name="Calc Percent (2)" xfId="134"/>
    <cellStyle name="Calc Percent (2) 2" xfId="135"/>
    <cellStyle name="Calc Units (0)" xfId="136"/>
    <cellStyle name="Calc Units (0) 2" xfId="137"/>
    <cellStyle name="Calc Units (1)" xfId="138"/>
    <cellStyle name="Calc Units (1) 2" xfId="139"/>
    <cellStyle name="Calc Units (2)" xfId="140"/>
    <cellStyle name="Calc Units (2) 2" xfId="141"/>
    <cellStyle name="Calculation 2" xfId="142"/>
    <cellStyle name="Calculation 3" xfId="143"/>
    <cellStyle name="Calculation 4" xfId="144"/>
    <cellStyle name="CCM Input" xfId="145"/>
    <cellStyle name="CCM Title Calculations" xfId="24"/>
    <cellStyle name="CCM Title Indicative" xfId="146"/>
    <cellStyle name="Cello Calculation" xfId="4"/>
    <cellStyle name="Cello Calculation 2" xfId="147"/>
    <cellStyle name="Cello Calculation 2 2" xfId="148"/>
    <cellStyle name="Cello Calculation 3" xfId="149"/>
    <cellStyle name="Cello Calculation 4" xfId="150"/>
    <cellStyle name="Cello Input" xfId="5"/>
    <cellStyle name="Cello Input 2" xfId="25"/>
    <cellStyle name="Cello Input 2 2" xfId="151"/>
    <cellStyle name="Cello Input 2 3" xfId="152"/>
    <cellStyle name="Cello Input 2 5" xfId="26"/>
    <cellStyle name="Cello Input 3" xfId="27"/>
    <cellStyle name="Cello Input 4" xfId="153"/>
    <cellStyle name="Cello Linked Cell" xfId="6"/>
    <cellStyle name="Cello Linked Cell 2" xfId="154"/>
    <cellStyle name="Cello Linked Cell 2 2" xfId="155"/>
    <cellStyle name="Check Cell 2" xfId="156"/>
    <cellStyle name="Check Cell 3" xfId="157"/>
    <cellStyle name="Check Cell 4" xfId="158"/>
    <cellStyle name="Co. Names" xfId="159"/>
    <cellStyle name="Comma" xfId="527" builtinId="3"/>
    <cellStyle name="Comma  - Style1" xfId="160"/>
    <cellStyle name="Comma  - Style1 2" xfId="161"/>
    <cellStyle name="Comma  - Style2" xfId="162"/>
    <cellStyle name="Comma  - Style2 2" xfId="163"/>
    <cellStyle name="Comma  - Style3" xfId="164"/>
    <cellStyle name="Comma  - Style3 2" xfId="165"/>
    <cellStyle name="Comma  - Style4" xfId="166"/>
    <cellStyle name="Comma  - Style4 2" xfId="167"/>
    <cellStyle name="Comma  - Style5" xfId="168"/>
    <cellStyle name="Comma  - Style5 2" xfId="169"/>
    <cellStyle name="Comma  - Style6" xfId="170"/>
    <cellStyle name="Comma  - Style6 2" xfId="171"/>
    <cellStyle name="Comma  - Style7" xfId="172"/>
    <cellStyle name="Comma  - Style7 2" xfId="173"/>
    <cellStyle name="Comma  - Style8" xfId="174"/>
    <cellStyle name="Comma  - Style8 2" xfId="175"/>
    <cellStyle name="Comma [00]" xfId="176"/>
    <cellStyle name="Comma [00] 2" xfId="177"/>
    <cellStyle name="Comma 10" xfId="178"/>
    <cellStyle name="Comma 11" xfId="179"/>
    <cellStyle name="Comma 12" xfId="180"/>
    <cellStyle name="Comma 13" xfId="181"/>
    <cellStyle name="Comma 14" xfId="182"/>
    <cellStyle name="Comma 15" xfId="183"/>
    <cellStyle name="Comma 16" xfId="184"/>
    <cellStyle name="Comma 16 2" xfId="185"/>
    <cellStyle name="Comma 17" xfId="186"/>
    <cellStyle name="Comma 18" xfId="187"/>
    <cellStyle name="Comma 19" xfId="188"/>
    <cellStyle name="Comma 2" xfId="35"/>
    <cellStyle name="Comma 20" xfId="189"/>
    <cellStyle name="Comma 21" xfId="190"/>
    <cellStyle name="Comma 22" xfId="191"/>
    <cellStyle name="Comma 23" xfId="192"/>
    <cellStyle name="Comma 24" xfId="193"/>
    <cellStyle name="Comma 25" xfId="194"/>
    <cellStyle name="Comma 26" xfId="195"/>
    <cellStyle name="Comma 27" xfId="196"/>
    <cellStyle name="Comma 28" xfId="197"/>
    <cellStyle name="Comma 29" xfId="198"/>
    <cellStyle name="Comma 29 2" xfId="199"/>
    <cellStyle name="Comma 3" xfId="200"/>
    <cellStyle name="Comma 30" xfId="201"/>
    <cellStyle name="Comma 4" xfId="202"/>
    <cellStyle name="Comma 4 2" xfId="203"/>
    <cellStyle name="Comma 5" xfId="204"/>
    <cellStyle name="Comma 6" xfId="205"/>
    <cellStyle name="Comma 7" xfId="206"/>
    <cellStyle name="Comma 8" xfId="207"/>
    <cellStyle name="Comma 9" xfId="208"/>
    <cellStyle name="Comma0" xfId="209"/>
    <cellStyle name="Comma1 - Style1" xfId="210"/>
    <cellStyle name="Copied" xfId="211"/>
    <cellStyle name="CTDSwitchAnalysisHeader" xfId="212"/>
    <cellStyle name="Curren - Style2" xfId="213"/>
    <cellStyle name="Currency" xfId="526" builtinId="4"/>
    <cellStyle name="Currency [00]" xfId="214"/>
    <cellStyle name="Currency [00] 2" xfId="215"/>
    <cellStyle name="Currency [2]" xfId="216"/>
    <cellStyle name="Currency 10" xfId="217"/>
    <cellStyle name="Currency 11" xfId="218"/>
    <cellStyle name="Currency 12" xfId="219"/>
    <cellStyle name="Currency 13" xfId="220"/>
    <cellStyle name="Currency 14" xfId="221"/>
    <cellStyle name="Currency 15" xfId="222"/>
    <cellStyle name="Currency 2" xfId="223"/>
    <cellStyle name="Currency 3" xfId="224"/>
    <cellStyle name="Currency 4" xfId="225"/>
    <cellStyle name="Currency 5" xfId="226"/>
    <cellStyle name="Currency 6" xfId="227"/>
    <cellStyle name="Currency 7" xfId="228"/>
    <cellStyle name="Currency 8" xfId="229"/>
    <cellStyle name="Currency 9" xfId="230"/>
    <cellStyle name="Currency0" xfId="231"/>
    <cellStyle name="Dash" xfId="232"/>
    <cellStyle name="Data.LongPercent" xfId="233"/>
    <cellStyle name="Data.NumPercent" xfId="234"/>
    <cellStyle name="Data.NumShortPercent" xfId="235"/>
    <cellStyle name="date" xfId="236"/>
    <cellStyle name="Date - Style3" xfId="237"/>
    <cellStyle name="Date 2" xfId="238"/>
    <cellStyle name="Date 3" xfId="239"/>
    <cellStyle name="Date 4" xfId="240"/>
    <cellStyle name="Date 5" xfId="241"/>
    <cellStyle name="Date 6" xfId="242"/>
    <cellStyle name="Date 7" xfId="243"/>
    <cellStyle name="Date Short" xfId="244"/>
    <cellStyle name="date title" xfId="245"/>
    <cellStyle name="Date_DV01" xfId="246"/>
    <cellStyle name="DateFormat" xfId="247"/>
    <cellStyle name="DBAHandle" xfId="248"/>
    <cellStyle name="DBAParameter" xfId="249"/>
    <cellStyle name="DELTA" xfId="250"/>
    <cellStyle name="DS 0" xfId="251"/>
    <cellStyle name="DS 1" xfId="252"/>
    <cellStyle name="DS 2" xfId="253"/>
    <cellStyle name="DS 3" xfId="254"/>
    <cellStyle name="DS 4" xfId="255"/>
    <cellStyle name="DS 5" xfId="256"/>
    <cellStyle name="DS 5 2" xfId="257"/>
    <cellStyle name="DS 6" xfId="258"/>
    <cellStyle name="Enter Currency (0)" xfId="259"/>
    <cellStyle name="Enter Currency (0) 2" xfId="260"/>
    <cellStyle name="Enter Currency (2)" xfId="261"/>
    <cellStyle name="Enter Currency (2) 2" xfId="262"/>
    <cellStyle name="Enter Units (0)" xfId="263"/>
    <cellStyle name="Enter Units (0) 2" xfId="264"/>
    <cellStyle name="Enter Units (1)" xfId="265"/>
    <cellStyle name="Enter Units (1) 2" xfId="266"/>
    <cellStyle name="Enter Units (2)" xfId="267"/>
    <cellStyle name="Enter Units (2) 2" xfId="268"/>
    <cellStyle name="Entered" xfId="269"/>
    <cellStyle name="Entries" xfId="270"/>
    <cellStyle name="Euro" xfId="271"/>
    <cellStyle name="Explanatory Text 2" xfId="272"/>
    <cellStyle name="Explanatory Text 3" xfId="273"/>
    <cellStyle name="Explanatory Text 4" xfId="274"/>
    <cellStyle name="Fixed" xfId="275"/>
    <cellStyle name="FullTime" xfId="276"/>
    <cellStyle name="General" xfId="277"/>
    <cellStyle name="Good 2" xfId="278"/>
    <cellStyle name="Good 3" xfId="279"/>
    <cellStyle name="Good 4" xfId="280"/>
    <cellStyle name="gray text cells" xfId="281"/>
    <cellStyle name="Grey" xfId="282"/>
    <cellStyle name="Header1" xfId="283"/>
    <cellStyle name="Header2" xfId="284"/>
    <cellStyle name="Heading" xfId="285"/>
    <cellStyle name="Heading 1 2" xfId="286"/>
    <cellStyle name="Heading 1 2 2" xfId="287"/>
    <cellStyle name="Heading 1 3" xfId="288"/>
    <cellStyle name="Heading 1 4" xfId="289"/>
    <cellStyle name="Heading 1 5" xfId="290"/>
    <cellStyle name="Heading 2 2" xfId="291"/>
    <cellStyle name="Heading 2 2 2" xfId="292"/>
    <cellStyle name="Heading 2 3" xfId="293"/>
    <cellStyle name="Heading 2 4" xfId="294"/>
    <cellStyle name="Heading 2 5" xfId="295"/>
    <cellStyle name="Heading 3 2" xfId="296"/>
    <cellStyle name="Heading 3 3" xfId="297"/>
    <cellStyle name="Heading 3 4" xfId="298"/>
    <cellStyle name="Heading 4 2" xfId="299"/>
    <cellStyle name="Heading 4 3" xfId="300"/>
    <cellStyle name="Heading 4 4" xfId="301"/>
    <cellStyle name="Heading 5" xfId="302"/>
    <cellStyle name="HEADING1" xfId="303"/>
    <cellStyle name="HEADING2" xfId="304"/>
    <cellStyle name="Hyperlink" xfId="528" builtinId="8"/>
    <cellStyle name="Hyperlink 2" xfId="305"/>
    <cellStyle name="Input [yellow]" xfId="306"/>
    <cellStyle name="Input 2" xfId="307"/>
    <cellStyle name="Input 2 2" xfId="308"/>
    <cellStyle name="Input 2 3" xfId="309"/>
    <cellStyle name="Input 3" xfId="310"/>
    <cellStyle name="Input 4" xfId="311"/>
    <cellStyle name="Input 5" xfId="312"/>
    <cellStyle name="Input 6" xfId="313"/>
    <cellStyle name="Input 7" xfId="314"/>
    <cellStyle name="Item" xfId="315"/>
    <cellStyle name="Link Currency (0)" xfId="316"/>
    <cellStyle name="Link Currency (0) 2" xfId="317"/>
    <cellStyle name="Link Currency (2)" xfId="318"/>
    <cellStyle name="Link Currency (2) 2" xfId="319"/>
    <cellStyle name="Link Units (0)" xfId="320"/>
    <cellStyle name="Link Units (0) 2" xfId="321"/>
    <cellStyle name="Link Units (1)" xfId="322"/>
    <cellStyle name="Link Units (1) 2" xfId="323"/>
    <cellStyle name="Link Units (2)" xfId="324"/>
    <cellStyle name="Link Units (2) 2" xfId="325"/>
    <cellStyle name="Linked Cell 2" xfId="326"/>
    <cellStyle name="Linked Cell 3" xfId="327"/>
    <cellStyle name="Linked Cell 4" xfId="328"/>
    <cellStyle name="Lookup" xfId="329"/>
    <cellStyle name="Milliers [0]_Basis" xfId="330"/>
    <cellStyle name="Milliers_Basis" xfId="331"/>
    <cellStyle name="Monétaire [0]_Basis" xfId="332"/>
    <cellStyle name="Monétaire_Basis" xfId="333"/>
    <cellStyle name="Money" xfId="334"/>
    <cellStyle name="Neutral 2" xfId="335"/>
    <cellStyle name="Neutral 3" xfId="336"/>
    <cellStyle name="Neutral 4" xfId="337"/>
    <cellStyle name="no dec" xfId="338"/>
    <cellStyle name="NoChange" xfId="339"/>
    <cellStyle name="Non Zero" xfId="340"/>
    <cellStyle name="Normal" xfId="0" builtinId="0"/>
    <cellStyle name="Normal - Style1" xfId="341"/>
    <cellStyle name="Normal 10" xfId="342"/>
    <cellStyle name="Normal 10 2" xfId="343"/>
    <cellStyle name="Normal 107" xfId="28"/>
    <cellStyle name="Normal 11" xfId="344"/>
    <cellStyle name="Normal 11 2" xfId="345"/>
    <cellStyle name="Normal 12" xfId="346"/>
    <cellStyle name="Normal 13" xfId="347"/>
    <cellStyle name="Normal 14" xfId="348"/>
    <cellStyle name="Normal 15" xfId="349"/>
    <cellStyle name="Normal 16" xfId="350"/>
    <cellStyle name="Normal 17" xfId="351"/>
    <cellStyle name="Normal 18" xfId="352"/>
    <cellStyle name="Normal 19" xfId="353"/>
    <cellStyle name="Normal 2" xfId="7"/>
    <cellStyle name="Normal 2 2" xfId="354"/>
    <cellStyle name="Normal 2 2 2" xfId="355"/>
    <cellStyle name="Normal 2 3" xfId="356"/>
    <cellStyle name="Normal 2 3 2" xfId="29"/>
    <cellStyle name="Normal 2 3 2 2" xfId="357"/>
    <cellStyle name="Normal 2 3 3" xfId="358"/>
    <cellStyle name="Normal 2 4" xfId="359"/>
    <cellStyle name="Normal 2 4 2" xfId="360"/>
    <cellStyle name="Normal 2 4 2 2" xfId="361"/>
    <cellStyle name="Normal 2 4 3" xfId="362"/>
    <cellStyle name="Normal 2 5" xfId="363"/>
    <cellStyle name="Normal 2 5 2" xfId="364"/>
    <cellStyle name="Normal 2 6" xfId="365"/>
    <cellStyle name="Normal 2 7" xfId="366"/>
    <cellStyle name="Normal 20" xfId="367"/>
    <cellStyle name="Normal 21" xfId="368"/>
    <cellStyle name="Normal 22" xfId="369"/>
    <cellStyle name="Normal 23" xfId="370"/>
    <cellStyle name="Normal 24" xfId="371"/>
    <cellStyle name="Normal 25" xfId="372"/>
    <cellStyle name="Normal 26" xfId="373"/>
    <cellStyle name="Normal 27" xfId="374"/>
    <cellStyle name="Normal 28" xfId="375"/>
    <cellStyle name="Normal 28 2" xfId="376"/>
    <cellStyle name="Normal 29" xfId="377"/>
    <cellStyle name="Normal 3" xfId="8"/>
    <cellStyle name="Normal 3 2" xfId="378"/>
    <cellStyle name="Normal 30" xfId="379"/>
    <cellStyle name="Normal 31" xfId="380"/>
    <cellStyle name="Normal 32" xfId="381"/>
    <cellStyle name="Normal 33" xfId="382"/>
    <cellStyle name="Normal 34" xfId="383"/>
    <cellStyle name="Normal 35" xfId="384"/>
    <cellStyle name="Normal 36" xfId="385"/>
    <cellStyle name="Normal 37" xfId="386"/>
    <cellStyle name="Normal 38" xfId="387"/>
    <cellStyle name="Normal 38 2" xfId="388"/>
    <cellStyle name="Normal 38 2 2" xfId="389"/>
    <cellStyle name="Normal 38 3" xfId="390"/>
    <cellStyle name="Normal 39" xfId="391"/>
    <cellStyle name="Normal 4" xfId="9"/>
    <cellStyle name="Normal 4 2" xfId="392"/>
    <cellStyle name="Normal 4 3" xfId="393"/>
    <cellStyle name="Normal 4 4" xfId="394"/>
    <cellStyle name="Normal 40" xfId="395"/>
    <cellStyle name="Normal 41" xfId="396"/>
    <cellStyle name="Normal 42" xfId="397"/>
    <cellStyle name="Normal 42 2" xfId="398"/>
    <cellStyle name="Normal 5" xfId="399"/>
    <cellStyle name="Normal 6" xfId="400"/>
    <cellStyle name="Normal 6 2" xfId="401"/>
    <cellStyle name="Normal 7" xfId="402"/>
    <cellStyle name="Normal 7 2" xfId="403"/>
    <cellStyle name="Normal 8" xfId="404"/>
    <cellStyle name="Normal 88" xfId="30"/>
    <cellStyle name="Normal 9" xfId="405"/>
    <cellStyle name="Normal 9 2" xfId="406"/>
    <cellStyle name="Note 2" xfId="10"/>
    <cellStyle name="Note 2 2" xfId="407"/>
    <cellStyle name="Note 2 3" xfId="408"/>
    <cellStyle name="Note 2 4" xfId="409"/>
    <cellStyle name="Note 3" xfId="410"/>
    <cellStyle name="Note 4" xfId="411"/>
    <cellStyle name="Note 5" xfId="412"/>
    <cellStyle name="Note 6" xfId="413"/>
    <cellStyle name="Note 7" xfId="414"/>
    <cellStyle name="Note 7 2" xfId="415"/>
    <cellStyle name="Note 8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" xfId="1" builtinId="5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36"/>
    <cellStyle name="Percent 2 2" xfId="440"/>
    <cellStyle name="Percent 3" xfId="441"/>
    <cellStyle name="Percentage" xfId="442"/>
    <cellStyle name="PrePop Currency (0)" xfId="443"/>
    <cellStyle name="PrePop Currency (0) 2" xfId="444"/>
    <cellStyle name="PrePop Currency (2)" xfId="445"/>
    <cellStyle name="PrePop Currency (2) 2" xfId="446"/>
    <cellStyle name="PrePop Units (0)" xfId="447"/>
    <cellStyle name="PrePop Units (0) 2" xfId="448"/>
    <cellStyle name="PrePop Units (1)" xfId="449"/>
    <cellStyle name="PrePop Units (1) 2" xfId="450"/>
    <cellStyle name="PrePop Units (2)" xfId="451"/>
    <cellStyle name="PrePop Units (2) 2" xfId="452"/>
    <cellStyle name="PriceTo3DecPlaces" xfId="453"/>
    <cellStyle name="PriceWithBorderAround" xfId="454"/>
    <cellStyle name="PRICING" xfId="455"/>
    <cellStyle name="Product Header" xfId="456"/>
    <cellStyle name="PSChar" xfId="457"/>
    <cellStyle name="PSHeading" xfId="458"/>
    <cellStyle name="r" xfId="459"/>
    <cellStyle name="r_pldt" xfId="460"/>
    <cellStyle name="ReportLeftHeader" xfId="461"/>
    <cellStyle name="ReportRightHeader" xfId="462"/>
    <cellStyle name="results" xfId="463"/>
    <cellStyle name="RevList" xfId="464"/>
    <cellStyle name="RVRQueryHandle" xfId="465"/>
    <cellStyle name="Section" xfId="466"/>
    <cellStyle name="SecuritiesPricingTable" xfId="467"/>
    <cellStyle name="SecuritiesPricingTableFinalData" xfId="468"/>
    <cellStyle name="SecuritiesPricingTableManualData" xfId="469"/>
    <cellStyle name="SecuritiesPricingTableText" xfId="470"/>
    <cellStyle name="Short $" xfId="471"/>
    <cellStyle name="Short $ 2" xfId="472"/>
    <cellStyle name="SIZE" xfId="473"/>
    <cellStyle name="Standard_Swaps-Bonds-Blending" xfId="474"/>
    <cellStyle name="Style 1" xfId="475"/>
    <cellStyle name="StyleSecuritiesPricingTableInteger" xfId="476"/>
    <cellStyle name="Subheading" xfId="477"/>
    <cellStyle name="subtitle" xfId="478"/>
    <cellStyle name="Subtotal" xfId="479"/>
    <cellStyle name="Table" xfId="480"/>
    <cellStyle name="Tablebody" xfId="481"/>
    <cellStyle name="TablebodyDate" xfId="482"/>
    <cellStyle name="TablebodyHeading" xfId="483"/>
    <cellStyle name="TablebodyOutstandingAmount" xfId="484"/>
    <cellStyle name="TablebodyPercent" xfId="485"/>
    <cellStyle name="TablebodyPrice" xfId="486"/>
    <cellStyle name="TablebodyReverse" xfId="487"/>
    <cellStyle name="TablebodySpread" xfId="488"/>
    <cellStyle name="TablebodySpreadBorder" xfId="489"/>
    <cellStyle name="TablebodyText" xfId="490"/>
    <cellStyle name="Tableheading" xfId="491"/>
    <cellStyle name="Text" xfId="492"/>
    <cellStyle name="Text 2" xfId="493"/>
    <cellStyle name="Text Indent A" xfId="494"/>
    <cellStyle name="Text Indent B" xfId="495"/>
    <cellStyle name="Text Indent B 2" xfId="496"/>
    <cellStyle name="Text Indent C" xfId="497"/>
    <cellStyle name="Text Indent C 2" xfId="498"/>
    <cellStyle name="TextStyle" xfId="499"/>
    <cellStyle name="tic display" xfId="500"/>
    <cellStyle name="tic input" xfId="501"/>
    <cellStyle name="Title - Underline" xfId="502"/>
    <cellStyle name="Title 2" xfId="503"/>
    <cellStyle name="Title 3" xfId="504"/>
    <cellStyle name="Title 4" xfId="505"/>
    <cellStyle name="Title 5" xfId="506"/>
    <cellStyle name="Title 6" xfId="507"/>
    <cellStyle name="Title 7" xfId="508"/>
    <cellStyle name="Title Calculations" xfId="11"/>
    <cellStyle name="Title Calculations 2" xfId="509"/>
    <cellStyle name="Title Indicative" xfId="12"/>
    <cellStyle name="Title Indicative 2" xfId="510"/>
    <cellStyle name="Title Pricing Assumptions" xfId="13"/>
    <cellStyle name="Title Pricing Assumptions 2" xfId="31"/>
    <cellStyle name="Title Pricing Assumptions 2 2" xfId="32"/>
    <cellStyle name="Title Pricing Assumptions 2 3" xfId="511"/>
    <cellStyle name="Title Pricing Assumptions 3" xfId="512"/>
    <cellStyle name="Title Pricing Assumptions 3 12 8" xfId="33"/>
    <cellStyle name="Title Pricing Assumptions 3 6 4 2 8" xfId="34"/>
    <cellStyle name="Titles - Other" xfId="513"/>
    <cellStyle name="Total 2" xfId="514"/>
    <cellStyle name="Total 2 2" xfId="515"/>
    <cellStyle name="Total 3" xfId="516"/>
    <cellStyle name="Total 4" xfId="517"/>
    <cellStyle name="Warning" xfId="518"/>
    <cellStyle name="Warning Text 2" xfId="519"/>
    <cellStyle name="Warning Text 3" xfId="520"/>
    <cellStyle name="Warning Text 4" xfId="521"/>
    <cellStyle name="YB Calculations" xfId="14"/>
    <cellStyle name="YB Calculations 2" xfId="522"/>
    <cellStyle name="YB Curve" xfId="523"/>
    <cellStyle name="YB Indicative" xfId="15"/>
    <cellStyle name="YBINDIC" xfId="16"/>
    <cellStyle name="YBIOPOBE" xfId="524"/>
    <cellStyle name="YBPRICE" xfId="17"/>
    <cellStyle name="一般_原始檔案" xfId="525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color rgb="FFC00000"/>
      </font>
    </dxf>
    <dxf>
      <alignment horizontal="center" readingOrder="0"/>
    </dxf>
    <dxf>
      <numFmt numFmtId="198" formatCode="m/d;@"/>
    </dxf>
    <dxf>
      <numFmt numFmtId="198" formatCode="m/d;@"/>
    </dxf>
    <dxf>
      <alignment horizontal="center" readingOrder="0"/>
    </dxf>
    <dxf>
      <alignment horizontal="center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top style="thin">
          <color rgb="FF2E398B"/>
        </top>
        <bottom style="thin">
          <color rgb="FF2E398B"/>
        </bottom>
      </border>
    </dxf>
    <dxf>
      <border>
        <right style="thin">
          <color rgb="FF2E398A"/>
        </right>
      </border>
    </dxf>
    <dxf>
      <font>
        <b/>
        <color theme="1"/>
      </font>
      <fill>
        <patternFill>
          <bgColor rgb="FFEFEBE4"/>
        </patternFill>
      </fill>
      <border diagonalUp="0" diagonalDown="0">
        <left style="thin">
          <color rgb="FF2E398A"/>
        </left>
        <right style="thin">
          <color rgb="FF2E398A"/>
        </right>
        <top/>
        <bottom style="thin">
          <color rgb="FF2E398A"/>
        </bottom>
        <vertical/>
        <horizontal/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1" defaultTableStyle="TableStyleMedium2" defaultPivotStyle="PivotStyleLight16">
    <tableStyle name="Report Style" table="0" count="4">
      <tableStyleElement type="wholeTable" dxfId="62"/>
      <tableStyleElement type="headerRow" dxfId="61"/>
      <tableStyleElement type="firstColumn" dxfId="60"/>
      <tableStyleElement type="firstSubtotalRow" dxfId="59"/>
    </tableStyle>
  </tableStyles>
  <colors>
    <mruColors>
      <color rgb="FFC6642E"/>
      <color rgb="FF1B7A76"/>
      <color rgb="FFAD275C"/>
      <color rgb="FF74B629"/>
      <color rgb="FF2E398A"/>
      <color rgb="FFA4E838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[1.Originator Mortgage Rate Master 20150804.xlsm]Rates Summary!PivotTable5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1-Point</a:t>
            </a:r>
            <a:r>
              <a:rPr lang="en-US" baseline="0"/>
              <a:t> Rate - </a:t>
            </a:r>
            <a:r>
              <a:rPr lang="en-US"/>
              <a:t>Historical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spPr>
          <a:ln w="19050">
            <a:solidFill>
              <a:srgbClr val="2E398A"/>
            </a:solidFill>
          </a:ln>
        </c:spPr>
        <c:marker>
          <c:symbol val="circle"/>
          <c:size val="2"/>
          <c:spPr>
            <a:solidFill>
              <a:srgbClr val="2E398A"/>
            </a:solidFill>
            <a:ln w="19050">
              <a:solidFill>
                <a:srgbClr val="2E398A"/>
              </a:solidFill>
            </a:ln>
          </c:spPr>
        </c:marker>
      </c:pivotFmt>
      <c:pivotFmt>
        <c:idx val="16"/>
        <c:spPr>
          <a:ln w="19050">
            <a:solidFill>
              <a:srgbClr val="AD275C"/>
            </a:solidFill>
            <a:prstDash val="dashDot"/>
          </a:ln>
        </c:spPr>
        <c:marker>
          <c:symbol val="circle"/>
          <c:size val="2"/>
          <c:spPr>
            <a:solidFill>
              <a:srgbClr val="AD275C"/>
            </a:solidFill>
          </c:spPr>
        </c:marker>
      </c:pivotFmt>
      <c:pivotFmt>
        <c:idx val="17"/>
        <c:spPr>
          <a:ln w="19050">
            <a:solidFill>
              <a:srgbClr val="1B7A76"/>
            </a:solidFill>
            <a:prstDash val="lgDash"/>
          </a:ln>
        </c:spPr>
        <c:marker>
          <c:symbol val="circle"/>
          <c:size val="2"/>
          <c:spPr>
            <a:solidFill>
              <a:srgbClr val="1B7A76"/>
            </a:solidFill>
            <a:ln>
              <a:solidFill>
                <a:srgbClr val="1B7A76"/>
              </a:solidFill>
            </a:ln>
          </c:spPr>
        </c:marker>
      </c:pivotFmt>
      <c:pivotFmt>
        <c:idx val="18"/>
        <c:spPr>
          <a:ln w="19050">
            <a:solidFill>
              <a:srgbClr val="C6642E"/>
            </a:solidFill>
            <a:prstDash val="sysDash"/>
          </a:ln>
        </c:spPr>
        <c:marker>
          <c:symbol val="circle"/>
          <c:size val="2"/>
          <c:spPr>
            <a:solidFill>
              <a:srgbClr val="C6642E"/>
            </a:solidFill>
            <a:ln>
              <a:solidFill>
                <a:srgbClr val="C6642E"/>
              </a:solidFill>
            </a:ln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'Rates Summary'!$B$78:$B$79</c:f>
              <c:strCache>
                <c:ptCount val="1"/>
                <c:pt idx="0">
                  <c:v>30Yr Conforming Conventional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2"/>
            <c:spPr>
              <a:solidFill>
                <a:srgbClr val="2E398A"/>
              </a:solidFill>
              <a:ln w="19050">
                <a:solidFill>
                  <a:srgbClr val="2E398A"/>
                </a:solidFill>
              </a:ln>
            </c:spPr>
          </c:marker>
          <c:cat>
            <c:strRef>
              <c:f>'Rates Summary'!$A$80:$A$187</c:f>
              <c:strCache>
                <c:ptCount val="108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</c:strCache>
            </c:strRef>
          </c:cat>
          <c:val>
            <c:numRef>
              <c:f>'Rates Summary'!$B$80:$B$187</c:f>
              <c:numCache>
                <c:formatCode>General</c:formatCode>
                <c:ptCount val="108"/>
                <c:pt idx="0">
                  <c:v>4.2109722530911462</c:v>
                </c:pt>
                <c:pt idx="1">
                  <c:v>4.2092383259139474</c:v>
                </c:pt>
                <c:pt idx="2">
                  <c:v>4.1848202800158329</c:v>
                </c:pt>
                <c:pt idx="3">
                  <c:v>4.2793845467200686</c:v>
                </c:pt>
                <c:pt idx="4">
                  <c:v>4.2526168084086038</c:v>
                </c:pt>
                <c:pt idx="5">
                  <c:v>4.1948574056984462</c:v>
                </c:pt>
                <c:pt idx="6">
                  <c:v>4.183912785416835</c:v>
                </c:pt>
                <c:pt idx="7">
                  <c:v>4.1580287281176718</c:v>
                </c:pt>
                <c:pt idx="8">
                  <c:v>4.1711206525116253</c:v>
                </c:pt>
                <c:pt idx="9">
                  <c:v>4.1349192739455276</c:v>
                </c:pt>
                <c:pt idx="10">
                  <c:v>4.1195438104816251</c:v>
                </c:pt>
                <c:pt idx="11">
                  <c:v>4.0625796613669598</c:v>
                </c:pt>
                <c:pt idx="12">
                  <c:v>4.0272197213430534</c:v>
                </c:pt>
                <c:pt idx="13">
                  <c:v>4.0522074267600177</c:v>
                </c:pt>
                <c:pt idx="14">
                  <c:v>4.0183878599642231</c:v>
                </c:pt>
                <c:pt idx="15">
                  <c:v>3.9852298964584785</c:v>
                </c:pt>
                <c:pt idx="16">
                  <c:v>4.0086704188015165</c:v>
                </c:pt>
                <c:pt idx="17">
                  <c:v>4.133340061547397</c:v>
                </c:pt>
                <c:pt idx="18">
                  <c:v>4.1023271797597225</c:v>
                </c:pt>
                <c:pt idx="19">
                  <c:v>4.0736179989078529</c:v>
                </c:pt>
                <c:pt idx="20">
                  <c:v>4.0714417710088808</c:v>
                </c:pt>
                <c:pt idx="21">
                  <c:v>4.0407390738732358</c:v>
                </c:pt>
                <c:pt idx="22">
                  <c:v>4.0497476246961881</c:v>
                </c:pt>
                <c:pt idx="23">
                  <c:v>4.0184302716039797</c:v>
                </c:pt>
                <c:pt idx="24">
                  <c:v>4.0686879947021506</c:v>
                </c:pt>
                <c:pt idx="25">
                  <c:v>4.0832773999934098</c:v>
                </c:pt>
                <c:pt idx="26">
                  <c:v>4.0487453173162224</c:v>
                </c:pt>
                <c:pt idx="27">
                  <c:v>4.081627655506578</c:v>
                </c:pt>
                <c:pt idx="28">
                  <c:v>4.0659316584268881</c:v>
                </c:pt>
                <c:pt idx="29">
                  <c:v>4.0555237007239207</c:v>
                </c:pt>
                <c:pt idx="30">
                  <c:v>4.0368826735599121</c:v>
                </c:pt>
                <c:pt idx="31">
                  <c:v>4.0612395217521149</c:v>
                </c:pt>
                <c:pt idx="32">
                  <c:v>4.0575599907953466</c:v>
                </c:pt>
                <c:pt idx="33">
                  <c:v>4.0225179325894045</c:v>
                </c:pt>
                <c:pt idx="34">
                  <c:v>4.047073769815273</c:v>
                </c:pt>
                <c:pt idx="35">
                  <c:v>4.0415040358882131</c:v>
                </c:pt>
                <c:pt idx="36">
                  <c:v>4.0709250025615749</c:v>
                </c:pt>
                <c:pt idx="37">
                  <c:v>4.0590200464742132</c:v>
                </c:pt>
                <c:pt idx="38">
                  <c:v>4.0582853232102964</c:v>
                </c:pt>
                <c:pt idx="39">
                  <c:v>4.0433720320738056</c:v>
                </c:pt>
                <c:pt idx="40">
                  <c:v>4.095665958992865</c:v>
                </c:pt>
                <c:pt idx="41">
                  <c:v>4.1518717849292841</c:v>
                </c:pt>
                <c:pt idx="42">
                  <c:v>4.1403416826452109</c:v>
                </c:pt>
                <c:pt idx="43">
                  <c:v>4.1440136116171136</c:v>
                </c:pt>
                <c:pt idx="44">
                  <c:v>4.1799628612746957</c:v>
                </c:pt>
                <c:pt idx="45">
                  <c:v>4.2347543125726199</c:v>
                </c:pt>
                <c:pt idx="46">
                  <c:v>4.2681737145446403</c:v>
                </c:pt>
                <c:pt idx="47">
                  <c:v>4.2810922266017739</c:v>
                </c:pt>
                <c:pt idx="48">
                  <c:v>4.1649795879680038</c:v>
                </c:pt>
                <c:pt idx="49">
                  <c:v>4.2379897525498276</c:v>
                </c:pt>
                <c:pt idx="50">
                  <c:v>4.2264521189694744</c:v>
                </c:pt>
                <c:pt idx="51">
                  <c:v>4.2344098452321184</c:v>
                </c:pt>
                <c:pt idx="52">
                  <c:v>4.2346857860149951</c:v>
                </c:pt>
                <c:pt idx="53">
                  <c:v>4.2323574962017467</c:v>
                </c:pt>
                <c:pt idx="54">
                  <c:v>4.2147472340123695</c:v>
                </c:pt>
                <c:pt idx="55">
                  <c:v>4.3068583158312457</c:v>
                </c:pt>
                <c:pt idx="56">
                  <c:v>4.295933915293987</c:v>
                </c:pt>
                <c:pt idx="57">
                  <c:v>4.2663749732293477</c:v>
                </c:pt>
                <c:pt idx="58">
                  <c:v>4.294547379243582</c:v>
                </c:pt>
                <c:pt idx="59">
                  <c:v>4.2920571022905696</c:v>
                </c:pt>
                <c:pt idx="60">
                  <c:v>4.2379068843211822</c:v>
                </c:pt>
                <c:pt idx="61">
                  <c:v>4.2233209218479928</c:v>
                </c:pt>
                <c:pt idx="62">
                  <c:v>4.172073309877991</c:v>
                </c:pt>
                <c:pt idx="63">
                  <c:v>4.2772299202203019</c:v>
                </c:pt>
                <c:pt idx="64">
                  <c:v>4.2772299202203019</c:v>
                </c:pt>
                <c:pt idx="65">
                  <c:v>4.3923720218044648</c:v>
                </c:pt>
                <c:pt idx="66">
                  <c:v>4.4021158998488241</c:v>
                </c:pt>
                <c:pt idx="67">
                  <c:v>4.4471212470221824</c:v>
                </c:pt>
                <c:pt idx="68">
                  <c:v>4.4217882161894426</c:v>
                </c:pt>
                <c:pt idx="69">
                  <c:v>4.4633281546176118</c:v>
                </c:pt>
                <c:pt idx="70">
                  <c:v>4.5405932501440986</c:v>
                </c:pt>
                <c:pt idx="71">
                  <c:v>4.4488627715372981</c:v>
                </c:pt>
                <c:pt idx="72">
                  <c:v>4.4439837591100426</c:v>
                </c:pt>
                <c:pt idx="73">
                  <c:v>4.4098494468306768</c:v>
                </c:pt>
                <c:pt idx="74">
                  <c:v>4.4083993376568298</c:v>
                </c:pt>
                <c:pt idx="75">
                  <c:v>4.4105641199278889</c:v>
                </c:pt>
                <c:pt idx="76">
                  <c:v>4.4094136727874513</c:v>
                </c:pt>
                <c:pt idx="77">
                  <c:v>4.3215201199074498</c:v>
                </c:pt>
                <c:pt idx="78">
                  <c:v>4.4009763614890982</c:v>
                </c:pt>
                <c:pt idx="79">
                  <c:v>4.4392183160681951</c:v>
                </c:pt>
                <c:pt idx="80">
                  <c:v>4.4453796157833887</c:v>
                </c:pt>
                <c:pt idx="81">
                  <c:v>4.4482669586560188</c:v>
                </c:pt>
                <c:pt idx="82">
                  <c:v>4.4711318074263238</c:v>
                </c:pt>
                <c:pt idx="83">
                  <c:v>4.4665872716104538</c:v>
                </c:pt>
                <c:pt idx="84">
                  <c:v>4.4146762877484873</c:v>
                </c:pt>
                <c:pt idx="85">
                  <c:v>4.5207040024477276</c:v>
                </c:pt>
                <c:pt idx="86">
                  <c:v>4.464829651284651</c:v>
                </c:pt>
                <c:pt idx="87">
                  <c:v>4.4440509154403669</c:v>
                </c:pt>
                <c:pt idx="88">
                  <c:v>4.3983780593055251</c:v>
                </c:pt>
                <c:pt idx="89">
                  <c:v>4.425564979941222</c:v>
                </c:pt>
                <c:pt idx="90">
                  <c:v>4.4311762126347389</c:v>
                </c:pt>
                <c:pt idx="91">
                  <c:v>4.5092366228623613</c:v>
                </c:pt>
                <c:pt idx="92">
                  <c:v>4.4900516049545001</c:v>
                </c:pt>
                <c:pt idx="93">
                  <c:v>4.4632421539572196</c:v>
                </c:pt>
                <c:pt idx="94">
                  <c:v>4.4514544365653475</c:v>
                </c:pt>
                <c:pt idx="95">
                  <c:v>4.4290275255907448</c:v>
                </c:pt>
                <c:pt idx="96">
                  <c:v>4.3810187767133026</c:v>
                </c:pt>
                <c:pt idx="97">
                  <c:v>4.4078248196462049</c:v>
                </c:pt>
                <c:pt idx="98">
                  <c:v>4.4364625323187852</c:v>
                </c:pt>
                <c:pt idx="99">
                  <c:v>4.426843113943276</c:v>
                </c:pt>
                <c:pt idx="100">
                  <c:v>4.4426873504270654</c:v>
                </c:pt>
                <c:pt idx="101">
                  <c:v>4.3703983083468625</c:v>
                </c:pt>
                <c:pt idx="102">
                  <c:v>4.3673853128344291</c:v>
                </c:pt>
                <c:pt idx="103">
                  <c:v>4.3769220970021951</c:v>
                </c:pt>
                <c:pt idx="104">
                  <c:v>4.3942897588062166</c:v>
                </c:pt>
                <c:pt idx="105">
                  <c:v>4.4087078229261731</c:v>
                </c:pt>
                <c:pt idx="106">
                  <c:v>4.2901196607965808</c:v>
                </c:pt>
                <c:pt idx="107">
                  <c:v>4.2743799866887233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'Rates Summary'!$C$78:$C$79</c:f>
              <c:strCache>
                <c:ptCount val="1"/>
                <c:pt idx="0">
                  <c:v>30Yr Conforming FHA</c:v>
                </c:pt>
              </c:strCache>
            </c:strRef>
          </c:tx>
          <c:spPr>
            <a:ln w="19050">
              <a:solidFill>
                <a:srgbClr val="AD275C"/>
              </a:solidFill>
              <a:prstDash val="dashDot"/>
            </a:ln>
          </c:spPr>
          <c:marker>
            <c:symbol val="circle"/>
            <c:size val="2"/>
            <c:spPr>
              <a:solidFill>
                <a:srgbClr val="AD275C"/>
              </a:solidFill>
            </c:spPr>
          </c:marker>
          <c:cat>
            <c:strRef>
              <c:f>'Rates Summary'!$A$80:$A$187</c:f>
              <c:strCache>
                <c:ptCount val="108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</c:strCache>
            </c:strRef>
          </c:cat>
          <c:val>
            <c:numRef>
              <c:f>'Rates Summary'!$C$80:$C$187</c:f>
              <c:numCache>
                <c:formatCode>General</c:formatCode>
                <c:ptCount val="108"/>
                <c:pt idx="0">
                  <c:v>4.0036250000000004</c:v>
                </c:pt>
                <c:pt idx="1">
                  <c:v>4.0036250000000004</c:v>
                </c:pt>
                <c:pt idx="2">
                  <c:v>3.9717500000000001</c:v>
                </c:pt>
                <c:pt idx="3">
                  <c:v>4.0676249999999996</c:v>
                </c:pt>
                <c:pt idx="4">
                  <c:v>4.0353750000000002</c:v>
                </c:pt>
                <c:pt idx="5">
                  <c:v>4.0353750000000002</c:v>
                </c:pt>
                <c:pt idx="6">
                  <c:v>4.0036250000000004</c:v>
                </c:pt>
                <c:pt idx="7">
                  <c:v>3.9717500000000001</c:v>
                </c:pt>
                <c:pt idx="8">
                  <c:v>4.0036250000000004</c:v>
                </c:pt>
                <c:pt idx="9">
                  <c:v>3.9717500000000001</c:v>
                </c:pt>
                <c:pt idx="10">
                  <c:v>3.9717500000000001</c:v>
                </c:pt>
                <c:pt idx="11">
                  <c:v>3.8759999999999994</c:v>
                </c:pt>
                <c:pt idx="12">
                  <c:v>3.8441249999999996</c:v>
                </c:pt>
                <c:pt idx="13">
                  <c:v>3.9077500000000001</c:v>
                </c:pt>
                <c:pt idx="14">
                  <c:v>3.8759999999999994</c:v>
                </c:pt>
                <c:pt idx="15">
                  <c:v>3.8441249999999996</c:v>
                </c:pt>
                <c:pt idx="16">
                  <c:v>3.8441249999999996</c:v>
                </c:pt>
                <c:pt idx="17">
                  <c:v>3.9077500000000001</c:v>
                </c:pt>
                <c:pt idx="18">
                  <c:v>3.9077500000000001</c:v>
                </c:pt>
                <c:pt idx="19">
                  <c:v>3.9077500000000001</c:v>
                </c:pt>
                <c:pt idx="20">
                  <c:v>3.8759999999999994</c:v>
                </c:pt>
                <c:pt idx="21">
                  <c:v>3.8123749999999998</c:v>
                </c:pt>
                <c:pt idx="22">
                  <c:v>3.7805</c:v>
                </c:pt>
                <c:pt idx="23">
                  <c:v>3.7805</c:v>
                </c:pt>
                <c:pt idx="24">
                  <c:v>3.964</c:v>
                </c:pt>
                <c:pt idx="25">
                  <c:v>3.964</c:v>
                </c:pt>
                <c:pt idx="26">
                  <c:v>4.0271249999999998</c:v>
                </c:pt>
                <c:pt idx="27">
                  <c:v>3.9634999999999998</c:v>
                </c:pt>
                <c:pt idx="28">
                  <c:v>4.0271249999999998</c:v>
                </c:pt>
                <c:pt idx="29">
                  <c:v>4.0271249999999998</c:v>
                </c:pt>
                <c:pt idx="30">
                  <c:v>3.8995000000000002</c:v>
                </c:pt>
                <c:pt idx="31">
                  <c:v>3.8995000000000002</c:v>
                </c:pt>
                <c:pt idx="32">
                  <c:v>3.9634999999999998</c:v>
                </c:pt>
                <c:pt idx="33">
                  <c:v>3.9634999999999998</c:v>
                </c:pt>
                <c:pt idx="34">
                  <c:v>3.8995000000000002</c:v>
                </c:pt>
                <c:pt idx="35">
                  <c:v>3.9634999999999998</c:v>
                </c:pt>
                <c:pt idx="36">
                  <c:v>4.0271249999999998</c:v>
                </c:pt>
                <c:pt idx="37">
                  <c:v>4.0271249999999998</c:v>
                </c:pt>
                <c:pt idx="38">
                  <c:v>3.9953749999999997</c:v>
                </c:pt>
                <c:pt idx="39">
                  <c:v>4.0271249999999998</c:v>
                </c:pt>
                <c:pt idx="40">
                  <c:v>3.9321250000000001</c:v>
                </c:pt>
                <c:pt idx="41">
                  <c:v>4.0274999999999999</c:v>
                </c:pt>
                <c:pt idx="42">
                  <c:v>3.9957500000000001</c:v>
                </c:pt>
                <c:pt idx="43">
                  <c:v>3.9957500000000001</c:v>
                </c:pt>
                <c:pt idx="44">
                  <c:v>4.0593750000000002</c:v>
                </c:pt>
                <c:pt idx="45">
                  <c:v>4.0911249999999999</c:v>
                </c:pt>
                <c:pt idx="46">
                  <c:v>4.1547499999999999</c:v>
                </c:pt>
                <c:pt idx="47">
                  <c:v>4.1547499999999999</c:v>
                </c:pt>
                <c:pt idx="48">
                  <c:v>4.0274999999999999</c:v>
                </c:pt>
                <c:pt idx="49">
                  <c:v>4.1229999999999993</c:v>
                </c:pt>
                <c:pt idx="50">
                  <c:v>4.1229999999999993</c:v>
                </c:pt>
                <c:pt idx="51">
                  <c:v>4.1547499999999999</c:v>
                </c:pt>
                <c:pt idx="52">
                  <c:v>4.1547499999999999</c:v>
                </c:pt>
                <c:pt idx="53">
                  <c:v>4.0593750000000002</c:v>
                </c:pt>
                <c:pt idx="54">
                  <c:v>4.0911249999999999</c:v>
                </c:pt>
                <c:pt idx="55">
                  <c:v>4.1547499999999999</c:v>
                </c:pt>
                <c:pt idx="56">
                  <c:v>4.1547499999999999</c:v>
                </c:pt>
                <c:pt idx="57">
                  <c:v>4.1547499999999999</c:v>
                </c:pt>
                <c:pt idx="58">
                  <c:v>4.1547499999999999</c:v>
                </c:pt>
                <c:pt idx="59">
                  <c:v>4.155125</c:v>
                </c:pt>
                <c:pt idx="60">
                  <c:v>4.1547499999999999</c:v>
                </c:pt>
                <c:pt idx="61">
                  <c:v>4.1229999999999993</c:v>
                </c:pt>
                <c:pt idx="62">
                  <c:v>4.0911249999999999</c:v>
                </c:pt>
                <c:pt idx="63">
                  <c:v>4.0993750000000002</c:v>
                </c:pt>
                <c:pt idx="64">
                  <c:v>4.0993750000000002</c:v>
                </c:pt>
                <c:pt idx="65">
                  <c:v>4.2910000000000004</c:v>
                </c:pt>
                <c:pt idx="66">
                  <c:v>4.2588749999999997</c:v>
                </c:pt>
                <c:pt idx="67">
                  <c:v>4.2592500000000006</c:v>
                </c:pt>
                <c:pt idx="68">
                  <c:v>4.2275</c:v>
                </c:pt>
                <c:pt idx="69">
                  <c:v>4.1956249999999997</c:v>
                </c:pt>
                <c:pt idx="70">
                  <c:v>4.2275</c:v>
                </c:pt>
                <c:pt idx="71">
                  <c:v>4.1956249999999997</c:v>
                </c:pt>
                <c:pt idx="72">
                  <c:v>4.2906250000000004</c:v>
                </c:pt>
                <c:pt idx="73">
                  <c:v>4.2906250000000004</c:v>
                </c:pt>
                <c:pt idx="74">
                  <c:v>4.2275</c:v>
                </c:pt>
                <c:pt idx="75">
                  <c:v>4.2275</c:v>
                </c:pt>
                <c:pt idx="76">
                  <c:v>4.2588749999999997</c:v>
                </c:pt>
                <c:pt idx="77">
                  <c:v>4.2270000000000003</c:v>
                </c:pt>
                <c:pt idx="78">
                  <c:v>4.2906250000000004</c:v>
                </c:pt>
                <c:pt idx="79">
                  <c:v>4.3228750000000007</c:v>
                </c:pt>
                <c:pt idx="80">
                  <c:v>4.2910000000000004</c:v>
                </c:pt>
                <c:pt idx="81">
                  <c:v>4.2910000000000004</c:v>
                </c:pt>
                <c:pt idx="82">
                  <c:v>4.3546250000000004</c:v>
                </c:pt>
                <c:pt idx="83">
                  <c:v>4.2910000000000004</c:v>
                </c:pt>
                <c:pt idx="84">
                  <c:v>4.2592500000000006</c:v>
                </c:pt>
                <c:pt idx="85">
                  <c:v>4.3228750000000007</c:v>
                </c:pt>
                <c:pt idx="86">
                  <c:v>4.2910000000000004</c:v>
                </c:pt>
                <c:pt idx="87">
                  <c:v>4.2592500000000006</c:v>
                </c:pt>
                <c:pt idx="88">
                  <c:v>4.2906250000000004</c:v>
                </c:pt>
                <c:pt idx="89">
                  <c:v>4.2910000000000004</c:v>
                </c:pt>
                <c:pt idx="90">
                  <c:v>4.2592500000000006</c:v>
                </c:pt>
                <c:pt idx="91">
                  <c:v>4.3228750000000007</c:v>
                </c:pt>
                <c:pt idx="92">
                  <c:v>4.3864999999999998</c:v>
                </c:pt>
                <c:pt idx="93">
                  <c:v>4.2910000000000004</c:v>
                </c:pt>
                <c:pt idx="94">
                  <c:v>4.2592500000000006</c:v>
                </c:pt>
                <c:pt idx="95">
                  <c:v>4.2592500000000006</c:v>
                </c:pt>
                <c:pt idx="96">
                  <c:v>4.2592500000000006</c:v>
                </c:pt>
                <c:pt idx="97">
                  <c:v>4.2910000000000004</c:v>
                </c:pt>
                <c:pt idx="98">
                  <c:v>4.2906250000000004</c:v>
                </c:pt>
                <c:pt idx="99">
                  <c:v>4.2906250000000004</c:v>
                </c:pt>
                <c:pt idx="100">
                  <c:v>4.2592500000000006</c:v>
                </c:pt>
                <c:pt idx="101">
                  <c:v>4.2588749999999997</c:v>
                </c:pt>
                <c:pt idx="102">
                  <c:v>4.2588749999999997</c:v>
                </c:pt>
                <c:pt idx="103">
                  <c:v>4.2906250000000004</c:v>
                </c:pt>
                <c:pt idx="104">
                  <c:v>4.2906250000000004</c:v>
                </c:pt>
                <c:pt idx="105">
                  <c:v>4.2906250000000004</c:v>
                </c:pt>
                <c:pt idx="106">
                  <c:v>4.1630000000000003</c:v>
                </c:pt>
                <c:pt idx="107">
                  <c:v>4.1312500000000005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'Rates Summary'!$D$78:$D$79</c:f>
              <c:strCache>
                <c:ptCount val="1"/>
                <c:pt idx="0">
                  <c:v>30Yr Jumbo Conforming</c:v>
                </c:pt>
              </c:strCache>
            </c:strRef>
          </c:tx>
          <c:spPr>
            <a:ln w="19050">
              <a:solidFill>
                <a:srgbClr val="1B7A76"/>
              </a:solidFill>
              <a:prstDash val="lgDash"/>
            </a:ln>
          </c:spPr>
          <c:marker>
            <c:symbol val="circle"/>
            <c:size val="2"/>
            <c:spPr>
              <a:solidFill>
                <a:srgbClr val="1B7A76"/>
              </a:solidFill>
              <a:ln>
                <a:solidFill>
                  <a:srgbClr val="1B7A76"/>
                </a:solidFill>
              </a:ln>
            </c:spPr>
          </c:marker>
          <c:cat>
            <c:strRef>
              <c:f>'Rates Summary'!$A$80:$A$187</c:f>
              <c:strCache>
                <c:ptCount val="108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</c:strCache>
            </c:strRef>
          </c:cat>
          <c:val>
            <c:numRef>
              <c:f>'Rates Summary'!$D$80:$D$187</c:f>
              <c:numCache>
                <c:formatCode>General</c:formatCode>
                <c:ptCount val="108"/>
                <c:pt idx="0">
                  <c:v>4.123888942161555</c:v>
                </c:pt>
                <c:pt idx="1">
                  <c:v>4.123888942161555</c:v>
                </c:pt>
                <c:pt idx="2">
                  <c:v>4.123888942161555</c:v>
                </c:pt>
                <c:pt idx="3">
                  <c:v>4.145604497342033</c:v>
                </c:pt>
                <c:pt idx="4">
                  <c:v>4.0563500000000001</c:v>
                </c:pt>
                <c:pt idx="5">
                  <c:v>4.0251000000000001</c:v>
                </c:pt>
                <c:pt idx="6">
                  <c:v>4.123888942161555</c:v>
                </c:pt>
                <c:pt idx="7">
                  <c:v>4.0195510152855149</c:v>
                </c:pt>
                <c:pt idx="8">
                  <c:v>4.123888942161555</c:v>
                </c:pt>
                <c:pt idx="9">
                  <c:v>3.9301000000000004</c:v>
                </c:pt>
                <c:pt idx="10">
                  <c:v>3.8988500000000004</c:v>
                </c:pt>
                <c:pt idx="11">
                  <c:v>3.9367503938171491</c:v>
                </c:pt>
                <c:pt idx="12">
                  <c:v>3.872298391426404</c:v>
                </c:pt>
                <c:pt idx="13">
                  <c:v>3.9367503938171491</c:v>
                </c:pt>
                <c:pt idx="14">
                  <c:v>3.872298391426404</c:v>
                </c:pt>
                <c:pt idx="15">
                  <c:v>3.8107367176633482</c:v>
                </c:pt>
                <c:pt idx="16">
                  <c:v>3.872298391426404</c:v>
                </c:pt>
                <c:pt idx="17">
                  <c:v>3.9367503938171491</c:v>
                </c:pt>
                <c:pt idx="18">
                  <c:v>3.9980925223663326</c:v>
                </c:pt>
                <c:pt idx="19">
                  <c:v>3.9367503938171491</c:v>
                </c:pt>
                <c:pt idx="20">
                  <c:v>3.872298391426404</c:v>
                </c:pt>
                <c:pt idx="21">
                  <c:v>3.7673467858228435</c:v>
                </c:pt>
                <c:pt idx="22">
                  <c:v>3.7673467858228435</c:v>
                </c:pt>
                <c:pt idx="23">
                  <c:v>3.7178705124641254</c:v>
                </c:pt>
                <c:pt idx="24">
                  <c:v>3.8662066882918835</c:v>
                </c:pt>
                <c:pt idx="25">
                  <c:v>3.8662066882918835</c:v>
                </c:pt>
                <c:pt idx="26">
                  <c:v>3.804430007719005</c:v>
                </c:pt>
                <c:pt idx="27">
                  <c:v>3.7609539039308504</c:v>
                </c:pt>
                <c:pt idx="28">
                  <c:v>3.8662066882918835</c:v>
                </c:pt>
                <c:pt idx="29">
                  <c:v>3.8662066882918835</c:v>
                </c:pt>
                <c:pt idx="30">
                  <c:v>3.7113481910264978</c:v>
                </c:pt>
                <c:pt idx="31">
                  <c:v>3.804430007719005</c:v>
                </c:pt>
                <c:pt idx="32">
                  <c:v>3.804430007719005</c:v>
                </c:pt>
                <c:pt idx="33">
                  <c:v>3.8662066882918835</c:v>
                </c:pt>
                <c:pt idx="34">
                  <c:v>3.804430007719005</c:v>
                </c:pt>
                <c:pt idx="35">
                  <c:v>3.8662066882918835</c:v>
                </c:pt>
                <c:pt idx="36">
                  <c:v>3.8375095901912939</c:v>
                </c:pt>
                <c:pt idx="37">
                  <c:v>3.8869825871584012</c:v>
                </c:pt>
                <c:pt idx="38">
                  <c:v>3.8375095901912939</c:v>
                </c:pt>
                <c:pt idx="39">
                  <c:v>3.8375095901912939</c:v>
                </c:pt>
                <c:pt idx="40">
                  <c:v>3.9303703370483709</c:v>
                </c:pt>
                <c:pt idx="41">
                  <c:v>4.117698774030444</c:v>
                </c:pt>
                <c:pt idx="42">
                  <c:v>4.0563620311709938</c:v>
                </c:pt>
                <c:pt idx="43">
                  <c:v>4.0563620311709938</c:v>
                </c:pt>
                <c:pt idx="44">
                  <c:v>4.117698774030444</c:v>
                </c:pt>
                <c:pt idx="45">
                  <c:v>4.0154500000000004</c:v>
                </c:pt>
                <c:pt idx="46">
                  <c:v>4.0899335699667727</c:v>
                </c:pt>
                <c:pt idx="47">
                  <c:v>4.1391429031887403</c:v>
                </c:pt>
                <c:pt idx="48">
                  <c:v>4.117698774030444</c:v>
                </c:pt>
                <c:pt idx="49">
                  <c:v>4.0899335699667727</c:v>
                </c:pt>
                <c:pt idx="50">
                  <c:v>4.1823551213488175</c:v>
                </c:pt>
                <c:pt idx="51">
                  <c:v>4.1823551213488175</c:v>
                </c:pt>
                <c:pt idx="52">
                  <c:v>4.1823551213488175</c:v>
                </c:pt>
                <c:pt idx="53">
                  <c:v>4.0154500000000004</c:v>
                </c:pt>
                <c:pt idx="54">
                  <c:v>4.0154500000000004</c:v>
                </c:pt>
                <c:pt idx="55">
                  <c:v>4.1391429031887403</c:v>
                </c:pt>
                <c:pt idx="56">
                  <c:v>4.1078929031887403</c:v>
                </c:pt>
                <c:pt idx="57">
                  <c:v>4.1078929031887403</c:v>
                </c:pt>
                <c:pt idx="58">
                  <c:v>3.9529500000000004</c:v>
                </c:pt>
                <c:pt idx="59">
                  <c:v>3.9842000000000004</c:v>
                </c:pt>
                <c:pt idx="60">
                  <c:v>3.9529500000000004</c:v>
                </c:pt>
                <c:pt idx="61">
                  <c:v>4.117698774030444</c:v>
                </c:pt>
                <c:pt idx="62">
                  <c:v>4.0563620311709938</c:v>
                </c:pt>
                <c:pt idx="63">
                  <c:v>4.114354497342033</c:v>
                </c:pt>
                <c:pt idx="64">
                  <c:v>4.114354497342033</c:v>
                </c:pt>
                <c:pt idx="65">
                  <c:v>4.2717089165741537</c:v>
                </c:pt>
                <c:pt idx="66">
                  <c:v>4.2404589165741537</c:v>
                </c:pt>
                <c:pt idx="67">
                  <c:v>4.3147493145490214</c:v>
                </c:pt>
                <c:pt idx="68">
                  <c:v>4.2717089165741537</c:v>
                </c:pt>
                <c:pt idx="69">
                  <c:v>4.2717089165741537</c:v>
                </c:pt>
                <c:pt idx="70">
                  <c:v>4.5041620075276256</c:v>
                </c:pt>
                <c:pt idx="71">
                  <c:v>4.2717089165741537</c:v>
                </c:pt>
                <c:pt idx="72">
                  <c:v>4.2404589165741537</c:v>
                </c:pt>
                <c:pt idx="73">
                  <c:v>4.2033105887459152</c:v>
                </c:pt>
                <c:pt idx="74">
                  <c:v>4.2033105887459152</c:v>
                </c:pt>
                <c:pt idx="75">
                  <c:v>4.2033105887459152</c:v>
                </c:pt>
                <c:pt idx="76">
                  <c:v>4.2496377008409834</c:v>
                </c:pt>
                <c:pt idx="77">
                  <c:v>4.114354497342033</c:v>
                </c:pt>
                <c:pt idx="78">
                  <c:v>4.1887316643249344</c:v>
                </c:pt>
                <c:pt idx="79">
                  <c:v>4.2717089165741537</c:v>
                </c:pt>
                <c:pt idx="80">
                  <c:v>4.2717089165741537</c:v>
                </c:pt>
                <c:pt idx="81">
                  <c:v>4.375438847121214</c:v>
                </c:pt>
                <c:pt idx="82">
                  <c:v>4.3773</c:v>
                </c:pt>
                <c:pt idx="83">
                  <c:v>4.5041620075276256</c:v>
                </c:pt>
                <c:pt idx="84">
                  <c:v>4.2717089165741537</c:v>
                </c:pt>
                <c:pt idx="85">
                  <c:v>4.3773</c:v>
                </c:pt>
                <c:pt idx="86">
                  <c:v>4.375438847121214</c:v>
                </c:pt>
                <c:pt idx="87">
                  <c:v>4.2033105887459152</c:v>
                </c:pt>
                <c:pt idx="88">
                  <c:v>4.1887316643249344</c:v>
                </c:pt>
                <c:pt idx="89">
                  <c:v>4.2496377008409834</c:v>
                </c:pt>
                <c:pt idx="90">
                  <c:v>4.2496377008409834</c:v>
                </c:pt>
                <c:pt idx="91">
                  <c:v>4.4407683440906052</c:v>
                </c:pt>
                <c:pt idx="92">
                  <c:v>4.5041620075276256</c:v>
                </c:pt>
                <c:pt idx="93">
                  <c:v>4.3147493145490214</c:v>
                </c:pt>
                <c:pt idx="94">
                  <c:v>4.2717089165741537</c:v>
                </c:pt>
                <c:pt idx="95">
                  <c:v>4.3147493145490214</c:v>
                </c:pt>
                <c:pt idx="96">
                  <c:v>4.2717089165741537</c:v>
                </c:pt>
                <c:pt idx="97">
                  <c:v>4.2717089165741537</c:v>
                </c:pt>
                <c:pt idx="98">
                  <c:v>4.2033105887459152</c:v>
                </c:pt>
                <c:pt idx="99">
                  <c:v>4.2496377008409834</c:v>
                </c:pt>
                <c:pt idx="100">
                  <c:v>4.2404589165741537</c:v>
                </c:pt>
                <c:pt idx="101">
                  <c:v>4.1887316643249344</c:v>
                </c:pt>
                <c:pt idx="102">
                  <c:v>4.145604497342033</c:v>
                </c:pt>
                <c:pt idx="103">
                  <c:v>4.1887316643249344</c:v>
                </c:pt>
                <c:pt idx="104">
                  <c:v>4.1887316643249344</c:v>
                </c:pt>
                <c:pt idx="105">
                  <c:v>4.2496377008409834</c:v>
                </c:pt>
                <c:pt idx="106">
                  <c:v>4.0771627490827687</c:v>
                </c:pt>
                <c:pt idx="107">
                  <c:v>4.0771627490827687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'Rates Summary'!$E$78:$E$79</c:f>
              <c:strCache>
                <c:ptCount val="1"/>
                <c:pt idx="0">
                  <c:v>30Yr Jumbo Non-Conforming</c:v>
                </c:pt>
              </c:strCache>
            </c:strRef>
          </c:tx>
          <c:spPr>
            <a:ln w="19050">
              <a:solidFill>
                <a:srgbClr val="C6642E"/>
              </a:solidFill>
              <a:prstDash val="sysDash"/>
            </a:ln>
          </c:spPr>
          <c:marker>
            <c:symbol val="circle"/>
            <c:size val="2"/>
            <c:spPr>
              <a:solidFill>
                <a:srgbClr val="C6642E"/>
              </a:solidFill>
              <a:ln>
                <a:solidFill>
                  <a:srgbClr val="C6642E"/>
                </a:solidFill>
              </a:ln>
            </c:spPr>
          </c:marker>
          <c:cat>
            <c:strRef>
              <c:f>'Rates Summary'!$A$80:$A$187</c:f>
              <c:strCache>
                <c:ptCount val="108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</c:strCache>
            </c:strRef>
          </c:cat>
          <c:val>
            <c:numRef>
              <c:f>'Rates Summary'!$E$80:$E$187</c:f>
              <c:numCache>
                <c:formatCode>General</c:formatCode>
                <c:ptCount val="108"/>
                <c:pt idx="0">
                  <c:v>3.9170666666666665</c:v>
                </c:pt>
                <c:pt idx="1">
                  <c:v>3.9170666666666665</c:v>
                </c:pt>
                <c:pt idx="2">
                  <c:v>3.9170666666666665</c:v>
                </c:pt>
                <c:pt idx="3">
                  <c:v>3.9975388163708763</c:v>
                </c:pt>
                <c:pt idx="4">
                  <c:v>3.9543261870321942</c:v>
                </c:pt>
                <c:pt idx="5">
                  <c:v>3.929789796110164</c:v>
                </c:pt>
                <c:pt idx="6">
                  <c:v>3.929789796110164</c:v>
                </c:pt>
                <c:pt idx="7">
                  <c:v>3.8281034376602534</c:v>
                </c:pt>
                <c:pt idx="8">
                  <c:v>3.8714038285041039</c:v>
                </c:pt>
                <c:pt idx="9">
                  <c:v>3.8281034376602534</c:v>
                </c:pt>
                <c:pt idx="10">
                  <c:v>3.7907999999999999</c:v>
                </c:pt>
                <c:pt idx="11">
                  <c:v>3.7452361066975079</c:v>
                </c:pt>
                <c:pt idx="12">
                  <c:v>3.701847554934004</c:v>
                </c:pt>
                <c:pt idx="13">
                  <c:v>3.7452361066975079</c:v>
                </c:pt>
                <c:pt idx="14">
                  <c:v>3.7452361066975079</c:v>
                </c:pt>
                <c:pt idx="15">
                  <c:v>3.7907999999999999</c:v>
                </c:pt>
                <c:pt idx="16">
                  <c:v>3.8281034376602534</c:v>
                </c:pt>
                <c:pt idx="17">
                  <c:v>3.8714038285041039</c:v>
                </c:pt>
                <c:pt idx="18">
                  <c:v>3.8714038285041039</c:v>
                </c:pt>
                <c:pt idx="19">
                  <c:v>3.8714038285041039</c:v>
                </c:pt>
                <c:pt idx="20">
                  <c:v>3.8714038285041039</c:v>
                </c:pt>
                <c:pt idx="21">
                  <c:v>3.7907999999999999</c:v>
                </c:pt>
                <c:pt idx="22">
                  <c:v>3.7907999999999999</c:v>
                </c:pt>
                <c:pt idx="23">
                  <c:v>3.8038200779030156</c:v>
                </c:pt>
                <c:pt idx="24">
                  <c:v>3.6708585343811904</c:v>
                </c:pt>
                <c:pt idx="25">
                  <c:v>3.6708585343811904</c:v>
                </c:pt>
                <c:pt idx="26">
                  <c:v>3.6708585343811904</c:v>
                </c:pt>
                <c:pt idx="27">
                  <c:v>3.6708585343811904</c:v>
                </c:pt>
                <c:pt idx="28">
                  <c:v>3.6708585343811904</c:v>
                </c:pt>
                <c:pt idx="29">
                  <c:v>3.7143356375412493</c:v>
                </c:pt>
                <c:pt idx="30">
                  <c:v>3.6334666666666666</c:v>
                </c:pt>
                <c:pt idx="31">
                  <c:v>3.6334666666666666</c:v>
                </c:pt>
                <c:pt idx="32">
                  <c:v>3.6334666666666666</c:v>
                </c:pt>
                <c:pt idx="33">
                  <c:v>3.6334666666666666</c:v>
                </c:pt>
                <c:pt idx="34">
                  <c:v>3.6334666666666666</c:v>
                </c:pt>
                <c:pt idx="35">
                  <c:v>3.6334666666666666</c:v>
                </c:pt>
                <c:pt idx="36">
                  <c:v>3.7597333333333331</c:v>
                </c:pt>
                <c:pt idx="37">
                  <c:v>3.7597333333333331</c:v>
                </c:pt>
                <c:pt idx="38">
                  <c:v>3.7143356375412493</c:v>
                </c:pt>
                <c:pt idx="39">
                  <c:v>3.7143356375412493</c:v>
                </c:pt>
                <c:pt idx="40">
                  <c:v>3.7143356375412493</c:v>
                </c:pt>
                <c:pt idx="41">
                  <c:v>3.7970808882673373</c:v>
                </c:pt>
                <c:pt idx="42">
                  <c:v>3.7970808882673373</c:v>
                </c:pt>
                <c:pt idx="43">
                  <c:v>3.7970808882673373</c:v>
                </c:pt>
                <c:pt idx="44">
                  <c:v>3.7970808882673373</c:v>
                </c:pt>
                <c:pt idx="45">
                  <c:v>3.8404694400308417</c:v>
                </c:pt>
                <c:pt idx="46">
                  <c:v>3.9020859403395352</c:v>
                </c:pt>
                <c:pt idx="47">
                  <c:v>3.9020859403395352</c:v>
                </c:pt>
                <c:pt idx="48">
                  <c:v>3.7970808882673373</c:v>
                </c:pt>
                <c:pt idx="49">
                  <c:v>3.8860333333333337</c:v>
                </c:pt>
                <c:pt idx="50">
                  <c:v>3.9233367709935867</c:v>
                </c:pt>
                <c:pt idx="51">
                  <c:v>3.9233367709935867</c:v>
                </c:pt>
                <c:pt idx="52">
                  <c:v>3.8860333333333337</c:v>
                </c:pt>
                <c:pt idx="53">
                  <c:v>3.8404694400308417</c:v>
                </c:pt>
                <c:pt idx="54">
                  <c:v>3.8404694400308417</c:v>
                </c:pt>
                <c:pt idx="55">
                  <c:v>3.9041371618374376</c:v>
                </c:pt>
                <c:pt idx="56">
                  <c:v>3.9041371618374376</c:v>
                </c:pt>
                <c:pt idx="57">
                  <c:v>3.9041371618374376</c:v>
                </c:pt>
                <c:pt idx="58">
                  <c:v>3.7749314548968891</c:v>
                </c:pt>
                <c:pt idx="59">
                  <c:v>3.7749314548968891</c:v>
                </c:pt>
                <c:pt idx="60">
                  <c:v>3.7749314548968891</c:v>
                </c:pt>
                <c:pt idx="61">
                  <c:v>3.7761730843118855</c:v>
                </c:pt>
                <c:pt idx="62">
                  <c:v>3.7761730843118855</c:v>
                </c:pt>
                <c:pt idx="63">
                  <c:v>4.0557276764206129</c:v>
                </c:pt>
                <c:pt idx="64">
                  <c:v>4.0557276764206129</c:v>
                </c:pt>
                <c:pt idx="65">
                  <c:v>4.1817004181546098</c:v>
                </c:pt>
                <c:pt idx="66">
                  <c:v>4.1237077500397357</c:v>
                </c:pt>
                <c:pt idx="67">
                  <c:v>4.2186106422383469</c:v>
                </c:pt>
                <c:pt idx="68">
                  <c:v>4.1873439755716797</c:v>
                </c:pt>
                <c:pt idx="69">
                  <c:v>4.1873439755716797</c:v>
                </c:pt>
                <c:pt idx="70">
                  <c:v>4.310586640999877</c:v>
                </c:pt>
                <c:pt idx="71">
                  <c:v>4.2186106422383469</c:v>
                </c:pt>
                <c:pt idx="72">
                  <c:v>4.2186106422383469</c:v>
                </c:pt>
                <c:pt idx="73">
                  <c:v>4.1817004181546098</c:v>
                </c:pt>
                <c:pt idx="74">
                  <c:v>4.1817004181546098</c:v>
                </c:pt>
                <c:pt idx="75">
                  <c:v>4.1873439755716797</c:v>
                </c:pt>
                <c:pt idx="76">
                  <c:v>4.1873439755716797</c:v>
                </c:pt>
                <c:pt idx="77">
                  <c:v>4.1817004181546098</c:v>
                </c:pt>
                <c:pt idx="78">
                  <c:v>4.1873439755716797</c:v>
                </c:pt>
                <c:pt idx="79">
                  <c:v>4.2186106422383469</c:v>
                </c:pt>
                <c:pt idx="80">
                  <c:v>4.2186106422383469</c:v>
                </c:pt>
                <c:pt idx="81">
                  <c:v>4.2186106422383469</c:v>
                </c:pt>
                <c:pt idx="82">
                  <c:v>4.310586640999877</c:v>
                </c:pt>
                <c:pt idx="83">
                  <c:v>4.2186106422383469</c:v>
                </c:pt>
                <c:pt idx="84">
                  <c:v>4.1873439755716797</c:v>
                </c:pt>
                <c:pt idx="85">
                  <c:v>4.2186106422383469</c:v>
                </c:pt>
                <c:pt idx="86">
                  <c:v>4.2186106422383469</c:v>
                </c:pt>
                <c:pt idx="87">
                  <c:v>4.1237077500397357</c:v>
                </c:pt>
                <c:pt idx="88">
                  <c:v>4.0612077500397348</c:v>
                </c:pt>
                <c:pt idx="89">
                  <c:v>4.092474416706402</c:v>
                </c:pt>
                <c:pt idx="90">
                  <c:v>4.092474416706402</c:v>
                </c:pt>
                <c:pt idx="91">
                  <c:v>4.1873439755716797</c:v>
                </c:pt>
                <c:pt idx="92">
                  <c:v>4.2498439755716797</c:v>
                </c:pt>
                <c:pt idx="93">
                  <c:v>4.1873439755716797</c:v>
                </c:pt>
                <c:pt idx="94">
                  <c:v>4.1237077500397357</c:v>
                </c:pt>
                <c:pt idx="95">
                  <c:v>4.1817004181546098</c:v>
                </c:pt>
                <c:pt idx="96">
                  <c:v>4.1237077500397357</c:v>
                </c:pt>
                <c:pt idx="97">
                  <c:v>4.1817004181546098</c:v>
                </c:pt>
                <c:pt idx="98">
                  <c:v>4.1237077500397357</c:v>
                </c:pt>
                <c:pt idx="99">
                  <c:v>4.1237077500397357</c:v>
                </c:pt>
                <c:pt idx="100">
                  <c:v>4.1237077500397357</c:v>
                </c:pt>
                <c:pt idx="101">
                  <c:v>4.0612077500397348</c:v>
                </c:pt>
                <c:pt idx="102">
                  <c:v>4.0557276764206129</c:v>
                </c:pt>
                <c:pt idx="103">
                  <c:v>4.0557276764206129</c:v>
                </c:pt>
                <c:pt idx="104">
                  <c:v>4.0557276764206129</c:v>
                </c:pt>
                <c:pt idx="105">
                  <c:v>4.0557276764206129</c:v>
                </c:pt>
                <c:pt idx="106">
                  <c:v>3.966305483037543</c:v>
                </c:pt>
                <c:pt idx="107">
                  <c:v>3.966305483037543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7723136"/>
        <c:axId val="397725056"/>
      </c:lineChart>
      <c:catAx>
        <c:axId val="397723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97725056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397725056"/>
        <c:scaling>
          <c:orientation val="minMax"/>
          <c:min val="3.6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1-Point</a:t>
                </a:r>
                <a:r>
                  <a:rPr lang="en-US" baseline="0"/>
                  <a:t> Rate (%)</a:t>
                </a:r>
                <a:endParaRPr lang="en-US"/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397723136"/>
        <c:crosses val="autoZero"/>
        <c:crossBetween val="between"/>
      </c:valAx>
      <c:spPr>
        <a:ln>
          <a:solidFill>
            <a:schemeClr val="tx1"/>
          </a:solidFill>
          <a:prstDash val="sysDash"/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[1.Originator Mortgage Rate Master 20150804.xlsm]Rates Summary!PivotTable2</c:name>
    <c:fmtId val="8"/>
  </c:pivotSource>
  <c:chart>
    <c:title>
      <c:tx>
        <c:rich>
          <a:bodyPr/>
          <a:lstStyle/>
          <a:p>
            <a:pPr algn="ctr" rtl="0">
              <a:defRPr lang="en-US" sz="108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08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Servicing Spread &amp; Current Coupon - Historical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spPr>
          <a:ln w="19050">
            <a:solidFill>
              <a:srgbClr val="AD275C"/>
            </a:solidFill>
          </a:ln>
        </c:spPr>
        <c:marker>
          <c:symbol val="circle"/>
          <c:size val="2"/>
          <c:spPr>
            <a:ln w="19050">
              <a:solidFill>
                <a:srgbClr val="AD275C"/>
              </a:solidFill>
            </a:ln>
          </c:spPr>
        </c:marker>
      </c:pivotFmt>
      <c:pivotFmt>
        <c:idx val="7"/>
        <c:spPr>
          <a:ln w="19050">
            <a:solidFill>
              <a:srgbClr val="2E398A"/>
            </a:solidFill>
            <a:prstDash val="solid"/>
          </a:ln>
        </c:spPr>
        <c:marker>
          <c:symbol val="circle"/>
          <c:size val="2"/>
          <c:spPr>
            <a:solidFill>
              <a:srgbClr val="2E398A"/>
            </a:solidFill>
            <a:ln w="19050">
              <a:solidFill>
                <a:srgbClr val="2E398A"/>
              </a:solidFill>
              <a:prstDash val="solid"/>
            </a:ln>
          </c:spPr>
        </c:marker>
      </c:pivotFmt>
    </c:pivotFmts>
    <c:plotArea>
      <c:layout>
        <c:manualLayout>
          <c:layoutTarget val="inner"/>
          <c:xMode val="edge"/>
          <c:yMode val="edge"/>
          <c:x val="6.3328594342373867E-2"/>
          <c:y val="0.16511686039245094"/>
          <c:w val="0.89350741321605842"/>
          <c:h val="0.63621422322209731"/>
        </c:manualLayout>
      </c:layout>
      <c:lineChart>
        <c:grouping val="standard"/>
        <c:varyColors val="0"/>
        <c:ser>
          <c:idx val="1"/>
          <c:order val="1"/>
          <c:tx>
            <c:strRef>
              <c:f>'Rates Summary'!$O$78:$O$79</c:f>
              <c:strCache>
                <c:ptCount val="1"/>
                <c:pt idx="0">
                  <c:v>30-Yr Conventional Servicing Spread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2"/>
            <c:spPr>
              <a:ln w="19050">
                <a:solidFill>
                  <a:srgbClr val="AD275C"/>
                </a:solidFill>
              </a:ln>
            </c:spPr>
          </c:marker>
          <c:cat>
            <c:strRef>
              <c:f>'Rates Summary'!$M$80:$M$187</c:f>
              <c:strCache>
                <c:ptCount val="108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</c:strCache>
            </c:strRef>
          </c:cat>
          <c:val>
            <c:numRef>
              <c:f>'Rates Summary'!$O$80:$O$187</c:f>
              <c:numCache>
                <c:formatCode>General</c:formatCode>
                <c:ptCount val="108"/>
                <c:pt idx="0">
                  <c:v>1.3767723130618554</c:v>
                </c:pt>
                <c:pt idx="1">
                  <c:v>1.3850546031605075</c:v>
                </c:pt>
                <c:pt idx="2">
                  <c:v>1.3692587050391631</c:v>
                </c:pt>
                <c:pt idx="3">
                  <c:v>1.3490675358181696</c:v>
                </c:pt>
                <c:pt idx="4">
                  <c:v>1.350389284878674</c:v>
                </c:pt>
                <c:pt idx="5">
                  <c:v>1.3485070688916867</c:v>
                </c:pt>
                <c:pt idx="6">
                  <c:v>1.3560774820987149</c:v>
                </c:pt>
                <c:pt idx="7">
                  <c:v>1.344209617863692</c:v>
                </c:pt>
                <c:pt idx="8">
                  <c:v>1.3396149033691263</c:v>
                </c:pt>
                <c:pt idx="9">
                  <c:v>1.3107424221176069</c:v>
                </c:pt>
                <c:pt idx="10">
                  <c:v>1.3237028011769647</c:v>
                </c:pt>
                <c:pt idx="11">
                  <c:v>1.3697307582715406</c:v>
                </c:pt>
                <c:pt idx="12">
                  <c:v>1.3176631575817741</c:v>
                </c:pt>
                <c:pt idx="13">
                  <c:v>1.380434488216318</c:v>
                </c:pt>
                <c:pt idx="14">
                  <c:v>1.3608783819725627</c:v>
                </c:pt>
                <c:pt idx="15">
                  <c:v>1.3753831809120984</c:v>
                </c:pt>
                <c:pt idx="16">
                  <c:v>1.3445010227561975</c:v>
                </c:pt>
                <c:pt idx="17">
                  <c:v>1.3813410012688965</c:v>
                </c:pt>
                <c:pt idx="18">
                  <c:v>1.4088439334600631</c:v>
                </c:pt>
                <c:pt idx="19">
                  <c:v>1.3829965684645829</c:v>
                </c:pt>
                <c:pt idx="20">
                  <c:v>1.4104066097299408</c:v>
                </c:pt>
                <c:pt idx="21">
                  <c:v>1.4414732984829457</c:v>
                </c:pt>
                <c:pt idx="22">
                  <c:v>1.3984649566955778</c:v>
                </c:pt>
                <c:pt idx="23">
                  <c:v>1.4275418500681698</c:v>
                </c:pt>
                <c:pt idx="24">
                  <c:v>1.4347708909616306</c:v>
                </c:pt>
                <c:pt idx="25">
                  <c:v>1.45449494111489</c:v>
                </c:pt>
                <c:pt idx="26">
                  <c:v>1.4284238056650325</c:v>
                </c:pt>
                <c:pt idx="27">
                  <c:v>1.4339693770784783</c:v>
                </c:pt>
                <c:pt idx="28">
                  <c:v>1.3985370958949779</c:v>
                </c:pt>
                <c:pt idx="29">
                  <c:v>1.4141832503070106</c:v>
                </c:pt>
                <c:pt idx="30">
                  <c:v>1.4400239062985229</c:v>
                </c:pt>
                <c:pt idx="31">
                  <c:v>1.4765459371823244</c:v>
                </c:pt>
                <c:pt idx="32">
                  <c:v>1.4816570489965968</c:v>
                </c:pt>
                <c:pt idx="33">
                  <c:v>1.4553975121316345</c:v>
                </c:pt>
                <c:pt idx="34">
                  <c:v>1.4484845527450128</c:v>
                </c:pt>
                <c:pt idx="35">
                  <c:v>1.4189829558031428</c:v>
                </c:pt>
                <c:pt idx="36">
                  <c:v>1.3955985888148446</c:v>
                </c:pt>
                <c:pt idx="37">
                  <c:v>1.4027324649448731</c:v>
                </c:pt>
                <c:pt idx="38">
                  <c:v>1.4287261054410563</c:v>
                </c:pt>
                <c:pt idx="39">
                  <c:v>1.399638181655116</c:v>
                </c:pt>
                <c:pt idx="40">
                  <c:v>1.3965245043623147</c:v>
                </c:pt>
                <c:pt idx="41">
                  <c:v>1.4051259133719631</c:v>
                </c:pt>
                <c:pt idx="42">
                  <c:v>1.392326959678261</c:v>
                </c:pt>
                <c:pt idx="43">
                  <c:v>1.3376037045529532</c:v>
                </c:pt>
                <c:pt idx="44">
                  <c:v>1.3382868556600449</c:v>
                </c:pt>
                <c:pt idx="45">
                  <c:v>1.3591058371379292</c:v>
                </c:pt>
                <c:pt idx="46">
                  <c:v>1.3488685175880604</c:v>
                </c:pt>
                <c:pt idx="47">
                  <c:v>1.4193142585576541</c:v>
                </c:pt>
                <c:pt idx="48">
                  <c:v>1.3548718947147338</c:v>
                </c:pt>
                <c:pt idx="49">
                  <c:v>1.3180081621213482</c:v>
                </c:pt>
                <c:pt idx="50">
                  <c:v>1.2901623738570742</c:v>
                </c:pt>
                <c:pt idx="51">
                  <c:v>1.2758005799587988</c:v>
                </c:pt>
                <c:pt idx="52">
                  <c:v>1.3277952372216348</c:v>
                </c:pt>
                <c:pt idx="53">
                  <c:v>1.4060407971615168</c:v>
                </c:pt>
                <c:pt idx="54">
                  <c:v>1.3250673032177192</c:v>
                </c:pt>
                <c:pt idx="55">
                  <c:v>1.3854099604525558</c:v>
                </c:pt>
                <c:pt idx="56">
                  <c:v>1.3856715887829274</c:v>
                </c:pt>
                <c:pt idx="57">
                  <c:v>1.4063989296447374</c:v>
                </c:pt>
                <c:pt idx="58">
                  <c:v>1.4030263634132119</c:v>
                </c:pt>
                <c:pt idx="59">
                  <c:v>1.44198666367699</c:v>
                </c:pt>
                <c:pt idx="60">
                  <c:v>1.3918403508282922</c:v>
                </c:pt>
                <c:pt idx="61">
                  <c:v>1.3819537066305525</c:v>
                </c:pt>
                <c:pt idx="62">
                  <c:v>1.3595143674414412</c:v>
                </c:pt>
                <c:pt idx="63">
                  <c:v>1.3899216487000827</c:v>
                </c:pt>
                <c:pt idx="64">
                  <c:v>1.3159947927940223</c:v>
                </c:pt>
                <c:pt idx="65">
                  <c:v>1.3179575902307146</c:v>
                </c:pt>
                <c:pt idx="66">
                  <c:v>1.3764410362338237</c:v>
                </c:pt>
                <c:pt idx="67">
                  <c:v>1.328582321910313</c:v>
                </c:pt>
                <c:pt idx="68">
                  <c:v>1.3365601446523632</c:v>
                </c:pt>
                <c:pt idx="69">
                  <c:v>1.3340285749929719</c:v>
                </c:pt>
                <c:pt idx="70">
                  <c:v>1.363248574151259</c:v>
                </c:pt>
                <c:pt idx="71">
                  <c:v>1.3727474583322374</c:v>
                </c:pt>
                <c:pt idx="72">
                  <c:v>1.3520436311364827</c:v>
                </c:pt>
                <c:pt idx="73">
                  <c:v>1.3250009408803773</c:v>
                </c:pt>
                <c:pt idx="74">
                  <c:v>1.3546590474000695</c:v>
                </c:pt>
                <c:pt idx="75">
                  <c:v>1.3784025956929589</c:v>
                </c:pt>
                <c:pt idx="76">
                  <c:v>1.3626117600642815</c:v>
                </c:pt>
                <c:pt idx="77">
                  <c:v>1.3393027160157196</c:v>
                </c:pt>
                <c:pt idx="78">
                  <c:v>1.3248194727734872</c:v>
                </c:pt>
                <c:pt idx="79">
                  <c:v>1.3173137949883147</c:v>
                </c:pt>
                <c:pt idx="80">
                  <c:v>1.3541190053582786</c:v>
                </c:pt>
                <c:pt idx="81">
                  <c:v>1.3323746511014782</c:v>
                </c:pt>
                <c:pt idx="82">
                  <c:v>1.2688630129929737</c:v>
                </c:pt>
                <c:pt idx="83">
                  <c:v>1.381400351642144</c:v>
                </c:pt>
                <c:pt idx="84">
                  <c:v>1.341395844456327</c:v>
                </c:pt>
                <c:pt idx="85">
                  <c:v>1.3579387500851681</c:v>
                </c:pt>
                <c:pt idx="86">
                  <c:v>1.3318842535059612</c:v>
                </c:pt>
                <c:pt idx="87">
                  <c:v>1.403088195853847</c:v>
                </c:pt>
                <c:pt idx="88">
                  <c:v>1.3885261473635655</c:v>
                </c:pt>
                <c:pt idx="89">
                  <c:v>1.4464195837012623</c:v>
                </c:pt>
                <c:pt idx="90">
                  <c:v>1.3791834069139486</c:v>
                </c:pt>
                <c:pt idx="91">
                  <c:v>1.3623221262366418</c:v>
                </c:pt>
                <c:pt idx="92">
                  <c:v>1.3459714438214008</c:v>
                </c:pt>
                <c:pt idx="93">
                  <c:v>1.3551356009374995</c:v>
                </c:pt>
                <c:pt idx="94">
                  <c:v>1.3862663110886373</c:v>
                </c:pt>
                <c:pt idx="95">
                  <c:v>1.3647904303378449</c:v>
                </c:pt>
                <c:pt idx="96">
                  <c:v>1.3301538255240535</c:v>
                </c:pt>
                <c:pt idx="97">
                  <c:v>1.337556217179366</c:v>
                </c:pt>
                <c:pt idx="98">
                  <c:v>1.3954639430270657</c:v>
                </c:pt>
                <c:pt idx="99">
                  <c:v>1.3995708395773065</c:v>
                </c:pt>
                <c:pt idx="100">
                  <c:v>1.4411629915795856</c:v>
                </c:pt>
                <c:pt idx="101">
                  <c:v>1.3615908789310525</c:v>
                </c:pt>
                <c:pt idx="102">
                  <c:v>1.3905033314839395</c:v>
                </c:pt>
                <c:pt idx="103">
                  <c:v>1.406894726432065</c:v>
                </c:pt>
                <c:pt idx="104">
                  <c:v>1.3990730709089572</c:v>
                </c:pt>
                <c:pt idx="105">
                  <c:v>1.4142622761226427</c:v>
                </c:pt>
                <c:pt idx="106">
                  <c:v>1.3746115348342114</c:v>
                </c:pt>
                <c:pt idx="107">
                  <c:v>1.3884211033274538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231808"/>
        <c:axId val="398238080"/>
      </c:lineChart>
      <c:lineChart>
        <c:grouping val="standard"/>
        <c:varyColors val="0"/>
        <c:ser>
          <c:idx val="0"/>
          <c:order val="0"/>
          <c:tx>
            <c:strRef>
              <c:f>'Rates Summary'!$N$78:$N$79</c:f>
              <c:strCache>
                <c:ptCount val="1"/>
                <c:pt idx="0">
                  <c:v>FNMA 30-yr Current Coupon</c:v>
                </c:pt>
              </c:strCache>
            </c:strRef>
          </c:tx>
          <c:spPr>
            <a:ln w="19050">
              <a:solidFill>
                <a:srgbClr val="2E398A"/>
              </a:solidFill>
              <a:prstDash val="solid"/>
            </a:ln>
          </c:spPr>
          <c:marker>
            <c:symbol val="circle"/>
            <c:size val="2"/>
            <c:spPr>
              <a:solidFill>
                <a:srgbClr val="2E398A"/>
              </a:solidFill>
              <a:ln w="19050">
                <a:solidFill>
                  <a:srgbClr val="2E398A"/>
                </a:solidFill>
                <a:prstDash val="solid"/>
              </a:ln>
            </c:spPr>
          </c:marker>
          <c:cat>
            <c:strRef>
              <c:f>'Rates Summary'!$M$80:$M$187</c:f>
              <c:strCache>
                <c:ptCount val="108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  <c:pt idx="7">
                  <c:v>2015-03-12</c:v>
                </c:pt>
                <c:pt idx="8">
                  <c:v>2015-03-13</c:v>
                </c:pt>
                <c:pt idx="9">
                  <c:v>2015-03-16</c:v>
                </c:pt>
                <c:pt idx="10">
                  <c:v>2015-03-17</c:v>
                </c:pt>
                <c:pt idx="11">
                  <c:v>2015-03-18</c:v>
                </c:pt>
                <c:pt idx="12">
                  <c:v>2015-03-19</c:v>
                </c:pt>
                <c:pt idx="13">
                  <c:v>2015-03-20</c:v>
                </c:pt>
                <c:pt idx="14">
                  <c:v>2015-03-23</c:v>
                </c:pt>
                <c:pt idx="15">
                  <c:v>2015-03-24</c:v>
                </c:pt>
                <c:pt idx="16">
                  <c:v>2015-03-25</c:v>
                </c:pt>
                <c:pt idx="17">
                  <c:v>2015-03-26</c:v>
                </c:pt>
                <c:pt idx="18">
                  <c:v>2015-03-27</c:v>
                </c:pt>
                <c:pt idx="19">
                  <c:v>2015-03-30</c:v>
                </c:pt>
                <c:pt idx="20">
                  <c:v>2015-03-31</c:v>
                </c:pt>
                <c:pt idx="21">
                  <c:v>2015-04-01</c:v>
                </c:pt>
                <c:pt idx="22">
                  <c:v>2015-04-02</c:v>
                </c:pt>
                <c:pt idx="23">
                  <c:v>2015-04-03</c:v>
                </c:pt>
                <c:pt idx="24">
                  <c:v>2015-04-06</c:v>
                </c:pt>
                <c:pt idx="25">
                  <c:v>2015-04-07</c:v>
                </c:pt>
                <c:pt idx="26">
                  <c:v>2015-04-08</c:v>
                </c:pt>
                <c:pt idx="27">
                  <c:v>2015-04-09</c:v>
                </c:pt>
                <c:pt idx="28">
                  <c:v>2015-04-10</c:v>
                </c:pt>
                <c:pt idx="29">
                  <c:v>2015-04-13</c:v>
                </c:pt>
                <c:pt idx="30">
                  <c:v>2015-04-14</c:v>
                </c:pt>
                <c:pt idx="31">
                  <c:v>2015-04-15</c:v>
                </c:pt>
                <c:pt idx="32">
                  <c:v>2015-04-16</c:v>
                </c:pt>
                <c:pt idx="33">
                  <c:v>2015-04-17</c:v>
                </c:pt>
                <c:pt idx="34">
                  <c:v>2015-04-20</c:v>
                </c:pt>
                <c:pt idx="35">
                  <c:v>2015-04-21</c:v>
                </c:pt>
                <c:pt idx="36">
                  <c:v>2015-04-22</c:v>
                </c:pt>
                <c:pt idx="37">
                  <c:v>2015-04-23</c:v>
                </c:pt>
                <c:pt idx="38">
                  <c:v>2015-04-24</c:v>
                </c:pt>
                <c:pt idx="39">
                  <c:v>2015-04-27</c:v>
                </c:pt>
                <c:pt idx="40">
                  <c:v>2015-04-28</c:v>
                </c:pt>
                <c:pt idx="41">
                  <c:v>2015-04-29</c:v>
                </c:pt>
                <c:pt idx="42">
                  <c:v>2015-04-30</c:v>
                </c:pt>
                <c:pt idx="43">
                  <c:v>2015-05-01</c:v>
                </c:pt>
                <c:pt idx="44">
                  <c:v>2015-05-04</c:v>
                </c:pt>
                <c:pt idx="45">
                  <c:v>2015-05-05</c:v>
                </c:pt>
                <c:pt idx="46">
                  <c:v>2015-05-06</c:v>
                </c:pt>
                <c:pt idx="47">
                  <c:v>2015-05-07</c:v>
                </c:pt>
                <c:pt idx="48">
                  <c:v>2015-05-08</c:v>
                </c:pt>
                <c:pt idx="49">
                  <c:v>2015-05-11</c:v>
                </c:pt>
                <c:pt idx="50">
                  <c:v>2015-05-12</c:v>
                </c:pt>
                <c:pt idx="51">
                  <c:v>2015-05-13</c:v>
                </c:pt>
                <c:pt idx="52">
                  <c:v>2015-05-14</c:v>
                </c:pt>
                <c:pt idx="53">
                  <c:v>2015-05-15</c:v>
                </c:pt>
                <c:pt idx="54">
                  <c:v>2015-05-18</c:v>
                </c:pt>
                <c:pt idx="55">
                  <c:v>2015-05-19</c:v>
                </c:pt>
                <c:pt idx="56">
                  <c:v>2015-05-20</c:v>
                </c:pt>
                <c:pt idx="57">
                  <c:v>2015-05-21</c:v>
                </c:pt>
                <c:pt idx="58">
                  <c:v>2015-05-22</c:v>
                </c:pt>
                <c:pt idx="59">
                  <c:v>2015-05-26</c:v>
                </c:pt>
                <c:pt idx="60">
                  <c:v>2015-05-27</c:v>
                </c:pt>
                <c:pt idx="61">
                  <c:v>2015-05-28</c:v>
                </c:pt>
                <c:pt idx="62">
                  <c:v>2015-05-29</c:v>
                </c:pt>
                <c:pt idx="63">
                  <c:v>2015-06-01</c:v>
                </c:pt>
                <c:pt idx="64">
                  <c:v>2015-06-02</c:v>
                </c:pt>
                <c:pt idx="65">
                  <c:v>2015-06-03</c:v>
                </c:pt>
                <c:pt idx="66">
                  <c:v>2015-06-04</c:v>
                </c:pt>
                <c:pt idx="67">
                  <c:v>2015-06-05</c:v>
                </c:pt>
                <c:pt idx="68">
                  <c:v>2015-06-08</c:v>
                </c:pt>
                <c:pt idx="69">
                  <c:v>2015-06-09</c:v>
                </c:pt>
                <c:pt idx="70">
                  <c:v>2015-06-10</c:v>
                </c:pt>
                <c:pt idx="71">
                  <c:v>2015-06-11</c:v>
                </c:pt>
                <c:pt idx="72">
                  <c:v>2015-06-12</c:v>
                </c:pt>
                <c:pt idx="73">
                  <c:v>2015-06-15</c:v>
                </c:pt>
                <c:pt idx="74">
                  <c:v>2015-06-16</c:v>
                </c:pt>
                <c:pt idx="75">
                  <c:v>2015-06-17</c:v>
                </c:pt>
                <c:pt idx="76">
                  <c:v>2015-06-18</c:v>
                </c:pt>
                <c:pt idx="77">
                  <c:v>2015-06-19</c:v>
                </c:pt>
                <c:pt idx="78">
                  <c:v>2015-06-22</c:v>
                </c:pt>
                <c:pt idx="79">
                  <c:v>2015-06-23</c:v>
                </c:pt>
                <c:pt idx="80">
                  <c:v>2015-06-24</c:v>
                </c:pt>
                <c:pt idx="81">
                  <c:v>2015-06-25</c:v>
                </c:pt>
                <c:pt idx="82">
                  <c:v>2015-06-26</c:v>
                </c:pt>
                <c:pt idx="83">
                  <c:v>2015-06-29</c:v>
                </c:pt>
                <c:pt idx="84">
                  <c:v>2015-06-30</c:v>
                </c:pt>
                <c:pt idx="85">
                  <c:v>2015-07-01</c:v>
                </c:pt>
                <c:pt idx="86">
                  <c:v>2015-07-02</c:v>
                </c:pt>
                <c:pt idx="87">
                  <c:v>2015-07-06</c:v>
                </c:pt>
                <c:pt idx="88">
                  <c:v>2015-07-07</c:v>
                </c:pt>
                <c:pt idx="89">
                  <c:v>2015-07-08</c:v>
                </c:pt>
                <c:pt idx="90">
                  <c:v>2015-07-09</c:v>
                </c:pt>
                <c:pt idx="91">
                  <c:v>2015-07-10</c:v>
                </c:pt>
                <c:pt idx="92">
                  <c:v>2015-07-13</c:v>
                </c:pt>
                <c:pt idx="93">
                  <c:v>2015-07-14</c:v>
                </c:pt>
                <c:pt idx="94">
                  <c:v>2015-07-15</c:v>
                </c:pt>
                <c:pt idx="95">
                  <c:v>2015-07-16</c:v>
                </c:pt>
                <c:pt idx="96">
                  <c:v>2015-07-17</c:v>
                </c:pt>
                <c:pt idx="97">
                  <c:v>2015-07-20</c:v>
                </c:pt>
                <c:pt idx="98">
                  <c:v>2015-07-21</c:v>
                </c:pt>
                <c:pt idx="99">
                  <c:v>2015-07-22</c:v>
                </c:pt>
                <c:pt idx="100">
                  <c:v>2015-07-23</c:v>
                </c:pt>
                <c:pt idx="101">
                  <c:v>2015-07-24</c:v>
                </c:pt>
                <c:pt idx="102">
                  <c:v>2015-07-27</c:v>
                </c:pt>
                <c:pt idx="103">
                  <c:v>2015-07-28</c:v>
                </c:pt>
                <c:pt idx="104">
                  <c:v>2015-07-29</c:v>
                </c:pt>
                <c:pt idx="105">
                  <c:v>2015-07-30</c:v>
                </c:pt>
                <c:pt idx="106">
                  <c:v>2015-07-31</c:v>
                </c:pt>
                <c:pt idx="107">
                  <c:v>2015-08-03</c:v>
                </c:pt>
              </c:strCache>
            </c:strRef>
          </c:cat>
          <c:val>
            <c:numRef>
              <c:f>'Rates Summary'!$N$80:$N$187</c:f>
              <c:numCache>
                <c:formatCode>General</c:formatCode>
                <c:ptCount val="108"/>
                <c:pt idx="0">
                  <c:v>2.8341999400292899</c:v>
                </c:pt>
                <c:pt idx="1">
                  <c:v>2.8241837227534399</c:v>
                </c:pt>
                <c:pt idx="2">
                  <c:v>2.81556157497667</c:v>
                </c:pt>
                <c:pt idx="3">
                  <c:v>2.9303170109018999</c:v>
                </c:pt>
                <c:pt idx="4">
                  <c:v>2.90222752352993</c:v>
                </c:pt>
                <c:pt idx="5">
                  <c:v>2.84635033680676</c:v>
                </c:pt>
                <c:pt idx="6">
                  <c:v>2.8278353033181198</c:v>
                </c:pt>
                <c:pt idx="7">
                  <c:v>2.8138191102539798</c:v>
                </c:pt>
                <c:pt idx="8">
                  <c:v>2.8315057491425</c:v>
                </c:pt>
                <c:pt idx="9">
                  <c:v>2.8241768518279202</c:v>
                </c:pt>
                <c:pt idx="10">
                  <c:v>2.79584100930466</c:v>
                </c:pt>
                <c:pt idx="11">
                  <c:v>2.6928489030954199</c:v>
                </c:pt>
                <c:pt idx="12">
                  <c:v>2.70955656376128</c:v>
                </c:pt>
                <c:pt idx="13">
                  <c:v>2.6717729385436999</c:v>
                </c:pt>
                <c:pt idx="14">
                  <c:v>2.6575094779916602</c:v>
                </c:pt>
                <c:pt idx="15">
                  <c:v>2.60984671554638</c:v>
                </c:pt>
                <c:pt idx="16">
                  <c:v>2.6641693960453199</c:v>
                </c:pt>
                <c:pt idx="17">
                  <c:v>2.7519990602785001</c:v>
                </c:pt>
                <c:pt idx="18">
                  <c:v>2.6934832462996599</c:v>
                </c:pt>
                <c:pt idx="19">
                  <c:v>2.6906214304432701</c:v>
                </c:pt>
                <c:pt idx="20">
                  <c:v>2.66103516127894</c:v>
                </c:pt>
                <c:pt idx="21">
                  <c:v>2.5992657753902901</c:v>
                </c:pt>
                <c:pt idx="22">
                  <c:v>2.6512826680006101</c:v>
                </c:pt>
                <c:pt idx="23">
                  <c:v>2.5908884215358099</c:v>
                </c:pt>
                <c:pt idx="24">
                  <c:v>2.63391710374052</c:v>
                </c:pt>
                <c:pt idx="25">
                  <c:v>2.6287824588785198</c:v>
                </c:pt>
                <c:pt idx="26">
                  <c:v>2.62032151165119</c:v>
                </c:pt>
                <c:pt idx="27">
                  <c:v>2.6476582784281</c:v>
                </c:pt>
                <c:pt idx="28">
                  <c:v>2.6673945625319102</c:v>
                </c:pt>
                <c:pt idx="29">
                  <c:v>2.64134045041691</c:v>
                </c:pt>
                <c:pt idx="30">
                  <c:v>2.5968587672613901</c:v>
                </c:pt>
                <c:pt idx="31">
                  <c:v>2.58469358456979</c:v>
                </c:pt>
                <c:pt idx="32">
                  <c:v>2.5759029417987498</c:v>
                </c:pt>
                <c:pt idx="33">
                  <c:v>2.56712042045777</c:v>
                </c:pt>
                <c:pt idx="34">
                  <c:v>2.59858921707026</c:v>
                </c:pt>
                <c:pt idx="35">
                  <c:v>2.62252108008507</c:v>
                </c:pt>
                <c:pt idx="36">
                  <c:v>2.6753264137467299</c:v>
                </c:pt>
                <c:pt idx="37">
                  <c:v>2.6562875815293401</c:v>
                </c:pt>
                <c:pt idx="38">
                  <c:v>2.62955921776924</c:v>
                </c:pt>
                <c:pt idx="39">
                  <c:v>2.6437338504186898</c:v>
                </c:pt>
                <c:pt idx="40">
                  <c:v>2.6991414546305501</c:v>
                </c:pt>
                <c:pt idx="41">
                  <c:v>2.7467458715573199</c:v>
                </c:pt>
                <c:pt idx="42">
                  <c:v>2.7480147229669498</c:v>
                </c:pt>
                <c:pt idx="43">
                  <c:v>2.8064099070641602</c:v>
                </c:pt>
                <c:pt idx="44">
                  <c:v>2.8416760056146502</c:v>
                </c:pt>
                <c:pt idx="45">
                  <c:v>2.8756484754346898</c:v>
                </c:pt>
                <c:pt idx="46">
                  <c:v>2.91930519695658</c:v>
                </c:pt>
                <c:pt idx="47">
                  <c:v>2.86177796804412</c:v>
                </c:pt>
                <c:pt idx="48">
                  <c:v>2.8101076932532698</c:v>
                </c:pt>
                <c:pt idx="49">
                  <c:v>2.9199815904284798</c:v>
                </c:pt>
                <c:pt idx="50">
                  <c:v>2.9362897451124002</c:v>
                </c:pt>
                <c:pt idx="51">
                  <c:v>2.9586092652733198</c:v>
                </c:pt>
                <c:pt idx="52">
                  <c:v>2.9068905487933598</c:v>
                </c:pt>
                <c:pt idx="53">
                  <c:v>2.82631669904023</c:v>
                </c:pt>
                <c:pt idx="54">
                  <c:v>2.8896799307946499</c:v>
                </c:pt>
                <c:pt idx="55">
                  <c:v>2.9214483553786899</c:v>
                </c:pt>
                <c:pt idx="56">
                  <c:v>2.9102623265110599</c:v>
                </c:pt>
                <c:pt idx="57">
                  <c:v>2.8599760435846102</c:v>
                </c:pt>
                <c:pt idx="58">
                  <c:v>2.8915210158303699</c:v>
                </c:pt>
                <c:pt idx="59">
                  <c:v>2.8500704386135798</c:v>
                </c:pt>
                <c:pt idx="60">
                  <c:v>2.8460665334928898</c:v>
                </c:pt>
                <c:pt idx="61">
                  <c:v>2.8413672152174398</c:v>
                </c:pt>
                <c:pt idx="62">
                  <c:v>2.8125589424365498</c:v>
                </c:pt>
                <c:pt idx="63">
                  <c:v>2.8873082715202201</c:v>
                </c:pt>
                <c:pt idx="64">
                  <c:v>2.96123512742628</c:v>
                </c:pt>
                <c:pt idx="65">
                  <c:v>3.0744144315737501</c:v>
                </c:pt>
                <c:pt idx="66">
                  <c:v>3.0256748636149999</c:v>
                </c:pt>
                <c:pt idx="67">
                  <c:v>3.1185389251118698</c:v>
                </c:pt>
                <c:pt idx="68">
                  <c:v>3.0852280715370801</c:v>
                </c:pt>
                <c:pt idx="69">
                  <c:v>3.1292995796246399</c:v>
                </c:pt>
                <c:pt idx="70">
                  <c:v>3.1773446759928401</c:v>
                </c:pt>
                <c:pt idx="71">
                  <c:v>3.0761153132050598</c:v>
                </c:pt>
                <c:pt idx="72">
                  <c:v>3.0919401279735599</c:v>
                </c:pt>
                <c:pt idx="73">
                  <c:v>3.0848485059502999</c:v>
                </c:pt>
                <c:pt idx="74">
                  <c:v>3.0537402902567599</c:v>
                </c:pt>
                <c:pt idx="75">
                  <c:v>3.03216152423493</c:v>
                </c:pt>
                <c:pt idx="76">
                  <c:v>3.0468019127231698</c:v>
                </c:pt>
                <c:pt idx="77">
                  <c:v>2.9822174038917302</c:v>
                </c:pt>
                <c:pt idx="78">
                  <c:v>3.0761568887156101</c:v>
                </c:pt>
                <c:pt idx="79">
                  <c:v>3.1219045210798799</c:v>
                </c:pt>
                <c:pt idx="80">
                  <c:v>3.0912606104251101</c:v>
                </c:pt>
                <c:pt idx="81">
                  <c:v>3.1158923075545402</c:v>
                </c:pt>
                <c:pt idx="82">
                  <c:v>3.2022687944333499</c:v>
                </c:pt>
                <c:pt idx="83">
                  <c:v>3.0851869199683102</c:v>
                </c:pt>
                <c:pt idx="84">
                  <c:v>3.0732804432921599</c:v>
                </c:pt>
                <c:pt idx="85">
                  <c:v>3.16276525236256</c:v>
                </c:pt>
                <c:pt idx="86">
                  <c:v>3.1329453977786899</c:v>
                </c:pt>
                <c:pt idx="87">
                  <c:v>3.0409627195865201</c:v>
                </c:pt>
                <c:pt idx="88">
                  <c:v>3.00985191194196</c:v>
                </c:pt>
                <c:pt idx="89">
                  <c:v>2.9791453962399599</c:v>
                </c:pt>
                <c:pt idx="90">
                  <c:v>3.0519928057207899</c:v>
                </c:pt>
                <c:pt idx="91">
                  <c:v>3.1469144966257199</c:v>
                </c:pt>
                <c:pt idx="92">
                  <c:v>3.1440801611331</c:v>
                </c:pt>
                <c:pt idx="93">
                  <c:v>3.1081065530197201</c:v>
                </c:pt>
                <c:pt idx="94">
                  <c:v>3.0651881254767099</c:v>
                </c:pt>
                <c:pt idx="95">
                  <c:v>3.0642370952529001</c:v>
                </c:pt>
                <c:pt idx="96">
                  <c:v>3.0508649511892498</c:v>
                </c:pt>
                <c:pt idx="97">
                  <c:v>3.07026860246684</c:v>
                </c:pt>
                <c:pt idx="98">
                  <c:v>3.04099858929172</c:v>
                </c:pt>
                <c:pt idx="99">
                  <c:v>3.0272722743659699</c:v>
                </c:pt>
                <c:pt idx="100">
                  <c:v>3.00152435884748</c:v>
                </c:pt>
                <c:pt idx="101">
                  <c:v>3.00880742941581</c:v>
                </c:pt>
                <c:pt idx="102">
                  <c:v>2.9768819813504899</c:v>
                </c:pt>
                <c:pt idx="103">
                  <c:v>2.9700273705701301</c:v>
                </c:pt>
                <c:pt idx="104">
                  <c:v>2.9952166878972601</c:v>
                </c:pt>
                <c:pt idx="105">
                  <c:v>2.9944455468035298</c:v>
                </c:pt>
                <c:pt idx="106">
                  <c:v>2.9155081259623699</c:v>
                </c:pt>
                <c:pt idx="107">
                  <c:v>2.8859588833612699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246272"/>
        <c:axId val="398240000"/>
      </c:lineChart>
      <c:catAx>
        <c:axId val="3982318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98238080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398238080"/>
        <c:scaling>
          <c:orientation val="minMax"/>
          <c:min val="1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Servicing</a:t>
                </a:r>
                <a:r>
                  <a:rPr lang="en-US" baseline="0"/>
                  <a:t> Spread (%)</a:t>
                </a:r>
                <a:endParaRPr lang="en-US"/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398231808"/>
        <c:crosses val="autoZero"/>
        <c:crossBetween val="between"/>
      </c:valAx>
      <c:valAx>
        <c:axId val="398240000"/>
        <c:scaling>
          <c:orientation val="minMax"/>
          <c:min val="2.4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Current Coupon (%)</a:t>
                </a:r>
              </a:p>
            </c:rich>
          </c:tx>
          <c:layout>
            <c:manualLayout>
              <c:xMode val="edge"/>
              <c:yMode val="edge"/>
              <c:x val="0.98404576038250335"/>
              <c:y val="0.28844697604288827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398246272"/>
        <c:crosses val="max"/>
        <c:crossBetween val="between"/>
      </c:valAx>
      <c:catAx>
        <c:axId val="398246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8240000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</xdr:colOff>
      <xdr:row>9</xdr:row>
      <xdr:rowOff>38101</xdr:rowOff>
    </xdr:from>
    <xdr:to>
      <xdr:col>25</xdr:col>
      <xdr:colOff>0</xdr:colOff>
      <xdr:row>10</xdr:row>
      <xdr:rowOff>175261</xdr:rowOff>
    </xdr:to>
    <xdr:sp macro="[0]!RunOriginatorsMortgageRatesDailyReport" textlink="">
      <xdr:nvSpPr>
        <xdr:cNvPr id="2" name="Rounded Rectangle 1"/>
        <xdr:cNvSpPr/>
      </xdr:nvSpPr>
      <xdr:spPr>
        <a:xfrm>
          <a:off x="15106650" y="1790701"/>
          <a:ext cx="1104900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</a:t>
          </a:r>
          <a:endParaRPr lang="en-US" sz="1100" b="1"/>
        </a:p>
      </xdr:txBody>
    </xdr:sp>
    <xdr:clientData/>
  </xdr:twoCellAnchor>
  <xdr:twoCellAnchor>
    <xdr:from>
      <xdr:col>25</xdr:col>
      <xdr:colOff>276226</xdr:colOff>
      <xdr:row>9</xdr:row>
      <xdr:rowOff>38101</xdr:rowOff>
    </xdr:from>
    <xdr:to>
      <xdr:col>27</xdr:col>
      <xdr:colOff>47626</xdr:colOff>
      <xdr:row>10</xdr:row>
      <xdr:rowOff>175261</xdr:rowOff>
    </xdr:to>
    <xdr:sp macro="[0]!CreatePDFReport" textlink="">
      <xdr:nvSpPr>
        <xdr:cNvPr id="3" name="Rounded Rectangle 2"/>
        <xdr:cNvSpPr/>
      </xdr:nvSpPr>
      <xdr:spPr>
        <a:xfrm>
          <a:off x="16487776" y="1790701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600075</xdr:colOff>
      <xdr:row>25</xdr:row>
      <xdr:rowOff>158749</xdr:rowOff>
    </xdr:from>
    <xdr:to>
      <xdr:col>21</xdr:col>
      <xdr:colOff>95250</xdr:colOff>
      <xdr:row>40</xdr:row>
      <xdr:rowOff>47625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431799</xdr:colOff>
      <xdr:row>40</xdr:row>
      <xdr:rowOff>28575</xdr:rowOff>
    </xdr:from>
    <xdr:to>
      <xdr:col>21</xdr:col>
      <xdr:colOff>323849</xdr:colOff>
      <xdr:row>54</xdr:row>
      <xdr:rowOff>47625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220.45665162037" createdVersion="5" refreshedVersion="4" minRefreshableVersion="3" recordCount="47">
  <cacheSource type="worksheet">
    <worksheetSource name="OneWeekMtgRatesDataTable"/>
  </cacheSource>
  <cacheFields count="6"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0">
      <sharedItems containsBlank="1" count="25">
        <s v="2015-07-27"/>
        <m u="1"/>
        <s v="2015-03-04" u="1"/>
        <s v="2015-07-15" u="1"/>
        <s v="2015-03-18" u="1"/>
        <s v="2015-03-05" u="1"/>
        <s v="2015-07-16" u="1"/>
        <s v="2015-03-06" u="1"/>
        <s v="2015-05-19" u="1"/>
        <s v="2015-05-22" u="1"/>
        <s v="2015-03-10" u="1"/>
        <s v="2015-03-09" u="1"/>
        <s v="2015-03-11" u="1"/>
        <s v="2015-03-12" u="1"/>
        <s v="2015-03-13" u="1"/>
        <s v="2015-07-24" u="1"/>
        <s v="2015-03-27" u="1"/>
        <s v="2015-06-25" u="1"/>
        <s v="2015-04-27" u="1"/>
        <s v="2015-03-30" u="1"/>
        <s v="2015-04-30" u="1"/>
        <s v="2015-03-02" u="1"/>
        <s v="2015-04-15" u="1"/>
        <s v="2015-03-03" u="1"/>
        <s v="2015-04-16" u="1"/>
      </sharedItems>
    </cacheField>
    <cacheField name="SeriesNumValue" numFmtId="0">
      <sharedItems containsSemiMixedTypes="0" containsString="0" containsNumber="1" minValue="1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220.456651736109" createdVersion="4" refreshedVersion="4" minRefreshableVersion="3" recordCount="756">
  <cacheSource type="worksheet">
    <worksheetSource name="OneWeekMtgRatesDataTable9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/>
    </cacheField>
    <cacheField name="SeriesType" numFmtId="0">
      <sharedItems/>
    </cacheField>
    <cacheField name="Category" numFmtId="0">
      <sharedItems/>
    </cacheField>
    <cacheField name="AsOfDate" numFmtId="0">
      <sharedItems count="108"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  <s v="2015-03-19"/>
        <s v="2015-03-20"/>
        <s v="2015-03-23"/>
        <s v="2015-03-24"/>
        <s v="2015-03-25"/>
        <s v="2015-03-26"/>
        <s v="2015-03-27"/>
        <s v="2015-03-30"/>
        <s v="2015-03-31"/>
        <s v="2015-04-01"/>
        <s v="2015-04-02"/>
        <s v="2015-04-03"/>
        <s v="2015-04-06"/>
        <s v="2015-04-07"/>
        <s v="2015-04-08"/>
        <s v="2015-04-09"/>
        <s v="2015-04-10"/>
        <s v="2015-04-13"/>
        <s v="2015-04-14"/>
        <s v="2015-04-15"/>
        <s v="2015-04-16"/>
        <s v="2015-04-17"/>
        <s v="2015-04-20"/>
        <s v="2015-04-21"/>
        <s v="2015-04-22"/>
        <s v="2015-04-23"/>
        <s v="2015-04-24"/>
        <s v="2015-04-27"/>
        <s v="2015-04-28"/>
        <s v="2015-04-29"/>
        <s v="2015-04-30"/>
        <s v="2015-05-01"/>
        <s v="2015-05-04"/>
        <s v="2015-05-05"/>
        <s v="2015-05-06"/>
        <s v="2015-05-07"/>
        <s v="2015-05-08"/>
        <s v="2015-05-11"/>
        <s v="2015-05-12"/>
        <s v="2015-05-13"/>
        <s v="2015-05-14"/>
        <s v="2015-05-15"/>
        <s v="2015-05-18"/>
        <s v="2015-05-19"/>
        <s v="2015-05-20"/>
        <s v="2015-05-21"/>
        <s v="2015-05-22"/>
        <s v="2015-05-26"/>
        <s v="2015-05-27"/>
        <s v="2015-05-28"/>
        <s v="2015-05-29"/>
        <s v="2015-06-01"/>
        <s v="2015-06-02"/>
        <s v="2015-06-03"/>
        <s v="2015-06-04"/>
        <s v="2015-06-05"/>
        <s v="2015-06-08"/>
        <s v="2015-06-09"/>
        <s v="2015-06-10"/>
        <s v="2015-06-11"/>
        <s v="2015-06-12"/>
        <s v="2015-06-15"/>
        <s v="2015-06-16"/>
        <s v="2015-06-17"/>
        <s v="2015-06-18"/>
        <s v="2015-06-19"/>
        <s v="2015-06-22"/>
        <s v="2015-06-23"/>
        <s v="2015-06-24"/>
        <s v="2015-06-25"/>
        <s v="2015-06-26"/>
        <s v="2015-06-29"/>
        <s v="2015-06-30"/>
        <s v="2015-07-01"/>
        <s v="2015-07-02"/>
        <s v="2015-07-06"/>
        <s v="2015-07-07"/>
        <s v="2015-07-08"/>
        <s v="2015-07-09"/>
        <s v="2015-07-10"/>
        <s v="2015-07-13"/>
        <s v="2015-07-14"/>
        <s v="2015-07-15"/>
        <s v="2015-07-16"/>
        <s v="2015-07-17"/>
        <s v="2015-07-20"/>
        <s v="2015-07-21"/>
        <s v="2015-07-22"/>
        <s v="2015-07-23"/>
        <s v="2015-07-24"/>
        <s v="2015-07-27"/>
        <s v="2015-07-28"/>
        <s v="2015-07-29"/>
        <s v="2015-07-30"/>
        <s v="2015-07-31"/>
        <s v="2015-08-03"/>
      </sharedItems>
    </cacheField>
    <cacheField name="SeriesNumValue" numFmtId="0">
      <sharedItems containsSemiMixedTypes="0" containsString="0" containsNumber="1" minValue="3.6334666666666666" maxValue="4.67821636968986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ien Chen" refreshedDate="42220.456651851855" createdVersion="4" refreshedVersion="4" minRefreshableVersion="3" recordCount="540">
  <cacheSource type="worksheet">
    <worksheetSource name="OneWeekMtgRatesDataTable911"/>
  </cacheSource>
  <cacheFields count="6">
    <cacheField name="TickerName" numFmtId="0">
      <sharedItems/>
    </cacheField>
    <cacheField name="Source" numFmtId="0">
      <sharedItems/>
    </cacheField>
    <cacheField name="SeriesType" numFmtId="0">
      <sharedItems count="2">
        <s v="Servicing Spread"/>
        <s v="Rate"/>
      </sharedItems>
    </cacheField>
    <cacheField name="Category" numFmtId="0">
      <sharedItems/>
    </cacheField>
    <cacheField name="AsOfDate" numFmtId="0">
      <sharedItems count="122">
        <s v="2015-03-03"/>
        <s v="2015-03-04"/>
        <s v="2015-03-05"/>
        <s v="2015-03-06"/>
        <s v="2015-03-09"/>
        <s v="2015-03-10"/>
        <s v="2015-03-11"/>
        <s v="2015-03-12"/>
        <s v="2015-03-13"/>
        <s v="2015-03-16"/>
        <s v="2015-03-17"/>
        <s v="2015-03-18"/>
        <s v="2015-03-19"/>
        <s v="2015-03-20"/>
        <s v="2015-03-23"/>
        <s v="2015-03-24"/>
        <s v="2015-03-25"/>
        <s v="2015-03-26"/>
        <s v="2015-03-27"/>
        <s v="2015-03-30"/>
        <s v="2015-03-31"/>
        <s v="2015-04-01"/>
        <s v="2015-04-02"/>
        <s v="2015-04-03"/>
        <s v="2015-04-06"/>
        <s v="2015-04-07"/>
        <s v="2015-04-08"/>
        <s v="2015-04-09"/>
        <s v="2015-04-10"/>
        <s v="2015-04-13"/>
        <s v="2015-04-14"/>
        <s v="2015-04-15"/>
        <s v="2015-04-16"/>
        <s v="2015-04-17"/>
        <s v="2015-04-20"/>
        <s v="2015-04-21"/>
        <s v="2015-04-22"/>
        <s v="2015-04-23"/>
        <s v="2015-04-24"/>
        <s v="2015-04-27"/>
        <s v="2015-04-28"/>
        <s v="2015-04-29"/>
        <s v="2015-04-30"/>
        <s v="2015-05-01"/>
        <s v="2015-05-04"/>
        <s v="2015-05-05"/>
        <s v="2015-05-06"/>
        <s v="2015-05-07"/>
        <s v="2015-05-08"/>
        <s v="2015-05-11"/>
        <s v="2015-05-12"/>
        <s v="2015-05-13"/>
        <s v="2015-05-14"/>
        <s v="2015-05-15"/>
        <s v="2015-05-18"/>
        <s v="2015-05-19"/>
        <s v="2015-05-20"/>
        <s v="2015-05-21"/>
        <s v="2015-05-22"/>
        <s v="2015-05-26"/>
        <s v="2015-05-27"/>
        <s v="2015-05-28"/>
        <s v="2015-05-29"/>
        <s v="2015-06-01"/>
        <s v="2015-06-02"/>
        <s v="2015-06-03"/>
        <s v="2015-06-04"/>
        <s v="2015-06-05"/>
        <s v="2015-06-08"/>
        <s v="2015-06-09"/>
        <s v="2015-06-10"/>
        <s v="2015-06-11"/>
        <s v="2015-06-12"/>
        <s v="2015-06-15"/>
        <s v="2015-06-16"/>
        <s v="2015-06-17"/>
        <s v="2015-06-18"/>
        <s v="2015-06-19"/>
        <s v="2015-06-22"/>
        <s v="2015-06-23"/>
        <s v="2015-06-24"/>
        <s v="2015-06-25"/>
        <s v="2015-06-26"/>
        <s v="2015-06-29"/>
        <s v="2015-06-30"/>
        <s v="2015-07-01"/>
        <s v="2015-07-02"/>
        <s v="2015-07-06"/>
        <s v="2015-07-07"/>
        <s v="2015-07-08"/>
        <s v="2015-07-09"/>
        <s v="2015-07-10"/>
        <s v="2015-07-13"/>
        <s v="2015-07-14"/>
        <s v="2015-07-15"/>
        <s v="2015-07-16"/>
        <s v="2015-07-17"/>
        <s v="2015-07-20"/>
        <s v="2015-07-21"/>
        <s v="2015-07-22"/>
        <s v="2015-07-23"/>
        <s v="2015-07-24"/>
        <s v="2015-07-27"/>
        <s v="2015-07-28"/>
        <s v="2015-07-29"/>
        <s v="2015-07-30"/>
        <s v="2015-07-31"/>
        <s v="2015-08-03"/>
        <s v="2015-02-20" u="1"/>
        <s v="2015-02-19" u="1"/>
        <s v="2015-02-23" u="1"/>
        <s v="2015-02-10" u="1"/>
        <s v="2015-02-24" u="1"/>
        <s v="2015-02-11" u="1"/>
        <s v="2015-02-25" u="1"/>
        <s v="2015-02-12" u="1"/>
        <s v="2015-02-26" u="1"/>
        <s v="2015-02-13" u="1"/>
        <s v="2015-02-27" u="1"/>
        <s v="2015-03-02" u="1"/>
        <s v="2015-02-17" u="1"/>
        <s v="2015-02-18" u="1"/>
      </sharedItems>
    </cacheField>
    <cacheField name="SeriesNumValue" numFmtId="0">
      <sharedItems containsSemiMixedTypes="0" containsString="0" containsNumber="1" minValue="0.9841181693674137" maxValue="3.20226879443334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Lien Chen" refreshedDate="42220.456651851855" createdVersion="5" refreshedVersion="4" minRefreshableVersion="3" recordCount="47">
  <cacheSource type="worksheet">
    <worksheetSource name="OneDayMtgRatesDataTable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 count="4">
        <s v="Bank of America"/>
        <s v="Chase"/>
        <s v="Quicken"/>
        <s v="Wells Fargo"/>
      </sharedItems>
    </cacheField>
    <cacheField name="SeriesType" numFmtId="0">
      <sharedItems count="8">
        <s v="1Point Rate"/>
        <s v="APR"/>
        <s v="Points"/>
        <s v="Rate"/>
        <s v="Servicing Spread"/>
        <s v="Closing Cost"/>
        <s v="Loan Amount"/>
        <s v="Upfront MIP"/>
      </sharedItems>
    </cacheField>
    <cacheField name="Category" numFmtId="0">
      <sharedItems/>
    </cacheField>
    <cacheField name="AsOfDate" numFmtId="0">
      <sharedItems count="28">
        <s v="2015-07-31"/>
        <s v="2015-03-04" u="1"/>
        <s v="2015-03-18" u="1"/>
        <s v="2015-03-05" u="1"/>
        <s v="2015-03-19" u="1"/>
        <s v="2015-03-06" u="1"/>
        <s v="2015-04-21" u="1"/>
        <s v="2015-04-22" u="1"/>
        <s v="2015-05-06" u="1"/>
        <s v="2015-03-10" u="1"/>
        <s v="2015-07-21" u="1"/>
        <s v="2015-03-24" u="1"/>
        <s v="2015-03-09" u="1"/>
        <s v="2015-03-11" u="1"/>
        <s v="2015-07-22" u="1"/>
        <s v="2015-03-12" u="1"/>
        <s v="2015-03-13" u="1"/>
        <s v="2015-05-26" u="1"/>
        <s v="2015-03-02" u="1"/>
        <s v="2015-03-16" u="1"/>
        <s v="2015-05-01" u="1"/>
        <s v="2015-04-02" u="1"/>
        <s v="2015-03-03" u="1"/>
        <s v="2015-05-29" u="1"/>
        <s v="2015-03-17" u="1"/>
        <s v="2015-07-30" u="1"/>
        <s v="2015-04-03" u="1"/>
        <s v="2015-07-01" u="1"/>
      </sharedItems>
    </cacheField>
    <cacheField name="SeriesNumValue" numFmtId="0">
      <sharedItems containsSemiMixedTypes="0" containsString="0" containsNumber="1" minValue="0.84399999999999997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Lien Chen" refreshedDate="42220.456651967594" createdVersion="5" refreshedVersion="4" minRefreshableVersion="3" recordCount="47">
  <cacheSource type="worksheet">
    <worksheetSource name="CurrentMtgRatesDataTable"/>
  </cacheSource>
  <cacheFields count="6"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14">
      <sharedItems containsBlank="1" count="30">
        <s v="2015-08-03"/>
        <m u="1"/>
        <s v="2015-03-04" u="1"/>
        <s v="2015-03-18" u="1"/>
        <s v="2015-03-20" u="1"/>
        <s v="2015-07-31" u="1"/>
        <s v="2015-07-02" u="1"/>
        <s v="2015-03-05" u="1"/>
        <s v="2015-03-19" u="1"/>
        <s v="2015-05-04" u="1"/>
        <s v="2015-03-06" u="1"/>
        <s v="2015-04-06" u="1"/>
        <s v="2015-04-22" u="1"/>
        <s v="2015-03-10" u="1"/>
        <s v="2015-04-23" u="1"/>
        <s v="2015-05-07" u="1"/>
        <s v="2015-03-09" u="1"/>
        <s v="2015-03-11" u="1"/>
        <s v="2015-07-22" u="1"/>
        <s v="2015-03-25" u="1"/>
        <s v="2015-03-12" u="1"/>
        <s v="2015-07-23" u="1"/>
        <s v="2015-03-13" u="1"/>
        <s v="2015-05-27" u="1"/>
        <s v="2015-03-02" u="1"/>
        <s v="2015-03-16" u="1"/>
        <s v="2015-03-03" u="1"/>
        <s v="2015-06-01" u="1"/>
        <s v="2015-03-17" u="1"/>
        <s v="2015-04-03" u="1"/>
      </sharedItems>
    </cacheField>
    <cacheField name="SeriesNumValue" numFmtId="0">
      <sharedItems containsSemiMixedTypes="0" containsString="0" containsNumber="1" minValue="0.72299999999999998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4406945858636773"/>
  </r>
  <r>
    <x v="0"/>
    <x v="0"/>
    <x v="1"/>
    <s v="MTG"/>
    <x v="0"/>
    <n v="4.3170000000000002"/>
  </r>
  <r>
    <x v="0"/>
    <x v="0"/>
    <x v="2"/>
    <s v="MTG"/>
    <x v="0"/>
    <n v="1.113"/>
  </r>
  <r>
    <x v="0"/>
    <x v="0"/>
    <x v="3"/>
    <s v="MTG"/>
    <x v="0"/>
    <n v="4.125"/>
  </r>
  <r>
    <x v="0"/>
    <x v="0"/>
    <x v="4"/>
    <s v="MTG"/>
    <x v="0"/>
    <n v="1.4638126045131872"/>
  </r>
  <r>
    <x v="0"/>
    <x v="1"/>
    <x v="0"/>
    <s v="MTG"/>
    <x v="0"/>
    <n v="4.0610656170015185"/>
  </r>
  <r>
    <x v="0"/>
    <x v="1"/>
    <x v="1"/>
    <s v="MTG"/>
    <x v="0"/>
    <n v="4.1040000000000001"/>
  </r>
  <r>
    <x v="0"/>
    <x v="1"/>
    <x v="2"/>
    <s v="MTG"/>
    <x v="0"/>
    <n v="1.25"/>
  </r>
  <r>
    <x v="0"/>
    <x v="1"/>
    <x v="3"/>
    <s v="MTG"/>
    <x v="0"/>
    <n v="4"/>
  </r>
  <r>
    <x v="0"/>
    <x v="1"/>
    <x v="4"/>
    <s v="MTG"/>
    <x v="0"/>
    <n v="1.0841836356510286"/>
  </r>
  <r>
    <x v="0"/>
    <x v="2"/>
    <x v="0"/>
    <s v="MTG"/>
    <x v="0"/>
    <n v="4.5391078806773386"/>
  </r>
  <r>
    <x v="0"/>
    <x v="2"/>
    <x v="1"/>
    <s v="MTG"/>
    <x v="0"/>
    <n v="4.2610000000000001"/>
  </r>
  <r>
    <x v="0"/>
    <x v="2"/>
    <x v="2"/>
    <s v="MTG"/>
    <x v="0"/>
    <n v="2.125"/>
  </r>
  <r>
    <x v="0"/>
    <x v="2"/>
    <x v="3"/>
    <s v="MTG"/>
    <x v="0"/>
    <n v="3.99"/>
  </r>
  <r>
    <x v="0"/>
    <x v="2"/>
    <x v="4"/>
    <s v="MTG"/>
    <x v="0"/>
    <n v="1.5622258993268487"/>
  </r>
  <r>
    <x v="0"/>
    <x v="3"/>
    <x v="0"/>
    <s v="MTG"/>
    <x v="0"/>
    <n v="4.4286731677951829"/>
  </r>
  <r>
    <x v="0"/>
    <x v="3"/>
    <x v="1"/>
    <s v="MTG"/>
    <x v="0"/>
    <n v="4.2880000000000003"/>
  </r>
  <r>
    <x v="0"/>
    <x v="3"/>
    <x v="5"/>
    <s v="MTG"/>
    <x v="0"/>
    <n v="252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25"/>
  </r>
  <r>
    <x v="0"/>
    <x v="3"/>
    <x v="4"/>
    <s v="MTG"/>
    <x v="0"/>
    <n v="1.4517911864446933"/>
  </r>
  <r>
    <x v="1"/>
    <x v="2"/>
    <x v="1"/>
    <s v="MTG"/>
    <x v="0"/>
    <n v="4.5179999999999998"/>
  </r>
  <r>
    <x v="1"/>
    <x v="2"/>
    <x v="2"/>
    <s v="MTG"/>
    <x v="0"/>
    <n v="2.125"/>
  </r>
  <r>
    <x v="1"/>
    <x v="2"/>
    <x v="3"/>
    <s v="MTG"/>
    <x v="0"/>
    <n v="3.625"/>
  </r>
  <r>
    <x v="1"/>
    <x v="3"/>
    <x v="0"/>
    <s v="MTG"/>
    <x v="0"/>
    <n v="4.2588749999999997"/>
  </r>
  <r>
    <x v="1"/>
    <x v="3"/>
    <x v="1"/>
    <s v="MTG"/>
    <x v="0"/>
    <n v="5.1580000000000004"/>
  </r>
  <r>
    <x v="1"/>
    <x v="3"/>
    <x v="5"/>
    <s v="MTG"/>
    <x v="0"/>
    <n v="6571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4.125"/>
  </r>
  <r>
    <x v="1"/>
    <x v="3"/>
    <x v="4"/>
    <s v="MTG"/>
    <x v="0"/>
    <n v="1.4482824952560904"/>
  </r>
  <r>
    <x v="1"/>
    <x v="3"/>
    <x v="7"/>
    <s v="MTG"/>
    <x v="0"/>
    <n v="3500"/>
  </r>
  <r>
    <x v="2"/>
    <x v="3"/>
    <x v="0"/>
    <s v="MTG"/>
    <x v="0"/>
    <n v="4.145604497342033"/>
  </r>
  <r>
    <x v="2"/>
    <x v="3"/>
    <x v="1"/>
    <s v="MTG"/>
    <x v="0"/>
    <n v="4.2590000000000003"/>
  </r>
  <r>
    <x v="2"/>
    <x v="3"/>
    <x v="5"/>
    <s v="MTG"/>
    <x v="0"/>
    <n v="2377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25"/>
  </r>
  <r>
    <x v="2"/>
    <x v="3"/>
    <x v="4"/>
    <s v="MTG"/>
    <x v="0"/>
    <n v="1.1687225159915431"/>
  </r>
  <r>
    <x v="3"/>
    <x v="3"/>
    <x v="0"/>
    <s v="MTG"/>
    <x v="0"/>
    <n v="4.0557276764206129"/>
  </r>
  <r>
    <x v="3"/>
    <x v="3"/>
    <x v="1"/>
    <s v="MTG"/>
    <x v="0"/>
    <n v="4.1399999999999997"/>
  </r>
  <r>
    <x v="3"/>
    <x v="3"/>
    <x v="5"/>
    <s v="MTG"/>
    <x v="0"/>
    <n v="4075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078845695070122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56">
  <r>
    <x v="0"/>
    <s v="Bank of America"/>
    <s v="1Point Rate"/>
    <s v="MTG"/>
    <x v="0"/>
    <n v="4.2554972682965033"/>
  </r>
  <r>
    <x v="0"/>
    <s v="Bank of America"/>
    <s v="1Point Rate"/>
    <s v="MTG"/>
    <x v="1"/>
    <n v="4.2780642423920208"/>
  </r>
  <r>
    <x v="0"/>
    <s v="Bank of America"/>
    <s v="1Point Rate"/>
    <s v="MTG"/>
    <x v="2"/>
    <n v="4.2751400125465349"/>
  </r>
  <r>
    <x v="0"/>
    <s v="Bank of America"/>
    <s v="1Point Rate"/>
    <s v="MTG"/>
    <x v="3"/>
    <n v="4.3664099742286595"/>
  </r>
  <r>
    <x v="0"/>
    <s v="Bank of America"/>
    <s v="1Point Rate"/>
    <s v="MTG"/>
    <x v="4"/>
    <n v="4.313965889771076"/>
  </r>
  <r>
    <x v="0"/>
    <s v="Bank of America"/>
    <s v="1Point Rate"/>
    <s v="MTG"/>
    <x v="5"/>
    <n v="4.2809879501510846"/>
  </r>
  <r>
    <x v="0"/>
    <s v="Bank of America"/>
    <s v="1Point Rate"/>
    <s v="MTG"/>
    <x v="6"/>
    <n v="4.2692899861563207"/>
  </r>
  <r>
    <x v="0"/>
    <s v="Bank of America"/>
    <s v="1Point Rate"/>
    <s v="MTG"/>
    <x v="7"/>
    <n v="4.1871698000587845"/>
  </r>
  <r>
    <x v="0"/>
    <s v="Bank of America"/>
    <s v="1Point Rate"/>
    <s v="MTG"/>
    <x v="8"/>
    <n v="4.2517273654617371"/>
  </r>
  <r>
    <x v="0"/>
    <s v="Bank of America"/>
    <s v="1Point Rate"/>
    <s v="MTG"/>
    <x v="9"/>
    <n v="4.1695190979670524"/>
  </r>
  <r>
    <x v="0"/>
    <s v="Bank of America"/>
    <s v="1Point Rate"/>
    <s v="MTG"/>
    <x v="10"/>
    <n v="4.1400591551201122"/>
  </r>
  <r>
    <x v="0"/>
    <s v="Bank of America"/>
    <s v="1Point Rate"/>
    <s v="MTG"/>
    <x v="11"/>
    <n v="4.1164532413786334"/>
  </r>
  <r>
    <x v="0"/>
    <s v="Bank of America"/>
    <s v="1Point Rate"/>
    <s v="MTG"/>
    <x v="12"/>
    <n v="4.066228818482883"/>
  </r>
  <r>
    <x v="0"/>
    <s v="Bank of America"/>
    <s v="1Point Rate"/>
    <s v="MTG"/>
    <x v="13"/>
    <n v="4.0425219308185625"/>
  </r>
  <r>
    <x v="0"/>
    <s v="Bank of America"/>
    <s v="1Point Rate"/>
    <s v="MTG"/>
    <x v="14"/>
    <n v="4.0009528680553874"/>
  </r>
  <r>
    <x v="0"/>
    <s v="Bank of America"/>
    <s v="1Point Rate"/>
    <s v="MTG"/>
    <x v="15"/>
    <n v="3.977152156157012"/>
  </r>
  <r>
    <x v="0"/>
    <s v="Bank of America"/>
    <s v="1Point Rate"/>
    <s v="MTG"/>
    <x v="16"/>
    <n v="3.9920316083167364"/>
  </r>
  <r>
    <x v="0"/>
    <s v="Bank of America"/>
    <s v="1Point Rate"/>
    <s v="MTG"/>
    <x v="17"/>
    <n v="4.1489026694458522"/>
  </r>
  <r>
    <x v="0"/>
    <s v="Bank of America"/>
    <s v="1Point Rate"/>
    <s v="MTG"/>
    <x v="18"/>
    <n v="4.1223578866648536"/>
  </r>
  <r>
    <x v="0"/>
    <s v="Bank of America"/>
    <s v="1Point Rate"/>
    <s v="MTG"/>
    <x v="19"/>
    <n v="4.0987266256305297"/>
  </r>
  <r>
    <x v="0"/>
    <s v="Bank of America"/>
    <s v="1Point Rate"/>
    <s v="MTG"/>
    <x v="20"/>
    <n v="4.2106746450138894"/>
  </r>
  <r>
    <x v="0"/>
    <s v="Bank of America"/>
    <s v="1Point Rate"/>
    <s v="MTG"/>
    <x v="21"/>
    <n v="4.1871698000587845"/>
  </r>
  <r>
    <x v="0"/>
    <s v="Bank of America"/>
    <s v="1Point Rate"/>
    <s v="MTG"/>
    <x v="22"/>
    <n v="4.1930491621487036"/>
  </r>
  <r>
    <x v="0"/>
    <s v="Bank of America"/>
    <s v="1Point Rate"/>
    <s v="MTG"/>
    <x v="23"/>
    <n v="4.1577414411756237"/>
  </r>
  <r>
    <x v="0"/>
    <s v="Bank of America"/>
    <s v="1Point Rate"/>
    <s v="MTG"/>
    <x v="24"/>
    <n v="4.2312138395879879"/>
  </r>
  <r>
    <x v="0"/>
    <s v="Bank of America"/>
    <s v="1Point Rate"/>
    <s v="MTG"/>
    <x v="25"/>
    <n v="4.2605110281721359"/>
  </r>
  <r>
    <x v="0"/>
    <s v="Bank of America"/>
    <s v="1Point Rate"/>
    <s v="MTG"/>
    <x v="26"/>
    <n v="4.2312138395879879"/>
  </r>
  <r>
    <x v="0"/>
    <s v="Bank of America"/>
    <s v="1Point Rate"/>
    <s v="MTG"/>
    <x v="27"/>
    <n v="4.225348119194102"/>
  </r>
  <r>
    <x v="0"/>
    <s v="Bank of America"/>
    <s v="1Point Rate"/>
    <s v="MTG"/>
    <x v="28"/>
    <n v="4.2370774645785501"/>
  </r>
  <r>
    <x v="0"/>
    <s v="Bank of America"/>
    <s v="1Point Rate"/>
    <s v="MTG"/>
    <x v="29"/>
    <n v="4.2282812413722635"/>
  </r>
  <r>
    <x v="0"/>
    <s v="Bank of America"/>
    <s v="1Point Rate"/>
    <s v="MTG"/>
    <x v="30"/>
    <n v="4.1724621964444255"/>
  </r>
  <r>
    <x v="0"/>
    <s v="Bank of America"/>
    <s v="1Point Rate"/>
    <s v="MTG"/>
    <x v="31"/>
    <n v="4.1754047688553753"/>
  </r>
  <r>
    <x v="0"/>
    <s v="Bank of America"/>
    <s v="1Point Rate"/>
    <s v="MTG"/>
    <x v="32"/>
    <n v="4.160686645028302"/>
  </r>
  <r>
    <x v="0"/>
    <s v="Bank of America"/>
    <s v="1Point Rate"/>
    <s v="MTG"/>
    <x v="33"/>
    <n v="4.1253094173164744"/>
  </r>
  <r>
    <x v="0"/>
    <s v="Bank of America"/>
    <s v="1Point Rate"/>
    <s v="MTG"/>
    <x v="34"/>
    <n v="4.1518494534957036"/>
  </r>
  <r>
    <x v="0"/>
    <s v="Bank of America"/>
    <s v="1Point Rate"/>
    <s v="MTG"/>
    <x v="35"/>
    <n v="4.2018642658889958"/>
  </r>
  <r>
    <x v="0"/>
    <s v="Bank of America"/>
    <s v="1Point Rate"/>
    <s v="MTG"/>
    <x v="36"/>
    <n v="4.2106746450138894"/>
  </r>
  <r>
    <x v="0"/>
    <s v="Bank of America"/>
    <s v="1Point Rate"/>
    <s v="MTG"/>
    <x v="37"/>
    <n v="4.1959880552043716"/>
  </r>
  <r>
    <x v="0"/>
    <s v="Bank of America"/>
    <s v="1Point Rate"/>
    <s v="MTG"/>
    <x v="38"/>
    <n v="4.1930491621487036"/>
  </r>
  <r>
    <x v="0"/>
    <s v="Bank of America"/>
    <s v="1Point Rate"/>
    <s v="MTG"/>
    <x v="39"/>
    <n v="4.1930491621487036"/>
  </r>
  <r>
    <x v="0"/>
    <s v="Bank of America"/>
    <s v="1Point Rate"/>
    <s v="MTG"/>
    <x v="40"/>
    <n v="4.2487984318822525"/>
  </r>
  <r>
    <x v="0"/>
    <s v="Bank of America"/>
    <s v="1Point Rate"/>
    <s v="MTG"/>
    <x v="41"/>
    <n v="4.2672076568305926"/>
  </r>
  <r>
    <x v="0"/>
    <s v="Bank of America"/>
    <s v="1Point Rate"/>
    <s v="MTG"/>
    <x v="42"/>
    <n v="4.2232506437744561"/>
  </r>
  <r>
    <x v="0"/>
    <s v="Bank of America"/>
    <s v="1Point Rate"/>
    <s v="MTG"/>
    <x v="43"/>
    <n v="4.2672076568305926"/>
  </r>
  <r>
    <x v="0"/>
    <s v="Bank of America"/>
    <s v="1Point Rate"/>
    <s v="MTG"/>
    <x v="44"/>
    <n v="4.3168838594099084"/>
  </r>
  <r>
    <x v="0"/>
    <s v="Bank of America"/>
    <s v="1Point Rate"/>
    <s v="MTG"/>
    <x v="45"/>
    <n v="4.3022888156892893"/>
  </r>
  <r>
    <x v="0"/>
    <s v="Bank of America"/>
    <s v="1Point Rate"/>
    <s v="MTG"/>
    <x v="46"/>
    <n v="4.3518590182395505"/>
  </r>
  <r>
    <x v="0"/>
    <s v="Bank of America"/>
    <s v="1Point Rate"/>
    <s v="MTG"/>
    <x v="47"/>
    <n v="4.3460350104353029"/>
  </r>
  <r>
    <x v="0"/>
    <s v="Bank of America"/>
    <s v="1Point Rate"/>
    <s v="MTG"/>
    <x v="48"/>
    <n v="4.2897559420131923"/>
  </r>
  <r>
    <x v="0"/>
    <s v="Bank of America"/>
    <s v="1Point Rate"/>
    <s v="MTG"/>
    <x v="49"/>
    <n v="4.2642808417652107"/>
  </r>
  <r>
    <x v="0"/>
    <s v="Bank of America"/>
    <s v="1Point Rate"/>
    <s v="MTG"/>
    <x v="50"/>
    <n v="4.2642808417652107"/>
  </r>
  <r>
    <x v="0"/>
    <s v="Bank of America"/>
    <s v="1Point Rate"/>
    <s v="MTG"/>
    <x v="51"/>
    <n v="4.2642808417652107"/>
  </r>
  <r>
    <x v="0"/>
    <s v="Bank of America"/>
    <s v="1Point Rate"/>
    <s v="MTG"/>
    <x v="52"/>
    <n v="4.2642808417652107"/>
  </r>
  <r>
    <x v="0"/>
    <s v="Bank of America"/>
    <s v="1Point Rate"/>
    <s v="MTG"/>
    <x v="53"/>
    <n v="4.2642808417652107"/>
  </r>
  <r>
    <x v="0"/>
    <s v="Bank of America"/>
    <s v="1Point Rate"/>
    <s v="MTG"/>
    <x v="54"/>
    <n v="4.2554972682965033"/>
  </r>
  <r>
    <x v="0"/>
    <s v="Bank of America"/>
    <s v="1Point Rate"/>
    <s v="MTG"/>
    <x v="55"/>
    <n v="4.3518590182395505"/>
  </r>
  <r>
    <x v="0"/>
    <s v="Bank of America"/>
    <s v="1Point Rate"/>
    <s v="MTG"/>
    <x v="56"/>
    <n v="4.3402089296616397"/>
  </r>
  <r>
    <x v="0"/>
    <s v="Bank of America"/>
    <s v="1Point Rate"/>
    <s v="MTG"/>
    <x v="57"/>
    <n v="4.3168838594099084"/>
  </r>
  <r>
    <x v="0"/>
    <s v="Bank of America"/>
    <s v="1Point Rate"/>
    <s v="MTG"/>
    <x v="58"/>
    <n v="4.3547702450498376"/>
  </r>
  <r>
    <x v="0"/>
    <s v="Bank of America"/>
    <s v="1Point Rate"/>
    <s v="MTG"/>
    <x v="59"/>
    <n v="4.3780414237322258"/>
  </r>
  <r>
    <x v="0"/>
    <s v="Bank of America"/>
    <s v="1Point Rate"/>
    <s v="MTG"/>
    <x v="60"/>
    <n v="4.3489472734036934"/>
  </r>
  <r>
    <x v="0"/>
    <s v="Bank of America"/>
    <s v="1Point Rate"/>
    <s v="MTG"/>
    <x v="61"/>
    <n v="4.2906034235109347"/>
  </r>
  <r>
    <x v="0"/>
    <s v="Bank of America"/>
    <s v="1Point Rate"/>
    <s v="MTG"/>
    <x v="62"/>
    <n v="4.2085721821838193"/>
  </r>
  <r>
    <x v="0"/>
    <s v="Bank of America"/>
    <s v="1Point Rate"/>
    <s v="MTG"/>
    <x v="63"/>
    <n v="4.3751343371947211"/>
  </r>
  <r>
    <x v="0"/>
    <s v="Bank of America"/>
    <s v="1Point Rate"/>
    <s v="MTG"/>
    <x v="64"/>
    <n v="4.3751343371947211"/>
  </r>
  <r>
    <x v="0"/>
    <s v="Bank of America"/>
    <s v="1Point Rate"/>
    <s v="MTG"/>
    <x v="65"/>
    <n v="4.4783040201842867"/>
  </r>
  <r>
    <x v="0"/>
    <s v="Bank of America"/>
    <s v="1Point Rate"/>
    <s v="MTG"/>
    <x v="66"/>
    <n v="4.4204074273666594"/>
  </r>
  <r>
    <x v="0"/>
    <s v="Bank of America"/>
    <s v="1Point Rate"/>
    <s v="MTG"/>
    <x v="67"/>
    <n v="4.506877778796885"/>
  </r>
  <r>
    <x v="0"/>
    <s v="Bank of America"/>
    <s v="1Point Rate"/>
    <s v="MTG"/>
    <x v="68"/>
    <n v="4.4982195751567664"/>
  </r>
  <r>
    <x v="0"/>
    <s v="Bank of America"/>
    <s v="1Point Rate"/>
    <s v="MTG"/>
    <x v="69"/>
    <n v="4.5731051550143587"/>
  </r>
  <r>
    <x v="0"/>
    <s v="Bank of America"/>
    <s v="1Point Rate"/>
    <s v="MTG"/>
    <x v="70"/>
    <n v="4.6190180362729505"/>
  </r>
  <r>
    <x v="0"/>
    <s v="Bank of America"/>
    <s v="1Point Rate"/>
    <s v="MTG"/>
    <x v="71"/>
    <n v="4.5446319580999752"/>
  </r>
  <r>
    <x v="0"/>
    <s v="Bank of America"/>
    <s v="1Point Rate"/>
    <s v="MTG"/>
    <x v="72"/>
    <n v="4.5273550581154201"/>
  </r>
  <r>
    <x v="0"/>
    <s v="Bank of America"/>
    <s v="1Point Rate"/>
    <s v="MTG"/>
    <x v="73"/>
    <n v="4.5302358163273126"/>
  </r>
  <r>
    <x v="0"/>
    <s v="Bank of America"/>
    <s v="1Point Rate"/>
    <s v="MTG"/>
    <x v="74"/>
    <n v="4.4927461331875742"/>
  </r>
  <r>
    <x v="0"/>
    <s v="Bank of America"/>
    <s v="1Point Rate"/>
    <s v="MTG"/>
    <x v="75"/>
    <n v="4.5014052622718115"/>
  </r>
  <r>
    <x v="0"/>
    <s v="Bank of America"/>
    <s v="1Point Rate"/>
    <s v="MTG"/>
    <x v="76"/>
    <n v="4.4464862944264567"/>
  </r>
  <r>
    <x v="0"/>
    <s v="Bank of America"/>
    <s v="1Point Rate"/>
    <s v="MTG"/>
    <x v="77"/>
    <n v="4.4088034557948594"/>
  </r>
  <r>
    <x v="0"/>
    <s v="Bank of America"/>
    <s v="1Point Rate"/>
    <s v="MTG"/>
    <x v="78"/>
    <n v="4.4493813788399832"/>
  </r>
  <r>
    <x v="0"/>
    <s v="Bank of America"/>
    <s v="1Point Rate"/>
    <s v="MTG"/>
    <x v="79"/>
    <n v="4.5270624197579012"/>
  </r>
  <r>
    <x v="0"/>
    <s v="Bank of America"/>
    <s v="1Point Rate"/>
    <s v="MTG"/>
    <x v="80"/>
    <n v="4.4895567814149242"/>
  </r>
  <r>
    <x v="0"/>
    <s v="Bank of America"/>
    <s v="1Point Rate"/>
    <s v="MTG"/>
    <x v="81"/>
    <n v="4.5011061529054421"/>
  </r>
  <r>
    <x v="0"/>
    <s v="Bank of America"/>
    <s v="1Point Rate"/>
    <s v="MTG"/>
    <x v="82"/>
    <n v="4.6052695045580423"/>
  </r>
  <r>
    <x v="0"/>
    <s v="Bank of America"/>
    <s v="1Point Rate"/>
    <s v="MTG"/>
    <x v="83"/>
    <n v="4.5759785098962773"/>
  </r>
  <r>
    <x v="0"/>
    <s v="Bank of America"/>
    <s v="1Point Rate"/>
    <s v="MTG"/>
    <x v="84"/>
    <n v="4.4924448895185813"/>
  </r>
  <r>
    <x v="0"/>
    <s v="Bank of America"/>
    <s v="1Point Rate"/>
    <s v="MTG"/>
    <x v="85"/>
    <n v="4.6333392501361672"/>
  </r>
  <r>
    <x v="0"/>
    <s v="Bank of America"/>
    <s v="1Point Rate"/>
    <s v="MTG"/>
    <x v="86"/>
    <n v="4.5673569234199736"/>
  </r>
  <r>
    <x v="0"/>
    <s v="Bank of America"/>
    <s v="1Point Rate"/>
    <s v="MTG"/>
    <x v="87"/>
    <n v="4.4953324873966052"/>
  </r>
  <r>
    <x v="0"/>
    <s v="Bank of America"/>
    <s v="1Point Rate"/>
    <s v="MTG"/>
    <x v="88"/>
    <n v="4.4985193972193684"/>
  </r>
  <r>
    <x v="0"/>
    <s v="Bank of America"/>
    <s v="1Point Rate"/>
    <s v="MTG"/>
    <x v="89"/>
    <n v="4.5446319580999752"/>
  </r>
  <r>
    <x v="0"/>
    <s v="Bank of America"/>
    <s v="1Point Rate"/>
    <s v="MTG"/>
    <x v="90"/>
    <n v="4.5446319580999752"/>
  </r>
  <r>
    <x v="0"/>
    <s v="Bank of America"/>
    <s v="1Point Rate"/>
    <s v="MTG"/>
    <x v="91"/>
    <n v="4.5960778002180591"/>
  </r>
  <r>
    <x v="0"/>
    <s v="Bank of America"/>
    <s v="1Point Rate"/>
    <s v="MTG"/>
    <x v="92"/>
    <n v="4.6425186326748173"/>
  </r>
  <r>
    <x v="0"/>
    <s v="Bank of America"/>
    <s v="1Point Rate"/>
    <s v="MTG"/>
    <x v="93"/>
    <n v="4.5472221224551266"/>
  </r>
  <r>
    <x v="0"/>
    <s v="Bank of America"/>
    <s v="1Point Rate"/>
    <s v="MTG"/>
    <x v="94"/>
    <n v="4.5472221224551266"/>
  </r>
  <r>
    <x v="0"/>
    <s v="Bank of America"/>
    <s v="1Point Rate"/>
    <s v="MTG"/>
    <x v="95"/>
    <n v="4.4779992446135664"/>
  </r>
  <r>
    <x v="0"/>
    <s v="Bank of America"/>
    <s v="1Point Rate"/>
    <s v="MTG"/>
    <x v="96"/>
    <n v="4.4461738601142571"/>
  </r>
  <r>
    <x v="0"/>
    <s v="Bank of America"/>
    <s v="1Point Rate"/>
    <s v="MTG"/>
    <x v="97"/>
    <n v="4.4461738601142571"/>
  </r>
  <r>
    <x v="0"/>
    <s v="Bank of America"/>
    <s v="1Point Rate"/>
    <s v="MTG"/>
    <x v="98"/>
    <n v="4.4696326089388583"/>
  </r>
  <r>
    <x v="0"/>
    <s v="Bank of America"/>
    <s v="1Point Rate"/>
    <s v="MTG"/>
    <x v="99"/>
    <n v="4.4811934664059407"/>
  </r>
  <r>
    <x v="0"/>
    <s v="Bank of America"/>
    <s v="1Point Rate"/>
    <s v="MTG"/>
    <x v="100"/>
    <n v="4.4522759501537079"/>
  </r>
  <r>
    <x v="0"/>
    <s v="Bank of America"/>
    <s v="1Point Rate"/>
    <s v="MTG"/>
    <x v="101"/>
    <n v="4.4204074273666594"/>
  </r>
  <r>
    <x v="0"/>
    <s v="Bank of America"/>
    <s v="1Point Rate"/>
    <s v="MTG"/>
    <x v="102"/>
    <n v="4.4406945858636773"/>
  </r>
  <r>
    <x v="0"/>
    <s v="Bank of America"/>
    <s v="1Point Rate"/>
    <s v="MTG"/>
    <x v="103"/>
    <n v="4.4493813788399832"/>
  </r>
  <r>
    <x v="0"/>
    <s v="Bank of America"/>
    <s v="1Point Rate"/>
    <s v="MTG"/>
    <x v="104"/>
    <n v="4.4609565865630021"/>
  </r>
  <r>
    <x v="0"/>
    <s v="Bank of America"/>
    <s v="1Point Rate"/>
    <s v="MTG"/>
    <x v="105"/>
    <n v="4.4898587339935672"/>
  </r>
  <r>
    <x v="0"/>
    <s v="Bank of America"/>
    <s v="1Point Rate"/>
    <s v="MTG"/>
    <x v="106"/>
    <n v="4.3739421106982554"/>
  </r>
  <r>
    <x v="0"/>
    <s v="Bank of America"/>
    <s v="1Point Rate"/>
    <s v="MTG"/>
    <x v="107"/>
    <n v="4.3855708043827342"/>
  </r>
  <r>
    <x v="0"/>
    <s v="Chase"/>
    <s v="1Point Rate"/>
    <s v="MTG"/>
    <x v="0"/>
    <n v="4.1543680910694123"/>
  </r>
  <r>
    <x v="0"/>
    <s v="Chase"/>
    <s v="1Point Rate"/>
    <s v="MTG"/>
    <x v="1"/>
    <n v="4.1248698203088709"/>
  </r>
  <r>
    <x v="0"/>
    <s v="Chase"/>
    <s v="1Point Rate"/>
    <s v="MTG"/>
    <x v="2"/>
    <n v="4.0301218665618999"/>
  </r>
  <r>
    <x v="0"/>
    <s v="Chase"/>
    <s v="1Point Rate"/>
    <s v="MTG"/>
    <x v="3"/>
    <n v="4.0301218665618999"/>
  </r>
  <r>
    <x v="0"/>
    <s v="Chase"/>
    <s v="1Point Rate"/>
    <s v="MTG"/>
    <x v="4"/>
    <n v="3.9987193359155064"/>
  </r>
  <r>
    <x v="0"/>
    <s v="Chase"/>
    <s v="1Point Rate"/>
    <s v="MTG"/>
    <x v="5"/>
    <n v="3.968948344733974"/>
  </r>
  <r>
    <x v="0"/>
    <s v="Chase"/>
    <s v="1Point Rate"/>
    <s v="MTG"/>
    <x v="6"/>
    <n v="3.968948344733974"/>
  </r>
  <r>
    <x v="0"/>
    <s v="Chase"/>
    <s v="1Point Rate"/>
    <s v="MTG"/>
    <x v="7"/>
    <n v="3.8725334437312955"/>
  </r>
  <r>
    <x v="0"/>
    <s v="Chase"/>
    <s v="1Point Rate"/>
    <s v="MTG"/>
    <x v="8"/>
    <n v="3.9353424338077225"/>
  </r>
  <r>
    <x v="0"/>
    <s v="Chase"/>
    <s v="1Point Rate"/>
    <s v="MTG"/>
    <x v="9"/>
    <n v="3.9361387568601574"/>
  </r>
  <r>
    <x v="0"/>
    <s v="Chase"/>
    <s v="1Point Rate"/>
    <s v="MTG"/>
    <x v="10"/>
    <n v="3.9353424338077225"/>
  </r>
  <r>
    <x v="0"/>
    <s v="Chase"/>
    <s v="1Point Rate"/>
    <s v="MTG"/>
    <x v="11"/>
    <n v="3.8425411667081901"/>
  </r>
  <r>
    <x v="0"/>
    <s v="Chase"/>
    <s v="1Point Rate"/>
    <s v="MTG"/>
    <x v="12"/>
    <n v="3.812592661796018"/>
  </r>
  <r>
    <x v="0"/>
    <s v="Chase"/>
    <s v="1Point Rate"/>
    <s v="MTG"/>
    <x v="13"/>
    <n v="3.8425411667081901"/>
  </r>
  <r>
    <x v="0"/>
    <s v="Chase"/>
    <s v="1Point Rate"/>
    <s v="MTG"/>
    <x v="14"/>
    <n v="3.8425411667081901"/>
  </r>
  <r>
    <x v="0"/>
    <s v="Chase"/>
    <s v="1Point Rate"/>
    <s v="MTG"/>
    <x v="15"/>
    <n v="3.8124950348616728"/>
  </r>
  <r>
    <x v="0"/>
    <s v="Chase"/>
    <s v="1Point Rate"/>
    <s v="MTG"/>
    <x v="16"/>
    <n v="3.812592661796018"/>
  </r>
  <r>
    <x v="0"/>
    <s v="Chase"/>
    <s v="1Point Rate"/>
    <s v="MTG"/>
    <x v="17"/>
    <n v="3.9054628819113248"/>
  </r>
  <r>
    <x v="0"/>
    <s v="Chase"/>
    <s v="1Point Rate"/>
    <s v="MTG"/>
    <x v="18"/>
    <n v="3.8725334437312955"/>
  </r>
  <r>
    <x v="0"/>
    <s v="Chase"/>
    <s v="1Point Rate"/>
    <s v="MTG"/>
    <x v="19"/>
    <n v="3.8425411667081901"/>
  </r>
  <r>
    <x v="0"/>
    <s v="Chase"/>
    <s v="1Point Rate"/>
    <s v="MTG"/>
    <x v="20"/>
    <n v="3.812592661796018"/>
  </r>
  <r>
    <x v="0"/>
    <s v="Chase"/>
    <s v="1Point Rate"/>
    <s v="MTG"/>
    <x v="21"/>
    <n v="3.7493301282064344"/>
  </r>
  <r>
    <x v="0"/>
    <s v="Chase"/>
    <s v="1Point Rate"/>
    <s v="MTG"/>
    <x v="22"/>
    <n v="3.7794849694083221"/>
  </r>
  <r>
    <x v="0"/>
    <s v="Chase"/>
    <s v="1Point Rate"/>
    <s v="MTG"/>
    <x v="23"/>
    <n v="3.7493301282064344"/>
  </r>
  <r>
    <x v="0"/>
    <s v="Chase"/>
    <s v="1Point Rate"/>
    <s v="MTG"/>
    <x v="24"/>
    <n v="3.812592661796018"/>
  </r>
  <r>
    <x v="0"/>
    <s v="Chase"/>
    <s v="1Point Rate"/>
    <s v="MTG"/>
    <x v="25"/>
    <n v="3.8425411667081901"/>
  </r>
  <r>
    <x v="0"/>
    <s v="Chase"/>
    <s v="1Point Rate"/>
    <s v="MTG"/>
    <x v="26"/>
    <n v="3.8124950348616728"/>
  </r>
  <r>
    <x v="0"/>
    <s v="Chase"/>
    <s v="1Point Rate"/>
    <s v="MTG"/>
    <x v="27"/>
    <n v="3.812592661796018"/>
  </r>
  <r>
    <x v="0"/>
    <s v="Chase"/>
    <s v="1Point Rate"/>
    <s v="MTG"/>
    <x v="28"/>
    <n v="3.8124950348616728"/>
  </r>
  <r>
    <x v="0"/>
    <s v="Chase"/>
    <s v="1Point Rate"/>
    <s v="MTG"/>
    <x v="29"/>
    <n v="3.8425411667081901"/>
  </r>
  <r>
    <x v="0"/>
    <s v="Chase"/>
    <s v="1Point Rate"/>
    <s v="MTG"/>
    <x v="30"/>
    <n v="3.7794849694083221"/>
  </r>
  <r>
    <x v="0"/>
    <s v="Chase"/>
    <s v="1Point Rate"/>
    <s v="MTG"/>
    <x v="31"/>
    <n v="3.812592661796018"/>
  </r>
  <r>
    <x v="0"/>
    <s v="Chase"/>
    <s v="1Point Rate"/>
    <s v="MTG"/>
    <x v="32"/>
    <n v="3.812592661796018"/>
  </r>
  <r>
    <x v="0"/>
    <s v="Chase"/>
    <s v="1Point Rate"/>
    <s v="MTG"/>
    <x v="33"/>
    <n v="3.812592661796018"/>
  </r>
  <r>
    <x v="0"/>
    <s v="Chase"/>
    <s v="1Point Rate"/>
    <s v="MTG"/>
    <x v="34"/>
    <n v="3.7794849694083221"/>
  </r>
  <r>
    <x v="0"/>
    <s v="Chase"/>
    <s v="1Point Rate"/>
    <s v="MTG"/>
    <x v="35"/>
    <n v="3.7794849694083221"/>
  </r>
  <r>
    <x v="0"/>
    <s v="Chase"/>
    <s v="1Point Rate"/>
    <s v="MTG"/>
    <x v="36"/>
    <n v="3.812592661796018"/>
  </r>
  <r>
    <x v="0"/>
    <s v="Chase"/>
    <s v="1Point Rate"/>
    <s v="MTG"/>
    <x v="37"/>
    <n v="3.8425411667081901"/>
  </r>
  <r>
    <x v="0"/>
    <s v="Chase"/>
    <s v="1Point Rate"/>
    <s v="MTG"/>
    <x v="38"/>
    <n v="3.8425411667081901"/>
  </r>
  <r>
    <x v="0"/>
    <s v="Chase"/>
    <s v="1Point Rate"/>
    <s v="MTG"/>
    <x v="39"/>
    <n v="3.8124950348616728"/>
  </r>
  <r>
    <x v="0"/>
    <s v="Chase"/>
    <s v="1Point Rate"/>
    <s v="MTG"/>
    <x v="40"/>
    <n v="3.8425411667081901"/>
  </r>
  <r>
    <x v="0"/>
    <s v="Chase"/>
    <s v="1Point Rate"/>
    <s v="MTG"/>
    <x v="41"/>
    <n v="3.9062558298878747"/>
  </r>
  <r>
    <x v="0"/>
    <s v="Chase"/>
    <s v="1Point Rate"/>
    <s v="MTG"/>
    <x v="42"/>
    <n v="3.9353424338077225"/>
  </r>
  <r>
    <x v="0"/>
    <s v="Chase"/>
    <s v="1Point Rate"/>
    <s v="MTG"/>
    <x v="43"/>
    <n v="3.9353424338077225"/>
  </r>
  <r>
    <x v="0"/>
    <s v="Chase"/>
    <s v="1Point Rate"/>
    <s v="MTG"/>
    <x v="44"/>
    <n v="3.968948344733974"/>
  </r>
  <r>
    <x v="0"/>
    <s v="Chase"/>
    <s v="1Point Rate"/>
    <s v="MTG"/>
    <x v="45"/>
    <n v="4.0610656170015185"/>
  </r>
  <r>
    <x v="0"/>
    <s v="Chase"/>
    <s v="1Point Rate"/>
    <s v="MTG"/>
    <x v="46"/>
    <n v="4.0610656170015185"/>
  </r>
  <r>
    <x v="0"/>
    <s v="Chase"/>
    <s v="1Point Rate"/>
    <s v="MTG"/>
    <x v="47"/>
    <n v="4.0284371983798186"/>
  </r>
  <r>
    <x v="0"/>
    <s v="Chase"/>
    <s v="1Point Rate"/>
    <s v="MTG"/>
    <x v="48"/>
    <n v="3.9361387568601574"/>
  </r>
  <r>
    <x v="0"/>
    <s v="Chase"/>
    <s v="1Point Rate"/>
    <s v="MTG"/>
    <x v="49"/>
    <n v="3.9987193359155064"/>
  </r>
  <r>
    <x v="0"/>
    <s v="Chase"/>
    <s v="1Point Rate"/>
    <s v="MTG"/>
    <x v="50"/>
    <n v="4.0284371983798186"/>
  </r>
  <r>
    <x v="0"/>
    <s v="Chase"/>
    <s v="1Point Rate"/>
    <s v="MTG"/>
    <x v="51"/>
    <n v="4.0610656170015185"/>
  </r>
  <r>
    <x v="0"/>
    <s v="Chase"/>
    <s v="1Point Rate"/>
    <s v="MTG"/>
    <x v="52"/>
    <n v="4.0301218665618999"/>
  </r>
  <r>
    <x v="0"/>
    <s v="Chase"/>
    <s v="1Point Rate"/>
    <s v="MTG"/>
    <x v="53"/>
    <n v="4.0284371983798186"/>
  </r>
  <r>
    <x v="0"/>
    <s v="Chase"/>
    <s v="1Point Rate"/>
    <s v="MTG"/>
    <x v="54"/>
    <n v="3.9987193359155064"/>
  </r>
  <r>
    <x v="0"/>
    <s v="Chase"/>
    <s v="1Point Rate"/>
    <s v="MTG"/>
    <x v="55"/>
    <n v="4.0936300339223344"/>
  </r>
  <r>
    <x v="0"/>
    <s v="Chase"/>
    <s v="1Point Rate"/>
    <s v="MTG"/>
    <x v="56"/>
    <n v="4.0936300339223344"/>
  </r>
  <r>
    <x v="0"/>
    <s v="Chase"/>
    <s v="1Point Rate"/>
    <s v="MTG"/>
    <x v="57"/>
    <n v="3.9987193359155064"/>
  </r>
  <r>
    <x v="0"/>
    <s v="Chase"/>
    <s v="1Point Rate"/>
    <s v="MTG"/>
    <x v="58"/>
    <n v="4.0936300339223344"/>
  </r>
  <r>
    <x v="0"/>
    <s v="Chase"/>
    <s v="1Point Rate"/>
    <s v="MTG"/>
    <x v="59"/>
    <n v="4.0284371983798186"/>
  </r>
  <r>
    <x v="0"/>
    <s v="Chase"/>
    <s v="1Point Rate"/>
    <s v="MTG"/>
    <x v="60"/>
    <n v="3.9659683192190758"/>
  </r>
  <r>
    <x v="0"/>
    <s v="Chase"/>
    <s v="1Point Rate"/>
    <s v="MTG"/>
    <x v="61"/>
    <n v="3.9659683192190758"/>
  </r>
  <r>
    <x v="0"/>
    <s v="Chase"/>
    <s v="1Point Rate"/>
    <s v="MTG"/>
    <x v="62"/>
    <n v="3.9361387568601574"/>
  </r>
  <r>
    <x v="0"/>
    <s v="Chase"/>
    <s v="1Point Rate"/>
    <s v="MTG"/>
    <x v="63"/>
    <n v="4.0284371983798186"/>
  </r>
  <r>
    <x v="0"/>
    <s v="Chase"/>
    <s v="1Point Rate"/>
    <s v="MTG"/>
    <x v="64"/>
    <n v="4.0284371983798186"/>
  </r>
  <r>
    <x v="0"/>
    <s v="Chase"/>
    <s v="1Point Rate"/>
    <s v="MTG"/>
    <x v="65"/>
    <n v="4.1248698203088709"/>
  </r>
  <r>
    <x v="0"/>
    <s v="Chase"/>
    <s v="1Point Rate"/>
    <s v="MTG"/>
    <x v="66"/>
    <n v="4.1248698203088709"/>
  </r>
  <r>
    <x v="0"/>
    <s v="Chase"/>
    <s v="1Point Rate"/>
    <s v="MTG"/>
    <x v="67"/>
    <n v="4.1539931569602002"/>
  </r>
  <r>
    <x v="0"/>
    <s v="Chase"/>
    <s v="1Point Rate"/>
    <s v="MTG"/>
    <x v="68"/>
    <n v="4.1248698203088709"/>
  </r>
  <r>
    <x v="0"/>
    <s v="Chase"/>
    <s v="1Point Rate"/>
    <s v="MTG"/>
    <x v="69"/>
    <n v="4.2161439941639536"/>
  </r>
  <r>
    <x v="0"/>
    <s v="Chase"/>
    <s v="1Point Rate"/>
    <s v="MTG"/>
    <x v="70"/>
    <n v="4.2802651684494641"/>
  </r>
  <r>
    <x v="0"/>
    <s v="Chase"/>
    <s v="1Point Rate"/>
    <s v="MTG"/>
    <x v="71"/>
    <n v="4.1867556587570789"/>
  </r>
  <r>
    <x v="0"/>
    <s v="Chase"/>
    <s v="1Point Rate"/>
    <s v="MTG"/>
    <x v="72"/>
    <n v="4.2161439941639536"/>
  </r>
  <r>
    <x v="0"/>
    <s v="Chase"/>
    <s v="1Point Rate"/>
    <s v="MTG"/>
    <x v="73"/>
    <n v="4.1543680910694123"/>
  </r>
  <r>
    <x v="0"/>
    <s v="Chase"/>
    <s v="1Point Rate"/>
    <s v="MTG"/>
    <x v="74"/>
    <n v="4.1543680910694123"/>
  </r>
  <r>
    <x v="0"/>
    <s v="Chase"/>
    <s v="1Point Rate"/>
    <s v="MTG"/>
    <x v="75"/>
    <n v="4.1543680910694123"/>
  </r>
  <r>
    <x v="0"/>
    <s v="Chase"/>
    <s v="1Point Rate"/>
    <s v="MTG"/>
    <x v="76"/>
    <n v="4.1248698203088709"/>
  </r>
  <r>
    <x v="0"/>
    <s v="Chase"/>
    <s v="1Point Rate"/>
    <s v="MTG"/>
    <x v="77"/>
    <n v="4.0627523635008007"/>
  </r>
  <r>
    <x v="0"/>
    <s v="Chase"/>
    <s v="1Point Rate"/>
    <s v="MTG"/>
    <x v="78"/>
    <n v="4.1867556587570789"/>
  </r>
  <r>
    <x v="0"/>
    <s v="Chase"/>
    <s v="1Point Rate"/>
    <s v="MTG"/>
    <x v="79"/>
    <n v="4.1539931569602002"/>
  </r>
  <r>
    <x v="0"/>
    <s v="Chase"/>
    <s v="1Point Rate"/>
    <s v="MTG"/>
    <x v="80"/>
    <n v="4.2161439941639536"/>
  </r>
  <r>
    <x v="0"/>
    <s v="Chase"/>
    <s v="1Point Rate"/>
    <s v="MTG"/>
    <x v="81"/>
    <n v="4.2161439941639536"/>
  </r>
  <r>
    <x v="0"/>
    <s v="Chase"/>
    <s v="1Point Rate"/>
    <s v="MTG"/>
    <x v="82"/>
    <n v="4.1863869638007634"/>
  </r>
  <r>
    <x v="0"/>
    <s v="Chase"/>
    <s v="1Point Rate"/>
    <s v="MTG"/>
    <x v="83"/>
    <n v="4.1539931569602002"/>
  </r>
  <r>
    <x v="0"/>
    <s v="Chase"/>
    <s v="1Point Rate"/>
    <s v="MTG"/>
    <x v="84"/>
    <n v="4.1539931569602002"/>
  </r>
  <r>
    <x v="0"/>
    <s v="Chase"/>
    <s v="1Point Rate"/>
    <s v="MTG"/>
    <x v="85"/>
    <n v="4.1863869638007634"/>
  </r>
  <r>
    <x v="0"/>
    <s v="Chase"/>
    <s v="1Point Rate"/>
    <s v="MTG"/>
    <x v="86"/>
    <n v="4.2161439941639536"/>
  </r>
  <r>
    <x v="0"/>
    <s v="Chase"/>
    <s v="1Point Rate"/>
    <s v="MTG"/>
    <x v="87"/>
    <n v="4.1543680910694123"/>
  </r>
  <r>
    <x v="0"/>
    <s v="Chase"/>
    <s v="1Point Rate"/>
    <s v="MTG"/>
    <x v="88"/>
    <n v="4.0923610563473902"/>
  </r>
  <r>
    <x v="0"/>
    <s v="Chase"/>
    <s v="1Point Rate"/>
    <s v="MTG"/>
    <x v="89"/>
    <n v="4.0627523635008007"/>
  </r>
  <r>
    <x v="0"/>
    <s v="Chase"/>
    <s v="1Point Rate"/>
    <s v="MTG"/>
    <x v="90"/>
    <n v="4.0627523635008007"/>
  </r>
  <r>
    <x v="0"/>
    <s v="Chase"/>
    <s v="1Point Rate"/>
    <s v="MTG"/>
    <x v="91"/>
    <n v="4.1867556587570789"/>
  </r>
  <r>
    <x v="0"/>
    <s v="Chase"/>
    <s v="1Point Rate"/>
    <s v="MTG"/>
    <x v="92"/>
    <n v="4.1863869638007634"/>
  </r>
  <r>
    <x v="0"/>
    <s v="Chase"/>
    <s v="1Point Rate"/>
    <s v="MTG"/>
    <x v="93"/>
    <n v="4.1867556587570789"/>
  </r>
  <r>
    <x v="0"/>
    <s v="Chase"/>
    <s v="1Point Rate"/>
    <s v="MTG"/>
    <x v="94"/>
    <n v="4.1543680910694123"/>
  </r>
  <r>
    <x v="0"/>
    <s v="Chase"/>
    <s v="1Point Rate"/>
    <s v="MTG"/>
    <x v="95"/>
    <n v="4.1248698203088709"/>
  </r>
  <r>
    <x v="0"/>
    <s v="Chase"/>
    <s v="1Point Rate"/>
    <s v="MTG"/>
    <x v="96"/>
    <n v="4.0627523635008007"/>
  </r>
  <r>
    <x v="0"/>
    <s v="Chase"/>
    <s v="1Point Rate"/>
    <s v="MTG"/>
    <x v="97"/>
    <n v="4.0923610563473902"/>
  </r>
  <r>
    <x v="0"/>
    <s v="Chase"/>
    <s v="1Point Rate"/>
    <s v="MTG"/>
    <x v="98"/>
    <n v="4.0923610563473902"/>
  </r>
  <r>
    <x v="0"/>
    <s v="Chase"/>
    <s v="1Point Rate"/>
    <s v="MTG"/>
    <x v="99"/>
    <n v="4.1231786353861342"/>
  </r>
  <r>
    <x v="0"/>
    <s v="Chase"/>
    <s v="1Point Rate"/>
    <s v="MTG"/>
    <x v="100"/>
    <n v="4.1231786353861342"/>
  </r>
  <r>
    <x v="0"/>
    <s v="Chase"/>
    <s v="1Point Rate"/>
    <s v="MTG"/>
    <x v="101"/>
    <n v="4.0936300339223344"/>
  </r>
  <r>
    <x v="0"/>
    <s v="Chase"/>
    <s v="1Point Rate"/>
    <s v="MTG"/>
    <x v="102"/>
    <n v="4.0610656170015185"/>
  </r>
  <r>
    <x v="0"/>
    <s v="Chase"/>
    <s v="1Point Rate"/>
    <s v="MTG"/>
    <x v="103"/>
    <n v="4.0936300339223344"/>
  </r>
  <r>
    <x v="0"/>
    <s v="Chase"/>
    <s v="1Point Rate"/>
    <s v="MTG"/>
    <x v="104"/>
    <n v="4.0936300339223344"/>
  </r>
  <r>
    <x v="0"/>
    <s v="Chase"/>
    <s v="1Point Rate"/>
    <s v="MTG"/>
    <x v="105"/>
    <n v="4.0936300339223344"/>
  </r>
  <r>
    <x v="0"/>
    <s v="Chase"/>
    <s v="1Point Rate"/>
    <s v="MTG"/>
    <x v="106"/>
    <n v="3.968948344733974"/>
  </r>
  <r>
    <x v="0"/>
    <s v="Chase"/>
    <s v="1Point Rate"/>
    <s v="MTG"/>
    <x v="107"/>
    <n v="3.968948344733974"/>
  </r>
  <r>
    <x v="0"/>
    <s v="Quicken"/>
    <s v="1Point Rate"/>
    <s v="MTG"/>
    <x v="0"/>
    <n v="4.2722196725487462"/>
  </r>
  <r>
    <x v="0"/>
    <s v="Quicken"/>
    <s v="1Point Rate"/>
    <s v="MTG"/>
    <x v="1"/>
    <n v="4.2722152605049795"/>
  </r>
  <r>
    <x v="0"/>
    <s v="Quicken"/>
    <s v="1Point Rate"/>
    <s v="MTG"/>
    <x v="2"/>
    <n v="4.2722152605049795"/>
  </r>
  <r>
    <x v="0"/>
    <s v="Quicken"/>
    <s v="1Point Rate"/>
    <s v="MTG"/>
    <x v="3"/>
    <n v="4.356765969784167"/>
  </r>
  <r>
    <x v="0"/>
    <s v="Quicken"/>
    <s v="1Point Rate"/>
    <s v="MTG"/>
    <x v="4"/>
    <n v="4.3975094107446839"/>
  </r>
  <r>
    <x v="0"/>
    <s v="Quicken"/>
    <s v="1Point Rate"/>
    <s v="MTG"/>
    <x v="5"/>
    <n v="4.3364393474588088"/>
  </r>
  <r>
    <x v="0"/>
    <s v="Quicken"/>
    <s v="1Point Rate"/>
    <s v="MTG"/>
    <x v="6"/>
    <n v="4.3043588303271259"/>
  </r>
  <r>
    <x v="0"/>
    <s v="Quicken"/>
    <s v="1Point Rate"/>
    <s v="MTG"/>
    <x v="7"/>
    <n v="4.2722196725487462"/>
  </r>
  <r>
    <x v="0"/>
    <s v="Quicken"/>
    <s v="1Point Rate"/>
    <s v="MTG"/>
    <x v="8"/>
    <n v="4.3043588303271259"/>
  </r>
  <r>
    <x v="0"/>
    <s v="Quicken"/>
    <s v="1Point Rate"/>
    <s v="MTG"/>
    <x v="9"/>
    <n v="4.2722152605049795"/>
  </r>
  <r>
    <x v="0"/>
    <s v="Quicken"/>
    <s v="1Point Rate"/>
    <s v="MTG"/>
    <x v="10"/>
    <n v="4.2722196725487462"/>
  </r>
  <r>
    <x v="0"/>
    <s v="Quicken"/>
    <s v="1Point Rate"/>
    <s v="MTG"/>
    <x v="11"/>
    <n v="4.1164931032788781"/>
  </r>
  <r>
    <x v="0"/>
    <s v="Quicken"/>
    <s v="1Point Rate"/>
    <s v="MTG"/>
    <x v="12"/>
    <n v="4.1164931032788781"/>
  </r>
  <r>
    <x v="0"/>
    <s v="Quicken"/>
    <s v="1Point Rate"/>
    <s v="MTG"/>
    <x v="13"/>
    <n v="4.1489354754111796"/>
  </r>
  <r>
    <x v="0"/>
    <s v="Quicken"/>
    <s v="1Point Rate"/>
    <s v="MTG"/>
    <x v="14"/>
    <n v="4.1164931032788781"/>
  </r>
  <r>
    <x v="0"/>
    <s v="Quicken"/>
    <s v="1Point Rate"/>
    <s v="MTG"/>
    <x v="15"/>
    <n v="4.0839866621698553"/>
  </r>
  <r>
    <x v="0"/>
    <s v="Quicken"/>
    <s v="1Point Rate"/>
    <s v="MTG"/>
    <x v="16"/>
    <n v="4.1164931032788781"/>
  </r>
  <r>
    <x v="0"/>
    <s v="Quicken"/>
    <s v="1Point Rate"/>
    <s v="MTG"/>
    <x v="17"/>
    <n v="4.2429503753802189"/>
  </r>
  <r>
    <x v="0"/>
    <s v="Quicken"/>
    <s v="1Point Rate"/>
    <s v="MTG"/>
    <x v="18"/>
    <n v="4.1783730691905516"/>
  </r>
  <r>
    <x v="0"/>
    <s v="Quicken"/>
    <s v="1Point Rate"/>
    <s v="MTG"/>
    <x v="19"/>
    <n v="4.1783730691905516"/>
  </r>
  <r>
    <x v="0"/>
    <s v="Quicken"/>
    <s v="1Point Rate"/>
    <s v="MTG"/>
    <x v="20"/>
    <n v="4.1489354754111796"/>
  </r>
  <r>
    <x v="0"/>
    <s v="Quicken"/>
    <s v="1Point Rate"/>
    <s v="MTG"/>
    <x v="21"/>
    <n v="4.0543796294704109"/>
  </r>
  <r>
    <x v="0"/>
    <s v="Quicken"/>
    <s v="1Point Rate"/>
    <s v="MTG"/>
    <x v="22"/>
    <n v="4.0543796294704109"/>
  </r>
  <r>
    <x v="0"/>
    <s v="Quicken"/>
    <s v="1Point Rate"/>
    <s v="MTG"/>
    <x v="23"/>
    <n v="4.1173811756101593"/>
  </r>
  <r>
    <x v="0"/>
    <s v="Quicken"/>
    <s v="1Point Rate"/>
    <s v="MTG"/>
    <x v="24"/>
    <n v="4.1173811756101593"/>
  </r>
  <r>
    <x v="0"/>
    <s v="Quicken"/>
    <s v="1Point Rate"/>
    <s v="MTG"/>
    <x v="25"/>
    <n v="4.1164931032788781"/>
  </r>
  <r>
    <x v="0"/>
    <s v="Quicken"/>
    <s v="1Point Rate"/>
    <s v="MTG"/>
    <x v="26"/>
    <n v="4.0839866621698553"/>
  </r>
  <r>
    <x v="0"/>
    <s v="Quicken"/>
    <s v="1Point Rate"/>
    <s v="MTG"/>
    <x v="27"/>
    <n v="4.1164931032788781"/>
  </r>
  <r>
    <x v="0"/>
    <s v="Quicken"/>
    <s v="1Point Rate"/>
    <s v="MTG"/>
    <x v="28"/>
    <n v="4.1468684016219548"/>
  </r>
  <r>
    <x v="0"/>
    <s v="Quicken"/>
    <s v="1Point Rate"/>
    <s v="MTG"/>
    <x v="29"/>
    <n v="4.0839866621698553"/>
  </r>
  <r>
    <x v="0"/>
    <s v="Quicken"/>
    <s v="1Point Rate"/>
    <s v="MTG"/>
    <x v="30"/>
    <n v="4.0848839185997514"/>
  </r>
  <r>
    <x v="0"/>
    <s v="Quicken"/>
    <s v="1Point Rate"/>
    <s v="MTG"/>
    <x v="31"/>
    <n v="4.0848839185997514"/>
  </r>
  <r>
    <x v="0"/>
    <s v="Quicken"/>
    <s v="1Point Rate"/>
    <s v="MTG"/>
    <x v="32"/>
    <n v="4.0848839185997514"/>
  </r>
  <r>
    <x v="0"/>
    <s v="Quicken"/>
    <s v="1Point Rate"/>
    <s v="MTG"/>
    <x v="33"/>
    <n v="4.0848839185997514"/>
  </r>
  <r>
    <x v="0"/>
    <s v="Quicken"/>
    <s v="1Point Rate"/>
    <s v="MTG"/>
    <x v="34"/>
    <n v="4.0848839185997514"/>
  </r>
  <r>
    <x v="0"/>
    <s v="Quicken"/>
    <s v="1Point Rate"/>
    <s v="MTG"/>
    <x v="35"/>
    <n v="4.1173811756101593"/>
  </r>
  <r>
    <x v="0"/>
    <s v="Quicken"/>
    <s v="1Point Rate"/>
    <s v="MTG"/>
    <x v="36"/>
    <n v="4.1468684016219548"/>
  </r>
  <r>
    <x v="0"/>
    <s v="Quicken"/>
    <s v="1Point Rate"/>
    <s v="MTG"/>
    <x v="37"/>
    <n v="4.0839866621698553"/>
  </r>
  <r>
    <x v="0"/>
    <s v="Quicken"/>
    <s v="1Point Rate"/>
    <s v="MTG"/>
    <x v="38"/>
    <n v="4.0839866621698553"/>
  </r>
  <r>
    <x v="0"/>
    <s v="Quicken"/>
    <s v="1Point Rate"/>
    <s v="MTG"/>
    <x v="39"/>
    <n v="4.0543796294704109"/>
  </r>
  <r>
    <x v="0"/>
    <s v="Quicken"/>
    <s v="1Point Rate"/>
    <s v="MTG"/>
    <x v="40"/>
    <n v="4.1164931032788781"/>
  </r>
  <r>
    <x v="0"/>
    <s v="Quicken"/>
    <s v="1Point Rate"/>
    <s v="MTG"/>
    <x v="41"/>
    <n v="4.2722196725487462"/>
  </r>
  <r>
    <x v="0"/>
    <s v="Quicken"/>
    <s v="1Point Rate"/>
    <s v="MTG"/>
    <x v="42"/>
    <n v="4.2722196725487462"/>
  </r>
  <r>
    <x v="0"/>
    <s v="Quicken"/>
    <s v="1Point Rate"/>
    <s v="MTG"/>
    <x v="43"/>
    <n v="4.2429503753802189"/>
  </r>
  <r>
    <x v="0"/>
    <s v="Quicken"/>
    <s v="1Point Rate"/>
    <s v="MTG"/>
    <x v="44"/>
    <n v="4.2722152605049795"/>
  </r>
  <r>
    <x v="0"/>
    <s v="Quicken"/>
    <s v="1Point Rate"/>
    <s v="MTG"/>
    <x v="45"/>
    <n v="4.3364393474588088"/>
  </r>
  <r>
    <x v="0"/>
    <s v="Quicken"/>
    <s v="1Point Rate"/>
    <s v="MTG"/>
    <x v="46"/>
    <n v="4.2955298466319416"/>
  </r>
  <r>
    <x v="0"/>
    <s v="Quicken"/>
    <s v="1Point Rate"/>
    <s v="MTG"/>
    <x v="47"/>
    <n v="4.3247184562130432"/>
  </r>
  <r>
    <x v="0"/>
    <s v="Quicken"/>
    <s v="1Point Rate"/>
    <s v="MTG"/>
    <x v="48"/>
    <n v="4.2722196725487462"/>
  </r>
  <r>
    <x v="0"/>
    <s v="Quicken"/>
    <s v="1Point Rate"/>
    <s v="MTG"/>
    <x v="49"/>
    <n v="4.3247184562130432"/>
  </r>
  <r>
    <x v="0"/>
    <s v="Quicken"/>
    <s v="1Point Rate"/>
    <s v="MTG"/>
    <x v="50"/>
    <n v="4.356765969784167"/>
  </r>
  <r>
    <x v="0"/>
    <s v="Quicken"/>
    <s v="1Point Rate"/>
    <s v="MTG"/>
    <x v="51"/>
    <n v="4.3247184562130432"/>
  </r>
  <r>
    <x v="0"/>
    <s v="Quicken"/>
    <s v="1Point Rate"/>
    <s v="MTG"/>
    <x v="52"/>
    <n v="4.356765969784167"/>
  </r>
  <r>
    <x v="0"/>
    <s v="Quicken"/>
    <s v="1Point Rate"/>
    <s v="MTG"/>
    <x v="53"/>
    <n v="4.3364393474588088"/>
  </r>
  <r>
    <x v="0"/>
    <s v="Quicken"/>
    <s v="1Point Rate"/>
    <s v="MTG"/>
    <x v="54"/>
    <n v="4.3655488616966043"/>
  </r>
  <r>
    <x v="0"/>
    <s v="Quicken"/>
    <s v="1Point Rate"/>
    <s v="MTG"/>
    <x v="55"/>
    <n v="4.356765969784167"/>
  </r>
  <r>
    <x v="0"/>
    <s v="Quicken"/>
    <s v="1Point Rate"/>
    <s v="MTG"/>
    <x v="56"/>
    <n v="4.3247184562130432"/>
  </r>
  <r>
    <x v="0"/>
    <s v="Quicken"/>
    <s v="1Point Rate"/>
    <s v="MTG"/>
    <x v="57"/>
    <n v="4.3247184562130432"/>
  </r>
  <r>
    <x v="0"/>
    <s v="Quicken"/>
    <s v="1Point Rate"/>
    <s v="MTG"/>
    <x v="58"/>
    <n v="4.3655488616966043"/>
  </r>
  <r>
    <x v="0"/>
    <s v="Quicken"/>
    <s v="1Point Rate"/>
    <s v="MTG"/>
    <x v="59"/>
    <n v="4.3975094107446839"/>
  </r>
  <r>
    <x v="0"/>
    <s v="Quicken"/>
    <s v="1Point Rate"/>
    <s v="MTG"/>
    <x v="60"/>
    <n v="4.3364393474588088"/>
  </r>
  <r>
    <x v="0"/>
    <s v="Quicken"/>
    <s v="1Point Rate"/>
    <s v="MTG"/>
    <x v="61"/>
    <n v="4.3364393474588088"/>
  </r>
  <r>
    <x v="0"/>
    <s v="Quicken"/>
    <s v="1Point Rate"/>
    <s v="MTG"/>
    <x v="62"/>
    <n v="4.3043588303271259"/>
  </r>
  <r>
    <x v="0"/>
    <s v="Quicken"/>
    <s v="1Point Rate"/>
    <s v="MTG"/>
    <x v="63"/>
    <n v="4.4177736793579685"/>
  </r>
  <r>
    <x v="0"/>
    <s v="Quicken"/>
    <s v="1Point Rate"/>
    <s v="MTG"/>
    <x v="64"/>
    <n v="4.4177736793579685"/>
  </r>
  <r>
    <x v="0"/>
    <s v="Quicken"/>
    <s v="1Point Rate"/>
    <s v="MTG"/>
    <x v="65"/>
    <n v="4.5215920109797576"/>
  </r>
  <r>
    <x v="0"/>
    <s v="Quicken"/>
    <s v="1Point Rate"/>
    <s v="MTG"/>
    <x v="66"/>
    <n v="4.51007164418104"/>
  </r>
  <r>
    <x v="0"/>
    <s v="Quicken"/>
    <s v="1Point Rate"/>
    <s v="MTG"/>
    <x v="67"/>
    <n v="4.5733883757567257"/>
  </r>
  <r>
    <x v="0"/>
    <s v="Quicken"/>
    <s v="1Point Rate"/>
    <s v="MTG"/>
    <x v="68"/>
    <n v="4.5733883757567257"/>
  </r>
  <r>
    <x v="0"/>
    <s v="Quicken"/>
    <s v="1Point Rate"/>
    <s v="MTG"/>
    <x v="69"/>
    <n v="4.5733883757567257"/>
  </r>
  <r>
    <x v="0"/>
    <s v="Quicken"/>
    <s v="1Point Rate"/>
    <s v="MTG"/>
    <x v="70"/>
    <n v="4.58487342616412"/>
  </r>
  <r>
    <x v="0"/>
    <s v="Quicken"/>
    <s v="1Point Rate"/>
    <s v="MTG"/>
    <x v="71"/>
    <n v="4.5733883757567257"/>
  </r>
  <r>
    <x v="0"/>
    <s v="Quicken"/>
    <s v="1Point Rate"/>
    <s v="MTG"/>
    <x v="72"/>
    <n v="4.5417608906253868"/>
  </r>
  <r>
    <x v="0"/>
    <s v="Quicken"/>
    <s v="1Point Rate"/>
    <s v="MTG"/>
    <x v="73"/>
    <n v="4.51007164418104"/>
  </r>
  <r>
    <x v="0"/>
    <s v="Quicken"/>
    <s v="1Point Rate"/>
    <s v="MTG"/>
    <x v="74"/>
    <n v="4.5417608906253868"/>
  </r>
  <r>
    <x v="0"/>
    <s v="Quicken"/>
    <s v="1Point Rate"/>
    <s v="MTG"/>
    <x v="75"/>
    <n v="4.5417608906253868"/>
  </r>
  <r>
    <x v="0"/>
    <s v="Quicken"/>
    <s v="1Point Rate"/>
    <s v="MTG"/>
    <x v="76"/>
    <n v="4.5131838688757515"/>
  </r>
  <r>
    <x v="0"/>
    <s v="Quicken"/>
    <s v="1Point Rate"/>
    <s v="MTG"/>
    <x v="77"/>
    <n v="4.449639278675031"/>
  </r>
  <r>
    <x v="0"/>
    <s v="Quicken"/>
    <s v="1Point Rate"/>
    <s v="MTG"/>
    <x v="78"/>
    <n v="4.4783204935797372"/>
  </r>
  <r>
    <x v="0"/>
    <s v="Quicken"/>
    <s v="1Point Rate"/>
    <s v="MTG"/>
    <x v="79"/>
    <n v="4.5215920109797576"/>
  </r>
  <r>
    <x v="0"/>
    <s v="Quicken"/>
    <s v="1Point Rate"/>
    <s v="MTG"/>
    <x v="80"/>
    <n v="4.5215920109797576"/>
  </r>
  <r>
    <x v="0"/>
    <s v="Quicken"/>
    <s v="1Point Rate"/>
    <s v="MTG"/>
    <x v="81"/>
    <n v="4.5215920109797576"/>
  </r>
  <r>
    <x v="0"/>
    <s v="Quicken"/>
    <s v="1Point Rate"/>
    <s v="MTG"/>
    <x v="82"/>
    <n v="4.58487342616412"/>
  </r>
  <r>
    <x v="0"/>
    <s v="Quicken"/>
    <s v="1Point Rate"/>
    <s v="MTG"/>
    <x v="83"/>
    <n v="4.5215920109797576"/>
  </r>
  <r>
    <x v="0"/>
    <s v="Quicken"/>
    <s v="1Point Rate"/>
    <s v="MTG"/>
    <x v="84"/>
    <n v="4.5215920109797576"/>
  </r>
  <r>
    <x v="0"/>
    <s v="Quicken"/>
    <s v="1Point Rate"/>
    <s v="MTG"/>
    <x v="85"/>
    <n v="4.58487342616412"/>
  </r>
  <r>
    <x v="0"/>
    <s v="Quicken"/>
    <s v="1Point Rate"/>
    <s v="MTG"/>
    <x v="86"/>
    <n v="4.5215920109797576"/>
  </r>
  <r>
    <x v="0"/>
    <s v="Quicken"/>
    <s v="1Point Rate"/>
    <s v="MTG"/>
    <x v="87"/>
    <n v="4.5733883757567257"/>
  </r>
  <r>
    <x v="0"/>
    <s v="Quicken"/>
    <s v="1Point Rate"/>
    <s v="MTG"/>
    <x v="88"/>
    <n v="4.5131838688757515"/>
  </r>
  <r>
    <x v="0"/>
    <s v="Quicken"/>
    <s v="1Point Rate"/>
    <s v="MTG"/>
    <x v="89"/>
    <n v="4.5417608906253868"/>
  </r>
  <r>
    <x v="0"/>
    <s v="Quicken"/>
    <s v="1Point Rate"/>
    <s v="MTG"/>
    <x v="90"/>
    <n v="4.6278726141585871"/>
  </r>
  <r>
    <x v="0"/>
    <s v="Quicken"/>
    <s v="1Point Rate"/>
    <s v="MTG"/>
    <x v="91"/>
    <n v="4.6393276238687271"/>
  </r>
  <r>
    <x v="0"/>
    <s v="Quicken"/>
    <s v="1Point Rate"/>
    <s v="MTG"/>
    <x v="92"/>
    <n v="4.623303488160051"/>
  </r>
  <r>
    <x v="0"/>
    <s v="Quicken"/>
    <s v="1Point Rate"/>
    <s v="MTG"/>
    <x v="93"/>
    <n v="4.5647651580417525"/>
  </r>
  <r>
    <x v="0"/>
    <s v="Quicken"/>
    <s v="1Point Rate"/>
    <s v="MTG"/>
    <x v="94"/>
    <n v="4.61355243920144"/>
  </r>
  <r>
    <x v="0"/>
    <s v="Quicken"/>
    <s v="1Point Rate"/>
    <s v="MTG"/>
    <x v="95"/>
    <n v="4.5590153608656223"/>
  </r>
  <r>
    <x v="0"/>
    <s v="Quicken"/>
    <s v="1Point Rate"/>
    <s v="MTG"/>
    <x v="96"/>
    <n v="4.5244737897027454"/>
  </r>
  <r>
    <x v="0"/>
    <s v="Quicken"/>
    <s v="1Point Rate"/>
    <s v="MTG"/>
    <x v="97"/>
    <n v="4.6020892685877657"/>
  </r>
  <r>
    <x v="0"/>
    <s v="Quicken"/>
    <s v="1Point Rate"/>
    <s v="MTG"/>
    <x v="98"/>
    <n v="4.6307417564501678"/>
  </r>
  <r>
    <x v="0"/>
    <s v="Quicken"/>
    <s v="1Point Rate"/>
    <s v="MTG"/>
    <x v="99"/>
    <n v="4.61355243920144"/>
  </r>
  <r>
    <x v="0"/>
    <s v="Quicken"/>
    <s v="1Point Rate"/>
    <s v="MTG"/>
    <x v="100"/>
    <n v="4.6421801086296943"/>
  </r>
  <r>
    <x v="0"/>
    <s v="Quicken"/>
    <s v="1Point Rate"/>
    <s v="MTG"/>
    <x v="101"/>
    <n v="4.5388826043032733"/>
  </r>
  <r>
    <x v="0"/>
    <s v="Quicken"/>
    <s v="1Point Rate"/>
    <s v="MTG"/>
    <x v="102"/>
    <n v="4.5391078806773386"/>
  </r>
  <r>
    <x v="0"/>
    <s v="Quicken"/>
    <s v="1Point Rate"/>
    <s v="MTG"/>
    <x v="103"/>
    <n v="4.5360038074512801"/>
  </r>
  <r>
    <x v="0"/>
    <s v="Quicken"/>
    <s v="1Point Rate"/>
    <s v="MTG"/>
    <x v="104"/>
    <n v="4.5331244999599418"/>
  </r>
  <r>
    <x v="0"/>
    <s v="Quicken"/>
    <s v="1Point Rate"/>
    <s v="MTG"/>
    <x v="105"/>
    <n v="4.5618946090091974"/>
  </r>
  <r>
    <x v="0"/>
    <s v="Quicken"/>
    <s v="1Point Rate"/>
    <s v="MTG"/>
    <x v="106"/>
    <n v="4.4987637218053917"/>
  </r>
  <r>
    <x v="0"/>
    <s v="Quicken"/>
    <s v="1Point Rate"/>
    <s v="MTG"/>
    <x v="107"/>
    <n v="4.455426331689484"/>
  </r>
  <r>
    <x v="0"/>
    <s v="Wells Fargo"/>
    <s v="1Point Rate"/>
    <s v="MTG"/>
    <x v="0"/>
    <n v="4.1618039804499194"/>
  </r>
  <r>
    <x v="0"/>
    <s v="Wells Fargo"/>
    <s v="1Point Rate"/>
    <s v="MTG"/>
    <x v="1"/>
    <n v="4.1618039804499194"/>
  </r>
  <r>
    <x v="0"/>
    <s v="Wells Fargo"/>
    <s v="1Point Rate"/>
    <s v="MTG"/>
    <x v="2"/>
    <n v="4.1618039804499194"/>
  </r>
  <r>
    <x v="0"/>
    <s v="Wells Fargo"/>
    <s v="1Point Rate"/>
    <s v="MTG"/>
    <x v="3"/>
    <n v="4.3642403763055508"/>
  </r>
  <r>
    <x v="0"/>
    <s v="Wells Fargo"/>
    <s v="1Point Rate"/>
    <s v="MTG"/>
    <x v="4"/>
    <n v="4.3002725972031506"/>
  </r>
  <r>
    <x v="0"/>
    <s v="Wells Fargo"/>
    <s v="1Point Rate"/>
    <s v="MTG"/>
    <x v="5"/>
    <n v="4.1930539804499194"/>
  </r>
  <r>
    <x v="0"/>
    <s v="Wells Fargo"/>
    <s v="1Point Rate"/>
    <s v="MTG"/>
    <x v="6"/>
    <n v="4.1930539804499194"/>
  </r>
  <r>
    <x v="0"/>
    <s v="Wells Fargo"/>
    <s v="1Point Rate"/>
    <s v="MTG"/>
    <x v="7"/>
    <n v="4.3001919961318613"/>
  </r>
  <r>
    <x v="0"/>
    <s v="Wells Fargo"/>
    <s v="1Point Rate"/>
    <s v="MTG"/>
    <x v="8"/>
    <n v="4.1930539804499194"/>
  </r>
  <r>
    <x v="0"/>
    <s v="Wells Fargo"/>
    <s v="1Point Rate"/>
    <s v="MTG"/>
    <x v="9"/>
    <n v="4.1618039804499194"/>
  </r>
  <r>
    <x v="0"/>
    <s v="Wells Fargo"/>
    <s v="1Point Rate"/>
    <s v="MTG"/>
    <x v="10"/>
    <n v="4.1305539804499194"/>
  </r>
  <r>
    <x v="0"/>
    <s v="Wells Fargo"/>
    <s v="1Point Rate"/>
    <s v="MTG"/>
    <x v="11"/>
    <n v="4.1748311341021385"/>
  </r>
  <r>
    <x v="0"/>
    <s v="Wells Fargo"/>
    <s v="1Point Rate"/>
    <s v="MTG"/>
    <x v="12"/>
    <n v="4.1135643018144359"/>
  </r>
  <r>
    <x v="0"/>
    <s v="Wells Fargo"/>
    <s v="1Point Rate"/>
    <s v="MTG"/>
    <x v="13"/>
    <n v="4.1748311341021385"/>
  </r>
  <r>
    <x v="0"/>
    <s v="Wells Fargo"/>
    <s v="1Point Rate"/>
    <s v="MTG"/>
    <x v="14"/>
    <n v="4.1135643018144359"/>
  </r>
  <r>
    <x v="0"/>
    <s v="Wells Fargo"/>
    <s v="1Point Rate"/>
    <s v="MTG"/>
    <x v="15"/>
    <n v="4.0672857326453746"/>
  </r>
  <r>
    <x v="0"/>
    <s v="Wells Fargo"/>
    <s v="1Point Rate"/>
    <s v="MTG"/>
    <x v="16"/>
    <n v="4.1135643018144359"/>
  </r>
  <r>
    <x v="0"/>
    <s v="Wells Fargo"/>
    <s v="1Point Rate"/>
    <s v="MTG"/>
    <x v="17"/>
    <n v="4.2360443194521897"/>
  </r>
  <r>
    <x v="0"/>
    <s v="Wells Fargo"/>
    <s v="1Point Rate"/>
    <s v="MTG"/>
    <x v="18"/>
    <n v="4.2360443194521897"/>
  </r>
  <r>
    <x v="0"/>
    <s v="Wells Fargo"/>
    <s v="1Point Rate"/>
    <s v="MTG"/>
    <x v="19"/>
    <n v="4.1748311341021385"/>
  </r>
  <r>
    <x v="0"/>
    <s v="Wells Fargo"/>
    <s v="1Point Rate"/>
    <s v="MTG"/>
    <x v="20"/>
    <n v="4.1135643018144359"/>
  </r>
  <r>
    <x v="0"/>
    <s v="Wells Fargo"/>
    <s v="1Point Rate"/>
    <s v="MTG"/>
    <x v="21"/>
    <n v="4.1720767377573145"/>
  </r>
  <r>
    <x v="0"/>
    <s v="Wells Fargo"/>
    <s v="1Point Rate"/>
    <s v="MTG"/>
    <x v="22"/>
    <n v="4.1720767377573145"/>
  </r>
  <r>
    <x v="0"/>
    <s v="Wells Fargo"/>
    <s v="1Point Rate"/>
    <s v="MTG"/>
    <x v="23"/>
    <n v="4.0492683414237005"/>
  </r>
  <r>
    <x v="0"/>
    <s v="Wells Fargo"/>
    <s v="1Point Rate"/>
    <s v="MTG"/>
    <x v="24"/>
    <n v="4.1135643018144359"/>
  </r>
  <r>
    <x v="0"/>
    <s v="Wells Fargo"/>
    <s v="1Point Rate"/>
    <s v="MTG"/>
    <x v="25"/>
    <n v="4.1135643018144359"/>
  </r>
  <r>
    <x v="0"/>
    <s v="Wells Fargo"/>
    <s v="1Point Rate"/>
    <s v="MTG"/>
    <x v="26"/>
    <n v="4.0672857326453746"/>
  </r>
  <r>
    <x v="0"/>
    <s v="Wells Fargo"/>
    <s v="1Point Rate"/>
    <s v="MTG"/>
    <x v="27"/>
    <n v="4.1720767377573145"/>
  </r>
  <r>
    <x v="0"/>
    <s v="Wells Fargo"/>
    <s v="1Point Rate"/>
    <s v="MTG"/>
    <x v="28"/>
    <n v="4.0672857326453746"/>
  </r>
  <r>
    <x v="0"/>
    <s v="Wells Fargo"/>
    <s v="1Point Rate"/>
    <s v="MTG"/>
    <x v="29"/>
    <n v="4.0672857326453746"/>
  </r>
  <r>
    <x v="0"/>
    <s v="Wells Fargo"/>
    <s v="1Point Rate"/>
    <s v="MTG"/>
    <x v="30"/>
    <n v="4.1106996097871527"/>
  </r>
  <r>
    <x v="0"/>
    <s v="Wells Fargo"/>
    <s v="1Point Rate"/>
    <s v="MTG"/>
    <x v="31"/>
    <n v="4.1720767377573145"/>
  </r>
  <r>
    <x v="0"/>
    <s v="Wells Fargo"/>
    <s v="1Point Rate"/>
    <s v="MTG"/>
    <x v="32"/>
    <n v="4.1720767377573145"/>
  </r>
  <r>
    <x v="0"/>
    <s v="Wells Fargo"/>
    <s v="1Point Rate"/>
    <s v="MTG"/>
    <x v="33"/>
    <n v="4.0672857326453746"/>
  </r>
  <r>
    <x v="0"/>
    <s v="Wells Fargo"/>
    <s v="1Point Rate"/>
    <s v="MTG"/>
    <x v="34"/>
    <n v="4.1720767377573145"/>
  </r>
  <r>
    <x v="0"/>
    <s v="Wells Fargo"/>
    <s v="1Point Rate"/>
    <s v="MTG"/>
    <x v="35"/>
    <n v="4.0672857326453746"/>
  </r>
  <r>
    <x v="0"/>
    <s v="Wells Fargo"/>
    <s v="1Point Rate"/>
    <s v="MTG"/>
    <x v="36"/>
    <n v="4.1135643018144359"/>
  </r>
  <r>
    <x v="0"/>
    <s v="Wells Fargo"/>
    <s v="1Point Rate"/>
    <s v="MTG"/>
    <x v="37"/>
    <n v="4.1135643018144359"/>
  </r>
  <r>
    <x v="0"/>
    <s v="Wells Fargo"/>
    <s v="1Point Rate"/>
    <s v="MTG"/>
    <x v="38"/>
    <n v="4.1135643018144359"/>
  </r>
  <r>
    <x v="0"/>
    <s v="Wells Fargo"/>
    <s v="1Point Rate"/>
    <s v="MTG"/>
    <x v="39"/>
    <n v="4.1135643018144359"/>
  </r>
  <r>
    <x v="0"/>
    <s v="Wells Fargo"/>
    <s v="1Point Rate"/>
    <s v="MTG"/>
    <x v="40"/>
    <n v="4.1748311341021385"/>
  </r>
  <r>
    <x v="0"/>
    <s v="Wells Fargo"/>
    <s v="1Point Rate"/>
    <s v="MTG"/>
    <x v="41"/>
    <n v="4.1618039804499194"/>
  </r>
  <r>
    <x v="0"/>
    <s v="Wells Fargo"/>
    <s v="1Point Rate"/>
    <s v="MTG"/>
    <x v="42"/>
    <n v="4.1305539804499194"/>
  </r>
  <r>
    <x v="0"/>
    <s v="Wells Fargo"/>
    <s v="1Point Rate"/>
    <s v="MTG"/>
    <x v="43"/>
    <n v="4.1305539804499194"/>
  </r>
  <r>
    <x v="0"/>
    <s v="Wells Fargo"/>
    <s v="1Point Rate"/>
    <s v="MTG"/>
    <x v="44"/>
    <n v="4.1618039804499194"/>
  </r>
  <r>
    <x v="0"/>
    <s v="Wells Fargo"/>
    <s v="1Point Rate"/>
    <s v="MTG"/>
    <x v="45"/>
    <n v="4.2392234701408622"/>
  </r>
  <r>
    <x v="0"/>
    <s v="Wells Fargo"/>
    <s v="1Point Rate"/>
    <s v="MTG"/>
    <x v="46"/>
    <n v="4.3642403763055508"/>
  </r>
  <r>
    <x v="0"/>
    <s v="Wells Fargo"/>
    <s v="1Point Rate"/>
    <s v="MTG"/>
    <x v="47"/>
    <n v="4.4251782413789309"/>
  </r>
  <r>
    <x v="0"/>
    <s v="Wells Fargo"/>
    <s v="1Point Rate"/>
    <s v="MTG"/>
    <x v="48"/>
    <n v="4.1618039804499194"/>
  </r>
  <r>
    <x v="0"/>
    <s v="Wells Fargo"/>
    <s v="1Point Rate"/>
    <s v="MTG"/>
    <x v="49"/>
    <n v="4.3642403763055508"/>
  </r>
  <r>
    <x v="0"/>
    <s v="Wells Fargo"/>
    <s v="1Point Rate"/>
    <s v="MTG"/>
    <x v="50"/>
    <n v="4.2563244659487021"/>
  </r>
  <r>
    <x v="0"/>
    <s v="Wells Fargo"/>
    <s v="1Point Rate"/>
    <s v="MTG"/>
    <x v="51"/>
    <n v="4.2875744659487021"/>
  </r>
  <r>
    <x v="0"/>
    <s v="Wells Fargo"/>
    <s v="1Point Rate"/>
    <s v="MTG"/>
    <x v="52"/>
    <n v="4.2875744659487021"/>
  </r>
  <r>
    <x v="0"/>
    <s v="Wells Fargo"/>
    <s v="1Point Rate"/>
    <s v="MTG"/>
    <x v="53"/>
    <n v="4.3002725972031506"/>
  </r>
  <r>
    <x v="0"/>
    <s v="Wells Fargo"/>
    <s v="1Point Rate"/>
    <s v="MTG"/>
    <x v="54"/>
    <n v="4.2392234701408622"/>
  </r>
  <r>
    <x v="0"/>
    <s v="Wells Fargo"/>
    <s v="1Point Rate"/>
    <s v="MTG"/>
    <x v="55"/>
    <n v="4.4251782413789309"/>
  </r>
  <r>
    <x v="0"/>
    <s v="Wells Fargo"/>
    <s v="1Point Rate"/>
    <s v="MTG"/>
    <x v="56"/>
    <n v="4.4251782413789309"/>
  </r>
  <r>
    <x v="0"/>
    <s v="Wells Fargo"/>
    <s v="1Point Rate"/>
    <s v="MTG"/>
    <x v="57"/>
    <n v="4.4251782413789309"/>
  </r>
  <r>
    <x v="0"/>
    <s v="Wells Fargo"/>
    <s v="1Point Rate"/>
    <s v="MTG"/>
    <x v="58"/>
    <n v="4.3642403763055508"/>
  </r>
  <r>
    <x v="0"/>
    <s v="Wells Fargo"/>
    <s v="1Point Rate"/>
    <s v="MTG"/>
    <x v="59"/>
    <n v="4.3642403763055508"/>
  </r>
  <r>
    <x v="0"/>
    <s v="Wells Fargo"/>
    <s v="1Point Rate"/>
    <s v="MTG"/>
    <x v="60"/>
    <n v="4.3002725972031506"/>
  </r>
  <r>
    <x v="0"/>
    <s v="Wells Fargo"/>
    <s v="1Point Rate"/>
    <s v="MTG"/>
    <x v="61"/>
    <n v="4.3002725972031506"/>
  </r>
  <r>
    <x v="0"/>
    <s v="Wells Fargo"/>
    <s v="1Point Rate"/>
    <s v="MTG"/>
    <x v="62"/>
    <n v="4.2392234701408622"/>
  </r>
  <r>
    <x v="0"/>
    <s v="Wells Fargo"/>
    <s v="1Point Rate"/>
    <s v="MTG"/>
    <x v="63"/>
    <n v="4.2875744659487021"/>
  </r>
  <r>
    <x v="0"/>
    <s v="Wells Fargo"/>
    <s v="1Point Rate"/>
    <s v="MTG"/>
    <x v="64"/>
    <n v="4.2875744659487021"/>
  </r>
  <r>
    <x v="0"/>
    <s v="Wells Fargo"/>
    <s v="1Point Rate"/>
    <s v="MTG"/>
    <x v="65"/>
    <n v="4.4447222357449441"/>
  </r>
  <r>
    <x v="0"/>
    <s v="Wells Fargo"/>
    <s v="1Point Rate"/>
    <s v="MTG"/>
    <x v="66"/>
    <n v="4.5531147075387262"/>
  </r>
  <r>
    <x v="0"/>
    <s v="Wells Fargo"/>
    <s v="1Point Rate"/>
    <s v="MTG"/>
    <x v="67"/>
    <n v="4.5542256765749203"/>
  </r>
  <r>
    <x v="0"/>
    <s v="Wells Fargo"/>
    <s v="1Point Rate"/>
    <s v="MTG"/>
    <x v="68"/>
    <n v="4.4906750935354101"/>
  </r>
  <r>
    <x v="0"/>
    <s v="Wells Fargo"/>
    <s v="1Point Rate"/>
    <s v="MTG"/>
    <x v="69"/>
    <n v="4.4906750935354101"/>
  </r>
  <r>
    <x v="0"/>
    <s v="Wells Fargo"/>
    <s v="1Point Rate"/>
    <s v="MTG"/>
    <x v="70"/>
    <n v="4.6782163696898609"/>
  </r>
  <r>
    <x v="0"/>
    <s v="Wells Fargo"/>
    <s v="1Point Rate"/>
    <s v="MTG"/>
    <x v="71"/>
    <n v="4.4906750935354101"/>
  </r>
  <r>
    <x v="0"/>
    <s v="Wells Fargo"/>
    <s v="1Point Rate"/>
    <s v="MTG"/>
    <x v="72"/>
    <n v="4.4906750935354101"/>
  </r>
  <r>
    <x v="0"/>
    <s v="Wells Fargo"/>
    <s v="1Point Rate"/>
    <s v="MTG"/>
    <x v="73"/>
    <n v="4.4447222357449441"/>
  </r>
  <r>
    <x v="0"/>
    <s v="Wells Fargo"/>
    <s v="1Point Rate"/>
    <s v="MTG"/>
    <x v="74"/>
    <n v="4.4447222357449441"/>
  </r>
  <r>
    <x v="0"/>
    <s v="Wells Fargo"/>
    <s v="1Point Rate"/>
    <s v="MTG"/>
    <x v="75"/>
    <n v="4.4447222357449441"/>
  </r>
  <r>
    <x v="0"/>
    <s v="Wells Fargo"/>
    <s v="1Point Rate"/>
    <s v="MTG"/>
    <x v="76"/>
    <n v="4.5531147075387262"/>
  </r>
  <r>
    <x v="0"/>
    <s v="Wells Fargo"/>
    <s v="1Point Rate"/>
    <s v="MTG"/>
    <x v="77"/>
    <n v="4.364885381659108"/>
  </r>
  <r>
    <x v="0"/>
    <s v="Wells Fargo"/>
    <s v="1Point Rate"/>
    <s v="MTG"/>
    <x v="78"/>
    <n v="4.4894479147795909"/>
  </r>
  <r>
    <x v="0"/>
    <s v="Wells Fargo"/>
    <s v="1Point Rate"/>
    <s v="MTG"/>
    <x v="79"/>
    <n v="4.5542256765749203"/>
  </r>
  <r>
    <x v="0"/>
    <s v="Wells Fargo"/>
    <s v="1Point Rate"/>
    <s v="MTG"/>
    <x v="80"/>
    <n v="4.5542256765749203"/>
  </r>
  <r>
    <x v="0"/>
    <s v="Wells Fargo"/>
    <s v="1Point Rate"/>
    <s v="MTG"/>
    <x v="81"/>
    <n v="4.5542256765749203"/>
  </r>
  <r>
    <x v="0"/>
    <s v="Wells Fargo"/>
    <s v="1Point Rate"/>
    <s v="MTG"/>
    <x v="82"/>
    <n v="4.5079973351823694"/>
  </r>
  <r>
    <x v="0"/>
    <s v="Wells Fargo"/>
    <s v="1Point Rate"/>
    <s v="MTG"/>
    <x v="83"/>
    <n v="4.6147854086055808"/>
  </r>
  <r>
    <x v="0"/>
    <s v="Wells Fargo"/>
    <s v="1Point Rate"/>
    <s v="MTG"/>
    <x v="84"/>
    <n v="4.4906750935354101"/>
  </r>
  <r>
    <x v="0"/>
    <s v="Wells Fargo"/>
    <s v="1Point Rate"/>
    <s v="MTG"/>
    <x v="85"/>
    <n v="4.6782163696898609"/>
  </r>
  <r>
    <x v="0"/>
    <s v="Wells Fargo"/>
    <s v="1Point Rate"/>
    <s v="MTG"/>
    <x v="86"/>
    <n v="4.5542256765749203"/>
  </r>
  <r>
    <x v="0"/>
    <s v="Wells Fargo"/>
    <s v="1Point Rate"/>
    <s v="MTG"/>
    <x v="87"/>
    <n v="4.5531147075387262"/>
  </r>
  <r>
    <x v="0"/>
    <s v="Wells Fargo"/>
    <s v="1Point Rate"/>
    <s v="MTG"/>
    <x v="88"/>
    <n v="4.4894479147795909"/>
  </r>
  <r>
    <x v="0"/>
    <s v="Wells Fargo"/>
    <s v="1Point Rate"/>
    <s v="MTG"/>
    <x v="89"/>
    <n v="4.5531147075387262"/>
  </r>
  <r>
    <x v="0"/>
    <s v="Wells Fargo"/>
    <s v="1Point Rate"/>
    <s v="MTG"/>
    <x v="90"/>
    <n v="4.4894479147795909"/>
  </r>
  <r>
    <x v="0"/>
    <s v="Wells Fargo"/>
    <s v="1Point Rate"/>
    <s v="MTG"/>
    <x v="91"/>
    <n v="4.6147854086055808"/>
  </r>
  <r>
    <x v="0"/>
    <s v="Wells Fargo"/>
    <s v="1Point Rate"/>
    <s v="MTG"/>
    <x v="92"/>
    <n v="4.5079973351823694"/>
  </r>
  <r>
    <x v="0"/>
    <s v="Wells Fargo"/>
    <s v="1Point Rate"/>
    <s v="MTG"/>
    <x v="93"/>
    <n v="4.5542256765749203"/>
  </r>
  <r>
    <x v="0"/>
    <s v="Wells Fargo"/>
    <s v="1Point Rate"/>
    <s v="MTG"/>
    <x v="94"/>
    <n v="4.4906750935354101"/>
  </r>
  <r>
    <x v="0"/>
    <s v="Wells Fargo"/>
    <s v="1Point Rate"/>
    <s v="MTG"/>
    <x v="95"/>
    <n v="4.5542256765749203"/>
  </r>
  <r>
    <x v="0"/>
    <s v="Wells Fargo"/>
    <s v="1Point Rate"/>
    <s v="MTG"/>
    <x v="96"/>
    <n v="4.4906750935354101"/>
  </r>
  <r>
    <x v="0"/>
    <s v="Wells Fargo"/>
    <s v="1Point Rate"/>
    <s v="MTG"/>
    <x v="97"/>
    <n v="4.4906750935354101"/>
  </r>
  <r>
    <x v="0"/>
    <s v="Wells Fargo"/>
    <s v="1Point Rate"/>
    <s v="MTG"/>
    <x v="98"/>
    <n v="4.5531147075387262"/>
  </r>
  <r>
    <x v="0"/>
    <s v="Wells Fargo"/>
    <s v="1Point Rate"/>
    <s v="MTG"/>
    <x v="99"/>
    <n v="4.4894479147795909"/>
  </r>
  <r>
    <x v="0"/>
    <s v="Wells Fargo"/>
    <s v="1Point Rate"/>
    <s v="MTG"/>
    <x v="100"/>
    <n v="4.5531147075387262"/>
  </r>
  <r>
    <x v="0"/>
    <s v="Wells Fargo"/>
    <s v="1Point Rate"/>
    <s v="MTG"/>
    <x v="101"/>
    <n v="4.4286731677951829"/>
  </r>
  <r>
    <x v="0"/>
    <s v="Wells Fargo"/>
    <s v="1Point Rate"/>
    <s v="MTG"/>
    <x v="102"/>
    <n v="4.4286731677951829"/>
  </r>
  <r>
    <x v="0"/>
    <s v="Wells Fargo"/>
    <s v="1Point Rate"/>
    <s v="MTG"/>
    <x v="103"/>
    <n v="4.4286731677951829"/>
  </r>
  <r>
    <x v="0"/>
    <s v="Wells Fargo"/>
    <s v="1Point Rate"/>
    <s v="MTG"/>
    <x v="104"/>
    <n v="4.4894479147795909"/>
  </r>
  <r>
    <x v="0"/>
    <s v="Wells Fargo"/>
    <s v="1Point Rate"/>
    <s v="MTG"/>
    <x v="105"/>
    <n v="4.4894479147795909"/>
  </r>
  <r>
    <x v="0"/>
    <s v="Wells Fargo"/>
    <s v="1Point Rate"/>
    <s v="MTG"/>
    <x v="106"/>
    <n v="4.3188244659487021"/>
  </r>
  <r>
    <x v="0"/>
    <s v="Wells Fargo"/>
    <s v="1Point Rate"/>
    <s v="MTG"/>
    <x v="107"/>
    <n v="4.2875744659487021"/>
  </r>
  <r>
    <x v="1"/>
    <s v="Wells Fargo"/>
    <s v="1Point Rate"/>
    <s v="MTG"/>
    <x v="0"/>
    <n v="4.0036250000000004"/>
  </r>
  <r>
    <x v="1"/>
    <s v="Wells Fargo"/>
    <s v="1Point Rate"/>
    <s v="MTG"/>
    <x v="1"/>
    <n v="4.0036250000000004"/>
  </r>
  <r>
    <x v="1"/>
    <s v="Wells Fargo"/>
    <s v="1Point Rate"/>
    <s v="MTG"/>
    <x v="2"/>
    <n v="3.9717500000000001"/>
  </r>
  <r>
    <x v="1"/>
    <s v="Wells Fargo"/>
    <s v="1Point Rate"/>
    <s v="MTG"/>
    <x v="3"/>
    <n v="4.0676249999999996"/>
  </r>
  <r>
    <x v="1"/>
    <s v="Wells Fargo"/>
    <s v="1Point Rate"/>
    <s v="MTG"/>
    <x v="4"/>
    <n v="4.0353750000000002"/>
  </r>
  <r>
    <x v="1"/>
    <s v="Wells Fargo"/>
    <s v="1Point Rate"/>
    <s v="MTG"/>
    <x v="5"/>
    <n v="4.0353750000000002"/>
  </r>
  <r>
    <x v="1"/>
    <s v="Wells Fargo"/>
    <s v="1Point Rate"/>
    <s v="MTG"/>
    <x v="6"/>
    <n v="4.0036250000000004"/>
  </r>
  <r>
    <x v="1"/>
    <s v="Wells Fargo"/>
    <s v="1Point Rate"/>
    <s v="MTG"/>
    <x v="7"/>
    <n v="3.9717500000000001"/>
  </r>
  <r>
    <x v="1"/>
    <s v="Wells Fargo"/>
    <s v="1Point Rate"/>
    <s v="MTG"/>
    <x v="8"/>
    <n v="4.0036250000000004"/>
  </r>
  <r>
    <x v="1"/>
    <s v="Wells Fargo"/>
    <s v="1Point Rate"/>
    <s v="MTG"/>
    <x v="9"/>
    <n v="3.9717500000000001"/>
  </r>
  <r>
    <x v="1"/>
    <s v="Wells Fargo"/>
    <s v="1Point Rate"/>
    <s v="MTG"/>
    <x v="10"/>
    <n v="3.9717500000000001"/>
  </r>
  <r>
    <x v="1"/>
    <s v="Wells Fargo"/>
    <s v="1Point Rate"/>
    <s v="MTG"/>
    <x v="11"/>
    <n v="3.8759999999999994"/>
  </r>
  <r>
    <x v="1"/>
    <s v="Wells Fargo"/>
    <s v="1Point Rate"/>
    <s v="MTG"/>
    <x v="12"/>
    <n v="3.8441249999999996"/>
  </r>
  <r>
    <x v="1"/>
    <s v="Wells Fargo"/>
    <s v="1Point Rate"/>
    <s v="MTG"/>
    <x v="13"/>
    <n v="3.9077500000000001"/>
  </r>
  <r>
    <x v="1"/>
    <s v="Wells Fargo"/>
    <s v="1Point Rate"/>
    <s v="MTG"/>
    <x v="14"/>
    <n v="3.8759999999999994"/>
  </r>
  <r>
    <x v="1"/>
    <s v="Wells Fargo"/>
    <s v="1Point Rate"/>
    <s v="MTG"/>
    <x v="15"/>
    <n v="3.8441249999999996"/>
  </r>
  <r>
    <x v="1"/>
    <s v="Wells Fargo"/>
    <s v="1Point Rate"/>
    <s v="MTG"/>
    <x v="16"/>
    <n v="3.8441249999999996"/>
  </r>
  <r>
    <x v="1"/>
    <s v="Wells Fargo"/>
    <s v="1Point Rate"/>
    <s v="MTG"/>
    <x v="17"/>
    <n v="3.9077500000000001"/>
  </r>
  <r>
    <x v="1"/>
    <s v="Wells Fargo"/>
    <s v="1Point Rate"/>
    <s v="MTG"/>
    <x v="18"/>
    <n v="3.9077500000000001"/>
  </r>
  <r>
    <x v="1"/>
    <s v="Wells Fargo"/>
    <s v="1Point Rate"/>
    <s v="MTG"/>
    <x v="19"/>
    <n v="3.9077500000000001"/>
  </r>
  <r>
    <x v="1"/>
    <s v="Wells Fargo"/>
    <s v="1Point Rate"/>
    <s v="MTG"/>
    <x v="20"/>
    <n v="3.8759999999999994"/>
  </r>
  <r>
    <x v="1"/>
    <s v="Wells Fargo"/>
    <s v="1Point Rate"/>
    <s v="MTG"/>
    <x v="21"/>
    <n v="3.8123749999999998"/>
  </r>
  <r>
    <x v="1"/>
    <s v="Wells Fargo"/>
    <s v="1Point Rate"/>
    <s v="MTG"/>
    <x v="22"/>
    <n v="3.7805"/>
  </r>
  <r>
    <x v="1"/>
    <s v="Wells Fargo"/>
    <s v="1Point Rate"/>
    <s v="MTG"/>
    <x v="23"/>
    <n v="3.7805"/>
  </r>
  <r>
    <x v="1"/>
    <s v="Wells Fargo"/>
    <s v="1Point Rate"/>
    <s v="MTG"/>
    <x v="24"/>
    <n v="3.964"/>
  </r>
  <r>
    <x v="1"/>
    <s v="Wells Fargo"/>
    <s v="1Point Rate"/>
    <s v="MTG"/>
    <x v="25"/>
    <n v="3.964"/>
  </r>
  <r>
    <x v="1"/>
    <s v="Wells Fargo"/>
    <s v="1Point Rate"/>
    <s v="MTG"/>
    <x v="26"/>
    <n v="4.0271249999999998"/>
  </r>
  <r>
    <x v="1"/>
    <s v="Wells Fargo"/>
    <s v="1Point Rate"/>
    <s v="MTG"/>
    <x v="27"/>
    <n v="3.9634999999999998"/>
  </r>
  <r>
    <x v="1"/>
    <s v="Wells Fargo"/>
    <s v="1Point Rate"/>
    <s v="MTG"/>
    <x v="28"/>
    <n v="4.0271249999999998"/>
  </r>
  <r>
    <x v="1"/>
    <s v="Wells Fargo"/>
    <s v="1Point Rate"/>
    <s v="MTG"/>
    <x v="29"/>
    <n v="4.0271249999999998"/>
  </r>
  <r>
    <x v="1"/>
    <s v="Wells Fargo"/>
    <s v="1Point Rate"/>
    <s v="MTG"/>
    <x v="30"/>
    <n v="3.8995000000000002"/>
  </r>
  <r>
    <x v="1"/>
    <s v="Wells Fargo"/>
    <s v="1Point Rate"/>
    <s v="MTG"/>
    <x v="31"/>
    <n v="3.8995000000000002"/>
  </r>
  <r>
    <x v="1"/>
    <s v="Wells Fargo"/>
    <s v="1Point Rate"/>
    <s v="MTG"/>
    <x v="32"/>
    <n v="3.9634999999999998"/>
  </r>
  <r>
    <x v="1"/>
    <s v="Wells Fargo"/>
    <s v="1Point Rate"/>
    <s v="MTG"/>
    <x v="33"/>
    <n v="3.9634999999999998"/>
  </r>
  <r>
    <x v="1"/>
    <s v="Wells Fargo"/>
    <s v="1Point Rate"/>
    <s v="MTG"/>
    <x v="34"/>
    <n v="3.8995000000000002"/>
  </r>
  <r>
    <x v="1"/>
    <s v="Wells Fargo"/>
    <s v="1Point Rate"/>
    <s v="MTG"/>
    <x v="35"/>
    <n v="3.9634999999999998"/>
  </r>
  <r>
    <x v="1"/>
    <s v="Wells Fargo"/>
    <s v="1Point Rate"/>
    <s v="MTG"/>
    <x v="36"/>
    <n v="4.0271249999999998"/>
  </r>
  <r>
    <x v="1"/>
    <s v="Wells Fargo"/>
    <s v="1Point Rate"/>
    <s v="MTG"/>
    <x v="37"/>
    <n v="4.0271249999999998"/>
  </r>
  <r>
    <x v="1"/>
    <s v="Wells Fargo"/>
    <s v="1Point Rate"/>
    <s v="MTG"/>
    <x v="38"/>
    <n v="3.9953749999999997"/>
  </r>
  <r>
    <x v="1"/>
    <s v="Wells Fargo"/>
    <s v="1Point Rate"/>
    <s v="MTG"/>
    <x v="39"/>
    <n v="4.0271249999999998"/>
  </r>
  <r>
    <x v="1"/>
    <s v="Wells Fargo"/>
    <s v="1Point Rate"/>
    <s v="MTG"/>
    <x v="40"/>
    <n v="3.9321250000000001"/>
  </r>
  <r>
    <x v="1"/>
    <s v="Wells Fargo"/>
    <s v="1Point Rate"/>
    <s v="MTG"/>
    <x v="41"/>
    <n v="4.0274999999999999"/>
  </r>
  <r>
    <x v="1"/>
    <s v="Wells Fargo"/>
    <s v="1Point Rate"/>
    <s v="MTG"/>
    <x v="42"/>
    <n v="3.9957500000000001"/>
  </r>
  <r>
    <x v="1"/>
    <s v="Wells Fargo"/>
    <s v="1Point Rate"/>
    <s v="MTG"/>
    <x v="43"/>
    <n v="3.9957500000000001"/>
  </r>
  <r>
    <x v="1"/>
    <s v="Wells Fargo"/>
    <s v="1Point Rate"/>
    <s v="MTG"/>
    <x v="44"/>
    <n v="4.0593750000000002"/>
  </r>
  <r>
    <x v="1"/>
    <s v="Wells Fargo"/>
    <s v="1Point Rate"/>
    <s v="MTG"/>
    <x v="45"/>
    <n v="4.0911249999999999"/>
  </r>
  <r>
    <x v="1"/>
    <s v="Wells Fargo"/>
    <s v="1Point Rate"/>
    <s v="MTG"/>
    <x v="46"/>
    <n v="4.1547499999999999"/>
  </r>
  <r>
    <x v="1"/>
    <s v="Wells Fargo"/>
    <s v="1Point Rate"/>
    <s v="MTG"/>
    <x v="47"/>
    <n v="4.1547499999999999"/>
  </r>
  <r>
    <x v="1"/>
    <s v="Wells Fargo"/>
    <s v="1Point Rate"/>
    <s v="MTG"/>
    <x v="48"/>
    <n v="4.0274999999999999"/>
  </r>
  <r>
    <x v="1"/>
    <s v="Wells Fargo"/>
    <s v="1Point Rate"/>
    <s v="MTG"/>
    <x v="49"/>
    <n v="4.1229999999999993"/>
  </r>
  <r>
    <x v="1"/>
    <s v="Wells Fargo"/>
    <s v="1Point Rate"/>
    <s v="MTG"/>
    <x v="50"/>
    <n v="4.1229999999999993"/>
  </r>
  <r>
    <x v="1"/>
    <s v="Wells Fargo"/>
    <s v="1Point Rate"/>
    <s v="MTG"/>
    <x v="51"/>
    <n v="4.1547499999999999"/>
  </r>
  <r>
    <x v="1"/>
    <s v="Wells Fargo"/>
    <s v="1Point Rate"/>
    <s v="MTG"/>
    <x v="52"/>
    <n v="4.1547499999999999"/>
  </r>
  <r>
    <x v="1"/>
    <s v="Wells Fargo"/>
    <s v="1Point Rate"/>
    <s v="MTG"/>
    <x v="53"/>
    <n v="4.0593750000000002"/>
  </r>
  <r>
    <x v="1"/>
    <s v="Wells Fargo"/>
    <s v="1Point Rate"/>
    <s v="MTG"/>
    <x v="54"/>
    <n v="4.0911249999999999"/>
  </r>
  <r>
    <x v="1"/>
    <s v="Wells Fargo"/>
    <s v="1Point Rate"/>
    <s v="MTG"/>
    <x v="55"/>
    <n v="4.1547499999999999"/>
  </r>
  <r>
    <x v="1"/>
    <s v="Wells Fargo"/>
    <s v="1Point Rate"/>
    <s v="MTG"/>
    <x v="56"/>
    <n v="4.1547499999999999"/>
  </r>
  <r>
    <x v="1"/>
    <s v="Wells Fargo"/>
    <s v="1Point Rate"/>
    <s v="MTG"/>
    <x v="57"/>
    <n v="4.1547499999999999"/>
  </r>
  <r>
    <x v="1"/>
    <s v="Wells Fargo"/>
    <s v="1Point Rate"/>
    <s v="MTG"/>
    <x v="58"/>
    <n v="4.1547499999999999"/>
  </r>
  <r>
    <x v="1"/>
    <s v="Wells Fargo"/>
    <s v="1Point Rate"/>
    <s v="MTG"/>
    <x v="59"/>
    <n v="4.155125"/>
  </r>
  <r>
    <x v="1"/>
    <s v="Wells Fargo"/>
    <s v="1Point Rate"/>
    <s v="MTG"/>
    <x v="60"/>
    <n v="4.1547499999999999"/>
  </r>
  <r>
    <x v="1"/>
    <s v="Wells Fargo"/>
    <s v="1Point Rate"/>
    <s v="MTG"/>
    <x v="61"/>
    <n v="4.1229999999999993"/>
  </r>
  <r>
    <x v="1"/>
    <s v="Wells Fargo"/>
    <s v="1Point Rate"/>
    <s v="MTG"/>
    <x v="62"/>
    <n v="4.0911249999999999"/>
  </r>
  <r>
    <x v="1"/>
    <s v="Wells Fargo"/>
    <s v="1Point Rate"/>
    <s v="MTG"/>
    <x v="63"/>
    <n v="4.0993750000000002"/>
  </r>
  <r>
    <x v="1"/>
    <s v="Wells Fargo"/>
    <s v="1Point Rate"/>
    <s v="MTG"/>
    <x v="64"/>
    <n v="4.0993750000000002"/>
  </r>
  <r>
    <x v="1"/>
    <s v="Wells Fargo"/>
    <s v="1Point Rate"/>
    <s v="MTG"/>
    <x v="65"/>
    <n v="4.2910000000000004"/>
  </r>
  <r>
    <x v="1"/>
    <s v="Wells Fargo"/>
    <s v="1Point Rate"/>
    <s v="MTG"/>
    <x v="66"/>
    <n v="4.2588749999999997"/>
  </r>
  <r>
    <x v="1"/>
    <s v="Wells Fargo"/>
    <s v="1Point Rate"/>
    <s v="MTG"/>
    <x v="67"/>
    <n v="4.2592500000000006"/>
  </r>
  <r>
    <x v="1"/>
    <s v="Wells Fargo"/>
    <s v="1Point Rate"/>
    <s v="MTG"/>
    <x v="68"/>
    <n v="4.2275"/>
  </r>
  <r>
    <x v="1"/>
    <s v="Wells Fargo"/>
    <s v="1Point Rate"/>
    <s v="MTG"/>
    <x v="69"/>
    <n v="4.1956249999999997"/>
  </r>
  <r>
    <x v="1"/>
    <s v="Wells Fargo"/>
    <s v="1Point Rate"/>
    <s v="MTG"/>
    <x v="70"/>
    <n v="4.2275"/>
  </r>
  <r>
    <x v="1"/>
    <s v="Wells Fargo"/>
    <s v="1Point Rate"/>
    <s v="MTG"/>
    <x v="71"/>
    <n v="4.1956249999999997"/>
  </r>
  <r>
    <x v="1"/>
    <s v="Wells Fargo"/>
    <s v="1Point Rate"/>
    <s v="MTG"/>
    <x v="72"/>
    <n v="4.2906250000000004"/>
  </r>
  <r>
    <x v="1"/>
    <s v="Wells Fargo"/>
    <s v="1Point Rate"/>
    <s v="MTG"/>
    <x v="73"/>
    <n v="4.2906250000000004"/>
  </r>
  <r>
    <x v="1"/>
    <s v="Wells Fargo"/>
    <s v="1Point Rate"/>
    <s v="MTG"/>
    <x v="74"/>
    <n v="4.2275"/>
  </r>
  <r>
    <x v="1"/>
    <s v="Wells Fargo"/>
    <s v="1Point Rate"/>
    <s v="MTG"/>
    <x v="75"/>
    <n v="4.2275"/>
  </r>
  <r>
    <x v="1"/>
    <s v="Wells Fargo"/>
    <s v="1Point Rate"/>
    <s v="MTG"/>
    <x v="76"/>
    <n v="4.2588749999999997"/>
  </r>
  <r>
    <x v="1"/>
    <s v="Wells Fargo"/>
    <s v="1Point Rate"/>
    <s v="MTG"/>
    <x v="77"/>
    <n v="4.2270000000000003"/>
  </r>
  <r>
    <x v="1"/>
    <s v="Wells Fargo"/>
    <s v="1Point Rate"/>
    <s v="MTG"/>
    <x v="78"/>
    <n v="4.2906250000000004"/>
  </r>
  <r>
    <x v="1"/>
    <s v="Wells Fargo"/>
    <s v="1Point Rate"/>
    <s v="MTG"/>
    <x v="79"/>
    <n v="4.3228750000000007"/>
  </r>
  <r>
    <x v="1"/>
    <s v="Wells Fargo"/>
    <s v="1Point Rate"/>
    <s v="MTG"/>
    <x v="80"/>
    <n v="4.2910000000000004"/>
  </r>
  <r>
    <x v="1"/>
    <s v="Wells Fargo"/>
    <s v="1Point Rate"/>
    <s v="MTG"/>
    <x v="81"/>
    <n v="4.2910000000000004"/>
  </r>
  <r>
    <x v="1"/>
    <s v="Wells Fargo"/>
    <s v="1Point Rate"/>
    <s v="MTG"/>
    <x v="82"/>
    <n v="4.3546250000000004"/>
  </r>
  <r>
    <x v="1"/>
    <s v="Wells Fargo"/>
    <s v="1Point Rate"/>
    <s v="MTG"/>
    <x v="83"/>
    <n v="4.2910000000000004"/>
  </r>
  <r>
    <x v="1"/>
    <s v="Wells Fargo"/>
    <s v="1Point Rate"/>
    <s v="MTG"/>
    <x v="84"/>
    <n v="4.2592500000000006"/>
  </r>
  <r>
    <x v="1"/>
    <s v="Wells Fargo"/>
    <s v="1Point Rate"/>
    <s v="MTG"/>
    <x v="85"/>
    <n v="4.3228750000000007"/>
  </r>
  <r>
    <x v="1"/>
    <s v="Wells Fargo"/>
    <s v="1Point Rate"/>
    <s v="MTG"/>
    <x v="86"/>
    <n v="4.2910000000000004"/>
  </r>
  <r>
    <x v="1"/>
    <s v="Wells Fargo"/>
    <s v="1Point Rate"/>
    <s v="MTG"/>
    <x v="87"/>
    <n v="4.2592500000000006"/>
  </r>
  <r>
    <x v="1"/>
    <s v="Wells Fargo"/>
    <s v="1Point Rate"/>
    <s v="MTG"/>
    <x v="88"/>
    <n v="4.2906250000000004"/>
  </r>
  <r>
    <x v="1"/>
    <s v="Wells Fargo"/>
    <s v="1Point Rate"/>
    <s v="MTG"/>
    <x v="89"/>
    <n v="4.2910000000000004"/>
  </r>
  <r>
    <x v="1"/>
    <s v="Wells Fargo"/>
    <s v="1Point Rate"/>
    <s v="MTG"/>
    <x v="90"/>
    <n v="4.2592500000000006"/>
  </r>
  <r>
    <x v="1"/>
    <s v="Wells Fargo"/>
    <s v="1Point Rate"/>
    <s v="MTG"/>
    <x v="91"/>
    <n v="4.3228750000000007"/>
  </r>
  <r>
    <x v="1"/>
    <s v="Wells Fargo"/>
    <s v="1Point Rate"/>
    <s v="MTG"/>
    <x v="92"/>
    <n v="4.3864999999999998"/>
  </r>
  <r>
    <x v="1"/>
    <s v="Wells Fargo"/>
    <s v="1Point Rate"/>
    <s v="MTG"/>
    <x v="93"/>
    <n v="4.2910000000000004"/>
  </r>
  <r>
    <x v="1"/>
    <s v="Wells Fargo"/>
    <s v="1Point Rate"/>
    <s v="MTG"/>
    <x v="94"/>
    <n v="4.2592500000000006"/>
  </r>
  <r>
    <x v="1"/>
    <s v="Wells Fargo"/>
    <s v="1Point Rate"/>
    <s v="MTG"/>
    <x v="95"/>
    <n v="4.2592500000000006"/>
  </r>
  <r>
    <x v="1"/>
    <s v="Wells Fargo"/>
    <s v="1Point Rate"/>
    <s v="MTG"/>
    <x v="96"/>
    <n v="4.2592500000000006"/>
  </r>
  <r>
    <x v="1"/>
    <s v="Wells Fargo"/>
    <s v="1Point Rate"/>
    <s v="MTG"/>
    <x v="97"/>
    <n v="4.2910000000000004"/>
  </r>
  <r>
    <x v="1"/>
    <s v="Wells Fargo"/>
    <s v="1Point Rate"/>
    <s v="MTG"/>
    <x v="98"/>
    <n v="4.2906250000000004"/>
  </r>
  <r>
    <x v="1"/>
    <s v="Wells Fargo"/>
    <s v="1Point Rate"/>
    <s v="MTG"/>
    <x v="99"/>
    <n v="4.2906250000000004"/>
  </r>
  <r>
    <x v="1"/>
    <s v="Wells Fargo"/>
    <s v="1Point Rate"/>
    <s v="MTG"/>
    <x v="100"/>
    <n v="4.2592500000000006"/>
  </r>
  <r>
    <x v="1"/>
    <s v="Wells Fargo"/>
    <s v="1Point Rate"/>
    <s v="MTG"/>
    <x v="101"/>
    <n v="4.2588749999999997"/>
  </r>
  <r>
    <x v="1"/>
    <s v="Wells Fargo"/>
    <s v="1Point Rate"/>
    <s v="MTG"/>
    <x v="102"/>
    <n v="4.2588749999999997"/>
  </r>
  <r>
    <x v="1"/>
    <s v="Wells Fargo"/>
    <s v="1Point Rate"/>
    <s v="MTG"/>
    <x v="103"/>
    <n v="4.2906250000000004"/>
  </r>
  <r>
    <x v="1"/>
    <s v="Wells Fargo"/>
    <s v="1Point Rate"/>
    <s v="MTG"/>
    <x v="104"/>
    <n v="4.2906250000000004"/>
  </r>
  <r>
    <x v="1"/>
    <s v="Wells Fargo"/>
    <s v="1Point Rate"/>
    <s v="MTG"/>
    <x v="105"/>
    <n v="4.2906250000000004"/>
  </r>
  <r>
    <x v="1"/>
    <s v="Wells Fargo"/>
    <s v="1Point Rate"/>
    <s v="MTG"/>
    <x v="106"/>
    <n v="4.1630000000000003"/>
  </r>
  <r>
    <x v="1"/>
    <s v="Wells Fargo"/>
    <s v="1Point Rate"/>
    <s v="MTG"/>
    <x v="107"/>
    <n v="4.1312500000000005"/>
  </r>
  <r>
    <x v="2"/>
    <s v="Wells Fargo"/>
    <s v="1Point Rate"/>
    <s v="MTG"/>
    <x v="0"/>
    <n v="4.123888942161555"/>
  </r>
  <r>
    <x v="2"/>
    <s v="Wells Fargo"/>
    <s v="1Point Rate"/>
    <s v="MTG"/>
    <x v="1"/>
    <n v="4.123888942161555"/>
  </r>
  <r>
    <x v="2"/>
    <s v="Wells Fargo"/>
    <s v="1Point Rate"/>
    <s v="MTG"/>
    <x v="2"/>
    <n v="4.123888942161555"/>
  </r>
  <r>
    <x v="2"/>
    <s v="Wells Fargo"/>
    <s v="1Point Rate"/>
    <s v="MTG"/>
    <x v="3"/>
    <n v="4.145604497342033"/>
  </r>
  <r>
    <x v="2"/>
    <s v="Wells Fargo"/>
    <s v="1Point Rate"/>
    <s v="MTG"/>
    <x v="4"/>
    <n v="4.0563500000000001"/>
  </r>
  <r>
    <x v="2"/>
    <s v="Wells Fargo"/>
    <s v="1Point Rate"/>
    <s v="MTG"/>
    <x v="5"/>
    <n v="4.0251000000000001"/>
  </r>
  <r>
    <x v="2"/>
    <s v="Wells Fargo"/>
    <s v="1Point Rate"/>
    <s v="MTG"/>
    <x v="6"/>
    <n v="4.123888942161555"/>
  </r>
  <r>
    <x v="2"/>
    <s v="Wells Fargo"/>
    <s v="1Point Rate"/>
    <s v="MTG"/>
    <x v="7"/>
    <n v="4.0195510152855149"/>
  </r>
  <r>
    <x v="2"/>
    <s v="Wells Fargo"/>
    <s v="1Point Rate"/>
    <s v="MTG"/>
    <x v="8"/>
    <n v="4.123888942161555"/>
  </r>
  <r>
    <x v="2"/>
    <s v="Wells Fargo"/>
    <s v="1Point Rate"/>
    <s v="MTG"/>
    <x v="9"/>
    <n v="3.9301000000000004"/>
  </r>
  <r>
    <x v="2"/>
    <s v="Wells Fargo"/>
    <s v="1Point Rate"/>
    <s v="MTG"/>
    <x v="10"/>
    <n v="3.8988500000000004"/>
  </r>
  <r>
    <x v="2"/>
    <s v="Wells Fargo"/>
    <s v="1Point Rate"/>
    <s v="MTG"/>
    <x v="11"/>
    <n v="3.9367503938171491"/>
  </r>
  <r>
    <x v="2"/>
    <s v="Wells Fargo"/>
    <s v="1Point Rate"/>
    <s v="MTG"/>
    <x v="12"/>
    <n v="3.872298391426404"/>
  </r>
  <r>
    <x v="2"/>
    <s v="Wells Fargo"/>
    <s v="1Point Rate"/>
    <s v="MTG"/>
    <x v="13"/>
    <n v="3.9367503938171491"/>
  </r>
  <r>
    <x v="2"/>
    <s v="Wells Fargo"/>
    <s v="1Point Rate"/>
    <s v="MTG"/>
    <x v="14"/>
    <n v="3.872298391426404"/>
  </r>
  <r>
    <x v="2"/>
    <s v="Wells Fargo"/>
    <s v="1Point Rate"/>
    <s v="MTG"/>
    <x v="15"/>
    <n v="3.8107367176633482"/>
  </r>
  <r>
    <x v="2"/>
    <s v="Wells Fargo"/>
    <s v="1Point Rate"/>
    <s v="MTG"/>
    <x v="16"/>
    <n v="3.872298391426404"/>
  </r>
  <r>
    <x v="2"/>
    <s v="Wells Fargo"/>
    <s v="1Point Rate"/>
    <s v="MTG"/>
    <x v="17"/>
    <n v="3.9367503938171491"/>
  </r>
  <r>
    <x v="2"/>
    <s v="Wells Fargo"/>
    <s v="1Point Rate"/>
    <s v="MTG"/>
    <x v="18"/>
    <n v="3.9980925223663326"/>
  </r>
  <r>
    <x v="2"/>
    <s v="Wells Fargo"/>
    <s v="1Point Rate"/>
    <s v="MTG"/>
    <x v="19"/>
    <n v="3.9367503938171491"/>
  </r>
  <r>
    <x v="2"/>
    <s v="Wells Fargo"/>
    <s v="1Point Rate"/>
    <s v="MTG"/>
    <x v="20"/>
    <n v="3.872298391426404"/>
  </r>
  <r>
    <x v="2"/>
    <s v="Wells Fargo"/>
    <s v="1Point Rate"/>
    <s v="MTG"/>
    <x v="21"/>
    <n v="3.7673467858228435"/>
  </r>
  <r>
    <x v="2"/>
    <s v="Wells Fargo"/>
    <s v="1Point Rate"/>
    <s v="MTG"/>
    <x v="22"/>
    <n v="3.7673467858228435"/>
  </r>
  <r>
    <x v="2"/>
    <s v="Wells Fargo"/>
    <s v="1Point Rate"/>
    <s v="MTG"/>
    <x v="23"/>
    <n v="3.7178705124641254"/>
  </r>
  <r>
    <x v="2"/>
    <s v="Wells Fargo"/>
    <s v="1Point Rate"/>
    <s v="MTG"/>
    <x v="24"/>
    <n v="3.8662066882918835"/>
  </r>
  <r>
    <x v="2"/>
    <s v="Wells Fargo"/>
    <s v="1Point Rate"/>
    <s v="MTG"/>
    <x v="25"/>
    <n v="3.8662066882918835"/>
  </r>
  <r>
    <x v="2"/>
    <s v="Wells Fargo"/>
    <s v="1Point Rate"/>
    <s v="MTG"/>
    <x v="26"/>
    <n v="3.804430007719005"/>
  </r>
  <r>
    <x v="2"/>
    <s v="Wells Fargo"/>
    <s v="1Point Rate"/>
    <s v="MTG"/>
    <x v="27"/>
    <n v="3.7609539039308504"/>
  </r>
  <r>
    <x v="2"/>
    <s v="Wells Fargo"/>
    <s v="1Point Rate"/>
    <s v="MTG"/>
    <x v="28"/>
    <n v="3.8662066882918835"/>
  </r>
  <r>
    <x v="2"/>
    <s v="Wells Fargo"/>
    <s v="1Point Rate"/>
    <s v="MTG"/>
    <x v="29"/>
    <n v="3.8662066882918835"/>
  </r>
  <r>
    <x v="2"/>
    <s v="Wells Fargo"/>
    <s v="1Point Rate"/>
    <s v="MTG"/>
    <x v="30"/>
    <n v="3.7113481910264978"/>
  </r>
  <r>
    <x v="2"/>
    <s v="Wells Fargo"/>
    <s v="1Point Rate"/>
    <s v="MTG"/>
    <x v="31"/>
    <n v="3.804430007719005"/>
  </r>
  <r>
    <x v="2"/>
    <s v="Wells Fargo"/>
    <s v="1Point Rate"/>
    <s v="MTG"/>
    <x v="32"/>
    <n v="3.804430007719005"/>
  </r>
  <r>
    <x v="2"/>
    <s v="Wells Fargo"/>
    <s v="1Point Rate"/>
    <s v="MTG"/>
    <x v="33"/>
    <n v="3.8662066882918835"/>
  </r>
  <r>
    <x v="2"/>
    <s v="Wells Fargo"/>
    <s v="1Point Rate"/>
    <s v="MTG"/>
    <x v="34"/>
    <n v="3.804430007719005"/>
  </r>
  <r>
    <x v="2"/>
    <s v="Wells Fargo"/>
    <s v="1Point Rate"/>
    <s v="MTG"/>
    <x v="35"/>
    <n v="3.8662066882918835"/>
  </r>
  <r>
    <x v="2"/>
    <s v="Wells Fargo"/>
    <s v="1Point Rate"/>
    <s v="MTG"/>
    <x v="36"/>
    <n v="3.8375095901912939"/>
  </r>
  <r>
    <x v="2"/>
    <s v="Wells Fargo"/>
    <s v="1Point Rate"/>
    <s v="MTG"/>
    <x v="37"/>
    <n v="3.8869825871584012"/>
  </r>
  <r>
    <x v="2"/>
    <s v="Wells Fargo"/>
    <s v="1Point Rate"/>
    <s v="MTG"/>
    <x v="38"/>
    <n v="3.8375095901912939"/>
  </r>
  <r>
    <x v="2"/>
    <s v="Wells Fargo"/>
    <s v="1Point Rate"/>
    <s v="MTG"/>
    <x v="39"/>
    <n v="3.8375095901912939"/>
  </r>
  <r>
    <x v="2"/>
    <s v="Wells Fargo"/>
    <s v="1Point Rate"/>
    <s v="MTG"/>
    <x v="40"/>
    <n v="3.9303703370483709"/>
  </r>
  <r>
    <x v="2"/>
    <s v="Wells Fargo"/>
    <s v="1Point Rate"/>
    <s v="MTG"/>
    <x v="41"/>
    <n v="4.117698774030444"/>
  </r>
  <r>
    <x v="2"/>
    <s v="Wells Fargo"/>
    <s v="1Point Rate"/>
    <s v="MTG"/>
    <x v="42"/>
    <n v="4.0563620311709938"/>
  </r>
  <r>
    <x v="2"/>
    <s v="Wells Fargo"/>
    <s v="1Point Rate"/>
    <s v="MTG"/>
    <x v="43"/>
    <n v="4.0563620311709938"/>
  </r>
  <r>
    <x v="2"/>
    <s v="Wells Fargo"/>
    <s v="1Point Rate"/>
    <s v="MTG"/>
    <x v="44"/>
    <n v="4.117698774030444"/>
  </r>
  <r>
    <x v="2"/>
    <s v="Wells Fargo"/>
    <s v="1Point Rate"/>
    <s v="MTG"/>
    <x v="45"/>
    <n v="4.0154500000000004"/>
  </r>
  <r>
    <x v="2"/>
    <s v="Wells Fargo"/>
    <s v="1Point Rate"/>
    <s v="MTG"/>
    <x v="46"/>
    <n v="4.0899335699667727"/>
  </r>
  <r>
    <x v="2"/>
    <s v="Wells Fargo"/>
    <s v="1Point Rate"/>
    <s v="MTG"/>
    <x v="47"/>
    <n v="4.1391429031887403"/>
  </r>
  <r>
    <x v="2"/>
    <s v="Wells Fargo"/>
    <s v="1Point Rate"/>
    <s v="MTG"/>
    <x v="48"/>
    <n v="4.117698774030444"/>
  </r>
  <r>
    <x v="2"/>
    <s v="Wells Fargo"/>
    <s v="1Point Rate"/>
    <s v="MTG"/>
    <x v="49"/>
    <n v="4.0899335699667727"/>
  </r>
  <r>
    <x v="2"/>
    <s v="Wells Fargo"/>
    <s v="1Point Rate"/>
    <s v="MTG"/>
    <x v="50"/>
    <n v="4.1823551213488175"/>
  </r>
  <r>
    <x v="2"/>
    <s v="Wells Fargo"/>
    <s v="1Point Rate"/>
    <s v="MTG"/>
    <x v="51"/>
    <n v="4.1823551213488175"/>
  </r>
  <r>
    <x v="2"/>
    <s v="Wells Fargo"/>
    <s v="1Point Rate"/>
    <s v="MTG"/>
    <x v="52"/>
    <n v="4.1823551213488175"/>
  </r>
  <r>
    <x v="2"/>
    <s v="Wells Fargo"/>
    <s v="1Point Rate"/>
    <s v="MTG"/>
    <x v="53"/>
    <n v="4.0154500000000004"/>
  </r>
  <r>
    <x v="2"/>
    <s v="Wells Fargo"/>
    <s v="1Point Rate"/>
    <s v="MTG"/>
    <x v="54"/>
    <n v="4.0154500000000004"/>
  </r>
  <r>
    <x v="2"/>
    <s v="Wells Fargo"/>
    <s v="1Point Rate"/>
    <s v="MTG"/>
    <x v="55"/>
    <n v="4.1391429031887403"/>
  </r>
  <r>
    <x v="2"/>
    <s v="Wells Fargo"/>
    <s v="1Point Rate"/>
    <s v="MTG"/>
    <x v="56"/>
    <n v="4.1078929031887403"/>
  </r>
  <r>
    <x v="2"/>
    <s v="Wells Fargo"/>
    <s v="1Point Rate"/>
    <s v="MTG"/>
    <x v="57"/>
    <n v="4.1078929031887403"/>
  </r>
  <r>
    <x v="2"/>
    <s v="Wells Fargo"/>
    <s v="1Point Rate"/>
    <s v="MTG"/>
    <x v="58"/>
    <n v="3.9529500000000004"/>
  </r>
  <r>
    <x v="2"/>
    <s v="Wells Fargo"/>
    <s v="1Point Rate"/>
    <s v="MTG"/>
    <x v="59"/>
    <n v="3.9842000000000004"/>
  </r>
  <r>
    <x v="2"/>
    <s v="Wells Fargo"/>
    <s v="1Point Rate"/>
    <s v="MTG"/>
    <x v="60"/>
    <n v="3.9529500000000004"/>
  </r>
  <r>
    <x v="2"/>
    <s v="Wells Fargo"/>
    <s v="1Point Rate"/>
    <s v="MTG"/>
    <x v="61"/>
    <n v="4.117698774030444"/>
  </r>
  <r>
    <x v="2"/>
    <s v="Wells Fargo"/>
    <s v="1Point Rate"/>
    <s v="MTG"/>
    <x v="62"/>
    <n v="4.0563620311709938"/>
  </r>
  <r>
    <x v="2"/>
    <s v="Wells Fargo"/>
    <s v="1Point Rate"/>
    <s v="MTG"/>
    <x v="63"/>
    <n v="4.114354497342033"/>
  </r>
  <r>
    <x v="2"/>
    <s v="Wells Fargo"/>
    <s v="1Point Rate"/>
    <s v="MTG"/>
    <x v="64"/>
    <n v="4.114354497342033"/>
  </r>
  <r>
    <x v="2"/>
    <s v="Wells Fargo"/>
    <s v="1Point Rate"/>
    <s v="MTG"/>
    <x v="65"/>
    <n v="4.2717089165741537"/>
  </r>
  <r>
    <x v="2"/>
    <s v="Wells Fargo"/>
    <s v="1Point Rate"/>
    <s v="MTG"/>
    <x v="66"/>
    <n v="4.2404589165741537"/>
  </r>
  <r>
    <x v="2"/>
    <s v="Wells Fargo"/>
    <s v="1Point Rate"/>
    <s v="MTG"/>
    <x v="67"/>
    <n v="4.3147493145490214"/>
  </r>
  <r>
    <x v="2"/>
    <s v="Wells Fargo"/>
    <s v="1Point Rate"/>
    <s v="MTG"/>
    <x v="68"/>
    <n v="4.2717089165741537"/>
  </r>
  <r>
    <x v="2"/>
    <s v="Wells Fargo"/>
    <s v="1Point Rate"/>
    <s v="MTG"/>
    <x v="69"/>
    <n v="4.2717089165741537"/>
  </r>
  <r>
    <x v="2"/>
    <s v="Wells Fargo"/>
    <s v="1Point Rate"/>
    <s v="MTG"/>
    <x v="70"/>
    <n v="4.5041620075276256"/>
  </r>
  <r>
    <x v="2"/>
    <s v="Wells Fargo"/>
    <s v="1Point Rate"/>
    <s v="MTG"/>
    <x v="71"/>
    <n v="4.2717089165741537"/>
  </r>
  <r>
    <x v="2"/>
    <s v="Wells Fargo"/>
    <s v="1Point Rate"/>
    <s v="MTG"/>
    <x v="72"/>
    <n v="4.2404589165741537"/>
  </r>
  <r>
    <x v="2"/>
    <s v="Wells Fargo"/>
    <s v="1Point Rate"/>
    <s v="MTG"/>
    <x v="73"/>
    <n v="4.2033105887459152"/>
  </r>
  <r>
    <x v="2"/>
    <s v="Wells Fargo"/>
    <s v="1Point Rate"/>
    <s v="MTG"/>
    <x v="74"/>
    <n v="4.2033105887459152"/>
  </r>
  <r>
    <x v="2"/>
    <s v="Wells Fargo"/>
    <s v="1Point Rate"/>
    <s v="MTG"/>
    <x v="75"/>
    <n v="4.2033105887459152"/>
  </r>
  <r>
    <x v="2"/>
    <s v="Wells Fargo"/>
    <s v="1Point Rate"/>
    <s v="MTG"/>
    <x v="76"/>
    <n v="4.2496377008409834"/>
  </r>
  <r>
    <x v="2"/>
    <s v="Wells Fargo"/>
    <s v="1Point Rate"/>
    <s v="MTG"/>
    <x v="77"/>
    <n v="4.114354497342033"/>
  </r>
  <r>
    <x v="2"/>
    <s v="Wells Fargo"/>
    <s v="1Point Rate"/>
    <s v="MTG"/>
    <x v="78"/>
    <n v="4.1887316643249344"/>
  </r>
  <r>
    <x v="2"/>
    <s v="Wells Fargo"/>
    <s v="1Point Rate"/>
    <s v="MTG"/>
    <x v="79"/>
    <n v="4.2717089165741537"/>
  </r>
  <r>
    <x v="2"/>
    <s v="Wells Fargo"/>
    <s v="1Point Rate"/>
    <s v="MTG"/>
    <x v="80"/>
    <n v="4.2717089165741537"/>
  </r>
  <r>
    <x v="2"/>
    <s v="Wells Fargo"/>
    <s v="1Point Rate"/>
    <s v="MTG"/>
    <x v="81"/>
    <n v="4.375438847121214"/>
  </r>
  <r>
    <x v="2"/>
    <s v="Wells Fargo"/>
    <s v="1Point Rate"/>
    <s v="MTG"/>
    <x v="82"/>
    <n v="4.3773"/>
  </r>
  <r>
    <x v="2"/>
    <s v="Wells Fargo"/>
    <s v="1Point Rate"/>
    <s v="MTG"/>
    <x v="83"/>
    <n v="4.5041620075276256"/>
  </r>
  <r>
    <x v="2"/>
    <s v="Wells Fargo"/>
    <s v="1Point Rate"/>
    <s v="MTG"/>
    <x v="84"/>
    <n v="4.2717089165741537"/>
  </r>
  <r>
    <x v="2"/>
    <s v="Wells Fargo"/>
    <s v="1Point Rate"/>
    <s v="MTG"/>
    <x v="85"/>
    <n v="4.3773"/>
  </r>
  <r>
    <x v="2"/>
    <s v="Wells Fargo"/>
    <s v="1Point Rate"/>
    <s v="MTG"/>
    <x v="86"/>
    <n v="4.375438847121214"/>
  </r>
  <r>
    <x v="2"/>
    <s v="Wells Fargo"/>
    <s v="1Point Rate"/>
    <s v="MTG"/>
    <x v="87"/>
    <n v="4.2033105887459152"/>
  </r>
  <r>
    <x v="2"/>
    <s v="Wells Fargo"/>
    <s v="1Point Rate"/>
    <s v="MTG"/>
    <x v="88"/>
    <n v="4.1887316643249344"/>
  </r>
  <r>
    <x v="2"/>
    <s v="Wells Fargo"/>
    <s v="1Point Rate"/>
    <s v="MTG"/>
    <x v="89"/>
    <n v="4.2496377008409834"/>
  </r>
  <r>
    <x v="2"/>
    <s v="Wells Fargo"/>
    <s v="1Point Rate"/>
    <s v="MTG"/>
    <x v="90"/>
    <n v="4.2496377008409834"/>
  </r>
  <r>
    <x v="2"/>
    <s v="Wells Fargo"/>
    <s v="1Point Rate"/>
    <s v="MTG"/>
    <x v="91"/>
    <n v="4.4407683440906052"/>
  </r>
  <r>
    <x v="2"/>
    <s v="Wells Fargo"/>
    <s v="1Point Rate"/>
    <s v="MTG"/>
    <x v="92"/>
    <n v="4.5041620075276256"/>
  </r>
  <r>
    <x v="2"/>
    <s v="Wells Fargo"/>
    <s v="1Point Rate"/>
    <s v="MTG"/>
    <x v="93"/>
    <n v="4.3147493145490214"/>
  </r>
  <r>
    <x v="2"/>
    <s v="Wells Fargo"/>
    <s v="1Point Rate"/>
    <s v="MTG"/>
    <x v="94"/>
    <n v="4.2717089165741537"/>
  </r>
  <r>
    <x v="2"/>
    <s v="Wells Fargo"/>
    <s v="1Point Rate"/>
    <s v="MTG"/>
    <x v="95"/>
    <n v="4.3147493145490214"/>
  </r>
  <r>
    <x v="2"/>
    <s v="Wells Fargo"/>
    <s v="1Point Rate"/>
    <s v="MTG"/>
    <x v="96"/>
    <n v="4.2717089165741537"/>
  </r>
  <r>
    <x v="2"/>
    <s v="Wells Fargo"/>
    <s v="1Point Rate"/>
    <s v="MTG"/>
    <x v="97"/>
    <n v="4.2717089165741537"/>
  </r>
  <r>
    <x v="2"/>
    <s v="Wells Fargo"/>
    <s v="1Point Rate"/>
    <s v="MTG"/>
    <x v="98"/>
    <n v="4.2033105887459152"/>
  </r>
  <r>
    <x v="2"/>
    <s v="Wells Fargo"/>
    <s v="1Point Rate"/>
    <s v="MTG"/>
    <x v="99"/>
    <n v="4.2496377008409834"/>
  </r>
  <r>
    <x v="2"/>
    <s v="Wells Fargo"/>
    <s v="1Point Rate"/>
    <s v="MTG"/>
    <x v="100"/>
    <n v="4.2404589165741537"/>
  </r>
  <r>
    <x v="2"/>
    <s v="Wells Fargo"/>
    <s v="1Point Rate"/>
    <s v="MTG"/>
    <x v="101"/>
    <n v="4.1887316643249344"/>
  </r>
  <r>
    <x v="2"/>
    <s v="Wells Fargo"/>
    <s v="1Point Rate"/>
    <s v="MTG"/>
    <x v="102"/>
    <n v="4.145604497342033"/>
  </r>
  <r>
    <x v="2"/>
    <s v="Wells Fargo"/>
    <s v="1Point Rate"/>
    <s v="MTG"/>
    <x v="103"/>
    <n v="4.1887316643249344"/>
  </r>
  <r>
    <x v="2"/>
    <s v="Wells Fargo"/>
    <s v="1Point Rate"/>
    <s v="MTG"/>
    <x v="104"/>
    <n v="4.1887316643249344"/>
  </r>
  <r>
    <x v="2"/>
    <s v="Wells Fargo"/>
    <s v="1Point Rate"/>
    <s v="MTG"/>
    <x v="105"/>
    <n v="4.2496377008409834"/>
  </r>
  <r>
    <x v="2"/>
    <s v="Wells Fargo"/>
    <s v="1Point Rate"/>
    <s v="MTG"/>
    <x v="106"/>
    <n v="4.0771627490827687"/>
  </r>
  <r>
    <x v="2"/>
    <s v="Wells Fargo"/>
    <s v="1Point Rate"/>
    <s v="MTG"/>
    <x v="107"/>
    <n v="4.0771627490827687"/>
  </r>
  <r>
    <x v="3"/>
    <s v="Wells Fargo"/>
    <s v="1Point Rate"/>
    <s v="MTG"/>
    <x v="0"/>
    <n v="3.9170666666666665"/>
  </r>
  <r>
    <x v="3"/>
    <s v="Wells Fargo"/>
    <s v="1Point Rate"/>
    <s v="MTG"/>
    <x v="1"/>
    <n v="3.9170666666666665"/>
  </r>
  <r>
    <x v="3"/>
    <s v="Wells Fargo"/>
    <s v="1Point Rate"/>
    <s v="MTG"/>
    <x v="2"/>
    <n v="3.9170666666666665"/>
  </r>
  <r>
    <x v="3"/>
    <s v="Wells Fargo"/>
    <s v="1Point Rate"/>
    <s v="MTG"/>
    <x v="3"/>
    <n v="3.9975388163708763"/>
  </r>
  <r>
    <x v="3"/>
    <s v="Wells Fargo"/>
    <s v="1Point Rate"/>
    <s v="MTG"/>
    <x v="4"/>
    <n v="3.9543261870321942"/>
  </r>
  <r>
    <x v="3"/>
    <s v="Wells Fargo"/>
    <s v="1Point Rate"/>
    <s v="MTG"/>
    <x v="5"/>
    <n v="3.929789796110164"/>
  </r>
  <r>
    <x v="3"/>
    <s v="Wells Fargo"/>
    <s v="1Point Rate"/>
    <s v="MTG"/>
    <x v="6"/>
    <n v="3.929789796110164"/>
  </r>
  <r>
    <x v="3"/>
    <s v="Wells Fargo"/>
    <s v="1Point Rate"/>
    <s v="MTG"/>
    <x v="7"/>
    <n v="3.8281034376602534"/>
  </r>
  <r>
    <x v="3"/>
    <s v="Wells Fargo"/>
    <s v="1Point Rate"/>
    <s v="MTG"/>
    <x v="8"/>
    <n v="3.8714038285041039"/>
  </r>
  <r>
    <x v="3"/>
    <s v="Wells Fargo"/>
    <s v="1Point Rate"/>
    <s v="MTG"/>
    <x v="9"/>
    <n v="3.8281034376602534"/>
  </r>
  <r>
    <x v="3"/>
    <s v="Wells Fargo"/>
    <s v="1Point Rate"/>
    <s v="MTG"/>
    <x v="10"/>
    <n v="3.7907999999999999"/>
  </r>
  <r>
    <x v="3"/>
    <s v="Wells Fargo"/>
    <s v="1Point Rate"/>
    <s v="MTG"/>
    <x v="11"/>
    <n v="3.7452361066975079"/>
  </r>
  <r>
    <x v="3"/>
    <s v="Wells Fargo"/>
    <s v="1Point Rate"/>
    <s v="MTG"/>
    <x v="12"/>
    <n v="3.701847554934004"/>
  </r>
  <r>
    <x v="3"/>
    <s v="Wells Fargo"/>
    <s v="1Point Rate"/>
    <s v="MTG"/>
    <x v="13"/>
    <n v="3.7452361066975079"/>
  </r>
  <r>
    <x v="3"/>
    <s v="Wells Fargo"/>
    <s v="1Point Rate"/>
    <s v="MTG"/>
    <x v="14"/>
    <n v="3.7452361066975079"/>
  </r>
  <r>
    <x v="3"/>
    <s v="Wells Fargo"/>
    <s v="1Point Rate"/>
    <s v="MTG"/>
    <x v="15"/>
    <n v="3.7907999999999999"/>
  </r>
  <r>
    <x v="3"/>
    <s v="Wells Fargo"/>
    <s v="1Point Rate"/>
    <s v="MTG"/>
    <x v="16"/>
    <n v="3.8281034376602534"/>
  </r>
  <r>
    <x v="3"/>
    <s v="Wells Fargo"/>
    <s v="1Point Rate"/>
    <s v="MTG"/>
    <x v="17"/>
    <n v="3.8714038285041039"/>
  </r>
  <r>
    <x v="3"/>
    <s v="Wells Fargo"/>
    <s v="1Point Rate"/>
    <s v="MTG"/>
    <x v="18"/>
    <n v="3.8714038285041039"/>
  </r>
  <r>
    <x v="3"/>
    <s v="Wells Fargo"/>
    <s v="1Point Rate"/>
    <s v="MTG"/>
    <x v="19"/>
    <n v="3.8714038285041039"/>
  </r>
  <r>
    <x v="3"/>
    <s v="Wells Fargo"/>
    <s v="1Point Rate"/>
    <s v="MTG"/>
    <x v="20"/>
    <n v="3.8714038285041039"/>
  </r>
  <r>
    <x v="3"/>
    <s v="Wells Fargo"/>
    <s v="1Point Rate"/>
    <s v="MTG"/>
    <x v="21"/>
    <n v="3.7907999999999999"/>
  </r>
  <r>
    <x v="3"/>
    <s v="Wells Fargo"/>
    <s v="1Point Rate"/>
    <s v="MTG"/>
    <x v="22"/>
    <n v="3.7907999999999999"/>
  </r>
  <r>
    <x v="3"/>
    <s v="Wells Fargo"/>
    <s v="1Point Rate"/>
    <s v="MTG"/>
    <x v="23"/>
    <n v="3.8038200779030156"/>
  </r>
  <r>
    <x v="3"/>
    <s v="Wells Fargo"/>
    <s v="1Point Rate"/>
    <s v="MTG"/>
    <x v="24"/>
    <n v="3.6708585343811904"/>
  </r>
  <r>
    <x v="3"/>
    <s v="Wells Fargo"/>
    <s v="1Point Rate"/>
    <s v="MTG"/>
    <x v="25"/>
    <n v="3.6708585343811904"/>
  </r>
  <r>
    <x v="3"/>
    <s v="Wells Fargo"/>
    <s v="1Point Rate"/>
    <s v="MTG"/>
    <x v="26"/>
    <n v="3.6708585343811904"/>
  </r>
  <r>
    <x v="3"/>
    <s v="Wells Fargo"/>
    <s v="1Point Rate"/>
    <s v="MTG"/>
    <x v="27"/>
    <n v="3.6708585343811904"/>
  </r>
  <r>
    <x v="3"/>
    <s v="Wells Fargo"/>
    <s v="1Point Rate"/>
    <s v="MTG"/>
    <x v="28"/>
    <n v="3.6708585343811904"/>
  </r>
  <r>
    <x v="3"/>
    <s v="Wells Fargo"/>
    <s v="1Point Rate"/>
    <s v="MTG"/>
    <x v="29"/>
    <n v="3.7143356375412493"/>
  </r>
  <r>
    <x v="3"/>
    <s v="Wells Fargo"/>
    <s v="1Point Rate"/>
    <s v="MTG"/>
    <x v="30"/>
    <n v="3.6334666666666666"/>
  </r>
  <r>
    <x v="3"/>
    <s v="Wells Fargo"/>
    <s v="1Point Rate"/>
    <s v="MTG"/>
    <x v="31"/>
    <n v="3.6334666666666666"/>
  </r>
  <r>
    <x v="3"/>
    <s v="Wells Fargo"/>
    <s v="1Point Rate"/>
    <s v="MTG"/>
    <x v="32"/>
    <n v="3.6334666666666666"/>
  </r>
  <r>
    <x v="3"/>
    <s v="Wells Fargo"/>
    <s v="1Point Rate"/>
    <s v="MTG"/>
    <x v="33"/>
    <n v="3.6334666666666666"/>
  </r>
  <r>
    <x v="3"/>
    <s v="Wells Fargo"/>
    <s v="1Point Rate"/>
    <s v="MTG"/>
    <x v="34"/>
    <n v="3.6334666666666666"/>
  </r>
  <r>
    <x v="3"/>
    <s v="Wells Fargo"/>
    <s v="1Point Rate"/>
    <s v="MTG"/>
    <x v="35"/>
    <n v="3.6334666666666666"/>
  </r>
  <r>
    <x v="3"/>
    <s v="Wells Fargo"/>
    <s v="1Point Rate"/>
    <s v="MTG"/>
    <x v="36"/>
    <n v="3.7597333333333331"/>
  </r>
  <r>
    <x v="3"/>
    <s v="Wells Fargo"/>
    <s v="1Point Rate"/>
    <s v="MTG"/>
    <x v="37"/>
    <n v="3.7597333333333331"/>
  </r>
  <r>
    <x v="3"/>
    <s v="Wells Fargo"/>
    <s v="1Point Rate"/>
    <s v="MTG"/>
    <x v="38"/>
    <n v="3.7143356375412493"/>
  </r>
  <r>
    <x v="3"/>
    <s v="Wells Fargo"/>
    <s v="1Point Rate"/>
    <s v="MTG"/>
    <x v="39"/>
    <n v="3.7143356375412493"/>
  </r>
  <r>
    <x v="3"/>
    <s v="Wells Fargo"/>
    <s v="1Point Rate"/>
    <s v="MTG"/>
    <x v="40"/>
    <n v="3.7143356375412493"/>
  </r>
  <r>
    <x v="3"/>
    <s v="Wells Fargo"/>
    <s v="1Point Rate"/>
    <s v="MTG"/>
    <x v="41"/>
    <n v="3.7970808882673373"/>
  </r>
  <r>
    <x v="3"/>
    <s v="Wells Fargo"/>
    <s v="1Point Rate"/>
    <s v="MTG"/>
    <x v="42"/>
    <n v="3.7970808882673373"/>
  </r>
  <r>
    <x v="3"/>
    <s v="Wells Fargo"/>
    <s v="1Point Rate"/>
    <s v="MTG"/>
    <x v="43"/>
    <n v="3.7970808882673373"/>
  </r>
  <r>
    <x v="3"/>
    <s v="Wells Fargo"/>
    <s v="1Point Rate"/>
    <s v="MTG"/>
    <x v="44"/>
    <n v="3.7970808882673373"/>
  </r>
  <r>
    <x v="3"/>
    <s v="Wells Fargo"/>
    <s v="1Point Rate"/>
    <s v="MTG"/>
    <x v="45"/>
    <n v="3.8404694400308417"/>
  </r>
  <r>
    <x v="3"/>
    <s v="Wells Fargo"/>
    <s v="1Point Rate"/>
    <s v="MTG"/>
    <x v="46"/>
    <n v="3.9020859403395352"/>
  </r>
  <r>
    <x v="3"/>
    <s v="Wells Fargo"/>
    <s v="1Point Rate"/>
    <s v="MTG"/>
    <x v="47"/>
    <n v="3.9020859403395352"/>
  </r>
  <r>
    <x v="3"/>
    <s v="Wells Fargo"/>
    <s v="1Point Rate"/>
    <s v="MTG"/>
    <x v="48"/>
    <n v="3.7970808882673373"/>
  </r>
  <r>
    <x v="3"/>
    <s v="Wells Fargo"/>
    <s v="1Point Rate"/>
    <s v="MTG"/>
    <x v="49"/>
    <n v="3.8860333333333337"/>
  </r>
  <r>
    <x v="3"/>
    <s v="Wells Fargo"/>
    <s v="1Point Rate"/>
    <s v="MTG"/>
    <x v="50"/>
    <n v="3.9233367709935867"/>
  </r>
  <r>
    <x v="3"/>
    <s v="Wells Fargo"/>
    <s v="1Point Rate"/>
    <s v="MTG"/>
    <x v="51"/>
    <n v="3.9233367709935867"/>
  </r>
  <r>
    <x v="3"/>
    <s v="Wells Fargo"/>
    <s v="1Point Rate"/>
    <s v="MTG"/>
    <x v="52"/>
    <n v="3.8860333333333337"/>
  </r>
  <r>
    <x v="3"/>
    <s v="Wells Fargo"/>
    <s v="1Point Rate"/>
    <s v="MTG"/>
    <x v="53"/>
    <n v="3.8404694400308417"/>
  </r>
  <r>
    <x v="3"/>
    <s v="Wells Fargo"/>
    <s v="1Point Rate"/>
    <s v="MTG"/>
    <x v="54"/>
    <n v="3.8404694400308417"/>
  </r>
  <r>
    <x v="3"/>
    <s v="Wells Fargo"/>
    <s v="1Point Rate"/>
    <s v="MTG"/>
    <x v="55"/>
    <n v="3.9041371618374376"/>
  </r>
  <r>
    <x v="3"/>
    <s v="Wells Fargo"/>
    <s v="1Point Rate"/>
    <s v="MTG"/>
    <x v="56"/>
    <n v="3.9041371618374376"/>
  </r>
  <r>
    <x v="3"/>
    <s v="Wells Fargo"/>
    <s v="1Point Rate"/>
    <s v="MTG"/>
    <x v="57"/>
    <n v="3.9041371618374376"/>
  </r>
  <r>
    <x v="3"/>
    <s v="Wells Fargo"/>
    <s v="1Point Rate"/>
    <s v="MTG"/>
    <x v="58"/>
    <n v="3.7749314548968891"/>
  </r>
  <r>
    <x v="3"/>
    <s v="Wells Fargo"/>
    <s v="1Point Rate"/>
    <s v="MTG"/>
    <x v="59"/>
    <n v="3.7749314548968891"/>
  </r>
  <r>
    <x v="3"/>
    <s v="Wells Fargo"/>
    <s v="1Point Rate"/>
    <s v="MTG"/>
    <x v="60"/>
    <n v="3.7749314548968891"/>
  </r>
  <r>
    <x v="3"/>
    <s v="Wells Fargo"/>
    <s v="1Point Rate"/>
    <s v="MTG"/>
    <x v="61"/>
    <n v="3.7761730843118855"/>
  </r>
  <r>
    <x v="3"/>
    <s v="Wells Fargo"/>
    <s v="1Point Rate"/>
    <s v="MTG"/>
    <x v="62"/>
    <n v="3.7761730843118855"/>
  </r>
  <r>
    <x v="3"/>
    <s v="Wells Fargo"/>
    <s v="1Point Rate"/>
    <s v="MTG"/>
    <x v="63"/>
    <n v="4.0557276764206129"/>
  </r>
  <r>
    <x v="3"/>
    <s v="Wells Fargo"/>
    <s v="1Point Rate"/>
    <s v="MTG"/>
    <x v="64"/>
    <n v="4.0557276764206129"/>
  </r>
  <r>
    <x v="3"/>
    <s v="Wells Fargo"/>
    <s v="1Point Rate"/>
    <s v="MTG"/>
    <x v="65"/>
    <n v="4.1817004181546098"/>
  </r>
  <r>
    <x v="3"/>
    <s v="Wells Fargo"/>
    <s v="1Point Rate"/>
    <s v="MTG"/>
    <x v="66"/>
    <n v="4.1237077500397357"/>
  </r>
  <r>
    <x v="3"/>
    <s v="Wells Fargo"/>
    <s v="1Point Rate"/>
    <s v="MTG"/>
    <x v="67"/>
    <n v="4.2186106422383469"/>
  </r>
  <r>
    <x v="3"/>
    <s v="Wells Fargo"/>
    <s v="1Point Rate"/>
    <s v="MTG"/>
    <x v="68"/>
    <n v="4.1873439755716797"/>
  </r>
  <r>
    <x v="3"/>
    <s v="Wells Fargo"/>
    <s v="1Point Rate"/>
    <s v="MTG"/>
    <x v="69"/>
    <n v="4.1873439755716797"/>
  </r>
  <r>
    <x v="3"/>
    <s v="Wells Fargo"/>
    <s v="1Point Rate"/>
    <s v="MTG"/>
    <x v="70"/>
    <n v="4.310586640999877"/>
  </r>
  <r>
    <x v="3"/>
    <s v="Wells Fargo"/>
    <s v="1Point Rate"/>
    <s v="MTG"/>
    <x v="71"/>
    <n v="4.2186106422383469"/>
  </r>
  <r>
    <x v="3"/>
    <s v="Wells Fargo"/>
    <s v="1Point Rate"/>
    <s v="MTG"/>
    <x v="72"/>
    <n v="4.2186106422383469"/>
  </r>
  <r>
    <x v="3"/>
    <s v="Wells Fargo"/>
    <s v="1Point Rate"/>
    <s v="MTG"/>
    <x v="73"/>
    <n v="4.1817004181546098"/>
  </r>
  <r>
    <x v="3"/>
    <s v="Wells Fargo"/>
    <s v="1Point Rate"/>
    <s v="MTG"/>
    <x v="74"/>
    <n v="4.1817004181546098"/>
  </r>
  <r>
    <x v="3"/>
    <s v="Wells Fargo"/>
    <s v="1Point Rate"/>
    <s v="MTG"/>
    <x v="75"/>
    <n v="4.1873439755716797"/>
  </r>
  <r>
    <x v="3"/>
    <s v="Wells Fargo"/>
    <s v="1Point Rate"/>
    <s v="MTG"/>
    <x v="76"/>
    <n v="4.1873439755716797"/>
  </r>
  <r>
    <x v="3"/>
    <s v="Wells Fargo"/>
    <s v="1Point Rate"/>
    <s v="MTG"/>
    <x v="77"/>
    <n v="4.1817004181546098"/>
  </r>
  <r>
    <x v="3"/>
    <s v="Wells Fargo"/>
    <s v="1Point Rate"/>
    <s v="MTG"/>
    <x v="78"/>
    <n v="4.1873439755716797"/>
  </r>
  <r>
    <x v="3"/>
    <s v="Wells Fargo"/>
    <s v="1Point Rate"/>
    <s v="MTG"/>
    <x v="79"/>
    <n v="4.2186106422383469"/>
  </r>
  <r>
    <x v="3"/>
    <s v="Wells Fargo"/>
    <s v="1Point Rate"/>
    <s v="MTG"/>
    <x v="80"/>
    <n v="4.2186106422383469"/>
  </r>
  <r>
    <x v="3"/>
    <s v="Wells Fargo"/>
    <s v="1Point Rate"/>
    <s v="MTG"/>
    <x v="81"/>
    <n v="4.2186106422383469"/>
  </r>
  <r>
    <x v="3"/>
    <s v="Wells Fargo"/>
    <s v="1Point Rate"/>
    <s v="MTG"/>
    <x v="82"/>
    <n v="4.310586640999877"/>
  </r>
  <r>
    <x v="3"/>
    <s v="Wells Fargo"/>
    <s v="1Point Rate"/>
    <s v="MTG"/>
    <x v="83"/>
    <n v="4.2186106422383469"/>
  </r>
  <r>
    <x v="3"/>
    <s v="Wells Fargo"/>
    <s v="1Point Rate"/>
    <s v="MTG"/>
    <x v="84"/>
    <n v="4.1873439755716797"/>
  </r>
  <r>
    <x v="3"/>
    <s v="Wells Fargo"/>
    <s v="1Point Rate"/>
    <s v="MTG"/>
    <x v="85"/>
    <n v="4.2186106422383469"/>
  </r>
  <r>
    <x v="3"/>
    <s v="Wells Fargo"/>
    <s v="1Point Rate"/>
    <s v="MTG"/>
    <x v="86"/>
    <n v="4.2186106422383469"/>
  </r>
  <r>
    <x v="3"/>
    <s v="Wells Fargo"/>
    <s v="1Point Rate"/>
    <s v="MTG"/>
    <x v="87"/>
    <n v="4.1237077500397357"/>
  </r>
  <r>
    <x v="3"/>
    <s v="Wells Fargo"/>
    <s v="1Point Rate"/>
    <s v="MTG"/>
    <x v="88"/>
    <n v="4.0612077500397348"/>
  </r>
  <r>
    <x v="3"/>
    <s v="Wells Fargo"/>
    <s v="1Point Rate"/>
    <s v="MTG"/>
    <x v="89"/>
    <n v="4.092474416706402"/>
  </r>
  <r>
    <x v="3"/>
    <s v="Wells Fargo"/>
    <s v="1Point Rate"/>
    <s v="MTG"/>
    <x v="90"/>
    <n v="4.092474416706402"/>
  </r>
  <r>
    <x v="3"/>
    <s v="Wells Fargo"/>
    <s v="1Point Rate"/>
    <s v="MTG"/>
    <x v="91"/>
    <n v="4.1873439755716797"/>
  </r>
  <r>
    <x v="3"/>
    <s v="Wells Fargo"/>
    <s v="1Point Rate"/>
    <s v="MTG"/>
    <x v="92"/>
    <n v="4.2498439755716797"/>
  </r>
  <r>
    <x v="3"/>
    <s v="Wells Fargo"/>
    <s v="1Point Rate"/>
    <s v="MTG"/>
    <x v="93"/>
    <n v="4.1873439755716797"/>
  </r>
  <r>
    <x v="3"/>
    <s v="Wells Fargo"/>
    <s v="1Point Rate"/>
    <s v="MTG"/>
    <x v="94"/>
    <n v="4.1237077500397357"/>
  </r>
  <r>
    <x v="3"/>
    <s v="Wells Fargo"/>
    <s v="1Point Rate"/>
    <s v="MTG"/>
    <x v="95"/>
    <n v="4.1817004181546098"/>
  </r>
  <r>
    <x v="3"/>
    <s v="Wells Fargo"/>
    <s v="1Point Rate"/>
    <s v="MTG"/>
    <x v="96"/>
    <n v="4.1237077500397357"/>
  </r>
  <r>
    <x v="3"/>
    <s v="Wells Fargo"/>
    <s v="1Point Rate"/>
    <s v="MTG"/>
    <x v="97"/>
    <n v="4.1817004181546098"/>
  </r>
  <r>
    <x v="3"/>
    <s v="Wells Fargo"/>
    <s v="1Point Rate"/>
    <s v="MTG"/>
    <x v="98"/>
    <n v="4.1237077500397357"/>
  </r>
  <r>
    <x v="3"/>
    <s v="Wells Fargo"/>
    <s v="1Point Rate"/>
    <s v="MTG"/>
    <x v="99"/>
    <n v="4.1237077500397357"/>
  </r>
  <r>
    <x v="3"/>
    <s v="Wells Fargo"/>
    <s v="1Point Rate"/>
    <s v="MTG"/>
    <x v="100"/>
    <n v="4.1237077500397357"/>
  </r>
  <r>
    <x v="3"/>
    <s v="Wells Fargo"/>
    <s v="1Point Rate"/>
    <s v="MTG"/>
    <x v="101"/>
    <n v="4.0612077500397348"/>
  </r>
  <r>
    <x v="3"/>
    <s v="Wells Fargo"/>
    <s v="1Point Rate"/>
    <s v="MTG"/>
    <x v="102"/>
    <n v="4.0557276764206129"/>
  </r>
  <r>
    <x v="3"/>
    <s v="Wells Fargo"/>
    <s v="1Point Rate"/>
    <s v="MTG"/>
    <x v="103"/>
    <n v="4.0557276764206129"/>
  </r>
  <r>
    <x v="3"/>
    <s v="Wells Fargo"/>
    <s v="1Point Rate"/>
    <s v="MTG"/>
    <x v="104"/>
    <n v="4.0557276764206129"/>
  </r>
  <r>
    <x v="3"/>
    <s v="Wells Fargo"/>
    <s v="1Point Rate"/>
    <s v="MTG"/>
    <x v="105"/>
    <n v="4.0557276764206129"/>
  </r>
  <r>
    <x v="3"/>
    <s v="Wells Fargo"/>
    <s v="1Point Rate"/>
    <s v="MTG"/>
    <x v="106"/>
    <n v="3.966305483037543"/>
  </r>
  <r>
    <x v="3"/>
    <s v="Wells Fargo"/>
    <s v="1Point Rate"/>
    <s v="MTG"/>
    <x v="107"/>
    <n v="3.96630548303754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40">
  <r>
    <s v="30YrConformingConventional"/>
    <s v="Bank of America"/>
    <x v="0"/>
    <s v="MTG"/>
    <x v="0"/>
    <n v="1.4212973282672137"/>
  </r>
  <r>
    <s v="30YrConformingConventional"/>
    <s v="Bank of America"/>
    <x v="0"/>
    <s v="MTG"/>
    <x v="1"/>
    <n v="1.4538805196385804"/>
  </r>
  <r>
    <s v="30YrConformingConventional"/>
    <s v="Bank of America"/>
    <x v="0"/>
    <s v="MTG"/>
    <x v="2"/>
    <n v="1.4595784375698646"/>
  </r>
  <r>
    <s v="30YrConformingConventional"/>
    <s v="Bank of America"/>
    <x v="0"/>
    <s v="MTG"/>
    <x v="3"/>
    <n v="1.4360929633267601"/>
  </r>
  <r>
    <s v="30YrConformingConventional"/>
    <s v="Bank of America"/>
    <x v="0"/>
    <s v="MTG"/>
    <x v="4"/>
    <n v="1.4117383662411456"/>
  </r>
  <r>
    <s v="30YrConformingConventional"/>
    <s v="Bank of America"/>
    <x v="0"/>
    <s v="MTG"/>
    <x v="5"/>
    <n v="1.434637613344325"/>
  </r>
  <r>
    <s v="30YrConformingConventional"/>
    <s v="Bank of America"/>
    <x v="0"/>
    <s v="MTG"/>
    <x v="6"/>
    <n v="1.4414546828382009"/>
  </r>
  <r>
    <s v="30YrConformingConventional"/>
    <s v="Bank of America"/>
    <x v="0"/>
    <s v="MTG"/>
    <x v="7"/>
    <n v="1.3733506898048042"/>
  </r>
  <r>
    <s v="30YrConformingConventional"/>
    <s v="Bank of America"/>
    <x v="0"/>
    <s v="MTG"/>
    <x v="8"/>
    <n v="1.4202216163192376"/>
  </r>
  <r>
    <s v="30YrConformingConventional"/>
    <s v="Bank of America"/>
    <x v="0"/>
    <s v="MTG"/>
    <x v="9"/>
    <n v="1.3453422461391324"/>
  </r>
  <r>
    <s v="30YrConformingConventional"/>
    <s v="Bank of America"/>
    <x v="0"/>
    <s v="MTG"/>
    <x v="10"/>
    <n v="1.3442181458154518"/>
  </r>
  <r>
    <s v="30YrConformingConventional"/>
    <s v="Bank of America"/>
    <x v="0"/>
    <s v="MTG"/>
    <x v="11"/>
    <n v="1.4236043382832138"/>
  </r>
  <r>
    <s v="30YrConformingConventional"/>
    <s v="Bank of America"/>
    <x v="0"/>
    <s v="MTG"/>
    <x v="12"/>
    <n v="1.3566722547216032"/>
  </r>
  <r>
    <s v="30YrConformingConventional"/>
    <s v="Bank of America"/>
    <x v="0"/>
    <s v="MTG"/>
    <x v="13"/>
    <n v="1.3707489922748624"/>
  </r>
  <r>
    <s v="30YrConformingConventional"/>
    <s v="Bank of America"/>
    <x v="0"/>
    <s v="MTG"/>
    <x v="14"/>
    <n v="1.3434433900637273"/>
  </r>
  <r>
    <s v="30YrConformingConventional"/>
    <s v="Bank of America"/>
    <x v="0"/>
    <s v="MTG"/>
    <x v="15"/>
    <n v="1.367305440610632"/>
  </r>
  <r>
    <s v="30YrConformingConventional"/>
    <s v="Bank of America"/>
    <x v="0"/>
    <s v="MTG"/>
    <x v="16"/>
    <n v="1.327862212271417"/>
  </r>
  <r>
    <s v="30YrConformingConventional"/>
    <s v="Bank of America"/>
    <x v="0"/>
    <s v="MTG"/>
    <x v="17"/>
    <n v="1.3969036091673523"/>
  </r>
  <r>
    <s v="30YrConformingConventional"/>
    <s v="Bank of America"/>
    <x v="0"/>
    <s v="MTG"/>
    <x v="18"/>
    <n v="1.4288746403651937"/>
  </r>
  <r>
    <s v="30YrConformingConventional"/>
    <s v="Bank of America"/>
    <x v="0"/>
    <s v="MTG"/>
    <x v="19"/>
    <n v="1.4081051951872599"/>
  </r>
  <r>
    <s v="30YrConformingConventional"/>
    <s v="Bank of America"/>
    <x v="0"/>
    <s v="MTG"/>
    <x v="20"/>
    <n v="1.5496394837349492"/>
  </r>
  <r>
    <s v="30YrConformingConventional"/>
    <s v="Bank of America"/>
    <x v="0"/>
    <s v="MTG"/>
    <x v="21"/>
    <n v="1.5879040246684941"/>
  </r>
  <r>
    <s v="30YrConformingConventional"/>
    <s v="Bank of America"/>
    <x v="0"/>
    <s v="MTG"/>
    <x v="22"/>
    <n v="1.5417664941480935"/>
  </r>
  <r>
    <s v="30YrConformingConventional"/>
    <s v="Bank of America"/>
    <x v="0"/>
    <s v="MTG"/>
    <x v="23"/>
    <n v="1.566853019639814"/>
  </r>
  <r>
    <s v="30YrConformingConventional"/>
    <s v="Bank of America"/>
    <x v="0"/>
    <s v="MTG"/>
    <x v="24"/>
    <n v="1.5972967358474679"/>
  </r>
  <r>
    <s v="30YrConformingConventional"/>
    <s v="Bank of America"/>
    <x v="0"/>
    <s v="MTG"/>
    <x v="25"/>
    <n v="1.6317285692936163"/>
  </r>
  <r>
    <s v="30YrConformingConventional"/>
    <s v="Bank of America"/>
    <x v="0"/>
    <s v="MTG"/>
    <x v="26"/>
    <n v="1.6108923279367977"/>
  </r>
  <r>
    <s v="30YrConformingConventional"/>
    <s v="Bank of America"/>
    <x v="0"/>
    <s v="MTG"/>
    <x v="27"/>
    <n v="1.577689840766002"/>
  </r>
  <r>
    <s v="30YrConformingConventional"/>
    <s v="Bank of America"/>
    <x v="0"/>
    <s v="MTG"/>
    <x v="28"/>
    <n v="1.5696829020466398"/>
  </r>
  <r>
    <s v="30YrConformingConventional"/>
    <s v="Bank of America"/>
    <x v="0"/>
    <s v="MTG"/>
    <x v="29"/>
    <n v="1.5869407909553535"/>
  </r>
  <r>
    <s v="30YrConformingConventional"/>
    <s v="Bank of America"/>
    <x v="0"/>
    <s v="MTG"/>
    <x v="30"/>
    <n v="1.5756034291830356"/>
  </r>
  <r>
    <s v="30YrConformingConventional"/>
    <s v="Bank of America"/>
    <x v="0"/>
    <s v="MTG"/>
    <x v="31"/>
    <n v="1.590711184285585"/>
  </r>
  <r>
    <s v="30YrConformingConventional"/>
    <s v="Bank of America"/>
    <x v="0"/>
    <s v="MTG"/>
    <x v="32"/>
    <n v="1.584783703229552"/>
  </r>
  <r>
    <s v="30YrConformingConventional"/>
    <s v="Bank of America"/>
    <x v="0"/>
    <s v="MTG"/>
    <x v="33"/>
    <n v="1.5581889968587042"/>
  </r>
  <r>
    <s v="30YrConformingConventional"/>
    <s v="Bank of America"/>
    <x v="0"/>
    <s v="MTG"/>
    <x v="34"/>
    <n v="1.5532602364254431"/>
  </r>
  <r>
    <s v="30YrConformingConventional"/>
    <s v="Bank of America"/>
    <x v="0"/>
    <s v="MTG"/>
    <x v="35"/>
    <n v="1.5793431858039257"/>
  </r>
  <r>
    <s v="30YrConformingConventional"/>
    <s v="Bank of America"/>
    <x v="0"/>
    <s v="MTG"/>
    <x v="36"/>
    <n v="1.5353482312671591"/>
  </r>
  <r>
    <s v="30YrConformingConventional"/>
    <s v="Bank of America"/>
    <x v="0"/>
    <s v="MTG"/>
    <x v="37"/>
    <n v="1.5397004736750313"/>
  </r>
  <r>
    <s v="30YrConformingConventional"/>
    <s v="Bank of America"/>
    <x v="0"/>
    <s v="MTG"/>
    <x v="38"/>
    <n v="1.5634899443794636"/>
  </r>
  <r>
    <s v="30YrConformingConventional"/>
    <s v="Bank of America"/>
    <x v="0"/>
    <s v="MTG"/>
    <x v="39"/>
    <n v="1.5493153117300138"/>
  </r>
  <r>
    <s v="30YrConformingConventional"/>
    <s v="Bank of America"/>
    <x v="0"/>
    <s v="MTG"/>
    <x v="40"/>
    <n v="1.5496569772517022"/>
  </r>
  <r>
    <s v="30YrConformingConventional"/>
    <s v="Bank of America"/>
    <x v="0"/>
    <s v="MTG"/>
    <x v="41"/>
    <n v="1.5204617852732729"/>
  </r>
  <r>
    <s v="30YrConformingConventional"/>
    <s v="Bank of America"/>
    <x v="0"/>
    <s v="MTG"/>
    <x v="42"/>
    <n v="1.4752359208075061"/>
  </r>
  <r>
    <s v="30YrConformingConventional"/>
    <s v="Bank of America"/>
    <x v="0"/>
    <s v="MTG"/>
    <x v="43"/>
    <n v="1.4607977497664324"/>
  </r>
  <r>
    <s v="30YrConformingConventional"/>
    <s v="Bank of America"/>
    <x v="0"/>
    <s v="MTG"/>
    <x v="44"/>
    <n v="1.475207853795258"/>
  </r>
  <r>
    <s v="30YrConformingConventional"/>
    <s v="Bank of America"/>
    <x v="0"/>
    <s v="MTG"/>
    <x v="45"/>
    <n v="1.4266403402545991"/>
  </r>
  <r>
    <s v="30YrConformingConventional"/>
    <s v="Bank of America"/>
    <x v="0"/>
    <s v="MTG"/>
    <x v="46"/>
    <n v="1.4325538212829705"/>
  </r>
  <r>
    <s v="30YrConformingConventional"/>
    <s v="Bank of America"/>
    <x v="0"/>
    <s v="MTG"/>
    <x v="47"/>
    <n v="1.4842570423911829"/>
  </r>
  <r>
    <s v="30YrConformingConventional"/>
    <s v="Bank of America"/>
    <x v="0"/>
    <s v="MTG"/>
    <x v="48"/>
    <n v="1.4796482487599225"/>
  </r>
  <r>
    <s v="30YrConformingConventional"/>
    <s v="Bank of America"/>
    <x v="0"/>
    <s v="MTG"/>
    <x v="49"/>
    <n v="1.3442992513367309"/>
  </r>
  <r>
    <s v="30YrConformingConventional"/>
    <s v="Bank of America"/>
    <x v="0"/>
    <s v="MTG"/>
    <x v="50"/>
    <n v="1.3279910966528103"/>
  </r>
  <r>
    <s v="30YrConformingConventional"/>
    <s v="Bank of America"/>
    <x v="0"/>
    <s v="MTG"/>
    <x v="51"/>
    <n v="1.3056715764918907"/>
  </r>
  <r>
    <s v="30YrConformingConventional"/>
    <s v="Bank of America"/>
    <x v="0"/>
    <s v="MTG"/>
    <x v="52"/>
    <n v="1.3573902929718507"/>
  </r>
  <r>
    <s v="30YrConformingConventional"/>
    <s v="Bank of America"/>
    <x v="0"/>
    <s v="MTG"/>
    <x v="53"/>
    <n v="1.4379641427249803"/>
  </r>
  <r>
    <s v="30YrConformingConventional"/>
    <s v="Bank of America"/>
    <x v="0"/>
    <s v="MTG"/>
    <x v="54"/>
    <n v="1.3658173375018536"/>
  </r>
  <r>
    <s v="30YrConformingConventional"/>
    <s v="Bank of America"/>
    <x v="0"/>
    <s v="MTG"/>
    <x v="55"/>
    <n v="1.4304106628608606"/>
  </r>
  <r>
    <s v="30YrConformingConventional"/>
    <s v="Bank of America"/>
    <x v="0"/>
    <s v="MTG"/>
    <x v="56"/>
    <n v="1.4299466031505799"/>
  </r>
  <r>
    <s v="30YrConformingConventional"/>
    <s v="Bank of America"/>
    <x v="0"/>
    <s v="MTG"/>
    <x v="57"/>
    <n v="1.4569078158252984"/>
  </r>
  <r>
    <s v="30YrConformingConventional"/>
    <s v="Bank of America"/>
    <x v="0"/>
    <s v="MTG"/>
    <x v="58"/>
    <n v="1.4632492292194674"/>
  </r>
  <r>
    <s v="30YrConformingConventional"/>
    <s v="Bank of America"/>
    <x v="0"/>
    <s v="MTG"/>
    <x v="59"/>
    <n v="1.5279709851186456"/>
  </r>
  <r>
    <s v="30YrConformingConventional"/>
    <s v="Bank of America"/>
    <x v="0"/>
    <s v="MTG"/>
    <x v="60"/>
    <n v="1.5028807399108037"/>
  </r>
  <r>
    <s v="30YrConformingConventional"/>
    <s v="Bank of America"/>
    <x v="0"/>
    <s v="MTG"/>
    <x v="61"/>
    <n v="1.4492362082934953"/>
  </r>
  <r>
    <s v="30YrConformingConventional"/>
    <s v="Bank of America"/>
    <x v="0"/>
    <s v="MTG"/>
    <x v="62"/>
    <n v="1.3960132397472698"/>
  </r>
  <r>
    <s v="30YrConformingConventional"/>
    <s v="Bank of America"/>
    <x v="0"/>
    <s v="MTG"/>
    <x v="63"/>
    <n v="1.4878260656745013"/>
  </r>
  <r>
    <s v="30YrConformingConventional"/>
    <s v="Bank of America"/>
    <x v="0"/>
    <s v="MTG"/>
    <x v="64"/>
    <n v="1.4138992097684413"/>
  </r>
  <r>
    <s v="30YrConformingConventional"/>
    <s v="Bank of America"/>
    <x v="0"/>
    <s v="MTG"/>
    <x v="65"/>
    <n v="1.4038895886105365"/>
  </r>
  <r>
    <s v="30YrConformingConventional"/>
    <s v="Bank of America"/>
    <x v="0"/>
    <s v="MTG"/>
    <x v="66"/>
    <n v="1.3947325637516592"/>
  </r>
  <r>
    <s v="30YrConformingConventional"/>
    <s v="Bank of America"/>
    <x v="0"/>
    <s v="MTG"/>
    <x v="67"/>
    <n v="1.3883388536850154"/>
  </r>
  <r>
    <s v="30YrConformingConventional"/>
    <s v="Bank of America"/>
    <x v="0"/>
    <s v="MTG"/>
    <x v="68"/>
    <n v="1.4129915036196865"/>
  </r>
  <r>
    <s v="30YrConformingConventional"/>
    <s v="Bank of America"/>
    <x v="0"/>
    <s v="MTG"/>
    <x v="69"/>
    <n v="1.4438055753897185"/>
  </r>
  <r>
    <s v="30YrConformingConventional"/>
    <s v="Bank of America"/>
    <x v="0"/>
    <s v="MTG"/>
    <x v="70"/>
    <n v="1.4416733602801102"/>
  </r>
  <r>
    <s v="30YrConformingConventional"/>
    <s v="Bank of America"/>
    <x v="0"/>
    <s v="MTG"/>
    <x v="71"/>
    <n v="1.4685166448949154"/>
  </r>
  <r>
    <s v="30YrConformingConventional"/>
    <s v="Bank of America"/>
    <x v="0"/>
    <s v="MTG"/>
    <x v="72"/>
    <n v="1.4354149301418599"/>
  </r>
  <r>
    <s v="30YrConformingConventional"/>
    <s v="Bank of America"/>
    <x v="0"/>
    <s v="MTG"/>
    <x v="73"/>
    <n v="1.4453873103770127"/>
  </r>
  <r>
    <s v="30YrConformingConventional"/>
    <s v="Bank of America"/>
    <x v="0"/>
    <s v="MTG"/>
    <x v="74"/>
    <n v="1.4390058429308146"/>
  </r>
  <r>
    <s v="30YrConformingConventional"/>
    <s v="Bank of America"/>
    <x v="0"/>
    <s v="MTG"/>
    <x v="75"/>
    <n v="1.4692437380368819"/>
  </r>
  <r>
    <s v="30YrConformingConventional"/>
    <s v="Bank of America"/>
    <x v="0"/>
    <s v="MTG"/>
    <x v="76"/>
    <n v="1.3996843817032874"/>
  </r>
  <r>
    <s v="30YrConformingConventional"/>
    <s v="Bank of America"/>
    <x v="0"/>
    <s v="MTG"/>
    <x v="77"/>
    <n v="1.4265860519031293"/>
  </r>
  <r>
    <s v="30YrConformingConventional"/>
    <s v="Bank of America"/>
    <x v="0"/>
    <s v="MTG"/>
    <x v="78"/>
    <n v="1.3732244901243731"/>
  </r>
  <r>
    <s v="30YrConformingConventional"/>
    <s v="Bank of America"/>
    <x v="0"/>
    <s v="MTG"/>
    <x v="79"/>
    <n v="1.4051578986780211"/>
  </r>
  <r>
    <s v="30YrConformingConventional"/>
    <s v="Bank of America"/>
    <x v="0"/>
    <s v="MTG"/>
    <x v="80"/>
    <n v="1.3982961709898136"/>
  </r>
  <r>
    <s v="30YrConformingConventional"/>
    <s v="Bank of America"/>
    <x v="0"/>
    <s v="MTG"/>
    <x v="81"/>
    <n v="1.3852138453509022"/>
  </r>
  <r>
    <s v="30YrConformingConventional"/>
    <s v="Bank of America"/>
    <x v="0"/>
    <s v="MTG"/>
    <x v="82"/>
    <n v="1.4030007101246917"/>
  </r>
  <r>
    <s v="30YrConformingConventional"/>
    <s v="Bank of America"/>
    <x v="0"/>
    <s v="MTG"/>
    <x v="83"/>
    <n v="1.4907915899279671"/>
  </r>
  <r>
    <s v="30YrConformingConventional"/>
    <s v="Bank of America"/>
    <x v="0"/>
    <s v="MTG"/>
    <x v="84"/>
    <n v="1.4191644462264212"/>
  </r>
  <r>
    <s v="30YrConformingConventional"/>
    <s v="Bank of America"/>
    <x v="0"/>
    <s v="MTG"/>
    <x v="85"/>
    <n v="1.4705739977736068"/>
  </r>
  <r>
    <s v="30YrConformingConventional"/>
    <s v="Bank of America"/>
    <x v="0"/>
    <s v="MTG"/>
    <x v="86"/>
    <n v="1.4344115256412833"/>
  </r>
  <r>
    <s v="30YrConformingConventional"/>
    <s v="Bank of America"/>
    <x v="0"/>
    <s v="MTG"/>
    <x v="87"/>
    <n v="1.4543697678100846"/>
  </r>
  <r>
    <s v="30YrConformingConventional"/>
    <s v="Bank of America"/>
    <x v="0"/>
    <s v="MTG"/>
    <x v="88"/>
    <n v="1.4886674852774087"/>
  </r>
  <r>
    <s v="30YrConformingConventional"/>
    <s v="Bank of America"/>
    <x v="0"/>
    <s v="MTG"/>
    <x v="89"/>
    <n v="1.5654865618600153"/>
  </r>
  <r>
    <s v="30YrConformingConventional"/>
    <s v="Bank of America"/>
    <x v="0"/>
    <s v="MTG"/>
    <x v="90"/>
    <n v="1.4926391523791853"/>
  </r>
  <r>
    <s v="30YrConformingConventional"/>
    <s v="Bank of America"/>
    <x v="0"/>
    <s v="MTG"/>
    <x v="91"/>
    <n v="1.4491633035923392"/>
  </r>
  <r>
    <s v="30YrConformingConventional"/>
    <s v="Bank of America"/>
    <x v="0"/>
    <s v="MTG"/>
    <x v="92"/>
    <n v="1.4984384715417181"/>
  </r>
  <r>
    <s v="30YrConformingConventional"/>
    <s v="Bank of America"/>
    <x v="0"/>
    <s v="MTG"/>
    <x v="93"/>
    <n v="1.4391155694354067"/>
  </r>
  <r>
    <s v="30YrConformingConventional"/>
    <s v="Bank of America"/>
    <x v="0"/>
    <s v="MTG"/>
    <x v="94"/>
    <n v="1.4820339969784169"/>
  </r>
  <r>
    <s v="30YrConformingConventional"/>
    <s v="Bank of America"/>
    <x v="0"/>
    <s v="MTG"/>
    <x v="95"/>
    <n v="1.4137621493606665"/>
  </r>
  <r>
    <s v="30YrConformingConventional"/>
    <s v="Bank of America"/>
    <x v="0"/>
    <s v="MTG"/>
    <x v="96"/>
    <n v="1.3953089089250075"/>
  </r>
  <r>
    <s v="30YrConformingConventional"/>
    <s v="Bank of America"/>
    <x v="0"/>
    <s v="MTG"/>
    <x v="97"/>
    <n v="1.3759052576474176"/>
  </r>
  <r>
    <s v="30YrConformingConventional"/>
    <s v="Bank of America"/>
    <x v="0"/>
    <s v="MTG"/>
    <x v="98"/>
    <n v="1.4286340196471383"/>
  </r>
  <r>
    <s v="30YrConformingConventional"/>
    <s v="Bank of America"/>
    <x v="0"/>
    <s v="MTG"/>
    <x v="99"/>
    <n v="1.4539211920399711"/>
  </r>
  <r>
    <s v="30YrConformingConventional"/>
    <s v="Bank of America"/>
    <x v="0"/>
    <s v="MTG"/>
    <x v="100"/>
    <n v="1.4507515913062277"/>
  </r>
  <r>
    <s v="30YrConformingConventional"/>
    <s v="Bank of America"/>
    <x v="0"/>
    <s v="MTG"/>
    <x v="101"/>
    <n v="1.4115999979508493"/>
  </r>
  <r>
    <s v="30YrConformingConventional"/>
    <s v="Bank of America"/>
    <x v="0"/>
    <s v="MTG"/>
    <x v="102"/>
    <n v="1.4638126045131872"/>
  </r>
  <r>
    <s v="30YrConformingConventional"/>
    <s v="Bank of America"/>
    <x v="0"/>
    <s v="MTG"/>
    <x v="103"/>
    <n v="1.4793540082698529"/>
  </r>
  <r>
    <s v="30YrConformingConventional"/>
    <s v="Bank of America"/>
    <x v="0"/>
    <s v="MTG"/>
    <x v="104"/>
    <n v="1.4657398986657422"/>
  </r>
  <r>
    <s v="30YrConformingConventional"/>
    <s v="Bank of America"/>
    <x v="0"/>
    <s v="MTG"/>
    <x v="105"/>
    <n v="1.4954131871900374"/>
  </r>
  <r>
    <s v="30YrConformingConventional"/>
    <s v="Bank of America"/>
    <x v="0"/>
    <s v="MTG"/>
    <x v="106"/>
    <n v="1.4584339847358858"/>
  </r>
  <r>
    <s v="30YrConformingConventional"/>
    <s v="Bank of America"/>
    <x v="0"/>
    <s v="MTG"/>
    <x v="107"/>
    <n v="1.4996119210214647"/>
  </r>
  <r>
    <s v="30YrConformingConventional"/>
    <s v="Chase"/>
    <x v="0"/>
    <s v="MTG"/>
    <x v="0"/>
    <n v="1.3201681510401224"/>
  </r>
  <r>
    <s v="30YrConformingConventional"/>
    <s v="Chase"/>
    <x v="0"/>
    <s v="MTG"/>
    <x v="1"/>
    <n v="1.3006860975554306"/>
  </r>
  <r>
    <s v="30YrConformingConventional"/>
    <s v="Chase"/>
    <x v="0"/>
    <s v="MTG"/>
    <x v="2"/>
    <n v="1.2145602915852296"/>
  </r>
  <r>
    <s v="30YrConformingConventional"/>
    <s v="Chase"/>
    <x v="0"/>
    <s v="MTG"/>
    <x v="3"/>
    <n v="1.09980485566"/>
  </r>
  <r>
    <s v="30YrConformingConventional"/>
    <s v="Chase"/>
    <x v="0"/>
    <s v="MTG"/>
    <x v="4"/>
    <n v="1.0964918123855762"/>
  </r>
  <r>
    <s v="30YrConformingConventional"/>
    <s v="Chase"/>
    <x v="0"/>
    <s v="MTG"/>
    <x v="5"/>
    <n v="1.122598007927214"/>
  </r>
  <r>
    <s v="30YrConformingConventional"/>
    <s v="Chase"/>
    <x v="0"/>
    <s v="MTG"/>
    <x v="6"/>
    <n v="1.1411130414158539"/>
  </r>
  <r>
    <s v="30YrConformingConventional"/>
    <s v="Chase"/>
    <x v="0"/>
    <s v="MTG"/>
    <x v="7"/>
    <n v="1.0587143334773157"/>
  </r>
  <r>
    <s v="30YrConformingConventional"/>
    <s v="Chase"/>
    <x v="0"/>
    <s v="MTG"/>
    <x v="8"/>
    <n v="1.1038366846652226"/>
  </r>
  <r>
    <s v="30YrConformingConventional"/>
    <s v="Chase"/>
    <x v="0"/>
    <s v="MTG"/>
    <x v="9"/>
    <n v="1.1119619050322371"/>
  </r>
  <r>
    <s v="30YrConformingConventional"/>
    <s v="Chase"/>
    <x v="0"/>
    <s v="MTG"/>
    <x v="10"/>
    <n v="1.1395014245030624"/>
  </r>
  <r>
    <s v="30YrConformingConventional"/>
    <s v="Chase"/>
    <x v="0"/>
    <s v="MTG"/>
    <x v="11"/>
    <n v="1.1496922636127707"/>
  </r>
  <r>
    <s v="30YrConformingConventional"/>
    <s v="Chase"/>
    <x v="0"/>
    <s v="MTG"/>
    <x v="12"/>
    <n v="1.1030360980347382"/>
  </r>
  <r>
    <s v="30YrConformingConventional"/>
    <s v="Chase"/>
    <x v="0"/>
    <s v="MTG"/>
    <x v="13"/>
    <n v="1.1707682281644907"/>
  </r>
  <r>
    <s v="30YrConformingConventional"/>
    <s v="Chase"/>
    <x v="0"/>
    <s v="MTG"/>
    <x v="14"/>
    <n v="1.1850316887165302"/>
  </r>
  <r>
    <s v="30YrConformingConventional"/>
    <s v="Chase"/>
    <x v="0"/>
    <s v="MTG"/>
    <x v="15"/>
    <n v="1.2026483193152928"/>
  </r>
  <r>
    <s v="30YrConformingConventional"/>
    <s v="Chase"/>
    <x v="0"/>
    <s v="MTG"/>
    <x v="16"/>
    <n v="1.1484232657506983"/>
  </r>
  <r>
    <s v="30YrConformingConventional"/>
    <s v="Chase"/>
    <x v="0"/>
    <s v="MTG"/>
    <x v="17"/>
    <n v="1.153463821632825"/>
  </r>
  <r>
    <s v="30YrConformingConventional"/>
    <s v="Chase"/>
    <x v="0"/>
    <s v="MTG"/>
    <x v="18"/>
    <n v="1.1790501974316359"/>
  </r>
  <r>
    <s v="30YrConformingConventional"/>
    <s v="Chase"/>
    <x v="0"/>
    <s v="MTG"/>
    <x v="19"/>
    <n v="1.1519197362649205"/>
  </r>
  <r>
    <s v="30YrConformingConventional"/>
    <s v="Chase"/>
    <x v="0"/>
    <s v="MTG"/>
    <x v="20"/>
    <n v="1.1515575005170779"/>
  </r>
  <r>
    <s v="30YrConformingConventional"/>
    <s v="Chase"/>
    <x v="0"/>
    <s v="MTG"/>
    <x v="21"/>
    <n v="1.1500643528161443"/>
  </r>
  <r>
    <s v="30YrConformingConventional"/>
    <s v="Chase"/>
    <x v="0"/>
    <s v="MTG"/>
    <x v="22"/>
    <n v="1.128202301407712"/>
  </r>
  <r>
    <s v="30YrConformingConventional"/>
    <s v="Chase"/>
    <x v="0"/>
    <s v="MTG"/>
    <x v="23"/>
    <n v="1.1584417066706245"/>
  </r>
  <r>
    <s v="30YrConformingConventional"/>
    <s v="Chase"/>
    <x v="0"/>
    <s v="MTG"/>
    <x v="24"/>
    <n v="1.1786755580554982"/>
  </r>
  <r>
    <s v="30YrConformingConventional"/>
    <s v="Chase"/>
    <x v="0"/>
    <s v="MTG"/>
    <x v="25"/>
    <n v="1.2137587078296703"/>
  </r>
  <r>
    <s v="30YrConformingConventional"/>
    <s v="Chase"/>
    <x v="0"/>
    <s v="MTG"/>
    <x v="26"/>
    <n v="1.1921735232104831"/>
  </r>
  <r>
    <s v="30YrConformingConventional"/>
    <s v="Chase"/>
    <x v="0"/>
    <s v="MTG"/>
    <x v="27"/>
    <n v="1.164934383367918"/>
  </r>
  <r>
    <s v="30YrConformingConventional"/>
    <s v="Chase"/>
    <x v="0"/>
    <s v="MTG"/>
    <x v="28"/>
    <n v="1.1451004723297626"/>
  </r>
  <r>
    <s v="30YrConformingConventional"/>
    <s v="Chase"/>
    <x v="0"/>
    <s v="MTG"/>
    <x v="29"/>
    <n v="1.2012007162912803"/>
  </r>
  <r>
    <s v="30YrConformingConventional"/>
    <s v="Chase"/>
    <x v="0"/>
    <s v="MTG"/>
    <x v="30"/>
    <n v="1.182626202146932"/>
  </r>
  <r>
    <s v="30YrConformingConventional"/>
    <s v="Chase"/>
    <x v="0"/>
    <s v="MTG"/>
    <x v="31"/>
    <n v="1.2278990772262279"/>
  </r>
  <r>
    <s v="30YrConformingConventional"/>
    <s v="Chase"/>
    <x v="0"/>
    <s v="MTG"/>
    <x v="32"/>
    <n v="1.2366897199972682"/>
  </r>
  <r>
    <s v="30YrConformingConventional"/>
    <s v="Chase"/>
    <x v="0"/>
    <s v="MTG"/>
    <x v="33"/>
    <n v="1.245472241338248"/>
  </r>
  <r>
    <s v="30YrConformingConventional"/>
    <s v="Chase"/>
    <x v="0"/>
    <s v="MTG"/>
    <x v="34"/>
    <n v="1.1808957523380619"/>
  </r>
  <r>
    <s v="30YrConformingConventional"/>
    <s v="Chase"/>
    <x v="0"/>
    <s v="MTG"/>
    <x v="35"/>
    <n v="1.1569638893232519"/>
  </r>
  <r>
    <s v="30YrConformingConventional"/>
    <s v="Chase"/>
    <x v="0"/>
    <s v="MTG"/>
    <x v="36"/>
    <n v="1.1372662480492881"/>
  </r>
  <r>
    <s v="30YrConformingConventional"/>
    <s v="Chase"/>
    <x v="0"/>
    <s v="MTG"/>
    <x v="37"/>
    <n v="1.18625358517885"/>
  </r>
  <r>
    <s v="30YrConformingConventional"/>
    <s v="Chase"/>
    <x v="0"/>
    <s v="MTG"/>
    <x v="38"/>
    <n v="1.2129819489389504"/>
  </r>
  <r>
    <s v="30YrConformingConventional"/>
    <s v="Chase"/>
    <x v="0"/>
    <s v="MTG"/>
    <x v="39"/>
    <n v="1.1687611844429833"/>
  </r>
  <r>
    <s v="30YrConformingConventional"/>
    <s v="Chase"/>
    <x v="0"/>
    <s v="MTG"/>
    <x v="40"/>
    <n v="1.14339971207764"/>
  </r>
  <r>
    <s v="30YrConformingConventional"/>
    <s v="Chase"/>
    <x v="0"/>
    <s v="MTG"/>
    <x v="41"/>
    <n v="1.1595099583305548"/>
  </r>
  <r>
    <s v="30YrConformingConventional"/>
    <s v="Chase"/>
    <x v="0"/>
    <s v="MTG"/>
    <x v="42"/>
    <n v="1.1873277108407725"/>
  </r>
  <r>
    <s v="30YrConformingConventional"/>
    <s v="Chase"/>
    <x v="0"/>
    <s v="MTG"/>
    <x v="43"/>
    <n v="1.1289325267435621"/>
  </r>
  <r>
    <s v="30YrConformingConventional"/>
    <s v="Chase"/>
    <x v="0"/>
    <s v="MTG"/>
    <x v="44"/>
    <n v="1.1272723391193236"/>
  </r>
  <r>
    <s v="30YrConformingConventional"/>
    <s v="Chase"/>
    <x v="0"/>
    <s v="MTG"/>
    <x v="45"/>
    <n v="1.1854171415668284"/>
  </r>
  <r>
    <s v="30YrConformingConventional"/>
    <s v="Chase"/>
    <x v="0"/>
    <s v="MTG"/>
    <x v="46"/>
    <n v="1.1417604200449385"/>
  </r>
  <r>
    <s v="30YrConformingConventional"/>
    <s v="Chase"/>
    <x v="0"/>
    <s v="MTG"/>
    <x v="47"/>
    <n v="1.1666592303356988"/>
  </r>
  <r>
    <s v="30YrConformingConventional"/>
    <s v="Chase"/>
    <x v="0"/>
    <s v="MTG"/>
    <x v="48"/>
    <n v="1.1260310636068873"/>
  </r>
  <r>
    <s v="30YrConformingConventional"/>
    <s v="Chase"/>
    <x v="0"/>
    <s v="MTG"/>
    <x v="49"/>
    <n v="1.0787377454870266"/>
  </r>
  <r>
    <s v="30YrConformingConventional"/>
    <s v="Chase"/>
    <x v="0"/>
    <s v="MTG"/>
    <x v="50"/>
    <n v="1.0921474532674187"/>
  </r>
  <r>
    <s v="30YrConformingConventional"/>
    <s v="Chase"/>
    <x v="0"/>
    <s v="MTG"/>
    <x v="51"/>
    <n v="1.1024563517281987"/>
  </r>
  <r>
    <s v="30YrConformingConventional"/>
    <s v="Chase"/>
    <x v="0"/>
    <s v="MTG"/>
    <x v="52"/>
    <n v="1.1232313177685398"/>
  </r>
  <r>
    <s v="30YrConformingConventional"/>
    <s v="Chase"/>
    <x v="0"/>
    <s v="MTG"/>
    <x v="53"/>
    <n v="1.2021204993395886"/>
  </r>
  <r>
    <s v="30YrConformingConventional"/>
    <s v="Chase"/>
    <x v="0"/>
    <s v="MTG"/>
    <x v="54"/>
    <n v="1.1090394051208565"/>
  </r>
  <r>
    <s v="30YrConformingConventional"/>
    <s v="Chase"/>
    <x v="0"/>
    <s v="MTG"/>
    <x v="55"/>
    <n v="1.1721816785436447"/>
  </r>
  <r>
    <s v="30YrConformingConventional"/>
    <s v="Chase"/>
    <x v="0"/>
    <s v="MTG"/>
    <x v="56"/>
    <n v="1.1833677074112747"/>
  </r>
  <r>
    <s v="30YrConformingConventional"/>
    <s v="Chase"/>
    <x v="0"/>
    <s v="MTG"/>
    <x v="57"/>
    <n v="1.1387432923308964"/>
  </r>
  <r>
    <s v="30YrConformingConventional"/>
    <s v="Chase"/>
    <x v="0"/>
    <s v="MTG"/>
    <x v="58"/>
    <n v="1.2021090180919645"/>
  </r>
  <r>
    <s v="30YrConformingConventional"/>
    <s v="Chase"/>
    <x v="0"/>
    <s v="MTG"/>
    <x v="59"/>
    <n v="1.1783667597662388"/>
  </r>
  <r>
    <s v="30YrConformingConventional"/>
    <s v="Chase"/>
    <x v="0"/>
    <s v="MTG"/>
    <x v="60"/>
    <n v="1.1199017857261857"/>
  </r>
  <r>
    <s v="30YrConformingConventional"/>
    <s v="Chase"/>
    <x v="0"/>
    <s v="MTG"/>
    <x v="61"/>
    <n v="1.1246011040016359"/>
  </r>
  <r>
    <s v="30YrConformingConventional"/>
    <s v="Chase"/>
    <x v="0"/>
    <s v="MTG"/>
    <x v="62"/>
    <n v="1.1235798144236075"/>
  </r>
  <r>
    <s v="30YrConformingConventional"/>
    <s v="Chase"/>
    <x v="0"/>
    <s v="MTG"/>
    <x v="63"/>
    <n v="1.1411289268595988"/>
  </r>
  <r>
    <s v="30YrConformingConventional"/>
    <s v="Chase"/>
    <x v="0"/>
    <s v="MTG"/>
    <x v="64"/>
    <n v="1.0672020709535386"/>
  </r>
  <r>
    <s v="30YrConformingConventional"/>
    <s v="Chase"/>
    <x v="0"/>
    <s v="MTG"/>
    <x v="65"/>
    <n v="1.0504553887351207"/>
  </r>
  <r>
    <s v="30YrConformingConventional"/>
    <s v="Chase"/>
    <x v="0"/>
    <s v="MTG"/>
    <x v="66"/>
    <n v="1.0991949566938706"/>
  </r>
  <r>
    <s v="30YrConformingConventional"/>
    <s v="Chase"/>
    <x v="0"/>
    <s v="MTG"/>
    <x v="67"/>
    <n v="1.03545423184833"/>
  </r>
  <r>
    <s v="30YrConformingConventional"/>
    <s v="Chase"/>
    <x v="0"/>
    <s v="MTG"/>
    <x v="68"/>
    <n v="1.0396417487717906"/>
  </r>
  <r>
    <s v="30YrConformingConventional"/>
    <s v="Chase"/>
    <x v="0"/>
    <s v="MTG"/>
    <x v="69"/>
    <n v="1.0868444145393132"/>
  </r>
  <r>
    <s v="30YrConformingConventional"/>
    <s v="Chase"/>
    <x v="0"/>
    <s v="MTG"/>
    <x v="70"/>
    <n v="1.1029204924566245"/>
  </r>
  <r>
    <s v="30YrConformingConventional"/>
    <s v="Chase"/>
    <x v="0"/>
    <s v="MTG"/>
    <x v="71"/>
    <n v="1.1106403455520191"/>
  </r>
  <r>
    <s v="30YrConformingConventional"/>
    <s v="Chase"/>
    <x v="0"/>
    <s v="MTG"/>
    <x v="72"/>
    <n v="1.1242038661903935"/>
  </r>
  <r>
    <s v="30YrConformingConventional"/>
    <s v="Chase"/>
    <x v="0"/>
    <s v="MTG"/>
    <x v="73"/>
    <n v="1.0695195851191126"/>
  </r>
  <r>
    <s v="30YrConformingConventional"/>
    <s v="Chase"/>
    <x v="0"/>
    <s v="MTG"/>
    <x v="74"/>
    <n v="1.1006278008126524"/>
  </r>
  <r>
    <s v="30YrConformingConventional"/>
    <s v="Chase"/>
    <x v="0"/>
    <s v="MTG"/>
    <x v="75"/>
    <n v="1.1222065668344823"/>
  </r>
  <r>
    <s v="30YrConformingConventional"/>
    <s v="Chase"/>
    <x v="0"/>
    <s v="MTG"/>
    <x v="76"/>
    <n v="1.0780679075857009"/>
  </r>
  <r>
    <s v="30YrConformingConventional"/>
    <s v="Chase"/>
    <x v="0"/>
    <s v="MTG"/>
    <x v="77"/>
    <n v="1.0805349596090708"/>
  </r>
  <r>
    <s v="30YrConformingConventional"/>
    <s v="Chase"/>
    <x v="0"/>
    <s v="MTG"/>
    <x v="78"/>
    <n v="1.110598770041469"/>
  </r>
  <r>
    <s v="30YrConformingConventional"/>
    <s v="Chase"/>
    <x v="0"/>
    <s v="MTG"/>
    <x v="79"/>
    <n v="1.0320886358803201"/>
  </r>
  <r>
    <s v="30YrConformingConventional"/>
    <s v="Chase"/>
    <x v="0"/>
    <s v="MTG"/>
    <x v="80"/>
    <n v="1.124883383738843"/>
  </r>
  <r>
    <s v="30YrConformingConventional"/>
    <s v="Chase"/>
    <x v="0"/>
    <s v="MTG"/>
    <x v="81"/>
    <n v="1.100251686609413"/>
  </r>
  <r>
    <s v="30YrConformingConventional"/>
    <s v="Chase"/>
    <x v="0"/>
    <s v="MTG"/>
    <x v="82"/>
    <n v="0.9841181693674137"/>
  </r>
  <r>
    <s v="30YrConformingConventional"/>
    <s v="Chase"/>
    <x v="0"/>
    <s v="MTG"/>
    <x v="83"/>
    <n v="1.06880623699189"/>
  </r>
  <r>
    <s v="30YrConformingConventional"/>
    <s v="Chase"/>
    <x v="0"/>
    <s v="MTG"/>
    <x v="84"/>
    <n v="1.0807127136680399"/>
  </r>
  <r>
    <s v="30YrConformingConventional"/>
    <s v="Chase"/>
    <x v="0"/>
    <s v="MTG"/>
    <x v="85"/>
    <n v="1.0236217114382038"/>
  </r>
  <r>
    <s v="30YrConformingConventional"/>
    <s v="Chase"/>
    <x v="0"/>
    <s v="MTG"/>
    <x v="86"/>
    <n v="1.0831985963852633"/>
  </r>
  <r>
    <s v="30YrConformingConventional"/>
    <s v="Chase"/>
    <x v="0"/>
    <s v="MTG"/>
    <x v="87"/>
    <n v="1.1134053714828922"/>
  </r>
  <r>
    <s v="30YrConformingConventional"/>
    <s v="Chase"/>
    <x v="0"/>
    <s v="MTG"/>
    <x v="88"/>
    <n v="1.0825091444054298"/>
  </r>
  <r>
    <s v="30YrConformingConventional"/>
    <s v="Chase"/>
    <x v="0"/>
    <s v="MTG"/>
    <x v="89"/>
    <n v="1.083606967260841"/>
  </r>
  <r>
    <s v="30YrConformingConventional"/>
    <s v="Chase"/>
    <x v="0"/>
    <s v="MTG"/>
    <x v="90"/>
    <n v="1.010759557780011"/>
  </r>
  <r>
    <s v="30YrConformingConventional"/>
    <s v="Chase"/>
    <x v="0"/>
    <s v="MTG"/>
    <x v="91"/>
    <n v="1.0398411621313595"/>
  </r>
  <r>
    <s v="30YrConformingConventional"/>
    <s v="Chase"/>
    <x v="0"/>
    <s v="MTG"/>
    <x v="92"/>
    <n v="1.0423068026676641"/>
  </r>
  <r>
    <s v="30YrConformingConventional"/>
    <s v="Chase"/>
    <x v="0"/>
    <s v="MTG"/>
    <x v="93"/>
    <n v="1.0786491057373591"/>
  </r>
  <r>
    <s v="30YrConformingConventional"/>
    <s v="Chase"/>
    <x v="0"/>
    <s v="MTG"/>
    <x v="94"/>
    <n v="1.0891799655927026"/>
  </r>
  <r>
    <s v="30YrConformingConventional"/>
    <s v="Chase"/>
    <x v="0"/>
    <s v="MTG"/>
    <x v="95"/>
    <n v="1.0606327250559704"/>
  </r>
  <r>
    <s v="30YrConformingConventional"/>
    <s v="Chase"/>
    <x v="0"/>
    <s v="MTG"/>
    <x v="96"/>
    <n v="1.0118874123115511"/>
  </r>
  <r>
    <s v="30YrConformingConventional"/>
    <s v="Chase"/>
    <x v="0"/>
    <s v="MTG"/>
    <x v="97"/>
    <n v="1.02209245388055"/>
  </r>
  <r>
    <s v="30YrConformingConventional"/>
    <s v="Chase"/>
    <x v="0"/>
    <s v="MTG"/>
    <x v="98"/>
    <n v="1.05136246705567"/>
  </r>
  <r>
    <s v="30YrConformingConventional"/>
    <s v="Chase"/>
    <x v="0"/>
    <s v="MTG"/>
    <x v="99"/>
    <n v="1.0959063610201645"/>
  </r>
  <r>
    <s v="30YrConformingConventional"/>
    <s v="Chase"/>
    <x v="0"/>
    <s v="MTG"/>
    <x v="100"/>
    <n v="1.1216542765386541"/>
  </r>
  <r>
    <s v="30YrConformingConventional"/>
    <s v="Chase"/>
    <x v="0"/>
    <s v="MTG"/>
    <x v="101"/>
    <n v="1.0848226045065246"/>
  </r>
  <r>
    <s v="30YrConformingConventional"/>
    <s v="Chase"/>
    <x v="0"/>
    <s v="MTG"/>
    <x v="102"/>
    <n v="1.0841836356510286"/>
  </r>
  <r>
    <s v="30YrConformingConventional"/>
    <s v="Chase"/>
    <x v="0"/>
    <s v="MTG"/>
    <x v="103"/>
    <n v="1.1236026633522043"/>
  </r>
  <r>
    <s v="30YrConformingConventional"/>
    <s v="Chase"/>
    <x v="0"/>
    <s v="MTG"/>
    <x v="104"/>
    <n v="1.0984133460250745"/>
  </r>
  <r>
    <s v="30YrConformingConventional"/>
    <s v="Chase"/>
    <x v="0"/>
    <s v="MTG"/>
    <x v="105"/>
    <n v="1.0991844871188046"/>
  </r>
  <r>
    <s v="30YrConformingConventional"/>
    <s v="Chase"/>
    <x v="0"/>
    <s v="MTG"/>
    <x v="106"/>
    <n v="1.0534402187716043"/>
  </r>
  <r>
    <s v="30YrConformingConventional"/>
    <s v="Chase"/>
    <x v="0"/>
    <s v="MTG"/>
    <x v="107"/>
    <n v="1.082989461372704"/>
  </r>
  <r>
    <s v="30YrConformingConventional"/>
    <s v="Quicken"/>
    <x v="0"/>
    <s v="MTG"/>
    <x v="0"/>
    <n v="1.4380197325194559"/>
  </r>
  <r>
    <s v="30YrConformingConventional"/>
    <s v="Quicken"/>
    <x v="0"/>
    <s v="MTG"/>
    <x v="1"/>
    <n v="1.4480315377515394"/>
  </r>
  <r>
    <s v="30YrConformingConventional"/>
    <s v="Quicken"/>
    <x v="0"/>
    <s v="MTG"/>
    <x v="2"/>
    <n v="1.4566536855283092"/>
  </r>
  <r>
    <s v="30YrConformingConventional"/>
    <s v="Quicken"/>
    <x v="0"/>
    <s v="MTG"/>
    <x v="3"/>
    <n v="1.4264489588822669"/>
  </r>
  <r>
    <s v="30YrConformingConventional"/>
    <s v="Quicken"/>
    <x v="0"/>
    <s v="MTG"/>
    <x v="4"/>
    <n v="1.4952818872147542"/>
  </r>
  <r>
    <s v="30YrConformingConventional"/>
    <s v="Quicken"/>
    <x v="0"/>
    <s v="MTG"/>
    <x v="5"/>
    <n v="1.4900890106520488"/>
  </r>
  <r>
    <s v="30YrConformingConventional"/>
    <s v="Quicken"/>
    <x v="0"/>
    <s v="MTG"/>
    <x v="6"/>
    <n v="1.4765235270090056"/>
  </r>
  <r>
    <s v="30YrConformingConventional"/>
    <s v="Quicken"/>
    <x v="0"/>
    <s v="MTG"/>
    <x v="7"/>
    <n v="1.458400562294766"/>
  </r>
  <r>
    <s v="30YrConformingConventional"/>
    <s v="Quicken"/>
    <x v="0"/>
    <s v="MTG"/>
    <x v="8"/>
    <n v="1.4728530811846257"/>
  </r>
  <r>
    <s v="30YrConformingConventional"/>
    <s v="Quicken"/>
    <x v="0"/>
    <s v="MTG"/>
    <x v="9"/>
    <n v="1.4480384086770592"/>
  </r>
  <r>
    <s v="30YrConformingConventional"/>
    <s v="Quicken"/>
    <x v="0"/>
    <s v="MTG"/>
    <x v="10"/>
    <n v="1.4763786632440858"/>
  </r>
  <r>
    <s v="30YrConformingConventional"/>
    <s v="Quicken"/>
    <x v="0"/>
    <s v="MTG"/>
    <x v="11"/>
    <n v="1.4236442001834584"/>
  </r>
  <r>
    <s v="30YrConformingConventional"/>
    <s v="Quicken"/>
    <x v="0"/>
    <s v="MTG"/>
    <x v="12"/>
    <n v="1.4069365395175983"/>
  </r>
  <r>
    <s v="30YrConformingConventional"/>
    <s v="Quicken"/>
    <x v="0"/>
    <s v="MTG"/>
    <x v="13"/>
    <n v="1.4771625368674803"/>
  </r>
  <r>
    <s v="30YrConformingConventional"/>
    <s v="Quicken"/>
    <x v="0"/>
    <s v="MTG"/>
    <x v="14"/>
    <n v="1.4589836252872179"/>
  </r>
  <r>
    <s v="30YrConformingConventional"/>
    <s v="Quicken"/>
    <x v="0"/>
    <s v="MTG"/>
    <x v="15"/>
    <n v="1.4741399466234748"/>
  </r>
  <r>
    <s v="30YrConformingConventional"/>
    <s v="Quicken"/>
    <x v="0"/>
    <s v="MTG"/>
    <x v="16"/>
    <n v="1.4523237072335584"/>
  </r>
  <r>
    <s v="30YrConformingConventional"/>
    <s v="Quicken"/>
    <x v="0"/>
    <s v="MTG"/>
    <x v="17"/>
    <n v="1.4909513151017189"/>
  </r>
  <r>
    <s v="30YrConformingConventional"/>
    <s v="Quicken"/>
    <x v="0"/>
    <s v="MTG"/>
    <x v="18"/>
    <n v="1.4848898228908918"/>
  </r>
  <r>
    <s v="30YrConformingConventional"/>
    <s v="Quicken"/>
    <x v="0"/>
    <s v="MTG"/>
    <x v="19"/>
    <n v="1.4877516387472818"/>
  </r>
  <r>
    <s v="30YrConformingConventional"/>
    <s v="Quicken"/>
    <x v="0"/>
    <s v="MTG"/>
    <x v="20"/>
    <n v="1.48790031413224"/>
  </r>
  <r>
    <s v="30YrConformingConventional"/>
    <s v="Quicken"/>
    <x v="0"/>
    <s v="MTG"/>
    <x v="21"/>
    <n v="1.4551138540801207"/>
  </r>
  <r>
    <s v="30YrConformingConventional"/>
    <s v="Quicken"/>
    <x v="0"/>
    <s v="MTG"/>
    <x v="22"/>
    <n v="1.4030969614698008"/>
  </r>
  <r>
    <s v="30YrConformingConventional"/>
    <s v="Quicken"/>
    <x v="0"/>
    <s v="MTG"/>
    <x v="23"/>
    <n v="1.5264927540743496"/>
  </r>
  <r>
    <s v="30YrConformingConventional"/>
    <s v="Quicken"/>
    <x v="0"/>
    <s v="MTG"/>
    <x v="24"/>
    <n v="1.4834640718696397"/>
  </r>
  <r>
    <s v="30YrConformingConventional"/>
    <s v="Quicken"/>
    <x v="0"/>
    <s v="MTG"/>
    <x v="25"/>
    <n v="1.4877106444003581"/>
  </r>
  <r>
    <s v="30YrConformingConventional"/>
    <s v="Quicken"/>
    <x v="0"/>
    <s v="MTG"/>
    <x v="26"/>
    <n v="1.4636651505186651"/>
  </r>
  <r>
    <s v="30YrConformingConventional"/>
    <s v="Quicken"/>
    <x v="0"/>
    <s v="MTG"/>
    <x v="27"/>
    <n v="1.4688348248507781"/>
  </r>
  <r>
    <s v="30YrConformingConventional"/>
    <s v="Quicken"/>
    <x v="0"/>
    <s v="MTG"/>
    <x v="28"/>
    <n v="1.4794738390900448"/>
  </r>
  <r>
    <s v="30YrConformingConventional"/>
    <s v="Quicken"/>
    <x v="0"/>
    <s v="MTG"/>
    <x v="29"/>
    <n v="1.4426462117529448"/>
  </r>
  <r>
    <s v="30YrConformingConventional"/>
    <s v="Quicken"/>
    <x v="0"/>
    <s v="MTG"/>
    <x v="30"/>
    <n v="1.4880251513383613"/>
  </r>
  <r>
    <s v="30YrConformingConventional"/>
    <s v="Quicken"/>
    <x v="0"/>
    <s v="MTG"/>
    <x v="31"/>
    <n v="1.5001903340299612"/>
  </r>
  <r>
    <s v="30YrConformingConventional"/>
    <s v="Quicken"/>
    <x v="0"/>
    <s v="MTG"/>
    <x v="32"/>
    <n v="1.5089809768010016"/>
  </r>
  <r>
    <s v="30YrConformingConventional"/>
    <s v="Quicken"/>
    <x v="0"/>
    <s v="MTG"/>
    <x v="33"/>
    <n v="1.5177634981419812"/>
  </r>
  <r>
    <s v="30YrConformingConventional"/>
    <s v="Quicken"/>
    <x v="0"/>
    <s v="MTG"/>
    <x v="34"/>
    <n v="1.4862947015294912"/>
  </r>
  <r>
    <s v="30YrConformingConventional"/>
    <s v="Quicken"/>
    <x v="0"/>
    <s v="MTG"/>
    <x v="35"/>
    <n v="1.4948600955250895"/>
  </r>
  <r>
    <s v="30YrConformingConventional"/>
    <s v="Quicken"/>
    <x v="0"/>
    <s v="MTG"/>
    <x v="36"/>
    <n v="1.4715419878752252"/>
  </r>
  <r>
    <s v="30YrConformingConventional"/>
    <s v="Quicken"/>
    <x v="0"/>
    <s v="MTG"/>
    <x v="37"/>
    <n v="1.4276990806405148"/>
  </r>
  <r>
    <s v="30YrConformingConventional"/>
    <s v="Quicken"/>
    <x v="0"/>
    <s v="MTG"/>
    <x v="38"/>
    <n v="1.4544274444006151"/>
  </r>
  <r>
    <s v="30YrConformingConventional"/>
    <s v="Quicken"/>
    <x v="0"/>
    <s v="MTG"/>
    <x v="39"/>
    <n v="1.4106457790517211"/>
  </r>
  <r>
    <s v="30YrConformingConventional"/>
    <s v="Quicken"/>
    <x v="0"/>
    <s v="MTG"/>
    <x v="40"/>
    <n v="1.4173516486483277"/>
  </r>
  <r>
    <s v="30YrConformingConventional"/>
    <s v="Quicken"/>
    <x v="0"/>
    <s v="MTG"/>
    <x v="41"/>
    <n v="1.5254738009914262"/>
  </r>
  <r>
    <s v="30YrConformingConventional"/>
    <s v="Quicken"/>
    <x v="0"/>
    <s v="MTG"/>
    <x v="42"/>
    <n v="1.524204949581796"/>
  </r>
  <r>
    <s v="30YrConformingConventional"/>
    <s v="Quicken"/>
    <x v="0"/>
    <s v="MTG"/>
    <x v="43"/>
    <n v="1.4365404683160585"/>
  </r>
  <r>
    <s v="30YrConformingConventional"/>
    <s v="Quicken"/>
    <x v="0"/>
    <s v="MTG"/>
    <x v="44"/>
    <n v="1.4305392548903291"/>
  </r>
  <r>
    <s v="30YrConformingConventional"/>
    <s v="Quicken"/>
    <x v="0"/>
    <s v="MTG"/>
    <x v="45"/>
    <n v="1.4607908720241185"/>
  </r>
  <r>
    <s v="30YrConformingConventional"/>
    <s v="Quicken"/>
    <x v="0"/>
    <s v="MTG"/>
    <x v="46"/>
    <n v="1.3762246496753616"/>
  </r>
  <r>
    <s v="30YrConformingConventional"/>
    <s v="Quicken"/>
    <x v="0"/>
    <s v="MTG"/>
    <x v="47"/>
    <n v="1.4629404881689234"/>
  </r>
  <r>
    <s v="30YrConformingConventional"/>
    <s v="Quicken"/>
    <x v="0"/>
    <s v="MTG"/>
    <x v="48"/>
    <n v="1.462111979295476"/>
  </r>
  <r>
    <s v="30YrConformingConventional"/>
    <s v="Quicken"/>
    <x v="0"/>
    <s v="MTG"/>
    <x v="49"/>
    <n v="1.4047368657845636"/>
  </r>
  <r>
    <s v="30YrConformingConventional"/>
    <s v="Quicken"/>
    <x v="0"/>
    <s v="MTG"/>
    <x v="50"/>
    <n v="1.4204762246717666"/>
  </r>
  <r>
    <s v="30YrConformingConventional"/>
    <s v="Quicken"/>
    <x v="0"/>
    <s v="MTG"/>
    <x v="51"/>
    <n v="1.3661091909397234"/>
  </r>
  <r>
    <s v="30YrConformingConventional"/>
    <s v="Quicken"/>
    <x v="0"/>
    <s v="MTG"/>
    <x v="52"/>
    <n v="1.4498754209908069"/>
  </r>
  <r>
    <s v="30YrConformingConventional"/>
    <s v="Quicken"/>
    <x v="0"/>
    <s v="MTG"/>
    <x v="53"/>
    <n v="1.5101226484185784"/>
  </r>
  <r>
    <s v="30YrConformingConventional"/>
    <s v="Quicken"/>
    <x v="0"/>
    <s v="MTG"/>
    <x v="54"/>
    <n v="1.4758689309019548"/>
  </r>
  <r>
    <s v="30YrConformingConventional"/>
    <s v="Quicken"/>
    <x v="0"/>
    <s v="MTG"/>
    <x v="55"/>
    <n v="1.4353176144054771"/>
  </r>
  <r>
    <s v="30YrConformingConventional"/>
    <s v="Quicken"/>
    <x v="0"/>
    <s v="MTG"/>
    <x v="56"/>
    <n v="1.4144561297019835"/>
  </r>
  <r>
    <s v="30YrConformingConventional"/>
    <s v="Quicken"/>
    <x v="0"/>
    <s v="MTG"/>
    <x v="57"/>
    <n v="1.4647424126284332"/>
  </r>
  <r>
    <s v="30YrConformingConventional"/>
    <s v="Quicken"/>
    <x v="0"/>
    <s v="MTG"/>
    <x v="58"/>
    <n v="1.4740278458662346"/>
  </r>
  <r>
    <s v="30YrConformingConventional"/>
    <s v="Quicken"/>
    <x v="0"/>
    <s v="MTG"/>
    <x v="59"/>
    <n v="1.5474389721311044"/>
  </r>
  <r>
    <s v="30YrConformingConventional"/>
    <s v="Quicken"/>
    <x v="0"/>
    <s v="MTG"/>
    <x v="60"/>
    <n v="1.4903728139659185"/>
  </r>
  <r>
    <s v="30YrConformingConventional"/>
    <s v="Quicken"/>
    <x v="0"/>
    <s v="MTG"/>
    <x v="61"/>
    <n v="1.4950721322413687"/>
  </r>
  <r>
    <s v="30YrConformingConventional"/>
    <s v="Quicken"/>
    <x v="0"/>
    <s v="MTG"/>
    <x v="62"/>
    <n v="1.4917998878905758"/>
  </r>
  <r>
    <s v="30YrConformingConventional"/>
    <s v="Quicken"/>
    <x v="0"/>
    <s v="MTG"/>
    <x v="63"/>
    <n v="1.5304654078377482"/>
  </r>
  <r>
    <s v="30YrConformingConventional"/>
    <s v="Quicken"/>
    <x v="0"/>
    <s v="MTG"/>
    <x v="64"/>
    <n v="1.456538551931688"/>
  </r>
  <r>
    <s v="30YrConformingConventional"/>
    <s v="Quicken"/>
    <x v="0"/>
    <s v="MTG"/>
    <x v="65"/>
    <n v="1.4471775794060073"/>
  </r>
  <r>
    <s v="30YrConformingConventional"/>
    <s v="Quicken"/>
    <x v="0"/>
    <s v="MTG"/>
    <x v="66"/>
    <n v="1.4843967805660399"/>
  </r>
  <r>
    <s v="30YrConformingConventional"/>
    <s v="Quicken"/>
    <x v="0"/>
    <s v="MTG"/>
    <x v="67"/>
    <n v="1.4548494506448555"/>
  </r>
  <r>
    <s v="30YrConformingConventional"/>
    <s v="Quicken"/>
    <x v="0"/>
    <s v="MTG"/>
    <x v="68"/>
    <n v="1.4881603042196454"/>
  </r>
  <r>
    <s v="30YrConformingConventional"/>
    <s v="Quicken"/>
    <x v="0"/>
    <s v="MTG"/>
    <x v="69"/>
    <n v="1.4440887961320856"/>
  </r>
  <r>
    <s v="30YrConformingConventional"/>
    <s v="Quicken"/>
    <x v="0"/>
    <s v="MTG"/>
    <x v="70"/>
    <n v="1.4075287501712803"/>
  </r>
  <r>
    <s v="30YrConformingConventional"/>
    <s v="Quicken"/>
    <x v="0"/>
    <s v="MTG"/>
    <x v="71"/>
    <n v="1.4972730625516655"/>
  </r>
  <r>
    <s v="30YrConformingConventional"/>
    <s v="Quicken"/>
    <x v="0"/>
    <s v="MTG"/>
    <x v="72"/>
    <n v="1.4498207626518271"/>
  </r>
  <r>
    <s v="30YrConformingConventional"/>
    <s v="Quicken"/>
    <x v="0"/>
    <s v="MTG"/>
    <x v="73"/>
    <n v="1.4252231382307401"/>
  </r>
  <r>
    <s v="30YrConformingConventional"/>
    <s v="Quicken"/>
    <x v="0"/>
    <s v="MTG"/>
    <x v="74"/>
    <n v="1.4880206003686269"/>
  </r>
  <r>
    <s v="30YrConformingConventional"/>
    <s v="Quicken"/>
    <x v="0"/>
    <s v="MTG"/>
    <x v="75"/>
    <n v="1.5095993663904568"/>
  </r>
  <r>
    <s v="30YrConformingConventional"/>
    <s v="Quicken"/>
    <x v="0"/>
    <s v="MTG"/>
    <x v="76"/>
    <n v="1.4663819561525822"/>
  </r>
  <r>
    <s v="30YrConformingConventional"/>
    <s v="Quicken"/>
    <x v="0"/>
    <s v="MTG"/>
    <x v="77"/>
    <n v="1.467421874783301"/>
  </r>
  <r>
    <s v="30YrConformingConventional"/>
    <s v="Quicken"/>
    <x v="0"/>
    <s v="MTG"/>
    <x v="78"/>
    <n v="1.4021636048641268"/>
  </r>
  <r>
    <s v="30YrConformingConventional"/>
    <s v="Quicken"/>
    <x v="0"/>
    <s v="MTG"/>
    <x v="79"/>
    <n v="1.3996874898998775"/>
  </r>
  <r>
    <s v="30YrConformingConventional"/>
    <s v="Quicken"/>
    <x v="0"/>
    <s v="MTG"/>
    <x v="80"/>
    <n v="1.430331400554647"/>
  </r>
  <r>
    <s v="30YrConformingConventional"/>
    <s v="Quicken"/>
    <x v="0"/>
    <s v="MTG"/>
    <x v="81"/>
    <n v="1.4056997034252172"/>
  </r>
  <r>
    <s v="30YrConformingConventional"/>
    <s v="Quicken"/>
    <x v="0"/>
    <s v="MTG"/>
    <x v="82"/>
    <n v="1.3826046317307703"/>
  </r>
  <r>
    <s v="30YrConformingConventional"/>
    <s v="Quicken"/>
    <x v="0"/>
    <s v="MTG"/>
    <x v="83"/>
    <n v="1.4364050910114474"/>
  </r>
  <r>
    <s v="30YrConformingConventional"/>
    <s v="Quicken"/>
    <x v="0"/>
    <s v="MTG"/>
    <x v="84"/>
    <n v="1.4483115676875973"/>
  </r>
  <r>
    <s v="30YrConformingConventional"/>
    <s v="Quicken"/>
    <x v="0"/>
    <s v="MTG"/>
    <x v="85"/>
    <n v="1.4221081738015604"/>
  </r>
  <r>
    <s v="30YrConformingConventional"/>
    <s v="Quicken"/>
    <x v="0"/>
    <s v="MTG"/>
    <x v="86"/>
    <n v="1.3886466132010673"/>
  </r>
  <r>
    <s v="30YrConformingConventional"/>
    <s v="Quicken"/>
    <x v="0"/>
    <s v="MTG"/>
    <x v="87"/>
    <n v="1.5324256561702054"/>
  </r>
  <r>
    <s v="30YrConformingConventional"/>
    <s v="Quicken"/>
    <x v="0"/>
    <s v="MTG"/>
    <x v="88"/>
    <n v="1.5033319569337917"/>
  </r>
  <r>
    <s v="30YrConformingConventional"/>
    <s v="Quicken"/>
    <x v="0"/>
    <s v="MTG"/>
    <x v="89"/>
    <n v="1.5626154943854269"/>
  </r>
  <r>
    <s v="30YrConformingConventional"/>
    <s v="Quicken"/>
    <x v="0"/>
    <s v="MTG"/>
    <x v="90"/>
    <n v="1.5758798084377967"/>
  </r>
  <r>
    <s v="30YrConformingConventional"/>
    <s v="Quicken"/>
    <x v="0"/>
    <s v="MTG"/>
    <x v="91"/>
    <n v="1.4924131272430072"/>
  </r>
  <r>
    <s v="30YrConformingConventional"/>
    <s v="Quicken"/>
    <x v="0"/>
    <s v="MTG"/>
    <x v="92"/>
    <n v="1.4792233270269517"/>
  </r>
  <r>
    <s v="30YrConformingConventional"/>
    <s v="Quicken"/>
    <x v="0"/>
    <s v="MTG"/>
    <x v="93"/>
    <n v="1.4566586050220325"/>
  </r>
  <r>
    <s v="30YrConformingConventional"/>
    <s v="Quicken"/>
    <x v="0"/>
    <s v="MTG"/>
    <x v="94"/>
    <n v="1.5483643137247298"/>
  </r>
  <r>
    <s v="30YrConformingConventional"/>
    <s v="Quicken"/>
    <x v="0"/>
    <s v="MTG"/>
    <x v="95"/>
    <n v="1.4947782656127222"/>
  </r>
  <r>
    <s v="30YrConformingConventional"/>
    <s v="Quicken"/>
    <x v="0"/>
    <s v="MTG"/>
    <x v="96"/>
    <n v="1.4736088385134953"/>
  </r>
  <r>
    <s v="30YrConformingConventional"/>
    <s v="Quicken"/>
    <x v="0"/>
    <s v="MTG"/>
    <x v="97"/>
    <n v="1.5318206661209262"/>
  </r>
  <r>
    <s v="30YrConformingConventional"/>
    <s v="Quicken"/>
    <x v="0"/>
    <s v="MTG"/>
    <x v="98"/>
    <n v="1.5897431671584479"/>
  </r>
  <r>
    <s v="30YrConformingConventional"/>
    <s v="Quicken"/>
    <x v="0"/>
    <s v="MTG"/>
    <x v="99"/>
    <n v="1.5862801648354699"/>
  </r>
  <r>
    <s v="30YrConformingConventional"/>
    <s v="Quicken"/>
    <x v="0"/>
    <s v="MTG"/>
    <x v="100"/>
    <n v="1.6406557497822147"/>
  </r>
  <r>
    <s v="30YrConformingConventional"/>
    <s v="Quicken"/>
    <x v="0"/>
    <s v="MTG"/>
    <x v="101"/>
    <n v="1.530075174887463"/>
  </r>
  <r>
    <s v="30YrConformingConventional"/>
    <s v="Quicken"/>
    <x v="0"/>
    <s v="MTG"/>
    <x v="102"/>
    <n v="1.5622258993268487"/>
  </r>
  <r>
    <s v="30YrConformingConventional"/>
    <s v="Quicken"/>
    <x v="0"/>
    <s v="MTG"/>
    <x v="103"/>
    <n v="1.5659764368811495"/>
  </r>
  <r>
    <s v="30YrConformingConventional"/>
    <s v="Quicken"/>
    <x v="0"/>
    <s v="MTG"/>
    <x v="104"/>
    <n v="1.5379078120626815"/>
  </r>
  <r>
    <s v="30YrConformingConventional"/>
    <s v="Quicken"/>
    <x v="0"/>
    <s v="MTG"/>
    <x v="105"/>
    <n v="1.5674490622056676"/>
  </r>
  <r>
    <s v="30YrConformingConventional"/>
    <s v="Quicken"/>
    <x v="0"/>
    <s v="MTG"/>
    <x v="106"/>
    <n v="1.5832555958430223"/>
  </r>
  <r>
    <s v="30YrConformingConventional"/>
    <s v="Quicken"/>
    <x v="0"/>
    <s v="MTG"/>
    <x v="107"/>
    <n v="1.5694674483282143"/>
  </r>
  <r>
    <s v="30YrConformingConventional"/>
    <s v="Wells Fargo"/>
    <x v="0"/>
    <s v="MTG"/>
    <x v="0"/>
    <n v="1.3276040404206293"/>
  </r>
  <r>
    <s v="30YrConformingConventional"/>
    <s v="Wells Fargo"/>
    <x v="0"/>
    <s v="MTG"/>
    <x v="1"/>
    <n v="1.3376202576964793"/>
  </r>
  <r>
    <s v="30YrConformingConventional"/>
    <s v="Wells Fargo"/>
    <x v="0"/>
    <s v="MTG"/>
    <x v="2"/>
    <n v="1.3462424054732489"/>
  </r>
  <r>
    <s v="30YrConformingConventional"/>
    <s v="Wells Fargo"/>
    <x v="0"/>
    <s v="MTG"/>
    <x v="3"/>
    <n v="1.4339233654036512"/>
  </r>
  <r>
    <s v="30YrConformingConventional"/>
    <s v="Wells Fargo"/>
    <x v="0"/>
    <s v="MTG"/>
    <x v="4"/>
    <n v="1.3980450736732202"/>
  </r>
  <r>
    <s v="30YrConformingConventional"/>
    <s v="Wells Fargo"/>
    <x v="0"/>
    <s v="MTG"/>
    <x v="5"/>
    <n v="1.3467036436431594"/>
  </r>
  <r>
    <s v="30YrConformingConventional"/>
    <s v="Wells Fargo"/>
    <x v="0"/>
    <s v="MTG"/>
    <x v="6"/>
    <n v="1.3652186771317991"/>
  </r>
  <r>
    <s v="30YrConformingConventional"/>
    <s v="Wells Fargo"/>
    <x v="0"/>
    <s v="MTG"/>
    <x v="7"/>
    <n v="1.4863728858778815"/>
  </r>
  <r>
    <s v="30YrConformingConventional"/>
    <s v="Wells Fargo"/>
    <x v="0"/>
    <s v="MTG"/>
    <x v="8"/>
    <n v="1.3615482313074194"/>
  </r>
  <r>
    <s v="30YrConformingConventional"/>
    <s v="Wells Fargo"/>
    <x v="0"/>
    <s v="MTG"/>
    <x v="9"/>
    <n v="1.3376271286219992"/>
  </r>
  <r>
    <s v="30YrConformingConventional"/>
    <s v="Wells Fargo"/>
    <x v="0"/>
    <s v="MTG"/>
    <x v="10"/>
    <n v="1.334712971145259"/>
  </r>
  <r>
    <s v="30YrConformingConventional"/>
    <s v="Wells Fargo"/>
    <x v="0"/>
    <s v="MTG"/>
    <x v="11"/>
    <n v="1.481982231006719"/>
  </r>
  <r>
    <s v="30YrConformingConventional"/>
    <s v="Wells Fargo"/>
    <x v="0"/>
    <s v="MTG"/>
    <x v="12"/>
    <n v="1.4040077380531564"/>
  </r>
  <r>
    <s v="30YrConformingConventional"/>
    <s v="Wells Fargo"/>
    <x v="0"/>
    <s v="MTG"/>
    <x v="13"/>
    <n v="1.503058195558439"/>
  </r>
  <r>
    <s v="30YrConformingConventional"/>
    <s v="Wells Fargo"/>
    <x v="0"/>
    <s v="MTG"/>
    <x v="14"/>
    <n v="1.456054823822776"/>
  </r>
  <r>
    <s v="30YrConformingConventional"/>
    <s v="Wells Fargo"/>
    <x v="0"/>
    <s v="MTG"/>
    <x v="15"/>
    <n v="1.4574390170989944"/>
  </r>
  <r>
    <s v="30YrConformingConventional"/>
    <s v="Wells Fargo"/>
    <x v="0"/>
    <s v="MTG"/>
    <x v="16"/>
    <n v="1.4493949057691164"/>
  </r>
  <r>
    <s v="30YrConformingConventional"/>
    <s v="Wells Fargo"/>
    <x v="0"/>
    <s v="MTG"/>
    <x v="17"/>
    <n v="1.4840452591736897"/>
  </r>
  <r>
    <s v="30YrConformingConventional"/>
    <s v="Wells Fargo"/>
    <x v="0"/>
    <s v="MTG"/>
    <x v="18"/>
    <n v="1.5425610731525299"/>
  </r>
  <r>
    <s v="30YrConformingConventional"/>
    <s v="Wells Fargo"/>
    <x v="0"/>
    <s v="MTG"/>
    <x v="19"/>
    <n v="1.4842097036588688"/>
  </r>
  <r>
    <s v="30YrConformingConventional"/>
    <s v="Wells Fargo"/>
    <x v="0"/>
    <s v="MTG"/>
    <x v="20"/>
    <n v="1.4525291405354961"/>
  </r>
  <r>
    <s v="30YrConformingConventional"/>
    <s v="Wells Fargo"/>
    <x v="0"/>
    <s v="MTG"/>
    <x v="21"/>
    <n v="1.5728109623670243"/>
  </r>
  <r>
    <s v="30YrConformingConventional"/>
    <s v="Wells Fargo"/>
    <x v="0"/>
    <s v="MTG"/>
    <x v="22"/>
    <n v="1.5207940697567046"/>
  </r>
  <r>
    <s v="30YrConformingConventional"/>
    <s v="Wells Fargo"/>
    <x v="0"/>
    <s v="MTG"/>
    <x v="23"/>
    <n v="1.4583799198878908"/>
  </r>
  <r>
    <s v="30YrConformingConventional"/>
    <s v="Wells Fargo"/>
    <x v="0"/>
    <s v="MTG"/>
    <x v="24"/>
    <n v="1.4796471980739163"/>
  </r>
  <r>
    <s v="30YrConformingConventional"/>
    <s v="Wells Fargo"/>
    <x v="0"/>
    <s v="MTG"/>
    <x v="25"/>
    <n v="1.4847818429359161"/>
  </r>
  <r>
    <s v="30YrConformingConventional"/>
    <s v="Wells Fargo"/>
    <x v="0"/>
    <s v="MTG"/>
    <x v="26"/>
    <n v="1.4469642209941846"/>
  </r>
  <r>
    <s v="30YrConformingConventional"/>
    <s v="Wells Fargo"/>
    <x v="0"/>
    <s v="MTG"/>
    <x v="27"/>
    <n v="1.5244184593292145"/>
  </r>
  <r>
    <s v="30YrConformingConventional"/>
    <s v="Wells Fargo"/>
    <x v="0"/>
    <s v="MTG"/>
    <x v="28"/>
    <n v="1.3998911701134642"/>
  </r>
  <r>
    <s v="30YrConformingConventional"/>
    <s v="Wells Fargo"/>
    <x v="0"/>
    <s v="MTG"/>
    <x v="29"/>
    <n v="1.4259452822284646"/>
  </r>
  <r>
    <s v="30YrConformingConventional"/>
    <s v="Wells Fargo"/>
    <x v="0"/>
    <s v="MTG"/>
    <x v="30"/>
    <n v="1.513840842525763"/>
  </r>
  <r>
    <s v="30YrConformingConventional"/>
    <s v="Wells Fargo"/>
    <x v="0"/>
    <s v="MTG"/>
    <x v="31"/>
    <n v="1.5873831531875244"/>
  </r>
  <r>
    <s v="30YrConformingConventional"/>
    <s v="Wells Fargo"/>
    <x v="0"/>
    <s v="MTG"/>
    <x v="32"/>
    <n v="1.5961737959585647"/>
  </r>
  <r>
    <s v="30YrConformingConventional"/>
    <s v="Wells Fargo"/>
    <x v="0"/>
    <s v="MTG"/>
    <x v="33"/>
    <n v="1.5001653121876044"/>
  </r>
  <r>
    <s v="30YrConformingConventional"/>
    <s v="Wells Fargo"/>
    <x v="0"/>
    <s v="MTG"/>
    <x v="34"/>
    <n v="1.5734875206870544"/>
  </r>
  <r>
    <s v="30YrConformingConventional"/>
    <s v="Wells Fargo"/>
    <x v="0"/>
    <s v="MTG"/>
    <x v="35"/>
    <n v="1.4447646525603046"/>
  </r>
  <r>
    <s v="30YrConformingConventional"/>
    <s v="Wells Fargo"/>
    <x v="0"/>
    <s v="MTG"/>
    <x v="36"/>
    <n v="1.438237888067706"/>
  </r>
  <r>
    <s v="30YrConformingConventional"/>
    <s v="Wells Fargo"/>
    <x v="0"/>
    <s v="MTG"/>
    <x v="37"/>
    <n v="1.4572767202850958"/>
  </r>
  <r>
    <s v="30YrConformingConventional"/>
    <s v="Wells Fargo"/>
    <x v="0"/>
    <s v="MTG"/>
    <x v="38"/>
    <n v="1.4840050840451962"/>
  </r>
  <r>
    <s v="30YrConformingConventional"/>
    <s v="Wells Fargo"/>
    <x v="0"/>
    <s v="MTG"/>
    <x v="39"/>
    <n v="1.4698304513957463"/>
  </r>
  <r>
    <s v="30YrConformingConventional"/>
    <s v="Wells Fargo"/>
    <x v="0"/>
    <s v="MTG"/>
    <x v="40"/>
    <n v="1.4756896794715886"/>
  </r>
  <r>
    <s v="30YrConformingConventional"/>
    <s v="Wells Fargo"/>
    <x v="0"/>
    <s v="MTG"/>
    <x v="41"/>
    <n v="1.4150581088925993"/>
  </r>
  <r>
    <s v="30YrConformingConventional"/>
    <s v="Wells Fargo"/>
    <x v="0"/>
    <s v="MTG"/>
    <x v="42"/>
    <n v="1.3825392574829694"/>
  </r>
  <r>
    <s v="30YrConformingConventional"/>
    <s v="Wells Fargo"/>
    <x v="0"/>
    <s v="MTG"/>
    <x v="43"/>
    <n v="1.324144073385759"/>
  </r>
  <r>
    <s v="30YrConformingConventional"/>
    <s v="Wells Fargo"/>
    <x v="0"/>
    <s v="MTG"/>
    <x v="44"/>
    <n v="1.3201279748352688"/>
  </r>
  <r>
    <s v="30YrConformingConventional"/>
    <s v="Wells Fargo"/>
    <x v="0"/>
    <s v="MTG"/>
    <x v="45"/>
    <n v="1.3635749947061719"/>
  </r>
  <r>
    <s v="30YrConformingConventional"/>
    <s v="Wells Fargo"/>
    <x v="0"/>
    <s v="MTG"/>
    <x v="46"/>
    <n v="1.4449351793489711"/>
  </r>
  <r>
    <s v="30YrConformingConventional"/>
    <s v="Wells Fargo"/>
    <x v="0"/>
    <s v="MTG"/>
    <x v="47"/>
    <n v="1.5634002733348114"/>
  </r>
  <r>
    <s v="30YrConformingConventional"/>
    <s v="Wells Fargo"/>
    <x v="0"/>
    <s v="MTG"/>
    <x v="48"/>
    <n v="1.3516962871966491"/>
  </r>
  <r>
    <s v="30YrConformingConventional"/>
    <s v="Wells Fargo"/>
    <x v="0"/>
    <s v="MTG"/>
    <x v="49"/>
    <n v="1.4442587858770715"/>
  </r>
  <r>
    <s v="30YrConformingConventional"/>
    <s v="Wells Fargo"/>
    <x v="0"/>
    <s v="MTG"/>
    <x v="50"/>
    <n v="1.3200347208363019"/>
  </r>
  <r>
    <s v="30YrConformingConventional"/>
    <s v="Wells Fargo"/>
    <x v="0"/>
    <s v="MTG"/>
    <x v="51"/>
    <n v="1.3289652006753823"/>
  </r>
  <r>
    <s v="30YrConformingConventional"/>
    <s v="Wells Fargo"/>
    <x v="0"/>
    <s v="MTG"/>
    <x v="52"/>
    <n v="1.3806839171553422"/>
  </r>
  <r>
    <s v="30YrConformingConventional"/>
    <s v="Wells Fargo"/>
    <x v="0"/>
    <s v="MTG"/>
    <x v="53"/>
    <n v="1.4739558981629202"/>
  </r>
  <r>
    <s v="30YrConformingConventional"/>
    <s v="Wells Fargo"/>
    <x v="0"/>
    <s v="MTG"/>
    <x v="54"/>
    <n v="1.3495435393462121"/>
  </r>
  <r>
    <s v="30YrConformingConventional"/>
    <s v="Wells Fargo"/>
    <x v="0"/>
    <s v="MTG"/>
    <x v="55"/>
    <n v="1.5037298860002415"/>
  </r>
  <r>
    <s v="30YrConformingConventional"/>
    <s v="Wells Fargo"/>
    <x v="0"/>
    <s v="MTG"/>
    <x v="56"/>
    <n v="1.5149159148678715"/>
  </r>
  <r>
    <s v="30YrConformingConventional"/>
    <s v="Wells Fargo"/>
    <x v="0"/>
    <s v="MTG"/>
    <x v="57"/>
    <n v="1.5652021977943211"/>
  </r>
  <r>
    <s v="30YrConformingConventional"/>
    <s v="Wells Fargo"/>
    <x v="0"/>
    <s v="MTG"/>
    <x v="58"/>
    <n v="1.4727193604751811"/>
  </r>
  <r>
    <s v="30YrConformingConventional"/>
    <s v="Wells Fargo"/>
    <x v="0"/>
    <s v="MTG"/>
    <x v="59"/>
    <n v="1.5141699376919713"/>
  </r>
  <r>
    <s v="30YrConformingConventional"/>
    <s v="Wells Fargo"/>
    <x v="0"/>
    <s v="MTG"/>
    <x v="60"/>
    <n v="1.4542060637102603"/>
  </r>
  <r>
    <s v="30YrConformingConventional"/>
    <s v="Wells Fargo"/>
    <x v="0"/>
    <s v="MTG"/>
    <x v="61"/>
    <n v="1.4589053819857103"/>
  </r>
  <r>
    <s v="30YrConformingConventional"/>
    <s v="Wells Fargo"/>
    <x v="0"/>
    <s v="MTG"/>
    <x v="62"/>
    <n v="1.4266645277043122"/>
  </r>
  <r>
    <s v="30YrConformingConventional"/>
    <s v="Wells Fargo"/>
    <x v="0"/>
    <s v="MTG"/>
    <x v="63"/>
    <n v="1.400266194428482"/>
  </r>
  <r>
    <s v="30YrConformingConventional"/>
    <s v="Wells Fargo"/>
    <x v="0"/>
    <s v="MTG"/>
    <x v="64"/>
    <n v="1.3263393385224218"/>
  </r>
  <r>
    <s v="30YrConformingConventional"/>
    <s v="Wells Fargo"/>
    <x v="0"/>
    <s v="MTG"/>
    <x v="65"/>
    <n v="1.370307804171194"/>
  </r>
  <r>
    <s v="30YrConformingConventional"/>
    <s v="Wells Fargo"/>
    <x v="0"/>
    <s v="MTG"/>
    <x v="66"/>
    <n v="1.527439843923726"/>
  </r>
  <r>
    <s v="30YrConformingConventional"/>
    <s v="Wells Fargo"/>
    <x v="0"/>
    <s v="MTG"/>
    <x v="67"/>
    <n v="1.4356867514630505"/>
  </r>
  <r>
    <s v="30YrConformingConventional"/>
    <s v="Wells Fargo"/>
    <x v="0"/>
    <s v="MTG"/>
    <x v="68"/>
    <n v="1.4054470219983302"/>
  </r>
  <r>
    <s v="30YrConformingConventional"/>
    <s v="Wells Fargo"/>
    <x v="0"/>
    <s v="MTG"/>
    <x v="69"/>
    <n v="1.3613755139107702"/>
  </r>
  <r>
    <s v="30YrConformingConventional"/>
    <s v="Wells Fargo"/>
    <x v="0"/>
    <s v="MTG"/>
    <x v="70"/>
    <n v="1.5008716936970208"/>
  </r>
  <r>
    <s v="30YrConformingConventional"/>
    <s v="Wells Fargo"/>
    <x v="0"/>
    <s v="MTG"/>
    <x v="71"/>
    <n v="1.4145597803303502"/>
  </r>
  <r>
    <s v="30YrConformingConventional"/>
    <s v="Wells Fargo"/>
    <x v="0"/>
    <s v="MTG"/>
    <x v="72"/>
    <n v="1.3987349655618504"/>
  </r>
  <r>
    <s v="30YrConformingConventional"/>
    <s v="Wells Fargo"/>
    <x v="0"/>
    <s v="MTG"/>
    <x v="73"/>
    <n v="1.3598737297946442"/>
  </r>
  <r>
    <s v="30YrConformingConventional"/>
    <s v="Wells Fargo"/>
    <x v="0"/>
    <s v="MTG"/>
    <x v="74"/>
    <n v="1.390981945488184"/>
  </r>
  <r>
    <s v="30YrConformingConventional"/>
    <s v="Wells Fargo"/>
    <x v="0"/>
    <s v="MTG"/>
    <x v="75"/>
    <n v="1.4125607115100141"/>
  </r>
  <r>
    <s v="30YrConformingConventional"/>
    <s v="Wells Fargo"/>
    <x v="0"/>
    <s v="MTG"/>
    <x v="76"/>
    <n v="1.5063127948155564"/>
  </r>
  <r>
    <s v="30YrConformingConventional"/>
    <s v="Wells Fargo"/>
    <x v="0"/>
    <s v="MTG"/>
    <x v="77"/>
    <n v="1.3826679777673778"/>
  </r>
  <r>
    <s v="30YrConformingConventional"/>
    <s v="Wells Fargo"/>
    <x v="0"/>
    <s v="MTG"/>
    <x v="78"/>
    <n v="1.4132910260639806"/>
  </r>
  <r>
    <s v="30YrConformingConventional"/>
    <s v="Wells Fargo"/>
    <x v="0"/>
    <s v="MTG"/>
    <x v="79"/>
    <n v="1.4323211554950404"/>
  </r>
  <r>
    <s v="30YrConformingConventional"/>
    <s v="Wells Fargo"/>
    <x v="0"/>
    <s v="MTG"/>
    <x v="80"/>
    <n v="1.4629650661498101"/>
  </r>
  <r>
    <s v="30YrConformingConventional"/>
    <s v="Wells Fargo"/>
    <x v="0"/>
    <s v="MTG"/>
    <x v="81"/>
    <n v="1.4383333690203801"/>
  </r>
  <r>
    <s v="30YrConformingConventional"/>
    <s v="Wells Fargo"/>
    <x v="0"/>
    <s v="MTG"/>
    <x v="82"/>
    <n v="1.3057285407490189"/>
  </r>
  <r>
    <s v="30YrConformingConventional"/>
    <s v="Wells Fargo"/>
    <x v="0"/>
    <s v="MTG"/>
    <x v="83"/>
    <n v="1.5295984886372711"/>
  </r>
  <r>
    <s v="30YrConformingConventional"/>
    <s v="Wells Fargo"/>
    <x v="0"/>
    <s v="MTG"/>
    <x v="84"/>
    <n v="1.4173946502432502"/>
  </r>
  <r>
    <s v="30YrConformingConventional"/>
    <s v="Wells Fargo"/>
    <x v="0"/>
    <s v="MTG"/>
    <x v="85"/>
    <n v="1.5154511173273009"/>
  </r>
  <r>
    <s v="30YrConformingConventional"/>
    <s v="Wells Fargo"/>
    <x v="0"/>
    <s v="MTG"/>
    <x v="86"/>
    <n v="1.4212802787962304"/>
  </r>
  <r>
    <s v="30YrConformingConventional"/>
    <s v="Wells Fargo"/>
    <x v="0"/>
    <s v="MTG"/>
    <x v="87"/>
    <n v="1.5121519879522058"/>
  </r>
  <r>
    <s v="30YrConformingConventional"/>
    <s v="Wells Fargo"/>
    <x v="0"/>
    <s v="MTG"/>
    <x v="88"/>
    <n v="1.4795960028376309"/>
  </r>
  <r>
    <s v="30YrConformingConventional"/>
    <s v="Wells Fargo"/>
    <x v="0"/>
    <s v="MTG"/>
    <x v="89"/>
    <n v="1.573969311298766"/>
  </r>
  <r>
    <s v="30YrConformingConventional"/>
    <s v="Wells Fargo"/>
    <x v="0"/>
    <s v="MTG"/>
    <x v="90"/>
    <n v="1.4374551090588008"/>
  </r>
  <r>
    <s v="30YrConformingConventional"/>
    <s v="Wells Fargo"/>
    <x v="0"/>
    <s v="MTG"/>
    <x v="91"/>
    <n v="1.4678709119798614"/>
  </r>
  <r>
    <s v="30YrConformingConventional"/>
    <s v="Wells Fargo"/>
    <x v="0"/>
    <s v="MTG"/>
    <x v="92"/>
    <n v="1.3639171740492693"/>
  </r>
  <r>
    <s v="30YrConformingConventional"/>
    <s v="Wells Fargo"/>
    <x v="0"/>
    <s v="MTG"/>
    <x v="93"/>
    <n v="1.4461191235552002"/>
  </r>
  <r>
    <s v="30YrConformingConventional"/>
    <s v="Wells Fargo"/>
    <x v="0"/>
    <s v="MTG"/>
    <x v="94"/>
    <n v="1.4254869680587003"/>
  </r>
  <r>
    <s v="30YrConformingConventional"/>
    <s v="Wells Fargo"/>
    <x v="0"/>
    <s v="MTG"/>
    <x v="95"/>
    <n v="1.4899885813220202"/>
  </r>
  <r>
    <s v="30YrConformingConventional"/>
    <s v="Wells Fargo"/>
    <x v="0"/>
    <s v="MTG"/>
    <x v="96"/>
    <n v="1.4398101423461602"/>
  </r>
  <r>
    <s v="30YrConformingConventional"/>
    <s v="Wells Fargo"/>
    <x v="0"/>
    <s v="MTG"/>
    <x v="97"/>
    <n v="1.4204064910685703"/>
  </r>
  <r>
    <s v="30YrConformingConventional"/>
    <s v="Wells Fargo"/>
    <x v="0"/>
    <s v="MTG"/>
    <x v="98"/>
    <n v="1.5121161182470062"/>
  </r>
  <r>
    <s v="30YrConformingConventional"/>
    <s v="Wells Fargo"/>
    <x v="0"/>
    <s v="MTG"/>
    <x v="99"/>
    <n v="1.462175640413621"/>
  </r>
  <r>
    <s v="30YrConformingConventional"/>
    <s v="Wells Fargo"/>
    <x v="0"/>
    <s v="MTG"/>
    <x v="100"/>
    <n v="1.5515903486912459"/>
  </r>
  <r>
    <s v="30YrConformingConventional"/>
    <s v="Wells Fargo"/>
    <x v="0"/>
    <s v="MTG"/>
    <x v="101"/>
    <n v="1.4198657383793729"/>
  </r>
  <r>
    <s v="30YrConformingConventional"/>
    <s v="Wells Fargo"/>
    <x v="0"/>
    <s v="MTG"/>
    <x v="102"/>
    <n v="1.4517911864446933"/>
  </r>
  <r>
    <s v="30YrConformingConventional"/>
    <s v="Wells Fargo"/>
    <x v="0"/>
    <s v="MTG"/>
    <x v="103"/>
    <n v="1.4586457972250528"/>
  </r>
  <r>
    <s v="30YrConformingConventional"/>
    <s v="Wells Fargo"/>
    <x v="0"/>
    <s v="MTG"/>
    <x v="104"/>
    <n v="1.4942312268823306"/>
  </r>
  <r>
    <s v="30YrConformingConventional"/>
    <s v="Wells Fargo"/>
    <x v="0"/>
    <s v="MTG"/>
    <x v="105"/>
    <n v="1.4950023679760609"/>
  </r>
  <r>
    <s v="30YrConformingConventional"/>
    <s v="Wells Fargo"/>
    <x v="0"/>
    <s v="MTG"/>
    <x v="106"/>
    <n v="1.4033163399863324"/>
  </r>
  <r>
    <s v="30YrConformingConventional"/>
    <s v="Wells Fargo"/>
    <x v="0"/>
    <s v="MTG"/>
    <x v="107"/>
    <n v="1.4016155825874324"/>
  </r>
  <r>
    <s v="FN_CMM_30Yr"/>
    <s v="CELLO"/>
    <x v="1"/>
    <s v="MTG"/>
    <x v="0"/>
    <n v="2.8341999400292899"/>
  </r>
  <r>
    <s v="FN_CMM_30Yr"/>
    <s v="CELLO"/>
    <x v="1"/>
    <s v="MTG"/>
    <x v="1"/>
    <n v="2.8241837227534399"/>
  </r>
  <r>
    <s v="FN_CMM_30Yr"/>
    <s v="CELLO"/>
    <x v="1"/>
    <s v="MTG"/>
    <x v="2"/>
    <n v="2.81556157497667"/>
  </r>
  <r>
    <s v="FN_CMM_30Yr"/>
    <s v="CELLO"/>
    <x v="1"/>
    <s v="MTG"/>
    <x v="3"/>
    <n v="2.9303170109018999"/>
  </r>
  <r>
    <s v="FN_CMM_30Yr"/>
    <s v="CELLO"/>
    <x v="1"/>
    <s v="MTG"/>
    <x v="4"/>
    <n v="2.90222752352993"/>
  </r>
  <r>
    <s v="FN_CMM_30Yr"/>
    <s v="CELLO"/>
    <x v="1"/>
    <s v="MTG"/>
    <x v="5"/>
    <n v="2.84635033680676"/>
  </r>
  <r>
    <s v="FN_CMM_30Yr"/>
    <s v="CELLO"/>
    <x v="1"/>
    <s v="MTG"/>
    <x v="6"/>
    <n v="2.8278353033181198"/>
  </r>
  <r>
    <s v="FN_CMM_30Yr"/>
    <s v="CELLO"/>
    <x v="1"/>
    <s v="MTG"/>
    <x v="7"/>
    <n v="2.8138191102539798"/>
  </r>
  <r>
    <s v="FN_CMM_30Yr"/>
    <s v="CELLO"/>
    <x v="1"/>
    <s v="MTG"/>
    <x v="8"/>
    <n v="2.8315057491425"/>
  </r>
  <r>
    <s v="FN_CMM_30Yr"/>
    <s v="CELLO"/>
    <x v="1"/>
    <s v="MTG"/>
    <x v="9"/>
    <n v="2.8241768518279202"/>
  </r>
  <r>
    <s v="FN_CMM_30Yr"/>
    <s v="CELLO"/>
    <x v="1"/>
    <s v="MTG"/>
    <x v="10"/>
    <n v="2.79584100930466"/>
  </r>
  <r>
    <s v="FN_CMM_30Yr"/>
    <s v="CELLO"/>
    <x v="1"/>
    <s v="MTG"/>
    <x v="11"/>
    <n v="2.6928489030954199"/>
  </r>
  <r>
    <s v="FN_CMM_30Yr"/>
    <s v="CELLO"/>
    <x v="1"/>
    <s v="MTG"/>
    <x v="12"/>
    <n v="2.70955656376128"/>
  </r>
  <r>
    <s v="FN_CMM_30Yr"/>
    <s v="CELLO"/>
    <x v="1"/>
    <s v="MTG"/>
    <x v="13"/>
    <n v="2.6717729385436999"/>
  </r>
  <r>
    <s v="FN_CMM_30Yr"/>
    <s v="CELLO"/>
    <x v="1"/>
    <s v="MTG"/>
    <x v="14"/>
    <n v="2.6575094779916602"/>
  </r>
  <r>
    <s v="FN_CMM_30Yr"/>
    <s v="CELLO"/>
    <x v="1"/>
    <s v="MTG"/>
    <x v="15"/>
    <n v="2.60984671554638"/>
  </r>
  <r>
    <s v="FN_CMM_30Yr"/>
    <s v="CELLO"/>
    <x v="1"/>
    <s v="MTG"/>
    <x v="16"/>
    <n v="2.6641693960453199"/>
  </r>
  <r>
    <s v="FN_CMM_30Yr"/>
    <s v="CELLO"/>
    <x v="1"/>
    <s v="MTG"/>
    <x v="17"/>
    <n v="2.7519990602785001"/>
  </r>
  <r>
    <s v="FN_CMM_30Yr"/>
    <s v="CELLO"/>
    <x v="1"/>
    <s v="MTG"/>
    <x v="18"/>
    <n v="2.6934832462996599"/>
  </r>
  <r>
    <s v="FN_CMM_30Yr"/>
    <s v="CELLO"/>
    <x v="1"/>
    <s v="MTG"/>
    <x v="19"/>
    <n v="2.6906214304432701"/>
  </r>
  <r>
    <s v="FN_CMM_30Yr"/>
    <s v="CELLO"/>
    <x v="1"/>
    <s v="MTG"/>
    <x v="20"/>
    <n v="2.66103516127894"/>
  </r>
  <r>
    <s v="FN_CMM_30Yr"/>
    <s v="CELLO"/>
    <x v="1"/>
    <s v="MTG"/>
    <x v="21"/>
    <n v="2.5992657753902901"/>
  </r>
  <r>
    <s v="FN_CMM_30Yr"/>
    <s v="CELLO"/>
    <x v="1"/>
    <s v="MTG"/>
    <x v="22"/>
    <n v="2.6512826680006101"/>
  </r>
  <r>
    <s v="FN_CMM_30Yr"/>
    <s v="CELLO"/>
    <x v="1"/>
    <s v="MTG"/>
    <x v="23"/>
    <n v="2.5908884215358099"/>
  </r>
  <r>
    <s v="FN_CMM_30Yr"/>
    <s v="CELLO"/>
    <x v="1"/>
    <s v="MTG"/>
    <x v="24"/>
    <n v="2.63391710374052"/>
  </r>
  <r>
    <s v="FN_CMM_30Yr"/>
    <s v="CELLO"/>
    <x v="1"/>
    <s v="MTG"/>
    <x v="25"/>
    <n v="2.6287824588785198"/>
  </r>
  <r>
    <s v="FN_CMM_30Yr"/>
    <s v="CELLO"/>
    <x v="1"/>
    <s v="MTG"/>
    <x v="26"/>
    <n v="2.62032151165119"/>
  </r>
  <r>
    <s v="FN_CMM_30Yr"/>
    <s v="CELLO"/>
    <x v="1"/>
    <s v="MTG"/>
    <x v="27"/>
    <n v="2.6476582784281"/>
  </r>
  <r>
    <s v="FN_CMM_30Yr"/>
    <s v="CELLO"/>
    <x v="1"/>
    <s v="MTG"/>
    <x v="28"/>
    <n v="2.6673945625319102"/>
  </r>
  <r>
    <s v="FN_CMM_30Yr"/>
    <s v="CELLO"/>
    <x v="1"/>
    <s v="MTG"/>
    <x v="29"/>
    <n v="2.64134045041691"/>
  </r>
  <r>
    <s v="FN_CMM_30Yr"/>
    <s v="CELLO"/>
    <x v="1"/>
    <s v="MTG"/>
    <x v="30"/>
    <n v="2.5968587672613901"/>
  </r>
  <r>
    <s v="FN_CMM_30Yr"/>
    <s v="CELLO"/>
    <x v="1"/>
    <s v="MTG"/>
    <x v="31"/>
    <n v="2.58469358456979"/>
  </r>
  <r>
    <s v="FN_CMM_30Yr"/>
    <s v="CELLO"/>
    <x v="1"/>
    <s v="MTG"/>
    <x v="32"/>
    <n v="2.5759029417987498"/>
  </r>
  <r>
    <s v="FN_CMM_30Yr"/>
    <s v="CELLO"/>
    <x v="1"/>
    <s v="MTG"/>
    <x v="33"/>
    <n v="2.56712042045777"/>
  </r>
  <r>
    <s v="FN_CMM_30Yr"/>
    <s v="CELLO"/>
    <x v="1"/>
    <s v="MTG"/>
    <x v="34"/>
    <n v="2.59858921707026"/>
  </r>
  <r>
    <s v="FN_CMM_30Yr"/>
    <s v="CELLO"/>
    <x v="1"/>
    <s v="MTG"/>
    <x v="35"/>
    <n v="2.62252108008507"/>
  </r>
  <r>
    <s v="FN_CMM_30Yr"/>
    <s v="CELLO"/>
    <x v="1"/>
    <s v="MTG"/>
    <x v="36"/>
    <n v="2.6753264137467299"/>
  </r>
  <r>
    <s v="FN_CMM_30Yr"/>
    <s v="CELLO"/>
    <x v="1"/>
    <s v="MTG"/>
    <x v="37"/>
    <n v="2.6562875815293401"/>
  </r>
  <r>
    <s v="FN_CMM_30Yr"/>
    <s v="CELLO"/>
    <x v="1"/>
    <s v="MTG"/>
    <x v="38"/>
    <n v="2.62955921776924"/>
  </r>
  <r>
    <s v="FN_CMM_30Yr"/>
    <s v="CELLO"/>
    <x v="1"/>
    <s v="MTG"/>
    <x v="39"/>
    <n v="2.6437338504186898"/>
  </r>
  <r>
    <s v="FN_CMM_30Yr"/>
    <s v="CELLO"/>
    <x v="1"/>
    <s v="MTG"/>
    <x v="40"/>
    <n v="2.6991414546305501"/>
  </r>
  <r>
    <s v="FN_CMM_30Yr"/>
    <s v="CELLO"/>
    <x v="1"/>
    <s v="MTG"/>
    <x v="41"/>
    <n v="2.7467458715573199"/>
  </r>
  <r>
    <s v="FN_CMM_30Yr"/>
    <s v="CELLO"/>
    <x v="1"/>
    <s v="MTG"/>
    <x v="42"/>
    <n v="2.7480147229669498"/>
  </r>
  <r>
    <s v="FN_CMM_30Yr"/>
    <s v="CELLO"/>
    <x v="1"/>
    <s v="MTG"/>
    <x v="43"/>
    <n v="2.8064099070641602"/>
  </r>
  <r>
    <s v="FN_CMM_30Yr"/>
    <s v="CELLO"/>
    <x v="1"/>
    <s v="MTG"/>
    <x v="44"/>
    <n v="2.8416760056146502"/>
  </r>
  <r>
    <s v="FN_CMM_30Yr"/>
    <s v="CELLO"/>
    <x v="1"/>
    <s v="MTG"/>
    <x v="45"/>
    <n v="2.8756484754346898"/>
  </r>
  <r>
    <s v="FN_CMM_30Yr"/>
    <s v="CELLO"/>
    <x v="1"/>
    <s v="MTG"/>
    <x v="46"/>
    <n v="2.91930519695658"/>
  </r>
  <r>
    <s v="FN_CMM_30Yr"/>
    <s v="CELLO"/>
    <x v="1"/>
    <s v="MTG"/>
    <x v="47"/>
    <n v="2.86177796804412"/>
  </r>
  <r>
    <s v="FN_CMM_30Yr"/>
    <s v="CELLO"/>
    <x v="1"/>
    <s v="MTG"/>
    <x v="48"/>
    <n v="2.8101076932532698"/>
  </r>
  <r>
    <s v="FN_CMM_30Yr"/>
    <s v="CELLO"/>
    <x v="1"/>
    <s v="MTG"/>
    <x v="49"/>
    <n v="2.9199815904284798"/>
  </r>
  <r>
    <s v="FN_CMM_30Yr"/>
    <s v="CELLO"/>
    <x v="1"/>
    <s v="MTG"/>
    <x v="50"/>
    <n v="2.9362897451124002"/>
  </r>
  <r>
    <s v="FN_CMM_30Yr"/>
    <s v="CELLO"/>
    <x v="1"/>
    <s v="MTG"/>
    <x v="51"/>
    <n v="2.9586092652733198"/>
  </r>
  <r>
    <s v="FN_CMM_30Yr"/>
    <s v="CELLO"/>
    <x v="1"/>
    <s v="MTG"/>
    <x v="52"/>
    <n v="2.9068905487933598"/>
  </r>
  <r>
    <s v="FN_CMM_30Yr"/>
    <s v="CELLO"/>
    <x v="1"/>
    <s v="MTG"/>
    <x v="53"/>
    <n v="2.82631669904023"/>
  </r>
  <r>
    <s v="FN_CMM_30Yr"/>
    <s v="CELLO"/>
    <x v="1"/>
    <s v="MTG"/>
    <x v="54"/>
    <n v="2.8896799307946499"/>
  </r>
  <r>
    <s v="FN_CMM_30Yr"/>
    <s v="CELLO"/>
    <x v="1"/>
    <s v="MTG"/>
    <x v="55"/>
    <n v="2.9214483553786899"/>
  </r>
  <r>
    <s v="FN_CMM_30Yr"/>
    <s v="CELLO"/>
    <x v="1"/>
    <s v="MTG"/>
    <x v="56"/>
    <n v="2.9102623265110599"/>
  </r>
  <r>
    <s v="FN_CMM_30Yr"/>
    <s v="CELLO"/>
    <x v="1"/>
    <s v="MTG"/>
    <x v="57"/>
    <n v="2.8599760435846102"/>
  </r>
  <r>
    <s v="FN_CMM_30Yr"/>
    <s v="CELLO"/>
    <x v="1"/>
    <s v="MTG"/>
    <x v="58"/>
    <n v="2.8915210158303699"/>
  </r>
  <r>
    <s v="FN_CMM_30Yr"/>
    <s v="CELLO"/>
    <x v="1"/>
    <s v="MTG"/>
    <x v="59"/>
    <n v="2.8500704386135798"/>
  </r>
  <r>
    <s v="FN_CMM_30Yr"/>
    <s v="CELLO"/>
    <x v="1"/>
    <s v="MTG"/>
    <x v="60"/>
    <n v="2.8460665334928898"/>
  </r>
  <r>
    <s v="FN_CMM_30Yr"/>
    <s v="CELLO"/>
    <x v="1"/>
    <s v="MTG"/>
    <x v="61"/>
    <n v="2.8413672152174398"/>
  </r>
  <r>
    <s v="FN_CMM_30Yr"/>
    <s v="CELLO"/>
    <x v="1"/>
    <s v="MTG"/>
    <x v="62"/>
    <n v="2.8125589424365498"/>
  </r>
  <r>
    <s v="FN_CMM_30Yr"/>
    <s v="CELLO"/>
    <x v="1"/>
    <s v="MTG"/>
    <x v="63"/>
    <n v="2.8873082715202201"/>
  </r>
  <r>
    <s v="FN_CMM_30Yr"/>
    <s v="CELLO"/>
    <x v="1"/>
    <s v="MTG"/>
    <x v="64"/>
    <n v="2.96123512742628"/>
  </r>
  <r>
    <s v="FN_CMM_30Yr"/>
    <s v="CELLO"/>
    <x v="1"/>
    <s v="MTG"/>
    <x v="65"/>
    <n v="3.0744144315737501"/>
  </r>
  <r>
    <s v="FN_CMM_30Yr"/>
    <s v="CELLO"/>
    <x v="1"/>
    <s v="MTG"/>
    <x v="66"/>
    <n v="3.0256748636149999"/>
  </r>
  <r>
    <s v="FN_CMM_30Yr"/>
    <s v="CELLO"/>
    <x v="1"/>
    <s v="MTG"/>
    <x v="67"/>
    <n v="3.1185389251118698"/>
  </r>
  <r>
    <s v="FN_CMM_30Yr"/>
    <s v="CELLO"/>
    <x v="1"/>
    <s v="MTG"/>
    <x v="68"/>
    <n v="3.0852280715370801"/>
  </r>
  <r>
    <s v="FN_CMM_30Yr"/>
    <s v="CELLO"/>
    <x v="1"/>
    <s v="MTG"/>
    <x v="69"/>
    <n v="3.1292995796246399"/>
  </r>
  <r>
    <s v="FN_CMM_30Yr"/>
    <s v="CELLO"/>
    <x v="1"/>
    <s v="MTG"/>
    <x v="70"/>
    <n v="3.1773446759928401"/>
  </r>
  <r>
    <s v="FN_CMM_30Yr"/>
    <s v="CELLO"/>
    <x v="1"/>
    <s v="MTG"/>
    <x v="71"/>
    <n v="3.0761153132050598"/>
  </r>
  <r>
    <s v="FN_CMM_30Yr"/>
    <s v="CELLO"/>
    <x v="1"/>
    <s v="MTG"/>
    <x v="72"/>
    <n v="3.0919401279735599"/>
  </r>
  <r>
    <s v="FN_CMM_30Yr"/>
    <s v="CELLO"/>
    <x v="1"/>
    <s v="MTG"/>
    <x v="73"/>
    <n v="3.0848485059502999"/>
  </r>
  <r>
    <s v="FN_CMM_30Yr"/>
    <s v="CELLO"/>
    <x v="1"/>
    <s v="MTG"/>
    <x v="74"/>
    <n v="3.0537402902567599"/>
  </r>
  <r>
    <s v="FN_CMM_30Yr"/>
    <s v="CELLO"/>
    <x v="1"/>
    <s v="MTG"/>
    <x v="75"/>
    <n v="3.03216152423493"/>
  </r>
  <r>
    <s v="FN_CMM_30Yr"/>
    <s v="CELLO"/>
    <x v="1"/>
    <s v="MTG"/>
    <x v="76"/>
    <n v="3.0468019127231698"/>
  </r>
  <r>
    <s v="FN_CMM_30Yr"/>
    <s v="CELLO"/>
    <x v="1"/>
    <s v="MTG"/>
    <x v="77"/>
    <n v="2.9822174038917302"/>
  </r>
  <r>
    <s v="FN_CMM_30Yr"/>
    <s v="CELLO"/>
    <x v="1"/>
    <s v="MTG"/>
    <x v="78"/>
    <n v="3.0761568887156101"/>
  </r>
  <r>
    <s v="FN_CMM_30Yr"/>
    <s v="CELLO"/>
    <x v="1"/>
    <s v="MTG"/>
    <x v="79"/>
    <n v="3.1219045210798799"/>
  </r>
  <r>
    <s v="FN_CMM_30Yr"/>
    <s v="CELLO"/>
    <x v="1"/>
    <s v="MTG"/>
    <x v="80"/>
    <n v="3.0912606104251101"/>
  </r>
  <r>
    <s v="FN_CMM_30Yr"/>
    <s v="CELLO"/>
    <x v="1"/>
    <s v="MTG"/>
    <x v="81"/>
    <n v="3.1158923075545402"/>
  </r>
  <r>
    <s v="FN_CMM_30Yr"/>
    <s v="CELLO"/>
    <x v="1"/>
    <s v="MTG"/>
    <x v="82"/>
    <n v="3.2022687944333499"/>
  </r>
  <r>
    <s v="FN_CMM_30Yr"/>
    <s v="CELLO"/>
    <x v="1"/>
    <s v="MTG"/>
    <x v="83"/>
    <n v="3.0851869199683102"/>
  </r>
  <r>
    <s v="FN_CMM_30Yr"/>
    <s v="CELLO"/>
    <x v="1"/>
    <s v="MTG"/>
    <x v="84"/>
    <n v="3.0732804432921599"/>
  </r>
  <r>
    <s v="FN_CMM_30Yr"/>
    <s v="CELLO"/>
    <x v="1"/>
    <s v="MTG"/>
    <x v="85"/>
    <n v="3.16276525236256"/>
  </r>
  <r>
    <s v="FN_CMM_30Yr"/>
    <s v="CELLO"/>
    <x v="1"/>
    <s v="MTG"/>
    <x v="86"/>
    <n v="3.1329453977786899"/>
  </r>
  <r>
    <s v="FN_CMM_30Yr"/>
    <s v="CELLO"/>
    <x v="1"/>
    <s v="MTG"/>
    <x v="87"/>
    <n v="3.0409627195865201"/>
  </r>
  <r>
    <s v="FN_CMM_30Yr"/>
    <s v="CELLO"/>
    <x v="1"/>
    <s v="MTG"/>
    <x v="88"/>
    <n v="3.00985191194196"/>
  </r>
  <r>
    <s v="FN_CMM_30Yr"/>
    <s v="CELLO"/>
    <x v="1"/>
    <s v="MTG"/>
    <x v="89"/>
    <n v="2.9791453962399599"/>
  </r>
  <r>
    <s v="FN_CMM_30Yr"/>
    <s v="CELLO"/>
    <x v="1"/>
    <s v="MTG"/>
    <x v="90"/>
    <n v="3.0519928057207899"/>
  </r>
  <r>
    <s v="FN_CMM_30Yr"/>
    <s v="CELLO"/>
    <x v="1"/>
    <s v="MTG"/>
    <x v="91"/>
    <n v="3.1469144966257199"/>
  </r>
  <r>
    <s v="FN_CMM_30Yr"/>
    <s v="CELLO"/>
    <x v="1"/>
    <s v="MTG"/>
    <x v="92"/>
    <n v="3.1440801611331"/>
  </r>
  <r>
    <s v="FN_CMM_30Yr"/>
    <s v="CELLO"/>
    <x v="1"/>
    <s v="MTG"/>
    <x v="93"/>
    <n v="3.1081065530197201"/>
  </r>
  <r>
    <s v="FN_CMM_30Yr"/>
    <s v="CELLO"/>
    <x v="1"/>
    <s v="MTG"/>
    <x v="94"/>
    <n v="3.0651881254767099"/>
  </r>
  <r>
    <s v="FN_CMM_30Yr"/>
    <s v="CELLO"/>
    <x v="1"/>
    <s v="MTG"/>
    <x v="95"/>
    <n v="3.0642370952529001"/>
  </r>
  <r>
    <s v="FN_CMM_30Yr"/>
    <s v="CELLO"/>
    <x v="1"/>
    <s v="MTG"/>
    <x v="96"/>
    <n v="3.0508649511892498"/>
  </r>
  <r>
    <s v="FN_CMM_30Yr"/>
    <s v="CELLO"/>
    <x v="1"/>
    <s v="MTG"/>
    <x v="97"/>
    <n v="3.07026860246684"/>
  </r>
  <r>
    <s v="FN_CMM_30Yr"/>
    <s v="CELLO"/>
    <x v="1"/>
    <s v="MTG"/>
    <x v="98"/>
    <n v="3.04099858929172"/>
  </r>
  <r>
    <s v="FN_CMM_30Yr"/>
    <s v="CELLO"/>
    <x v="1"/>
    <s v="MTG"/>
    <x v="99"/>
    <n v="3.0272722743659699"/>
  </r>
  <r>
    <s v="FN_CMM_30Yr"/>
    <s v="CELLO"/>
    <x v="1"/>
    <s v="MTG"/>
    <x v="100"/>
    <n v="3.00152435884748"/>
  </r>
  <r>
    <s v="FN_CMM_30Yr"/>
    <s v="CELLO"/>
    <x v="1"/>
    <s v="MTG"/>
    <x v="101"/>
    <n v="3.00880742941581"/>
  </r>
  <r>
    <s v="FN_CMM_30Yr"/>
    <s v="CELLO"/>
    <x v="1"/>
    <s v="MTG"/>
    <x v="102"/>
    <n v="2.9768819813504899"/>
  </r>
  <r>
    <s v="FN_CMM_30Yr"/>
    <s v="CELLO"/>
    <x v="1"/>
    <s v="MTG"/>
    <x v="103"/>
    <n v="2.9700273705701301"/>
  </r>
  <r>
    <s v="FN_CMM_30Yr"/>
    <s v="CELLO"/>
    <x v="1"/>
    <s v="MTG"/>
    <x v="104"/>
    <n v="2.9952166878972601"/>
  </r>
  <r>
    <s v="FN_CMM_30Yr"/>
    <s v="CELLO"/>
    <x v="1"/>
    <s v="MTG"/>
    <x v="105"/>
    <n v="2.9944455468035298"/>
  </r>
  <r>
    <s v="FN_CMM_30Yr"/>
    <s v="CELLO"/>
    <x v="1"/>
    <s v="MTG"/>
    <x v="106"/>
    <n v="2.9155081259623699"/>
  </r>
  <r>
    <s v="FN_CMM_30Yr"/>
    <s v="CELLO"/>
    <x v="1"/>
    <s v="MTG"/>
    <x v="107"/>
    <n v="2.885958883361269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3739421106982554"/>
  </r>
  <r>
    <x v="0"/>
    <x v="0"/>
    <x v="1"/>
    <s v="MTG"/>
    <x v="0"/>
    <n v="4.2939999999999996"/>
  </r>
  <r>
    <x v="0"/>
    <x v="0"/>
    <x v="2"/>
    <s v="MTG"/>
    <x v="0"/>
    <n v="0.84399999999999997"/>
  </r>
  <r>
    <x v="0"/>
    <x v="0"/>
    <x v="3"/>
    <s v="MTG"/>
    <x v="0"/>
    <n v="4.125"/>
  </r>
  <r>
    <x v="0"/>
    <x v="0"/>
    <x v="4"/>
    <s v="MTG"/>
    <x v="0"/>
    <n v="1.4584339847358858"/>
  </r>
  <r>
    <x v="0"/>
    <x v="1"/>
    <x v="0"/>
    <s v="MTG"/>
    <x v="0"/>
    <n v="3.968948344733974"/>
  </r>
  <r>
    <x v="0"/>
    <x v="1"/>
    <x v="1"/>
    <s v="MTG"/>
    <x v="0"/>
    <n v="4.0730000000000004"/>
  </r>
  <r>
    <x v="0"/>
    <x v="1"/>
    <x v="2"/>
    <s v="MTG"/>
    <x v="0"/>
    <n v="0.875"/>
  </r>
  <r>
    <x v="0"/>
    <x v="1"/>
    <x v="3"/>
    <s v="MTG"/>
    <x v="0"/>
    <n v="4"/>
  </r>
  <r>
    <x v="0"/>
    <x v="1"/>
    <x v="4"/>
    <s v="MTG"/>
    <x v="0"/>
    <n v="1.0534402187716043"/>
  </r>
  <r>
    <x v="0"/>
    <x v="2"/>
    <x v="0"/>
    <s v="MTG"/>
    <x v="0"/>
    <n v="4.4987637218053917"/>
  </r>
  <r>
    <x v="0"/>
    <x v="2"/>
    <x v="1"/>
    <s v="MTG"/>
    <x v="0"/>
    <n v="4.2469999999999999"/>
  </r>
  <r>
    <x v="0"/>
    <x v="2"/>
    <x v="2"/>
    <s v="MTG"/>
    <x v="0"/>
    <n v="2"/>
  </r>
  <r>
    <x v="0"/>
    <x v="2"/>
    <x v="3"/>
    <s v="MTG"/>
    <x v="0"/>
    <n v="3.99"/>
  </r>
  <r>
    <x v="0"/>
    <x v="2"/>
    <x v="4"/>
    <s v="MTG"/>
    <x v="0"/>
    <n v="1.5832555958430223"/>
  </r>
  <r>
    <x v="0"/>
    <x v="3"/>
    <x v="0"/>
    <s v="MTG"/>
    <x v="0"/>
    <n v="4.3188244659487021"/>
  </r>
  <r>
    <x v="0"/>
    <x v="3"/>
    <x v="1"/>
    <s v="MTG"/>
    <x v="0"/>
    <n v="4.2720000000000002"/>
  </r>
  <r>
    <x v="0"/>
    <x v="3"/>
    <x v="5"/>
    <s v="MTG"/>
    <x v="0"/>
    <n v="202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25"/>
  </r>
  <r>
    <x v="0"/>
    <x v="3"/>
    <x v="4"/>
    <s v="MTG"/>
    <x v="0"/>
    <n v="1.4033163399863324"/>
  </r>
  <r>
    <x v="1"/>
    <x v="2"/>
    <x v="1"/>
    <s v="MTG"/>
    <x v="0"/>
    <n v="4.4950000000000001"/>
  </r>
  <r>
    <x v="1"/>
    <x v="2"/>
    <x v="2"/>
    <s v="MTG"/>
    <x v="0"/>
    <n v="1.875"/>
  </r>
  <r>
    <x v="1"/>
    <x v="2"/>
    <x v="3"/>
    <s v="MTG"/>
    <x v="0"/>
    <n v="3.625"/>
  </r>
  <r>
    <x v="1"/>
    <x v="3"/>
    <x v="0"/>
    <s v="MTG"/>
    <x v="0"/>
    <n v="4.1630000000000003"/>
  </r>
  <r>
    <x v="1"/>
    <x v="3"/>
    <x v="1"/>
    <s v="MTG"/>
    <x v="0"/>
    <n v="5.0430000000000001"/>
  </r>
  <r>
    <x v="1"/>
    <x v="3"/>
    <x v="5"/>
    <s v="MTG"/>
    <x v="0"/>
    <n v="6804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4"/>
  </r>
  <r>
    <x v="1"/>
    <x v="3"/>
    <x v="4"/>
    <s v="MTG"/>
    <x v="0"/>
    <n v="1.4191504327559101"/>
  </r>
  <r>
    <x v="1"/>
    <x v="3"/>
    <x v="7"/>
    <s v="MTG"/>
    <x v="0"/>
    <n v="3500"/>
  </r>
  <r>
    <x v="2"/>
    <x v="3"/>
    <x v="0"/>
    <s v="MTG"/>
    <x v="0"/>
    <n v="4.0771627490827687"/>
  </r>
  <r>
    <x v="2"/>
    <x v="3"/>
    <x v="1"/>
    <s v="MTG"/>
    <x v="0"/>
    <n v="4.2569999999999997"/>
  </r>
  <r>
    <x v="2"/>
    <x v="3"/>
    <x v="5"/>
    <s v="MTG"/>
    <x v="0"/>
    <n v="1127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25"/>
  </r>
  <r>
    <x v="2"/>
    <x v="3"/>
    <x v="4"/>
    <s v="MTG"/>
    <x v="0"/>
    <n v="1.1616546231203992"/>
  </r>
  <r>
    <x v="3"/>
    <x v="3"/>
    <x v="0"/>
    <s v="MTG"/>
    <x v="0"/>
    <n v="3.966305483037543"/>
  </r>
  <r>
    <x v="3"/>
    <x v="3"/>
    <x v="1"/>
    <s v="MTG"/>
    <x v="0"/>
    <n v="4.1310000000000002"/>
  </r>
  <r>
    <x v="3"/>
    <x v="3"/>
    <x v="5"/>
    <s v="MTG"/>
    <x v="0"/>
    <n v="2200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050797357075173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3855708043827342"/>
  </r>
  <r>
    <x v="0"/>
    <x v="0"/>
    <x v="1"/>
    <s v="MTG"/>
    <x v="0"/>
    <n v="4.298"/>
  </r>
  <r>
    <x v="0"/>
    <x v="0"/>
    <x v="2"/>
    <s v="MTG"/>
    <x v="0"/>
    <n v="0.72299999999999998"/>
  </r>
  <r>
    <x v="0"/>
    <x v="0"/>
    <x v="3"/>
    <s v="MTG"/>
    <x v="0"/>
    <n v="4.125"/>
  </r>
  <r>
    <x v="0"/>
    <x v="0"/>
    <x v="4"/>
    <s v="MTG"/>
    <x v="0"/>
    <n v="1.4996119210214647"/>
  </r>
  <r>
    <x v="1"/>
    <x v="0"/>
    <x v="0"/>
    <s v="MTG"/>
    <x v="0"/>
    <n v="3.968948344733974"/>
  </r>
  <r>
    <x v="1"/>
    <x v="0"/>
    <x v="1"/>
    <s v="MTG"/>
    <x v="0"/>
    <n v="4.0730000000000004"/>
  </r>
  <r>
    <x v="1"/>
    <x v="0"/>
    <x v="2"/>
    <s v="MTG"/>
    <x v="0"/>
    <n v="0.875"/>
  </r>
  <r>
    <x v="1"/>
    <x v="0"/>
    <x v="3"/>
    <s v="MTG"/>
    <x v="0"/>
    <n v="4"/>
  </r>
  <r>
    <x v="1"/>
    <x v="0"/>
    <x v="4"/>
    <s v="MTG"/>
    <x v="0"/>
    <n v="1.082989461372704"/>
  </r>
  <r>
    <x v="2"/>
    <x v="0"/>
    <x v="0"/>
    <s v="MTG"/>
    <x v="0"/>
    <n v="4.455426331689484"/>
  </r>
  <r>
    <x v="2"/>
    <x v="0"/>
    <x v="1"/>
    <s v="MTG"/>
    <x v="0"/>
    <n v="4.2320000000000002"/>
  </r>
  <r>
    <x v="2"/>
    <x v="0"/>
    <x v="2"/>
    <s v="MTG"/>
    <x v="0"/>
    <n v="1.875"/>
  </r>
  <r>
    <x v="2"/>
    <x v="0"/>
    <x v="3"/>
    <s v="MTG"/>
    <x v="0"/>
    <n v="3.99"/>
  </r>
  <r>
    <x v="2"/>
    <x v="0"/>
    <x v="4"/>
    <s v="MTG"/>
    <x v="0"/>
    <n v="1.5694674483282143"/>
  </r>
  <r>
    <x v="3"/>
    <x v="0"/>
    <x v="0"/>
    <s v="MTG"/>
    <x v="0"/>
    <n v="4.2875744659487021"/>
  </r>
  <r>
    <x v="3"/>
    <x v="0"/>
    <x v="1"/>
    <s v="MTG"/>
    <x v="0"/>
    <n v="4.2720000000000002"/>
  </r>
  <r>
    <x v="3"/>
    <x v="0"/>
    <x v="5"/>
    <s v="MTG"/>
    <x v="0"/>
    <n v="1778"/>
  </r>
  <r>
    <x v="3"/>
    <x v="0"/>
    <x v="6"/>
    <s v="MTG"/>
    <x v="0"/>
    <n v="200000"/>
  </r>
  <r>
    <x v="3"/>
    <x v="0"/>
    <x v="2"/>
    <s v="MTG"/>
    <x v="0"/>
    <n v="1"/>
  </r>
  <r>
    <x v="3"/>
    <x v="0"/>
    <x v="3"/>
    <s v="MTG"/>
    <x v="0"/>
    <n v="4.25"/>
  </r>
  <r>
    <x v="3"/>
    <x v="0"/>
    <x v="4"/>
    <s v="MTG"/>
    <x v="0"/>
    <n v="1.4016155825874324"/>
  </r>
  <r>
    <x v="2"/>
    <x v="1"/>
    <x v="1"/>
    <s v="MTG"/>
    <x v="0"/>
    <n v="4.4000000000000004"/>
  </r>
  <r>
    <x v="2"/>
    <x v="1"/>
    <x v="2"/>
    <s v="MTG"/>
    <x v="0"/>
    <n v="2.25"/>
  </r>
  <r>
    <x v="2"/>
    <x v="1"/>
    <x v="3"/>
    <s v="MTG"/>
    <x v="0"/>
    <n v="3.5"/>
  </r>
  <r>
    <x v="3"/>
    <x v="1"/>
    <x v="0"/>
    <s v="MTG"/>
    <x v="0"/>
    <n v="4.1312500000000005"/>
  </r>
  <r>
    <x v="3"/>
    <x v="1"/>
    <x v="1"/>
    <s v="MTG"/>
    <x v="0"/>
    <n v="5.032"/>
  </r>
  <r>
    <x v="3"/>
    <x v="1"/>
    <x v="5"/>
    <s v="MTG"/>
    <x v="0"/>
    <n v="6550"/>
  </r>
  <r>
    <x v="3"/>
    <x v="1"/>
    <x v="6"/>
    <s v="MTG"/>
    <x v="0"/>
    <n v="200000"/>
  </r>
  <r>
    <x v="3"/>
    <x v="1"/>
    <x v="2"/>
    <s v="MTG"/>
    <x v="0"/>
    <n v="1"/>
  </r>
  <r>
    <x v="3"/>
    <x v="1"/>
    <x v="3"/>
    <s v="MTG"/>
    <x v="0"/>
    <n v="4"/>
  </r>
  <r>
    <x v="3"/>
    <x v="1"/>
    <x v="4"/>
    <s v="MTG"/>
    <x v="0"/>
    <n v="1.4157159766750402"/>
  </r>
  <r>
    <x v="3"/>
    <x v="1"/>
    <x v="7"/>
    <s v="MTG"/>
    <x v="0"/>
    <n v="3500"/>
  </r>
  <r>
    <x v="3"/>
    <x v="2"/>
    <x v="0"/>
    <s v="MTG"/>
    <x v="0"/>
    <n v="4.0771627490827687"/>
  </r>
  <r>
    <x v="3"/>
    <x v="2"/>
    <x v="1"/>
    <s v="MTG"/>
    <x v="0"/>
    <n v="4.2569999999999997"/>
  </r>
  <r>
    <x v="3"/>
    <x v="2"/>
    <x v="5"/>
    <s v="MTG"/>
    <x v="0"/>
    <n v="1127"/>
  </r>
  <r>
    <x v="3"/>
    <x v="2"/>
    <x v="6"/>
    <s v="MTG"/>
    <x v="0"/>
    <n v="500000"/>
  </r>
  <r>
    <x v="3"/>
    <x v="2"/>
    <x v="2"/>
    <s v="MTG"/>
    <x v="0"/>
    <n v="1"/>
  </r>
  <r>
    <x v="3"/>
    <x v="2"/>
    <x v="3"/>
    <s v="MTG"/>
    <x v="0"/>
    <n v="4.25"/>
  </r>
  <r>
    <x v="3"/>
    <x v="2"/>
    <x v="4"/>
    <s v="MTG"/>
    <x v="0"/>
    <n v="1.1912038657214992"/>
  </r>
  <r>
    <x v="3"/>
    <x v="3"/>
    <x v="0"/>
    <s v="MTG"/>
    <x v="0"/>
    <n v="3.966305483037543"/>
  </r>
  <r>
    <x v="3"/>
    <x v="3"/>
    <x v="1"/>
    <s v="MTG"/>
    <x v="0"/>
    <n v="4.1310000000000002"/>
  </r>
  <r>
    <x v="3"/>
    <x v="3"/>
    <x v="5"/>
    <s v="MTG"/>
    <x v="0"/>
    <n v="2200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08034659967627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PivotTable4" cacheId="66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57:K66" firstHeaderRow="1" firstDataRow="2" firstDataCol="3"/>
  <pivotFields count="6"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25">
        <item m="1" x="23"/>
        <item m="1" x="1"/>
        <item m="1" x="21"/>
        <item m="1" x="2"/>
        <item m="1" x="5"/>
        <item m="1" x="7"/>
        <item m="1" x="11"/>
        <item m="1" x="10"/>
        <item m="1" x="12"/>
        <item m="1" x="13"/>
        <item m="1" x="14"/>
        <item m="1" x="4"/>
        <item m="1" x="16"/>
        <item m="1" x="19"/>
        <item m="1" x="22"/>
        <item m="1" x="24"/>
        <item m="1" x="18"/>
        <item m="1" x="20"/>
        <item m="1" x="9"/>
        <item m="1" x="8"/>
        <item m="1" x="17"/>
        <item m="1" x="6"/>
        <item m="1" x="3"/>
        <item m="1" x="1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24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40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70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9">
  <location ref="A78:E187" firstHeaderRow="1" firstDataRow="2" firstDataCol="1"/>
  <pivotFields count="6">
    <pivotField axis="axisCol" showAll="0">
      <items count="5">
        <item n="30Yr Conforming Conventional" x="0"/>
        <item n="30Yr Conforming FHA" x="1"/>
        <item n="30Yr Jumbo Conforming" x="2"/>
        <item n="30Yr Jumbo Non-Conforming" x="3"/>
        <item t="default"/>
      </items>
    </pivotField>
    <pivotField showAll="0"/>
    <pivotField showAll="0"/>
    <pivotField showAll="0"/>
    <pivotField axis="axisRow" showAll="0">
      <items count="1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t="default"/>
      </items>
    </pivotField>
    <pivotField dataField="1" showAll="0"/>
  </pivotFields>
  <rowFields count="1">
    <field x="4"/>
  </rowFields>
  <rowItems count="10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Average of SeriesNumValue" fld="5" subtotal="average" baseField="0" baseItem="0"/>
  </dataFields>
  <formats count="1">
    <format dxfId="41">
      <pivotArea dataOnly="0" labelOnly="1" fieldPosition="0">
        <references count="1">
          <reference field="4" count="0"/>
        </references>
      </pivotArea>
    </format>
  </formats>
  <chartFormats count="4"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74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10">
  <location ref="M78:O187" firstHeaderRow="1" firstDataRow="2" firstDataCol="1"/>
  <pivotFields count="6">
    <pivotField showAll="0"/>
    <pivotField showAll="0"/>
    <pivotField axis="axisCol" showAll="0">
      <items count="3">
        <item n="FNMA 30-yr Current Coupon" x="1"/>
        <item n="30-Yr Conventional Servicing Spread" x="0"/>
        <item t="default"/>
      </items>
    </pivotField>
    <pivotField showAll="0"/>
    <pivotField axis="axisRow" showAll="0">
      <items count="123">
        <item x="0"/>
        <item x="1"/>
        <item x="2"/>
        <item x="3"/>
        <item x="4"/>
        <item x="5"/>
        <item x="6"/>
        <item x="7"/>
        <item x="8"/>
        <item m="1" x="111"/>
        <item m="1" x="113"/>
        <item m="1" x="115"/>
        <item m="1" x="117"/>
        <item m="1" x="120"/>
        <item m="1" x="121"/>
        <item m="1" x="109"/>
        <item m="1" x="108"/>
        <item m="1" x="110"/>
        <item m="1" x="112"/>
        <item m="1" x="114"/>
        <item m="1" x="116"/>
        <item m="1" x="118"/>
        <item m="1" x="119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t="default"/>
      </items>
    </pivotField>
    <pivotField dataField="1" showAll="0"/>
  </pivotFields>
  <rowFields count="1">
    <field x="4"/>
  </rowFields>
  <rowItems count="10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</rowItems>
  <colFields count="1">
    <field x="2"/>
  </colFields>
  <colItems count="2">
    <i>
      <x/>
    </i>
    <i>
      <x v="1"/>
    </i>
  </colItems>
  <dataFields count="1">
    <dataField name="Average of SeriesNumValue" fld="5" subtotal="average" baseField="0" baseItem="0"/>
  </dataFields>
  <formats count="1">
    <format dxfId="42">
      <pivotArea dataOnly="0" labelOnly="1" fieldPosition="0">
        <references count="1">
          <reference field="4" count="0"/>
        </references>
      </pivotArea>
    </format>
  </formats>
  <chartFormats count="2">
    <chartFormat chart="8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8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80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29:K38" firstHeaderRow="1" firstDataRow="2" firstDataCol="3"/>
  <pivotFields count="6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">
        <item x="3"/>
        <item x="2"/>
        <item x="1"/>
        <item x="5"/>
        <item x="6"/>
        <item x="7"/>
        <item x="0"/>
        <item x="4"/>
        <item t="default"/>
      </items>
    </pivotField>
    <pivotField compact="0" outline="0" showAll="0"/>
    <pivotField axis="axisRow" compact="0" outline="0" showAll="0" defaultSubtotal="0">
      <items count="28">
        <item m="1" x="22"/>
        <item m="1" x="18"/>
        <item m="1" x="1"/>
        <item m="1" x="3"/>
        <item m="1" x="5"/>
        <item m="1" x="12"/>
        <item m="1" x="9"/>
        <item m="1" x="13"/>
        <item m="1" x="15"/>
        <item m="1" x="16"/>
        <item m="1" x="19"/>
        <item m="1" x="24"/>
        <item m="1" x="2"/>
        <item m="1" x="4"/>
        <item m="1" x="11"/>
        <item m="1" x="21"/>
        <item m="1" x="26"/>
        <item m="1" x="6"/>
        <item m="1" x="7"/>
        <item m="1" x="20"/>
        <item m="1" x="8"/>
        <item m="1" x="23"/>
        <item m="1" x="17"/>
        <item m="1" x="27"/>
        <item m="1" x="14"/>
        <item m="1" x="10"/>
        <item m="1" x="2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27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SeriesNumValue" fld="5" baseField="0" baseItem="0"/>
  </dataFields>
  <formats count="1">
    <format dxfId="43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RatesSummaryTable" cacheId="86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3:K12" firstHeaderRow="1" firstDataRow="2" firstDataCol="3"/>
  <pivotFields count="6"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30">
        <item m="1" x="24"/>
        <item m="1" x="26"/>
        <item m="1" x="2"/>
        <item m="1" x="1"/>
        <item m="1" x="7"/>
        <item m="1" x="10"/>
        <item m="1" x="16"/>
        <item m="1" x="13"/>
        <item m="1" x="17"/>
        <item m="1" x="20"/>
        <item m="1" x="22"/>
        <item m="1" x="25"/>
        <item m="1" x="28"/>
        <item m="1" x="3"/>
        <item m="1" x="8"/>
        <item m="1" x="4"/>
        <item m="1" x="19"/>
        <item m="1" x="29"/>
        <item m="1" x="11"/>
        <item m="1" x="12"/>
        <item m="1" x="14"/>
        <item m="1" x="9"/>
        <item m="1" x="15"/>
        <item m="1" x="27"/>
        <item m="1" x="23"/>
        <item m="1" x="6"/>
        <item m="1" x="21"/>
        <item m="1" x="18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0"/>
    <field x="1"/>
  </rowFields>
  <rowItems count="8">
    <i>
      <x v="29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44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10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7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8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9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queryTables/queryTable7.xml><?xml version="1.0" encoding="utf-8"?>
<queryTable xmlns="http://schemas.openxmlformats.org/spreadsheetml/2006/main" name="Query from Agency_6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8.xml><?xml version="1.0" encoding="utf-8"?>
<queryTable xmlns="http://schemas.openxmlformats.org/spreadsheetml/2006/main" name="Query from Agency_7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9.xml><?xml version="1.0" encoding="utf-8"?>
<queryTable xmlns="http://schemas.openxmlformats.org/spreadsheetml/2006/main" name="Query from Agency_9" backgroundRefresh="0" adjustColumnWidth="0" connectionId="6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10.xml><?xml version="1.0" encoding="utf-8"?>
<queryTable xmlns="http://schemas.openxmlformats.org/spreadsheetml/2006/main" name="Query from Agency_10" backgroundRefresh="0" adjustColumnWidth="0" connectionId="5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1" name="CurrentMtgRatesDataTable" displayName="CurrentMtgRatesDataTable" ref="A6:F53" tableType="queryTable" totalsRowShown="0" headerRowDxfId="58" dataDxfId="57">
  <tableColumns count="6">
    <tableColumn id="3" uniqueName="3" name="Source" queryTableFieldId="44" dataDxfId="38" dataCellStyle="Normal 2 7"/>
    <tableColumn id="4" uniqueName="4" name="TickerName" queryTableFieldId="45" dataDxfId="37" dataCellStyle="Normal 2 7"/>
    <tableColumn id="5" uniqueName="5" name="SeriesType" queryTableFieldId="46" dataDxfId="36" dataCellStyle="Normal 2 7"/>
    <tableColumn id="6" uniqueName="6" name="Category" queryTableFieldId="47" dataDxfId="35" dataCellStyle="Normal 2 7"/>
    <tableColumn id="10" uniqueName="10" name="AsOfDate" queryTableFieldId="51" dataDxfId="34" dataCellStyle="Normal 2 7"/>
    <tableColumn id="11" uniqueName="11" name="SeriesNumValue" queryTableFieldId="52" dataDxfId="33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56" dataDxfId="55">
  <tableColumns count="6">
    <tableColumn id="2" uniqueName="2" name="TickerName" queryTableFieldId="57" dataDxfId="32"/>
    <tableColumn id="3" uniqueName="3" name="Source" queryTableFieldId="58" dataDxfId="31"/>
    <tableColumn id="4" uniqueName="4" name="SeriesType" queryTableFieldId="59" dataDxfId="30"/>
    <tableColumn id="5" uniqueName="5" name="Category" queryTableFieldId="60" dataDxfId="29"/>
    <tableColumn id="6" uniqueName="6" name="AsOfDate" queryTableFieldId="61" dataDxfId="28"/>
    <tableColumn id="7" uniqueName="7" name="SeriesNumValue" queryTableFieldId="62" dataDxfId="2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53" tableType="queryTable" totalsRowShown="0" headerRowDxfId="54" dataDxfId="53">
  <tableColumns count="6">
    <tableColumn id="2" uniqueName="2" name="TickerName" queryTableFieldId="57" dataDxfId="26" dataCellStyle="Normal 2 7"/>
    <tableColumn id="3" uniqueName="3" name="Source" queryTableFieldId="58" dataDxfId="25" dataCellStyle="Normal 2 7"/>
    <tableColumn id="4" uniqueName="4" name="SeriesType" queryTableFieldId="59" dataDxfId="24" dataCellStyle="Normal 2 7"/>
    <tableColumn id="5" uniqueName="5" name="Category" queryTableFieldId="60" dataDxfId="23" dataCellStyle="Normal 2 7"/>
    <tableColumn id="6" uniqueName="6" name="AsOfDate" queryTableFieldId="61" dataDxfId="22" dataCellStyle="Normal 2 7"/>
    <tableColumn id="7" uniqueName="7" name="SeriesNumValue" queryTableFieldId="62" dataDxfId="21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8" tableType="queryTable" totalsRowShown="0" headerRowDxfId="52" dataDxfId="51">
  <tableColumns count="3">
    <tableColumn id="2" uniqueName="2" name="TickerName" queryTableFieldId="57" dataDxfId="14" dataCellStyle="Normal 2 7"/>
    <tableColumn id="6" uniqueName="6" name="AsOfDate" queryTableFieldId="61" dataDxfId="13" dataCellStyle="Normal 2 7"/>
    <tableColumn id="7" uniqueName="7" name="SeriesNumValue" queryTableFieldId="62" dataDxfId="12" dataCellStyle="Normal 2 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8" name="OneWeekMtgRatesDataTable9" displayName="OneWeekMtgRatesDataTable9" ref="AC6:AH762" tableType="queryTable" totalsRowShown="0" headerRowDxfId="50" dataDxfId="49">
  <tableColumns count="6">
    <tableColumn id="2" uniqueName="2" name="TickerName" queryTableFieldId="57" dataDxfId="11" dataCellStyle="Normal 2 7"/>
    <tableColumn id="3" uniqueName="3" name="Source" queryTableFieldId="58" dataDxfId="10" dataCellStyle="Normal 2 7"/>
    <tableColumn id="4" uniqueName="4" name="SeriesType" queryTableFieldId="59" dataDxfId="9" dataCellStyle="Normal 2 7"/>
    <tableColumn id="5" uniqueName="5" name="Category" queryTableFieldId="60" dataDxfId="8" dataCellStyle="Normal 2 7"/>
    <tableColumn id="6" uniqueName="6" name="AsOfDate" queryTableFieldId="61" dataDxfId="7" dataCellStyle="Normal 2 7"/>
    <tableColumn id="7" uniqueName="7" name="SeriesNumValue" queryTableFieldId="62" dataDxfId="6" dataCellStyle="Normal 2 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9" name="TimeSeriesDataTable310" displayName="TimeSeriesDataTable310" ref="AB1:AB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id="10" name="OneWeekMtgRatesDataTable911" displayName="OneWeekMtgRatesDataTable911" ref="AJ6:AO546" tableType="queryTable" totalsRowShown="0" headerRowDxfId="48" dataDxfId="47">
  <tableColumns count="6">
    <tableColumn id="2" uniqueName="2" name="TickerName" queryTableFieldId="57" dataDxfId="5" dataCellStyle="Normal 2 7"/>
    <tableColumn id="3" uniqueName="3" name="Source" queryTableFieldId="58" dataDxfId="4" dataCellStyle="Normal 2 7"/>
    <tableColumn id="4" uniqueName="4" name="SeriesType" queryTableFieldId="59" dataDxfId="3" dataCellStyle="Normal 2 7"/>
    <tableColumn id="5" uniqueName="5" name="Category" queryTableFieldId="60" dataDxfId="2" dataCellStyle="Normal 2 7"/>
    <tableColumn id="6" uniqueName="6" name="AsOfDate" queryTableFieldId="61" dataDxfId="1" dataCellStyle="Normal 2 7"/>
    <tableColumn id="7" uniqueName="7" name="SeriesNumValue" queryTableFieldId="62" dataDxfId="0" dataCellStyle="Normal 2 7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7" name="OneWeekMtgRatesDataTable8" displayName="OneWeekMtgRatesDataTable8" ref="AR6:AW53" tableType="queryTable" totalsRowShown="0" headerRowDxfId="46" dataDxfId="45">
  <tableColumns count="6">
    <tableColumn id="2" uniqueName="2" name="TickerName" queryTableFieldId="57" dataDxfId="20" dataCellStyle="Normal 2 7"/>
    <tableColumn id="3" uniqueName="3" name="Source" queryTableFieldId="58" dataDxfId="19" dataCellStyle="Normal 2 7"/>
    <tableColumn id="4" uniqueName="4" name="SeriesType" queryTableFieldId="59" dataDxfId="18" dataCellStyle="Normal 2 7"/>
    <tableColumn id="5" uniqueName="5" name="Category" queryTableFieldId="60" dataDxfId="17" dataCellStyle="Normal 2 7"/>
    <tableColumn id="6" uniqueName="6" name="AsOfDate" queryTableFieldId="61" dataDxfId="16" dataCellStyle="Normal 2 7"/>
    <tableColumn id="7" uniqueName="7" name="SeriesNumValue" queryTableFieldId="62" dataDxfId="15" dataCellStyle="Normal 2 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quickenloans.com/home-loans/30-year-fixed" TargetMode="External"/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hyperlink" Target="https://www.wellsfargo.com/mortgage/rates/refinance-assumptions/" TargetMode="Externa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hyperlink" Target="https://www.chase.com/mortgage/refinance-rate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://loans.bankofamerica.com/en/tools/todays-rates.html?rateType=refinance&amp;stateCode=CA&amp;update_rates_btn=Update+rates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://www.quickenloans.com/home-loans/30-year-fixed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A75"/>
  <sheetViews>
    <sheetView showGridLines="0" zoomScaleNormal="100" workbookViewId="0">
      <selection activeCell="V39" sqref="V39"/>
    </sheetView>
  </sheetViews>
  <sheetFormatPr defaultRowHeight="15"/>
  <cols>
    <col min="1" max="1" width="9.140625" customWidth="1"/>
    <col min="3" max="3" width="28.42578125" customWidth="1"/>
    <col min="4" max="4" width="4.7109375" customWidth="1"/>
    <col min="5" max="9" width="4.7109375" style="1" customWidth="1"/>
    <col min="10" max="11" width="10.42578125" style="1" customWidth="1"/>
    <col min="12" max="12" width="10.42578125" customWidth="1"/>
    <col min="13" max="13" width="10.42578125" style="1" customWidth="1"/>
    <col min="14" max="16" width="10.42578125" customWidth="1"/>
    <col min="17" max="17" width="9.5703125" style="1" customWidth="1"/>
    <col min="18" max="21" width="10.42578125" style="1" customWidth="1"/>
    <col min="22" max="22" width="7.7109375" customWidth="1"/>
    <col min="24" max="24" width="14.140625" customWidth="1"/>
    <col min="25" max="25" width="17.42578125" customWidth="1"/>
    <col min="26" max="26" width="14.85546875" bestFit="1" customWidth="1"/>
  </cols>
  <sheetData>
    <row r="1" spans="3:27">
      <c r="X1" s="71" t="s">
        <v>57</v>
      </c>
      <c r="Y1" s="126" t="s">
        <v>76</v>
      </c>
      <c r="Z1" t="s">
        <v>75</v>
      </c>
      <c r="AA1" s="72" t="s">
        <v>92</v>
      </c>
    </row>
    <row r="2" spans="3:27">
      <c r="X2" s="71" t="s">
        <v>58</v>
      </c>
      <c r="Y2" s="73">
        <v>42219</v>
      </c>
    </row>
    <row r="3" spans="3:27" s="1" customFormat="1">
      <c r="X3" s="71" t="s">
        <v>93</v>
      </c>
      <c r="Y3" s="126" t="s">
        <v>94</v>
      </c>
    </row>
    <row r="4" spans="3:27" s="1" customFormat="1">
      <c r="X4" s="71" t="s">
        <v>68</v>
      </c>
      <c r="Y4" s="126" t="str">
        <f>PDFReportDir &amp; "\Daily Originator Mortgage Rate Report " &amp; TEXT(CurrentCloseDate, "yyyy-mm-dd") &amp; ".pdf"</f>
        <v>S:\IT\Production\Daily Reports\Primary Market\tmp\\Daily Originator Mortgage Rate Report 2015-08-03.pdf</v>
      </c>
    </row>
    <row r="5" spans="3:27" s="1" customFormat="1">
      <c r="X5" s="41"/>
    </row>
    <row r="6" spans="3:27" s="1" customFormat="1">
      <c r="X6" s="41"/>
    </row>
    <row r="7" spans="3:27">
      <c r="Y7" s="1"/>
    </row>
    <row r="8" spans="3:27">
      <c r="C8" s="74" t="s">
        <v>95</v>
      </c>
    </row>
    <row r="9" spans="3:27" s="43" customFormat="1" ht="30.75" customHeight="1">
      <c r="C9" s="151" t="s">
        <v>16</v>
      </c>
      <c r="D9" s="159" t="s">
        <v>30</v>
      </c>
      <c r="E9" s="155"/>
      <c r="F9" s="155"/>
      <c r="G9" s="155" t="s">
        <v>0</v>
      </c>
      <c r="H9" s="155"/>
      <c r="I9" s="156"/>
      <c r="J9" s="152" t="s">
        <v>29</v>
      </c>
      <c r="K9" s="152" t="s">
        <v>9</v>
      </c>
      <c r="L9" s="152" t="s">
        <v>117</v>
      </c>
      <c r="M9" s="153" t="s">
        <v>115</v>
      </c>
      <c r="N9" s="152" t="s">
        <v>116</v>
      </c>
      <c r="O9" s="154" t="s">
        <v>28</v>
      </c>
      <c r="P9" s="153" t="s">
        <v>122</v>
      </c>
      <c r="Q9" s="152" t="s">
        <v>112</v>
      </c>
      <c r="R9" s="152" t="s">
        <v>121</v>
      </c>
      <c r="S9" s="152" t="s">
        <v>114</v>
      </c>
      <c r="T9" s="152" t="s">
        <v>120</v>
      </c>
      <c r="U9" s="154" t="s">
        <v>113</v>
      </c>
    </row>
    <row r="10" spans="3:27" s="84" customFormat="1" ht="18" customHeight="1">
      <c r="C10" s="118" t="s">
        <v>17</v>
      </c>
      <c r="D10" s="160">
        <f>'BoA - Conventional'!C4</f>
        <v>4.1250000000000002E-2</v>
      </c>
      <c r="E10" s="157"/>
      <c r="F10" s="157"/>
      <c r="G10" s="157">
        <f>'BoA - Conventional'!C5</f>
        <v>4.2979999999999997E-2</v>
      </c>
      <c r="H10" s="157"/>
      <c r="I10" s="158"/>
      <c r="J10" s="37">
        <f>'BoA - Conventional'!F5</f>
        <v>7.2299999999999994E-3</v>
      </c>
      <c r="K10" s="37">
        <f>'BoA - Conventional'!F6</f>
        <v>1.319283217530938E-2</v>
      </c>
      <c r="L10" s="37">
        <f>'BoA - Conventional'!F7</f>
        <v>2.042283217530938E-2</v>
      </c>
      <c r="M10" s="142">
        <f>N10-0.25%</f>
        <v>4.1355708043827343E-2</v>
      </c>
      <c r="N10" s="144">
        <f>'BoA - Conventional'!I4</f>
        <v>4.3855708043827345E-2</v>
      </c>
      <c r="O10" s="143">
        <f>N10-D$24</f>
        <v>1.4996119210214646E-2</v>
      </c>
      <c r="P10" s="47">
        <f>(N10-'Historic Result'!C5)*100*100</f>
        <v>1.1628693684478941</v>
      </c>
      <c r="Q10" s="36">
        <f>(O10-'Historic Result'!D5)*100*100</f>
        <v>4.1177936285578811</v>
      </c>
      <c r="R10" s="36">
        <f>(N10-'Historic Result'!E5)*100*100</f>
        <v>-5.5123781480943128</v>
      </c>
      <c r="S10" s="36">
        <f>(O10-'Historic Result'!F5)*100*100</f>
        <v>3.5799316508277474</v>
      </c>
      <c r="T10" s="36">
        <f>(N10-'Historic Result'!G5)*100*100</f>
        <v>-24.776844575343308</v>
      </c>
      <c r="U10" s="44">
        <f>(O10-'Historic Result'!H5)*100*100</f>
        <v>2.9037923247857838</v>
      </c>
    </row>
    <row r="11" spans="3:27" s="84" customFormat="1" ht="18" customHeight="1">
      <c r="C11" s="118" t="s">
        <v>18</v>
      </c>
      <c r="D11" s="160">
        <f>'Chase - Conventional'!C4</f>
        <v>0.04</v>
      </c>
      <c r="E11" s="157"/>
      <c r="F11" s="157"/>
      <c r="G11" s="157">
        <f>'Chase - Conventional'!C5</f>
        <v>4.0730000000000002E-2</v>
      </c>
      <c r="H11" s="157"/>
      <c r="I11" s="158"/>
      <c r="J11" s="37" t="s">
        <v>2</v>
      </c>
      <c r="K11" s="37" t="s">
        <v>2</v>
      </c>
      <c r="L11" s="37">
        <f>'Chase - Conventional'!F7</f>
        <v>8.7579337893589626E-3</v>
      </c>
      <c r="M11" s="142">
        <f t="shared" ref="M11:M13" si="0">N11-0.25%</f>
        <v>3.7189483447339737E-2</v>
      </c>
      <c r="N11" s="144">
        <f>'Chase - Conventional'!I4</f>
        <v>3.9689483447339739E-2</v>
      </c>
      <c r="O11" s="143">
        <f>N11-D$24</f>
        <v>1.0829894613727041E-2</v>
      </c>
      <c r="P11" s="47">
        <f>(N11-'Historic Result'!C6)*100*100</f>
        <v>0</v>
      </c>
      <c r="Q11" s="36">
        <f>(O11-'Historic Result'!D6)*100*100</f>
        <v>2.954924260109987</v>
      </c>
      <c r="R11" s="36">
        <f>(N11-'Historic Result'!E6)*100*100</f>
        <v>-9.2117272267544514</v>
      </c>
      <c r="S11" s="36">
        <f>(O11-'Historic Result'!F6)*100*100</f>
        <v>-0.11941742783244322</v>
      </c>
      <c r="T11" s="36">
        <f>(N11-'Historic Result'!G6)*100*100</f>
        <v>-21.743861906678916</v>
      </c>
      <c r="U11" s="44">
        <f>(O11-'Historic Result'!H6)*100*100</f>
        <v>5.9367749934500367</v>
      </c>
    </row>
    <row r="12" spans="3:27" s="84" customFormat="1" ht="18" customHeight="1">
      <c r="C12" s="118" t="s">
        <v>19</v>
      </c>
      <c r="D12" s="160">
        <f>'Quicken - Conventional'!C4</f>
        <v>3.9900000000000005E-2</v>
      </c>
      <c r="E12" s="157"/>
      <c r="F12" s="157"/>
      <c r="G12" s="157">
        <f>'Quicken - Conventional'!C5</f>
        <v>4.2320000000000003E-2</v>
      </c>
      <c r="H12" s="157"/>
      <c r="I12" s="158"/>
      <c r="J12" s="37">
        <f>'Quicken - Conventional'!F5</f>
        <v>1.8749999999999999E-2</v>
      </c>
      <c r="K12" s="37">
        <f>'Quicken - Conventional'!F6</f>
        <v>9.8670532675793517E-3</v>
      </c>
      <c r="L12" s="37">
        <f>'Quicken - Conventional'!F7</f>
        <v>2.8617053267579351E-2</v>
      </c>
      <c r="M12" s="142">
        <f t="shared" si="0"/>
        <v>4.2054263316894838E-2</v>
      </c>
      <c r="N12" s="144">
        <f>'Quicken - Conventional'!I4</f>
        <v>4.455426331689484E-2</v>
      </c>
      <c r="O12" s="143">
        <f>N12-D$24</f>
        <v>1.5694674483282142E-2</v>
      </c>
      <c r="P12" s="47">
        <f>(N12-'Historic Result'!C7)*100*100</f>
        <v>-4.3337390115907866</v>
      </c>
      <c r="Q12" s="36">
        <f>(O12-'Historic Result'!D7)*100*100</f>
        <v>-1.3788147514808002</v>
      </c>
      <c r="R12" s="36">
        <f>(N12-'Historic Result'!E7)*100*100</f>
        <v>-8.3681548987854519</v>
      </c>
      <c r="S12" s="36">
        <f>(O12-'Historic Result'!F7)*100*100</f>
        <v>0.72415490013653938</v>
      </c>
      <c r="T12" s="36">
        <f>(N12-'Historic Result'!G7)*100*100</f>
        <v>-12.944709447463564</v>
      </c>
      <c r="U12" s="44">
        <f>(O12-'Historic Result'!H7)*100*100</f>
        <v>14.735927452665386</v>
      </c>
    </row>
    <row r="13" spans="3:27" s="84" customFormat="1" ht="18" customHeight="1">
      <c r="C13" s="83" t="s">
        <v>20</v>
      </c>
      <c r="D13" s="160">
        <f>CIR</f>
        <v>4.2500000000000003E-2</v>
      </c>
      <c r="E13" s="157"/>
      <c r="F13" s="157"/>
      <c r="G13" s="157">
        <f>CAPR</f>
        <v>4.2720000000000001E-2</v>
      </c>
      <c r="H13" s="157"/>
      <c r="I13" s="158"/>
      <c r="J13" s="37">
        <f>'Wells - Conventional'!F6</f>
        <v>2.6129786379480713E-3</v>
      </c>
      <c r="K13" s="37">
        <f>'Wells - Conventional'!F8</f>
        <v>8.8900000000000003E-3</v>
      </c>
      <c r="L13" s="37">
        <f>'Wells - Conventional'!F9</f>
        <v>1.1502978637948072E-2</v>
      </c>
      <c r="M13" s="142">
        <f t="shared" si="0"/>
        <v>4.0375744659487019E-2</v>
      </c>
      <c r="N13" s="144">
        <f>'Wells - Conventional'!I4</f>
        <v>4.2875744659487021E-2</v>
      </c>
      <c r="O13" s="143">
        <f>N13-D$24</f>
        <v>1.4016155825874323E-2</v>
      </c>
      <c r="P13" s="47">
        <f>(N13-'Historic Result'!C8)*100*100</f>
        <v>-3.1250000000000027</v>
      </c>
      <c r="Q13" s="36">
        <f>(O13-'Historic Result'!D8)*100*100</f>
        <v>-0.17007573989001601</v>
      </c>
      <c r="R13" s="36">
        <f>(N13-'Historic Result'!E8)*100*100</f>
        <v>-14.109870184648084</v>
      </c>
      <c r="S13" s="36">
        <f>(O13-'Historic Result'!F8)*100*100</f>
        <v>-5.0175603857260942</v>
      </c>
      <c r="T13" s="36">
        <f>(N13-'Historic Result'!G8)*100*100</f>
        <v>-39.064190374115896</v>
      </c>
      <c r="U13" s="44">
        <f>(O13-'Historic Result'!H8)*100*100</f>
        <v>-11.383553473986868</v>
      </c>
    </row>
    <row r="14" spans="3:27" s="84" customFormat="1" ht="18" customHeight="1">
      <c r="C14" s="85" t="s">
        <v>21</v>
      </c>
      <c r="D14" s="169">
        <f>AVERAGE(D10:D13)</f>
        <v>4.0912500000000004E-2</v>
      </c>
      <c r="E14" s="167"/>
      <c r="F14" s="167"/>
      <c r="G14" s="167">
        <f>AVERAGE(G10:I13)</f>
        <v>4.2187500000000003E-2</v>
      </c>
      <c r="H14" s="167"/>
      <c r="I14" s="168"/>
      <c r="J14" s="58">
        <f>AVERAGE(J10,J12:J13)</f>
        <v>9.5309928793160231E-3</v>
      </c>
      <c r="K14" s="58">
        <f>AVERAGE(K10,K12:K13)</f>
        <v>1.0649961814296243E-2</v>
      </c>
      <c r="L14" s="58">
        <f>AVERAGE(L10,L12:L13)</f>
        <v>2.0180954693612269E-2</v>
      </c>
      <c r="M14" s="133">
        <f t="shared" ref="M14:N14" si="1">AVERAGE(M10:M13)</f>
        <v>4.0243799866887232E-2</v>
      </c>
      <c r="N14" s="131">
        <f t="shared" si="1"/>
        <v>4.2743799866887235E-2</v>
      </c>
      <c r="O14" s="132">
        <f>N14-D$24</f>
        <v>1.3884211033274536E-2</v>
      </c>
      <c r="P14" s="59">
        <f>AVERAGE(P10:P13)</f>
        <v>-1.5739674107857238</v>
      </c>
      <c r="Q14" s="60">
        <f>AVERAGE(Q10:Q13)</f>
        <v>1.380956849324263</v>
      </c>
      <c r="R14" s="60">
        <f t="shared" ref="R14:U14" si="2">AVERAGE(R10:R13)</f>
        <v>-9.3005326145705745</v>
      </c>
      <c r="S14" s="60">
        <f t="shared" si="2"/>
        <v>-0.2082228156485626</v>
      </c>
      <c r="T14" s="60">
        <f t="shared" si="2"/>
        <v>-24.63240157590042</v>
      </c>
      <c r="U14" s="61">
        <f t="shared" si="2"/>
        <v>3.0482353242285845</v>
      </c>
    </row>
    <row r="15" spans="3:27" s="84" customFormat="1" ht="18" customHeight="1">
      <c r="C15" s="80" t="s">
        <v>31</v>
      </c>
      <c r="D15" s="170" t="s">
        <v>30</v>
      </c>
      <c r="E15" s="171"/>
      <c r="F15" s="171"/>
      <c r="G15" s="171" t="s">
        <v>0</v>
      </c>
      <c r="H15" s="171"/>
      <c r="I15" s="176"/>
      <c r="J15" s="70"/>
      <c r="K15" s="70"/>
      <c r="L15" s="70"/>
      <c r="M15" s="134"/>
      <c r="N15" s="135"/>
      <c r="O15" s="139"/>
      <c r="P15" s="69"/>
      <c r="Q15" s="70"/>
      <c r="R15" s="149"/>
      <c r="S15" s="149"/>
      <c r="T15" s="149"/>
      <c r="U15" s="150"/>
    </row>
    <row r="16" spans="3:27" s="84" customFormat="1" ht="18" customHeight="1">
      <c r="C16" s="86" t="s">
        <v>20</v>
      </c>
      <c r="D16" s="172">
        <f>'Wells - Jumbo conformin'!C4</f>
        <v>4.2500000000000003E-2</v>
      </c>
      <c r="E16" s="173"/>
      <c r="F16" s="173"/>
      <c r="G16" s="173">
        <f>'Wells - Jumbo conformin'!C5</f>
        <v>4.2569999999999997E-2</v>
      </c>
      <c r="H16" s="173"/>
      <c r="I16" s="177"/>
      <c r="J16" s="62">
        <f>'Wells - Jumbo conformin'!F5</f>
        <v>8.3250996331074578E-4</v>
      </c>
      <c r="K16" s="62">
        <f>'Wells - Jumbo conformin'!F6</f>
        <v>2.2539999999999999E-3</v>
      </c>
      <c r="L16" s="62">
        <f>'Wells - Jumbo conformin'!F7</f>
        <v>3.0865099633107457E-3</v>
      </c>
      <c r="M16" s="136">
        <f t="shared" ref="M16" si="3">N16-0.25%</f>
        <v>3.8271627490827687E-2</v>
      </c>
      <c r="N16" s="145">
        <f>'Wells - Jumbo conformin'!I4</f>
        <v>4.0771627490827689E-2</v>
      </c>
      <c r="O16" s="140">
        <f>N16-D$24</f>
        <v>1.1912038657214991E-2</v>
      </c>
      <c r="P16" s="63">
        <f>(N16-'Historic Result'!C10)*100*100</f>
        <v>0</v>
      </c>
      <c r="Q16" s="64">
        <f>(O16-'Historic Result'!D10)*100*100</f>
        <v>2.954924260109987</v>
      </c>
      <c r="R16" s="64">
        <f>(N16-'Historic Result'!E10)*100*100</f>
        <v>-6.844174825926391</v>
      </c>
      <c r="S16" s="64">
        <f>(O16-'Historic Result'!F10)*100*100</f>
        <v>2.2481349729955995</v>
      </c>
      <c r="T16" s="64">
        <f>(N16-'Historic Result'!G10)*100*100</f>
        <v>-30.01372509172311</v>
      </c>
      <c r="U16" s="65">
        <f>(O16-'Historic Result'!H10)*100*100</f>
        <v>-2.3330881915940846</v>
      </c>
    </row>
    <row r="17" spans="3:21" s="84" customFormat="1" ht="18" customHeight="1">
      <c r="C17" s="81" t="s">
        <v>32</v>
      </c>
      <c r="D17" s="174" t="s">
        <v>30</v>
      </c>
      <c r="E17" s="175"/>
      <c r="F17" s="175"/>
      <c r="G17" s="175" t="s">
        <v>0</v>
      </c>
      <c r="H17" s="175"/>
      <c r="I17" s="178"/>
      <c r="J17" s="49"/>
      <c r="K17" s="49"/>
      <c r="L17" s="49"/>
      <c r="M17" s="137"/>
      <c r="N17" s="138"/>
      <c r="O17" s="141"/>
      <c r="P17" s="50"/>
      <c r="Q17" s="51"/>
      <c r="R17" s="51"/>
      <c r="S17" s="51"/>
      <c r="T17" s="51"/>
      <c r="U17" s="52"/>
    </row>
    <row r="18" spans="3:21" s="84" customFormat="1" ht="18" customHeight="1">
      <c r="C18" s="86" t="s">
        <v>20</v>
      </c>
      <c r="D18" s="172">
        <f>'Wells - Jumbo Non-conforming'!C4</f>
        <v>4.1250000000000002E-2</v>
      </c>
      <c r="E18" s="173"/>
      <c r="F18" s="173"/>
      <c r="G18" s="173">
        <f>'Wells - Jumbo Non-conforming'!C5</f>
        <v>4.1309999999999999E-2</v>
      </c>
      <c r="H18" s="173"/>
      <c r="I18" s="177"/>
      <c r="J18" s="62">
        <f>'Wells - Jumbo Non-conforming'!F5</f>
        <v>7.1888598816838289E-4</v>
      </c>
      <c r="K18" s="62">
        <f>'Wells - Jumbo Non-conforming'!F6</f>
        <v>2.9333333333333334E-3</v>
      </c>
      <c r="L18" s="62">
        <f>'Wells - Jumbo Non-conforming'!F7</f>
        <v>3.6522193215017163E-3</v>
      </c>
      <c r="M18" s="136">
        <f t="shared" ref="M18" si="4">N18-0.25%</f>
        <v>3.7163054830375429E-2</v>
      </c>
      <c r="N18" s="145">
        <f>'Wells - Jumbo Non-conforming'!I4</f>
        <v>3.9663054830375431E-2</v>
      </c>
      <c r="O18" s="140">
        <f>N18-D$24</f>
        <v>1.0803465996762733E-2</v>
      </c>
      <c r="P18" s="63">
        <f>(N18-'Historic Result'!C12)*100*100</f>
        <v>0</v>
      </c>
      <c r="Q18" s="64">
        <f>(O18-'Historic Result'!D12)*100*100</f>
        <v>2.954924260109987</v>
      </c>
      <c r="R18" s="64">
        <f>(N18-'Historic Result'!E12)*100*100</f>
        <v>-8.9422193383070088</v>
      </c>
      <c r="S18" s="64">
        <f>(O18-'Historic Result'!F12)*100*100</f>
        <v>0.1500904606150516</v>
      </c>
      <c r="T18" s="64">
        <f>(N18-'Historic Result'!G12)*100*100</f>
        <v>-25.230515920080382</v>
      </c>
      <c r="U18" s="65">
        <f>(O18-'Historic Result'!H12)*100*100</f>
        <v>2.4501209800486397</v>
      </c>
    </row>
    <row r="19" spans="3:21" s="84" customFormat="1" ht="18" customHeight="1">
      <c r="C19" s="82" t="s">
        <v>33</v>
      </c>
      <c r="D19" s="163" t="s">
        <v>30</v>
      </c>
      <c r="E19" s="164"/>
      <c r="F19" s="161" t="s">
        <v>34</v>
      </c>
      <c r="G19" s="161"/>
      <c r="H19" s="161" t="s">
        <v>35</v>
      </c>
      <c r="I19" s="162"/>
      <c r="J19" s="53"/>
      <c r="K19" s="53"/>
      <c r="L19" s="53"/>
      <c r="M19" s="129"/>
      <c r="N19" s="130"/>
      <c r="O19" s="54"/>
      <c r="P19" s="55"/>
      <c r="Q19" s="56"/>
      <c r="R19" s="56"/>
      <c r="S19" s="56"/>
      <c r="T19" s="56"/>
      <c r="U19" s="57"/>
    </row>
    <row r="20" spans="3:21" s="84" customFormat="1" ht="18" customHeight="1">
      <c r="C20" s="87" t="s">
        <v>20</v>
      </c>
      <c r="D20" s="188">
        <f>'Wells - FHA'!C4</f>
        <v>0.04</v>
      </c>
      <c r="E20" s="165"/>
      <c r="F20" s="165">
        <f>'Wells - FHA'!F4</f>
        <v>1.7500000000000002E-2</v>
      </c>
      <c r="G20" s="165"/>
      <c r="H20" s="165">
        <v>8.5000000000000006E-3</v>
      </c>
      <c r="I20" s="166"/>
      <c r="J20" s="68">
        <f>'Wells - FHA'!F5</f>
        <v>0</v>
      </c>
      <c r="K20" s="68">
        <f>'Wells - FHA'!F6</f>
        <v>1.525E-2</v>
      </c>
      <c r="L20" s="68">
        <f>'Wells - FHA'!F7</f>
        <v>1.525E-2</v>
      </c>
      <c r="M20" s="127">
        <f t="shared" ref="M20" si="5">N20-0.25%</f>
        <v>3.88125E-2</v>
      </c>
      <c r="N20" s="146">
        <f>'Wells - FHA'!I4</f>
        <v>4.1312500000000002E-2</v>
      </c>
      <c r="O20" s="128">
        <f>N20-D25</f>
        <v>1.4157159766750402E-2</v>
      </c>
      <c r="P20" s="48">
        <f>(N20-'Historic Result'!C14)*100*100</f>
        <v>-3.1749999999999834</v>
      </c>
      <c r="Q20" s="45">
        <f>(O20-'Historic Result'!D14)*100*100</f>
        <v>-0.34344560808700214</v>
      </c>
      <c r="R20" s="45">
        <f>(N20-'Historic Result'!E14)*100*100</f>
        <v>-12.762499999999926</v>
      </c>
      <c r="S20" s="45">
        <f>(O20-'Historic Result'!F14)*100*100</f>
        <v>-3.256651858105017</v>
      </c>
      <c r="T20" s="45">
        <f>(N20-'Historic Result'!G14)*100*100</f>
        <v>-19.162500000000083</v>
      </c>
      <c r="U20" s="46">
        <f>(O20-'Historic Result'!H14)*100*100</f>
        <v>5.3476653400860021</v>
      </c>
    </row>
    <row r="21" spans="3:21" ht="13.5" customHeight="1">
      <c r="Q21" s="123" t="s">
        <v>85</v>
      </c>
    </row>
    <row r="22" spans="3:21" ht="13.5" customHeight="1">
      <c r="C22" s="74" t="s">
        <v>23</v>
      </c>
      <c r="D22" s="3"/>
      <c r="E22" s="3"/>
      <c r="F22" s="3"/>
      <c r="G22" s="3"/>
      <c r="H22" s="3"/>
      <c r="I22"/>
      <c r="J22"/>
      <c r="K22"/>
      <c r="P22" s="1"/>
    </row>
    <row r="23" spans="3:21" ht="18" customHeight="1">
      <c r="C23" s="88" t="s">
        <v>24</v>
      </c>
      <c r="D23" s="179" t="s">
        <v>25</v>
      </c>
      <c r="E23" s="180"/>
      <c r="F23" s="181"/>
      <c r="G23"/>
      <c r="H23"/>
      <c r="P23" s="1"/>
    </row>
    <row r="24" spans="3:21" ht="18" customHeight="1">
      <c r="C24" s="66" t="s">
        <v>26</v>
      </c>
      <c r="D24" s="182">
        <f>VLOOKUP(C24,'Time Series Query'!X12:Z13,3,0)</f>
        <v>2.8859588833612698E-2</v>
      </c>
      <c r="E24" s="183"/>
      <c r="F24" s="184"/>
      <c r="G24" s="27"/>
      <c r="H24" s="27"/>
      <c r="P24" s="1"/>
    </row>
    <row r="25" spans="3:21" ht="18" customHeight="1">
      <c r="C25" s="67" t="s">
        <v>27</v>
      </c>
      <c r="D25" s="185">
        <f>VLOOKUP(C25,'Time Series Query'!X13:Z14,3,0)</f>
        <v>2.71553402332496E-2</v>
      </c>
      <c r="E25" s="186"/>
      <c r="F25" s="187"/>
      <c r="G25" s="27"/>
      <c r="H25" s="27"/>
      <c r="P25" s="1"/>
    </row>
    <row r="72" spans="18:21">
      <c r="R72" s="121" t="s">
        <v>84</v>
      </c>
      <c r="S72" s="120" t="s">
        <v>17</v>
      </c>
      <c r="T72" s="121" t="s">
        <v>84</v>
      </c>
      <c r="U72" s="120" t="s">
        <v>17</v>
      </c>
    </row>
    <row r="73" spans="18:21">
      <c r="R73" s="119"/>
      <c r="S73" s="120" t="s">
        <v>18</v>
      </c>
      <c r="T73" s="119"/>
      <c r="U73" s="120" t="s">
        <v>18</v>
      </c>
    </row>
    <row r="74" spans="18:21">
      <c r="R74" s="119"/>
      <c r="S74" s="120" t="s">
        <v>19</v>
      </c>
      <c r="T74" s="119"/>
      <c r="U74" s="120" t="s">
        <v>19</v>
      </c>
    </row>
    <row r="75" spans="18:21">
      <c r="R75" s="119"/>
      <c r="S75" s="122" t="s">
        <v>20</v>
      </c>
      <c r="T75" s="119"/>
      <c r="U75" s="122" t="s">
        <v>20</v>
      </c>
    </row>
  </sheetData>
  <mergeCells count="29">
    <mergeCell ref="D23:F23"/>
    <mergeCell ref="D24:F24"/>
    <mergeCell ref="D25:F25"/>
    <mergeCell ref="D20:E20"/>
    <mergeCell ref="F20:G20"/>
    <mergeCell ref="H19:I19"/>
    <mergeCell ref="F19:G19"/>
    <mergeCell ref="D19:E19"/>
    <mergeCell ref="H20:I20"/>
    <mergeCell ref="G14:I14"/>
    <mergeCell ref="D14:F14"/>
    <mergeCell ref="D15:F15"/>
    <mergeCell ref="D16:F16"/>
    <mergeCell ref="D17:F17"/>
    <mergeCell ref="D18:F18"/>
    <mergeCell ref="G15:I15"/>
    <mergeCell ref="G16:I16"/>
    <mergeCell ref="G17:I17"/>
    <mergeCell ref="G18:I18"/>
    <mergeCell ref="D9:F9"/>
    <mergeCell ref="D10:F10"/>
    <mergeCell ref="D11:F11"/>
    <mergeCell ref="D12:F12"/>
    <mergeCell ref="D13:F13"/>
    <mergeCell ref="G9:I9"/>
    <mergeCell ref="G10:I10"/>
    <mergeCell ref="G11:I11"/>
    <mergeCell ref="G12:I12"/>
    <mergeCell ref="G13:I13"/>
  </mergeCells>
  <conditionalFormatting sqref="P10:U20">
    <cfRule type="cellIs" dxfId="39" priority="1" operator="lessThan">
      <formula>0</formula>
    </cfRule>
  </conditionalFormatting>
  <dataValidations disablePrompts="1" count="2">
    <dataValidation type="list" allowBlank="1" showInputMessage="1" showErrorMessage="1" sqref="Y1">
      <formula1>"PROD, DEV"</formula1>
    </dataValidation>
    <dataValidation type="list" allowBlank="1" showInputMessage="1" showErrorMessage="1" sqref="AA1">
      <formula1>"Yes, No"</formula1>
    </dataValidation>
  </dataValidations>
  <hyperlinks>
    <hyperlink ref="S72" r:id="rId1" location="closeModal"/>
    <hyperlink ref="S73" r:id="rId2"/>
    <hyperlink ref="S75" r:id="rId3"/>
    <hyperlink ref="S74" r:id="rId4" location="key-benefits"/>
    <hyperlink ref="U72" r:id="rId5" location="closeModal"/>
    <hyperlink ref="U73" r:id="rId6"/>
    <hyperlink ref="U75" r:id="rId7"/>
    <hyperlink ref="U74" r:id="rId8" location="key-benefits"/>
  </hyperlinks>
  <pageMargins left="0.25" right="0.25" top="0.255" bottom="0.25" header="0.1" footer="0.1"/>
  <pageSetup scale="67" orientation="landscape" horizontalDpi="1200" verticalDpi="1200" r:id="rId9"/>
  <headerFooter scaleWithDoc="0">
    <oddHeader>&amp;L&amp;G&amp;C&amp;"-,Bold"&amp;10&amp;K2E398A
&amp;15Daily Originator Mortgage Rates&amp;R&amp;"-,Bold"&amp;10&amp;K2E398A
As of 08/03/2015</oddHeader>
    <oddFooter>&amp;L&amp;10&amp;K2E398AReport created on &amp;D &amp;T&amp;C&amp;G
&amp;8&amp;K2E398APage &amp;P of &amp;N</oddFooter>
  </headerFooter>
  <colBreaks count="1" manualBreakCount="1">
    <brk id="22" max="1048575" man="1"/>
  </colBreaks>
  <drawing r:id="rId10"/>
  <legacyDrawingHF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W862"/>
  <sheetViews>
    <sheetView topLeftCell="Q1" workbookViewId="0">
      <selection activeCell="Z20" sqref="Z20"/>
    </sheetView>
  </sheetViews>
  <sheetFormatPr defaultRowHeight="12.75"/>
  <cols>
    <col min="1" max="1" width="13.85546875" style="38" customWidth="1"/>
    <col min="2" max="2" width="24.5703125" style="38" bestFit="1" customWidth="1"/>
    <col min="3" max="3" width="12.42578125" style="38" customWidth="1"/>
    <col min="4" max="4" width="8" style="38" customWidth="1"/>
    <col min="5" max="5" width="10.140625" style="38" customWidth="1"/>
    <col min="6" max="6" width="14.140625" style="38" bestFit="1" customWidth="1"/>
    <col min="7" max="7" width="9.7109375" style="38" bestFit="1" customWidth="1"/>
    <col min="8" max="8" width="10.140625" style="38" bestFit="1" customWidth="1"/>
    <col min="9" max="9" width="24.5703125" style="38" customWidth="1"/>
    <col min="10" max="10" width="13.85546875" style="38" customWidth="1"/>
    <col min="11" max="11" width="14.140625" style="38" customWidth="1"/>
    <col min="12" max="12" width="8" style="38" customWidth="1"/>
    <col min="13" max="13" width="10.140625" style="38" customWidth="1"/>
    <col min="14" max="14" width="14.140625" style="38" customWidth="1"/>
    <col min="15" max="15" width="10.140625" style="38" customWidth="1"/>
    <col min="16" max="16" width="10.140625" style="38" bestFit="1" customWidth="1"/>
    <col min="17" max="22" width="13.85546875" style="38" customWidth="1"/>
    <col min="23" max="23" width="13.7109375" style="38" customWidth="1"/>
    <col min="24" max="24" width="16.5703125" style="38" customWidth="1"/>
    <col min="25" max="25" width="12.7109375" style="38" bestFit="1" customWidth="1"/>
    <col min="26" max="27" width="8" style="38" customWidth="1"/>
    <col min="28" max="28" width="10.140625" style="38" customWidth="1"/>
    <col min="29" max="29" width="14.140625" style="38" customWidth="1"/>
    <col min="30" max="30" width="12.28515625" style="38" customWidth="1"/>
    <col min="31" max="31" width="8.42578125" style="38" bestFit="1" customWidth="1"/>
    <col min="32" max="32" width="15.28515625" style="38" bestFit="1" customWidth="1"/>
    <col min="33" max="33" width="9.85546875" style="38" bestFit="1" customWidth="1"/>
    <col min="34" max="34" width="10.28515625" style="38" bestFit="1" customWidth="1"/>
    <col min="35" max="35" width="11.42578125" style="38" bestFit="1" customWidth="1"/>
    <col min="36" max="40" width="12" style="38" bestFit="1" customWidth="1"/>
    <col min="41" max="41" width="8" style="38" bestFit="1" customWidth="1"/>
    <col min="42" max="42" width="12" style="38" bestFit="1" customWidth="1"/>
    <col min="43" max="43" width="5.7109375" style="38" bestFit="1" customWidth="1"/>
    <col min="44" max="49" width="13.85546875" style="38" customWidth="1"/>
    <col min="50" max="50" width="14.7109375" style="38" bestFit="1" customWidth="1"/>
    <col min="51" max="51" width="16" style="38" bestFit="1" customWidth="1"/>
    <col min="52" max="52" width="17.5703125" style="38" bestFit="1" customWidth="1"/>
    <col min="53" max="53" width="12.140625" style="38" bestFit="1" customWidth="1"/>
    <col min="54" max="54" width="8.5703125" style="38" bestFit="1" customWidth="1"/>
    <col min="55" max="55" width="15.28515625" style="38" customWidth="1"/>
    <col min="56" max="56" width="11.7109375" style="38" bestFit="1" customWidth="1"/>
    <col min="57" max="57" width="10.28515625" style="38" bestFit="1" customWidth="1"/>
    <col min="58" max="58" width="12" style="38" bestFit="1" customWidth="1"/>
    <col min="59" max="59" width="14.42578125" style="38" customWidth="1"/>
    <col min="60" max="60" width="18.5703125" style="38" bestFit="1" customWidth="1"/>
    <col min="61" max="61" width="10.7109375" style="38" bestFit="1" customWidth="1"/>
    <col min="62" max="62" width="16.42578125" style="38" bestFit="1" customWidth="1"/>
    <col min="63" max="63" width="16.140625" style="38" bestFit="1" customWidth="1"/>
    <col min="64" max="64" width="14.42578125" style="38" customWidth="1"/>
    <col min="65" max="65" width="12.28515625" style="38" customWidth="1"/>
    <col min="66" max="16384" width="9.140625" style="38"/>
  </cols>
  <sheetData>
    <row r="1" spans="1:49">
      <c r="G1" s="38" t="s">
        <v>62</v>
      </c>
      <c r="H1" s="38" t="s">
        <v>59</v>
      </c>
      <c r="O1" s="38" t="s">
        <v>61</v>
      </c>
      <c r="P1" s="38" t="s">
        <v>59</v>
      </c>
      <c r="AA1" s="38" t="s">
        <v>83</v>
      </c>
      <c r="AB1" s="38" t="s">
        <v>59</v>
      </c>
      <c r="AD1" s="38" t="s">
        <v>214</v>
      </c>
    </row>
    <row r="2" spans="1:49">
      <c r="H2" s="38" t="s">
        <v>125</v>
      </c>
      <c r="P2" s="38" t="s">
        <v>127</v>
      </c>
      <c r="AB2" s="38" t="s">
        <v>96</v>
      </c>
      <c r="AD2" s="193">
        <v>42066</v>
      </c>
    </row>
    <row r="5" spans="1:49" ht="23.25">
      <c r="A5" s="75" t="s">
        <v>63</v>
      </c>
      <c r="H5" s="75"/>
      <c r="I5" s="75" t="s">
        <v>60</v>
      </c>
      <c r="P5" s="75"/>
      <c r="Q5" s="75" t="s">
        <v>64</v>
      </c>
      <c r="R5" s="75"/>
      <c r="S5" s="75"/>
      <c r="T5" s="75"/>
      <c r="U5" s="75"/>
      <c r="V5" s="75"/>
      <c r="X5" s="75" t="s">
        <v>23</v>
      </c>
      <c r="AC5" s="75" t="s">
        <v>86</v>
      </c>
      <c r="AF5" s="75"/>
      <c r="AJ5" s="75" t="s">
        <v>87</v>
      </c>
      <c r="AM5" s="75"/>
      <c r="AR5" s="75" t="s">
        <v>118</v>
      </c>
      <c r="AS5" s="75"/>
      <c r="AT5" s="75"/>
      <c r="AU5" s="75"/>
      <c r="AV5" s="75"/>
      <c r="AW5" s="75"/>
    </row>
    <row r="6" spans="1:49" s="78" customFormat="1">
      <c r="A6" s="78" t="s">
        <v>45</v>
      </c>
      <c r="B6" s="78" t="s">
        <v>46</v>
      </c>
      <c r="C6" s="78" t="s">
        <v>47</v>
      </c>
      <c r="D6" s="78" t="s">
        <v>48</v>
      </c>
      <c r="E6" s="78" t="s">
        <v>49</v>
      </c>
      <c r="F6" s="78" t="s">
        <v>50</v>
      </c>
      <c r="I6" s="78" t="s">
        <v>46</v>
      </c>
      <c r="J6" s="78" t="s">
        <v>45</v>
      </c>
      <c r="K6" s="78" t="s">
        <v>47</v>
      </c>
      <c r="L6" s="78" t="s">
        <v>48</v>
      </c>
      <c r="M6" s="78" t="s">
        <v>49</v>
      </c>
      <c r="N6" s="78" t="s">
        <v>50</v>
      </c>
      <c r="Q6" s="78" t="s">
        <v>46</v>
      </c>
      <c r="R6" s="78" t="s">
        <v>45</v>
      </c>
      <c r="S6" s="78" t="s">
        <v>47</v>
      </c>
      <c r="T6" s="78" t="s">
        <v>48</v>
      </c>
      <c r="U6" s="78" t="s">
        <v>49</v>
      </c>
      <c r="V6" s="78" t="s">
        <v>50</v>
      </c>
      <c r="X6" s="78" t="s">
        <v>46</v>
      </c>
      <c r="Y6" s="78" t="s">
        <v>49</v>
      </c>
      <c r="Z6" s="78" t="s">
        <v>50</v>
      </c>
      <c r="AC6" s="78" t="s">
        <v>46</v>
      </c>
      <c r="AD6" s="78" t="s">
        <v>45</v>
      </c>
      <c r="AE6" s="78" t="s">
        <v>47</v>
      </c>
      <c r="AF6" s="78" t="s">
        <v>48</v>
      </c>
      <c r="AG6" s="78" t="s">
        <v>49</v>
      </c>
      <c r="AH6" s="78" t="s">
        <v>50</v>
      </c>
      <c r="AJ6" s="78" t="s">
        <v>46</v>
      </c>
      <c r="AK6" s="78" t="s">
        <v>45</v>
      </c>
      <c r="AL6" s="78" t="s">
        <v>47</v>
      </c>
      <c r="AM6" s="78" t="s">
        <v>48</v>
      </c>
      <c r="AN6" s="78" t="s">
        <v>49</v>
      </c>
      <c r="AO6" s="78" t="s">
        <v>50</v>
      </c>
      <c r="AR6" s="78" t="s">
        <v>46</v>
      </c>
      <c r="AS6" s="78" t="s">
        <v>45</v>
      </c>
      <c r="AT6" s="78" t="s">
        <v>47</v>
      </c>
      <c r="AU6" s="78" t="s">
        <v>48</v>
      </c>
      <c r="AV6" s="78" t="s">
        <v>49</v>
      </c>
      <c r="AW6" s="78" t="s">
        <v>50</v>
      </c>
    </row>
    <row r="7" spans="1:49" s="78" customFormat="1">
      <c r="A7" s="78" t="s">
        <v>17</v>
      </c>
      <c r="B7" s="78" t="s">
        <v>52</v>
      </c>
      <c r="C7" s="78" t="s">
        <v>72</v>
      </c>
      <c r="D7" s="78" t="s">
        <v>51</v>
      </c>
      <c r="E7" s="79" t="s">
        <v>215</v>
      </c>
      <c r="F7" s="78">
        <v>4.3855708043827342</v>
      </c>
      <c r="I7" s="78" t="s">
        <v>52</v>
      </c>
      <c r="J7" s="78" t="s">
        <v>17</v>
      </c>
      <c r="K7" s="78" t="s">
        <v>72</v>
      </c>
      <c r="L7" s="78" t="s">
        <v>51</v>
      </c>
      <c r="M7" s="78" t="s">
        <v>125</v>
      </c>
      <c r="N7" s="78">
        <v>4.3739421106982554</v>
      </c>
      <c r="Q7" s="78" t="s">
        <v>52</v>
      </c>
      <c r="R7" s="78" t="s">
        <v>17</v>
      </c>
      <c r="S7" s="78" t="s">
        <v>72</v>
      </c>
      <c r="T7" s="78" t="s">
        <v>51</v>
      </c>
      <c r="U7" s="78" t="s">
        <v>127</v>
      </c>
      <c r="V7" s="78">
        <v>4.4406945858636773</v>
      </c>
      <c r="X7" s="78" t="s">
        <v>74</v>
      </c>
      <c r="Y7" s="78" t="s">
        <v>215</v>
      </c>
      <c r="Z7" s="78">
        <v>2.8859588833612699</v>
      </c>
      <c r="AC7" s="78" t="s">
        <v>52</v>
      </c>
      <c r="AD7" s="78" t="s">
        <v>17</v>
      </c>
      <c r="AE7" s="78" t="s">
        <v>72</v>
      </c>
      <c r="AF7" s="78" t="s">
        <v>51</v>
      </c>
      <c r="AG7" s="78" t="s">
        <v>130</v>
      </c>
      <c r="AH7" s="78">
        <v>4.2554972682965033</v>
      </c>
      <c r="AJ7" s="78" t="s">
        <v>52</v>
      </c>
      <c r="AK7" s="78" t="s">
        <v>17</v>
      </c>
      <c r="AL7" s="78" t="s">
        <v>28</v>
      </c>
      <c r="AM7" s="78" t="s">
        <v>51</v>
      </c>
      <c r="AN7" s="78" t="s">
        <v>130</v>
      </c>
      <c r="AO7" s="78">
        <v>1.4212973282672137</v>
      </c>
      <c r="AR7" s="78" t="s">
        <v>52</v>
      </c>
      <c r="AS7" s="78" t="s">
        <v>17</v>
      </c>
      <c r="AT7" s="78" t="s">
        <v>72</v>
      </c>
      <c r="AU7" s="78" t="s">
        <v>51</v>
      </c>
      <c r="AV7" s="78" t="s">
        <v>96</v>
      </c>
      <c r="AW7" s="78">
        <v>4.6333392501361672</v>
      </c>
    </row>
    <row r="8" spans="1:49" s="78" customFormat="1">
      <c r="A8" s="147" t="s">
        <v>17</v>
      </c>
      <c r="B8" s="147" t="s">
        <v>52</v>
      </c>
      <c r="C8" s="147" t="s">
        <v>0</v>
      </c>
      <c r="D8" s="147" t="s">
        <v>51</v>
      </c>
      <c r="E8" s="148" t="s">
        <v>215</v>
      </c>
      <c r="F8" s="147">
        <v>4.298</v>
      </c>
      <c r="I8" s="76" t="s">
        <v>52</v>
      </c>
      <c r="J8" s="76" t="s">
        <v>17</v>
      </c>
      <c r="K8" s="76" t="s">
        <v>0</v>
      </c>
      <c r="L8" s="76" t="s">
        <v>51</v>
      </c>
      <c r="M8" s="76" t="s">
        <v>125</v>
      </c>
      <c r="N8" s="76">
        <v>4.2939999999999996</v>
      </c>
      <c r="Q8" s="78" t="s">
        <v>52</v>
      </c>
      <c r="R8" s="78" t="s">
        <v>17</v>
      </c>
      <c r="S8" s="78" t="s">
        <v>0</v>
      </c>
      <c r="T8" s="78" t="s">
        <v>51</v>
      </c>
      <c r="U8" s="78" t="s">
        <v>127</v>
      </c>
      <c r="V8" s="78">
        <v>4.3170000000000002</v>
      </c>
      <c r="X8" s="78" t="s">
        <v>73</v>
      </c>
      <c r="Y8" s="78" t="s">
        <v>215</v>
      </c>
      <c r="Z8" s="78">
        <v>2.7155340233249601</v>
      </c>
      <c r="AA8" s="115"/>
      <c r="AC8" s="78" t="s">
        <v>52</v>
      </c>
      <c r="AD8" s="78" t="s">
        <v>17</v>
      </c>
      <c r="AE8" s="78" t="s">
        <v>72</v>
      </c>
      <c r="AF8" s="78" t="s">
        <v>51</v>
      </c>
      <c r="AG8" s="78" t="s">
        <v>131</v>
      </c>
      <c r="AH8" s="78">
        <v>4.2780642423920208</v>
      </c>
      <c r="AJ8" s="78" t="s">
        <v>52</v>
      </c>
      <c r="AK8" s="78" t="s">
        <v>17</v>
      </c>
      <c r="AL8" s="78" t="s">
        <v>28</v>
      </c>
      <c r="AM8" s="78" t="s">
        <v>51</v>
      </c>
      <c r="AN8" s="78" t="s">
        <v>131</v>
      </c>
      <c r="AO8" s="78">
        <v>1.4538805196385804</v>
      </c>
      <c r="AR8" s="78" t="s">
        <v>52</v>
      </c>
      <c r="AS8" s="78" t="s">
        <v>17</v>
      </c>
      <c r="AT8" s="78" t="s">
        <v>0</v>
      </c>
      <c r="AU8" s="78" t="s">
        <v>51</v>
      </c>
      <c r="AV8" s="78" t="s">
        <v>96</v>
      </c>
      <c r="AW8" s="78">
        <v>4.4669999999999996</v>
      </c>
    </row>
    <row r="9" spans="1:49" s="78" customFormat="1">
      <c r="A9" s="147" t="s">
        <v>17</v>
      </c>
      <c r="B9" s="147" t="s">
        <v>52</v>
      </c>
      <c r="C9" s="147" t="s">
        <v>7</v>
      </c>
      <c r="D9" s="147" t="s">
        <v>51</v>
      </c>
      <c r="E9" s="148" t="s">
        <v>215</v>
      </c>
      <c r="F9" s="147">
        <v>0.72299999999999998</v>
      </c>
      <c r="I9" s="76" t="s">
        <v>52</v>
      </c>
      <c r="J9" s="76" t="s">
        <v>17</v>
      </c>
      <c r="K9" s="76" t="s">
        <v>7</v>
      </c>
      <c r="L9" s="76" t="s">
        <v>51</v>
      </c>
      <c r="M9" s="76" t="s">
        <v>125</v>
      </c>
      <c r="N9" s="76">
        <v>0.84399999999999997</v>
      </c>
      <c r="Q9" s="78" t="s">
        <v>52</v>
      </c>
      <c r="R9" s="78" t="s">
        <v>17</v>
      </c>
      <c r="S9" s="78" t="s">
        <v>7</v>
      </c>
      <c r="T9" s="78" t="s">
        <v>51</v>
      </c>
      <c r="U9" s="78" t="s">
        <v>127</v>
      </c>
      <c r="V9" s="78">
        <v>1.113</v>
      </c>
      <c r="AC9" s="78" t="s">
        <v>52</v>
      </c>
      <c r="AD9" s="78" t="s">
        <v>17</v>
      </c>
      <c r="AE9" s="78" t="s">
        <v>72</v>
      </c>
      <c r="AF9" s="78" t="s">
        <v>51</v>
      </c>
      <c r="AG9" s="78" t="s">
        <v>132</v>
      </c>
      <c r="AH9" s="78">
        <v>4.2751400125465349</v>
      </c>
      <c r="AJ9" s="78" t="s">
        <v>52</v>
      </c>
      <c r="AK9" s="78" t="s">
        <v>17</v>
      </c>
      <c r="AL9" s="78" t="s">
        <v>28</v>
      </c>
      <c r="AM9" s="78" t="s">
        <v>51</v>
      </c>
      <c r="AN9" s="78" t="s">
        <v>132</v>
      </c>
      <c r="AO9" s="78">
        <v>1.4595784375698646</v>
      </c>
      <c r="AR9" s="78" t="s">
        <v>52</v>
      </c>
      <c r="AS9" s="78" t="s">
        <v>17</v>
      </c>
      <c r="AT9" s="78" t="s">
        <v>7</v>
      </c>
      <c r="AU9" s="78" t="s">
        <v>51</v>
      </c>
      <c r="AV9" s="78" t="s">
        <v>96</v>
      </c>
      <c r="AW9" s="78">
        <v>1.202</v>
      </c>
    </row>
    <row r="10" spans="1:49" s="78" customFormat="1">
      <c r="A10" s="147" t="s">
        <v>17</v>
      </c>
      <c r="B10" s="147" t="s">
        <v>52</v>
      </c>
      <c r="C10" s="147" t="s">
        <v>25</v>
      </c>
      <c r="D10" s="147" t="s">
        <v>51</v>
      </c>
      <c r="E10" s="148" t="s">
        <v>215</v>
      </c>
      <c r="F10" s="147">
        <v>4.125</v>
      </c>
      <c r="I10" s="76" t="s">
        <v>52</v>
      </c>
      <c r="J10" s="76" t="s">
        <v>17</v>
      </c>
      <c r="K10" s="76" t="s">
        <v>25</v>
      </c>
      <c r="L10" s="76" t="s">
        <v>51</v>
      </c>
      <c r="M10" s="76" t="s">
        <v>125</v>
      </c>
      <c r="N10" s="76">
        <v>4.125</v>
      </c>
      <c r="Q10" s="78" t="s">
        <v>52</v>
      </c>
      <c r="R10" s="78" t="s">
        <v>17</v>
      </c>
      <c r="S10" s="78" t="s">
        <v>25</v>
      </c>
      <c r="T10" s="78" t="s">
        <v>51</v>
      </c>
      <c r="U10" s="78" t="s">
        <v>127</v>
      </c>
      <c r="V10" s="78">
        <v>4.125</v>
      </c>
      <c r="AC10" s="78" t="s">
        <v>52</v>
      </c>
      <c r="AD10" s="78" t="s">
        <v>17</v>
      </c>
      <c r="AE10" s="78" t="s">
        <v>72</v>
      </c>
      <c r="AF10" s="78" t="s">
        <v>51</v>
      </c>
      <c r="AG10" s="78" t="s">
        <v>133</v>
      </c>
      <c r="AH10" s="78">
        <v>4.3664099742286595</v>
      </c>
      <c r="AJ10" s="78" t="s">
        <v>52</v>
      </c>
      <c r="AK10" s="78" t="s">
        <v>17</v>
      </c>
      <c r="AL10" s="78" t="s">
        <v>28</v>
      </c>
      <c r="AM10" s="78" t="s">
        <v>51</v>
      </c>
      <c r="AN10" s="78" t="s">
        <v>133</v>
      </c>
      <c r="AO10" s="78">
        <v>1.4360929633267601</v>
      </c>
      <c r="AR10" s="78" t="s">
        <v>52</v>
      </c>
      <c r="AS10" s="78" t="s">
        <v>17</v>
      </c>
      <c r="AT10" s="78" t="s">
        <v>25</v>
      </c>
      <c r="AU10" s="78" t="s">
        <v>51</v>
      </c>
      <c r="AV10" s="78" t="s">
        <v>96</v>
      </c>
      <c r="AW10" s="78">
        <v>4.25</v>
      </c>
    </row>
    <row r="11" spans="1:49" s="78" customFormat="1">
      <c r="A11" s="147" t="s">
        <v>17</v>
      </c>
      <c r="B11" s="147" t="s">
        <v>52</v>
      </c>
      <c r="C11" s="147" t="s">
        <v>28</v>
      </c>
      <c r="D11" s="147" t="s">
        <v>51</v>
      </c>
      <c r="E11" s="148" t="s">
        <v>215</v>
      </c>
      <c r="F11" s="147">
        <v>1.4996119210214647</v>
      </c>
      <c r="I11" s="76" t="s">
        <v>52</v>
      </c>
      <c r="J11" s="76" t="s">
        <v>17</v>
      </c>
      <c r="K11" s="76" t="s">
        <v>28</v>
      </c>
      <c r="L11" s="76" t="s">
        <v>51</v>
      </c>
      <c r="M11" s="76" t="s">
        <v>125</v>
      </c>
      <c r="N11" s="76">
        <v>1.4584339847358858</v>
      </c>
      <c r="Q11" s="78" t="s">
        <v>52</v>
      </c>
      <c r="R11" s="78" t="s">
        <v>17</v>
      </c>
      <c r="S11" s="78" t="s">
        <v>28</v>
      </c>
      <c r="T11" s="78" t="s">
        <v>51</v>
      </c>
      <c r="U11" s="78" t="s">
        <v>127</v>
      </c>
      <c r="V11" s="78">
        <v>1.4638126045131872</v>
      </c>
      <c r="AC11" s="78" t="s">
        <v>52</v>
      </c>
      <c r="AD11" s="78" t="s">
        <v>17</v>
      </c>
      <c r="AE11" s="78" t="s">
        <v>72</v>
      </c>
      <c r="AF11" s="78" t="s">
        <v>51</v>
      </c>
      <c r="AG11" s="78" t="s">
        <v>134</v>
      </c>
      <c r="AH11" s="78">
        <v>4.313965889771076</v>
      </c>
      <c r="AJ11" s="78" t="s">
        <v>52</v>
      </c>
      <c r="AK11" s="78" t="s">
        <v>17</v>
      </c>
      <c r="AL11" s="78" t="s">
        <v>28</v>
      </c>
      <c r="AM11" s="78" t="s">
        <v>51</v>
      </c>
      <c r="AN11" s="78" t="s">
        <v>134</v>
      </c>
      <c r="AO11" s="78">
        <v>1.4117383662411456</v>
      </c>
      <c r="AR11" s="78" t="s">
        <v>52</v>
      </c>
      <c r="AS11" s="78" t="s">
        <v>17</v>
      </c>
      <c r="AT11" s="78" t="s">
        <v>28</v>
      </c>
      <c r="AU11" s="78" t="s">
        <v>51</v>
      </c>
      <c r="AV11" s="78" t="s">
        <v>96</v>
      </c>
      <c r="AW11" s="78">
        <v>1.4705739977736068</v>
      </c>
    </row>
    <row r="12" spans="1:49" s="78" customFormat="1">
      <c r="A12" s="147" t="s">
        <v>18</v>
      </c>
      <c r="B12" s="147" t="s">
        <v>52</v>
      </c>
      <c r="C12" s="147" t="s">
        <v>72</v>
      </c>
      <c r="D12" s="147" t="s">
        <v>51</v>
      </c>
      <c r="E12" s="148" t="s">
        <v>215</v>
      </c>
      <c r="F12" s="147">
        <v>3.968948344733974</v>
      </c>
      <c r="I12" s="76" t="s">
        <v>52</v>
      </c>
      <c r="J12" s="76" t="s">
        <v>18</v>
      </c>
      <c r="K12" s="76" t="s">
        <v>72</v>
      </c>
      <c r="L12" s="76" t="s">
        <v>51</v>
      </c>
      <c r="M12" s="76" t="s">
        <v>125</v>
      </c>
      <c r="N12" s="76">
        <v>3.968948344733974</v>
      </c>
      <c r="Q12" s="78" t="s">
        <v>52</v>
      </c>
      <c r="R12" s="78" t="s">
        <v>18</v>
      </c>
      <c r="S12" s="78" t="s">
        <v>72</v>
      </c>
      <c r="T12" s="78" t="s">
        <v>51</v>
      </c>
      <c r="U12" s="78" t="s">
        <v>127</v>
      </c>
      <c r="V12" s="78">
        <v>4.0610656170015185</v>
      </c>
      <c r="X12" s="92" t="s">
        <v>26</v>
      </c>
      <c r="Y12" s="93" t="s">
        <v>74</v>
      </c>
      <c r="Z12" s="93">
        <f>VLOOKUP(Y12,OneWeekMtgRatesDataTable7[],3,0)/100</f>
        <v>2.8859588833612698E-2</v>
      </c>
      <c r="AA12" s="116"/>
      <c r="AB12" s="91"/>
      <c r="AC12" s="78" t="s">
        <v>52</v>
      </c>
      <c r="AD12" s="78" t="s">
        <v>17</v>
      </c>
      <c r="AE12" s="78" t="s">
        <v>72</v>
      </c>
      <c r="AF12" s="78" t="s">
        <v>51</v>
      </c>
      <c r="AG12" s="78" t="s">
        <v>135</v>
      </c>
      <c r="AH12" s="78">
        <v>4.2809879501510846</v>
      </c>
      <c r="AJ12" s="78" t="s">
        <v>52</v>
      </c>
      <c r="AK12" s="78" t="s">
        <v>17</v>
      </c>
      <c r="AL12" s="78" t="s">
        <v>28</v>
      </c>
      <c r="AM12" s="78" t="s">
        <v>51</v>
      </c>
      <c r="AN12" s="78" t="s">
        <v>135</v>
      </c>
      <c r="AO12" s="78">
        <v>1.434637613344325</v>
      </c>
      <c r="AR12" s="78" t="s">
        <v>52</v>
      </c>
      <c r="AS12" s="78" t="s">
        <v>18</v>
      </c>
      <c r="AT12" s="78" t="s">
        <v>72</v>
      </c>
      <c r="AU12" s="78" t="s">
        <v>51</v>
      </c>
      <c r="AV12" s="78" t="s">
        <v>96</v>
      </c>
      <c r="AW12" s="78">
        <v>4.1863869638007634</v>
      </c>
    </row>
    <row r="13" spans="1:49" s="78" customFormat="1">
      <c r="A13" s="147" t="s">
        <v>18</v>
      </c>
      <c r="B13" s="147" t="s">
        <v>52</v>
      </c>
      <c r="C13" s="147" t="s">
        <v>0</v>
      </c>
      <c r="D13" s="147" t="s">
        <v>51</v>
      </c>
      <c r="E13" s="148" t="s">
        <v>215</v>
      </c>
      <c r="F13" s="147">
        <v>4.0730000000000004</v>
      </c>
      <c r="I13" s="76" t="s">
        <v>52</v>
      </c>
      <c r="J13" s="76" t="s">
        <v>18</v>
      </c>
      <c r="K13" s="76" t="s">
        <v>0</v>
      </c>
      <c r="L13" s="76" t="s">
        <v>51</v>
      </c>
      <c r="M13" s="76" t="s">
        <v>125</v>
      </c>
      <c r="N13" s="76">
        <v>4.0730000000000004</v>
      </c>
      <c r="Q13" s="78" t="s">
        <v>52</v>
      </c>
      <c r="R13" s="78" t="s">
        <v>18</v>
      </c>
      <c r="S13" s="78" t="s">
        <v>0</v>
      </c>
      <c r="T13" s="78" t="s">
        <v>51</v>
      </c>
      <c r="U13" s="78" t="s">
        <v>127</v>
      </c>
      <c r="V13" s="78">
        <v>4.1040000000000001</v>
      </c>
      <c r="X13" s="92" t="s">
        <v>27</v>
      </c>
      <c r="Y13" s="94" t="s">
        <v>73</v>
      </c>
      <c r="Z13" s="93">
        <f>VLOOKUP(Y13,OneWeekMtgRatesDataTable7[],3,0)/100</f>
        <v>2.71553402332496E-2</v>
      </c>
      <c r="AA13" s="116"/>
      <c r="AB13" s="91"/>
      <c r="AC13" s="78" t="s">
        <v>52</v>
      </c>
      <c r="AD13" s="78" t="s">
        <v>17</v>
      </c>
      <c r="AE13" s="78" t="s">
        <v>72</v>
      </c>
      <c r="AF13" s="78" t="s">
        <v>51</v>
      </c>
      <c r="AG13" s="78" t="s">
        <v>136</v>
      </c>
      <c r="AH13" s="78">
        <v>4.2692899861563207</v>
      </c>
      <c r="AJ13" s="78" t="s">
        <v>52</v>
      </c>
      <c r="AK13" s="78" t="s">
        <v>17</v>
      </c>
      <c r="AL13" s="78" t="s">
        <v>28</v>
      </c>
      <c r="AM13" s="78" t="s">
        <v>51</v>
      </c>
      <c r="AN13" s="78" t="s">
        <v>136</v>
      </c>
      <c r="AO13" s="78">
        <v>1.4414546828382009</v>
      </c>
      <c r="AR13" s="78" t="s">
        <v>52</v>
      </c>
      <c r="AS13" s="78" t="s">
        <v>18</v>
      </c>
      <c r="AT13" s="78" t="s">
        <v>0</v>
      </c>
      <c r="AU13" s="78" t="s">
        <v>51</v>
      </c>
      <c r="AV13" s="78" t="s">
        <v>96</v>
      </c>
      <c r="AW13" s="78">
        <v>4.3129999999999997</v>
      </c>
    </row>
    <row r="14" spans="1:49" s="78" customFormat="1">
      <c r="A14" s="147" t="s">
        <v>18</v>
      </c>
      <c r="B14" s="147" t="s">
        <v>52</v>
      </c>
      <c r="C14" s="147" t="s">
        <v>7</v>
      </c>
      <c r="D14" s="147" t="s">
        <v>51</v>
      </c>
      <c r="E14" s="148" t="s">
        <v>215</v>
      </c>
      <c r="F14" s="147">
        <v>0.875</v>
      </c>
      <c r="I14" s="76" t="s">
        <v>52</v>
      </c>
      <c r="J14" s="76" t="s">
        <v>18</v>
      </c>
      <c r="K14" s="76" t="s">
        <v>7</v>
      </c>
      <c r="L14" s="76" t="s">
        <v>51</v>
      </c>
      <c r="M14" s="76" t="s">
        <v>125</v>
      </c>
      <c r="N14" s="76">
        <v>0.875</v>
      </c>
      <c r="Q14" s="78" t="s">
        <v>52</v>
      </c>
      <c r="R14" s="78" t="s">
        <v>18</v>
      </c>
      <c r="S14" s="78" t="s">
        <v>7</v>
      </c>
      <c r="T14" s="78" t="s">
        <v>51</v>
      </c>
      <c r="U14" s="78" t="s">
        <v>127</v>
      </c>
      <c r="V14" s="78">
        <v>1.25</v>
      </c>
      <c r="AC14" s="78" t="s">
        <v>52</v>
      </c>
      <c r="AD14" s="78" t="s">
        <v>17</v>
      </c>
      <c r="AE14" s="78" t="s">
        <v>72</v>
      </c>
      <c r="AF14" s="78" t="s">
        <v>51</v>
      </c>
      <c r="AG14" s="78" t="s">
        <v>137</v>
      </c>
      <c r="AH14" s="78">
        <v>4.1871698000587845</v>
      </c>
      <c r="AJ14" s="78" t="s">
        <v>52</v>
      </c>
      <c r="AK14" s="78" t="s">
        <v>17</v>
      </c>
      <c r="AL14" s="78" t="s">
        <v>28</v>
      </c>
      <c r="AM14" s="78" t="s">
        <v>51</v>
      </c>
      <c r="AN14" s="78" t="s">
        <v>137</v>
      </c>
      <c r="AO14" s="78">
        <v>1.3733506898048042</v>
      </c>
      <c r="AR14" s="78" t="s">
        <v>52</v>
      </c>
      <c r="AS14" s="78" t="s">
        <v>18</v>
      </c>
      <c r="AT14" s="78" t="s">
        <v>7</v>
      </c>
      <c r="AU14" s="78" t="s">
        <v>51</v>
      </c>
      <c r="AV14" s="78" t="s">
        <v>96</v>
      </c>
      <c r="AW14" s="78">
        <v>0.75</v>
      </c>
    </row>
    <row r="15" spans="1:49" s="78" customFormat="1">
      <c r="A15" s="147" t="s">
        <v>18</v>
      </c>
      <c r="B15" s="147" t="s">
        <v>52</v>
      </c>
      <c r="C15" s="147" t="s">
        <v>25</v>
      </c>
      <c r="D15" s="147" t="s">
        <v>51</v>
      </c>
      <c r="E15" s="148" t="s">
        <v>215</v>
      </c>
      <c r="F15" s="147">
        <v>4</v>
      </c>
      <c r="I15" s="76" t="s">
        <v>52</v>
      </c>
      <c r="J15" s="76" t="s">
        <v>18</v>
      </c>
      <c r="K15" s="76" t="s">
        <v>25</v>
      </c>
      <c r="L15" s="76" t="s">
        <v>51</v>
      </c>
      <c r="M15" s="76" t="s">
        <v>125</v>
      </c>
      <c r="N15" s="76">
        <v>4</v>
      </c>
      <c r="Q15" s="78" t="s">
        <v>52</v>
      </c>
      <c r="R15" s="78" t="s">
        <v>18</v>
      </c>
      <c r="S15" s="78" t="s">
        <v>25</v>
      </c>
      <c r="T15" s="78" t="s">
        <v>51</v>
      </c>
      <c r="U15" s="78" t="s">
        <v>127</v>
      </c>
      <c r="V15" s="78">
        <v>4</v>
      </c>
      <c r="AC15" s="78" t="s">
        <v>52</v>
      </c>
      <c r="AD15" s="78" t="s">
        <v>17</v>
      </c>
      <c r="AE15" s="78" t="s">
        <v>72</v>
      </c>
      <c r="AF15" s="78" t="s">
        <v>51</v>
      </c>
      <c r="AG15" s="78" t="s">
        <v>138</v>
      </c>
      <c r="AH15" s="78">
        <v>4.2517273654617371</v>
      </c>
      <c r="AJ15" s="78" t="s">
        <v>52</v>
      </c>
      <c r="AK15" s="78" t="s">
        <v>17</v>
      </c>
      <c r="AL15" s="78" t="s">
        <v>28</v>
      </c>
      <c r="AM15" s="78" t="s">
        <v>51</v>
      </c>
      <c r="AN15" s="78" t="s">
        <v>138</v>
      </c>
      <c r="AO15" s="78">
        <v>1.4202216163192376</v>
      </c>
      <c r="AR15" s="78" t="s">
        <v>52</v>
      </c>
      <c r="AS15" s="78" t="s">
        <v>18</v>
      </c>
      <c r="AT15" s="78" t="s">
        <v>25</v>
      </c>
      <c r="AU15" s="78" t="s">
        <v>51</v>
      </c>
      <c r="AV15" s="78" t="s">
        <v>96</v>
      </c>
      <c r="AW15" s="78">
        <v>4.25</v>
      </c>
    </row>
    <row r="16" spans="1:49" s="78" customFormat="1">
      <c r="A16" s="147" t="s">
        <v>18</v>
      </c>
      <c r="B16" s="147" t="s">
        <v>52</v>
      </c>
      <c r="C16" s="147" t="s">
        <v>28</v>
      </c>
      <c r="D16" s="147" t="s">
        <v>51</v>
      </c>
      <c r="E16" s="148" t="s">
        <v>215</v>
      </c>
      <c r="F16" s="147">
        <v>1.082989461372704</v>
      </c>
      <c r="I16" s="76" t="s">
        <v>52</v>
      </c>
      <c r="J16" s="76" t="s">
        <v>18</v>
      </c>
      <c r="K16" s="76" t="s">
        <v>28</v>
      </c>
      <c r="L16" s="76" t="s">
        <v>51</v>
      </c>
      <c r="M16" s="76" t="s">
        <v>125</v>
      </c>
      <c r="N16" s="76">
        <v>1.0534402187716043</v>
      </c>
      <c r="Q16" s="78" t="s">
        <v>52</v>
      </c>
      <c r="R16" s="78" t="s">
        <v>18</v>
      </c>
      <c r="S16" s="78" t="s">
        <v>28</v>
      </c>
      <c r="T16" s="78" t="s">
        <v>51</v>
      </c>
      <c r="U16" s="78" t="s">
        <v>127</v>
      </c>
      <c r="V16" s="78">
        <v>1.0841836356510286</v>
      </c>
      <c r="AC16" s="78" t="s">
        <v>52</v>
      </c>
      <c r="AD16" s="78" t="s">
        <v>17</v>
      </c>
      <c r="AE16" s="78" t="s">
        <v>72</v>
      </c>
      <c r="AF16" s="78" t="s">
        <v>51</v>
      </c>
      <c r="AG16" s="78" t="s">
        <v>139</v>
      </c>
      <c r="AH16" s="78">
        <v>4.1695190979670524</v>
      </c>
      <c r="AJ16" s="78" t="s">
        <v>52</v>
      </c>
      <c r="AK16" s="78" t="s">
        <v>17</v>
      </c>
      <c r="AL16" s="78" t="s">
        <v>28</v>
      </c>
      <c r="AM16" s="78" t="s">
        <v>51</v>
      </c>
      <c r="AN16" s="78" t="s">
        <v>139</v>
      </c>
      <c r="AO16" s="78">
        <v>1.3453422461391324</v>
      </c>
      <c r="AR16" s="78" t="s">
        <v>52</v>
      </c>
      <c r="AS16" s="78" t="s">
        <v>18</v>
      </c>
      <c r="AT16" s="78" t="s">
        <v>28</v>
      </c>
      <c r="AU16" s="78" t="s">
        <v>51</v>
      </c>
      <c r="AV16" s="78" t="s">
        <v>96</v>
      </c>
      <c r="AW16" s="78">
        <v>1.0236217114382038</v>
      </c>
    </row>
    <row r="17" spans="1:49" s="78" customFormat="1">
      <c r="A17" s="147" t="s">
        <v>19</v>
      </c>
      <c r="B17" s="147" t="s">
        <v>52</v>
      </c>
      <c r="C17" s="147" t="s">
        <v>72</v>
      </c>
      <c r="D17" s="147" t="s">
        <v>51</v>
      </c>
      <c r="E17" s="148" t="s">
        <v>215</v>
      </c>
      <c r="F17" s="147">
        <v>4.455426331689484</v>
      </c>
      <c r="I17" s="76" t="s">
        <v>52</v>
      </c>
      <c r="J17" s="76" t="s">
        <v>19</v>
      </c>
      <c r="K17" s="76" t="s">
        <v>72</v>
      </c>
      <c r="L17" s="76" t="s">
        <v>51</v>
      </c>
      <c r="M17" s="76" t="s">
        <v>125</v>
      </c>
      <c r="N17" s="76">
        <v>4.4987637218053917</v>
      </c>
      <c r="Q17" s="78" t="s">
        <v>52</v>
      </c>
      <c r="R17" s="78" t="s">
        <v>19</v>
      </c>
      <c r="S17" s="78" t="s">
        <v>72</v>
      </c>
      <c r="T17" s="78" t="s">
        <v>51</v>
      </c>
      <c r="U17" s="78" t="s">
        <v>127</v>
      </c>
      <c r="V17" s="78">
        <v>4.5391078806773386</v>
      </c>
      <c r="AC17" s="78" t="s">
        <v>52</v>
      </c>
      <c r="AD17" s="78" t="s">
        <v>17</v>
      </c>
      <c r="AE17" s="78" t="s">
        <v>72</v>
      </c>
      <c r="AF17" s="78" t="s">
        <v>51</v>
      </c>
      <c r="AG17" s="78" t="s">
        <v>140</v>
      </c>
      <c r="AH17" s="78">
        <v>4.1400591551201122</v>
      </c>
      <c r="AJ17" s="78" t="s">
        <v>52</v>
      </c>
      <c r="AK17" s="78" t="s">
        <v>17</v>
      </c>
      <c r="AL17" s="78" t="s">
        <v>28</v>
      </c>
      <c r="AM17" s="78" t="s">
        <v>51</v>
      </c>
      <c r="AN17" s="78" t="s">
        <v>140</v>
      </c>
      <c r="AO17" s="78">
        <v>1.3442181458154518</v>
      </c>
      <c r="AR17" s="78" t="s">
        <v>52</v>
      </c>
      <c r="AS17" s="78" t="s">
        <v>19</v>
      </c>
      <c r="AT17" s="78" t="s">
        <v>72</v>
      </c>
      <c r="AU17" s="78" t="s">
        <v>51</v>
      </c>
      <c r="AV17" s="78" t="s">
        <v>96</v>
      </c>
      <c r="AW17" s="78">
        <v>4.58487342616412</v>
      </c>
    </row>
    <row r="18" spans="1:49" s="78" customFormat="1">
      <c r="A18" s="147" t="s">
        <v>19</v>
      </c>
      <c r="B18" s="147" t="s">
        <v>52</v>
      </c>
      <c r="C18" s="147" t="s">
        <v>0</v>
      </c>
      <c r="D18" s="147" t="s">
        <v>51</v>
      </c>
      <c r="E18" s="148" t="s">
        <v>215</v>
      </c>
      <c r="F18" s="147">
        <v>4.2320000000000002</v>
      </c>
      <c r="I18" s="76" t="s">
        <v>52</v>
      </c>
      <c r="J18" s="76" t="s">
        <v>19</v>
      </c>
      <c r="K18" s="76" t="s">
        <v>0</v>
      </c>
      <c r="L18" s="76" t="s">
        <v>51</v>
      </c>
      <c r="M18" s="76" t="s">
        <v>125</v>
      </c>
      <c r="N18" s="76">
        <v>4.2469999999999999</v>
      </c>
      <c r="Q18" s="78" t="s">
        <v>52</v>
      </c>
      <c r="R18" s="78" t="s">
        <v>19</v>
      </c>
      <c r="S18" s="78" t="s">
        <v>0</v>
      </c>
      <c r="T18" s="78" t="s">
        <v>51</v>
      </c>
      <c r="U18" s="78" t="s">
        <v>127</v>
      </c>
      <c r="V18" s="78">
        <v>4.2610000000000001</v>
      </c>
      <c r="AC18" s="78" t="s">
        <v>52</v>
      </c>
      <c r="AD18" s="78" t="s">
        <v>17</v>
      </c>
      <c r="AE18" s="78" t="s">
        <v>72</v>
      </c>
      <c r="AF18" s="78" t="s">
        <v>51</v>
      </c>
      <c r="AG18" s="78" t="s">
        <v>141</v>
      </c>
      <c r="AH18" s="78">
        <v>4.1164532413786334</v>
      </c>
      <c r="AJ18" s="78" t="s">
        <v>52</v>
      </c>
      <c r="AK18" s="78" t="s">
        <v>17</v>
      </c>
      <c r="AL18" s="78" t="s">
        <v>28</v>
      </c>
      <c r="AM18" s="78" t="s">
        <v>51</v>
      </c>
      <c r="AN18" s="78" t="s">
        <v>141</v>
      </c>
      <c r="AO18" s="78">
        <v>1.4236043382832138</v>
      </c>
      <c r="AR18" s="78" t="s">
        <v>52</v>
      </c>
      <c r="AS18" s="78" t="s">
        <v>19</v>
      </c>
      <c r="AT18" s="78" t="s">
        <v>0</v>
      </c>
      <c r="AU18" s="78" t="s">
        <v>51</v>
      </c>
      <c r="AV18" s="78" t="s">
        <v>96</v>
      </c>
      <c r="AW18" s="78">
        <v>4.367</v>
      </c>
    </row>
    <row r="19" spans="1:49" s="78" customFormat="1">
      <c r="A19" s="147" t="s">
        <v>19</v>
      </c>
      <c r="B19" s="147" t="s">
        <v>52</v>
      </c>
      <c r="C19" s="147" t="s">
        <v>7</v>
      </c>
      <c r="D19" s="147" t="s">
        <v>51</v>
      </c>
      <c r="E19" s="148" t="s">
        <v>215</v>
      </c>
      <c r="F19" s="147">
        <v>1.875</v>
      </c>
      <c r="I19" s="76" t="s">
        <v>52</v>
      </c>
      <c r="J19" s="76" t="s">
        <v>19</v>
      </c>
      <c r="K19" s="76" t="s">
        <v>7</v>
      </c>
      <c r="L19" s="76" t="s">
        <v>51</v>
      </c>
      <c r="M19" s="76" t="s">
        <v>125</v>
      </c>
      <c r="N19" s="76">
        <v>2</v>
      </c>
      <c r="Q19" s="78" t="s">
        <v>52</v>
      </c>
      <c r="R19" s="78" t="s">
        <v>19</v>
      </c>
      <c r="S19" s="78" t="s">
        <v>7</v>
      </c>
      <c r="T19" s="78" t="s">
        <v>51</v>
      </c>
      <c r="U19" s="78" t="s">
        <v>127</v>
      </c>
      <c r="V19" s="78">
        <v>2.125</v>
      </c>
      <c r="AC19" s="78" t="s">
        <v>52</v>
      </c>
      <c r="AD19" s="78" t="s">
        <v>17</v>
      </c>
      <c r="AE19" s="78" t="s">
        <v>72</v>
      </c>
      <c r="AF19" s="78" t="s">
        <v>51</v>
      </c>
      <c r="AG19" s="78" t="s">
        <v>142</v>
      </c>
      <c r="AH19" s="78">
        <v>4.066228818482883</v>
      </c>
      <c r="AJ19" s="78" t="s">
        <v>52</v>
      </c>
      <c r="AK19" s="78" t="s">
        <v>17</v>
      </c>
      <c r="AL19" s="78" t="s">
        <v>28</v>
      </c>
      <c r="AM19" s="78" t="s">
        <v>51</v>
      </c>
      <c r="AN19" s="78" t="s">
        <v>142</v>
      </c>
      <c r="AO19" s="78">
        <v>1.3566722547216032</v>
      </c>
      <c r="AR19" s="78" t="s">
        <v>52</v>
      </c>
      <c r="AS19" s="78" t="s">
        <v>19</v>
      </c>
      <c r="AT19" s="78" t="s">
        <v>7</v>
      </c>
      <c r="AU19" s="78" t="s">
        <v>51</v>
      </c>
      <c r="AV19" s="78" t="s">
        <v>96</v>
      </c>
      <c r="AW19" s="78">
        <v>2</v>
      </c>
    </row>
    <row r="20" spans="1:49" s="78" customFormat="1">
      <c r="A20" s="147" t="s">
        <v>19</v>
      </c>
      <c r="B20" s="147" t="s">
        <v>52</v>
      </c>
      <c r="C20" s="147" t="s">
        <v>25</v>
      </c>
      <c r="D20" s="147" t="s">
        <v>51</v>
      </c>
      <c r="E20" s="148" t="s">
        <v>215</v>
      </c>
      <c r="F20" s="147">
        <v>3.99</v>
      </c>
      <c r="I20" s="76" t="s">
        <v>52</v>
      </c>
      <c r="J20" s="76" t="s">
        <v>19</v>
      </c>
      <c r="K20" s="76" t="s">
        <v>25</v>
      </c>
      <c r="L20" s="76" t="s">
        <v>51</v>
      </c>
      <c r="M20" s="76" t="s">
        <v>125</v>
      </c>
      <c r="N20" s="76">
        <v>3.99</v>
      </c>
      <c r="Q20" s="78" t="s">
        <v>52</v>
      </c>
      <c r="R20" s="78" t="s">
        <v>19</v>
      </c>
      <c r="S20" s="78" t="s">
        <v>25</v>
      </c>
      <c r="T20" s="78" t="s">
        <v>51</v>
      </c>
      <c r="U20" s="78" t="s">
        <v>127</v>
      </c>
      <c r="V20" s="78">
        <v>3.99</v>
      </c>
      <c r="AC20" s="78" t="s">
        <v>52</v>
      </c>
      <c r="AD20" s="78" t="s">
        <v>17</v>
      </c>
      <c r="AE20" s="78" t="s">
        <v>72</v>
      </c>
      <c r="AF20" s="78" t="s">
        <v>51</v>
      </c>
      <c r="AG20" s="78" t="s">
        <v>143</v>
      </c>
      <c r="AH20" s="78">
        <v>4.0425219308185625</v>
      </c>
      <c r="AJ20" s="78" t="s">
        <v>52</v>
      </c>
      <c r="AK20" s="78" t="s">
        <v>17</v>
      </c>
      <c r="AL20" s="78" t="s">
        <v>28</v>
      </c>
      <c r="AM20" s="78" t="s">
        <v>51</v>
      </c>
      <c r="AN20" s="78" t="s">
        <v>143</v>
      </c>
      <c r="AO20" s="78">
        <v>1.3707489922748624</v>
      </c>
      <c r="AR20" s="78" t="s">
        <v>52</v>
      </c>
      <c r="AS20" s="78" t="s">
        <v>19</v>
      </c>
      <c r="AT20" s="78" t="s">
        <v>25</v>
      </c>
      <c r="AU20" s="78" t="s">
        <v>51</v>
      </c>
      <c r="AV20" s="78" t="s">
        <v>96</v>
      </c>
      <c r="AW20" s="78">
        <v>4.125</v>
      </c>
    </row>
    <row r="21" spans="1:49" s="78" customFormat="1">
      <c r="A21" s="147" t="s">
        <v>19</v>
      </c>
      <c r="B21" s="147" t="s">
        <v>52</v>
      </c>
      <c r="C21" s="147" t="s">
        <v>28</v>
      </c>
      <c r="D21" s="147" t="s">
        <v>51</v>
      </c>
      <c r="E21" s="148" t="s">
        <v>215</v>
      </c>
      <c r="F21" s="147">
        <v>1.5694674483282143</v>
      </c>
      <c r="I21" s="76" t="s">
        <v>52</v>
      </c>
      <c r="J21" s="76" t="s">
        <v>19</v>
      </c>
      <c r="K21" s="76" t="s">
        <v>28</v>
      </c>
      <c r="L21" s="76" t="s">
        <v>51</v>
      </c>
      <c r="M21" s="76" t="s">
        <v>125</v>
      </c>
      <c r="N21" s="76">
        <v>1.5832555958430223</v>
      </c>
      <c r="Q21" s="78" t="s">
        <v>52</v>
      </c>
      <c r="R21" s="78" t="s">
        <v>19</v>
      </c>
      <c r="S21" s="78" t="s">
        <v>28</v>
      </c>
      <c r="T21" s="78" t="s">
        <v>51</v>
      </c>
      <c r="U21" s="78" t="s">
        <v>127</v>
      </c>
      <c r="V21" s="78">
        <v>1.5622258993268487</v>
      </c>
      <c r="AC21" s="78" t="s">
        <v>52</v>
      </c>
      <c r="AD21" s="78" t="s">
        <v>17</v>
      </c>
      <c r="AE21" s="78" t="s">
        <v>72</v>
      </c>
      <c r="AF21" s="78" t="s">
        <v>51</v>
      </c>
      <c r="AG21" s="78" t="s">
        <v>144</v>
      </c>
      <c r="AH21" s="78">
        <v>4.0009528680553874</v>
      </c>
      <c r="AJ21" s="78" t="s">
        <v>52</v>
      </c>
      <c r="AK21" s="78" t="s">
        <v>17</v>
      </c>
      <c r="AL21" s="78" t="s">
        <v>28</v>
      </c>
      <c r="AM21" s="78" t="s">
        <v>51</v>
      </c>
      <c r="AN21" s="78" t="s">
        <v>144</v>
      </c>
      <c r="AO21" s="78">
        <v>1.3434433900637273</v>
      </c>
      <c r="AR21" s="78" t="s">
        <v>52</v>
      </c>
      <c r="AS21" s="78" t="s">
        <v>19</v>
      </c>
      <c r="AT21" s="78" t="s">
        <v>28</v>
      </c>
      <c r="AU21" s="78" t="s">
        <v>51</v>
      </c>
      <c r="AV21" s="78" t="s">
        <v>96</v>
      </c>
      <c r="AW21" s="78">
        <v>1.4221081738015604</v>
      </c>
    </row>
    <row r="22" spans="1:49" s="78" customFormat="1">
      <c r="A22" s="147" t="s">
        <v>20</v>
      </c>
      <c r="B22" s="147" t="s">
        <v>52</v>
      </c>
      <c r="C22" s="147" t="s">
        <v>72</v>
      </c>
      <c r="D22" s="147" t="s">
        <v>51</v>
      </c>
      <c r="E22" s="148" t="s">
        <v>215</v>
      </c>
      <c r="F22" s="147">
        <v>4.2875744659487021</v>
      </c>
      <c r="I22" s="76" t="s">
        <v>52</v>
      </c>
      <c r="J22" s="76" t="s">
        <v>20</v>
      </c>
      <c r="K22" s="76" t="s">
        <v>72</v>
      </c>
      <c r="L22" s="76" t="s">
        <v>51</v>
      </c>
      <c r="M22" s="76" t="s">
        <v>125</v>
      </c>
      <c r="N22" s="76">
        <v>4.3188244659487021</v>
      </c>
      <c r="Q22" s="78" t="s">
        <v>52</v>
      </c>
      <c r="R22" s="78" t="s">
        <v>20</v>
      </c>
      <c r="S22" s="78" t="s">
        <v>72</v>
      </c>
      <c r="T22" s="78" t="s">
        <v>51</v>
      </c>
      <c r="U22" s="78" t="s">
        <v>127</v>
      </c>
      <c r="V22" s="78">
        <v>4.4286731677951829</v>
      </c>
      <c r="AC22" s="78" t="s">
        <v>52</v>
      </c>
      <c r="AD22" s="78" t="s">
        <v>17</v>
      </c>
      <c r="AE22" s="78" t="s">
        <v>72</v>
      </c>
      <c r="AF22" s="78" t="s">
        <v>51</v>
      </c>
      <c r="AG22" s="78" t="s">
        <v>145</v>
      </c>
      <c r="AH22" s="78">
        <v>3.977152156157012</v>
      </c>
      <c r="AJ22" s="78" t="s">
        <v>52</v>
      </c>
      <c r="AK22" s="78" t="s">
        <v>17</v>
      </c>
      <c r="AL22" s="78" t="s">
        <v>28</v>
      </c>
      <c r="AM22" s="78" t="s">
        <v>51</v>
      </c>
      <c r="AN22" s="78" t="s">
        <v>145</v>
      </c>
      <c r="AO22" s="78">
        <v>1.367305440610632</v>
      </c>
      <c r="AR22" s="78" t="s">
        <v>52</v>
      </c>
      <c r="AS22" s="78" t="s">
        <v>20</v>
      </c>
      <c r="AT22" s="78" t="s">
        <v>72</v>
      </c>
      <c r="AU22" s="78" t="s">
        <v>51</v>
      </c>
      <c r="AV22" s="78" t="s">
        <v>96</v>
      </c>
      <c r="AW22" s="78">
        <v>4.6782163696898609</v>
      </c>
    </row>
    <row r="23" spans="1:49" s="78" customFormat="1">
      <c r="A23" s="147" t="s">
        <v>20</v>
      </c>
      <c r="B23" s="147" t="s">
        <v>52</v>
      </c>
      <c r="C23" s="147" t="s">
        <v>0</v>
      </c>
      <c r="D23" s="147" t="s">
        <v>51</v>
      </c>
      <c r="E23" s="148" t="s">
        <v>215</v>
      </c>
      <c r="F23" s="147">
        <v>4.2720000000000002</v>
      </c>
      <c r="I23" s="76" t="s">
        <v>52</v>
      </c>
      <c r="J23" s="76" t="s">
        <v>20</v>
      </c>
      <c r="K23" s="76" t="s">
        <v>0</v>
      </c>
      <c r="L23" s="76" t="s">
        <v>51</v>
      </c>
      <c r="M23" s="76" t="s">
        <v>125</v>
      </c>
      <c r="N23" s="76">
        <v>4.2720000000000002</v>
      </c>
      <c r="Q23" s="78" t="s">
        <v>52</v>
      </c>
      <c r="R23" s="78" t="s">
        <v>20</v>
      </c>
      <c r="S23" s="78" t="s">
        <v>0</v>
      </c>
      <c r="T23" s="78" t="s">
        <v>51</v>
      </c>
      <c r="U23" s="78" t="s">
        <v>127</v>
      </c>
      <c r="V23" s="78">
        <v>4.2880000000000003</v>
      </c>
      <c r="AC23" s="78" t="s">
        <v>52</v>
      </c>
      <c r="AD23" s="78" t="s">
        <v>17</v>
      </c>
      <c r="AE23" s="78" t="s">
        <v>72</v>
      </c>
      <c r="AF23" s="78" t="s">
        <v>51</v>
      </c>
      <c r="AG23" s="78" t="s">
        <v>146</v>
      </c>
      <c r="AH23" s="78">
        <v>3.9920316083167364</v>
      </c>
      <c r="AJ23" s="78" t="s">
        <v>52</v>
      </c>
      <c r="AK23" s="78" t="s">
        <v>17</v>
      </c>
      <c r="AL23" s="78" t="s">
        <v>28</v>
      </c>
      <c r="AM23" s="78" t="s">
        <v>51</v>
      </c>
      <c r="AN23" s="78" t="s">
        <v>146</v>
      </c>
      <c r="AO23" s="78">
        <v>1.327862212271417</v>
      </c>
      <c r="AR23" s="78" t="s">
        <v>52</v>
      </c>
      <c r="AS23" s="78" t="s">
        <v>20</v>
      </c>
      <c r="AT23" s="78" t="s">
        <v>0</v>
      </c>
      <c r="AU23" s="78" t="s">
        <v>51</v>
      </c>
      <c r="AV23" s="78" t="s">
        <v>96</v>
      </c>
      <c r="AW23" s="78">
        <v>4.4340000000000002</v>
      </c>
    </row>
    <row r="24" spans="1:49" s="78" customFormat="1">
      <c r="A24" s="147" t="s">
        <v>20</v>
      </c>
      <c r="B24" s="147" t="s">
        <v>52</v>
      </c>
      <c r="C24" s="147" t="s">
        <v>40</v>
      </c>
      <c r="D24" s="147" t="s">
        <v>51</v>
      </c>
      <c r="E24" s="148" t="s">
        <v>215</v>
      </c>
      <c r="F24" s="147">
        <v>1778</v>
      </c>
      <c r="I24" s="76" t="s">
        <v>52</v>
      </c>
      <c r="J24" s="76" t="s">
        <v>20</v>
      </c>
      <c r="K24" s="76" t="s">
        <v>40</v>
      </c>
      <c r="L24" s="76" t="s">
        <v>51</v>
      </c>
      <c r="M24" s="76" t="s">
        <v>125</v>
      </c>
      <c r="N24" s="76">
        <v>2028</v>
      </c>
      <c r="Q24" s="78" t="s">
        <v>52</v>
      </c>
      <c r="R24" s="78" t="s">
        <v>20</v>
      </c>
      <c r="S24" s="78" t="s">
        <v>40</v>
      </c>
      <c r="T24" s="78" t="s">
        <v>51</v>
      </c>
      <c r="U24" s="78" t="s">
        <v>127</v>
      </c>
      <c r="V24" s="78">
        <v>2528</v>
      </c>
      <c r="AC24" s="78" t="s">
        <v>52</v>
      </c>
      <c r="AD24" s="78" t="s">
        <v>17</v>
      </c>
      <c r="AE24" s="78" t="s">
        <v>72</v>
      </c>
      <c r="AF24" s="78" t="s">
        <v>51</v>
      </c>
      <c r="AG24" s="78" t="s">
        <v>147</v>
      </c>
      <c r="AH24" s="78">
        <v>4.1489026694458522</v>
      </c>
      <c r="AJ24" s="78" t="s">
        <v>52</v>
      </c>
      <c r="AK24" s="78" t="s">
        <v>17</v>
      </c>
      <c r="AL24" s="78" t="s">
        <v>28</v>
      </c>
      <c r="AM24" s="78" t="s">
        <v>51</v>
      </c>
      <c r="AN24" s="78" t="s">
        <v>147</v>
      </c>
      <c r="AO24" s="78">
        <v>1.3969036091673523</v>
      </c>
      <c r="AR24" s="78" t="s">
        <v>52</v>
      </c>
      <c r="AS24" s="78" t="s">
        <v>20</v>
      </c>
      <c r="AT24" s="78" t="s">
        <v>40</v>
      </c>
      <c r="AU24" s="78" t="s">
        <v>51</v>
      </c>
      <c r="AV24" s="78" t="s">
        <v>96</v>
      </c>
      <c r="AW24" s="78">
        <v>3039</v>
      </c>
    </row>
    <row r="25" spans="1:49" s="78" customFormat="1">
      <c r="A25" s="147" t="s">
        <v>20</v>
      </c>
      <c r="B25" s="147" t="s">
        <v>52</v>
      </c>
      <c r="C25" s="147" t="s">
        <v>1</v>
      </c>
      <c r="D25" s="147" t="s">
        <v>51</v>
      </c>
      <c r="E25" s="148" t="s">
        <v>215</v>
      </c>
      <c r="F25" s="147">
        <v>200000</v>
      </c>
      <c r="I25" s="76" t="s">
        <v>52</v>
      </c>
      <c r="J25" s="76" t="s">
        <v>20</v>
      </c>
      <c r="K25" s="76" t="s">
        <v>1</v>
      </c>
      <c r="L25" s="76" t="s">
        <v>51</v>
      </c>
      <c r="M25" s="76" t="s">
        <v>125</v>
      </c>
      <c r="N25" s="76">
        <v>200000</v>
      </c>
      <c r="Q25" s="78" t="s">
        <v>52</v>
      </c>
      <c r="R25" s="78" t="s">
        <v>20</v>
      </c>
      <c r="S25" s="78" t="s">
        <v>1</v>
      </c>
      <c r="T25" s="78" t="s">
        <v>51</v>
      </c>
      <c r="U25" s="78" t="s">
        <v>127</v>
      </c>
      <c r="V25" s="78">
        <v>200000</v>
      </c>
      <c r="AC25" s="78" t="s">
        <v>52</v>
      </c>
      <c r="AD25" s="78" t="s">
        <v>17</v>
      </c>
      <c r="AE25" s="78" t="s">
        <v>72</v>
      </c>
      <c r="AF25" s="78" t="s">
        <v>51</v>
      </c>
      <c r="AG25" s="78" t="s">
        <v>148</v>
      </c>
      <c r="AH25" s="78">
        <v>4.1223578866648536</v>
      </c>
      <c r="AJ25" s="78" t="s">
        <v>52</v>
      </c>
      <c r="AK25" s="78" t="s">
        <v>17</v>
      </c>
      <c r="AL25" s="78" t="s">
        <v>28</v>
      </c>
      <c r="AM25" s="78" t="s">
        <v>51</v>
      </c>
      <c r="AN25" s="78" t="s">
        <v>148</v>
      </c>
      <c r="AO25" s="78">
        <v>1.4288746403651937</v>
      </c>
      <c r="AR25" s="78" t="s">
        <v>52</v>
      </c>
      <c r="AS25" s="78" t="s">
        <v>20</v>
      </c>
      <c r="AT25" s="78" t="s">
        <v>1</v>
      </c>
      <c r="AU25" s="78" t="s">
        <v>51</v>
      </c>
      <c r="AV25" s="78" t="s">
        <v>96</v>
      </c>
      <c r="AW25" s="78">
        <v>200000</v>
      </c>
    </row>
    <row r="26" spans="1:49" s="78" customFormat="1">
      <c r="A26" s="147" t="s">
        <v>20</v>
      </c>
      <c r="B26" s="147" t="s">
        <v>52</v>
      </c>
      <c r="C26" s="147" t="s">
        <v>7</v>
      </c>
      <c r="D26" s="147" t="s">
        <v>51</v>
      </c>
      <c r="E26" s="148" t="s">
        <v>215</v>
      </c>
      <c r="F26" s="147">
        <v>1</v>
      </c>
      <c r="I26" s="76" t="s">
        <v>52</v>
      </c>
      <c r="J26" s="76" t="s">
        <v>20</v>
      </c>
      <c r="K26" s="76" t="s">
        <v>7</v>
      </c>
      <c r="L26" s="76" t="s">
        <v>51</v>
      </c>
      <c r="M26" s="76" t="s">
        <v>125</v>
      </c>
      <c r="N26" s="76">
        <v>1</v>
      </c>
      <c r="Q26" s="78" t="s">
        <v>52</v>
      </c>
      <c r="R26" s="78" t="s">
        <v>20</v>
      </c>
      <c r="S26" s="78" t="s">
        <v>7</v>
      </c>
      <c r="T26" s="78" t="s">
        <v>51</v>
      </c>
      <c r="U26" s="78" t="s">
        <v>127</v>
      </c>
      <c r="V26" s="78">
        <v>1</v>
      </c>
      <c r="AC26" s="78" t="s">
        <v>52</v>
      </c>
      <c r="AD26" s="78" t="s">
        <v>17</v>
      </c>
      <c r="AE26" s="78" t="s">
        <v>72</v>
      </c>
      <c r="AF26" s="78" t="s">
        <v>51</v>
      </c>
      <c r="AG26" s="78" t="s">
        <v>149</v>
      </c>
      <c r="AH26" s="78">
        <v>4.0987266256305297</v>
      </c>
      <c r="AJ26" s="78" t="s">
        <v>52</v>
      </c>
      <c r="AK26" s="78" t="s">
        <v>17</v>
      </c>
      <c r="AL26" s="78" t="s">
        <v>28</v>
      </c>
      <c r="AM26" s="78" t="s">
        <v>51</v>
      </c>
      <c r="AN26" s="78" t="s">
        <v>149</v>
      </c>
      <c r="AO26" s="78">
        <v>1.4081051951872599</v>
      </c>
      <c r="AR26" s="78" t="s">
        <v>52</v>
      </c>
      <c r="AS26" s="78" t="s">
        <v>20</v>
      </c>
      <c r="AT26" s="78" t="s">
        <v>7</v>
      </c>
      <c r="AU26" s="78" t="s">
        <v>51</v>
      </c>
      <c r="AV26" s="78" t="s">
        <v>96</v>
      </c>
      <c r="AW26" s="78">
        <v>1</v>
      </c>
    </row>
    <row r="27" spans="1:49" s="78" customFormat="1">
      <c r="A27" s="147" t="s">
        <v>20</v>
      </c>
      <c r="B27" s="147" t="s">
        <v>52</v>
      </c>
      <c r="C27" s="147" t="s">
        <v>25</v>
      </c>
      <c r="D27" s="147" t="s">
        <v>51</v>
      </c>
      <c r="E27" s="148" t="s">
        <v>215</v>
      </c>
      <c r="F27" s="147">
        <v>4.25</v>
      </c>
      <c r="I27" s="76" t="s">
        <v>52</v>
      </c>
      <c r="J27" s="76" t="s">
        <v>20</v>
      </c>
      <c r="K27" s="76" t="s">
        <v>25</v>
      </c>
      <c r="L27" s="76" t="s">
        <v>51</v>
      </c>
      <c r="M27" s="76" t="s">
        <v>125</v>
      </c>
      <c r="N27" s="76">
        <v>4.25</v>
      </c>
      <c r="Q27" s="78" t="s">
        <v>52</v>
      </c>
      <c r="R27" s="78" t="s">
        <v>20</v>
      </c>
      <c r="S27" s="78" t="s">
        <v>25</v>
      </c>
      <c r="T27" s="78" t="s">
        <v>51</v>
      </c>
      <c r="U27" s="78" t="s">
        <v>127</v>
      </c>
      <c r="V27" s="78">
        <v>4.25</v>
      </c>
      <c r="AC27" s="78" t="s">
        <v>52</v>
      </c>
      <c r="AD27" s="78" t="s">
        <v>17</v>
      </c>
      <c r="AE27" s="78" t="s">
        <v>72</v>
      </c>
      <c r="AF27" s="78" t="s">
        <v>51</v>
      </c>
      <c r="AG27" s="78" t="s">
        <v>150</v>
      </c>
      <c r="AH27" s="78">
        <v>4.2106746450138894</v>
      </c>
      <c r="AJ27" s="78" t="s">
        <v>52</v>
      </c>
      <c r="AK27" s="78" t="s">
        <v>17</v>
      </c>
      <c r="AL27" s="78" t="s">
        <v>28</v>
      </c>
      <c r="AM27" s="78" t="s">
        <v>51</v>
      </c>
      <c r="AN27" s="78" t="s">
        <v>150</v>
      </c>
      <c r="AO27" s="78">
        <v>1.5496394837349492</v>
      </c>
      <c r="AR27" s="78" t="s">
        <v>52</v>
      </c>
      <c r="AS27" s="78" t="s">
        <v>20</v>
      </c>
      <c r="AT27" s="78" t="s">
        <v>25</v>
      </c>
      <c r="AU27" s="78" t="s">
        <v>51</v>
      </c>
      <c r="AV27" s="78" t="s">
        <v>96</v>
      </c>
      <c r="AW27" s="78">
        <v>4.375</v>
      </c>
    </row>
    <row r="28" spans="1:49" s="78" customFormat="1">
      <c r="A28" s="147" t="s">
        <v>20</v>
      </c>
      <c r="B28" s="147" t="s">
        <v>52</v>
      </c>
      <c r="C28" s="147" t="s">
        <v>28</v>
      </c>
      <c r="D28" s="147" t="s">
        <v>51</v>
      </c>
      <c r="E28" s="148" t="s">
        <v>215</v>
      </c>
      <c r="F28" s="147">
        <v>1.4016155825874324</v>
      </c>
      <c r="I28" s="76" t="s">
        <v>52</v>
      </c>
      <c r="J28" s="76" t="s">
        <v>20</v>
      </c>
      <c r="K28" s="76" t="s">
        <v>28</v>
      </c>
      <c r="L28" s="76" t="s">
        <v>51</v>
      </c>
      <c r="M28" s="76" t="s">
        <v>125</v>
      </c>
      <c r="N28" s="76">
        <v>1.4033163399863324</v>
      </c>
      <c r="Q28" s="78" t="s">
        <v>52</v>
      </c>
      <c r="R28" s="78" t="s">
        <v>20</v>
      </c>
      <c r="S28" s="78" t="s">
        <v>28</v>
      </c>
      <c r="T28" s="78" t="s">
        <v>51</v>
      </c>
      <c r="U28" s="78" t="s">
        <v>127</v>
      </c>
      <c r="V28" s="78">
        <v>1.4517911864446933</v>
      </c>
      <c r="AC28" s="78" t="s">
        <v>52</v>
      </c>
      <c r="AD28" s="78" t="s">
        <v>17</v>
      </c>
      <c r="AE28" s="78" t="s">
        <v>72</v>
      </c>
      <c r="AF28" s="78" t="s">
        <v>51</v>
      </c>
      <c r="AG28" s="78" t="s">
        <v>151</v>
      </c>
      <c r="AH28" s="78">
        <v>4.1871698000587845</v>
      </c>
      <c r="AJ28" s="78" t="s">
        <v>52</v>
      </c>
      <c r="AK28" s="78" t="s">
        <v>17</v>
      </c>
      <c r="AL28" s="78" t="s">
        <v>28</v>
      </c>
      <c r="AM28" s="78" t="s">
        <v>51</v>
      </c>
      <c r="AN28" s="78" t="s">
        <v>151</v>
      </c>
      <c r="AO28" s="78">
        <v>1.5879040246684941</v>
      </c>
      <c r="AR28" s="78" t="s">
        <v>52</v>
      </c>
      <c r="AS28" s="78" t="s">
        <v>20</v>
      </c>
      <c r="AT28" s="78" t="s">
        <v>28</v>
      </c>
      <c r="AU28" s="78" t="s">
        <v>51</v>
      </c>
      <c r="AV28" s="78" t="s">
        <v>96</v>
      </c>
      <c r="AW28" s="78">
        <v>1.5154511173273009</v>
      </c>
    </row>
    <row r="29" spans="1:49" s="78" customFormat="1">
      <c r="A29" s="147" t="s">
        <v>19</v>
      </c>
      <c r="B29" s="147" t="s">
        <v>53</v>
      </c>
      <c r="C29" s="147" t="s">
        <v>0</v>
      </c>
      <c r="D29" s="147" t="s">
        <v>51</v>
      </c>
      <c r="E29" s="148" t="s">
        <v>215</v>
      </c>
      <c r="F29" s="147">
        <v>4.4000000000000004</v>
      </c>
      <c r="I29" s="76" t="s">
        <v>53</v>
      </c>
      <c r="J29" s="76" t="s">
        <v>19</v>
      </c>
      <c r="K29" s="76" t="s">
        <v>0</v>
      </c>
      <c r="L29" s="76" t="s">
        <v>51</v>
      </c>
      <c r="M29" s="76" t="s">
        <v>125</v>
      </c>
      <c r="N29" s="76">
        <v>4.4950000000000001</v>
      </c>
      <c r="Q29" s="78" t="s">
        <v>53</v>
      </c>
      <c r="R29" s="78" t="s">
        <v>19</v>
      </c>
      <c r="S29" s="78" t="s">
        <v>0</v>
      </c>
      <c r="T29" s="78" t="s">
        <v>51</v>
      </c>
      <c r="U29" s="78" t="s">
        <v>127</v>
      </c>
      <c r="V29" s="78">
        <v>4.5179999999999998</v>
      </c>
      <c r="AC29" s="78" t="s">
        <v>52</v>
      </c>
      <c r="AD29" s="78" t="s">
        <v>17</v>
      </c>
      <c r="AE29" s="78" t="s">
        <v>72</v>
      </c>
      <c r="AF29" s="78" t="s">
        <v>51</v>
      </c>
      <c r="AG29" s="78" t="s">
        <v>152</v>
      </c>
      <c r="AH29" s="78">
        <v>4.1930491621487036</v>
      </c>
      <c r="AJ29" s="78" t="s">
        <v>52</v>
      </c>
      <c r="AK29" s="78" t="s">
        <v>17</v>
      </c>
      <c r="AL29" s="78" t="s">
        <v>28</v>
      </c>
      <c r="AM29" s="78" t="s">
        <v>51</v>
      </c>
      <c r="AN29" s="78" t="s">
        <v>152</v>
      </c>
      <c r="AO29" s="78">
        <v>1.5417664941480935</v>
      </c>
      <c r="AR29" s="78" t="s">
        <v>53</v>
      </c>
      <c r="AS29" s="78" t="s">
        <v>19</v>
      </c>
      <c r="AT29" s="78" t="s">
        <v>0</v>
      </c>
      <c r="AU29" s="78" t="s">
        <v>51</v>
      </c>
      <c r="AV29" s="78" t="s">
        <v>96</v>
      </c>
      <c r="AW29" s="78">
        <v>4.6130000000000004</v>
      </c>
    </row>
    <row r="30" spans="1:49" s="78" customFormat="1">
      <c r="A30" s="147" t="s">
        <v>19</v>
      </c>
      <c r="B30" s="147" t="s">
        <v>53</v>
      </c>
      <c r="C30" s="147" t="s">
        <v>7</v>
      </c>
      <c r="D30" s="147" t="s">
        <v>51</v>
      </c>
      <c r="E30" s="148" t="s">
        <v>215</v>
      </c>
      <c r="F30" s="147">
        <v>2.25</v>
      </c>
      <c r="I30" s="76" t="s">
        <v>53</v>
      </c>
      <c r="J30" s="76" t="s">
        <v>19</v>
      </c>
      <c r="K30" s="76" t="s">
        <v>7</v>
      </c>
      <c r="L30" s="76" t="s">
        <v>51</v>
      </c>
      <c r="M30" s="76" t="s">
        <v>125</v>
      </c>
      <c r="N30" s="76">
        <v>1.875</v>
      </c>
      <c r="Q30" s="78" t="s">
        <v>53</v>
      </c>
      <c r="R30" s="78" t="s">
        <v>19</v>
      </c>
      <c r="S30" s="78" t="s">
        <v>7</v>
      </c>
      <c r="T30" s="78" t="s">
        <v>51</v>
      </c>
      <c r="U30" s="78" t="s">
        <v>127</v>
      </c>
      <c r="V30" s="78">
        <v>2.125</v>
      </c>
      <c r="AC30" s="78" t="s">
        <v>52</v>
      </c>
      <c r="AD30" s="78" t="s">
        <v>17</v>
      </c>
      <c r="AE30" s="78" t="s">
        <v>72</v>
      </c>
      <c r="AF30" s="78" t="s">
        <v>51</v>
      </c>
      <c r="AG30" s="78" t="s">
        <v>153</v>
      </c>
      <c r="AH30" s="78">
        <v>4.1577414411756237</v>
      </c>
      <c r="AJ30" s="78" t="s">
        <v>52</v>
      </c>
      <c r="AK30" s="78" t="s">
        <v>17</v>
      </c>
      <c r="AL30" s="78" t="s">
        <v>28</v>
      </c>
      <c r="AM30" s="78" t="s">
        <v>51</v>
      </c>
      <c r="AN30" s="78" t="s">
        <v>153</v>
      </c>
      <c r="AO30" s="78">
        <v>1.566853019639814</v>
      </c>
      <c r="AR30" s="78" t="s">
        <v>53</v>
      </c>
      <c r="AS30" s="78" t="s">
        <v>19</v>
      </c>
      <c r="AT30" s="78" t="s">
        <v>7</v>
      </c>
      <c r="AU30" s="78" t="s">
        <v>51</v>
      </c>
      <c r="AV30" s="78" t="s">
        <v>96</v>
      </c>
      <c r="AW30" s="78">
        <v>1.75</v>
      </c>
    </row>
    <row r="31" spans="1:49" s="78" customFormat="1">
      <c r="A31" s="147" t="s">
        <v>19</v>
      </c>
      <c r="B31" s="147" t="s">
        <v>53</v>
      </c>
      <c r="C31" s="147" t="s">
        <v>25</v>
      </c>
      <c r="D31" s="147" t="s">
        <v>51</v>
      </c>
      <c r="E31" s="148" t="s">
        <v>215</v>
      </c>
      <c r="F31" s="147">
        <v>3.5</v>
      </c>
      <c r="I31" s="76" t="s">
        <v>53</v>
      </c>
      <c r="J31" s="76" t="s">
        <v>19</v>
      </c>
      <c r="K31" s="76" t="s">
        <v>25</v>
      </c>
      <c r="L31" s="76" t="s">
        <v>51</v>
      </c>
      <c r="M31" s="76" t="s">
        <v>125</v>
      </c>
      <c r="N31" s="76">
        <v>3.625</v>
      </c>
      <c r="Q31" s="78" t="s">
        <v>53</v>
      </c>
      <c r="R31" s="78" t="s">
        <v>19</v>
      </c>
      <c r="S31" s="78" t="s">
        <v>25</v>
      </c>
      <c r="T31" s="78" t="s">
        <v>51</v>
      </c>
      <c r="U31" s="78" t="s">
        <v>127</v>
      </c>
      <c r="V31" s="78">
        <v>3.625</v>
      </c>
      <c r="AC31" s="78" t="s">
        <v>52</v>
      </c>
      <c r="AD31" s="78" t="s">
        <v>17</v>
      </c>
      <c r="AE31" s="78" t="s">
        <v>72</v>
      </c>
      <c r="AF31" s="78" t="s">
        <v>51</v>
      </c>
      <c r="AG31" s="78" t="s">
        <v>154</v>
      </c>
      <c r="AH31" s="78">
        <v>4.2312138395879879</v>
      </c>
      <c r="AJ31" s="78" t="s">
        <v>52</v>
      </c>
      <c r="AK31" s="78" t="s">
        <v>17</v>
      </c>
      <c r="AL31" s="78" t="s">
        <v>28</v>
      </c>
      <c r="AM31" s="78" t="s">
        <v>51</v>
      </c>
      <c r="AN31" s="78" t="s">
        <v>154</v>
      </c>
      <c r="AO31" s="78">
        <v>1.5972967358474679</v>
      </c>
      <c r="AR31" s="78" t="s">
        <v>53</v>
      </c>
      <c r="AS31" s="78" t="s">
        <v>19</v>
      </c>
      <c r="AT31" s="78" t="s">
        <v>25</v>
      </c>
      <c r="AU31" s="78" t="s">
        <v>51</v>
      </c>
      <c r="AV31" s="78" t="s">
        <v>96</v>
      </c>
      <c r="AW31" s="78">
        <v>3.75</v>
      </c>
    </row>
    <row r="32" spans="1:49" s="78" customFormat="1">
      <c r="A32" s="147" t="s">
        <v>20</v>
      </c>
      <c r="B32" s="147" t="s">
        <v>53</v>
      </c>
      <c r="C32" s="147" t="s">
        <v>72</v>
      </c>
      <c r="D32" s="147" t="s">
        <v>51</v>
      </c>
      <c r="E32" s="148" t="s">
        <v>215</v>
      </c>
      <c r="F32" s="147">
        <v>4.1312500000000005</v>
      </c>
      <c r="I32" s="76" t="s">
        <v>53</v>
      </c>
      <c r="J32" s="76" t="s">
        <v>20</v>
      </c>
      <c r="K32" s="76" t="s">
        <v>72</v>
      </c>
      <c r="L32" s="76" t="s">
        <v>51</v>
      </c>
      <c r="M32" s="76" t="s">
        <v>125</v>
      </c>
      <c r="N32" s="76">
        <v>4.1630000000000003</v>
      </c>
      <c r="Q32" s="78" t="s">
        <v>53</v>
      </c>
      <c r="R32" s="78" t="s">
        <v>20</v>
      </c>
      <c r="S32" s="78" t="s">
        <v>72</v>
      </c>
      <c r="T32" s="78" t="s">
        <v>51</v>
      </c>
      <c r="U32" s="78" t="s">
        <v>127</v>
      </c>
      <c r="V32" s="78">
        <v>4.2588749999999997</v>
      </c>
      <c r="AC32" s="78" t="s">
        <v>52</v>
      </c>
      <c r="AD32" s="78" t="s">
        <v>17</v>
      </c>
      <c r="AE32" s="78" t="s">
        <v>72</v>
      </c>
      <c r="AF32" s="78" t="s">
        <v>51</v>
      </c>
      <c r="AG32" s="78" t="s">
        <v>155</v>
      </c>
      <c r="AH32" s="78">
        <v>4.2605110281721359</v>
      </c>
      <c r="AJ32" s="78" t="s">
        <v>52</v>
      </c>
      <c r="AK32" s="78" t="s">
        <v>17</v>
      </c>
      <c r="AL32" s="78" t="s">
        <v>28</v>
      </c>
      <c r="AM32" s="78" t="s">
        <v>51</v>
      </c>
      <c r="AN32" s="78" t="s">
        <v>155</v>
      </c>
      <c r="AO32" s="78">
        <v>1.6317285692936163</v>
      </c>
      <c r="AR32" s="78" t="s">
        <v>53</v>
      </c>
      <c r="AS32" s="78" t="s">
        <v>20</v>
      </c>
      <c r="AT32" s="78" t="s">
        <v>72</v>
      </c>
      <c r="AU32" s="78" t="s">
        <v>51</v>
      </c>
      <c r="AV32" s="78" t="s">
        <v>96</v>
      </c>
      <c r="AW32" s="78">
        <v>4.3228750000000007</v>
      </c>
    </row>
    <row r="33" spans="1:49" s="78" customFormat="1">
      <c r="A33" s="147" t="s">
        <v>20</v>
      </c>
      <c r="B33" s="147" t="s">
        <v>53</v>
      </c>
      <c r="C33" s="147" t="s">
        <v>0</v>
      </c>
      <c r="D33" s="147" t="s">
        <v>51</v>
      </c>
      <c r="E33" s="148" t="s">
        <v>215</v>
      </c>
      <c r="F33" s="147">
        <v>5.032</v>
      </c>
      <c r="I33" s="76" t="s">
        <v>53</v>
      </c>
      <c r="J33" s="76" t="s">
        <v>20</v>
      </c>
      <c r="K33" s="76" t="s">
        <v>0</v>
      </c>
      <c r="L33" s="76" t="s">
        <v>51</v>
      </c>
      <c r="M33" s="76" t="s">
        <v>125</v>
      </c>
      <c r="N33" s="76">
        <v>5.0430000000000001</v>
      </c>
      <c r="Q33" s="78" t="s">
        <v>53</v>
      </c>
      <c r="R33" s="78" t="s">
        <v>20</v>
      </c>
      <c r="S33" s="78" t="s">
        <v>0</v>
      </c>
      <c r="T33" s="78" t="s">
        <v>51</v>
      </c>
      <c r="U33" s="78" t="s">
        <v>127</v>
      </c>
      <c r="V33" s="78">
        <v>5.1580000000000004</v>
      </c>
      <c r="AC33" s="78" t="s">
        <v>52</v>
      </c>
      <c r="AD33" s="78" t="s">
        <v>17</v>
      </c>
      <c r="AE33" s="78" t="s">
        <v>72</v>
      </c>
      <c r="AF33" s="78" t="s">
        <v>51</v>
      </c>
      <c r="AG33" s="78" t="s">
        <v>156</v>
      </c>
      <c r="AH33" s="78">
        <v>4.2312138395879879</v>
      </c>
      <c r="AJ33" s="78" t="s">
        <v>52</v>
      </c>
      <c r="AK33" s="78" t="s">
        <v>17</v>
      </c>
      <c r="AL33" s="78" t="s">
        <v>28</v>
      </c>
      <c r="AM33" s="78" t="s">
        <v>51</v>
      </c>
      <c r="AN33" s="78" t="s">
        <v>156</v>
      </c>
      <c r="AO33" s="78">
        <v>1.6108923279367977</v>
      </c>
      <c r="AR33" s="78" t="s">
        <v>53</v>
      </c>
      <c r="AS33" s="78" t="s">
        <v>20</v>
      </c>
      <c r="AT33" s="78" t="s">
        <v>0</v>
      </c>
      <c r="AU33" s="78" t="s">
        <v>51</v>
      </c>
      <c r="AV33" s="78" t="s">
        <v>96</v>
      </c>
      <c r="AW33" s="78">
        <v>5.2610000000000001</v>
      </c>
    </row>
    <row r="34" spans="1:49" s="78" customFormat="1">
      <c r="A34" s="147" t="s">
        <v>20</v>
      </c>
      <c r="B34" s="147" t="s">
        <v>53</v>
      </c>
      <c r="C34" s="147" t="s">
        <v>40</v>
      </c>
      <c r="D34" s="147" t="s">
        <v>51</v>
      </c>
      <c r="E34" s="148" t="s">
        <v>215</v>
      </c>
      <c r="F34" s="147">
        <v>6550</v>
      </c>
      <c r="I34" s="76" t="s">
        <v>53</v>
      </c>
      <c r="J34" s="76" t="s">
        <v>20</v>
      </c>
      <c r="K34" s="76" t="s">
        <v>40</v>
      </c>
      <c r="L34" s="76" t="s">
        <v>51</v>
      </c>
      <c r="M34" s="76" t="s">
        <v>125</v>
      </c>
      <c r="N34" s="76">
        <v>6804</v>
      </c>
      <c r="Q34" s="78" t="s">
        <v>53</v>
      </c>
      <c r="R34" s="78" t="s">
        <v>20</v>
      </c>
      <c r="S34" s="78" t="s">
        <v>40</v>
      </c>
      <c r="T34" s="78" t="s">
        <v>51</v>
      </c>
      <c r="U34" s="78" t="s">
        <v>127</v>
      </c>
      <c r="V34" s="78">
        <v>6571</v>
      </c>
      <c r="AC34" s="78" t="s">
        <v>52</v>
      </c>
      <c r="AD34" s="78" t="s">
        <v>17</v>
      </c>
      <c r="AE34" s="78" t="s">
        <v>72</v>
      </c>
      <c r="AF34" s="78" t="s">
        <v>51</v>
      </c>
      <c r="AG34" s="78" t="s">
        <v>157</v>
      </c>
      <c r="AH34" s="78">
        <v>4.225348119194102</v>
      </c>
      <c r="AJ34" s="78" t="s">
        <v>52</v>
      </c>
      <c r="AK34" s="78" t="s">
        <v>17</v>
      </c>
      <c r="AL34" s="78" t="s">
        <v>28</v>
      </c>
      <c r="AM34" s="78" t="s">
        <v>51</v>
      </c>
      <c r="AN34" s="78" t="s">
        <v>157</v>
      </c>
      <c r="AO34" s="78">
        <v>1.577689840766002</v>
      </c>
      <c r="AR34" s="78" t="s">
        <v>53</v>
      </c>
      <c r="AS34" s="78" t="s">
        <v>20</v>
      </c>
      <c r="AT34" s="78" t="s">
        <v>40</v>
      </c>
      <c r="AU34" s="78" t="s">
        <v>51</v>
      </c>
      <c r="AV34" s="78" t="s">
        <v>96</v>
      </c>
      <c r="AW34" s="78">
        <v>6083</v>
      </c>
    </row>
    <row r="35" spans="1:49" s="78" customFormat="1">
      <c r="A35" s="147" t="s">
        <v>20</v>
      </c>
      <c r="B35" s="147" t="s">
        <v>53</v>
      </c>
      <c r="C35" s="147" t="s">
        <v>1</v>
      </c>
      <c r="D35" s="147" t="s">
        <v>51</v>
      </c>
      <c r="E35" s="148" t="s">
        <v>215</v>
      </c>
      <c r="F35" s="147">
        <v>200000</v>
      </c>
      <c r="I35" s="76" t="s">
        <v>53</v>
      </c>
      <c r="J35" s="76" t="s">
        <v>20</v>
      </c>
      <c r="K35" s="76" t="s">
        <v>1</v>
      </c>
      <c r="L35" s="76" t="s">
        <v>51</v>
      </c>
      <c r="M35" s="76" t="s">
        <v>125</v>
      </c>
      <c r="N35" s="76">
        <v>200000</v>
      </c>
      <c r="Q35" s="78" t="s">
        <v>53</v>
      </c>
      <c r="R35" s="78" t="s">
        <v>20</v>
      </c>
      <c r="S35" s="78" t="s">
        <v>1</v>
      </c>
      <c r="T35" s="78" t="s">
        <v>51</v>
      </c>
      <c r="U35" s="78" t="s">
        <v>127</v>
      </c>
      <c r="V35" s="78">
        <v>200000</v>
      </c>
      <c r="AC35" s="78" t="s">
        <v>52</v>
      </c>
      <c r="AD35" s="78" t="s">
        <v>17</v>
      </c>
      <c r="AE35" s="78" t="s">
        <v>72</v>
      </c>
      <c r="AF35" s="78" t="s">
        <v>51</v>
      </c>
      <c r="AG35" s="78" t="s">
        <v>158</v>
      </c>
      <c r="AH35" s="78">
        <v>4.2370774645785501</v>
      </c>
      <c r="AJ35" s="78" t="s">
        <v>52</v>
      </c>
      <c r="AK35" s="78" t="s">
        <v>17</v>
      </c>
      <c r="AL35" s="78" t="s">
        <v>28</v>
      </c>
      <c r="AM35" s="78" t="s">
        <v>51</v>
      </c>
      <c r="AN35" s="78" t="s">
        <v>158</v>
      </c>
      <c r="AO35" s="78">
        <v>1.5696829020466398</v>
      </c>
      <c r="AR35" s="78" t="s">
        <v>53</v>
      </c>
      <c r="AS35" s="78" t="s">
        <v>20</v>
      </c>
      <c r="AT35" s="78" t="s">
        <v>1</v>
      </c>
      <c r="AU35" s="78" t="s">
        <v>51</v>
      </c>
      <c r="AV35" s="78" t="s">
        <v>96</v>
      </c>
      <c r="AW35" s="78">
        <v>200000</v>
      </c>
    </row>
    <row r="36" spans="1:49" s="78" customFormat="1">
      <c r="A36" s="147" t="s">
        <v>20</v>
      </c>
      <c r="B36" s="147" t="s">
        <v>53</v>
      </c>
      <c r="C36" s="147" t="s">
        <v>7</v>
      </c>
      <c r="D36" s="147" t="s">
        <v>51</v>
      </c>
      <c r="E36" s="148" t="s">
        <v>215</v>
      </c>
      <c r="F36" s="147">
        <v>1</v>
      </c>
      <c r="I36" s="76" t="s">
        <v>53</v>
      </c>
      <c r="J36" s="76" t="s">
        <v>20</v>
      </c>
      <c r="K36" s="76" t="s">
        <v>7</v>
      </c>
      <c r="L36" s="76" t="s">
        <v>51</v>
      </c>
      <c r="M36" s="76" t="s">
        <v>125</v>
      </c>
      <c r="N36" s="76">
        <v>1</v>
      </c>
      <c r="Q36" s="78" t="s">
        <v>53</v>
      </c>
      <c r="R36" s="78" t="s">
        <v>20</v>
      </c>
      <c r="S36" s="78" t="s">
        <v>7</v>
      </c>
      <c r="T36" s="78" t="s">
        <v>51</v>
      </c>
      <c r="U36" s="78" t="s">
        <v>127</v>
      </c>
      <c r="V36" s="78">
        <v>1</v>
      </c>
      <c r="AC36" s="78" t="s">
        <v>52</v>
      </c>
      <c r="AD36" s="78" t="s">
        <v>17</v>
      </c>
      <c r="AE36" s="78" t="s">
        <v>72</v>
      </c>
      <c r="AF36" s="78" t="s">
        <v>51</v>
      </c>
      <c r="AG36" s="78" t="s">
        <v>159</v>
      </c>
      <c r="AH36" s="78">
        <v>4.2282812413722635</v>
      </c>
      <c r="AJ36" s="78" t="s">
        <v>52</v>
      </c>
      <c r="AK36" s="78" t="s">
        <v>17</v>
      </c>
      <c r="AL36" s="78" t="s">
        <v>28</v>
      </c>
      <c r="AM36" s="78" t="s">
        <v>51</v>
      </c>
      <c r="AN36" s="78" t="s">
        <v>159</v>
      </c>
      <c r="AO36" s="78">
        <v>1.5869407909553535</v>
      </c>
      <c r="AR36" s="78" t="s">
        <v>53</v>
      </c>
      <c r="AS36" s="78" t="s">
        <v>20</v>
      </c>
      <c r="AT36" s="78" t="s">
        <v>7</v>
      </c>
      <c r="AU36" s="78" t="s">
        <v>51</v>
      </c>
      <c r="AV36" s="78" t="s">
        <v>96</v>
      </c>
      <c r="AW36" s="78">
        <v>1</v>
      </c>
    </row>
    <row r="37" spans="1:49" s="78" customFormat="1">
      <c r="A37" s="147" t="s">
        <v>20</v>
      </c>
      <c r="B37" s="147" t="s">
        <v>53</v>
      </c>
      <c r="C37" s="147" t="s">
        <v>25</v>
      </c>
      <c r="D37" s="147" t="s">
        <v>51</v>
      </c>
      <c r="E37" s="148" t="s">
        <v>215</v>
      </c>
      <c r="F37" s="147">
        <v>4</v>
      </c>
      <c r="I37" s="76" t="s">
        <v>53</v>
      </c>
      <c r="J37" s="76" t="s">
        <v>20</v>
      </c>
      <c r="K37" s="76" t="s">
        <v>25</v>
      </c>
      <c r="L37" s="76" t="s">
        <v>51</v>
      </c>
      <c r="M37" s="76" t="s">
        <v>125</v>
      </c>
      <c r="N37" s="76">
        <v>4</v>
      </c>
      <c r="Q37" s="78" t="s">
        <v>53</v>
      </c>
      <c r="R37" s="78" t="s">
        <v>20</v>
      </c>
      <c r="S37" s="78" t="s">
        <v>25</v>
      </c>
      <c r="T37" s="78" t="s">
        <v>51</v>
      </c>
      <c r="U37" s="78" t="s">
        <v>127</v>
      </c>
      <c r="V37" s="78">
        <v>4.125</v>
      </c>
      <c r="AC37" s="78" t="s">
        <v>52</v>
      </c>
      <c r="AD37" s="78" t="s">
        <v>17</v>
      </c>
      <c r="AE37" s="78" t="s">
        <v>72</v>
      </c>
      <c r="AF37" s="78" t="s">
        <v>51</v>
      </c>
      <c r="AG37" s="78" t="s">
        <v>160</v>
      </c>
      <c r="AH37" s="78">
        <v>4.1724621964444255</v>
      </c>
      <c r="AJ37" s="78" t="s">
        <v>52</v>
      </c>
      <c r="AK37" s="78" t="s">
        <v>17</v>
      </c>
      <c r="AL37" s="78" t="s">
        <v>28</v>
      </c>
      <c r="AM37" s="78" t="s">
        <v>51</v>
      </c>
      <c r="AN37" s="78" t="s">
        <v>160</v>
      </c>
      <c r="AO37" s="78">
        <v>1.5756034291830356</v>
      </c>
      <c r="AR37" s="78" t="s">
        <v>53</v>
      </c>
      <c r="AS37" s="78" t="s">
        <v>20</v>
      </c>
      <c r="AT37" s="78" t="s">
        <v>25</v>
      </c>
      <c r="AU37" s="78" t="s">
        <v>51</v>
      </c>
      <c r="AV37" s="78" t="s">
        <v>96</v>
      </c>
      <c r="AW37" s="78">
        <v>4.25</v>
      </c>
    </row>
    <row r="38" spans="1:49" s="78" customFormat="1">
      <c r="A38" s="147" t="s">
        <v>20</v>
      </c>
      <c r="B38" s="147" t="s">
        <v>53</v>
      </c>
      <c r="C38" s="147" t="s">
        <v>28</v>
      </c>
      <c r="D38" s="147" t="s">
        <v>51</v>
      </c>
      <c r="E38" s="148" t="s">
        <v>215</v>
      </c>
      <c r="F38" s="147">
        <v>1.4157159766750402</v>
      </c>
      <c r="I38" s="76" t="s">
        <v>53</v>
      </c>
      <c r="J38" s="76" t="s">
        <v>20</v>
      </c>
      <c r="K38" s="76" t="s">
        <v>28</v>
      </c>
      <c r="L38" s="76" t="s">
        <v>51</v>
      </c>
      <c r="M38" s="76" t="s">
        <v>125</v>
      </c>
      <c r="N38" s="76">
        <v>1.4191504327559101</v>
      </c>
      <c r="Q38" s="78" t="s">
        <v>53</v>
      </c>
      <c r="R38" s="78" t="s">
        <v>20</v>
      </c>
      <c r="S38" s="78" t="s">
        <v>28</v>
      </c>
      <c r="T38" s="78" t="s">
        <v>51</v>
      </c>
      <c r="U38" s="78" t="s">
        <v>127</v>
      </c>
      <c r="V38" s="78">
        <v>1.4482824952560904</v>
      </c>
      <c r="AC38" s="78" t="s">
        <v>52</v>
      </c>
      <c r="AD38" s="78" t="s">
        <v>17</v>
      </c>
      <c r="AE38" s="78" t="s">
        <v>72</v>
      </c>
      <c r="AF38" s="78" t="s">
        <v>51</v>
      </c>
      <c r="AG38" s="78" t="s">
        <v>161</v>
      </c>
      <c r="AH38" s="78">
        <v>4.1754047688553753</v>
      </c>
      <c r="AJ38" s="78" t="s">
        <v>52</v>
      </c>
      <c r="AK38" s="78" t="s">
        <v>17</v>
      </c>
      <c r="AL38" s="78" t="s">
        <v>28</v>
      </c>
      <c r="AM38" s="78" t="s">
        <v>51</v>
      </c>
      <c r="AN38" s="78" t="s">
        <v>161</v>
      </c>
      <c r="AO38" s="78">
        <v>1.590711184285585</v>
      </c>
      <c r="AR38" s="78" t="s">
        <v>53</v>
      </c>
      <c r="AS38" s="78" t="s">
        <v>20</v>
      </c>
      <c r="AT38" s="78" t="s">
        <v>28</v>
      </c>
      <c r="AU38" s="78" t="s">
        <v>51</v>
      </c>
      <c r="AV38" s="78" t="s">
        <v>96</v>
      </c>
      <c r="AW38" s="78">
        <v>1.3622393232741801</v>
      </c>
    </row>
    <row r="39" spans="1:49" s="78" customFormat="1">
      <c r="A39" s="147" t="s">
        <v>20</v>
      </c>
      <c r="B39" s="147" t="s">
        <v>53</v>
      </c>
      <c r="C39" s="147" t="s">
        <v>41</v>
      </c>
      <c r="D39" s="147" t="s">
        <v>51</v>
      </c>
      <c r="E39" s="148" t="s">
        <v>215</v>
      </c>
      <c r="F39" s="147">
        <v>3500</v>
      </c>
      <c r="I39" s="76" t="s">
        <v>53</v>
      </c>
      <c r="J39" s="76" t="s">
        <v>20</v>
      </c>
      <c r="K39" s="76" t="s">
        <v>41</v>
      </c>
      <c r="L39" s="76" t="s">
        <v>51</v>
      </c>
      <c r="M39" s="76" t="s">
        <v>125</v>
      </c>
      <c r="N39" s="76">
        <v>3500</v>
      </c>
      <c r="Q39" s="78" t="s">
        <v>53</v>
      </c>
      <c r="R39" s="78" t="s">
        <v>20</v>
      </c>
      <c r="S39" s="78" t="s">
        <v>41</v>
      </c>
      <c r="T39" s="78" t="s">
        <v>51</v>
      </c>
      <c r="U39" s="78" t="s">
        <v>127</v>
      </c>
      <c r="V39" s="78">
        <v>3500</v>
      </c>
      <c r="AC39" s="78" t="s">
        <v>52</v>
      </c>
      <c r="AD39" s="78" t="s">
        <v>17</v>
      </c>
      <c r="AE39" s="78" t="s">
        <v>72</v>
      </c>
      <c r="AF39" s="78" t="s">
        <v>51</v>
      </c>
      <c r="AG39" s="78" t="s">
        <v>162</v>
      </c>
      <c r="AH39" s="78">
        <v>4.160686645028302</v>
      </c>
      <c r="AJ39" s="78" t="s">
        <v>52</v>
      </c>
      <c r="AK39" s="78" t="s">
        <v>17</v>
      </c>
      <c r="AL39" s="78" t="s">
        <v>28</v>
      </c>
      <c r="AM39" s="78" t="s">
        <v>51</v>
      </c>
      <c r="AN39" s="78" t="s">
        <v>162</v>
      </c>
      <c r="AO39" s="78">
        <v>1.584783703229552</v>
      </c>
      <c r="AR39" s="78" t="s">
        <v>53</v>
      </c>
      <c r="AS39" s="78" t="s">
        <v>20</v>
      </c>
      <c r="AT39" s="78" t="s">
        <v>41</v>
      </c>
      <c r="AU39" s="78" t="s">
        <v>51</v>
      </c>
      <c r="AV39" s="78" t="s">
        <v>96</v>
      </c>
      <c r="AW39" s="78">
        <v>3500</v>
      </c>
    </row>
    <row r="40" spans="1:49" s="78" customFormat="1">
      <c r="A40" s="78" t="s">
        <v>20</v>
      </c>
      <c r="B40" s="78" t="s">
        <v>54</v>
      </c>
      <c r="C40" s="78" t="s">
        <v>72</v>
      </c>
      <c r="D40" s="78" t="s">
        <v>51</v>
      </c>
      <c r="E40" s="79" t="s">
        <v>215</v>
      </c>
      <c r="F40" s="78">
        <v>4.0771627490827687</v>
      </c>
      <c r="I40" s="76" t="s">
        <v>54</v>
      </c>
      <c r="J40" s="76" t="s">
        <v>20</v>
      </c>
      <c r="K40" s="76" t="s">
        <v>72</v>
      </c>
      <c r="L40" s="76" t="s">
        <v>51</v>
      </c>
      <c r="M40" s="76" t="s">
        <v>125</v>
      </c>
      <c r="N40" s="76">
        <v>4.0771627490827687</v>
      </c>
      <c r="Q40" s="78" t="s">
        <v>54</v>
      </c>
      <c r="R40" s="78" t="s">
        <v>20</v>
      </c>
      <c r="S40" s="78" t="s">
        <v>72</v>
      </c>
      <c r="T40" s="78" t="s">
        <v>51</v>
      </c>
      <c r="U40" s="78" t="s">
        <v>127</v>
      </c>
      <c r="V40" s="78">
        <v>4.145604497342033</v>
      </c>
      <c r="AC40" s="78" t="s">
        <v>52</v>
      </c>
      <c r="AD40" s="78" t="s">
        <v>17</v>
      </c>
      <c r="AE40" s="78" t="s">
        <v>72</v>
      </c>
      <c r="AF40" s="78" t="s">
        <v>51</v>
      </c>
      <c r="AG40" s="78" t="s">
        <v>163</v>
      </c>
      <c r="AH40" s="78">
        <v>4.1253094173164744</v>
      </c>
      <c r="AJ40" s="78" t="s">
        <v>52</v>
      </c>
      <c r="AK40" s="78" t="s">
        <v>17</v>
      </c>
      <c r="AL40" s="78" t="s">
        <v>28</v>
      </c>
      <c r="AM40" s="78" t="s">
        <v>51</v>
      </c>
      <c r="AN40" s="78" t="s">
        <v>163</v>
      </c>
      <c r="AO40" s="78">
        <v>1.5581889968587042</v>
      </c>
      <c r="AR40" s="78" t="s">
        <v>54</v>
      </c>
      <c r="AS40" s="78" t="s">
        <v>20</v>
      </c>
      <c r="AT40" s="78" t="s">
        <v>72</v>
      </c>
      <c r="AU40" s="78" t="s">
        <v>51</v>
      </c>
      <c r="AV40" s="78" t="s">
        <v>96</v>
      </c>
      <c r="AW40" s="78">
        <v>4.3773</v>
      </c>
    </row>
    <row r="41" spans="1:49" s="78" customFormat="1">
      <c r="A41" s="78" t="s">
        <v>20</v>
      </c>
      <c r="B41" s="78" t="s">
        <v>54</v>
      </c>
      <c r="C41" s="78" t="s">
        <v>0</v>
      </c>
      <c r="D41" s="78" t="s">
        <v>51</v>
      </c>
      <c r="E41" s="79" t="s">
        <v>215</v>
      </c>
      <c r="F41" s="78">
        <v>4.2569999999999997</v>
      </c>
      <c r="I41" s="76" t="s">
        <v>54</v>
      </c>
      <c r="J41" s="76" t="s">
        <v>20</v>
      </c>
      <c r="K41" s="76" t="s">
        <v>0</v>
      </c>
      <c r="L41" s="76" t="s">
        <v>51</v>
      </c>
      <c r="M41" s="76" t="s">
        <v>125</v>
      </c>
      <c r="N41" s="76">
        <v>4.2569999999999997</v>
      </c>
      <c r="Q41" s="78" t="s">
        <v>54</v>
      </c>
      <c r="R41" s="78" t="s">
        <v>20</v>
      </c>
      <c r="S41" s="78" t="s">
        <v>0</v>
      </c>
      <c r="T41" s="78" t="s">
        <v>51</v>
      </c>
      <c r="U41" s="78" t="s">
        <v>127</v>
      </c>
      <c r="V41" s="78">
        <v>4.2590000000000003</v>
      </c>
      <c r="AC41" s="78" t="s">
        <v>52</v>
      </c>
      <c r="AD41" s="78" t="s">
        <v>17</v>
      </c>
      <c r="AE41" s="78" t="s">
        <v>72</v>
      </c>
      <c r="AF41" s="78" t="s">
        <v>51</v>
      </c>
      <c r="AG41" s="78" t="s">
        <v>164</v>
      </c>
      <c r="AH41" s="78">
        <v>4.1518494534957036</v>
      </c>
      <c r="AJ41" s="78" t="s">
        <v>52</v>
      </c>
      <c r="AK41" s="78" t="s">
        <v>17</v>
      </c>
      <c r="AL41" s="78" t="s">
        <v>28</v>
      </c>
      <c r="AM41" s="78" t="s">
        <v>51</v>
      </c>
      <c r="AN41" s="78" t="s">
        <v>164</v>
      </c>
      <c r="AO41" s="78">
        <v>1.5532602364254431</v>
      </c>
      <c r="AR41" s="78" t="s">
        <v>54</v>
      </c>
      <c r="AS41" s="78" t="s">
        <v>20</v>
      </c>
      <c r="AT41" s="78" t="s">
        <v>0</v>
      </c>
      <c r="AU41" s="78" t="s">
        <v>51</v>
      </c>
      <c r="AV41" s="78" t="s">
        <v>96</v>
      </c>
      <c r="AW41" s="78">
        <v>4.625</v>
      </c>
    </row>
    <row r="42" spans="1:49" s="78" customFormat="1">
      <c r="A42" s="78" t="s">
        <v>20</v>
      </c>
      <c r="B42" s="78" t="s">
        <v>54</v>
      </c>
      <c r="C42" s="78" t="s">
        <v>40</v>
      </c>
      <c r="D42" s="78" t="s">
        <v>51</v>
      </c>
      <c r="E42" s="79" t="s">
        <v>215</v>
      </c>
      <c r="F42" s="78">
        <v>1127</v>
      </c>
      <c r="I42" s="76" t="s">
        <v>54</v>
      </c>
      <c r="J42" s="76" t="s">
        <v>20</v>
      </c>
      <c r="K42" s="76" t="s">
        <v>40</v>
      </c>
      <c r="L42" s="76" t="s">
        <v>51</v>
      </c>
      <c r="M42" s="76" t="s">
        <v>125</v>
      </c>
      <c r="N42" s="76">
        <v>1127</v>
      </c>
      <c r="Q42" s="78" t="s">
        <v>54</v>
      </c>
      <c r="R42" s="78" t="s">
        <v>20</v>
      </c>
      <c r="S42" s="78" t="s">
        <v>40</v>
      </c>
      <c r="T42" s="78" t="s">
        <v>51</v>
      </c>
      <c r="U42" s="78" t="s">
        <v>127</v>
      </c>
      <c r="V42" s="78">
        <v>2377</v>
      </c>
      <c r="AC42" s="78" t="s">
        <v>52</v>
      </c>
      <c r="AD42" s="78" t="s">
        <v>17</v>
      </c>
      <c r="AE42" s="78" t="s">
        <v>72</v>
      </c>
      <c r="AF42" s="78" t="s">
        <v>51</v>
      </c>
      <c r="AG42" s="78" t="s">
        <v>165</v>
      </c>
      <c r="AH42" s="78">
        <v>4.2018642658889958</v>
      </c>
      <c r="AJ42" s="78" t="s">
        <v>52</v>
      </c>
      <c r="AK42" s="78" t="s">
        <v>17</v>
      </c>
      <c r="AL42" s="78" t="s">
        <v>28</v>
      </c>
      <c r="AM42" s="78" t="s">
        <v>51</v>
      </c>
      <c r="AN42" s="78" t="s">
        <v>165</v>
      </c>
      <c r="AO42" s="78">
        <v>1.5793431858039257</v>
      </c>
      <c r="AR42" s="78" t="s">
        <v>54</v>
      </c>
      <c r="AS42" s="78" t="s">
        <v>20</v>
      </c>
      <c r="AT42" s="78" t="s">
        <v>40</v>
      </c>
      <c r="AU42" s="78" t="s">
        <v>51</v>
      </c>
      <c r="AV42" s="78" t="s">
        <v>96</v>
      </c>
      <c r="AW42" s="78">
        <v>46</v>
      </c>
    </row>
    <row r="43" spans="1:49" s="78" customFormat="1">
      <c r="A43" s="78" t="s">
        <v>20</v>
      </c>
      <c r="B43" s="78" t="s">
        <v>54</v>
      </c>
      <c r="C43" s="78" t="s">
        <v>1</v>
      </c>
      <c r="D43" s="78" t="s">
        <v>51</v>
      </c>
      <c r="E43" s="79" t="s">
        <v>215</v>
      </c>
      <c r="F43" s="78">
        <v>500000</v>
      </c>
      <c r="I43" s="76" t="s">
        <v>54</v>
      </c>
      <c r="J43" s="76" t="s">
        <v>20</v>
      </c>
      <c r="K43" s="76" t="s">
        <v>1</v>
      </c>
      <c r="L43" s="76" t="s">
        <v>51</v>
      </c>
      <c r="M43" s="76" t="s">
        <v>125</v>
      </c>
      <c r="N43" s="76">
        <v>500000</v>
      </c>
      <c r="Q43" s="78" t="s">
        <v>54</v>
      </c>
      <c r="R43" s="78" t="s">
        <v>20</v>
      </c>
      <c r="S43" s="78" t="s">
        <v>1</v>
      </c>
      <c r="T43" s="78" t="s">
        <v>51</v>
      </c>
      <c r="U43" s="78" t="s">
        <v>127</v>
      </c>
      <c r="V43" s="78">
        <v>500000</v>
      </c>
      <c r="AC43" s="78" t="s">
        <v>52</v>
      </c>
      <c r="AD43" s="78" t="s">
        <v>17</v>
      </c>
      <c r="AE43" s="78" t="s">
        <v>72</v>
      </c>
      <c r="AF43" s="78" t="s">
        <v>51</v>
      </c>
      <c r="AG43" s="78" t="s">
        <v>166</v>
      </c>
      <c r="AH43" s="78">
        <v>4.2106746450138894</v>
      </c>
      <c r="AJ43" s="78" t="s">
        <v>52</v>
      </c>
      <c r="AK43" s="78" t="s">
        <v>17</v>
      </c>
      <c r="AL43" s="78" t="s">
        <v>28</v>
      </c>
      <c r="AM43" s="78" t="s">
        <v>51</v>
      </c>
      <c r="AN43" s="78" t="s">
        <v>166</v>
      </c>
      <c r="AO43" s="78">
        <v>1.5353482312671591</v>
      </c>
      <c r="AR43" s="78" t="s">
        <v>54</v>
      </c>
      <c r="AS43" s="78" t="s">
        <v>20</v>
      </c>
      <c r="AT43" s="78" t="s">
        <v>1</v>
      </c>
      <c r="AU43" s="78" t="s">
        <v>51</v>
      </c>
      <c r="AV43" s="78" t="s">
        <v>96</v>
      </c>
      <c r="AW43" s="78">
        <v>500000</v>
      </c>
    </row>
    <row r="44" spans="1:49" s="78" customFormat="1">
      <c r="A44" s="78" t="s">
        <v>20</v>
      </c>
      <c r="B44" s="78" t="s">
        <v>54</v>
      </c>
      <c r="C44" s="78" t="s">
        <v>7</v>
      </c>
      <c r="D44" s="78" t="s">
        <v>51</v>
      </c>
      <c r="E44" s="79" t="s">
        <v>215</v>
      </c>
      <c r="F44" s="78">
        <v>1</v>
      </c>
      <c r="I44" s="76" t="s">
        <v>54</v>
      </c>
      <c r="J44" s="76" t="s">
        <v>20</v>
      </c>
      <c r="K44" s="76" t="s">
        <v>7</v>
      </c>
      <c r="L44" s="76" t="s">
        <v>51</v>
      </c>
      <c r="M44" s="76" t="s">
        <v>125</v>
      </c>
      <c r="N44" s="76">
        <v>1</v>
      </c>
      <c r="Q44" s="78" t="s">
        <v>54</v>
      </c>
      <c r="R44" s="78" t="s">
        <v>20</v>
      </c>
      <c r="S44" s="78" t="s">
        <v>7</v>
      </c>
      <c r="T44" s="78" t="s">
        <v>51</v>
      </c>
      <c r="U44" s="78" t="s">
        <v>127</v>
      </c>
      <c r="V44" s="78">
        <v>1</v>
      </c>
      <c r="AC44" s="78" t="s">
        <v>52</v>
      </c>
      <c r="AD44" s="78" t="s">
        <v>17</v>
      </c>
      <c r="AE44" s="78" t="s">
        <v>72</v>
      </c>
      <c r="AF44" s="78" t="s">
        <v>51</v>
      </c>
      <c r="AG44" s="78" t="s">
        <v>167</v>
      </c>
      <c r="AH44" s="78">
        <v>4.1959880552043716</v>
      </c>
      <c r="AJ44" s="78" t="s">
        <v>52</v>
      </c>
      <c r="AK44" s="78" t="s">
        <v>17</v>
      </c>
      <c r="AL44" s="78" t="s">
        <v>28</v>
      </c>
      <c r="AM44" s="78" t="s">
        <v>51</v>
      </c>
      <c r="AN44" s="78" t="s">
        <v>167</v>
      </c>
      <c r="AO44" s="78">
        <v>1.5397004736750313</v>
      </c>
      <c r="AR44" s="78" t="s">
        <v>54</v>
      </c>
      <c r="AS44" s="78" t="s">
        <v>20</v>
      </c>
      <c r="AT44" s="78" t="s">
        <v>7</v>
      </c>
      <c r="AU44" s="78" t="s">
        <v>51</v>
      </c>
      <c r="AV44" s="78" t="s">
        <v>96</v>
      </c>
      <c r="AW44" s="78">
        <v>1</v>
      </c>
    </row>
    <row r="45" spans="1:49" s="78" customFormat="1">
      <c r="A45" s="78" t="s">
        <v>20</v>
      </c>
      <c r="B45" s="78" t="s">
        <v>54</v>
      </c>
      <c r="C45" s="78" t="s">
        <v>25</v>
      </c>
      <c r="D45" s="78" t="s">
        <v>51</v>
      </c>
      <c r="E45" s="79" t="s">
        <v>215</v>
      </c>
      <c r="F45" s="78">
        <v>4.25</v>
      </c>
      <c r="I45" s="76" t="s">
        <v>54</v>
      </c>
      <c r="J45" s="76" t="s">
        <v>20</v>
      </c>
      <c r="K45" s="76" t="s">
        <v>25</v>
      </c>
      <c r="L45" s="76" t="s">
        <v>51</v>
      </c>
      <c r="M45" s="76" t="s">
        <v>125</v>
      </c>
      <c r="N45" s="76">
        <v>4.25</v>
      </c>
      <c r="Q45" s="78" t="s">
        <v>54</v>
      </c>
      <c r="R45" s="78" t="s">
        <v>20</v>
      </c>
      <c r="S45" s="78" t="s">
        <v>25</v>
      </c>
      <c r="T45" s="78" t="s">
        <v>51</v>
      </c>
      <c r="U45" s="78" t="s">
        <v>127</v>
      </c>
      <c r="V45" s="78">
        <v>4.25</v>
      </c>
      <c r="AC45" s="78" t="s">
        <v>52</v>
      </c>
      <c r="AD45" s="78" t="s">
        <v>17</v>
      </c>
      <c r="AE45" s="78" t="s">
        <v>72</v>
      </c>
      <c r="AF45" s="78" t="s">
        <v>51</v>
      </c>
      <c r="AG45" s="78" t="s">
        <v>168</v>
      </c>
      <c r="AH45" s="78">
        <v>4.1930491621487036</v>
      </c>
      <c r="AJ45" s="78" t="s">
        <v>52</v>
      </c>
      <c r="AK45" s="78" t="s">
        <v>17</v>
      </c>
      <c r="AL45" s="78" t="s">
        <v>28</v>
      </c>
      <c r="AM45" s="78" t="s">
        <v>51</v>
      </c>
      <c r="AN45" s="78" t="s">
        <v>168</v>
      </c>
      <c r="AO45" s="78">
        <v>1.5634899443794636</v>
      </c>
      <c r="AR45" s="78" t="s">
        <v>54</v>
      </c>
      <c r="AS45" s="78" t="s">
        <v>20</v>
      </c>
      <c r="AT45" s="78" t="s">
        <v>25</v>
      </c>
      <c r="AU45" s="78" t="s">
        <v>51</v>
      </c>
      <c r="AV45" s="78" t="s">
        <v>96</v>
      </c>
      <c r="AW45" s="78">
        <v>4.625</v>
      </c>
    </row>
    <row r="46" spans="1:49" s="78" customFormat="1">
      <c r="A46" s="78" t="s">
        <v>20</v>
      </c>
      <c r="B46" s="78" t="s">
        <v>54</v>
      </c>
      <c r="C46" s="78" t="s">
        <v>28</v>
      </c>
      <c r="D46" s="78" t="s">
        <v>51</v>
      </c>
      <c r="E46" s="79" t="s">
        <v>215</v>
      </c>
      <c r="F46" s="78">
        <v>1.1912038657214992</v>
      </c>
      <c r="I46" s="76" t="s">
        <v>54</v>
      </c>
      <c r="J46" s="76" t="s">
        <v>20</v>
      </c>
      <c r="K46" s="76" t="s">
        <v>28</v>
      </c>
      <c r="L46" s="76" t="s">
        <v>51</v>
      </c>
      <c r="M46" s="76" t="s">
        <v>125</v>
      </c>
      <c r="N46" s="76">
        <v>1.1616546231203992</v>
      </c>
      <c r="Q46" s="78" t="s">
        <v>54</v>
      </c>
      <c r="R46" s="78" t="s">
        <v>20</v>
      </c>
      <c r="S46" s="78" t="s">
        <v>28</v>
      </c>
      <c r="T46" s="78" t="s">
        <v>51</v>
      </c>
      <c r="U46" s="78" t="s">
        <v>127</v>
      </c>
      <c r="V46" s="78">
        <v>1.1687225159915431</v>
      </c>
      <c r="AC46" s="78" t="s">
        <v>52</v>
      </c>
      <c r="AD46" s="78" t="s">
        <v>17</v>
      </c>
      <c r="AE46" s="78" t="s">
        <v>72</v>
      </c>
      <c r="AF46" s="78" t="s">
        <v>51</v>
      </c>
      <c r="AG46" s="78" t="s">
        <v>169</v>
      </c>
      <c r="AH46" s="78">
        <v>4.1930491621487036</v>
      </c>
      <c r="AJ46" s="78" t="s">
        <v>52</v>
      </c>
      <c r="AK46" s="78" t="s">
        <v>17</v>
      </c>
      <c r="AL46" s="78" t="s">
        <v>28</v>
      </c>
      <c r="AM46" s="78" t="s">
        <v>51</v>
      </c>
      <c r="AN46" s="78" t="s">
        <v>169</v>
      </c>
      <c r="AO46" s="78">
        <v>1.5493153117300138</v>
      </c>
      <c r="AR46" s="78" t="s">
        <v>54</v>
      </c>
      <c r="AS46" s="78" t="s">
        <v>20</v>
      </c>
      <c r="AT46" s="78" t="s">
        <v>28</v>
      </c>
      <c r="AU46" s="78" t="s">
        <v>51</v>
      </c>
      <c r="AV46" s="78" t="s">
        <v>96</v>
      </c>
      <c r="AW46" s="78">
        <v>1.21453474763744</v>
      </c>
    </row>
    <row r="47" spans="1:49" s="78" customFormat="1">
      <c r="A47" s="78" t="s">
        <v>20</v>
      </c>
      <c r="B47" s="78" t="s">
        <v>55</v>
      </c>
      <c r="C47" s="78" t="s">
        <v>72</v>
      </c>
      <c r="D47" s="78" t="s">
        <v>51</v>
      </c>
      <c r="E47" s="79" t="s">
        <v>215</v>
      </c>
      <c r="F47" s="78">
        <v>3.966305483037543</v>
      </c>
      <c r="I47" s="76" t="s">
        <v>55</v>
      </c>
      <c r="J47" s="76" t="s">
        <v>20</v>
      </c>
      <c r="K47" s="76" t="s">
        <v>72</v>
      </c>
      <c r="L47" s="76" t="s">
        <v>51</v>
      </c>
      <c r="M47" s="76" t="s">
        <v>125</v>
      </c>
      <c r="N47" s="76">
        <v>3.966305483037543</v>
      </c>
      <c r="Q47" s="78" t="s">
        <v>55</v>
      </c>
      <c r="R47" s="78" t="s">
        <v>20</v>
      </c>
      <c r="S47" s="78" t="s">
        <v>72</v>
      </c>
      <c r="T47" s="78" t="s">
        <v>51</v>
      </c>
      <c r="U47" s="78" t="s">
        <v>127</v>
      </c>
      <c r="V47" s="78">
        <v>4.0557276764206129</v>
      </c>
      <c r="AC47" s="78" t="s">
        <v>52</v>
      </c>
      <c r="AD47" s="78" t="s">
        <v>17</v>
      </c>
      <c r="AE47" s="78" t="s">
        <v>72</v>
      </c>
      <c r="AF47" s="78" t="s">
        <v>51</v>
      </c>
      <c r="AG47" s="78" t="s">
        <v>170</v>
      </c>
      <c r="AH47" s="78">
        <v>4.2487984318822525</v>
      </c>
      <c r="AJ47" s="78" t="s">
        <v>52</v>
      </c>
      <c r="AK47" s="78" t="s">
        <v>17</v>
      </c>
      <c r="AL47" s="78" t="s">
        <v>28</v>
      </c>
      <c r="AM47" s="78" t="s">
        <v>51</v>
      </c>
      <c r="AN47" s="78" t="s">
        <v>170</v>
      </c>
      <c r="AO47" s="78">
        <v>1.5496569772517022</v>
      </c>
      <c r="AR47" s="78" t="s">
        <v>55</v>
      </c>
      <c r="AS47" s="78" t="s">
        <v>20</v>
      </c>
      <c r="AT47" s="78" t="s">
        <v>72</v>
      </c>
      <c r="AU47" s="78" t="s">
        <v>51</v>
      </c>
      <c r="AV47" s="78" t="s">
        <v>96</v>
      </c>
      <c r="AW47" s="78">
        <v>4.2186106422383469</v>
      </c>
    </row>
    <row r="48" spans="1:49" s="78" customFormat="1">
      <c r="A48" s="78" t="s">
        <v>20</v>
      </c>
      <c r="B48" s="78" t="s">
        <v>55</v>
      </c>
      <c r="C48" s="78" t="s">
        <v>0</v>
      </c>
      <c r="D48" s="78" t="s">
        <v>51</v>
      </c>
      <c r="E48" s="79" t="s">
        <v>215</v>
      </c>
      <c r="F48" s="78">
        <v>4.1310000000000002</v>
      </c>
      <c r="I48" s="76" t="s">
        <v>55</v>
      </c>
      <c r="J48" s="76" t="s">
        <v>20</v>
      </c>
      <c r="K48" s="76" t="s">
        <v>0</v>
      </c>
      <c r="L48" s="76" t="s">
        <v>51</v>
      </c>
      <c r="M48" s="76" t="s">
        <v>125</v>
      </c>
      <c r="N48" s="76">
        <v>4.1310000000000002</v>
      </c>
      <c r="Q48" s="78" t="s">
        <v>55</v>
      </c>
      <c r="R48" s="78" t="s">
        <v>20</v>
      </c>
      <c r="S48" s="78" t="s">
        <v>0</v>
      </c>
      <c r="T48" s="78" t="s">
        <v>51</v>
      </c>
      <c r="U48" s="78" t="s">
        <v>127</v>
      </c>
      <c r="V48" s="78">
        <v>4.1399999999999997</v>
      </c>
      <c r="AC48" s="78" t="s">
        <v>52</v>
      </c>
      <c r="AD48" s="78" t="s">
        <v>17</v>
      </c>
      <c r="AE48" s="78" t="s">
        <v>72</v>
      </c>
      <c r="AF48" s="78" t="s">
        <v>51</v>
      </c>
      <c r="AG48" s="78" t="s">
        <v>171</v>
      </c>
      <c r="AH48" s="78">
        <v>4.2672076568305926</v>
      </c>
      <c r="AJ48" s="78" t="s">
        <v>52</v>
      </c>
      <c r="AK48" s="78" t="s">
        <v>17</v>
      </c>
      <c r="AL48" s="78" t="s">
        <v>28</v>
      </c>
      <c r="AM48" s="78" t="s">
        <v>51</v>
      </c>
      <c r="AN48" s="78" t="s">
        <v>171</v>
      </c>
      <c r="AO48" s="78">
        <v>1.5204617852732729</v>
      </c>
      <c r="AR48" s="78" t="s">
        <v>55</v>
      </c>
      <c r="AS48" s="78" t="s">
        <v>20</v>
      </c>
      <c r="AT48" s="78" t="s">
        <v>0</v>
      </c>
      <c r="AU48" s="78" t="s">
        <v>51</v>
      </c>
      <c r="AV48" s="78" t="s">
        <v>96</v>
      </c>
      <c r="AW48" s="78">
        <v>4.3810000000000002</v>
      </c>
    </row>
    <row r="49" spans="1:49" s="78" customFormat="1">
      <c r="A49" s="78" t="s">
        <v>20</v>
      </c>
      <c r="B49" s="78" t="s">
        <v>55</v>
      </c>
      <c r="C49" s="78" t="s">
        <v>40</v>
      </c>
      <c r="D49" s="78" t="s">
        <v>51</v>
      </c>
      <c r="E49" s="79" t="s">
        <v>215</v>
      </c>
      <c r="F49" s="78">
        <v>2200</v>
      </c>
      <c r="I49" s="76" t="s">
        <v>55</v>
      </c>
      <c r="J49" s="76" t="s">
        <v>20</v>
      </c>
      <c r="K49" s="76" t="s">
        <v>40</v>
      </c>
      <c r="L49" s="76" t="s">
        <v>51</v>
      </c>
      <c r="M49" s="76" t="s">
        <v>125</v>
      </c>
      <c r="N49" s="76">
        <v>2200</v>
      </c>
      <c r="Q49" s="78" t="s">
        <v>55</v>
      </c>
      <c r="R49" s="78" t="s">
        <v>20</v>
      </c>
      <c r="S49" s="78" t="s">
        <v>40</v>
      </c>
      <c r="T49" s="78" t="s">
        <v>51</v>
      </c>
      <c r="U49" s="78" t="s">
        <v>127</v>
      </c>
      <c r="V49" s="78">
        <v>4075</v>
      </c>
      <c r="AC49" s="78" t="s">
        <v>52</v>
      </c>
      <c r="AD49" s="78" t="s">
        <v>17</v>
      </c>
      <c r="AE49" s="78" t="s">
        <v>72</v>
      </c>
      <c r="AF49" s="78" t="s">
        <v>51</v>
      </c>
      <c r="AG49" s="78" t="s">
        <v>172</v>
      </c>
      <c r="AH49" s="78">
        <v>4.2232506437744561</v>
      </c>
      <c r="AJ49" s="78" t="s">
        <v>52</v>
      </c>
      <c r="AK49" s="78" t="s">
        <v>17</v>
      </c>
      <c r="AL49" s="78" t="s">
        <v>28</v>
      </c>
      <c r="AM49" s="78" t="s">
        <v>51</v>
      </c>
      <c r="AN49" s="78" t="s">
        <v>172</v>
      </c>
      <c r="AO49" s="78">
        <v>1.4752359208075061</v>
      </c>
      <c r="AR49" s="78" t="s">
        <v>55</v>
      </c>
      <c r="AS49" s="78" t="s">
        <v>20</v>
      </c>
      <c r="AT49" s="78" t="s">
        <v>40</v>
      </c>
      <c r="AU49" s="78" t="s">
        <v>51</v>
      </c>
      <c r="AV49" s="78" t="s">
        <v>96</v>
      </c>
      <c r="AW49" s="78">
        <v>2277</v>
      </c>
    </row>
    <row r="50" spans="1:49" s="78" customFormat="1">
      <c r="A50" s="78" t="s">
        <v>20</v>
      </c>
      <c r="B50" s="78" t="s">
        <v>55</v>
      </c>
      <c r="C50" s="78" t="s">
        <v>1</v>
      </c>
      <c r="D50" s="78" t="s">
        <v>51</v>
      </c>
      <c r="E50" s="79" t="s">
        <v>215</v>
      </c>
      <c r="F50" s="78">
        <v>750000</v>
      </c>
      <c r="I50" s="76" t="s">
        <v>55</v>
      </c>
      <c r="J50" s="76" t="s">
        <v>20</v>
      </c>
      <c r="K50" s="76" t="s">
        <v>1</v>
      </c>
      <c r="L50" s="76" t="s">
        <v>51</v>
      </c>
      <c r="M50" s="76" t="s">
        <v>125</v>
      </c>
      <c r="N50" s="76">
        <v>750000</v>
      </c>
      <c r="Q50" s="78" t="s">
        <v>55</v>
      </c>
      <c r="R50" s="78" t="s">
        <v>20</v>
      </c>
      <c r="S50" s="78" t="s">
        <v>1</v>
      </c>
      <c r="T50" s="78" t="s">
        <v>51</v>
      </c>
      <c r="U50" s="78" t="s">
        <v>127</v>
      </c>
      <c r="V50" s="78">
        <v>750000</v>
      </c>
      <c r="AC50" s="78" t="s">
        <v>52</v>
      </c>
      <c r="AD50" s="78" t="s">
        <v>17</v>
      </c>
      <c r="AE50" s="78" t="s">
        <v>72</v>
      </c>
      <c r="AF50" s="78" t="s">
        <v>51</v>
      </c>
      <c r="AG50" s="78" t="s">
        <v>173</v>
      </c>
      <c r="AH50" s="78">
        <v>4.2672076568305926</v>
      </c>
      <c r="AJ50" s="78" t="s">
        <v>52</v>
      </c>
      <c r="AK50" s="78" t="s">
        <v>17</v>
      </c>
      <c r="AL50" s="78" t="s">
        <v>28</v>
      </c>
      <c r="AM50" s="78" t="s">
        <v>51</v>
      </c>
      <c r="AN50" s="78" t="s">
        <v>173</v>
      </c>
      <c r="AO50" s="78">
        <v>1.4607977497664324</v>
      </c>
      <c r="AR50" s="78" t="s">
        <v>55</v>
      </c>
      <c r="AS50" s="78" t="s">
        <v>20</v>
      </c>
      <c r="AT50" s="78" t="s">
        <v>1</v>
      </c>
      <c r="AU50" s="78" t="s">
        <v>51</v>
      </c>
      <c r="AV50" s="78" t="s">
        <v>96</v>
      </c>
      <c r="AW50" s="78">
        <v>750000</v>
      </c>
    </row>
    <row r="51" spans="1:49" s="78" customFormat="1">
      <c r="A51" s="78" t="s">
        <v>20</v>
      </c>
      <c r="B51" s="78" t="s">
        <v>55</v>
      </c>
      <c r="C51" s="78" t="s">
        <v>7</v>
      </c>
      <c r="D51" s="78" t="s">
        <v>51</v>
      </c>
      <c r="E51" s="79" t="s">
        <v>215</v>
      </c>
      <c r="F51" s="78">
        <v>1</v>
      </c>
      <c r="I51" s="76" t="s">
        <v>55</v>
      </c>
      <c r="J51" s="76" t="s">
        <v>20</v>
      </c>
      <c r="K51" s="76" t="s">
        <v>7</v>
      </c>
      <c r="L51" s="76" t="s">
        <v>51</v>
      </c>
      <c r="M51" s="76" t="s">
        <v>125</v>
      </c>
      <c r="N51" s="76">
        <v>1</v>
      </c>
      <c r="Q51" s="78" t="s">
        <v>55</v>
      </c>
      <c r="R51" s="78" t="s">
        <v>20</v>
      </c>
      <c r="S51" s="78" t="s">
        <v>7</v>
      </c>
      <c r="T51" s="78" t="s">
        <v>51</v>
      </c>
      <c r="U51" s="78" t="s">
        <v>127</v>
      </c>
      <c r="V51" s="78">
        <v>1</v>
      </c>
      <c r="AC51" s="78" t="s">
        <v>52</v>
      </c>
      <c r="AD51" s="78" t="s">
        <v>17</v>
      </c>
      <c r="AE51" s="78" t="s">
        <v>72</v>
      </c>
      <c r="AF51" s="78" t="s">
        <v>51</v>
      </c>
      <c r="AG51" s="78" t="s">
        <v>174</v>
      </c>
      <c r="AH51" s="78">
        <v>4.3168838594099084</v>
      </c>
      <c r="AJ51" s="78" t="s">
        <v>52</v>
      </c>
      <c r="AK51" s="78" t="s">
        <v>17</v>
      </c>
      <c r="AL51" s="78" t="s">
        <v>28</v>
      </c>
      <c r="AM51" s="78" t="s">
        <v>51</v>
      </c>
      <c r="AN51" s="78" t="s">
        <v>174</v>
      </c>
      <c r="AO51" s="78">
        <v>1.475207853795258</v>
      </c>
      <c r="AR51" s="78" t="s">
        <v>55</v>
      </c>
      <c r="AS51" s="78" t="s">
        <v>20</v>
      </c>
      <c r="AT51" s="78" t="s">
        <v>7</v>
      </c>
      <c r="AU51" s="78" t="s">
        <v>51</v>
      </c>
      <c r="AV51" s="78" t="s">
        <v>96</v>
      </c>
      <c r="AW51" s="78">
        <v>1</v>
      </c>
    </row>
    <row r="52" spans="1:49" s="78" customFormat="1">
      <c r="A52" s="78" t="s">
        <v>20</v>
      </c>
      <c r="B52" s="78" t="s">
        <v>55</v>
      </c>
      <c r="C52" s="78" t="s">
        <v>25</v>
      </c>
      <c r="D52" s="78" t="s">
        <v>51</v>
      </c>
      <c r="E52" s="79" t="s">
        <v>215</v>
      </c>
      <c r="F52" s="78">
        <v>4.125</v>
      </c>
      <c r="I52" s="76" t="s">
        <v>55</v>
      </c>
      <c r="J52" s="76" t="s">
        <v>20</v>
      </c>
      <c r="K52" s="76" t="s">
        <v>25</v>
      </c>
      <c r="L52" s="76" t="s">
        <v>51</v>
      </c>
      <c r="M52" s="76" t="s">
        <v>125</v>
      </c>
      <c r="N52" s="76">
        <v>4.125</v>
      </c>
      <c r="Q52" s="78" t="s">
        <v>55</v>
      </c>
      <c r="R52" s="78" t="s">
        <v>20</v>
      </c>
      <c r="S52" s="78" t="s">
        <v>25</v>
      </c>
      <c r="T52" s="78" t="s">
        <v>51</v>
      </c>
      <c r="U52" s="78" t="s">
        <v>127</v>
      </c>
      <c r="V52" s="78">
        <v>4.125</v>
      </c>
      <c r="AC52" s="78" t="s">
        <v>52</v>
      </c>
      <c r="AD52" s="78" t="s">
        <v>17</v>
      </c>
      <c r="AE52" s="78" t="s">
        <v>72</v>
      </c>
      <c r="AF52" s="78" t="s">
        <v>51</v>
      </c>
      <c r="AG52" s="78" t="s">
        <v>175</v>
      </c>
      <c r="AH52" s="78">
        <v>4.3022888156892893</v>
      </c>
      <c r="AJ52" s="78" t="s">
        <v>52</v>
      </c>
      <c r="AK52" s="78" t="s">
        <v>17</v>
      </c>
      <c r="AL52" s="78" t="s">
        <v>28</v>
      </c>
      <c r="AM52" s="78" t="s">
        <v>51</v>
      </c>
      <c r="AN52" s="78" t="s">
        <v>175</v>
      </c>
      <c r="AO52" s="78">
        <v>1.4266403402545991</v>
      </c>
      <c r="AR52" s="78" t="s">
        <v>55</v>
      </c>
      <c r="AS52" s="78" t="s">
        <v>20</v>
      </c>
      <c r="AT52" s="78" t="s">
        <v>25</v>
      </c>
      <c r="AU52" s="78" t="s">
        <v>51</v>
      </c>
      <c r="AV52" s="78" t="s">
        <v>96</v>
      </c>
      <c r="AW52" s="78">
        <v>4.375</v>
      </c>
    </row>
    <row r="53" spans="1:49" s="78" customFormat="1">
      <c r="A53" s="78" t="s">
        <v>20</v>
      </c>
      <c r="B53" s="78" t="s">
        <v>55</v>
      </c>
      <c r="C53" s="78" t="s">
        <v>28</v>
      </c>
      <c r="D53" s="78" t="s">
        <v>51</v>
      </c>
      <c r="E53" s="79" t="s">
        <v>215</v>
      </c>
      <c r="F53" s="78">
        <v>1.0803465996762733</v>
      </c>
      <c r="I53" s="76" t="s">
        <v>55</v>
      </c>
      <c r="J53" s="76" t="s">
        <v>20</v>
      </c>
      <c r="K53" s="76" t="s">
        <v>28</v>
      </c>
      <c r="L53" s="76" t="s">
        <v>51</v>
      </c>
      <c r="M53" s="76" t="s">
        <v>125</v>
      </c>
      <c r="N53" s="76">
        <v>1.0507973570751734</v>
      </c>
      <c r="Q53" s="78" t="s">
        <v>55</v>
      </c>
      <c r="R53" s="78" t="s">
        <v>20</v>
      </c>
      <c r="S53" s="78" t="s">
        <v>28</v>
      </c>
      <c r="T53" s="78" t="s">
        <v>51</v>
      </c>
      <c r="U53" s="78" t="s">
        <v>127</v>
      </c>
      <c r="V53" s="78">
        <v>1.0788456950701228</v>
      </c>
      <c r="AC53" s="78" t="s">
        <v>52</v>
      </c>
      <c r="AD53" s="78" t="s">
        <v>17</v>
      </c>
      <c r="AE53" s="78" t="s">
        <v>72</v>
      </c>
      <c r="AF53" s="78" t="s">
        <v>51</v>
      </c>
      <c r="AG53" s="78" t="s">
        <v>176</v>
      </c>
      <c r="AH53" s="78">
        <v>4.3518590182395505</v>
      </c>
      <c r="AJ53" s="78" t="s">
        <v>52</v>
      </c>
      <c r="AK53" s="78" t="s">
        <v>17</v>
      </c>
      <c r="AL53" s="78" t="s">
        <v>28</v>
      </c>
      <c r="AM53" s="78" t="s">
        <v>51</v>
      </c>
      <c r="AN53" s="78" t="s">
        <v>176</v>
      </c>
      <c r="AO53" s="78">
        <v>1.4325538212829705</v>
      </c>
      <c r="AR53" s="78" t="s">
        <v>55</v>
      </c>
      <c r="AS53" s="78" t="s">
        <v>20</v>
      </c>
      <c r="AT53" s="78" t="s">
        <v>28</v>
      </c>
      <c r="AU53" s="78" t="s">
        <v>51</v>
      </c>
      <c r="AV53" s="78" t="s">
        <v>96</v>
      </c>
      <c r="AW53" s="78">
        <v>1.0558453898757869</v>
      </c>
    </row>
    <row r="54" spans="1:49" s="78" customFormat="1">
      <c r="AC54" s="78" t="s">
        <v>52</v>
      </c>
      <c r="AD54" s="78" t="s">
        <v>17</v>
      </c>
      <c r="AE54" s="78" t="s">
        <v>72</v>
      </c>
      <c r="AF54" s="78" t="s">
        <v>51</v>
      </c>
      <c r="AG54" s="78" t="s">
        <v>177</v>
      </c>
      <c r="AH54" s="78">
        <v>4.3460350104353029</v>
      </c>
      <c r="AJ54" s="78" t="s">
        <v>52</v>
      </c>
      <c r="AK54" s="78" t="s">
        <v>17</v>
      </c>
      <c r="AL54" s="78" t="s">
        <v>28</v>
      </c>
      <c r="AM54" s="78" t="s">
        <v>51</v>
      </c>
      <c r="AN54" s="78" t="s">
        <v>177</v>
      </c>
      <c r="AO54" s="78">
        <v>1.4842570423911829</v>
      </c>
    </row>
    <row r="55" spans="1:49" s="78" customFormat="1">
      <c r="AC55" s="78" t="s">
        <v>52</v>
      </c>
      <c r="AD55" s="78" t="s">
        <v>17</v>
      </c>
      <c r="AE55" s="78" t="s">
        <v>72</v>
      </c>
      <c r="AF55" s="78" t="s">
        <v>51</v>
      </c>
      <c r="AG55" s="78" t="s">
        <v>178</v>
      </c>
      <c r="AH55" s="78">
        <v>4.2897559420131923</v>
      </c>
      <c r="AJ55" s="78" t="s">
        <v>52</v>
      </c>
      <c r="AK55" s="78" t="s">
        <v>17</v>
      </c>
      <c r="AL55" s="78" t="s">
        <v>28</v>
      </c>
      <c r="AM55" s="78" t="s">
        <v>51</v>
      </c>
      <c r="AN55" s="78" t="s">
        <v>178</v>
      </c>
      <c r="AO55" s="78">
        <v>1.4796482487599225</v>
      </c>
    </row>
    <row r="56" spans="1:49" s="78" customFormat="1">
      <c r="AC56" s="78" t="s">
        <v>52</v>
      </c>
      <c r="AD56" s="78" t="s">
        <v>17</v>
      </c>
      <c r="AE56" s="78" t="s">
        <v>72</v>
      </c>
      <c r="AF56" s="78" t="s">
        <v>51</v>
      </c>
      <c r="AG56" s="78" t="s">
        <v>179</v>
      </c>
      <c r="AH56" s="78">
        <v>4.2642808417652107</v>
      </c>
      <c r="AJ56" s="78" t="s">
        <v>52</v>
      </c>
      <c r="AK56" s="78" t="s">
        <v>17</v>
      </c>
      <c r="AL56" s="78" t="s">
        <v>28</v>
      </c>
      <c r="AM56" s="78" t="s">
        <v>51</v>
      </c>
      <c r="AN56" s="78" t="s">
        <v>179</v>
      </c>
      <c r="AO56" s="78">
        <v>1.3442992513367309</v>
      </c>
    </row>
    <row r="57" spans="1:49" s="78" customFormat="1">
      <c r="AC57" s="78" t="s">
        <v>52</v>
      </c>
      <c r="AD57" s="78" t="s">
        <v>17</v>
      </c>
      <c r="AE57" s="78" t="s">
        <v>72</v>
      </c>
      <c r="AF57" s="78" t="s">
        <v>51</v>
      </c>
      <c r="AG57" s="78" t="s">
        <v>180</v>
      </c>
      <c r="AH57" s="78">
        <v>4.2642808417652107</v>
      </c>
      <c r="AJ57" s="78" t="s">
        <v>52</v>
      </c>
      <c r="AK57" s="78" t="s">
        <v>17</v>
      </c>
      <c r="AL57" s="78" t="s">
        <v>28</v>
      </c>
      <c r="AM57" s="78" t="s">
        <v>51</v>
      </c>
      <c r="AN57" s="78" t="s">
        <v>180</v>
      </c>
      <c r="AO57" s="78">
        <v>1.3279910966528103</v>
      </c>
    </row>
    <row r="58" spans="1:49" s="78" customFormat="1">
      <c r="AC58" s="78" t="s">
        <v>52</v>
      </c>
      <c r="AD58" s="78" t="s">
        <v>17</v>
      </c>
      <c r="AE58" s="78" t="s">
        <v>72</v>
      </c>
      <c r="AF58" s="78" t="s">
        <v>51</v>
      </c>
      <c r="AG58" s="78" t="s">
        <v>181</v>
      </c>
      <c r="AH58" s="78">
        <v>4.2642808417652107</v>
      </c>
      <c r="AJ58" s="78" t="s">
        <v>52</v>
      </c>
      <c r="AK58" s="78" t="s">
        <v>17</v>
      </c>
      <c r="AL58" s="78" t="s">
        <v>28</v>
      </c>
      <c r="AM58" s="78" t="s">
        <v>51</v>
      </c>
      <c r="AN58" s="78" t="s">
        <v>181</v>
      </c>
      <c r="AO58" s="78">
        <v>1.3056715764918907</v>
      </c>
    </row>
    <row r="59" spans="1:49" s="78" customFormat="1">
      <c r="AC59" s="78" t="s">
        <v>52</v>
      </c>
      <c r="AD59" s="78" t="s">
        <v>17</v>
      </c>
      <c r="AE59" s="78" t="s">
        <v>72</v>
      </c>
      <c r="AF59" s="78" t="s">
        <v>51</v>
      </c>
      <c r="AG59" s="78" t="s">
        <v>182</v>
      </c>
      <c r="AH59" s="78">
        <v>4.2642808417652107</v>
      </c>
      <c r="AJ59" s="78" t="s">
        <v>52</v>
      </c>
      <c r="AK59" s="78" t="s">
        <v>17</v>
      </c>
      <c r="AL59" s="78" t="s">
        <v>28</v>
      </c>
      <c r="AM59" s="78" t="s">
        <v>51</v>
      </c>
      <c r="AN59" s="78" t="s">
        <v>182</v>
      </c>
      <c r="AO59" s="78">
        <v>1.3573902929718507</v>
      </c>
    </row>
    <row r="60" spans="1:49" s="78" customFormat="1">
      <c r="AC60" s="78" t="s">
        <v>52</v>
      </c>
      <c r="AD60" s="78" t="s">
        <v>17</v>
      </c>
      <c r="AE60" s="78" t="s">
        <v>72</v>
      </c>
      <c r="AF60" s="78" t="s">
        <v>51</v>
      </c>
      <c r="AG60" s="78" t="s">
        <v>183</v>
      </c>
      <c r="AH60" s="78">
        <v>4.2642808417652107</v>
      </c>
      <c r="AJ60" s="78" t="s">
        <v>52</v>
      </c>
      <c r="AK60" s="78" t="s">
        <v>17</v>
      </c>
      <c r="AL60" s="78" t="s">
        <v>28</v>
      </c>
      <c r="AM60" s="78" t="s">
        <v>51</v>
      </c>
      <c r="AN60" s="78" t="s">
        <v>183</v>
      </c>
      <c r="AO60" s="78">
        <v>1.4379641427249803</v>
      </c>
    </row>
    <row r="61" spans="1:49" s="78" customFormat="1">
      <c r="AC61" s="78" t="s">
        <v>52</v>
      </c>
      <c r="AD61" s="78" t="s">
        <v>17</v>
      </c>
      <c r="AE61" s="78" t="s">
        <v>72</v>
      </c>
      <c r="AF61" s="78" t="s">
        <v>51</v>
      </c>
      <c r="AG61" s="78" t="s">
        <v>184</v>
      </c>
      <c r="AH61" s="78">
        <v>4.2554972682965033</v>
      </c>
      <c r="AJ61" s="78" t="s">
        <v>52</v>
      </c>
      <c r="AK61" s="78" t="s">
        <v>17</v>
      </c>
      <c r="AL61" s="78" t="s">
        <v>28</v>
      </c>
      <c r="AM61" s="78" t="s">
        <v>51</v>
      </c>
      <c r="AN61" s="78" t="s">
        <v>184</v>
      </c>
      <c r="AO61" s="78">
        <v>1.3658173375018536</v>
      </c>
    </row>
    <row r="62" spans="1:49" s="78" customFormat="1">
      <c r="AC62" s="78" t="s">
        <v>52</v>
      </c>
      <c r="AD62" s="78" t="s">
        <v>17</v>
      </c>
      <c r="AE62" s="78" t="s">
        <v>72</v>
      </c>
      <c r="AF62" s="78" t="s">
        <v>51</v>
      </c>
      <c r="AG62" s="78" t="s">
        <v>185</v>
      </c>
      <c r="AH62" s="78">
        <v>4.3518590182395505</v>
      </c>
      <c r="AJ62" s="125" t="s">
        <v>52</v>
      </c>
      <c r="AK62" s="125" t="s">
        <v>17</v>
      </c>
      <c r="AL62" s="125" t="s">
        <v>28</v>
      </c>
      <c r="AM62" s="125" t="s">
        <v>51</v>
      </c>
      <c r="AN62" s="125" t="s">
        <v>185</v>
      </c>
      <c r="AO62" s="125">
        <v>1.4304106628608606</v>
      </c>
    </row>
    <row r="63" spans="1:49" s="78" customFormat="1">
      <c r="AC63" s="78" t="s">
        <v>52</v>
      </c>
      <c r="AD63" s="78" t="s">
        <v>17</v>
      </c>
      <c r="AE63" s="78" t="s">
        <v>72</v>
      </c>
      <c r="AF63" s="78" t="s">
        <v>51</v>
      </c>
      <c r="AG63" s="78" t="s">
        <v>186</v>
      </c>
      <c r="AH63" s="78">
        <v>4.3402089296616397</v>
      </c>
      <c r="AJ63" s="125" t="s">
        <v>52</v>
      </c>
      <c r="AK63" s="125" t="s">
        <v>17</v>
      </c>
      <c r="AL63" s="125" t="s">
        <v>28</v>
      </c>
      <c r="AM63" s="125" t="s">
        <v>51</v>
      </c>
      <c r="AN63" s="125" t="s">
        <v>186</v>
      </c>
      <c r="AO63" s="125">
        <v>1.4299466031505799</v>
      </c>
    </row>
    <row r="64" spans="1:49" s="78" customFormat="1">
      <c r="AC64" s="78" t="s">
        <v>52</v>
      </c>
      <c r="AD64" s="78" t="s">
        <v>17</v>
      </c>
      <c r="AE64" s="78" t="s">
        <v>72</v>
      </c>
      <c r="AF64" s="78" t="s">
        <v>51</v>
      </c>
      <c r="AG64" s="78" t="s">
        <v>187</v>
      </c>
      <c r="AH64" s="78">
        <v>4.3168838594099084</v>
      </c>
      <c r="AJ64" s="125" t="s">
        <v>52</v>
      </c>
      <c r="AK64" s="125" t="s">
        <v>17</v>
      </c>
      <c r="AL64" s="125" t="s">
        <v>28</v>
      </c>
      <c r="AM64" s="125" t="s">
        <v>51</v>
      </c>
      <c r="AN64" s="125" t="s">
        <v>187</v>
      </c>
      <c r="AO64" s="125">
        <v>1.4569078158252984</v>
      </c>
    </row>
    <row r="65" spans="29:41" s="78" customFormat="1">
      <c r="AC65" s="78" t="s">
        <v>52</v>
      </c>
      <c r="AD65" s="78" t="s">
        <v>17</v>
      </c>
      <c r="AE65" s="78" t="s">
        <v>72</v>
      </c>
      <c r="AF65" s="78" t="s">
        <v>51</v>
      </c>
      <c r="AG65" s="78" t="s">
        <v>188</v>
      </c>
      <c r="AH65" s="78">
        <v>4.3547702450498376</v>
      </c>
      <c r="AJ65" s="125" t="s">
        <v>52</v>
      </c>
      <c r="AK65" s="125" t="s">
        <v>17</v>
      </c>
      <c r="AL65" s="125" t="s">
        <v>28</v>
      </c>
      <c r="AM65" s="125" t="s">
        <v>51</v>
      </c>
      <c r="AN65" s="125" t="s">
        <v>188</v>
      </c>
      <c r="AO65" s="125">
        <v>1.4632492292194674</v>
      </c>
    </row>
    <row r="66" spans="29:41" s="78" customFormat="1">
      <c r="AC66" s="78" t="s">
        <v>52</v>
      </c>
      <c r="AD66" s="78" t="s">
        <v>17</v>
      </c>
      <c r="AE66" s="78" t="s">
        <v>72</v>
      </c>
      <c r="AF66" s="78" t="s">
        <v>51</v>
      </c>
      <c r="AG66" s="78" t="s">
        <v>189</v>
      </c>
      <c r="AH66" s="78">
        <v>4.3780414237322258</v>
      </c>
      <c r="AJ66" s="125" t="s">
        <v>52</v>
      </c>
      <c r="AK66" s="125" t="s">
        <v>17</v>
      </c>
      <c r="AL66" s="125" t="s">
        <v>28</v>
      </c>
      <c r="AM66" s="125" t="s">
        <v>51</v>
      </c>
      <c r="AN66" s="125" t="s">
        <v>189</v>
      </c>
      <c r="AO66" s="125">
        <v>1.5279709851186456</v>
      </c>
    </row>
    <row r="67" spans="29:41" s="78" customFormat="1">
      <c r="AC67" s="78" t="s">
        <v>52</v>
      </c>
      <c r="AD67" s="78" t="s">
        <v>17</v>
      </c>
      <c r="AE67" s="78" t="s">
        <v>72</v>
      </c>
      <c r="AF67" s="78" t="s">
        <v>51</v>
      </c>
      <c r="AG67" s="78" t="s">
        <v>190</v>
      </c>
      <c r="AH67" s="78">
        <v>4.3489472734036934</v>
      </c>
      <c r="AJ67" s="78" t="s">
        <v>52</v>
      </c>
      <c r="AK67" s="78" t="s">
        <v>17</v>
      </c>
      <c r="AL67" s="78" t="s">
        <v>28</v>
      </c>
      <c r="AM67" s="78" t="s">
        <v>51</v>
      </c>
      <c r="AN67" s="78" t="s">
        <v>190</v>
      </c>
      <c r="AO67" s="78">
        <v>1.5028807399108037</v>
      </c>
    </row>
    <row r="68" spans="29:41" s="78" customFormat="1">
      <c r="AC68" s="78" t="s">
        <v>52</v>
      </c>
      <c r="AD68" s="78" t="s">
        <v>17</v>
      </c>
      <c r="AE68" s="78" t="s">
        <v>72</v>
      </c>
      <c r="AF68" s="78" t="s">
        <v>51</v>
      </c>
      <c r="AG68" s="78" t="s">
        <v>191</v>
      </c>
      <c r="AH68" s="78">
        <v>4.2906034235109347</v>
      </c>
      <c r="AJ68" s="78" t="s">
        <v>52</v>
      </c>
      <c r="AK68" s="78" t="s">
        <v>17</v>
      </c>
      <c r="AL68" s="78" t="s">
        <v>28</v>
      </c>
      <c r="AM68" s="78" t="s">
        <v>51</v>
      </c>
      <c r="AN68" s="78" t="s">
        <v>191</v>
      </c>
      <c r="AO68" s="78">
        <v>1.4492362082934953</v>
      </c>
    </row>
    <row r="69" spans="29:41" s="78" customFormat="1">
      <c r="AC69" s="78" t="s">
        <v>52</v>
      </c>
      <c r="AD69" s="78" t="s">
        <v>17</v>
      </c>
      <c r="AE69" s="78" t="s">
        <v>72</v>
      </c>
      <c r="AF69" s="78" t="s">
        <v>51</v>
      </c>
      <c r="AG69" s="78" t="s">
        <v>192</v>
      </c>
      <c r="AH69" s="78">
        <v>4.2085721821838193</v>
      </c>
      <c r="AJ69" s="78" t="s">
        <v>52</v>
      </c>
      <c r="AK69" s="78" t="s">
        <v>17</v>
      </c>
      <c r="AL69" s="78" t="s">
        <v>28</v>
      </c>
      <c r="AM69" s="78" t="s">
        <v>51</v>
      </c>
      <c r="AN69" s="78" t="s">
        <v>192</v>
      </c>
      <c r="AO69" s="78">
        <v>1.3960132397472698</v>
      </c>
    </row>
    <row r="70" spans="29:41" s="78" customFormat="1">
      <c r="AC70" s="78" t="s">
        <v>52</v>
      </c>
      <c r="AD70" s="78" t="s">
        <v>17</v>
      </c>
      <c r="AE70" s="78" t="s">
        <v>72</v>
      </c>
      <c r="AF70" s="78" t="s">
        <v>51</v>
      </c>
      <c r="AG70" s="78" t="s">
        <v>193</v>
      </c>
      <c r="AH70" s="78">
        <v>4.3751343371947211</v>
      </c>
      <c r="AJ70" s="78" t="s">
        <v>52</v>
      </c>
      <c r="AK70" s="78" t="s">
        <v>17</v>
      </c>
      <c r="AL70" s="78" t="s">
        <v>28</v>
      </c>
      <c r="AM70" s="78" t="s">
        <v>51</v>
      </c>
      <c r="AN70" s="78" t="s">
        <v>193</v>
      </c>
      <c r="AO70" s="78">
        <v>1.4878260656745013</v>
      </c>
    </row>
    <row r="71" spans="29:41" s="78" customFormat="1">
      <c r="AC71" s="78" t="s">
        <v>52</v>
      </c>
      <c r="AD71" s="78" t="s">
        <v>17</v>
      </c>
      <c r="AE71" s="78" t="s">
        <v>72</v>
      </c>
      <c r="AF71" s="78" t="s">
        <v>51</v>
      </c>
      <c r="AG71" s="78" t="s">
        <v>194</v>
      </c>
      <c r="AH71" s="78">
        <v>4.3751343371947211</v>
      </c>
      <c r="AJ71" s="78" t="s">
        <v>52</v>
      </c>
      <c r="AK71" s="78" t="s">
        <v>17</v>
      </c>
      <c r="AL71" s="78" t="s">
        <v>28</v>
      </c>
      <c r="AM71" s="78" t="s">
        <v>51</v>
      </c>
      <c r="AN71" s="78" t="s">
        <v>194</v>
      </c>
      <c r="AO71" s="78">
        <v>1.4138992097684413</v>
      </c>
    </row>
    <row r="72" spans="29:41" s="78" customFormat="1">
      <c r="AC72" s="78" t="s">
        <v>52</v>
      </c>
      <c r="AD72" s="78" t="s">
        <v>17</v>
      </c>
      <c r="AE72" s="78" t="s">
        <v>72</v>
      </c>
      <c r="AF72" s="78" t="s">
        <v>51</v>
      </c>
      <c r="AG72" s="78" t="s">
        <v>195</v>
      </c>
      <c r="AH72" s="78">
        <v>4.4783040201842867</v>
      </c>
      <c r="AJ72" s="78" t="s">
        <v>52</v>
      </c>
      <c r="AK72" s="78" t="s">
        <v>17</v>
      </c>
      <c r="AL72" s="78" t="s">
        <v>28</v>
      </c>
      <c r="AM72" s="78" t="s">
        <v>51</v>
      </c>
      <c r="AN72" s="78" t="s">
        <v>195</v>
      </c>
      <c r="AO72" s="78">
        <v>1.4038895886105365</v>
      </c>
    </row>
    <row r="73" spans="29:41" s="78" customFormat="1">
      <c r="AC73" s="78" t="s">
        <v>52</v>
      </c>
      <c r="AD73" s="78" t="s">
        <v>17</v>
      </c>
      <c r="AE73" s="78" t="s">
        <v>72</v>
      </c>
      <c r="AF73" s="78" t="s">
        <v>51</v>
      </c>
      <c r="AG73" s="78" t="s">
        <v>196</v>
      </c>
      <c r="AH73" s="78">
        <v>4.4204074273666594</v>
      </c>
      <c r="AJ73" s="78" t="s">
        <v>52</v>
      </c>
      <c r="AK73" s="78" t="s">
        <v>17</v>
      </c>
      <c r="AL73" s="78" t="s">
        <v>28</v>
      </c>
      <c r="AM73" s="78" t="s">
        <v>51</v>
      </c>
      <c r="AN73" s="78" t="s">
        <v>196</v>
      </c>
      <c r="AO73" s="78">
        <v>1.3947325637516592</v>
      </c>
    </row>
    <row r="74" spans="29:41" s="78" customFormat="1">
      <c r="AC74" s="78" t="s">
        <v>52</v>
      </c>
      <c r="AD74" s="78" t="s">
        <v>17</v>
      </c>
      <c r="AE74" s="78" t="s">
        <v>72</v>
      </c>
      <c r="AF74" s="78" t="s">
        <v>51</v>
      </c>
      <c r="AG74" s="78" t="s">
        <v>197</v>
      </c>
      <c r="AH74" s="78">
        <v>4.506877778796885</v>
      </c>
      <c r="AJ74" s="78" t="s">
        <v>52</v>
      </c>
      <c r="AK74" s="78" t="s">
        <v>17</v>
      </c>
      <c r="AL74" s="78" t="s">
        <v>28</v>
      </c>
      <c r="AM74" s="78" t="s">
        <v>51</v>
      </c>
      <c r="AN74" s="78" t="s">
        <v>197</v>
      </c>
      <c r="AO74" s="78">
        <v>1.3883388536850154</v>
      </c>
    </row>
    <row r="75" spans="29:41" s="78" customFormat="1">
      <c r="AC75" s="78" t="s">
        <v>52</v>
      </c>
      <c r="AD75" s="78" t="s">
        <v>17</v>
      </c>
      <c r="AE75" s="78" t="s">
        <v>72</v>
      </c>
      <c r="AF75" s="78" t="s">
        <v>51</v>
      </c>
      <c r="AG75" s="78" t="s">
        <v>198</v>
      </c>
      <c r="AH75" s="78">
        <v>4.4982195751567664</v>
      </c>
      <c r="AJ75" s="78" t="s">
        <v>52</v>
      </c>
      <c r="AK75" s="78" t="s">
        <v>17</v>
      </c>
      <c r="AL75" s="78" t="s">
        <v>28</v>
      </c>
      <c r="AM75" s="78" t="s">
        <v>51</v>
      </c>
      <c r="AN75" s="78" t="s">
        <v>198</v>
      </c>
      <c r="AO75" s="78">
        <v>1.4129915036196865</v>
      </c>
    </row>
    <row r="76" spans="29:41" s="78" customFormat="1">
      <c r="AC76" s="78" t="s">
        <v>52</v>
      </c>
      <c r="AD76" s="78" t="s">
        <v>17</v>
      </c>
      <c r="AE76" s="78" t="s">
        <v>72</v>
      </c>
      <c r="AF76" s="78" t="s">
        <v>51</v>
      </c>
      <c r="AG76" s="78" t="s">
        <v>199</v>
      </c>
      <c r="AH76" s="78">
        <v>4.5731051550143587</v>
      </c>
      <c r="AJ76" s="78" t="s">
        <v>52</v>
      </c>
      <c r="AK76" s="78" t="s">
        <v>17</v>
      </c>
      <c r="AL76" s="78" t="s">
        <v>28</v>
      </c>
      <c r="AM76" s="78" t="s">
        <v>51</v>
      </c>
      <c r="AN76" s="78" t="s">
        <v>199</v>
      </c>
      <c r="AO76" s="78">
        <v>1.4438055753897185</v>
      </c>
    </row>
    <row r="77" spans="29:41" s="78" customFormat="1">
      <c r="AC77" s="78" t="s">
        <v>52</v>
      </c>
      <c r="AD77" s="78" t="s">
        <v>17</v>
      </c>
      <c r="AE77" s="78" t="s">
        <v>72</v>
      </c>
      <c r="AF77" s="78" t="s">
        <v>51</v>
      </c>
      <c r="AG77" s="78" t="s">
        <v>200</v>
      </c>
      <c r="AH77" s="78">
        <v>4.6190180362729505</v>
      </c>
      <c r="AJ77" s="78" t="s">
        <v>52</v>
      </c>
      <c r="AK77" s="78" t="s">
        <v>17</v>
      </c>
      <c r="AL77" s="78" t="s">
        <v>28</v>
      </c>
      <c r="AM77" s="78" t="s">
        <v>51</v>
      </c>
      <c r="AN77" s="78" t="s">
        <v>200</v>
      </c>
      <c r="AO77" s="78">
        <v>1.4416733602801102</v>
      </c>
    </row>
    <row r="78" spans="29:41" s="78" customFormat="1">
      <c r="AC78" s="78" t="s">
        <v>52</v>
      </c>
      <c r="AD78" s="78" t="s">
        <v>17</v>
      </c>
      <c r="AE78" s="78" t="s">
        <v>72</v>
      </c>
      <c r="AF78" s="78" t="s">
        <v>51</v>
      </c>
      <c r="AG78" s="78" t="s">
        <v>201</v>
      </c>
      <c r="AH78" s="78">
        <v>4.5446319580999752</v>
      </c>
      <c r="AJ78" s="78" t="s">
        <v>52</v>
      </c>
      <c r="AK78" s="78" t="s">
        <v>17</v>
      </c>
      <c r="AL78" s="78" t="s">
        <v>28</v>
      </c>
      <c r="AM78" s="78" t="s">
        <v>51</v>
      </c>
      <c r="AN78" s="78" t="s">
        <v>201</v>
      </c>
      <c r="AO78" s="78">
        <v>1.4685166448949154</v>
      </c>
    </row>
    <row r="79" spans="29:41" s="78" customFormat="1">
      <c r="AC79" s="78" t="s">
        <v>52</v>
      </c>
      <c r="AD79" s="78" t="s">
        <v>17</v>
      </c>
      <c r="AE79" s="78" t="s">
        <v>72</v>
      </c>
      <c r="AF79" s="78" t="s">
        <v>51</v>
      </c>
      <c r="AG79" s="78" t="s">
        <v>202</v>
      </c>
      <c r="AH79" s="78">
        <v>4.5273550581154201</v>
      </c>
      <c r="AJ79" s="78" t="s">
        <v>52</v>
      </c>
      <c r="AK79" s="78" t="s">
        <v>17</v>
      </c>
      <c r="AL79" s="78" t="s">
        <v>28</v>
      </c>
      <c r="AM79" s="78" t="s">
        <v>51</v>
      </c>
      <c r="AN79" s="78" t="s">
        <v>202</v>
      </c>
      <c r="AO79" s="78">
        <v>1.4354149301418599</v>
      </c>
    </row>
    <row r="80" spans="29:41" s="78" customFormat="1">
      <c r="AC80" s="78" t="s">
        <v>52</v>
      </c>
      <c r="AD80" s="78" t="s">
        <v>17</v>
      </c>
      <c r="AE80" s="78" t="s">
        <v>72</v>
      </c>
      <c r="AF80" s="78" t="s">
        <v>51</v>
      </c>
      <c r="AG80" s="78" t="s">
        <v>203</v>
      </c>
      <c r="AH80" s="78">
        <v>4.5302358163273126</v>
      </c>
      <c r="AJ80" s="78" t="s">
        <v>52</v>
      </c>
      <c r="AK80" s="78" t="s">
        <v>17</v>
      </c>
      <c r="AL80" s="78" t="s">
        <v>28</v>
      </c>
      <c r="AM80" s="78" t="s">
        <v>51</v>
      </c>
      <c r="AN80" s="78" t="s">
        <v>203</v>
      </c>
      <c r="AO80" s="78">
        <v>1.4453873103770127</v>
      </c>
    </row>
    <row r="81" spans="1:49" s="77" customFormat="1">
      <c r="A81" s="78"/>
      <c r="B81" s="78"/>
      <c r="C81" s="78"/>
      <c r="D81" s="78"/>
      <c r="E81" s="78"/>
      <c r="F81" s="78"/>
      <c r="I81" s="78"/>
      <c r="J81" s="78"/>
      <c r="K81" s="78"/>
      <c r="L81" s="78"/>
      <c r="M81" s="78"/>
      <c r="N81" s="78"/>
      <c r="Q81" s="78"/>
      <c r="R81" s="78"/>
      <c r="S81" s="78"/>
      <c r="T81" s="78"/>
      <c r="U81" s="78"/>
      <c r="V81" s="78"/>
      <c r="X81" s="78"/>
      <c r="Y81" s="78"/>
      <c r="Z81" s="78"/>
      <c r="AA81" s="78"/>
      <c r="AC81" s="78" t="s">
        <v>52</v>
      </c>
      <c r="AD81" s="78" t="s">
        <v>17</v>
      </c>
      <c r="AE81" s="78" t="s">
        <v>72</v>
      </c>
      <c r="AF81" s="78" t="s">
        <v>51</v>
      </c>
      <c r="AG81" s="78" t="s">
        <v>204</v>
      </c>
      <c r="AH81" s="78">
        <v>4.4927461331875742</v>
      </c>
      <c r="AJ81" s="78" t="s">
        <v>52</v>
      </c>
      <c r="AK81" s="78" t="s">
        <v>17</v>
      </c>
      <c r="AL81" s="78" t="s">
        <v>28</v>
      </c>
      <c r="AM81" s="78" t="s">
        <v>51</v>
      </c>
      <c r="AN81" s="78" t="s">
        <v>204</v>
      </c>
      <c r="AO81" s="78">
        <v>1.4390058429308146</v>
      </c>
      <c r="AR81" s="78"/>
      <c r="AS81" s="78"/>
      <c r="AT81" s="78"/>
      <c r="AU81" s="78"/>
      <c r="AV81" s="78"/>
      <c r="AW81" s="78"/>
    </row>
    <row r="82" spans="1:49" s="77" customFormat="1">
      <c r="A82" s="78"/>
      <c r="B82" s="78"/>
      <c r="C82" s="78"/>
      <c r="D82" s="78"/>
      <c r="E82" s="78"/>
      <c r="F82" s="78"/>
      <c r="I82" s="78"/>
      <c r="J82" s="78"/>
      <c r="K82" s="78"/>
      <c r="L82" s="78"/>
      <c r="M82" s="78"/>
      <c r="N82" s="78"/>
      <c r="Q82" s="78"/>
      <c r="R82" s="78"/>
      <c r="S82" s="78"/>
      <c r="T82" s="78"/>
      <c r="U82" s="78"/>
      <c r="V82" s="78"/>
      <c r="AC82" s="78" t="s">
        <v>52</v>
      </c>
      <c r="AD82" s="78" t="s">
        <v>17</v>
      </c>
      <c r="AE82" s="78" t="s">
        <v>72</v>
      </c>
      <c r="AF82" s="78" t="s">
        <v>51</v>
      </c>
      <c r="AG82" s="78" t="s">
        <v>205</v>
      </c>
      <c r="AH82" s="78">
        <v>4.5014052622718115</v>
      </c>
      <c r="AJ82" s="78" t="s">
        <v>52</v>
      </c>
      <c r="AK82" s="78" t="s">
        <v>17</v>
      </c>
      <c r="AL82" s="78" t="s">
        <v>28</v>
      </c>
      <c r="AM82" s="78" t="s">
        <v>51</v>
      </c>
      <c r="AN82" s="78" t="s">
        <v>205</v>
      </c>
      <c r="AO82" s="78">
        <v>1.4692437380368819</v>
      </c>
      <c r="AR82" s="78"/>
      <c r="AS82" s="78"/>
      <c r="AT82" s="78"/>
      <c r="AU82" s="78"/>
      <c r="AV82" s="78"/>
      <c r="AW82" s="78"/>
    </row>
    <row r="83" spans="1:49" s="77" customFormat="1">
      <c r="A83" s="78"/>
      <c r="B83" s="78"/>
      <c r="C83" s="78"/>
      <c r="D83" s="78"/>
      <c r="E83" s="78"/>
      <c r="F83" s="78"/>
      <c r="I83" s="78"/>
      <c r="J83" s="78"/>
      <c r="K83" s="78"/>
      <c r="L83" s="78"/>
      <c r="M83" s="78"/>
      <c r="N83" s="78"/>
      <c r="Q83" s="78"/>
      <c r="R83" s="78"/>
      <c r="S83" s="78"/>
      <c r="T83" s="78"/>
      <c r="U83" s="78"/>
      <c r="V83" s="78"/>
      <c r="AC83" s="78" t="s">
        <v>52</v>
      </c>
      <c r="AD83" s="78" t="s">
        <v>17</v>
      </c>
      <c r="AE83" s="78" t="s">
        <v>72</v>
      </c>
      <c r="AF83" s="78" t="s">
        <v>51</v>
      </c>
      <c r="AG83" s="78" t="s">
        <v>206</v>
      </c>
      <c r="AH83" s="78">
        <v>4.4464862944264567</v>
      </c>
      <c r="AJ83" s="78" t="s">
        <v>52</v>
      </c>
      <c r="AK83" s="78" t="s">
        <v>17</v>
      </c>
      <c r="AL83" s="78" t="s">
        <v>28</v>
      </c>
      <c r="AM83" s="78" t="s">
        <v>51</v>
      </c>
      <c r="AN83" s="78" t="s">
        <v>206</v>
      </c>
      <c r="AO83" s="78">
        <v>1.3996843817032874</v>
      </c>
      <c r="AR83" s="78"/>
      <c r="AS83" s="78"/>
      <c r="AT83" s="78"/>
      <c r="AU83" s="78"/>
      <c r="AV83" s="78"/>
      <c r="AW83" s="78"/>
    </row>
    <row r="84" spans="1:49" s="77" customFormat="1">
      <c r="A84" s="78"/>
      <c r="B84" s="78"/>
      <c r="C84" s="78"/>
      <c r="D84" s="78"/>
      <c r="E84" s="78"/>
      <c r="F84" s="78"/>
      <c r="I84" s="78"/>
      <c r="J84" s="78"/>
      <c r="K84" s="78"/>
      <c r="L84" s="78"/>
      <c r="M84" s="78"/>
      <c r="N84" s="78"/>
      <c r="Q84" s="78"/>
      <c r="R84" s="78"/>
      <c r="S84" s="78"/>
      <c r="T84" s="78"/>
      <c r="U84" s="78"/>
      <c r="V84" s="78"/>
      <c r="AC84" s="125" t="s">
        <v>52</v>
      </c>
      <c r="AD84" s="125" t="s">
        <v>17</v>
      </c>
      <c r="AE84" s="125" t="s">
        <v>72</v>
      </c>
      <c r="AF84" s="125" t="s">
        <v>51</v>
      </c>
      <c r="AG84" s="125" t="s">
        <v>207</v>
      </c>
      <c r="AH84" s="125">
        <v>4.4088034557948594</v>
      </c>
      <c r="AJ84" s="78" t="s">
        <v>52</v>
      </c>
      <c r="AK84" s="78" t="s">
        <v>17</v>
      </c>
      <c r="AL84" s="78" t="s">
        <v>28</v>
      </c>
      <c r="AM84" s="78" t="s">
        <v>51</v>
      </c>
      <c r="AN84" s="78" t="s">
        <v>207</v>
      </c>
      <c r="AO84" s="78">
        <v>1.4265860519031293</v>
      </c>
      <c r="AR84" s="78"/>
      <c r="AS84" s="78"/>
      <c r="AT84" s="78"/>
      <c r="AU84" s="78"/>
      <c r="AV84" s="78"/>
      <c r="AW84" s="78"/>
    </row>
    <row r="85" spans="1:49" s="77" customFormat="1">
      <c r="A85" s="78"/>
      <c r="B85" s="78"/>
      <c r="C85" s="78"/>
      <c r="D85" s="78"/>
      <c r="E85" s="78"/>
      <c r="F85" s="78"/>
      <c r="I85" s="78"/>
      <c r="J85" s="78"/>
      <c r="K85" s="78"/>
      <c r="L85" s="78"/>
      <c r="M85" s="78"/>
      <c r="N85" s="78"/>
      <c r="Q85" s="78"/>
      <c r="R85" s="78"/>
      <c r="S85" s="78"/>
      <c r="T85" s="78"/>
      <c r="U85" s="78"/>
      <c r="V85" s="78"/>
      <c r="AC85" s="125" t="s">
        <v>52</v>
      </c>
      <c r="AD85" s="125" t="s">
        <v>17</v>
      </c>
      <c r="AE85" s="125" t="s">
        <v>72</v>
      </c>
      <c r="AF85" s="125" t="s">
        <v>51</v>
      </c>
      <c r="AG85" s="125" t="s">
        <v>208</v>
      </c>
      <c r="AH85" s="125">
        <v>4.4493813788399832</v>
      </c>
      <c r="AJ85" s="78" t="s">
        <v>52</v>
      </c>
      <c r="AK85" s="78" t="s">
        <v>17</v>
      </c>
      <c r="AL85" s="78" t="s">
        <v>28</v>
      </c>
      <c r="AM85" s="78" t="s">
        <v>51</v>
      </c>
      <c r="AN85" s="78" t="s">
        <v>208</v>
      </c>
      <c r="AO85" s="78">
        <v>1.3732244901243731</v>
      </c>
      <c r="AR85" s="78"/>
      <c r="AS85" s="78"/>
      <c r="AT85" s="78"/>
      <c r="AU85" s="78"/>
      <c r="AV85" s="78"/>
      <c r="AW85" s="78"/>
    </row>
    <row r="86" spans="1:49" s="77" customFormat="1">
      <c r="A86" s="78"/>
      <c r="B86" s="78"/>
      <c r="C86" s="78"/>
      <c r="D86" s="78"/>
      <c r="E86" s="78"/>
      <c r="F86" s="78"/>
      <c r="I86" s="78"/>
      <c r="J86" s="78"/>
      <c r="K86" s="78"/>
      <c r="L86" s="78"/>
      <c r="M86" s="78"/>
      <c r="N86" s="78"/>
      <c r="Q86" s="78"/>
      <c r="R86" s="78"/>
      <c r="S86" s="78"/>
      <c r="T86" s="78"/>
      <c r="U86" s="78"/>
      <c r="V86" s="78"/>
      <c r="AC86" s="125" t="s">
        <v>52</v>
      </c>
      <c r="AD86" s="125" t="s">
        <v>17</v>
      </c>
      <c r="AE86" s="125" t="s">
        <v>72</v>
      </c>
      <c r="AF86" s="125" t="s">
        <v>51</v>
      </c>
      <c r="AG86" s="125" t="s">
        <v>209</v>
      </c>
      <c r="AH86" s="125">
        <v>4.5270624197579012</v>
      </c>
      <c r="AJ86" s="78" t="s">
        <v>52</v>
      </c>
      <c r="AK86" s="78" t="s">
        <v>17</v>
      </c>
      <c r="AL86" s="78" t="s">
        <v>28</v>
      </c>
      <c r="AM86" s="78" t="s">
        <v>51</v>
      </c>
      <c r="AN86" s="78" t="s">
        <v>209</v>
      </c>
      <c r="AO86" s="78">
        <v>1.4051578986780211</v>
      </c>
      <c r="AR86" s="78"/>
      <c r="AS86" s="78"/>
      <c r="AT86" s="78"/>
      <c r="AU86" s="78"/>
      <c r="AV86" s="78"/>
      <c r="AW86" s="78"/>
    </row>
    <row r="87" spans="1:49" s="77" customFormat="1">
      <c r="A87" s="78"/>
      <c r="B87" s="78"/>
      <c r="C87" s="78"/>
      <c r="D87" s="78"/>
      <c r="E87" s="78"/>
      <c r="F87" s="78"/>
      <c r="I87" s="78"/>
      <c r="J87" s="78"/>
      <c r="K87" s="78"/>
      <c r="L87" s="78"/>
      <c r="M87" s="78"/>
      <c r="N87" s="78"/>
      <c r="Q87" s="78"/>
      <c r="R87" s="78"/>
      <c r="S87" s="78"/>
      <c r="T87" s="78"/>
      <c r="U87" s="78"/>
      <c r="V87" s="78"/>
      <c r="AC87" s="125" t="s">
        <v>52</v>
      </c>
      <c r="AD87" s="125" t="s">
        <v>17</v>
      </c>
      <c r="AE87" s="125" t="s">
        <v>72</v>
      </c>
      <c r="AF87" s="125" t="s">
        <v>51</v>
      </c>
      <c r="AG87" s="125" t="s">
        <v>210</v>
      </c>
      <c r="AH87" s="125">
        <v>4.4895567814149242</v>
      </c>
      <c r="AJ87" s="78" t="s">
        <v>52</v>
      </c>
      <c r="AK87" s="78" t="s">
        <v>17</v>
      </c>
      <c r="AL87" s="78" t="s">
        <v>28</v>
      </c>
      <c r="AM87" s="78" t="s">
        <v>51</v>
      </c>
      <c r="AN87" s="78" t="s">
        <v>210</v>
      </c>
      <c r="AO87" s="78">
        <v>1.3982961709898136</v>
      </c>
      <c r="AR87" s="78"/>
      <c r="AS87" s="78"/>
      <c r="AT87" s="78"/>
      <c r="AU87" s="78"/>
      <c r="AV87" s="78"/>
      <c r="AW87" s="78"/>
    </row>
    <row r="88" spans="1:49" s="77" customFormat="1">
      <c r="A88" s="78"/>
      <c r="B88" s="78"/>
      <c r="C88" s="78"/>
      <c r="D88" s="78"/>
      <c r="E88" s="78"/>
      <c r="F88" s="78"/>
      <c r="I88" s="78"/>
      <c r="J88" s="78"/>
      <c r="K88" s="78"/>
      <c r="L88" s="78"/>
      <c r="M88" s="78"/>
      <c r="N88" s="78"/>
      <c r="Q88" s="78"/>
      <c r="R88" s="78"/>
      <c r="S88" s="78"/>
      <c r="T88" s="78"/>
      <c r="U88" s="78"/>
      <c r="V88" s="78"/>
      <c r="AC88" s="125" t="s">
        <v>52</v>
      </c>
      <c r="AD88" s="125" t="s">
        <v>17</v>
      </c>
      <c r="AE88" s="125" t="s">
        <v>72</v>
      </c>
      <c r="AF88" s="125" t="s">
        <v>51</v>
      </c>
      <c r="AG88" s="125" t="s">
        <v>211</v>
      </c>
      <c r="AH88" s="125">
        <v>4.5011061529054421</v>
      </c>
      <c r="AJ88" s="78" t="s">
        <v>52</v>
      </c>
      <c r="AK88" s="78" t="s">
        <v>17</v>
      </c>
      <c r="AL88" s="78" t="s">
        <v>28</v>
      </c>
      <c r="AM88" s="78" t="s">
        <v>51</v>
      </c>
      <c r="AN88" s="78" t="s">
        <v>211</v>
      </c>
      <c r="AO88" s="78">
        <v>1.3852138453509022</v>
      </c>
      <c r="AR88" s="78"/>
      <c r="AS88" s="78"/>
      <c r="AT88" s="78"/>
      <c r="AU88" s="78"/>
      <c r="AV88" s="78"/>
      <c r="AW88" s="78"/>
    </row>
    <row r="89" spans="1:49" s="77" customFormat="1">
      <c r="A89" s="78"/>
      <c r="B89" s="78"/>
      <c r="C89" s="78"/>
      <c r="D89" s="78"/>
      <c r="E89" s="78"/>
      <c r="F89" s="78"/>
      <c r="I89" s="78"/>
      <c r="J89" s="78"/>
      <c r="K89" s="78"/>
      <c r="L89" s="78"/>
      <c r="M89" s="78"/>
      <c r="N89" s="78"/>
      <c r="Q89" s="78"/>
      <c r="R89" s="78"/>
      <c r="S89" s="78"/>
      <c r="T89" s="78"/>
      <c r="U89" s="78"/>
      <c r="V89" s="78"/>
      <c r="AC89" s="125" t="s">
        <v>52</v>
      </c>
      <c r="AD89" s="125" t="s">
        <v>17</v>
      </c>
      <c r="AE89" s="125" t="s">
        <v>72</v>
      </c>
      <c r="AF89" s="125" t="s">
        <v>51</v>
      </c>
      <c r="AG89" s="125" t="s">
        <v>212</v>
      </c>
      <c r="AH89" s="125">
        <v>4.6052695045580423</v>
      </c>
      <c r="AJ89" s="78" t="s">
        <v>52</v>
      </c>
      <c r="AK89" s="78" t="s">
        <v>17</v>
      </c>
      <c r="AL89" s="78" t="s">
        <v>28</v>
      </c>
      <c r="AM89" s="78" t="s">
        <v>51</v>
      </c>
      <c r="AN89" s="78" t="s">
        <v>212</v>
      </c>
      <c r="AO89" s="78">
        <v>1.4030007101246917</v>
      </c>
      <c r="AR89" s="78"/>
      <c r="AS89" s="78"/>
      <c r="AT89" s="78"/>
      <c r="AU89" s="78"/>
      <c r="AV89" s="78"/>
      <c r="AW89" s="78"/>
    </row>
    <row r="90" spans="1:49" s="77" customFormat="1">
      <c r="A90" s="78"/>
      <c r="B90" s="78"/>
      <c r="C90" s="78"/>
      <c r="D90" s="78"/>
      <c r="E90" s="78"/>
      <c r="F90" s="78"/>
      <c r="I90" s="78"/>
      <c r="J90" s="78"/>
      <c r="K90" s="78"/>
      <c r="L90" s="78"/>
      <c r="M90" s="78"/>
      <c r="N90" s="78"/>
      <c r="Q90" s="78"/>
      <c r="R90" s="78"/>
      <c r="S90" s="78"/>
      <c r="T90" s="78"/>
      <c r="U90" s="78"/>
      <c r="V90" s="78"/>
      <c r="AC90" s="125" t="s">
        <v>52</v>
      </c>
      <c r="AD90" s="125" t="s">
        <v>17</v>
      </c>
      <c r="AE90" s="125" t="s">
        <v>72</v>
      </c>
      <c r="AF90" s="125" t="s">
        <v>51</v>
      </c>
      <c r="AG90" s="125" t="s">
        <v>213</v>
      </c>
      <c r="AH90" s="125">
        <v>4.5759785098962773</v>
      </c>
      <c r="AJ90" s="78" t="s">
        <v>52</v>
      </c>
      <c r="AK90" s="78" t="s">
        <v>17</v>
      </c>
      <c r="AL90" s="78" t="s">
        <v>28</v>
      </c>
      <c r="AM90" s="78" t="s">
        <v>51</v>
      </c>
      <c r="AN90" s="78" t="s">
        <v>213</v>
      </c>
      <c r="AO90" s="78">
        <v>1.4907915899279671</v>
      </c>
      <c r="AR90" s="78"/>
      <c r="AS90" s="78"/>
      <c r="AT90" s="78"/>
      <c r="AU90" s="78"/>
      <c r="AV90" s="78"/>
      <c r="AW90" s="78"/>
    </row>
    <row r="91" spans="1:49" s="77" customFormat="1">
      <c r="A91" s="78"/>
      <c r="B91" s="78"/>
      <c r="C91" s="78"/>
      <c r="D91" s="78"/>
      <c r="E91" s="78"/>
      <c r="F91" s="78"/>
      <c r="I91" s="78"/>
      <c r="J91" s="78"/>
      <c r="K91" s="78"/>
      <c r="L91" s="78"/>
      <c r="M91" s="78"/>
      <c r="N91" s="78"/>
      <c r="Q91" s="78"/>
      <c r="R91" s="78"/>
      <c r="S91" s="78"/>
      <c r="T91" s="78"/>
      <c r="U91" s="78"/>
      <c r="V91" s="78"/>
      <c r="AC91" s="78" t="s">
        <v>52</v>
      </c>
      <c r="AD91" s="78" t="s">
        <v>17</v>
      </c>
      <c r="AE91" s="78" t="s">
        <v>72</v>
      </c>
      <c r="AF91" s="78" t="s">
        <v>51</v>
      </c>
      <c r="AG91" s="78" t="s">
        <v>98</v>
      </c>
      <c r="AH91" s="78">
        <v>4.4924448895185813</v>
      </c>
      <c r="AJ91" s="78" t="s">
        <v>52</v>
      </c>
      <c r="AK91" s="78" t="s">
        <v>17</v>
      </c>
      <c r="AL91" s="78" t="s">
        <v>28</v>
      </c>
      <c r="AM91" s="78" t="s">
        <v>51</v>
      </c>
      <c r="AN91" s="78" t="s">
        <v>98</v>
      </c>
      <c r="AO91" s="78">
        <v>1.4191644462264212</v>
      </c>
      <c r="AR91" s="78"/>
      <c r="AS91" s="78"/>
      <c r="AT91" s="78"/>
      <c r="AU91" s="78"/>
      <c r="AV91" s="78"/>
      <c r="AW91" s="78"/>
    </row>
    <row r="92" spans="1:49" s="77" customFormat="1">
      <c r="A92" s="78"/>
      <c r="B92" s="78"/>
      <c r="C92" s="78"/>
      <c r="D92" s="78"/>
      <c r="E92" s="78"/>
      <c r="F92" s="78"/>
      <c r="I92" s="78"/>
      <c r="J92" s="78"/>
      <c r="K92" s="78"/>
      <c r="L92" s="78"/>
      <c r="M92" s="78"/>
      <c r="N92" s="78"/>
      <c r="Q92" s="78"/>
      <c r="R92" s="78"/>
      <c r="S92" s="78"/>
      <c r="T92" s="78"/>
      <c r="U92" s="78"/>
      <c r="V92" s="78"/>
      <c r="AC92" s="78" t="s">
        <v>52</v>
      </c>
      <c r="AD92" s="78" t="s">
        <v>17</v>
      </c>
      <c r="AE92" s="78" t="s">
        <v>72</v>
      </c>
      <c r="AF92" s="78" t="s">
        <v>51</v>
      </c>
      <c r="AG92" s="78" t="s">
        <v>96</v>
      </c>
      <c r="AH92" s="78">
        <v>4.6333392501361672</v>
      </c>
      <c r="AJ92" s="78" t="s">
        <v>52</v>
      </c>
      <c r="AK92" s="78" t="s">
        <v>17</v>
      </c>
      <c r="AL92" s="78" t="s">
        <v>28</v>
      </c>
      <c r="AM92" s="78" t="s">
        <v>51</v>
      </c>
      <c r="AN92" s="78" t="s">
        <v>96</v>
      </c>
      <c r="AO92" s="78">
        <v>1.4705739977736068</v>
      </c>
      <c r="AR92" s="78"/>
      <c r="AS92" s="78"/>
      <c r="AT92" s="78"/>
      <c r="AU92" s="78"/>
      <c r="AV92" s="78"/>
      <c r="AW92" s="78"/>
    </row>
    <row r="93" spans="1:49" s="77" customFormat="1">
      <c r="A93" s="78"/>
      <c r="B93" s="78"/>
      <c r="C93" s="78"/>
      <c r="D93" s="78"/>
      <c r="E93" s="78"/>
      <c r="F93" s="78"/>
      <c r="I93" s="78"/>
      <c r="J93" s="78"/>
      <c r="K93" s="78"/>
      <c r="L93" s="78"/>
      <c r="M93" s="78"/>
      <c r="N93" s="78"/>
      <c r="Q93" s="78"/>
      <c r="R93" s="78"/>
      <c r="S93" s="78"/>
      <c r="T93" s="78"/>
      <c r="U93" s="78"/>
      <c r="V93" s="78"/>
      <c r="AC93" s="78" t="s">
        <v>52</v>
      </c>
      <c r="AD93" s="78" t="s">
        <v>17</v>
      </c>
      <c r="AE93" s="78" t="s">
        <v>72</v>
      </c>
      <c r="AF93" s="78" t="s">
        <v>51</v>
      </c>
      <c r="AG93" s="78" t="s">
        <v>97</v>
      </c>
      <c r="AH93" s="78">
        <v>4.5673569234199736</v>
      </c>
      <c r="AJ93" s="78" t="s">
        <v>52</v>
      </c>
      <c r="AK93" s="78" t="s">
        <v>17</v>
      </c>
      <c r="AL93" s="78" t="s">
        <v>28</v>
      </c>
      <c r="AM93" s="78" t="s">
        <v>51</v>
      </c>
      <c r="AN93" s="78" t="s">
        <v>97</v>
      </c>
      <c r="AO93" s="78">
        <v>1.4344115256412833</v>
      </c>
      <c r="AR93" s="78"/>
      <c r="AS93" s="78"/>
      <c r="AT93" s="78"/>
      <c r="AU93" s="78"/>
      <c r="AV93" s="78"/>
      <c r="AW93" s="78"/>
    </row>
    <row r="94" spans="1:49" s="77" customFormat="1">
      <c r="A94" s="78"/>
      <c r="B94" s="78"/>
      <c r="C94" s="78"/>
      <c r="D94" s="78"/>
      <c r="E94" s="78"/>
      <c r="F94" s="78"/>
      <c r="I94" s="78"/>
      <c r="J94" s="78"/>
      <c r="K94" s="78"/>
      <c r="L94" s="78"/>
      <c r="M94" s="78"/>
      <c r="N94" s="78"/>
      <c r="Q94" s="78"/>
      <c r="R94" s="78"/>
      <c r="S94" s="78"/>
      <c r="T94" s="78"/>
      <c r="U94" s="78"/>
      <c r="V94" s="78"/>
      <c r="AC94" s="78" t="s">
        <v>52</v>
      </c>
      <c r="AD94" s="78" t="s">
        <v>17</v>
      </c>
      <c r="AE94" s="78" t="s">
        <v>72</v>
      </c>
      <c r="AF94" s="78" t="s">
        <v>51</v>
      </c>
      <c r="AG94" s="78" t="s">
        <v>101</v>
      </c>
      <c r="AH94" s="78">
        <v>4.4953324873966052</v>
      </c>
      <c r="AJ94" s="78" t="s">
        <v>52</v>
      </c>
      <c r="AK94" s="78" t="s">
        <v>17</v>
      </c>
      <c r="AL94" s="78" t="s">
        <v>28</v>
      </c>
      <c r="AM94" s="78" t="s">
        <v>51</v>
      </c>
      <c r="AN94" s="78" t="s">
        <v>101</v>
      </c>
      <c r="AO94" s="78">
        <v>1.4543697678100846</v>
      </c>
      <c r="AR94" s="78"/>
      <c r="AS94" s="78"/>
      <c r="AT94" s="78"/>
      <c r="AU94" s="78"/>
      <c r="AV94" s="78"/>
      <c r="AW94" s="78"/>
    </row>
    <row r="95" spans="1:49" s="77" customFormat="1">
      <c r="I95" s="78"/>
      <c r="J95" s="78"/>
      <c r="K95" s="78"/>
      <c r="L95" s="78"/>
      <c r="M95" s="78"/>
      <c r="N95" s="78"/>
      <c r="Q95" s="78"/>
      <c r="R95" s="78"/>
      <c r="S95" s="78"/>
      <c r="T95" s="78"/>
      <c r="U95" s="78"/>
      <c r="V95" s="78"/>
      <c r="AC95" s="78" t="s">
        <v>52</v>
      </c>
      <c r="AD95" s="78" t="s">
        <v>17</v>
      </c>
      <c r="AE95" s="78" t="s">
        <v>72</v>
      </c>
      <c r="AF95" s="78" t="s">
        <v>51</v>
      </c>
      <c r="AG95" s="78" t="s">
        <v>102</v>
      </c>
      <c r="AH95" s="78">
        <v>4.4985193972193684</v>
      </c>
      <c r="AJ95" s="78" t="s">
        <v>52</v>
      </c>
      <c r="AK95" s="78" t="s">
        <v>17</v>
      </c>
      <c r="AL95" s="78" t="s">
        <v>28</v>
      </c>
      <c r="AM95" s="78" t="s">
        <v>51</v>
      </c>
      <c r="AN95" s="78" t="s">
        <v>102</v>
      </c>
      <c r="AO95" s="78">
        <v>1.4886674852774087</v>
      </c>
      <c r="AR95" s="78"/>
      <c r="AS95" s="78"/>
      <c r="AT95" s="78"/>
      <c r="AU95" s="78"/>
      <c r="AV95" s="78"/>
      <c r="AW95" s="78"/>
    </row>
    <row r="96" spans="1:49" s="77" customFormat="1">
      <c r="I96" s="78"/>
      <c r="J96" s="78"/>
      <c r="K96" s="78"/>
      <c r="L96" s="78"/>
      <c r="M96" s="78"/>
      <c r="N96" s="78"/>
      <c r="Q96" s="78"/>
      <c r="R96" s="78"/>
      <c r="S96" s="78"/>
      <c r="T96" s="78"/>
      <c r="U96" s="78"/>
      <c r="V96" s="78"/>
      <c r="AC96" s="78" t="s">
        <v>52</v>
      </c>
      <c r="AD96" s="78" t="s">
        <v>17</v>
      </c>
      <c r="AE96" s="78" t="s">
        <v>72</v>
      </c>
      <c r="AF96" s="78" t="s">
        <v>51</v>
      </c>
      <c r="AG96" s="78" t="s">
        <v>103</v>
      </c>
      <c r="AH96" s="78">
        <v>4.5446319580999752</v>
      </c>
      <c r="AJ96" s="78" t="s">
        <v>52</v>
      </c>
      <c r="AK96" s="78" t="s">
        <v>17</v>
      </c>
      <c r="AL96" s="78" t="s">
        <v>28</v>
      </c>
      <c r="AM96" s="78" t="s">
        <v>51</v>
      </c>
      <c r="AN96" s="78" t="s">
        <v>103</v>
      </c>
      <c r="AO96" s="78">
        <v>1.5654865618600153</v>
      </c>
      <c r="AR96" s="78"/>
      <c r="AS96" s="78"/>
      <c r="AT96" s="78"/>
      <c r="AU96" s="78"/>
      <c r="AV96" s="78"/>
      <c r="AW96" s="78"/>
    </row>
    <row r="97" spans="9:49" s="77" customFormat="1">
      <c r="I97" s="78"/>
      <c r="J97" s="78"/>
      <c r="K97" s="78"/>
      <c r="L97" s="78"/>
      <c r="M97" s="78"/>
      <c r="N97" s="78"/>
      <c r="Q97" s="78"/>
      <c r="R97" s="78"/>
      <c r="S97" s="78"/>
      <c r="T97" s="78"/>
      <c r="U97" s="78"/>
      <c r="V97" s="78"/>
      <c r="AC97" s="78" t="s">
        <v>52</v>
      </c>
      <c r="AD97" s="78" t="s">
        <v>17</v>
      </c>
      <c r="AE97" s="78" t="s">
        <v>72</v>
      </c>
      <c r="AF97" s="78" t="s">
        <v>51</v>
      </c>
      <c r="AG97" s="78" t="s">
        <v>104</v>
      </c>
      <c r="AH97" s="78">
        <v>4.5446319580999752</v>
      </c>
      <c r="AJ97" s="78" t="s">
        <v>52</v>
      </c>
      <c r="AK97" s="78" t="s">
        <v>17</v>
      </c>
      <c r="AL97" s="78" t="s">
        <v>28</v>
      </c>
      <c r="AM97" s="78" t="s">
        <v>51</v>
      </c>
      <c r="AN97" s="78" t="s">
        <v>104</v>
      </c>
      <c r="AO97" s="78">
        <v>1.4926391523791853</v>
      </c>
      <c r="AR97" s="78"/>
      <c r="AS97" s="78"/>
      <c r="AT97" s="78"/>
      <c r="AU97" s="78"/>
      <c r="AV97" s="78"/>
      <c r="AW97" s="78"/>
    </row>
    <row r="98" spans="9:49" s="77" customFormat="1">
      <c r="I98" s="78"/>
      <c r="J98" s="78"/>
      <c r="K98" s="78"/>
      <c r="L98" s="78"/>
      <c r="M98" s="78"/>
      <c r="N98" s="78"/>
      <c r="Q98" s="78"/>
      <c r="R98" s="78"/>
      <c r="S98" s="78"/>
      <c r="T98" s="78"/>
      <c r="U98" s="78"/>
      <c r="V98" s="78"/>
      <c r="AC98" s="78" t="s">
        <v>52</v>
      </c>
      <c r="AD98" s="78" t="s">
        <v>17</v>
      </c>
      <c r="AE98" s="78" t="s">
        <v>72</v>
      </c>
      <c r="AF98" s="78" t="s">
        <v>51</v>
      </c>
      <c r="AG98" s="78" t="s">
        <v>105</v>
      </c>
      <c r="AH98" s="78">
        <v>4.5960778002180591</v>
      </c>
      <c r="AJ98" s="78" t="s">
        <v>52</v>
      </c>
      <c r="AK98" s="78" t="s">
        <v>17</v>
      </c>
      <c r="AL98" s="78" t="s">
        <v>28</v>
      </c>
      <c r="AM98" s="78" t="s">
        <v>51</v>
      </c>
      <c r="AN98" s="78" t="s">
        <v>105</v>
      </c>
      <c r="AO98" s="78">
        <v>1.4491633035923392</v>
      </c>
      <c r="AR98" s="78"/>
      <c r="AS98" s="78"/>
      <c r="AT98" s="78"/>
      <c r="AU98" s="78"/>
      <c r="AV98" s="78"/>
      <c r="AW98" s="78"/>
    </row>
    <row r="99" spans="9:49" s="77" customFormat="1">
      <c r="I99" s="78"/>
      <c r="J99" s="78"/>
      <c r="K99" s="78"/>
      <c r="L99" s="78"/>
      <c r="M99" s="78"/>
      <c r="N99" s="78"/>
      <c r="Q99" s="78"/>
      <c r="R99" s="78"/>
      <c r="S99" s="78"/>
      <c r="T99" s="78"/>
      <c r="U99" s="78"/>
      <c r="V99" s="78"/>
      <c r="AC99" s="78" t="s">
        <v>52</v>
      </c>
      <c r="AD99" s="78" t="s">
        <v>17</v>
      </c>
      <c r="AE99" s="78" t="s">
        <v>72</v>
      </c>
      <c r="AF99" s="78" t="s">
        <v>51</v>
      </c>
      <c r="AG99" s="78" t="s">
        <v>106</v>
      </c>
      <c r="AH99" s="78">
        <v>4.6425186326748173</v>
      </c>
      <c r="AJ99" s="78" t="s">
        <v>52</v>
      </c>
      <c r="AK99" s="78" t="s">
        <v>17</v>
      </c>
      <c r="AL99" s="78" t="s">
        <v>28</v>
      </c>
      <c r="AM99" s="78" t="s">
        <v>51</v>
      </c>
      <c r="AN99" s="78" t="s">
        <v>106</v>
      </c>
      <c r="AO99" s="78">
        <v>1.4984384715417181</v>
      </c>
      <c r="AR99" s="78"/>
      <c r="AS99" s="78"/>
      <c r="AT99" s="78"/>
      <c r="AU99" s="78"/>
      <c r="AV99" s="78"/>
      <c r="AW99" s="78"/>
    </row>
    <row r="100" spans="9:49" s="77" customFormat="1">
      <c r="I100" s="78"/>
      <c r="J100" s="78"/>
      <c r="K100" s="78"/>
      <c r="L100" s="78"/>
      <c r="M100" s="78"/>
      <c r="N100" s="78"/>
      <c r="Q100" s="78"/>
      <c r="R100" s="78"/>
      <c r="S100" s="78"/>
      <c r="T100" s="78"/>
      <c r="U100" s="78"/>
      <c r="V100" s="78"/>
      <c r="AC100" s="78" t="s">
        <v>52</v>
      </c>
      <c r="AD100" s="78" t="s">
        <v>17</v>
      </c>
      <c r="AE100" s="78" t="s">
        <v>72</v>
      </c>
      <c r="AF100" s="78" t="s">
        <v>51</v>
      </c>
      <c r="AG100" s="78" t="s">
        <v>107</v>
      </c>
      <c r="AH100" s="78">
        <v>4.5472221224551266</v>
      </c>
      <c r="AJ100" s="78" t="s">
        <v>52</v>
      </c>
      <c r="AK100" s="78" t="s">
        <v>17</v>
      </c>
      <c r="AL100" s="78" t="s">
        <v>28</v>
      </c>
      <c r="AM100" s="78" t="s">
        <v>51</v>
      </c>
      <c r="AN100" s="78" t="s">
        <v>107</v>
      </c>
      <c r="AO100" s="78">
        <v>1.4391155694354067</v>
      </c>
      <c r="AR100" s="78"/>
      <c r="AS100" s="78"/>
      <c r="AT100" s="78"/>
      <c r="AU100" s="78"/>
      <c r="AV100" s="78"/>
      <c r="AW100" s="78"/>
    </row>
    <row r="101" spans="9:49" s="77" customFormat="1">
      <c r="Q101" s="78"/>
      <c r="R101" s="78"/>
      <c r="S101" s="78"/>
      <c r="T101" s="78"/>
      <c r="U101" s="78"/>
      <c r="V101" s="78"/>
      <c r="AC101" s="78" t="s">
        <v>52</v>
      </c>
      <c r="AD101" s="78" t="s">
        <v>17</v>
      </c>
      <c r="AE101" s="78" t="s">
        <v>72</v>
      </c>
      <c r="AF101" s="78" t="s">
        <v>51</v>
      </c>
      <c r="AG101" s="78" t="s">
        <v>108</v>
      </c>
      <c r="AH101" s="78">
        <v>4.5472221224551266</v>
      </c>
      <c r="AJ101" s="78" t="s">
        <v>52</v>
      </c>
      <c r="AK101" s="78" t="s">
        <v>17</v>
      </c>
      <c r="AL101" s="78" t="s">
        <v>28</v>
      </c>
      <c r="AM101" s="78" t="s">
        <v>51</v>
      </c>
      <c r="AN101" s="78" t="s">
        <v>108</v>
      </c>
      <c r="AO101" s="78">
        <v>1.4820339969784169</v>
      </c>
      <c r="AR101" s="78"/>
      <c r="AS101" s="78"/>
      <c r="AT101" s="78"/>
      <c r="AU101" s="78"/>
      <c r="AV101" s="78"/>
      <c r="AW101" s="78"/>
    </row>
    <row r="102" spans="9:49" s="77" customFormat="1">
      <c r="Q102" s="78"/>
      <c r="R102" s="78"/>
      <c r="S102" s="78"/>
      <c r="T102" s="78"/>
      <c r="U102" s="78"/>
      <c r="V102" s="78"/>
      <c r="AC102" s="78" t="s">
        <v>52</v>
      </c>
      <c r="AD102" s="78" t="s">
        <v>17</v>
      </c>
      <c r="AE102" s="78" t="s">
        <v>72</v>
      </c>
      <c r="AF102" s="78" t="s">
        <v>51</v>
      </c>
      <c r="AG102" s="78" t="s">
        <v>100</v>
      </c>
      <c r="AH102" s="78">
        <v>4.4779992446135664</v>
      </c>
      <c r="AJ102" s="78" t="s">
        <v>52</v>
      </c>
      <c r="AK102" s="78" t="s">
        <v>17</v>
      </c>
      <c r="AL102" s="78" t="s">
        <v>28</v>
      </c>
      <c r="AM102" s="78" t="s">
        <v>51</v>
      </c>
      <c r="AN102" s="78" t="s">
        <v>100</v>
      </c>
      <c r="AO102" s="78">
        <v>1.4137621493606665</v>
      </c>
      <c r="AR102" s="78"/>
      <c r="AS102" s="78"/>
      <c r="AT102" s="78"/>
      <c r="AU102" s="78"/>
      <c r="AV102" s="78"/>
      <c r="AW102" s="78"/>
    </row>
    <row r="103" spans="9:49" s="77" customFormat="1">
      <c r="Q103" s="78"/>
      <c r="R103" s="78"/>
      <c r="S103" s="78"/>
      <c r="T103" s="78"/>
      <c r="U103" s="78"/>
      <c r="V103" s="78"/>
      <c r="AC103" s="78" t="s">
        <v>52</v>
      </c>
      <c r="AD103" s="78" t="s">
        <v>17</v>
      </c>
      <c r="AE103" s="78" t="s">
        <v>72</v>
      </c>
      <c r="AF103" s="78" t="s">
        <v>51</v>
      </c>
      <c r="AG103" s="78" t="s">
        <v>109</v>
      </c>
      <c r="AH103" s="78">
        <v>4.4461738601142571</v>
      </c>
      <c r="AJ103" s="78" t="s">
        <v>52</v>
      </c>
      <c r="AK103" s="78" t="s">
        <v>17</v>
      </c>
      <c r="AL103" s="78" t="s">
        <v>28</v>
      </c>
      <c r="AM103" s="78" t="s">
        <v>51</v>
      </c>
      <c r="AN103" s="78" t="s">
        <v>109</v>
      </c>
      <c r="AO103" s="78">
        <v>1.3953089089250075</v>
      </c>
      <c r="AR103" s="78"/>
      <c r="AS103" s="78"/>
      <c r="AT103" s="78"/>
      <c r="AU103" s="78"/>
      <c r="AV103" s="78"/>
      <c r="AW103" s="78"/>
    </row>
    <row r="104" spans="9:49" s="77" customFormat="1">
      <c r="Q104" s="78"/>
      <c r="R104" s="78"/>
      <c r="S104" s="78"/>
      <c r="T104" s="78"/>
      <c r="U104" s="78"/>
      <c r="V104" s="78"/>
      <c r="AC104" s="78" t="s">
        <v>52</v>
      </c>
      <c r="AD104" s="78" t="s">
        <v>17</v>
      </c>
      <c r="AE104" s="78" t="s">
        <v>72</v>
      </c>
      <c r="AF104" s="78" t="s">
        <v>51</v>
      </c>
      <c r="AG104" s="78" t="s">
        <v>110</v>
      </c>
      <c r="AH104" s="78">
        <v>4.4461738601142571</v>
      </c>
      <c r="AJ104" s="78" t="s">
        <v>52</v>
      </c>
      <c r="AK104" s="78" t="s">
        <v>17</v>
      </c>
      <c r="AL104" s="78" t="s">
        <v>28</v>
      </c>
      <c r="AM104" s="78" t="s">
        <v>51</v>
      </c>
      <c r="AN104" s="78" t="s">
        <v>110</v>
      </c>
      <c r="AO104" s="78">
        <v>1.3759052576474176</v>
      </c>
      <c r="AR104" s="78"/>
      <c r="AS104" s="78"/>
      <c r="AT104" s="78"/>
      <c r="AU104" s="78"/>
      <c r="AV104" s="78"/>
      <c r="AW104" s="78"/>
    </row>
    <row r="105" spans="9:49" s="77" customFormat="1">
      <c r="Q105" s="78"/>
      <c r="R105" s="78"/>
      <c r="S105" s="78"/>
      <c r="T105" s="78"/>
      <c r="U105" s="78"/>
      <c r="V105" s="78"/>
      <c r="AC105" s="78" t="s">
        <v>52</v>
      </c>
      <c r="AD105" s="78" t="s">
        <v>17</v>
      </c>
      <c r="AE105" s="78" t="s">
        <v>72</v>
      </c>
      <c r="AF105" s="78" t="s">
        <v>51</v>
      </c>
      <c r="AG105" s="78" t="s">
        <v>111</v>
      </c>
      <c r="AH105" s="78">
        <v>4.4696326089388583</v>
      </c>
      <c r="AJ105" s="78" t="s">
        <v>52</v>
      </c>
      <c r="AK105" s="78" t="s">
        <v>17</v>
      </c>
      <c r="AL105" s="78" t="s">
        <v>28</v>
      </c>
      <c r="AM105" s="78" t="s">
        <v>51</v>
      </c>
      <c r="AN105" s="78" t="s">
        <v>111</v>
      </c>
      <c r="AO105" s="78">
        <v>1.4286340196471383</v>
      </c>
      <c r="AR105" s="78"/>
      <c r="AS105" s="78"/>
      <c r="AT105" s="78"/>
      <c r="AU105" s="78"/>
      <c r="AV105" s="78"/>
      <c r="AW105" s="78"/>
    </row>
    <row r="106" spans="9:49" s="77" customFormat="1">
      <c r="Q106" s="78"/>
      <c r="R106" s="78"/>
      <c r="S106" s="78"/>
      <c r="T106" s="78"/>
      <c r="U106" s="78"/>
      <c r="V106" s="78"/>
      <c r="AC106" s="78" t="s">
        <v>52</v>
      </c>
      <c r="AD106" s="78" t="s">
        <v>17</v>
      </c>
      <c r="AE106" s="78" t="s">
        <v>72</v>
      </c>
      <c r="AF106" s="78" t="s">
        <v>51</v>
      </c>
      <c r="AG106" s="78" t="s">
        <v>99</v>
      </c>
      <c r="AH106" s="78">
        <v>4.4811934664059407</v>
      </c>
      <c r="AJ106" s="78" t="s">
        <v>52</v>
      </c>
      <c r="AK106" s="78" t="s">
        <v>17</v>
      </c>
      <c r="AL106" s="78" t="s">
        <v>28</v>
      </c>
      <c r="AM106" s="78" t="s">
        <v>51</v>
      </c>
      <c r="AN106" s="78" t="s">
        <v>99</v>
      </c>
      <c r="AO106" s="78">
        <v>1.4539211920399711</v>
      </c>
      <c r="AR106" s="78"/>
      <c r="AS106" s="78"/>
      <c r="AT106" s="78"/>
      <c r="AU106" s="78"/>
      <c r="AV106" s="78"/>
      <c r="AW106" s="78"/>
    </row>
    <row r="107" spans="9:49" s="77" customFormat="1">
      <c r="Q107" s="78"/>
      <c r="R107" s="78"/>
      <c r="S107" s="78"/>
      <c r="T107" s="78"/>
      <c r="U107" s="78"/>
      <c r="V107" s="78"/>
      <c r="AC107" s="78" t="s">
        <v>52</v>
      </c>
      <c r="AD107" s="78" t="s">
        <v>17</v>
      </c>
      <c r="AE107" s="78" t="s">
        <v>72</v>
      </c>
      <c r="AF107" s="78" t="s">
        <v>51</v>
      </c>
      <c r="AG107" s="78" t="s">
        <v>126</v>
      </c>
      <c r="AH107" s="78">
        <v>4.4522759501537079</v>
      </c>
      <c r="AJ107" s="78" t="s">
        <v>52</v>
      </c>
      <c r="AK107" s="78" t="s">
        <v>17</v>
      </c>
      <c r="AL107" s="78" t="s">
        <v>28</v>
      </c>
      <c r="AM107" s="78" t="s">
        <v>51</v>
      </c>
      <c r="AN107" s="78" t="s">
        <v>126</v>
      </c>
      <c r="AO107" s="78">
        <v>1.4507515913062277</v>
      </c>
      <c r="AR107" s="78"/>
      <c r="AS107" s="78"/>
      <c r="AT107" s="78"/>
      <c r="AU107" s="78"/>
      <c r="AV107" s="78"/>
      <c r="AW107" s="78"/>
    </row>
    <row r="108" spans="9:49" s="77" customFormat="1">
      <c r="Q108" s="78"/>
      <c r="R108" s="78"/>
      <c r="S108" s="78"/>
      <c r="T108" s="78"/>
      <c r="U108" s="78"/>
      <c r="V108" s="78"/>
      <c r="AC108" s="78" t="s">
        <v>52</v>
      </c>
      <c r="AD108" s="78" t="s">
        <v>17</v>
      </c>
      <c r="AE108" s="78" t="s">
        <v>72</v>
      </c>
      <c r="AF108" s="78" t="s">
        <v>51</v>
      </c>
      <c r="AG108" s="78" t="s">
        <v>124</v>
      </c>
      <c r="AH108" s="78">
        <v>4.4204074273666594</v>
      </c>
      <c r="AJ108" s="78" t="s">
        <v>52</v>
      </c>
      <c r="AK108" s="78" t="s">
        <v>17</v>
      </c>
      <c r="AL108" s="78" t="s">
        <v>28</v>
      </c>
      <c r="AM108" s="78" t="s">
        <v>51</v>
      </c>
      <c r="AN108" s="78" t="s">
        <v>124</v>
      </c>
      <c r="AO108" s="78">
        <v>1.4115999979508493</v>
      </c>
      <c r="AR108" s="78"/>
      <c r="AS108" s="78"/>
      <c r="AT108" s="78"/>
      <c r="AU108" s="78"/>
      <c r="AV108" s="78"/>
      <c r="AW108" s="78"/>
    </row>
    <row r="109" spans="9:49" s="77" customFormat="1">
      <c r="Q109" s="78"/>
      <c r="R109" s="78"/>
      <c r="S109" s="78"/>
      <c r="T109" s="78"/>
      <c r="U109" s="78"/>
      <c r="V109" s="78"/>
      <c r="AC109" s="78" t="s">
        <v>52</v>
      </c>
      <c r="AD109" s="78" t="s">
        <v>17</v>
      </c>
      <c r="AE109" s="78" t="s">
        <v>72</v>
      </c>
      <c r="AF109" s="78" t="s">
        <v>51</v>
      </c>
      <c r="AG109" s="78" t="s">
        <v>127</v>
      </c>
      <c r="AH109" s="78">
        <v>4.4406945858636773</v>
      </c>
      <c r="AJ109" s="78" t="s">
        <v>52</v>
      </c>
      <c r="AK109" s="78" t="s">
        <v>17</v>
      </c>
      <c r="AL109" s="78" t="s">
        <v>28</v>
      </c>
      <c r="AM109" s="78" t="s">
        <v>51</v>
      </c>
      <c r="AN109" s="78" t="s">
        <v>127</v>
      </c>
      <c r="AO109" s="78">
        <v>1.4638126045131872</v>
      </c>
      <c r="AR109" s="78"/>
      <c r="AS109" s="78"/>
      <c r="AT109" s="78"/>
      <c r="AU109" s="78"/>
      <c r="AV109" s="78"/>
      <c r="AW109" s="78"/>
    </row>
    <row r="110" spans="9:49" s="77" customFormat="1">
      <c r="Q110" s="78"/>
      <c r="R110" s="78"/>
      <c r="S110" s="78"/>
      <c r="T110" s="78"/>
      <c r="U110" s="78"/>
      <c r="V110" s="78"/>
      <c r="AC110" s="78" t="s">
        <v>52</v>
      </c>
      <c r="AD110" s="78" t="s">
        <v>17</v>
      </c>
      <c r="AE110" s="78" t="s">
        <v>72</v>
      </c>
      <c r="AF110" s="78" t="s">
        <v>51</v>
      </c>
      <c r="AG110" s="78" t="s">
        <v>128</v>
      </c>
      <c r="AH110" s="78">
        <v>4.4493813788399832</v>
      </c>
      <c r="AJ110" s="78" t="s">
        <v>52</v>
      </c>
      <c r="AK110" s="78" t="s">
        <v>17</v>
      </c>
      <c r="AL110" s="78" t="s">
        <v>28</v>
      </c>
      <c r="AM110" s="78" t="s">
        <v>51</v>
      </c>
      <c r="AN110" s="78" t="s">
        <v>128</v>
      </c>
      <c r="AO110" s="78">
        <v>1.4793540082698529</v>
      </c>
      <c r="AR110" s="78"/>
      <c r="AS110" s="78"/>
      <c r="AT110" s="78"/>
      <c r="AU110" s="78"/>
      <c r="AV110" s="78"/>
      <c r="AW110" s="78"/>
    </row>
    <row r="111" spans="9:49" s="77" customFormat="1">
      <c r="Q111" s="78"/>
      <c r="R111" s="78"/>
      <c r="S111" s="78"/>
      <c r="T111" s="78"/>
      <c r="U111" s="78"/>
      <c r="V111" s="78"/>
      <c r="AC111" s="78" t="s">
        <v>52</v>
      </c>
      <c r="AD111" s="78" t="s">
        <v>17</v>
      </c>
      <c r="AE111" s="78" t="s">
        <v>72</v>
      </c>
      <c r="AF111" s="78" t="s">
        <v>51</v>
      </c>
      <c r="AG111" s="78" t="s">
        <v>129</v>
      </c>
      <c r="AH111" s="78">
        <v>4.4609565865630021</v>
      </c>
      <c r="AJ111" s="78" t="s">
        <v>52</v>
      </c>
      <c r="AK111" s="78" t="s">
        <v>17</v>
      </c>
      <c r="AL111" s="78" t="s">
        <v>28</v>
      </c>
      <c r="AM111" s="78" t="s">
        <v>51</v>
      </c>
      <c r="AN111" s="78" t="s">
        <v>129</v>
      </c>
      <c r="AO111" s="78">
        <v>1.4657398986657422</v>
      </c>
      <c r="AR111" s="78"/>
      <c r="AS111" s="78"/>
      <c r="AT111" s="78"/>
      <c r="AU111" s="78"/>
      <c r="AV111" s="78"/>
      <c r="AW111" s="78"/>
    </row>
    <row r="112" spans="9:49" s="77" customFormat="1">
      <c r="Q112" s="78"/>
      <c r="R112" s="78"/>
      <c r="S112" s="78"/>
      <c r="T112" s="78"/>
      <c r="U112" s="78"/>
      <c r="V112" s="78"/>
      <c r="AC112" s="78" t="s">
        <v>52</v>
      </c>
      <c r="AD112" s="78" t="s">
        <v>17</v>
      </c>
      <c r="AE112" s="78" t="s">
        <v>72</v>
      </c>
      <c r="AF112" s="78" t="s">
        <v>51</v>
      </c>
      <c r="AG112" s="78" t="s">
        <v>123</v>
      </c>
      <c r="AH112" s="78">
        <v>4.4898587339935672</v>
      </c>
      <c r="AJ112" s="78" t="s">
        <v>52</v>
      </c>
      <c r="AK112" s="78" t="s">
        <v>17</v>
      </c>
      <c r="AL112" s="78" t="s">
        <v>28</v>
      </c>
      <c r="AM112" s="78" t="s">
        <v>51</v>
      </c>
      <c r="AN112" s="78" t="s">
        <v>123</v>
      </c>
      <c r="AO112" s="78">
        <v>1.4954131871900374</v>
      </c>
      <c r="AR112" s="78"/>
      <c r="AS112" s="78"/>
      <c r="AT112" s="78"/>
      <c r="AU112" s="78"/>
      <c r="AV112" s="78"/>
      <c r="AW112" s="78"/>
    </row>
    <row r="113" spans="17:49" s="77" customFormat="1">
      <c r="Q113" s="78"/>
      <c r="R113" s="78"/>
      <c r="S113" s="78"/>
      <c r="T113" s="78"/>
      <c r="U113" s="78"/>
      <c r="V113" s="78"/>
      <c r="AC113" s="78" t="s">
        <v>52</v>
      </c>
      <c r="AD113" s="78" t="s">
        <v>17</v>
      </c>
      <c r="AE113" s="78" t="s">
        <v>72</v>
      </c>
      <c r="AF113" s="78" t="s">
        <v>51</v>
      </c>
      <c r="AG113" s="78" t="s">
        <v>125</v>
      </c>
      <c r="AH113" s="78">
        <v>4.3739421106982554</v>
      </c>
      <c r="AJ113" s="78" t="s">
        <v>52</v>
      </c>
      <c r="AK113" s="78" t="s">
        <v>17</v>
      </c>
      <c r="AL113" s="78" t="s">
        <v>28</v>
      </c>
      <c r="AM113" s="78" t="s">
        <v>51</v>
      </c>
      <c r="AN113" s="78" t="s">
        <v>125</v>
      </c>
      <c r="AO113" s="78">
        <v>1.4584339847358858</v>
      </c>
      <c r="AR113" s="78"/>
      <c r="AS113" s="78"/>
      <c r="AT113" s="78"/>
      <c r="AU113" s="78"/>
      <c r="AV113" s="78"/>
      <c r="AW113" s="78"/>
    </row>
    <row r="114" spans="17:49" s="77" customFormat="1">
      <c r="Q114" s="78"/>
      <c r="R114" s="78"/>
      <c r="S114" s="78"/>
      <c r="T114" s="78"/>
      <c r="U114" s="78"/>
      <c r="V114" s="78"/>
      <c r="AC114" s="78" t="s">
        <v>52</v>
      </c>
      <c r="AD114" s="78" t="s">
        <v>17</v>
      </c>
      <c r="AE114" s="78" t="s">
        <v>72</v>
      </c>
      <c r="AF114" s="78" t="s">
        <v>51</v>
      </c>
      <c r="AG114" s="78" t="s">
        <v>215</v>
      </c>
      <c r="AH114" s="78">
        <v>4.3855708043827342</v>
      </c>
      <c r="AJ114" s="78" t="s">
        <v>52</v>
      </c>
      <c r="AK114" s="78" t="s">
        <v>17</v>
      </c>
      <c r="AL114" s="78" t="s">
        <v>28</v>
      </c>
      <c r="AM114" s="78" t="s">
        <v>51</v>
      </c>
      <c r="AN114" s="78" t="s">
        <v>215</v>
      </c>
      <c r="AO114" s="78">
        <v>1.4996119210214647</v>
      </c>
      <c r="AR114" s="78"/>
      <c r="AS114" s="78"/>
      <c r="AT114" s="78"/>
      <c r="AU114" s="78"/>
      <c r="AV114" s="78"/>
      <c r="AW114" s="78"/>
    </row>
    <row r="115" spans="17:49" s="77" customFormat="1">
      <c r="Q115" s="78"/>
      <c r="R115" s="78"/>
      <c r="S115" s="78"/>
      <c r="T115" s="78"/>
      <c r="U115" s="78"/>
      <c r="V115" s="78"/>
      <c r="AC115" s="78" t="s">
        <v>52</v>
      </c>
      <c r="AD115" s="78" t="s">
        <v>18</v>
      </c>
      <c r="AE115" s="78" t="s">
        <v>72</v>
      </c>
      <c r="AF115" s="78" t="s">
        <v>51</v>
      </c>
      <c r="AG115" s="78" t="s">
        <v>130</v>
      </c>
      <c r="AH115" s="78">
        <v>4.1543680910694123</v>
      </c>
      <c r="AJ115" s="78" t="s">
        <v>52</v>
      </c>
      <c r="AK115" s="78" t="s">
        <v>18</v>
      </c>
      <c r="AL115" s="78" t="s">
        <v>28</v>
      </c>
      <c r="AM115" s="78" t="s">
        <v>51</v>
      </c>
      <c r="AN115" s="78" t="s">
        <v>130</v>
      </c>
      <c r="AO115" s="78">
        <v>1.3201681510401224</v>
      </c>
      <c r="AR115" s="78"/>
      <c r="AS115" s="78"/>
      <c r="AT115" s="78"/>
      <c r="AU115" s="78"/>
      <c r="AV115" s="78"/>
      <c r="AW115" s="78"/>
    </row>
    <row r="116" spans="17:49" s="77" customFormat="1">
      <c r="Q116" s="78"/>
      <c r="R116" s="78"/>
      <c r="S116" s="78"/>
      <c r="T116" s="78"/>
      <c r="U116" s="78"/>
      <c r="V116" s="78"/>
      <c r="AC116" s="78" t="s">
        <v>52</v>
      </c>
      <c r="AD116" s="78" t="s">
        <v>18</v>
      </c>
      <c r="AE116" s="78" t="s">
        <v>72</v>
      </c>
      <c r="AF116" s="78" t="s">
        <v>51</v>
      </c>
      <c r="AG116" s="78" t="s">
        <v>131</v>
      </c>
      <c r="AH116" s="78">
        <v>4.1248698203088709</v>
      </c>
      <c r="AJ116" s="78" t="s">
        <v>52</v>
      </c>
      <c r="AK116" s="78" t="s">
        <v>18</v>
      </c>
      <c r="AL116" s="78" t="s">
        <v>28</v>
      </c>
      <c r="AM116" s="78" t="s">
        <v>51</v>
      </c>
      <c r="AN116" s="78" t="s">
        <v>131</v>
      </c>
      <c r="AO116" s="78">
        <v>1.3006860975554306</v>
      </c>
      <c r="AR116" s="78"/>
      <c r="AS116" s="78"/>
      <c r="AT116" s="78"/>
      <c r="AU116" s="78"/>
      <c r="AV116" s="78"/>
      <c r="AW116" s="78"/>
    </row>
    <row r="117" spans="17:49" s="77" customFormat="1">
      <c r="Q117" s="78"/>
      <c r="R117" s="78"/>
      <c r="S117" s="78"/>
      <c r="T117" s="78"/>
      <c r="U117" s="78"/>
      <c r="V117" s="78"/>
      <c r="AC117" s="78" t="s">
        <v>52</v>
      </c>
      <c r="AD117" s="78" t="s">
        <v>18</v>
      </c>
      <c r="AE117" s="78" t="s">
        <v>72</v>
      </c>
      <c r="AF117" s="78" t="s">
        <v>51</v>
      </c>
      <c r="AG117" s="78" t="s">
        <v>132</v>
      </c>
      <c r="AH117" s="78">
        <v>4.0301218665618999</v>
      </c>
      <c r="AJ117" s="78" t="s">
        <v>52</v>
      </c>
      <c r="AK117" s="78" t="s">
        <v>18</v>
      </c>
      <c r="AL117" s="78" t="s">
        <v>28</v>
      </c>
      <c r="AM117" s="78" t="s">
        <v>51</v>
      </c>
      <c r="AN117" s="78" t="s">
        <v>132</v>
      </c>
      <c r="AO117" s="78">
        <v>1.2145602915852296</v>
      </c>
      <c r="AR117" s="78"/>
      <c r="AS117" s="78"/>
      <c r="AT117" s="78"/>
      <c r="AU117" s="78"/>
      <c r="AV117" s="78"/>
      <c r="AW117" s="78"/>
    </row>
    <row r="118" spans="17:49" s="77" customFormat="1">
      <c r="Q118" s="78"/>
      <c r="R118" s="78"/>
      <c r="S118" s="78"/>
      <c r="T118" s="78"/>
      <c r="U118" s="78"/>
      <c r="V118" s="78"/>
      <c r="AC118" s="78" t="s">
        <v>52</v>
      </c>
      <c r="AD118" s="78" t="s">
        <v>18</v>
      </c>
      <c r="AE118" s="78" t="s">
        <v>72</v>
      </c>
      <c r="AF118" s="78" t="s">
        <v>51</v>
      </c>
      <c r="AG118" s="78" t="s">
        <v>133</v>
      </c>
      <c r="AH118" s="78">
        <v>4.0301218665618999</v>
      </c>
      <c r="AJ118" s="78" t="s">
        <v>52</v>
      </c>
      <c r="AK118" s="78" t="s">
        <v>18</v>
      </c>
      <c r="AL118" s="78" t="s">
        <v>28</v>
      </c>
      <c r="AM118" s="78" t="s">
        <v>51</v>
      </c>
      <c r="AN118" s="78" t="s">
        <v>133</v>
      </c>
      <c r="AO118" s="78">
        <v>1.09980485566</v>
      </c>
      <c r="AR118" s="78"/>
      <c r="AS118" s="78"/>
      <c r="AT118" s="78"/>
      <c r="AU118" s="78"/>
      <c r="AV118" s="78"/>
      <c r="AW118" s="78"/>
    </row>
    <row r="119" spans="17:49" s="77" customFormat="1">
      <c r="Q119" s="78"/>
      <c r="R119" s="78"/>
      <c r="S119" s="78"/>
      <c r="T119" s="78"/>
      <c r="U119" s="78"/>
      <c r="V119" s="78"/>
      <c r="AC119" s="78" t="s">
        <v>52</v>
      </c>
      <c r="AD119" s="78" t="s">
        <v>18</v>
      </c>
      <c r="AE119" s="78" t="s">
        <v>72</v>
      </c>
      <c r="AF119" s="78" t="s">
        <v>51</v>
      </c>
      <c r="AG119" s="78" t="s">
        <v>134</v>
      </c>
      <c r="AH119" s="78">
        <v>3.9987193359155064</v>
      </c>
      <c r="AJ119" s="78" t="s">
        <v>52</v>
      </c>
      <c r="AK119" s="78" t="s">
        <v>18</v>
      </c>
      <c r="AL119" s="78" t="s">
        <v>28</v>
      </c>
      <c r="AM119" s="78" t="s">
        <v>51</v>
      </c>
      <c r="AN119" s="78" t="s">
        <v>134</v>
      </c>
      <c r="AO119" s="78">
        <v>1.0964918123855762</v>
      </c>
      <c r="AR119" s="78"/>
      <c r="AS119" s="78"/>
      <c r="AT119" s="78"/>
      <c r="AU119" s="78"/>
      <c r="AV119" s="78"/>
      <c r="AW119" s="78"/>
    </row>
    <row r="120" spans="17:49" s="77" customFormat="1">
      <c r="Q120" s="78"/>
      <c r="R120" s="78"/>
      <c r="S120" s="78"/>
      <c r="T120" s="78"/>
      <c r="U120" s="78"/>
      <c r="V120" s="78"/>
      <c r="AC120" s="78" t="s">
        <v>52</v>
      </c>
      <c r="AD120" s="78" t="s">
        <v>18</v>
      </c>
      <c r="AE120" s="78" t="s">
        <v>72</v>
      </c>
      <c r="AF120" s="78" t="s">
        <v>51</v>
      </c>
      <c r="AG120" s="78" t="s">
        <v>135</v>
      </c>
      <c r="AH120" s="78">
        <v>3.968948344733974</v>
      </c>
      <c r="AJ120" s="78" t="s">
        <v>52</v>
      </c>
      <c r="AK120" s="78" t="s">
        <v>18</v>
      </c>
      <c r="AL120" s="78" t="s">
        <v>28</v>
      </c>
      <c r="AM120" s="78" t="s">
        <v>51</v>
      </c>
      <c r="AN120" s="78" t="s">
        <v>135</v>
      </c>
      <c r="AO120" s="78">
        <v>1.122598007927214</v>
      </c>
      <c r="AR120" s="78"/>
      <c r="AS120" s="78"/>
      <c r="AT120" s="78"/>
      <c r="AU120" s="78"/>
      <c r="AV120" s="78"/>
      <c r="AW120" s="78"/>
    </row>
    <row r="121" spans="17:49" s="77" customFormat="1">
      <c r="Q121" s="78"/>
      <c r="R121" s="78"/>
      <c r="S121" s="78"/>
      <c r="T121" s="78"/>
      <c r="U121" s="78"/>
      <c r="V121" s="78"/>
      <c r="AC121" s="78" t="s">
        <v>52</v>
      </c>
      <c r="AD121" s="78" t="s">
        <v>18</v>
      </c>
      <c r="AE121" s="78" t="s">
        <v>72</v>
      </c>
      <c r="AF121" s="78" t="s">
        <v>51</v>
      </c>
      <c r="AG121" s="78" t="s">
        <v>136</v>
      </c>
      <c r="AH121" s="78">
        <v>3.968948344733974</v>
      </c>
      <c r="AJ121" s="78" t="s">
        <v>52</v>
      </c>
      <c r="AK121" s="78" t="s">
        <v>18</v>
      </c>
      <c r="AL121" s="78" t="s">
        <v>28</v>
      </c>
      <c r="AM121" s="78" t="s">
        <v>51</v>
      </c>
      <c r="AN121" s="78" t="s">
        <v>136</v>
      </c>
      <c r="AO121" s="78">
        <v>1.1411130414158539</v>
      </c>
      <c r="AR121" s="78"/>
      <c r="AS121" s="78"/>
      <c r="AT121" s="78"/>
      <c r="AU121" s="78"/>
      <c r="AV121" s="78"/>
      <c r="AW121" s="78"/>
    </row>
    <row r="122" spans="17:49" s="77" customFormat="1">
      <c r="Q122" s="78"/>
      <c r="R122" s="78"/>
      <c r="S122" s="78"/>
      <c r="T122" s="78"/>
      <c r="U122" s="78"/>
      <c r="V122" s="78"/>
      <c r="AC122" s="78" t="s">
        <v>52</v>
      </c>
      <c r="AD122" s="78" t="s">
        <v>18</v>
      </c>
      <c r="AE122" s="78" t="s">
        <v>72</v>
      </c>
      <c r="AF122" s="78" t="s">
        <v>51</v>
      </c>
      <c r="AG122" s="78" t="s">
        <v>137</v>
      </c>
      <c r="AH122" s="78">
        <v>3.8725334437312955</v>
      </c>
      <c r="AJ122" s="192" t="s">
        <v>52</v>
      </c>
      <c r="AK122" s="192" t="s">
        <v>18</v>
      </c>
      <c r="AL122" s="192" t="s">
        <v>28</v>
      </c>
      <c r="AM122" s="192" t="s">
        <v>51</v>
      </c>
      <c r="AN122" s="192" t="s">
        <v>137</v>
      </c>
      <c r="AO122" s="192">
        <v>1.0587143334773157</v>
      </c>
      <c r="AR122" s="78"/>
      <c r="AS122" s="78"/>
      <c r="AT122" s="78"/>
      <c r="AU122" s="78"/>
      <c r="AV122" s="78"/>
      <c r="AW122" s="78"/>
    </row>
    <row r="123" spans="17:49" s="77" customFormat="1">
      <c r="Q123" s="78"/>
      <c r="R123" s="78"/>
      <c r="S123" s="78"/>
      <c r="T123" s="78"/>
      <c r="U123" s="78"/>
      <c r="V123" s="78"/>
      <c r="AC123" s="78" t="s">
        <v>52</v>
      </c>
      <c r="AD123" s="78" t="s">
        <v>18</v>
      </c>
      <c r="AE123" s="78" t="s">
        <v>72</v>
      </c>
      <c r="AF123" s="78" t="s">
        <v>51</v>
      </c>
      <c r="AG123" s="78" t="s">
        <v>138</v>
      </c>
      <c r="AH123" s="78">
        <v>3.9353424338077225</v>
      </c>
      <c r="AJ123" s="192" t="s">
        <v>52</v>
      </c>
      <c r="AK123" s="192" t="s">
        <v>18</v>
      </c>
      <c r="AL123" s="192" t="s">
        <v>28</v>
      </c>
      <c r="AM123" s="192" t="s">
        <v>51</v>
      </c>
      <c r="AN123" s="192" t="s">
        <v>138</v>
      </c>
      <c r="AO123" s="192">
        <v>1.1038366846652226</v>
      </c>
      <c r="AR123" s="78"/>
      <c r="AS123" s="78"/>
      <c r="AT123" s="78"/>
      <c r="AU123" s="78"/>
      <c r="AV123" s="78"/>
      <c r="AW123" s="78"/>
    </row>
    <row r="124" spans="17:49" s="77" customFormat="1">
      <c r="Q124" s="78"/>
      <c r="R124" s="78"/>
      <c r="S124" s="78"/>
      <c r="T124" s="78"/>
      <c r="U124" s="78"/>
      <c r="V124" s="78"/>
      <c r="AC124" s="78" t="s">
        <v>52</v>
      </c>
      <c r="AD124" s="78" t="s">
        <v>18</v>
      </c>
      <c r="AE124" s="78" t="s">
        <v>72</v>
      </c>
      <c r="AF124" s="78" t="s">
        <v>51</v>
      </c>
      <c r="AG124" s="78" t="s">
        <v>139</v>
      </c>
      <c r="AH124" s="78">
        <v>3.9361387568601574</v>
      </c>
      <c r="AJ124" s="192" t="s">
        <v>52</v>
      </c>
      <c r="AK124" s="192" t="s">
        <v>18</v>
      </c>
      <c r="AL124" s="192" t="s">
        <v>28</v>
      </c>
      <c r="AM124" s="192" t="s">
        <v>51</v>
      </c>
      <c r="AN124" s="192" t="s">
        <v>139</v>
      </c>
      <c r="AO124" s="192">
        <v>1.1119619050322371</v>
      </c>
      <c r="AR124" s="78"/>
      <c r="AS124" s="78"/>
      <c r="AT124" s="78"/>
      <c r="AU124" s="78"/>
      <c r="AV124" s="78"/>
      <c r="AW124" s="78"/>
    </row>
    <row r="125" spans="17:49" s="77" customFormat="1">
      <c r="Q125" s="78"/>
      <c r="R125" s="78"/>
      <c r="S125" s="78"/>
      <c r="T125" s="78"/>
      <c r="U125" s="78"/>
      <c r="V125" s="78"/>
      <c r="AC125" s="78" t="s">
        <v>52</v>
      </c>
      <c r="AD125" s="78" t="s">
        <v>18</v>
      </c>
      <c r="AE125" s="78" t="s">
        <v>72</v>
      </c>
      <c r="AF125" s="78" t="s">
        <v>51</v>
      </c>
      <c r="AG125" s="78" t="s">
        <v>140</v>
      </c>
      <c r="AH125" s="78">
        <v>3.9353424338077225</v>
      </c>
      <c r="AJ125" s="192" t="s">
        <v>52</v>
      </c>
      <c r="AK125" s="192" t="s">
        <v>18</v>
      </c>
      <c r="AL125" s="192" t="s">
        <v>28</v>
      </c>
      <c r="AM125" s="192" t="s">
        <v>51</v>
      </c>
      <c r="AN125" s="192" t="s">
        <v>140</v>
      </c>
      <c r="AO125" s="192">
        <v>1.1395014245030624</v>
      </c>
      <c r="AR125" s="78"/>
      <c r="AS125" s="78"/>
      <c r="AT125" s="78"/>
      <c r="AU125" s="78"/>
      <c r="AV125" s="78"/>
      <c r="AW125" s="78"/>
    </row>
    <row r="126" spans="17:49" s="77" customFormat="1">
      <c r="Q126" s="78"/>
      <c r="R126" s="78"/>
      <c r="S126" s="78"/>
      <c r="T126" s="78"/>
      <c r="U126" s="78"/>
      <c r="V126" s="78"/>
      <c r="AC126" s="78" t="s">
        <v>52</v>
      </c>
      <c r="AD126" s="78" t="s">
        <v>18</v>
      </c>
      <c r="AE126" s="78" t="s">
        <v>72</v>
      </c>
      <c r="AF126" s="78" t="s">
        <v>51</v>
      </c>
      <c r="AG126" s="78" t="s">
        <v>141</v>
      </c>
      <c r="AH126" s="78">
        <v>3.8425411667081901</v>
      </c>
      <c r="AJ126" s="192" t="s">
        <v>52</v>
      </c>
      <c r="AK126" s="192" t="s">
        <v>18</v>
      </c>
      <c r="AL126" s="192" t="s">
        <v>28</v>
      </c>
      <c r="AM126" s="192" t="s">
        <v>51</v>
      </c>
      <c r="AN126" s="192" t="s">
        <v>141</v>
      </c>
      <c r="AO126" s="192">
        <v>1.1496922636127707</v>
      </c>
      <c r="AR126" s="78"/>
      <c r="AS126" s="78"/>
      <c r="AT126" s="78"/>
      <c r="AU126" s="78"/>
      <c r="AV126" s="78"/>
      <c r="AW126" s="78"/>
    </row>
    <row r="127" spans="17:49" s="77" customFormat="1">
      <c r="AC127" s="78" t="s">
        <v>52</v>
      </c>
      <c r="AD127" s="78" t="s">
        <v>18</v>
      </c>
      <c r="AE127" s="78" t="s">
        <v>72</v>
      </c>
      <c r="AF127" s="78" t="s">
        <v>51</v>
      </c>
      <c r="AG127" s="78" t="s">
        <v>142</v>
      </c>
      <c r="AH127" s="78">
        <v>3.812592661796018</v>
      </c>
      <c r="AJ127" s="192" t="s">
        <v>52</v>
      </c>
      <c r="AK127" s="192" t="s">
        <v>18</v>
      </c>
      <c r="AL127" s="192" t="s">
        <v>28</v>
      </c>
      <c r="AM127" s="192" t="s">
        <v>51</v>
      </c>
      <c r="AN127" s="192" t="s">
        <v>142</v>
      </c>
      <c r="AO127" s="192">
        <v>1.1030360980347382</v>
      </c>
    </row>
    <row r="128" spans="17:49" s="77" customFormat="1">
      <c r="AC128" s="78" t="s">
        <v>52</v>
      </c>
      <c r="AD128" s="78" t="s">
        <v>18</v>
      </c>
      <c r="AE128" s="78" t="s">
        <v>72</v>
      </c>
      <c r="AF128" s="78" t="s">
        <v>51</v>
      </c>
      <c r="AG128" s="78" t="s">
        <v>143</v>
      </c>
      <c r="AH128" s="78">
        <v>3.8425411667081901</v>
      </c>
      <c r="AJ128" s="192" t="s">
        <v>52</v>
      </c>
      <c r="AK128" s="192" t="s">
        <v>18</v>
      </c>
      <c r="AL128" s="192" t="s">
        <v>28</v>
      </c>
      <c r="AM128" s="192" t="s">
        <v>51</v>
      </c>
      <c r="AN128" s="192" t="s">
        <v>143</v>
      </c>
      <c r="AO128" s="192">
        <v>1.1707682281644907</v>
      </c>
    </row>
    <row r="129" spans="29:41" s="77" customFormat="1">
      <c r="AC129" s="78" t="s">
        <v>52</v>
      </c>
      <c r="AD129" s="78" t="s">
        <v>18</v>
      </c>
      <c r="AE129" s="78" t="s">
        <v>72</v>
      </c>
      <c r="AF129" s="78" t="s">
        <v>51</v>
      </c>
      <c r="AG129" s="78" t="s">
        <v>144</v>
      </c>
      <c r="AH129" s="78">
        <v>3.8425411667081901</v>
      </c>
      <c r="AJ129" s="192" t="s">
        <v>52</v>
      </c>
      <c r="AK129" s="192" t="s">
        <v>18</v>
      </c>
      <c r="AL129" s="192" t="s">
        <v>28</v>
      </c>
      <c r="AM129" s="192" t="s">
        <v>51</v>
      </c>
      <c r="AN129" s="192" t="s">
        <v>144</v>
      </c>
      <c r="AO129" s="192">
        <v>1.1850316887165302</v>
      </c>
    </row>
    <row r="130" spans="29:41" s="77" customFormat="1">
      <c r="AC130" s="78" t="s">
        <v>52</v>
      </c>
      <c r="AD130" s="78" t="s">
        <v>18</v>
      </c>
      <c r="AE130" s="78" t="s">
        <v>72</v>
      </c>
      <c r="AF130" s="78" t="s">
        <v>51</v>
      </c>
      <c r="AG130" s="78" t="s">
        <v>145</v>
      </c>
      <c r="AH130" s="78">
        <v>3.8124950348616728</v>
      </c>
      <c r="AJ130" s="192" t="s">
        <v>52</v>
      </c>
      <c r="AK130" s="192" t="s">
        <v>18</v>
      </c>
      <c r="AL130" s="192" t="s">
        <v>28</v>
      </c>
      <c r="AM130" s="192" t="s">
        <v>51</v>
      </c>
      <c r="AN130" s="192" t="s">
        <v>145</v>
      </c>
      <c r="AO130" s="192">
        <v>1.2026483193152928</v>
      </c>
    </row>
    <row r="131" spans="29:41" s="77" customFormat="1">
      <c r="AC131" s="78" t="s">
        <v>52</v>
      </c>
      <c r="AD131" s="78" t="s">
        <v>18</v>
      </c>
      <c r="AE131" s="78" t="s">
        <v>72</v>
      </c>
      <c r="AF131" s="78" t="s">
        <v>51</v>
      </c>
      <c r="AG131" s="78" t="s">
        <v>146</v>
      </c>
      <c r="AH131" s="78">
        <v>3.812592661796018</v>
      </c>
      <c r="AJ131" s="192" t="s">
        <v>52</v>
      </c>
      <c r="AK131" s="192" t="s">
        <v>18</v>
      </c>
      <c r="AL131" s="192" t="s">
        <v>28</v>
      </c>
      <c r="AM131" s="192" t="s">
        <v>51</v>
      </c>
      <c r="AN131" s="192" t="s">
        <v>146</v>
      </c>
      <c r="AO131" s="192">
        <v>1.1484232657506983</v>
      </c>
    </row>
    <row r="132" spans="29:41" s="77" customFormat="1">
      <c r="AC132" s="78" t="s">
        <v>52</v>
      </c>
      <c r="AD132" s="78" t="s">
        <v>18</v>
      </c>
      <c r="AE132" s="78" t="s">
        <v>72</v>
      </c>
      <c r="AF132" s="78" t="s">
        <v>51</v>
      </c>
      <c r="AG132" s="78" t="s">
        <v>147</v>
      </c>
      <c r="AH132" s="78">
        <v>3.9054628819113248</v>
      </c>
      <c r="AJ132" s="192" t="s">
        <v>52</v>
      </c>
      <c r="AK132" s="192" t="s">
        <v>18</v>
      </c>
      <c r="AL132" s="192" t="s">
        <v>28</v>
      </c>
      <c r="AM132" s="192" t="s">
        <v>51</v>
      </c>
      <c r="AN132" s="192" t="s">
        <v>147</v>
      </c>
      <c r="AO132" s="192">
        <v>1.153463821632825</v>
      </c>
    </row>
    <row r="133" spans="29:41" s="77" customFormat="1">
      <c r="AC133" s="78" t="s">
        <v>52</v>
      </c>
      <c r="AD133" s="78" t="s">
        <v>18</v>
      </c>
      <c r="AE133" s="78" t="s">
        <v>72</v>
      </c>
      <c r="AF133" s="78" t="s">
        <v>51</v>
      </c>
      <c r="AG133" s="78" t="s">
        <v>148</v>
      </c>
      <c r="AH133" s="78">
        <v>3.8725334437312955</v>
      </c>
      <c r="AJ133" s="192" t="s">
        <v>52</v>
      </c>
      <c r="AK133" s="192" t="s">
        <v>18</v>
      </c>
      <c r="AL133" s="192" t="s">
        <v>28</v>
      </c>
      <c r="AM133" s="192" t="s">
        <v>51</v>
      </c>
      <c r="AN133" s="192" t="s">
        <v>148</v>
      </c>
      <c r="AO133" s="192">
        <v>1.1790501974316359</v>
      </c>
    </row>
    <row r="134" spans="29:41" s="77" customFormat="1">
      <c r="AC134" s="78" t="s">
        <v>52</v>
      </c>
      <c r="AD134" s="78" t="s">
        <v>18</v>
      </c>
      <c r="AE134" s="78" t="s">
        <v>72</v>
      </c>
      <c r="AF134" s="78" t="s">
        <v>51</v>
      </c>
      <c r="AG134" s="78" t="s">
        <v>149</v>
      </c>
      <c r="AH134" s="78">
        <v>3.8425411667081901</v>
      </c>
      <c r="AJ134" s="192" t="s">
        <v>52</v>
      </c>
      <c r="AK134" s="192" t="s">
        <v>18</v>
      </c>
      <c r="AL134" s="192" t="s">
        <v>28</v>
      </c>
      <c r="AM134" s="192" t="s">
        <v>51</v>
      </c>
      <c r="AN134" s="192" t="s">
        <v>149</v>
      </c>
      <c r="AO134" s="192">
        <v>1.1519197362649205</v>
      </c>
    </row>
    <row r="135" spans="29:41" s="77" customFormat="1">
      <c r="AC135" s="78" t="s">
        <v>52</v>
      </c>
      <c r="AD135" s="78" t="s">
        <v>18</v>
      </c>
      <c r="AE135" s="78" t="s">
        <v>72</v>
      </c>
      <c r="AF135" s="78" t="s">
        <v>51</v>
      </c>
      <c r="AG135" s="78" t="s">
        <v>150</v>
      </c>
      <c r="AH135" s="78">
        <v>3.812592661796018</v>
      </c>
      <c r="AJ135" s="192" t="s">
        <v>52</v>
      </c>
      <c r="AK135" s="192" t="s">
        <v>18</v>
      </c>
      <c r="AL135" s="192" t="s">
        <v>28</v>
      </c>
      <c r="AM135" s="192" t="s">
        <v>51</v>
      </c>
      <c r="AN135" s="192" t="s">
        <v>150</v>
      </c>
      <c r="AO135" s="192">
        <v>1.1515575005170779</v>
      </c>
    </row>
    <row r="136" spans="29:41" s="77" customFormat="1">
      <c r="AC136" s="78" t="s">
        <v>52</v>
      </c>
      <c r="AD136" s="78" t="s">
        <v>18</v>
      </c>
      <c r="AE136" s="78" t="s">
        <v>72</v>
      </c>
      <c r="AF136" s="78" t="s">
        <v>51</v>
      </c>
      <c r="AG136" s="78" t="s">
        <v>151</v>
      </c>
      <c r="AH136" s="78">
        <v>3.7493301282064344</v>
      </c>
      <c r="AJ136" s="192" t="s">
        <v>52</v>
      </c>
      <c r="AK136" s="192" t="s">
        <v>18</v>
      </c>
      <c r="AL136" s="192" t="s">
        <v>28</v>
      </c>
      <c r="AM136" s="192" t="s">
        <v>51</v>
      </c>
      <c r="AN136" s="192" t="s">
        <v>151</v>
      </c>
      <c r="AO136" s="192">
        <v>1.1500643528161443</v>
      </c>
    </row>
    <row r="137" spans="29:41" s="77" customFormat="1">
      <c r="AC137" s="78" t="s">
        <v>52</v>
      </c>
      <c r="AD137" s="78" t="s">
        <v>18</v>
      </c>
      <c r="AE137" s="78" t="s">
        <v>72</v>
      </c>
      <c r="AF137" s="78" t="s">
        <v>51</v>
      </c>
      <c r="AG137" s="78" t="s">
        <v>152</v>
      </c>
      <c r="AH137" s="78">
        <v>3.7794849694083221</v>
      </c>
      <c r="AJ137" s="192" t="s">
        <v>52</v>
      </c>
      <c r="AK137" s="192" t="s">
        <v>18</v>
      </c>
      <c r="AL137" s="192" t="s">
        <v>28</v>
      </c>
      <c r="AM137" s="192" t="s">
        <v>51</v>
      </c>
      <c r="AN137" s="192" t="s">
        <v>152</v>
      </c>
      <c r="AO137" s="192">
        <v>1.128202301407712</v>
      </c>
    </row>
    <row r="138" spans="29:41" s="77" customFormat="1">
      <c r="AC138" s="78" t="s">
        <v>52</v>
      </c>
      <c r="AD138" s="78" t="s">
        <v>18</v>
      </c>
      <c r="AE138" s="78" t="s">
        <v>72</v>
      </c>
      <c r="AF138" s="78" t="s">
        <v>51</v>
      </c>
      <c r="AG138" s="78" t="s">
        <v>153</v>
      </c>
      <c r="AH138" s="78">
        <v>3.7493301282064344</v>
      </c>
      <c r="AJ138" s="192" t="s">
        <v>52</v>
      </c>
      <c r="AK138" s="192" t="s">
        <v>18</v>
      </c>
      <c r="AL138" s="192" t="s">
        <v>28</v>
      </c>
      <c r="AM138" s="192" t="s">
        <v>51</v>
      </c>
      <c r="AN138" s="192" t="s">
        <v>153</v>
      </c>
      <c r="AO138" s="192">
        <v>1.1584417066706245</v>
      </c>
    </row>
    <row r="139" spans="29:41" s="77" customFormat="1">
      <c r="AC139" s="78" t="s">
        <v>52</v>
      </c>
      <c r="AD139" s="78" t="s">
        <v>18</v>
      </c>
      <c r="AE139" s="78" t="s">
        <v>72</v>
      </c>
      <c r="AF139" s="78" t="s">
        <v>51</v>
      </c>
      <c r="AG139" s="78" t="s">
        <v>154</v>
      </c>
      <c r="AH139" s="78">
        <v>3.812592661796018</v>
      </c>
      <c r="AJ139" s="192" t="s">
        <v>52</v>
      </c>
      <c r="AK139" s="192" t="s">
        <v>18</v>
      </c>
      <c r="AL139" s="192" t="s">
        <v>28</v>
      </c>
      <c r="AM139" s="192" t="s">
        <v>51</v>
      </c>
      <c r="AN139" s="192" t="s">
        <v>154</v>
      </c>
      <c r="AO139" s="192">
        <v>1.1786755580554982</v>
      </c>
    </row>
    <row r="140" spans="29:41" s="77" customFormat="1">
      <c r="AC140" s="78" t="s">
        <v>52</v>
      </c>
      <c r="AD140" s="78" t="s">
        <v>18</v>
      </c>
      <c r="AE140" s="78" t="s">
        <v>72</v>
      </c>
      <c r="AF140" s="78" t="s">
        <v>51</v>
      </c>
      <c r="AG140" s="78" t="s">
        <v>155</v>
      </c>
      <c r="AH140" s="78">
        <v>3.8425411667081901</v>
      </c>
      <c r="AJ140" s="192" t="s">
        <v>52</v>
      </c>
      <c r="AK140" s="192" t="s">
        <v>18</v>
      </c>
      <c r="AL140" s="192" t="s">
        <v>28</v>
      </c>
      <c r="AM140" s="192" t="s">
        <v>51</v>
      </c>
      <c r="AN140" s="192" t="s">
        <v>155</v>
      </c>
      <c r="AO140" s="192">
        <v>1.2137587078296703</v>
      </c>
    </row>
    <row r="141" spans="29:41" s="77" customFormat="1">
      <c r="AC141" s="78" t="s">
        <v>52</v>
      </c>
      <c r="AD141" s="78" t="s">
        <v>18</v>
      </c>
      <c r="AE141" s="78" t="s">
        <v>72</v>
      </c>
      <c r="AF141" s="78" t="s">
        <v>51</v>
      </c>
      <c r="AG141" s="78" t="s">
        <v>156</v>
      </c>
      <c r="AH141" s="78">
        <v>3.8124950348616728</v>
      </c>
      <c r="AJ141" s="192" t="s">
        <v>52</v>
      </c>
      <c r="AK141" s="192" t="s">
        <v>18</v>
      </c>
      <c r="AL141" s="192" t="s">
        <v>28</v>
      </c>
      <c r="AM141" s="192" t="s">
        <v>51</v>
      </c>
      <c r="AN141" s="192" t="s">
        <v>156</v>
      </c>
      <c r="AO141" s="192">
        <v>1.1921735232104831</v>
      </c>
    </row>
    <row r="142" spans="29:41" s="77" customFormat="1">
      <c r="AC142" s="78" t="s">
        <v>52</v>
      </c>
      <c r="AD142" s="78" t="s">
        <v>18</v>
      </c>
      <c r="AE142" s="78" t="s">
        <v>72</v>
      </c>
      <c r="AF142" s="78" t="s">
        <v>51</v>
      </c>
      <c r="AG142" s="78" t="s">
        <v>157</v>
      </c>
      <c r="AH142" s="78">
        <v>3.812592661796018</v>
      </c>
      <c r="AJ142" s="192" t="s">
        <v>52</v>
      </c>
      <c r="AK142" s="192" t="s">
        <v>18</v>
      </c>
      <c r="AL142" s="192" t="s">
        <v>28</v>
      </c>
      <c r="AM142" s="192" t="s">
        <v>51</v>
      </c>
      <c r="AN142" s="192" t="s">
        <v>157</v>
      </c>
      <c r="AO142" s="192">
        <v>1.164934383367918</v>
      </c>
    </row>
    <row r="143" spans="29:41" s="77" customFormat="1">
      <c r="AC143" s="78" t="s">
        <v>52</v>
      </c>
      <c r="AD143" s="78" t="s">
        <v>18</v>
      </c>
      <c r="AE143" s="78" t="s">
        <v>72</v>
      </c>
      <c r="AF143" s="78" t="s">
        <v>51</v>
      </c>
      <c r="AG143" s="78" t="s">
        <v>158</v>
      </c>
      <c r="AH143" s="78">
        <v>3.8124950348616728</v>
      </c>
      <c r="AJ143" s="192" t="s">
        <v>52</v>
      </c>
      <c r="AK143" s="192" t="s">
        <v>18</v>
      </c>
      <c r="AL143" s="192" t="s">
        <v>28</v>
      </c>
      <c r="AM143" s="192" t="s">
        <v>51</v>
      </c>
      <c r="AN143" s="192" t="s">
        <v>158</v>
      </c>
      <c r="AO143" s="192">
        <v>1.1451004723297626</v>
      </c>
    </row>
    <row r="144" spans="29:41" s="77" customFormat="1">
      <c r="AC144" s="78" t="s">
        <v>52</v>
      </c>
      <c r="AD144" s="78" t="s">
        <v>18</v>
      </c>
      <c r="AE144" s="78" t="s">
        <v>72</v>
      </c>
      <c r="AF144" s="78" t="s">
        <v>51</v>
      </c>
      <c r="AG144" s="78" t="s">
        <v>159</v>
      </c>
      <c r="AH144" s="78">
        <v>3.8425411667081901</v>
      </c>
      <c r="AJ144" s="192" t="s">
        <v>52</v>
      </c>
      <c r="AK144" s="192" t="s">
        <v>18</v>
      </c>
      <c r="AL144" s="192" t="s">
        <v>28</v>
      </c>
      <c r="AM144" s="192" t="s">
        <v>51</v>
      </c>
      <c r="AN144" s="192" t="s">
        <v>159</v>
      </c>
      <c r="AO144" s="192">
        <v>1.2012007162912803</v>
      </c>
    </row>
    <row r="145" spans="1:49" s="77" customFormat="1">
      <c r="AC145" s="78" t="s">
        <v>52</v>
      </c>
      <c r="AD145" s="78" t="s">
        <v>18</v>
      </c>
      <c r="AE145" s="78" t="s">
        <v>72</v>
      </c>
      <c r="AF145" s="78" t="s">
        <v>51</v>
      </c>
      <c r="AG145" s="78" t="s">
        <v>160</v>
      </c>
      <c r="AH145" s="78">
        <v>3.7794849694083221</v>
      </c>
      <c r="AJ145" s="192" t="s">
        <v>52</v>
      </c>
      <c r="AK145" s="192" t="s">
        <v>18</v>
      </c>
      <c r="AL145" s="192" t="s">
        <v>28</v>
      </c>
      <c r="AM145" s="192" t="s">
        <v>51</v>
      </c>
      <c r="AN145" s="192" t="s">
        <v>160</v>
      </c>
      <c r="AO145" s="192">
        <v>1.182626202146932</v>
      </c>
    </row>
    <row r="146" spans="1:49" s="77" customFormat="1">
      <c r="AC146" s="78" t="s">
        <v>52</v>
      </c>
      <c r="AD146" s="78" t="s">
        <v>18</v>
      </c>
      <c r="AE146" s="78" t="s">
        <v>72</v>
      </c>
      <c r="AF146" s="78" t="s">
        <v>51</v>
      </c>
      <c r="AG146" s="78" t="s">
        <v>161</v>
      </c>
      <c r="AH146" s="78">
        <v>3.812592661796018</v>
      </c>
      <c r="AJ146" s="192" t="s">
        <v>52</v>
      </c>
      <c r="AK146" s="192" t="s">
        <v>18</v>
      </c>
      <c r="AL146" s="192" t="s">
        <v>28</v>
      </c>
      <c r="AM146" s="192" t="s">
        <v>51</v>
      </c>
      <c r="AN146" s="192" t="s">
        <v>161</v>
      </c>
      <c r="AO146" s="192">
        <v>1.2278990772262279</v>
      </c>
    </row>
    <row r="147" spans="1:49" s="77" customFormat="1">
      <c r="AC147" s="78" t="s">
        <v>52</v>
      </c>
      <c r="AD147" s="78" t="s">
        <v>18</v>
      </c>
      <c r="AE147" s="78" t="s">
        <v>72</v>
      </c>
      <c r="AF147" s="78" t="s">
        <v>51</v>
      </c>
      <c r="AG147" s="78" t="s">
        <v>162</v>
      </c>
      <c r="AH147" s="78">
        <v>3.812592661796018</v>
      </c>
      <c r="AJ147" s="192" t="s">
        <v>52</v>
      </c>
      <c r="AK147" s="192" t="s">
        <v>18</v>
      </c>
      <c r="AL147" s="192" t="s">
        <v>28</v>
      </c>
      <c r="AM147" s="192" t="s">
        <v>51</v>
      </c>
      <c r="AN147" s="192" t="s">
        <v>162</v>
      </c>
      <c r="AO147" s="192">
        <v>1.2366897199972682</v>
      </c>
    </row>
    <row r="148" spans="1:49" s="77" customFormat="1">
      <c r="AC148" s="78" t="s">
        <v>52</v>
      </c>
      <c r="AD148" s="78" t="s">
        <v>18</v>
      </c>
      <c r="AE148" s="78" t="s">
        <v>72</v>
      </c>
      <c r="AF148" s="78" t="s">
        <v>51</v>
      </c>
      <c r="AG148" s="78" t="s">
        <v>163</v>
      </c>
      <c r="AH148" s="78">
        <v>3.812592661796018</v>
      </c>
      <c r="AJ148" s="192" t="s">
        <v>52</v>
      </c>
      <c r="AK148" s="192" t="s">
        <v>18</v>
      </c>
      <c r="AL148" s="192" t="s">
        <v>28</v>
      </c>
      <c r="AM148" s="192" t="s">
        <v>51</v>
      </c>
      <c r="AN148" s="192" t="s">
        <v>163</v>
      </c>
      <c r="AO148" s="192">
        <v>1.245472241338248</v>
      </c>
    </row>
    <row r="149" spans="1:49" s="77" customFormat="1">
      <c r="AC149" s="78" t="s">
        <v>52</v>
      </c>
      <c r="AD149" s="78" t="s">
        <v>18</v>
      </c>
      <c r="AE149" s="78" t="s">
        <v>72</v>
      </c>
      <c r="AF149" s="78" t="s">
        <v>51</v>
      </c>
      <c r="AG149" s="78" t="s">
        <v>164</v>
      </c>
      <c r="AH149" s="78">
        <v>3.7794849694083221</v>
      </c>
      <c r="AJ149" s="192" t="s">
        <v>52</v>
      </c>
      <c r="AK149" s="192" t="s">
        <v>18</v>
      </c>
      <c r="AL149" s="192" t="s">
        <v>28</v>
      </c>
      <c r="AM149" s="192" t="s">
        <v>51</v>
      </c>
      <c r="AN149" s="192" t="s">
        <v>164</v>
      </c>
      <c r="AO149" s="192">
        <v>1.1808957523380619</v>
      </c>
    </row>
    <row r="150" spans="1:49" s="77" customFormat="1">
      <c r="AC150" s="78" t="s">
        <v>52</v>
      </c>
      <c r="AD150" s="78" t="s">
        <v>18</v>
      </c>
      <c r="AE150" s="78" t="s">
        <v>72</v>
      </c>
      <c r="AF150" s="78" t="s">
        <v>51</v>
      </c>
      <c r="AG150" s="78" t="s">
        <v>165</v>
      </c>
      <c r="AH150" s="78">
        <v>3.7794849694083221</v>
      </c>
      <c r="AJ150" s="192" t="s">
        <v>52</v>
      </c>
      <c r="AK150" s="192" t="s">
        <v>18</v>
      </c>
      <c r="AL150" s="192" t="s">
        <v>28</v>
      </c>
      <c r="AM150" s="192" t="s">
        <v>51</v>
      </c>
      <c r="AN150" s="192" t="s">
        <v>165</v>
      </c>
      <c r="AO150" s="192">
        <v>1.1569638893232519</v>
      </c>
    </row>
    <row r="151" spans="1:49" s="77" customFormat="1">
      <c r="AC151" s="78" t="s">
        <v>52</v>
      </c>
      <c r="AD151" s="78" t="s">
        <v>18</v>
      </c>
      <c r="AE151" s="78" t="s">
        <v>72</v>
      </c>
      <c r="AF151" s="78" t="s">
        <v>51</v>
      </c>
      <c r="AG151" s="78" t="s">
        <v>166</v>
      </c>
      <c r="AH151" s="78">
        <v>3.812592661796018</v>
      </c>
      <c r="AJ151" s="192" t="s">
        <v>52</v>
      </c>
      <c r="AK151" s="192" t="s">
        <v>18</v>
      </c>
      <c r="AL151" s="192" t="s">
        <v>28</v>
      </c>
      <c r="AM151" s="192" t="s">
        <v>51</v>
      </c>
      <c r="AN151" s="192" t="s">
        <v>166</v>
      </c>
      <c r="AO151" s="192">
        <v>1.1372662480492881</v>
      </c>
    </row>
    <row r="152" spans="1:49" s="77" customFormat="1">
      <c r="AC152" s="78" t="s">
        <v>52</v>
      </c>
      <c r="AD152" s="78" t="s">
        <v>18</v>
      </c>
      <c r="AE152" s="78" t="s">
        <v>72</v>
      </c>
      <c r="AF152" s="78" t="s">
        <v>51</v>
      </c>
      <c r="AG152" s="78" t="s">
        <v>167</v>
      </c>
      <c r="AH152" s="78">
        <v>3.8425411667081901</v>
      </c>
      <c r="AJ152" s="192" t="s">
        <v>52</v>
      </c>
      <c r="AK152" s="192" t="s">
        <v>18</v>
      </c>
      <c r="AL152" s="192" t="s">
        <v>28</v>
      </c>
      <c r="AM152" s="192" t="s">
        <v>51</v>
      </c>
      <c r="AN152" s="192" t="s">
        <v>167</v>
      </c>
      <c r="AO152" s="192">
        <v>1.18625358517885</v>
      </c>
    </row>
    <row r="153" spans="1:49" s="77" customFormat="1">
      <c r="AC153" s="78" t="s">
        <v>52</v>
      </c>
      <c r="AD153" s="78" t="s">
        <v>18</v>
      </c>
      <c r="AE153" s="78" t="s">
        <v>72</v>
      </c>
      <c r="AF153" s="78" t="s">
        <v>51</v>
      </c>
      <c r="AG153" s="78" t="s">
        <v>168</v>
      </c>
      <c r="AH153" s="78">
        <v>3.8425411667081901</v>
      </c>
      <c r="AJ153" s="192" t="s">
        <v>52</v>
      </c>
      <c r="AK153" s="192" t="s">
        <v>18</v>
      </c>
      <c r="AL153" s="192" t="s">
        <v>28</v>
      </c>
      <c r="AM153" s="192" t="s">
        <v>51</v>
      </c>
      <c r="AN153" s="192" t="s">
        <v>168</v>
      </c>
      <c r="AO153" s="192">
        <v>1.2129819489389504</v>
      </c>
    </row>
    <row r="154" spans="1:49">
      <c r="A154" s="77"/>
      <c r="B154" s="77"/>
      <c r="C154" s="77"/>
      <c r="D154" s="77"/>
      <c r="E154" s="77"/>
      <c r="F154" s="77"/>
      <c r="I154" s="77"/>
      <c r="J154" s="77"/>
      <c r="K154" s="77"/>
      <c r="L154" s="77"/>
      <c r="M154" s="77"/>
      <c r="N154" s="77"/>
      <c r="Q154" s="77"/>
      <c r="R154" s="77"/>
      <c r="S154" s="77"/>
      <c r="T154" s="77"/>
      <c r="U154" s="77"/>
      <c r="V154" s="77"/>
      <c r="X154" s="77"/>
      <c r="Y154" s="77"/>
      <c r="Z154" s="77"/>
      <c r="AA154" s="77"/>
      <c r="AC154" s="78" t="s">
        <v>52</v>
      </c>
      <c r="AD154" s="78" t="s">
        <v>18</v>
      </c>
      <c r="AE154" s="78" t="s">
        <v>72</v>
      </c>
      <c r="AF154" s="78" t="s">
        <v>51</v>
      </c>
      <c r="AG154" s="78" t="s">
        <v>169</v>
      </c>
      <c r="AH154" s="78">
        <v>3.8124950348616728</v>
      </c>
      <c r="AJ154" s="192" t="s">
        <v>52</v>
      </c>
      <c r="AK154" s="192" t="s">
        <v>18</v>
      </c>
      <c r="AL154" s="192" t="s">
        <v>28</v>
      </c>
      <c r="AM154" s="192" t="s">
        <v>51</v>
      </c>
      <c r="AN154" s="192" t="s">
        <v>169</v>
      </c>
      <c r="AO154" s="192">
        <v>1.1687611844429833</v>
      </c>
      <c r="AR154" s="77"/>
      <c r="AS154" s="77"/>
      <c r="AT154" s="77"/>
      <c r="AU154" s="77"/>
      <c r="AV154" s="77"/>
      <c r="AW154" s="77"/>
    </row>
    <row r="155" spans="1:49">
      <c r="A155" s="77"/>
      <c r="B155" s="77"/>
      <c r="C155" s="77"/>
      <c r="D155" s="77"/>
      <c r="E155" s="77"/>
      <c r="F155" s="77"/>
      <c r="I155" s="77"/>
      <c r="J155" s="77"/>
      <c r="K155" s="77"/>
      <c r="L155" s="77"/>
      <c r="M155" s="77"/>
      <c r="N155" s="77"/>
      <c r="Q155" s="77"/>
      <c r="R155" s="77"/>
      <c r="S155" s="77"/>
      <c r="T155" s="77"/>
      <c r="U155" s="77"/>
      <c r="V155" s="77"/>
      <c r="AC155" s="78" t="s">
        <v>52</v>
      </c>
      <c r="AD155" s="78" t="s">
        <v>18</v>
      </c>
      <c r="AE155" s="78" t="s">
        <v>72</v>
      </c>
      <c r="AF155" s="78" t="s">
        <v>51</v>
      </c>
      <c r="AG155" s="78" t="s">
        <v>170</v>
      </c>
      <c r="AH155" s="78">
        <v>3.8425411667081901</v>
      </c>
      <c r="AJ155" s="192" t="s">
        <v>52</v>
      </c>
      <c r="AK155" s="192" t="s">
        <v>18</v>
      </c>
      <c r="AL155" s="192" t="s">
        <v>28</v>
      </c>
      <c r="AM155" s="192" t="s">
        <v>51</v>
      </c>
      <c r="AN155" s="192" t="s">
        <v>170</v>
      </c>
      <c r="AO155" s="192">
        <v>1.14339971207764</v>
      </c>
      <c r="AR155" s="77"/>
      <c r="AS155" s="77"/>
      <c r="AT155" s="77"/>
      <c r="AU155" s="77"/>
      <c r="AV155" s="77"/>
      <c r="AW155" s="77"/>
    </row>
    <row r="156" spans="1:49">
      <c r="A156" s="77"/>
      <c r="B156" s="77"/>
      <c r="C156" s="77"/>
      <c r="D156" s="77"/>
      <c r="E156" s="77"/>
      <c r="F156" s="77"/>
      <c r="I156" s="77"/>
      <c r="J156" s="77"/>
      <c r="K156" s="77"/>
      <c r="L156" s="77"/>
      <c r="M156" s="77"/>
      <c r="N156" s="77"/>
      <c r="Q156" s="77"/>
      <c r="R156" s="77"/>
      <c r="S156" s="77"/>
      <c r="T156" s="77"/>
      <c r="U156" s="77"/>
      <c r="V156" s="77"/>
      <c r="AC156" s="78" t="s">
        <v>52</v>
      </c>
      <c r="AD156" s="78" t="s">
        <v>18</v>
      </c>
      <c r="AE156" s="78" t="s">
        <v>72</v>
      </c>
      <c r="AF156" s="78" t="s">
        <v>51</v>
      </c>
      <c r="AG156" s="78" t="s">
        <v>171</v>
      </c>
      <c r="AH156" s="78">
        <v>3.9062558298878747</v>
      </c>
      <c r="AJ156" s="192" t="s">
        <v>52</v>
      </c>
      <c r="AK156" s="192" t="s">
        <v>18</v>
      </c>
      <c r="AL156" s="192" t="s">
        <v>28</v>
      </c>
      <c r="AM156" s="192" t="s">
        <v>51</v>
      </c>
      <c r="AN156" s="192" t="s">
        <v>171</v>
      </c>
      <c r="AO156" s="192">
        <v>1.1595099583305548</v>
      </c>
      <c r="AR156" s="77"/>
      <c r="AS156" s="77"/>
      <c r="AT156" s="77"/>
      <c r="AU156" s="77"/>
      <c r="AV156" s="77"/>
      <c r="AW156" s="77"/>
    </row>
    <row r="157" spans="1:49">
      <c r="A157" s="77"/>
      <c r="B157" s="77"/>
      <c r="C157" s="77"/>
      <c r="D157" s="77"/>
      <c r="E157" s="77"/>
      <c r="F157" s="77"/>
      <c r="I157" s="77"/>
      <c r="J157" s="77"/>
      <c r="K157" s="77"/>
      <c r="L157" s="77"/>
      <c r="M157" s="77"/>
      <c r="N157" s="77"/>
      <c r="Q157" s="77"/>
      <c r="R157" s="77"/>
      <c r="S157" s="77"/>
      <c r="T157" s="77"/>
      <c r="U157" s="77"/>
      <c r="V157" s="77"/>
      <c r="AC157" s="78" t="s">
        <v>52</v>
      </c>
      <c r="AD157" s="78" t="s">
        <v>18</v>
      </c>
      <c r="AE157" s="78" t="s">
        <v>72</v>
      </c>
      <c r="AF157" s="78" t="s">
        <v>51</v>
      </c>
      <c r="AG157" s="78" t="s">
        <v>172</v>
      </c>
      <c r="AH157" s="78">
        <v>3.9353424338077225</v>
      </c>
      <c r="AJ157" s="192" t="s">
        <v>52</v>
      </c>
      <c r="AK157" s="192" t="s">
        <v>18</v>
      </c>
      <c r="AL157" s="192" t="s">
        <v>28</v>
      </c>
      <c r="AM157" s="192" t="s">
        <v>51</v>
      </c>
      <c r="AN157" s="192" t="s">
        <v>172</v>
      </c>
      <c r="AO157" s="192">
        <v>1.1873277108407725</v>
      </c>
      <c r="AR157" s="77"/>
      <c r="AS157" s="77"/>
      <c r="AT157" s="77"/>
      <c r="AU157" s="77"/>
      <c r="AV157" s="77"/>
      <c r="AW157" s="77"/>
    </row>
    <row r="158" spans="1:49">
      <c r="A158" s="77"/>
      <c r="B158" s="77"/>
      <c r="C158" s="77"/>
      <c r="D158" s="77"/>
      <c r="E158" s="77"/>
      <c r="F158" s="77"/>
      <c r="I158" s="77"/>
      <c r="J158" s="77"/>
      <c r="K158" s="77"/>
      <c r="L158" s="77"/>
      <c r="M158" s="77"/>
      <c r="N158" s="77"/>
      <c r="Q158" s="77"/>
      <c r="R158" s="77"/>
      <c r="S158" s="77"/>
      <c r="T158" s="77"/>
      <c r="U158" s="77"/>
      <c r="V158" s="77"/>
      <c r="AC158" s="78" t="s">
        <v>52</v>
      </c>
      <c r="AD158" s="78" t="s">
        <v>18</v>
      </c>
      <c r="AE158" s="78" t="s">
        <v>72</v>
      </c>
      <c r="AF158" s="78" t="s">
        <v>51</v>
      </c>
      <c r="AG158" s="78" t="s">
        <v>173</v>
      </c>
      <c r="AH158" s="78">
        <v>3.9353424338077225</v>
      </c>
      <c r="AJ158" s="192" t="s">
        <v>52</v>
      </c>
      <c r="AK158" s="192" t="s">
        <v>18</v>
      </c>
      <c r="AL158" s="192" t="s">
        <v>28</v>
      </c>
      <c r="AM158" s="192" t="s">
        <v>51</v>
      </c>
      <c r="AN158" s="192" t="s">
        <v>173</v>
      </c>
      <c r="AO158" s="192">
        <v>1.1289325267435621</v>
      </c>
      <c r="AR158" s="77"/>
      <c r="AS158" s="77"/>
      <c r="AT158" s="77"/>
      <c r="AU158" s="77"/>
      <c r="AV158" s="77"/>
      <c r="AW158" s="77"/>
    </row>
    <row r="159" spans="1:49">
      <c r="A159" s="77"/>
      <c r="B159" s="77"/>
      <c r="C159" s="77"/>
      <c r="D159" s="77"/>
      <c r="E159" s="77"/>
      <c r="F159" s="77"/>
      <c r="I159" s="77"/>
      <c r="J159" s="77"/>
      <c r="K159" s="77"/>
      <c r="L159" s="77"/>
      <c r="M159" s="77"/>
      <c r="N159" s="77"/>
      <c r="Q159" s="77"/>
      <c r="R159" s="77"/>
      <c r="S159" s="77"/>
      <c r="T159" s="77"/>
      <c r="U159" s="77"/>
      <c r="V159" s="77"/>
      <c r="AC159" s="78" t="s">
        <v>52</v>
      </c>
      <c r="AD159" s="78" t="s">
        <v>18</v>
      </c>
      <c r="AE159" s="78" t="s">
        <v>72</v>
      </c>
      <c r="AF159" s="78" t="s">
        <v>51</v>
      </c>
      <c r="AG159" s="78" t="s">
        <v>174</v>
      </c>
      <c r="AH159" s="78">
        <v>3.968948344733974</v>
      </c>
      <c r="AJ159" s="192" t="s">
        <v>52</v>
      </c>
      <c r="AK159" s="192" t="s">
        <v>18</v>
      </c>
      <c r="AL159" s="192" t="s">
        <v>28</v>
      </c>
      <c r="AM159" s="192" t="s">
        <v>51</v>
      </c>
      <c r="AN159" s="192" t="s">
        <v>174</v>
      </c>
      <c r="AO159" s="192">
        <v>1.1272723391193236</v>
      </c>
      <c r="AR159" s="77"/>
      <c r="AS159" s="77"/>
      <c r="AT159" s="77"/>
      <c r="AU159" s="77"/>
      <c r="AV159" s="77"/>
      <c r="AW159" s="77"/>
    </row>
    <row r="160" spans="1:49">
      <c r="A160" s="77"/>
      <c r="B160" s="77"/>
      <c r="C160" s="77"/>
      <c r="D160" s="77"/>
      <c r="E160" s="77"/>
      <c r="F160" s="77"/>
      <c r="I160" s="77"/>
      <c r="J160" s="77"/>
      <c r="K160" s="77"/>
      <c r="L160" s="77"/>
      <c r="M160" s="77"/>
      <c r="N160" s="77"/>
      <c r="Q160" s="77"/>
      <c r="R160" s="77"/>
      <c r="S160" s="77"/>
      <c r="T160" s="77"/>
      <c r="U160" s="77"/>
      <c r="V160" s="77"/>
      <c r="AC160" s="78" t="s">
        <v>52</v>
      </c>
      <c r="AD160" s="78" t="s">
        <v>18</v>
      </c>
      <c r="AE160" s="78" t="s">
        <v>72</v>
      </c>
      <c r="AF160" s="78" t="s">
        <v>51</v>
      </c>
      <c r="AG160" s="78" t="s">
        <v>175</v>
      </c>
      <c r="AH160" s="78">
        <v>4.0610656170015185</v>
      </c>
      <c r="AJ160" s="192" t="s">
        <v>52</v>
      </c>
      <c r="AK160" s="192" t="s">
        <v>18</v>
      </c>
      <c r="AL160" s="192" t="s">
        <v>28</v>
      </c>
      <c r="AM160" s="192" t="s">
        <v>51</v>
      </c>
      <c r="AN160" s="192" t="s">
        <v>175</v>
      </c>
      <c r="AO160" s="192">
        <v>1.1854171415668284</v>
      </c>
      <c r="AR160" s="77"/>
      <c r="AS160" s="77"/>
      <c r="AT160" s="77"/>
      <c r="AU160" s="77"/>
      <c r="AV160" s="77"/>
      <c r="AW160" s="77"/>
    </row>
    <row r="161" spans="1:49">
      <c r="A161" s="77"/>
      <c r="B161" s="77"/>
      <c r="C161" s="77"/>
      <c r="D161" s="77"/>
      <c r="E161" s="77"/>
      <c r="F161" s="77"/>
      <c r="I161" s="77"/>
      <c r="J161" s="77"/>
      <c r="K161" s="77"/>
      <c r="L161" s="77"/>
      <c r="M161" s="77"/>
      <c r="N161" s="77"/>
      <c r="Q161" s="77"/>
      <c r="R161" s="77"/>
      <c r="S161" s="77"/>
      <c r="T161" s="77"/>
      <c r="U161" s="77"/>
      <c r="V161" s="77"/>
      <c r="AC161" s="78" t="s">
        <v>52</v>
      </c>
      <c r="AD161" s="78" t="s">
        <v>18</v>
      </c>
      <c r="AE161" s="78" t="s">
        <v>72</v>
      </c>
      <c r="AF161" s="78" t="s">
        <v>51</v>
      </c>
      <c r="AG161" s="78" t="s">
        <v>176</v>
      </c>
      <c r="AH161" s="78">
        <v>4.0610656170015185</v>
      </c>
      <c r="AJ161" s="192" t="s">
        <v>52</v>
      </c>
      <c r="AK161" s="192" t="s">
        <v>18</v>
      </c>
      <c r="AL161" s="192" t="s">
        <v>28</v>
      </c>
      <c r="AM161" s="192" t="s">
        <v>51</v>
      </c>
      <c r="AN161" s="192" t="s">
        <v>176</v>
      </c>
      <c r="AO161" s="192">
        <v>1.1417604200449385</v>
      </c>
      <c r="AR161" s="77"/>
      <c r="AS161" s="77"/>
      <c r="AT161" s="77"/>
      <c r="AU161" s="77"/>
      <c r="AV161" s="77"/>
      <c r="AW161" s="77"/>
    </row>
    <row r="162" spans="1:49">
      <c r="A162" s="77"/>
      <c r="B162" s="77"/>
      <c r="C162" s="77"/>
      <c r="D162" s="77"/>
      <c r="E162" s="77"/>
      <c r="F162" s="77"/>
      <c r="I162" s="77"/>
      <c r="J162" s="77"/>
      <c r="K162" s="77"/>
      <c r="L162" s="77"/>
      <c r="M162" s="77"/>
      <c r="N162" s="77"/>
      <c r="Q162" s="77"/>
      <c r="R162" s="77"/>
      <c r="S162" s="77"/>
      <c r="T162" s="77"/>
      <c r="U162" s="77"/>
      <c r="V162" s="77"/>
      <c r="AC162" s="78" t="s">
        <v>52</v>
      </c>
      <c r="AD162" s="78" t="s">
        <v>18</v>
      </c>
      <c r="AE162" s="78" t="s">
        <v>72</v>
      </c>
      <c r="AF162" s="78" t="s">
        <v>51</v>
      </c>
      <c r="AG162" s="78" t="s">
        <v>177</v>
      </c>
      <c r="AH162" s="78">
        <v>4.0284371983798186</v>
      </c>
      <c r="AJ162" s="192" t="s">
        <v>52</v>
      </c>
      <c r="AK162" s="192" t="s">
        <v>18</v>
      </c>
      <c r="AL162" s="192" t="s">
        <v>28</v>
      </c>
      <c r="AM162" s="192" t="s">
        <v>51</v>
      </c>
      <c r="AN162" s="192" t="s">
        <v>177</v>
      </c>
      <c r="AO162" s="192">
        <v>1.1666592303356988</v>
      </c>
      <c r="AR162" s="77"/>
      <c r="AS162" s="77"/>
      <c r="AT162" s="77"/>
      <c r="AU162" s="77"/>
      <c r="AV162" s="77"/>
      <c r="AW162" s="77"/>
    </row>
    <row r="163" spans="1:49">
      <c r="A163" s="77"/>
      <c r="B163" s="77"/>
      <c r="C163" s="77"/>
      <c r="D163" s="77"/>
      <c r="E163" s="77"/>
      <c r="F163" s="77"/>
      <c r="I163" s="77"/>
      <c r="J163" s="77"/>
      <c r="K163" s="77"/>
      <c r="L163" s="77"/>
      <c r="M163" s="77"/>
      <c r="N163" s="77"/>
      <c r="Q163" s="77"/>
      <c r="R163" s="77"/>
      <c r="S163" s="77"/>
      <c r="T163" s="77"/>
      <c r="U163" s="77"/>
      <c r="V163" s="77"/>
      <c r="AC163" s="78" t="s">
        <v>52</v>
      </c>
      <c r="AD163" s="78" t="s">
        <v>18</v>
      </c>
      <c r="AE163" s="78" t="s">
        <v>72</v>
      </c>
      <c r="AF163" s="78" t="s">
        <v>51</v>
      </c>
      <c r="AG163" s="78" t="s">
        <v>178</v>
      </c>
      <c r="AH163" s="78">
        <v>3.9361387568601574</v>
      </c>
      <c r="AJ163" s="192" t="s">
        <v>52</v>
      </c>
      <c r="AK163" s="192" t="s">
        <v>18</v>
      </c>
      <c r="AL163" s="192" t="s">
        <v>28</v>
      </c>
      <c r="AM163" s="192" t="s">
        <v>51</v>
      </c>
      <c r="AN163" s="192" t="s">
        <v>178</v>
      </c>
      <c r="AO163" s="192">
        <v>1.1260310636068873</v>
      </c>
      <c r="AR163" s="77"/>
      <c r="AS163" s="77"/>
      <c r="AT163" s="77"/>
      <c r="AU163" s="77"/>
      <c r="AV163" s="77"/>
      <c r="AW163" s="77"/>
    </row>
    <row r="164" spans="1:49">
      <c r="A164" s="77"/>
      <c r="B164" s="77"/>
      <c r="C164" s="77"/>
      <c r="D164" s="77"/>
      <c r="E164" s="77"/>
      <c r="F164" s="77"/>
      <c r="I164" s="77"/>
      <c r="J164" s="77"/>
      <c r="K164" s="77"/>
      <c r="L164" s="77"/>
      <c r="M164" s="77"/>
      <c r="N164" s="77"/>
      <c r="Q164" s="77"/>
      <c r="R164" s="77"/>
      <c r="S164" s="77"/>
      <c r="T164" s="77"/>
      <c r="U164" s="77"/>
      <c r="V164" s="77"/>
      <c r="AC164" s="78" t="s">
        <v>52</v>
      </c>
      <c r="AD164" s="78" t="s">
        <v>18</v>
      </c>
      <c r="AE164" s="78" t="s">
        <v>72</v>
      </c>
      <c r="AF164" s="78" t="s">
        <v>51</v>
      </c>
      <c r="AG164" s="78" t="s">
        <v>179</v>
      </c>
      <c r="AH164" s="78">
        <v>3.9987193359155064</v>
      </c>
      <c r="AJ164" s="192" t="s">
        <v>52</v>
      </c>
      <c r="AK164" s="192" t="s">
        <v>18</v>
      </c>
      <c r="AL164" s="192" t="s">
        <v>28</v>
      </c>
      <c r="AM164" s="192" t="s">
        <v>51</v>
      </c>
      <c r="AN164" s="192" t="s">
        <v>179</v>
      </c>
      <c r="AO164" s="192">
        <v>1.0787377454870266</v>
      </c>
      <c r="AR164" s="77"/>
      <c r="AS164" s="77"/>
      <c r="AT164" s="77"/>
      <c r="AU164" s="77"/>
      <c r="AV164" s="77"/>
      <c r="AW164" s="77"/>
    </row>
    <row r="165" spans="1:49">
      <c r="A165" s="77"/>
      <c r="B165" s="77"/>
      <c r="C165" s="77"/>
      <c r="D165" s="77"/>
      <c r="E165" s="77"/>
      <c r="F165" s="77"/>
      <c r="I165" s="77"/>
      <c r="J165" s="77"/>
      <c r="K165" s="77"/>
      <c r="L165" s="77"/>
      <c r="M165" s="77"/>
      <c r="N165" s="77"/>
      <c r="Q165" s="77"/>
      <c r="R165" s="77"/>
      <c r="S165" s="77"/>
      <c r="T165" s="77"/>
      <c r="U165" s="77"/>
      <c r="V165" s="77"/>
      <c r="AC165" s="78" t="s">
        <v>52</v>
      </c>
      <c r="AD165" s="78" t="s">
        <v>18</v>
      </c>
      <c r="AE165" s="78" t="s">
        <v>72</v>
      </c>
      <c r="AF165" s="78" t="s">
        <v>51</v>
      </c>
      <c r="AG165" s="78" t="s">
        <v>180</v>
      </c>
      <c r="AH165" s="78">
        <v>4.0284371983798186</v>
      </c>
      <c r="AJ165" s="192" t="s">
        <v>52</v>
      </c>
      <c r="AK165" s="192" t="s">
        <v>18</v>
      </c>
      <c r="AL165" s="192" t="s">
        <v>28</v>
      </c>
      <c r="AM165" s="192" t="s">
        <v>51</v>
      </c>
      <c r="AN165" s="192" t="s">
        <v>180</v>
      </c>
      <c r="AO165" s="192">
        <v>1.0921474532674187</v>
      </c>
      <c r="AR165" s="77"/>
      <c r="AS165" s="77"/>
      <c r="AT165" s="77"/>
      <c r="AU165" s="77"/>
      <c r="AV165" s="77"/>
      <c r="AW165" s="77"/>
    </row>
    <row r="166" spans="1:49">
      <c r="A166" s="77"/>
      <c r="B166" s="77"/>
      <c r="C166" s="77"/>
      <c r="D166" s="77"/>
      <c r="E166" s="77"/>
      <c r="F166" s="77"/>
      <c r="I166" s="77"/>
      <c r="J166" s="77"/>
      <c r="K166" s="77"/>
      <c r="L166" s="77"/>
      <c r="M166" s="77"/>
      <c r="N166" s="77"/>
      <c r="Q166" s="77"/>
      <c r="R166" s="77"/>
      <c r="S166" s="77"/>
      <c r="T166" s="77"/>
      <c r="U166" s="77"/>
      <c r="V166" s="77"/>
      <c r="AC166" s="78" t="s">
        <v>52</v>
      </c>
      <c r="AD166" s="78" t="s">
        <v>18</v>
      </c>
      <c r="AE166" s="78" t="s">
        <v>72</v>
      </c>
      <c r="AF166" s="78" t="s">
        <v>51</v>
      </c>
      <c r="AG166" s="78" t="s">
        <v>181</v>
      </c>
      <c r="AH166" s="78">
        <v>4.0610656170015185</v>
      </c>
      <c r="AJ166" s="192" t="s">
        <v>52</v>
      </c>
      <c r="AK166" s="192" t="s">
        <v>18</v>
      </c>
      <c r="AL166" s="192" t="s">
        <v>28</v>
      </c>
      <c r="AM166" s="192" t="s">
        <v>51</v>
      </c>
      <c r="AN166" s="192" t="s">
        <v>181</v>
      </c>
      <c r="AO166" s="192">
        <v>1.1024563517281987</v>
      </c>
      <c r="AR166" s="77"/>
      <c r="AS166" s="77"/>
      <c r="AT166" s="77"/>
      <c r="AU166" s="77"/>
      <c r="AV166" s="77"/>
      <c r="AW166" s="77"/>
    </row>
    <row r="167" spans="1:49">
      <c r="A167" s="77"/>
      <c r="B167" s="77"/>
      <c r="C167" s="77"/>
      <c r="D167" s="77"/>
      <c r="E167" s="77"/>
      <c r="F167" s="77"/>
      <c r="I167" s="77"/>
      <c r="J167" s="77"/>
      <c r="K167" s="77"/>
      <c r="L167" s="77"/>
      <c r="M167" s="77"/>
      <c r="N167" s="77"/>
      <c r="Q167" s="77"/>
      <c r="R167" s="77"/>
      <c r="S167" s="77"/>
      <c r="T167" s="77"/>
      <c r="U167" s="77"/>
      <c r="V167" s="77"/>
      <c r="AC167" s="78" t="s">
        <v>52</v>
      </c>
      <c r="AD167" s="78" t="s">
        <v>18</v>
      </c>
      <c r="AE167" s="78" t="s">
        <v>72</v>
      </c>
      <c r="AF167" s="78" t="s">
        <v>51</v>
      </c>
      <c r="AG167" s="78" t="s">
        <v>182</v>
      </c>
      <c r="AH167" s="78">
        <v>4.0301218665618999</v>
      </c>
      <c r="AJ167" s="192" t="s">
        <v>52</v>
      </c>
      <c r="AK167" s="192" t="s">
        <v>18</v>
      </c>
      <c r="AL167" s="192" t="s">
        <v>28</v>
      </c>
      <c r="AM167" s="192" t="s">
        <v>51</v>
      </c>
      <c r="AN167" s="192" t="s">
        <v>182</v>
      </c>
      <c r="AO167" s="192">
        <v>1.1232313177685398</v>
      </c>
      <c r="AR167" s="77"/>
      <c r="AS167" s="77"/>
      <c r="AT167" s="77"/>
      <c r="AU167" s="77"/>
      <c r="AV167" s="77"/>
      <c r="AW167" s="77"/>
    </row>
    <row r="168" spans="1:49">
      <c r="I168" s="77"/>
      <c r="J168" s="77"/>
      <c r="K168" s="77"/>
      <c r="L168" s="77"/>
      <c r="M168" s="77"/>
      <c r="N168" s="77"/>
      <c r="Q168" s="77"/>
      <c r="R168" s="77"/>
      <c r="S168" s="77"/>
      <c r="T168" s="77"/>
      <c r="U168" s="77"/>
      <c r="V168" s="77"/>
      <c r="AC168" s="192" t="s">
        <v>52</v>
      </c>
      <c r="AD168" s="192" t="s">
        <v>18</v>
      </c>
      <c r="AE168" s="192" t="s">
        <v>72</v>
      </c>
      <c r="AF168" s="192" t="s">
        <v>51</v>
      </c>
      <c r="AG168" s="192" t="s">
        <v>183</v>
      </c>
      <c r="AH168" s="192">
        <v>4.0284371983798186</v>
      </c>
      <c r="AJ168" s="192" t="s">
        <v>52</v>
      </c>
      <c r="AK168" s="192" t="s">
        <v>18</v>
      </c>
      <c r="AL168" s="192" t="s">
        <v>28</v>
      </c>
      <c r="AM168" s="192" t="s">
        <v>51</v>
      </c>
      <c r="AN168" s="192" t="s">
        <v>183</v>
      </c>
      <c r="AO168" s="192">
        <v>1.2021204993395886</v>
      </c>
      <c r="AR168" s="77"/>
      <c r="AS168" s="77"/>
      <c r="AT168" s="77"/>
      <c r="AU168" s="77"/>
      <c r="AV168" s="77"/>
      <c r="AW168" s="77"/>
    </row>
    <row r="169" spans="1:49">
      <c r="I169" s="77"/>
      <c r="J169" s="77"/>
      <c r="K169" s="77"/>
      <c r="L169" s="77"/>
      <c r="M169" s="77"/>
      <c r="N169" s="77"/>
      <c r="Q169" s="77"/>
      <c r="R169" s="77"/>
      <c r="S169" s="77"/>
      <c r="T169" s="77"/>
      <c r="U169" s="77"/>
      <c r="V169" s="77"/>
      <c r="AC169" s="192" t="s">
        <v>52</v>
      </c>
      <c r="AD169" s="192" t="s">
        <v>18</v>
      </c>
      <c r="AE169" s="192" t="s">
        <v>72</v>
      </c>
      <c r="AF169" s="192" t="s">
        <v>51</v>
      </c>
      <c r="AG169" s="192" t="s">
        <v>184</v>
      </c>
      <c r="AH169" s="192">
        <v>3.9987193359155064</v>
      </c>
      <c r="AJ169" s="192" t="s">
        <v>52</v>
      </c>
      <c r="AK169" s="192" t="s">
        <v>18</v>
      </c>
      <c r="AL169" s="192" t="s">
        <v>28</v>
      </c>
      <c r="AM169" s="192" t="s">
        <v>51</v>
      </c>
      <c r="AN169" s="192" t="s">
        <v>184</v>
      </c>
      <c r="AO169" s="192">
        <v>1.1090394051208565</v>
      </c>
      <c r="AR169" s="77"/>
      <c r="AS169" s="77"/>
      <c r="AT169" s="77"/>
      <c r="AU169" s="77"/>
      <c r="AV169" s="77"/>
      <c r="AW169" s="77"/>
    </row>
    <row r="170" spans="1:49">
      <c r="I170" s="77"/>
      <c r="J170" s="77"/>
      <c r="K170" s="77"/>
      <c r="L170" s="77"/>
      <c r="M170" s="77"/>
      <c r="N170" s="77"/>
      <c r="Q170" s="77"/>
      <c r="R170" s="77"/>
      <c r="S170" s="77"/>
      <c r="T170" s="77"/>
      <c r="U170" s="77"/>
      <c r="V170" s="77"/>
      <c r="AC170" s="192" t="s">
        <v>52</v>
      </c>
      <c r="AD170" s="192" t="s">
        <v>18</v>
      </c>
      <c r="AE170" s="192" t="s">
        <v>72</v>
      </c>
      <c r="AF170" s="192" t="s">
        <v>51</v>
      </c>
      <c r="AG170" s="192" t="s">
        <v>185</v>
      </c>
      <c r="AH170" s="192">
        <v>4.0936300339223344</v>
      </c>
      <c r="AJ170" s="192" t="s">
        <v>52</v>
      </c>
      <c r="AK170" s="192" t="s">
        <v>18</v>
      </c>
      <c r="AL170" s="192" t="s">
        <v>28</v>
      </c>
      <c r="AM170" s="192" t="s">
        <v>51</v>
      </c>
      <c r="AN170" s="192" t="s">
        <v>185</v>
      </c>
      <c r="AO170" s="192">
        <v>1.1721816785436447</v>
      </c>
      <c r="AR170" s="77"/>
      <c r="AS170" s="77"/>
      <c r="AT170" s="77"/>
      <c r="AU170" s="77"/>
      <c r="AV170" s="77"/>
      <c r="AW170" s="77"/>
    </row>
    <row r="171" spans="1:49">
      <c r="I171" s="77"/>
      <c r="J171" s="77"/>
      <c r="K171" s="77"/>
      <c r="L171" s="77"/>
      <c r="M171" s="77"/>
      <c r="N171" s="77"/>
      <c r="Q171" s="77"/>
      <c r="R171" s="77"/>
      <c r="S171" s="77"/>
      <c r="T171" s="77"/>
      <c r="U171" s="77"/>
      <c r="V171" s="77"/>
      <c r="AC171" s="192" t="s">
        <v>52</v>
      </c>
      <c r="AD171" s="192" t="s">
        <v>18</v>
      </c>
      <c r="AE171" s="192" t="s">
        <v>72</v>
      </c>
      <c r="AF171" s="192" t="s">
        <v>51</v>
      </c>
      <c r="AG171" s="192" t="s">
        <v>186</v>
      </c>
      <c r="AH171" s="192">
        <v>4.0936300339223344</v>
      </c>
      <c r="AJ171" s="192" t="s">
        <v>52</v>
      </c>
      <c r="AK171" s="192" t="s">
        <v>18</v>
      </c>
      <c r="AL171" s="192" t="s">
        <v>28</v>
      </c>
      <c r="AM171" s="192" t="s">
        <v>51</v>
      </c>
      <c r="AN171" s="192" t="s">
        <v>186</v>
      </c>
      <c r="AO171" s="192">
        <v>1.1833677074112747</v>
      </c>
      <c r="AR171" s="77"/>
      <c r="AS171" s="77"/>
      <c r="AT171" s="77"/>
      <c r="AU171" s="77"/>
      <c r="AV171" s="77"/>
      <c r="AW171" s="77"/>
    </row>
    <row r="172" spans="1:49">
      <c r="I172" s="77"/>
      <c r="J172" s="77"/>
      <c r="K172" s="77"/>
      <c r="L172" s="77"/>
      <c r="M172" s="77"/>
      <c r="N172" s="77"/>
      <c r="Q172" s="77"/>
      <c r="R172" s="77"/>
      <c r="S172" s="77"/>
      <c r="T172" s="77"/>
      <c r="U172" s="77"/>
      <c r="V172" s="77"/>
      <c r="AC172" s="192" t="s">
        <v>52</v>
      </c>
      <c r="AD172" s="192" t="s">
        <v>18</v>
      </c>
      <c r="AE172" s="192" t="s">
        <v>72</v>
      </c>
      <c r="AF172" s="192" t="s">
        <v>51</v>
      </c>
      <c r="AG172" s="192" t="s">
        <v>187</v>
      </c>
      <c r="AH172" s="192">
        <v>3.9987193359155064</v>
      </c>
      <c r="AJ172" s="192" t="s">
        <v>52</v>
      </c>
      <c r="AK172" s="192" t="s">
        <v>18</v>
      </c>
      <c r="AL172" s="192" t="s">
        <v>28</v>
      </c>
      <c r="AM172" s="192" t="s">
        <v>51</v>
      </c>
      <c r="AN172" s="192" t="s">
        <v>187</v>
      </c>
      <c r="AO172" s="192">
        <v>1.1387432923308964</v>
      </c>
      <c r="AR172" s="77"/>
      <c r="AS172" s="77"/>
      <c r="AT172" s="77"/>
      <c r="AU172" s="77"/>
      <c r="AV172" s="77"/>
      <c r="AW172" s="77"/>
    </row>
    <row r="173" spans="1:49">
      <c r="I173" s="77"/>
      <c r="J173" s="77"/>
      <c r="K173" s="77"/>
      <c r="L173" s="77"/>
      <c r="M173" s="77"/>
      <c r="N173" s="77"/>
      <c r="Q173" s="77"/>
      <c r="R173" s="77"/>
      <c r="S173" s="77"/>
      <c r="T173" s="77"/>
      <c r="U173" s="77"/>
      <c r="V173" s="77"/>
      <c r="AC173" s="192" t="s">
        <v>52</v>
      </c>
      <c r="AD173" s="192" t="s">
        <v>18</v>
      </c>
      <c r="AE173" s="192" t="s">
        <v>72</v>
      </c>
      <c r="AF173" s="192" t="s">
        <v>51</v>
      </c>
      <c r="AG173" s="192" t="s">
        <v>188</v>
      </c>
      <c r="AH173" s="192">
        <v>4.0936300339223344</v>
      </c>
      <c r="AJ173" s="192" t="s">
        <v>52</v>
      </c>
      <c r="AK173" s="192" t="s">
        <v>18</v>
      </c>
      <c r="AL173" s="192" t="s">
        <v>28</v>
      </c>
      <c r="AM173" s="192" t="s">
        <v>51</v>
      </c>
      <c r="AN173" s="192" t="s">
        <v>188</v>
      </c>
      <c r="AO173" s="192">
        <v>1.2021090180919645</v>
      </c>
      <c r="AR173" s="77"/>
      <c r="AS173" s="77"/>
      <c r="AT173" s="77"/>
      <c r="AU173" s="77"/>
      <c r="AV173" s="77"/>
      <c r="AW173" s="77"/>
    </row>
    <row r="174" spans="1:49">
      <c r="Q174" s="77"/>
      <c r="R174" s="77"/>
      <c r="S174" s="77"/>
      <c r="T174" s="77"/>
      <c r="U174" s="77"/>
      <c r="V174" s="77"/>
      <c r="AC174" s="192" t="s">
        <v>52</v>
      </c>
      <c r="AD174" s="192" t="s">
        <v>18</v>
      </c>
      <c r="AE174" s="192" t="s">
        <v>72</v>
      </c>
      <c r="AF174" s="192" t="s">
        <v>51</v>
      </c>
      <c r="AG174" s="192" t="s">
        <v>189</v>
      </c>
      <c r="AH174" s="192">
        <v>4.0284371983798186</v>
      </c>
      <c r="AJ174" s="192" t="s">
        <v>52</v>
      </c>
      <c r="AK174" s="192" t="s">
        <v>18</v>
      </c>
      <c r="AL174" s="192" t="s">
        <v>28</v>
      </c>
      <c r="AM174" s="192" t="s">
        <v>51</v>
      </c>
      <c r="AN174" s="192" t="s">
        <v>189</v>
      </c>
      <c r="AO174" s="192">
        <v>1.1783667597662388</v>
      </c>
      <c r="AR174" s="77"/>
      <c r="AS174" s="77"/>
      <c r="AT174" s="77"/>
      <c r="AU174" s="77"/>
      <c r="AV174" s="77"/>
      <c r="AW174" s="77"/>
    </row>
    <row r="175" spans="1:49">
      <c r="Q175" s="77"/>
      <c r="R175" s="77"/>
      <c r="S175" s="77"/>
      <c r="T175" s="77"/>
      <c r="U175" s="77"/>
      <c r="V175" s="77"/>
      <c r="AC175" s="192" t="s">
        <v>52</v>
      </c>
      <c r="AD175" s="192" t="s">
        <v>18</v>
      </c>
      <c r="AE175" s="192" t="s">
        <v>72</v>
      </c>
      <c r="AF175" s="192" t="s">
        <v>51</v>
      </c>
      <c r="AG175" s="192" t="s">
        <v>190</v>
      </c>
      <c r="AH175" s="192">
        <v>3.9659683192190758</v>
      </c>
      <c r="AJ175" s="192" t="s">
        <v>52</v>
      </c>
      <c r="AK175" s="192" t="s">
        <v>18</v>
      </c>
      <c r="AL175" s="192" t="s">
        <v>28</v>
      </c>
      <c r="AM175" s="192" t="s">
        <v>51</v>
      </c>
      <c r="AN175" s="192" t="s">
        <v>190</v>
      </c>
      <c r="AO175" s="192">
        <v>1.1199017857261857</v>
      </c>
      <c r="AR175" s="77"/>
      <c r="AS175" s="77"/>
      <c r="AT175" s="77"/>
      <c r="AU175" s="77"/>
      <c r="AV175" s="77"/>
      <c r="AW175" s="77"/>
    </row>
    <row r="176" spans="1:49">
      <c r="Q176" s="77"/>
      <c r="R176" s="77"/>
      <c r="S176" s="77"/>
      <c r="T176" s="77"/>
      <c r="U176" s="77"/>
      <c r="V176" s="77"/>
      <c r="AC176" s="192" t="s">
        <v>52</v>
      </c>
      <c r="AD176" s="192" t="s">
        <v>18</v>
      </c>
      <c r="AE176" s="192" t="s">
        <v>72</v>
      </c>
      <c r="AF176" s="192" t="s">
        <v>51</v>
      </c>
      <c r="AG176" s="192" t="s">
        <v>191</v>
      </c>
      <c r="AH176" s="192">
        <v>3.9659683192190758</v>
      </c>
      <c r="AJ176" s="192" t="s">
        <v>52</v>
      </c>
      <c r="AK176" s="192" t="s">
        <v>18</v>
      </c>
      <c r="AL176" s="192" t="s">
        <v>28</v>
      </c>
      <c r="AM176" s="192" t="s">
        <v>51</v>
      </c>
      <c r="AN176" s="192" t="s">
        <v>191</v>
      </c>
      <c r="AO176" s="192">
        <v>1.1246011040016359</v>
      </c>
      <c r="AR176" s="77"/>
      <c r="AS176" s="77"/>
      <c r="AT176" s="77"/>
      <c r="AU176" s="77"/>
      <c r="AV176" s="77"/>
      <c r="AW176" s="77"/>
    </row>
    <row r="177" spans="17:49">
      <c r="Q177" s="77"/>
      <c r="R177" s="77"/>
      <c r="S177" s="77"/>
      <c r="T177" s="77"/>
      <c r="U177" s="77"/>
      <c r="V177" s="77"/>
      <c r="AC177" s="192" t="s">
        <v>52</v>
      </c>
      <c r="AD177" s="192" t="s">
        <v>18</v>
      </c>
      <c r="AE177" s="192" t="s">
        <v>72</v>
      </c>
      <c r="AF177" s="192" t="s">
        <v>51</v>
      </c>
      <c r="AG177" s="192" t="s">
        <v>192</v>
      </c>
      <c r="AH177" s="192">
        <v>3.9361387568601574</v>
      </c>
      <c r="AJ177" s="192" t="s">
        <v>52</v>
      </c>
      <c r="AK177" s="192" t="s">
        <v>18</v>
      </c>
      <c r="AL177" s="192" t="s">
        <v>28</v>
      </c>
      <c r="AM177" s="192" t="s">
        <v>51</v>
      </c>
      <c r="AN177" s="192" t="s">
        <v>192</v>
      </c>
      <c r="AO177" s="192">
        <v>1.1235798144236075</v>
      </c>
      <c r="AR177" s="77"/>
      <c r="AS177" s="77"/>
      <c r="AT177" s="77"/>
      <c r="AU177" s="77"/>
      <c r="AV177" s="77"/>
      <c r="AW177" s="77"/>
    </row>
    <row r="178" spans="17:49">
      <c r="Q178" s="77"/>
      <c r="R178" s="77"/>
      <c r="S178" s="77"/>
      <c r="T178" s="77"/>
      <c r="U178" s="77"/>
      <c r="V178" s="77"/>
      <c r="AC178" s="192" t="s">
        <v>52</v>
      </c>
      <c r="AD178" s="192" t="s">
        <v>18</v>
      </c>
      <c r="AE178" s="192" t="s">
        <v>72</v>
      </c>
      <c r="AF178" s="192" t="s">
        <v>51</v>
      </c>
      <c r="AG178" s="192" t="s">
        <v>193</v>
      </c>
      <c r="AH178" s="192">
        <v>4.0284371983798186</v>
      </c>
      <c r="AJ178" s="192" t="s">
        <v>52</v>
      </c>
      <c r="AK178" s="192" t="s">
        <v>18</v>
      </c>
      <c r="AL178" s="192" t="s">
        <v>28</v>
      </c>
      <c r="AM178" s="192" t="s">
        <v>51</v>
      </c>
      <c r="AN178" s="192" t="s">
        <v>193</v>
      </c>
      <c r="AO178" s="192">
        <v>1.1411289268595988</v>
      </c>
      <c r="AR178" s="77"/>
      <c r="AS178" s="77"/>
      <c r="AT178" s="77"/>
      <c r="AU178" s="77"/>
      <c r="AV178" s="77"/>
      <c r="AW178" s="77"/>
    </row>
    <row r="179" spans="17:49">
      <c r="Q179" s="77"/>
      <c r="R179" s="77"/>
      <c r="S179" s="77"/>
      <c r="T179" s="77"/>
      <c r="U179" s="77"/>
      <c r="V179" s="77"/>
      <c r="AC179" s="192" t="s">
        <v>52</v>
      </c>
      <c r="AD179" s="192" t="s">
        <v>18</v>
      </c>
      <c r="AE179" s="192" t="s">
        <v>72</v>
      </c>
      <c r="AF179" s="192" t="s">
        <v>51</v>
      </c>
      <c r="AG179" s="192" t="s">
        <v>194</v>
      </c>
      <c r="AH179" s="192">
        <v>4.0284371983798186</v>
      </c>
      <c r="AJ179" s="192" t="s">
        <v>52</v>
      </c>
      <c r="AK179" s="192" t="s">
        <v>18</v>
      </c>
      <c r="AL179" s="192" t="s">
        <v>28</v>
      </c>
      <c r="AM179" s="192" t="s">
        <v>51</v>
      </c>
      <c r="AN179" s="192" t="s">
        <v>194</v>
      </c>
      <c r="AO179" s="192">
        <v>1.0672020709535386</v>
      </c>
      <c r="AR179" s="77"/>
      <c r="AS179" s="77"/>
      <c r="AT179" s="77"/>
      <c r="AU179" s="77"/>
      <c r="AV179" s="77"/>
      <c r="AW179" s="77"/>
    </row>
    <row r="180" spans="17:49">
      <c r="Q180" s="77"/>
      <c r="R180" s="77"/>
      <c r="S180" s="77"/>
      <c r="T180" s="77"/>
      <c r="U180" s="77"/>
      <c r="V180" s="77"/>
      <c r="AC180" s="192" t="s">
        <v>52</v>
      </c>
      <c r="AD180" s="192" t="s">
        <v>18</v>
      </c>
      <c r="AE180" s="192" t="s">
        <v>72</v>
      </c>
      <c r="AF180" s="192" t="s">
        <v>51</v>
      </c>
      <c r="AG180" s="192" t="s">
        <v>195</v>
      </c>
      <c r="AH180" s="192">
        <v>4.1248698203088709</v>
      </c>
      <c r="AJ180" s="192" t="s">
        <v>52</v>
      </c>
      <c r="AK180" s="192" t="s">
        <v>18</v>
      </c>
      <c r="AL180" s="192" t="s">
        <v>28</v>
      </c>
      <c r="AM180" s="192" t="s">
        <v>51</v>
      </c>
      <c r="AN180" s="192" t="s">
        <v>195</v>
      </c>
      <c r="AO180" s="192">
        <v>1.0504553887351207</v>
      </c>
      <c r="AR180" s="77"/>
      <c r="AS180" s="77"/>
      <c r="AT180" s="77"/>
      <c r="AU180" s="77"/>
      <c r="AV180" s="77"/>
      <c r="AW180" s="77"/>
    </row>
    <row r="181" spans="17:49">
      <c r="Q181" s="77"/>
      <c r="R181" s="77"/>
      <c r="S181" s="77"/>
      <c r="T181" s="77"/>
      <c r="U181" s="77"/>
      <c r="V181" s="77"/>
      <c r="AC181" s="192" t="s">
        <v>52</v>
      </c>
      <c r="AD181" s="192" t="s">
        <v>18</v>
      </c>
      <c r="AE181" s="192" t="s">
        <v>72</v>
      </c>
      <c r="AF181" s="192" t="s">
        <v>51</v>
      </c>
      <c r="AG181" s="192" t="s">
        <v>196</v>
      </c>
      <c r="AH181" s="192">
        <v>4.1248698203088709</v>
      </c>
      <c r="AJ181" s="192" t="s">
        <v>52</v>
      </c>
      <c r="AK181" s="192" t="s">
        <v>18</v>
      </c>
      <c r="AL181" s="192" t="s">
        <v>28</v>
      </c>
      <c r="AM181" s="192" t="s">
        <v>51</v>
      </c>
      <c r="AN181" s="192" t="s">
        <v>196</v>
      </c>
      <c r="AO181" s="192">
        <v>1.0991949566938706</v>
      </c>
      <c r="AR181" s="77"/>
      <c r="AS181" s="77"/>
      <c r="AT181" s="77"/>
      <c r="AU181" s="77"/>
      <c r="AV181" s="77"/>
      <c r="AW181" s="77"/>
    </row>
    <row r="182" spans="17:49">
      <c r="Q182" s="77"/>
      <c r="R182" s="77"/>
      <c r="S182" s="77"/>
      <c r="T182" s="77"/>
      <c r="U182" s="77"/>
      <c r="V182" s="77"/>
      <c r="AC182" s="192" t="s">
        <v>52</v>
      </c>
      <c r="AD182" s="192" t="s">
        <v>18</v>
      </c>
      <c r="AE182" s="192" t="s">
        <v>72</v>
      </c>
      <c r="AF182" s="192" t="s">
        <v>51</v>
      </c>
      <c r="AG182" s="192" t="s">
        <v>197</v>
      </c>
      <c r="AH182" s="192">
        <v>4.1539931569602002</v>
      </c>
      <c r="AJ182" s="192" t="s">
        <v>52</v>
      </c>
      <c r="AK182" s="192" t="s">
        <v>18</v>
      </c>
      <c r="AL182" s="192" t="s">
        <v>28</v>
      </c>
      <c r="AM182" s="192" t="s">
        <v>51</v>
      </c>
      <c r="AN182" s="192" t="s">
        <v>197</v>
      </c>
      <c r="AO182" s="192">
        <v>1.03545423184833</v>
      </c>
      <c r="AR182" s="77"/>
      <c r="AS182" s="77"/>
      <c r="AT182" s="77"/>
      <c r="AU182" s="77"/>
      <c r="AV182" s="77"/>
      <c r="AW182" s="77"/>
    </row>
    <row r="183" spans="17:49">
      <c r="Q183" s="77"/>
      <c r="R183" s="77"/>
      <c r="S183" s="77"/>
      <c r="T183" s="77"/>
      <c r="U183" s="77"/>
      <c r="V183" s="77"/>
      <c r="AC183" s="192" t="s">
        <v>52</v>
      </c>
      <c r="AD183" s="192" t="s">
        <v>18</v>
      </c>
      <c r="AE183" s="192" t="s">
        <v>72</v>
      </c>
      <c r="AF183" s="192" t="s">
        <v>51</v>
      </c>
      <c r="AG183" s="192" t="s">
        <v>198</v>
      </c>
      <c r="AH183" s="192">
        <v>4.1248698203088709</v>
      </c>
      <c r="AJ183" s="192" t="s">
        <v>52</v>
      </c>
      <c r="AK183" s="192" t="s">
        <v>18</v>
      </c>
      <c r="AL183" s="192" t="s">
        <v>28</v>
      </c>
      <c r="AM183" s="192" t="s">
        <v>51</v>
      </c>
      <c r="AN183" s="192" t="s">
        <v>198</v>
      </c>
      <c r="AO183" s="192">
        <v>1.0396417487717906</v>
      </c>
      <c r="AR183" s="77"/>
      <c r="AS183" s="77"/>
      <c r="AT183" s="77"/>
      <c r="AU183" s="77"/>
      <c r="AV183" s="77"/>
      <c r="AW183" s="77"/>
    </row>
    <row r="184" spans="17:49">
      <c r="Q184" s="77"/>
      <c r="R184" s="77"/>
      <c r="S184" s="77"/>
      <c r="T184" s="77"/>
      <c r="U184" s="77"/>
      <c r="V184" s="77"/>
      <c r="AC184" s="192" t="s">
        <v>52</v>
      </c>
      <c r="AD184" s="192" t="s">
        <v>18</v>
      </c>
      <c r="AE184" s="192" t="s">
        <v>72</v>
      </c>
      <c r="AF184" s="192" t="s">
        <v>51</v>
      </c>
      <c r="AG184" s="192" t="s">
        <v>199</v>
      </c>
      <c r="AH184" s="192">
        <v>4.2161439941639536</v>
      </c>
      <c r="AJ184" s="192" t="s">
        <v>52</v>
      </c>
      <c r="AK184" s="192" t="s">
        <v>18</v>
      </c>
      <c r="AL184" s="192" t="s">
        <v>28</v>
      </c>
      <c r="AM184" s="192" t="s">
        <v>51</v>
      </c>
      <c r="AN184" s="192" t="s">
        <v>199</v>
      </c>
      <c r="AO184" s="192">
        <v>1.0868444145393132</v>
      </c>
      <c r="AR184" s="77"/>
      <c r="AS184" s="77"/>
      <c r="AT184" s="77"/>
      <c r="AU184" s="77"/>
      <c r="AV184" s="77"/>
      <c r="AW184" s="77"/>
    </row>
    <row r="185" spans="17:49">
      <c r="Q185" s="77"/>
      <c r="R185" s="77"/>
      <c r="S185" s="77"/>
      <c r="T185" s="77"/>
      <c r="U185" s="77"/>
      <c r="V185" s="77"/>
      <c r="AC185" s="192" t="s">
        <v>52</v>
      </c>
      <c r="AD185" s="192" t="s">
        <v>18</v>
      </c>
      <c r="AE185" s="192" t="s">
        <v>72</v>
      </c>
      <c r="AF185" s="192" t="s">
        <v>51</v>
      </c>
      <c r="AG185" s="192" t="s">
        <v>200</v>
      </c>
      <c r="AH185" s="192">
        <v>4.2802651684494641</v>
      </c>
      <c r="AJ185" s="192" t="s">
        <v>52</v>
      </c>
      <c r="AK185" s="192" t="s">
        <v>18</v>
      </c>
      <c r="AL185" s="192" t="s">
        <v>28</v>
      </c>
      <c r="AM185" s="192" t="s">
        <v>51</v>
      </c>
      <c r="AN185" s="192" t="s">
        <v>200</v>
      </c>
      <c r="AO185" s="192">
        <v>1.1029204924566245</v>
      </c>
      <c r="AR185" s="77"/>
      <c r="AS185" s="77"/>
      <c r="AT185" s="77"/>
      <c r="AU185" s="77"/>
      <c r="AV185" s="77"/>
      <c r="AW185" s="77"/>
    </row>
    <row r="186" spans="17:49">
      <c r="Q186" s="77"/>
      <c r="R186" s="77"/>
      <c r="S186" s="77"/>
      <c r="T186" s="77"/>
      <c r="U186" s="77"/>
      <c r="V186" s="77"/>
      <c r="AC186" s="192" t="s">
        <v>52</v>
      </c>
      <c r="AD186" s="192" t="s">
        <v>18</v>
      </c>
      <c r="AE186" s="192" t="s">
        <v>72</v>
      </c>
      <c r="AF186" s="192" t="s">
        <v>51</v>
      </c>
      <c r="AG186" s="192" t="s">
        <v>201</v>
      </c>
      <c r="AH186" s="192">
        <v>4.1867556587570789</v>
      </c>
      <c r="AJ186" s="192" t="s">
        <v>52</v>
      </c>
      <c r="AK186" s="192" t="s">
        <v>18</v>
      </c>
      <c r="AL186" s="192" t="s">
        <v>28</v>
      </c>
      <c r="AM186" s="192" t="s">
        <v>51</v>
      </c>
      <c r="AN186" s="192" t="s">
        <v>201</v>
      </c>
      <c r="AO186" s="192">
        <v>1.1106403455520191</v>
      </c>
      <c r="AR186" s="77"/>
      <c r="AS186" s="77"/>
      <c r="AT186" s="77"/>
      <c r="AU186" s="77"/>
      <c r="AV186" s="77"/>
      <c r="AW186" s="77"/>
    </row>
    <row r="187" spans="17:49">
      <c r="Q187" s="77"/>
      <c r="R187" s="77"/>
      <c r="S187" s="77"/>
      <c r="T187" s="77"/>
      <c r="U187" s="77"/>
      <c r="V187" s="77"/>
      <c r="AC187" s="192" t="s">
        <v>52</v>
      </c>
      <c r="AD187" s="192" t="s">
        <v>18</v>
      </c>
      <c r="AE187" s="192" t="s">
        <v>72</v>
      </c>
      <c r="AF187" s="192" t="s">
        <v>51</v>
      </c>
      <c r="AG187" s="192" t="s">
        <v>202</v>
      </c>
      <c r="AH187" s="192">
        <v>4.2161439941639536</v>
      </c>
      <c r="AJ187" s="192" t="s">
        <v>52</v>
      </c>
      <c r="AK187" s="192" t="s">
        <v>18</v>
      </c>
      <c r="AL187" s="192" t="s">
        <v>28</v>
      </c>
      <c r="AM187" s="192" t="s">
        <v>51</v>
      </c>
      <c r="AN187" s="192" t="s">
        <v>202</v>
      </c>
      <c r="AO187" s="192">
        <v>1.1242038661903935</v>
      </c>
      <c r="AR187" s="77"/>
      <c r="AS187" s="77"/>
      <c r="AT187" s="77"/>
      <c r="AU187" s="77"/>
      <c r="AV187" s="77"/>
      <c r="AW187" s="77"/>
    </row>
    <row r="188" spans="17:49">
      <c r="Q188" s="77"/>
      <c r="R188" s="77"/>
      <c r="S188" s="77"/>
      <c r="T188" s="77"/>
      <c r="U188" s="77"/>
      <c r="V188" s="77"/>
      <c r="AC188" s="192" t="s">
        <v>52</v>
      </c>
      <c r="AD188" s="192" t="s">
        <v>18</v>
      </c>
      <c r="AE188" s="192" t="s">
        <v>72</v>
      </c>
      <c r="AF188" s="192" t="s">
        <v>51</v>
      </c>
      <c r="AG188" s="192" t="s">
        <v>203</v>
      </c>
      <c r="AH188" s="192">
        <v>4.1543680910694123</v>
      </c>
      <c r="AJ188" s="192" t="s">
        <v>52</v>
      </c>
      <c r="AK188" s="192" t="s">
        <v>18</v>
      </c>
      <c r="AL188" s="192" t="s">
        <v>28</v>
      </c>
      <c r="AM188" s="192" t="s">
        <v>51</v>
      </c>
      <c r="AN188" s="192" t="s">
        <v>203</v>
      </c>
      <c r="AO188" s="192">
        <v>1.0695195851191126</v>
      </c>
      <c r="AR188" s="77"/>
      <c r="AS188" s="77"/>
      <c r="AT188" s="77"/>
      <c r="AU188" s="77"/>
      <c r="AV188" s="77"/>
      <c r="AW188" s="77"/>
    </row>
    <row r="189" spans="17:49">
      <c r="Q189" s="77"/>
      <c r="R189" s="77"/>
      <c r="S189" s="77"/>
      <c r="T189" s="77"/>
      <c r="U189" s="77"/>
      <c r="V189" s="77"/>
      <c r="AC189" s="192" t="s">
        <v>52</v>
      </c>
      <c r="AD189" s="192" t="s">
        <v>18</v>
      </c>
      <c r="AE189" s="192" t="s">
        <v>72</v>
      </c>
      <c r="AF189" s="192" t="s">
        <v>51</v>
      </c>
      <c r="AG189" s="192" t="s">
        <v>204</v>
      </c>
      <c r="AH189" s="192">
        <v>4.1543680910694123</v>
      </c>
      <c r="AJ189" s="192" t="s">
        <v>52</v>
      </c>
      <c r="AK189" s="192" t="s">
        <v>18</v>
      </c>
      <c r="AL189" s="192" t="s">
        <v>28</v>
      </c>
      <c r="AM189" s="192" t="s">
        <v>51</v>
      </c>
      <c r="AN189" s="192" t="s">
        <v>204</v>
      </c>
      <c r="AO189" s="192">
        <v>1.1006278008126524</v>
      </c>
      <c r="AR189" s="77"/>
      <c r="AS189" s="77"/>
      <c r="AT189" s="77"/>
      <c r="AU189" s="77"/>
      <c r="AV189" s="77"/>
      <c r="AW189" s="77"/>
    </row>
    <row r="190" spans="17:49">
      <c r="Q190" s="77"/>
      <c r="R190" s="77"/>
      <c r="S190" s="77"/>
      <c r="T190" s="77"/>
      <c r="U190" s="77"/>
      <c r="V190" s="77"/>
      <c r="AC190" s="192" t="s">
        <v>52</v>
      </c>
      <c r="AD190" s="192" t="s">
        <v>18</v>
      </c>
      <c r="AE190" s="192" t="s">
        <v>72</v>
      </c>
      <c r="AF190" s="192" t="s">
        <v>51</v>
      </c>
      <c r="AG190" s="192" t="s">
        <v>205</v>
      </c>
      <c r="AH190" s="192">
        <v>4.1543680910694123</v>
      </c>
      <c r="AJ190" s="192" t="s">
        <v>52</v>
      </c>
      <c r="AK190" s="192" t="s">
        <v>18</v>
      </c>
      <c r="AL190" s="192" t="s">
        <v>28</v>
      </c>
      <c r="AM190" s="192" t="s">
        <v>51</v>
      </c>
      <c r="AN190" s="192" t="s">
        <v>205</v>
      </c>
      <c r="AO190" s="192">
        <v>1.1222065668344823</v>
      </c>
      <c r="AR190" s="77"/>
      <c r="AS190" s="77"/>
      <c r="AT190" s="77"/>
      <c r="AU190" s="77"/>
      <c r="AV190" s="77"/>
      <c r="AW190" s="77"/>
    </row>
    <row r="191" spans="17:49">
      <c r="Q191" s="77"/>
      <c r="R191" s="77"/>
      <c r="S191" s="77"/>
      <c r="T191" s="77"/>
      <c r="U191" s="77"/>
      <c r="V191" s="77"/>
      <c r="AC191" s="192" t="s">
        <v>52</v>
      </c>
      <c r="AD191" s="192" t="s">
        <v>18</v>
      </c>
      <c r="AE191" s="192" t="s">
        <v>72</v>
      </c>
      <c r="AF191" s="192" t="s">
        <v>51</v>
      </c>
      <c r="AG191" s="192" t="s">
        <v>206</v>
      </c>
      <c r="AH191" s="192">
        <v>4.1248698203088709</v>
      </c>
      <c r="AJ191" s="192" t="s">
        <v>52</v>
      </c>
      <c r="AK191" s="192" t="s">
        <v>18</v>
      </c>
      <c r="AL191" s="192" t="s">
        <v>28</v>
      </c>
      <c r="AM191" s="192" t="s">
        <v>51</v>
      </c>
      <c r="AN191" s="192" t="s">
        <v>206</v>
      </c>
      <c r="AO191" s="192">
        <v>1.0780679075857009</v>
      </c>
      <c r="AR191" s="77"/>
      <c r="AS191" s="77"/>
      <c r="AT191" s="77"/>
      <c r="AU191" s="77"/>
      <c r="AV191" s="77"/>
      <c r="AW191" s="77"/>
    </row>
    <row r="192" spans="17:49">
      <c r="Q192" s="77"/>
      <c r="R192" s="77"/>
      <c r="S192" s="77"/>
      <c r="T192" s="77"/>
      <c r="U192" s="77"/>
      <c r="V192" s="77"/>
      <c r="AC192" s="192" t="s">
        <v>52</v>
      </c>
      <c r="AD192" s="192" t="s">
        <v>18</v>
      </c>
      <c r="AE192" s="192" t="s">
        <v>72</v>
      </c>
      <c r="AF192" s="192" t="s">
        <v>51</v>
      </c>
      <c r="AG192" s="192" t="s">
        <v>207</v>
      </c>
      <c r="AH192" s="192">
        <v>4.0627523635008007</v>
      </c>
      <c r="AJ192" s="192" t="s">
        <v>52</v>
      </c>
      <c r="AK192" s="192" t="s">
        <v>18</v>
      </c>
      <c r="AL192" s="192" t="s">
        <v>28</v>
      </c>
      <c r="AM192" s="192" t="s">
        <v>51</v>
      </c>
      <c r="AN192" s="192" t="s">
        <v>207</v>
      </c>
      <c r="AO192" s="192">
        <v>1.0805349596090708</v>
      </c>
      <c r="AR192" s="77"/>
      <c r="AS192" s="77"/>
      <c r="AT192" s="77"/>
      <c r="AU192" s="77"/>
      <c r="AV192" s="77"/>
      <c r="AW192" s="77"/>
    </row>
    <row r="193" spans="17:49">
      <c r="Q193" s="77"/>
      <c r="R193" s="77"/>
      <c r="S193" s="77"/>
      <c r="T193" s="77"/>
      <c r="U193" s="77"/>
      <c r="V193" s="77"/>
      <c r="AC193" s="192" t="s">
        <v>52</v>
      </c>
      <c r="AD193" s="192" t="s">
        <v>18</v>
      </c>
      <c r="AE193" s="192" t="s">
        <v>72</v>
      </c>
      <c r="AF193" s="192" t="s">
        <v>51</v>
      </c>
      <c r="AG193" s="192" t="s">
        <v>208</v>
      </c>
      <c r="AH193" s="192">
        <v>4.1867556587570789</v>
      </c>
      <c r="AJ193" s="192" t="s">
        <v>52</v>
      </c>
      <c r="AK193" s="192" t="s">
        <v>18</v>
      </c>
      <c r="AL193" s="192" t="s">
        <v>28</v>
      </c>
      <c r="AM193" s="192" t="s">
        <v>51</v>
      </c>
      <c r="AN193" s="192" t="s">
        <v>208</v>
      </c>
      <c r="AO193" s="192">
        <v>1.110598770041469</v>
      </c>
      <c r="AR193" s="77"/>
      <c r="AS193" s="77"/>
      <c r="AT193" s="77"/>
      <c r="AU193" s="77"/>
      <c r="AV193" s="77"/>
      <c r="AW193" s="77"/>
    </row>
    <row r="194" spans="17:49">
      <c r="Q194" s="77"/>
      <c r="R194" s="77"/>
      <c r="S194" s="77"/>
      <c r="T194" s="77"/>
      <c r="U194" s="77"/>
      <c r="V194" s="77"/>
      <c r="AC194" s="192" t="s">
        <v>52</v>
      </c>
      <c r="AD194" s="192" t="s">
        <v>18</v>
      </c>
      <c r="AE194" s="192" t="s">
        <v>72</v>
      </c>
      <c r="AF194" s="192" t="s">
        <v>51</v>
      </c>
      <c r="AG194" s="192" t="s">
        <v>209</v>
      </c>
      <c r="AH194" s="192">
        <v>4.1539931569602002</v>
      </c>
      <c r="AJ194" s="192" t="s">
        <v>52</v>
      </c>
      <c r="AK194" s="192" t="s">
        <v>18</v>
      </c>
      <c r="AL194" s="192" t="s">
        <v>28</v>
      </c>
      <c r="AM194" s="192" t="s">
        <v>51</v>
      </c>
      <c r="AN194" s="192" t="s">
        <v>209</v>
      </c>
      <c r="AO194" s="192">
        <v>1.0320886358803201</v>
      </c>
      <c r="AR194" s="77"/>
      <c r="AS194" s="77"/>
      <c r="AT194" s="77"/>
      <c r="AU194" s="77"/>
      <c r="AV194" s="77"/>
      <c r="AW194" s="77"/>
    </row>
    <row r="195" spans="17:49">
      <c r="Q195" s="77"/>
      <c r="R195" s="77"/>
      <c r="S195" s="77"/>
      <c r="T195" s="77"/>
      <c r="U195" s="77"/>
      <c r="V195" s="77"/>
      <c r="AC195" s="192" t="s">
        <v>52</v>
      </c>
      <c r="AD195" s="192" t="s">
        <v>18</v>
      </c>
      <c r="AE195" s="192" t="s">
        <v>72</v>
      </c>
      <c r="AF195" s="192" t="s">
        <v>51</v>
      </c>
      <c r="AG195" s="192" t="s">
        <v>210</v>
      </c>
      <c r="AH195" s="192">
        <v>4.2161439941639536</v>
      </c>
      <c r="AJ195" s="192" t="s">
        <v>52</v>
      </c>
      <c r="AK195" s="192" t="s">
        <v>18</v>
      </c>
      <c r="AL195" s="192" t="s">
        <v>28</v>
      </c>
      <c r="AM195" s="192" t="s">
        <v>51</v>
      </c>
      <c r="AN195" s="192" t="s">
        <v>210</v>
      </c>
      <c r="AO195" s="192">
        <v>1.124883383738843</v>
      </c>
      <c r="AR195" s="77"/>
      <c r="AS195" s="77"/>
      <c r="AT195" s="77"/>
      <c r="AU195" s="77"/>
      <c r="AV195" s="77"/>
      <c r="AW195" s="77"/>
    </row>
    <row r="196" spans="17:49">
      <c r="Q196" s="77"/>
      <c r="R196" s="77"/>
      <c r="S196" s="77"/>
      <c r="T196" s="77"/>
      <c r="U196" s="77"/>
      <c r="V196" s="77"/>
      <c r="AC196" s="192" t="s">
        <v>52</v>
      </c>
      <c r="AD196" s="192" t="s">
        <v>18</v>
      </c>
      <c r="AE196" s="192" t="s">
        <v>72</v>
      </c>
      <c r="AF196" s="192" t="s">
        <v>51</v>
      </c>
      <c r="AG196" s="192" t="s">
        <v>211</v>
      </c>
      <c r="AH196" s="192">
        <v>4.2161439941639536</v>
      </c>
      <c r="AJ196" s="192" t="s">
        <v>52</v>
      </c>
      <c r="AK196" s="192" t="s">
        <v>18</v>
      </c>
      <c r="AL196" s="192" t="s">
        <v>28</v>
      </c>
      <c r="AM196" s="192" t="s">
        <v>51</v>
      </c>
      <c r="AN196" s="192" t="s">
        <v>211</v>
      </c>
      <c r="AO196" s="192">
        <v>1.100251686609413</v>
      </c>
      <c r="AR196" s="77"/>
      <c r="AS196" s="77"/>
      <c r="AT196" s="77"/>
      <c r="AU196" s="77"/>
      <c r="AV196" s="77"/>
      <c r="AW196" s="77"/>
    </row>
    <row r="197" spans="17:49">
      <c r="Q197" s="77"/>
      <c r="R197" s="77"/>
      <c r="S197" s="77"/>
      <c r="T197" s="77"/>
      <c r="U197" s="77"/>
      <c r="V197" s="77"/>
      <c r="AC197" s="192" t="s">
        <v>52</v>
      </c>
      <c r="AD197" s="192" t="s">
        <v>18</v>
      </c>
      <c r="AE197" s="192" t="s">
        <v>72</v>
      </c>
      <c r="AF197" s="192" t="s">
        <v>51</v>
      </c>
      <c r="AG197" s="192" t="s">
        <v>212</v>
      </c>
      <c r="AH197" s="192">
        <v>4.1863869638007634</v>
      </c>
      <c r="AJ197" s="192" t="s">
        <v>52</v>
      </c>
      <c r="AK197" s="192" t="s">
        <v>18</v>
      </c>
      <c r="AL197" s="192" t="s">
        <v>28</v>
      </c>
      <c r="AM197" s="192" t="s">
        <v>51</v>
      </c>
      <c r="AN197" s="192" t="s">
        <v>212</v>
      </c>
      <c r="AO197" s="192">
        <v>0.9841181693674137</v>
      </c>
      <c r="AR197" s="77"/>
      <c r="AS197" s="77"/>
      <c r="AT197" s="77"/>
      <c r="AU197" s="77"/>
      <c r="AV197" s="77"/>
      <c r="AW197" s="77"/>
    </row>
    <row r="198" spans="17:49">
      <c r="Q198" s="77"/>
      <c r="R198" s="77"/>
      <c r="S198" s="77"/>
      <c r="T198" s="77"/>
      <c r="U198" s="77"/>
      <c r="V198" s="77"/>
      <c r="AC198" s="192" t="s">
        <v>52</v>
      </c>
      <c r="AD198" s="192" t="s">
        <v>18</v>
      </c>
      <c r="AE198" s="192" t="s">
        <v>72</v>
      </c>
      <c r="AF198" s="192" t="s">
        <v>51</v>
      </c>
      <c r="AG198" s="192" t="s">
        <v>213</v>
      </c>
      <c r="AH198" s="192">
        <v>4.1539931569602002</v>
      </c>
      <c r="AJ198" s="192" t="s">
        <v>52</v>
      </c>
      <c r="AK198" s="192" t="s">
        <v>18</v>
      </c>
      <c r="AL198" s="192" t="s">
        <v>28</v>
      </c>
      <c r="AM198" s="192" t="s">
        <v>51</v>
      </c>
      <c r="AN198" s="192" t="s">
        <v>213</v>
      </c>
      <c r="AO198" s="192">
        <v>1.06880623699189</v>
      </c>
      <c r="AR198" s="77"/>
      <c r="AS198" s="77"/>
      <c r="AT198" s="77"/>
      <c r="AU198" s="77"/>
      <c r="AV198" s="77"/>
      <c r="AW198" s="77"/>
    </row>
    <row r="199" spans="17:49">
      <c r="Q199" s="77"/>
      <c r="R199" s="77"/>
      <c r="S199" s="77"/>
      <c r="T199" s="77"/>
      <c r="U199" s="77"/>
      <c r="V199" s="77"/>
      <c r="AC199" s="192" t="s">
        <v>52</v>
      </c>
      <c r="AD199" s="192" t="s">
        <v>18</v>
      </c>
      <c r="AE199" s="192" t="s">
        <v>72</v>
      </c>
      <c r="AF199" s="192" t="s">
        <v>51</v>
      </c>
      <c r="AG199" s="192" t="s">
        <v>98</v>
      </c>
      <c r="AH199" s="192">
        <v>4.1539931569602002</v>
      </c>
      <c r="AJ199" s="192" t="s">
        <v>52</v>
      </c>
      <c r="AK199" s="192" t="s">
        <v>18</v>
      </c>
      <c r="AL199" s="192" t="s">
        <v>28</v>
      </c>
      <c r="AM199" s="192" t="s">
        <v>51</v>
      </c>
      <c r="AN199" s="192" t="s">
        <v>98</v>
      </c>
      <c r="AO199" s="192">
        <v>1.0807127136680399</v>
      </c>
      <c r="AR199" s="77"/>
      <c r="AS199" s="77"/>
      <c r="AT199" s="77"/>
      <c r="AU199" s="77"/>
      <c r="AV199" s="77"/>
      <c r="AW199" s="77"/>
    </row>
    <row r="200" spans="17:49">
      <c r="AC200" s="192" t="s">
        <v>52</v>
      </c>
      <c r="AD200" s="192" t="s">
        <v>18</v>
      </c>
      <c r="AE200" s="192" t="s">
        <v>72</v>
      </c>
      <c r="AF200" s="192" t="s">
        <v>51</v>
      </c>
      <c r="AG200" s="192" t="s">
        <v>96</v>
      </c>
      <c r="AH200" s="192">
        <v>4.1863869638007634</v>
      </c>
      <c r="AJ200" s="192" t="s">
        <v>52</v>
      </c>
      <c r="AK200" s="192" t="s">
        <v>18</v>
      </c>
      <c r="AL200" s="192" t="s">
        <v>28</v>
      </c>
      <c r="AM200" s="192" t="s">
        <v>51</v>
      </c>
      <c r="AN200" s="192" t="s">
        <v>96</v>
      </c>
      <c r="AO200" s="192">
        <v>1.0236217114382038</v>
      </c>
    </row>
    <row r="201" spans="17:49">
      <c r="AC201" s="192" t="s">
        <v>52</v>
      </c>
      <c r="AD201" s="192" t="s">
        <v>18</v>
      </c>
      <c r="AE201" s="192" t="s">
        <v>72</v>
      </c>
      <c r="AF201" s="192" t="s">
        <v>51</v>
      </c>
      <c r="AG201" s="192" t="s">
        <v>97</v>
      </c>
      <c r="AH201" s="192">
        <v>4.2161439941639536</v>
      </c>
      <c r="AJ201" s="192" t="s">
        <v>52</v>
      </c>
      <c r="AK201" s="192" t="s">
        <v>18</v>
      </c>
      <c r="AL201" s="192" t="s">
        <v>28</v>
      </c>
      <c r="AM201" s="192" t="s">
        <v>51</v>
      </c>
      <c r="AN201" s="192" t="s">
        <v>97</v>
      </c>
      <c r="AO201" s="192">
        <v>1.0831985963852633</v>
      </c>
    </row>
    <row r="202" spans="17:49">
      <c r="AC202" s="192" t="s">
        <v>52</v>
      </c>
      <c r="AD202" s="192" t="s">
        <v>18</v>
      </c>
      <c r="AE202" s="192" t="s">
        <v>72</v>
      </c>
      <c r="AF202" s="192" t="s">
        <v>51</v>
      </c>
      <c r="AG202" s="192" t="s">
        <v>101</v>
      </c>
      <c r="AH202" s="192">
        <v>4.1543680910694123</v>
      </c>
      <c r="AJ202" s="192" t="s">
        <v>52</v>
      </c>
      <c r="AK202" s="192" t="s">
        <v>18</v>
      </c>
      <c r="AL202" s="192" t="s">
        <v>28</v>
      </c>
      <c r="AM202" s="192" t="s">
        <v>51</v>
      </c>
      <c r="AN202" s="192" t="s">
        <v>101</v>
      </c>
      <c r="AO202" s="192">
        <v>1.1134053714828922</v>
      </c>
    </row>
    <row r="203" spans="17:49">
      <c r="AC203" s="192" t="s">
        <v>52</v>
      </c>
      <c r="AD203" s="192" t="s">
        <v>18</v>
      </c>
      <c r="AE203" s="192" t="s">
        <v>72</v>
      </c>
      <c r="AF203" s="192" t="s">
        <v>51</v>
      </c>
      <c r="AG203" s="192" t="s">
        <v>102</v>
      </c>
      <c r="AH203" s="192">
        <v>4.0923610563473902</v>
      </c>
      <c r="AJ203" s="192" t="s">
        <v>52</v>
      </c>
      <c r="AK203" s="192" t="s">
        <v>18</v>
      </c>
      <c r="AL203" s="192" t="s">
        <v>28</v>
      </c>
      <c r="AM203" s="192" t="s">
        <v>51</v>
      </c>
      <c r="AN203" s="192" t="s">
        <v>102</v>
      </c>
      <c r="AO203" s="192">
        <v>1.0825091444054298</v>
      </c>
    </row>
    <row r="204" spans="17:49">
      <c r="AC204" s="192" t="s">
        <v>52</v>
      </c>
      <c r="AD204" s="192" t="s">
        <v>18</v>
      </c>
      <c r="AE204" s="192" t="s">
        <v>72</v>
      </c>
      <c r="AF204" s="192" t="s">
        <v>51</v>
      </c>
      <c r="AG204" s="192" t="s">
        <v>103</v>
      </c>
      <c r="AH204" s="192">
        <v>4.0627523635008007</v>
      </c>
      <c r="AJ204" s="192" t="s">
        <v>52</v>
      </c>
      <c r="AK204" s="192" t="s">
        <v>18</v>
      </c>
      <c r="AL204" s="192" t="s">
        <v>28</v>
      </c>
      <c r="AM204" s="192" t="s">
        <v>51</v>
      </c>
      <c r="AN204" s="192" t="s">
        <v>103</v>
      </c>
      <c r="AO204" s="192">
        <v>1.083606967260841</v>
      </c>
    </row>
    <row r="205" spans="17:49">
      <c r="AC205" s="192" t="s">
        <v>52</v>
      </c>
      <c r="AD205" s="192" t="s">
        <v>18</v>
      </c>
      <c r="AE205" s="192" t="s">
        <v>72</v>
      </c>
      <c r="AF205" s="192" t="s">
        <v>51</v>
      </c>
      <c r="AG205" s="192" t="s">
        <v>104</v>
      </c>
      <c r="AH205" s="192">
        <v>4.0627523635008007</v>
      </c>
      <c r="AJ205" s="192" t="s">
        <v>52</v>
      </c>
      <c r="AK205" s="192" t="s">
        <v>18</v>
      </c>
      <c r="AL205" s="192" t="s">
        <v>28</v>
      </c>
      <c r="AM205" s="192" t="s">
        <v>51</v>
      </c>
      <c r="AN205" s="192" t="s">
        <v>104</v>
      </c>
      <c r="AO205" s="192">
        <v>1.010759557780011</v>
      </c>
    </row>
    <row r="206" spans="17:49">
      <c r="AC206" s="192" t="s">
        <v>52</v>
      </c>
      <c r="AD206" s="192" t="s">
        <v>18</v>
      </c>
      <c r="AE206" s="192" t="s">
        <v>72</v>
      </c>
      <c r="AF206" s="192" t="s">
        <v>51</v>
      </c>
      <c r="AG206" s="192" t="s">
        <v>105</v>
      </c>
      <c r="AH206" s="192">
        <v>4.1867556587570789</v>
      </c>
      <c r="AJ206" s="192" t="s">
        <v>52</v>
      </c>
      <c r="AK206" s="192" t="s">
        <v>18</v>
      </c>
      <c r="AL206" s="192" t="s">
        <v>28</v>
      </c>
      <c r="AM206" s="192" t="s">
        <v>51</v>
      </c>
      <c r="AN206" s="192" t="s">
        <v>105</v>
      </c>
      <c r="AO206" s="192">
        <v>1.0398411621313595</v>
      </c>
    </row>
    <row r="207" spans="17:49">
      <c r="AC207" s="192" t="s">
        <v>52</v>
      </c>
      <c r="AD207" s="192" t="s">
        <v>18</v>
      </c>
      <c r="AE207" s="192" t="s">
        <v>72</v>
      </c>
      <c r="AF207" s="192" t="s">
        <v>51</v>
      </c>
      <c r="AG207" s="192" t="s">
        <v>106</v>
      </c>
      <c r="AH207" s="192">
        <v>4.1863869638007634</v>
      </c>
      <c r="AJ207" s="192" t="s">
        <v>52</v>
      </c>
      <c r="AK207" s="192" t="s">
        <v>18</v>
      </c>
      <c r="AL207" s="192" t="s">
        <v>28</v>
      </c>
      <c r="AM207" s="192" t="s">
        <v>51</v>
      </c>
      <c r="AN207" s="192" t="s">
        <v>106</v>
      </c>
      <c r="AO207" s="192">
        <v>1.0423068026676641</v>
      </c>
    </row>
    <row r="208" spans="17:49">
      <c r="AC208" s="192" t="s">
        <v>52</v>
      </c>
      <c r="AD208" s="192" t="s">
        <v>18</v>
      </c>
      <c r="AE208" s="192" t="s">
        <v>72</v>
      </c>
      <c r="AF208" s="192" t="s">
        <v>51</v>
      </c>
      <c r="AG208" s="192" t="s">
        <v>107</v>
      </c>
      <c r="AH208" s="192">
        <v>4.1867556587570789</v>
      </c>
      <c r="AJ208" s="192" t="s">
        <v>52</v>
      </c>
      <c r="AK208" s="192" t="s">
        <v>18</v>
      </c>
      <c r="AL208" s="192" t="s">
        <v>28</v>
      </c>
      <c r="AM208" s="192" t="s">
        <v>51</v>
      </c>
      <c r="AN208" s="192" t="s">
        <v>107</v>
      </c>
      <c r="AO208" s="192">
        <v>1.0786491057373591</v>
      </c>
    </row>
    <row r="209" spans="29:41">
      <c r="AC209" s="192" t="s">
        <v>52</v>
      </c>
      <c r="AD209" s="192" t="s">
        <v>18</v>
      </c>
      <c r="AE209" s="192" t="s">
        <v>72</v>
      </c>
      <c r="AF209" s="192" t="s">
        <v>51</v>
      </c>
      <c r="AG209" s="192" t="s">
        <v>108</v>
      </c>
      <c r="AH209" s="192">
        <v>4.1543680910694123</v>
      </c>
      <c r="AJ209" s="192" t="s">
        <v>52</v>
      </c>
      <c r="AK209" s="192" t="s">
        <v>18</v>
      </c>
      <c r="AL209" s="192" t="s">
        <v>28</v>
      </c>
      <c r="AM209" s="192" t="s">
        <v>51</v>
      </c>
      <c r="AN209" s="192" t="s">
        <v>108</v>
      </c>
      <c r="AO209" s="192">
        <v>1.0891799655927026</v>
      </c>
    </row>
    <row r="210" spans="29:41">
      <c r="AC210" s="192" t="s">
        <v>52</v>
      </c>
      <c r="AD210" s="192" t="s">
        <v>18</v>
      </c>
      <c r="AE210" s="192" t="s">
        <v>72</v>
      </c>
      <c r="AF210" s="192" t="s">
        <v>51</v>
      </c>
      <c r="AG210" s="192" t="s">
        <v>100</v>
      </c>
      <c r="AH210" s="192">
        <v>4.1248698203088709</v>
      </c>
      <c r="AJ210" s="192" t="s">
        <v>52</v>
      </c>
      <c r="AK210" s="192" t="s">
        <v>18</v>
      </c>
      <c r="AL210" s="192" t="s">
        <v>28</v>
      </c>
      <c r="AM210" s="192" t="s">
        <v>51</v>
      </c>
      <c r="AN210" s="192" t="s">
        <v>100</v>
      </c>
      <c r="AO210" s="192">
        <v>1.0606327250559704</v>
      </c>
    </row>
    <row r="211" spans="29:41">
      <c r="AC211" s="192" t="s">
        <v>52</v>
      </c>
      <c r="AD211" s="192" t="s">
        <v>18</v>
      </c>
      <c r="AE211" s="192" t="s">
        <v>72</v>
      </c>
      <c r="AF211" s="192" t="s">
        <v>51</v>
      </c>
      <c r="AG211" s="192" t="s">
        <v>109</v>
      </c>
      <c r="AH211" s="192">
        <v>4.0627523635008007</v>
      </c>
      <c r="AJ211" s="192" t="s">
        <v>52</v>
      </c>
      <c r="AK211" s="192" t="s">
        <v>18</v>
      </c>
      <c r="AL211" s="192" t="s">
        <v>28</v>
      </c>
      <c r="AM211" s="192" t="s">
        <v>51</v>
      </c>
      <c r="AN211" s="192" t="s">
        <v>109</v>
      </c>
      <c r="AO211" s="192">
        <v>1.0118874123115511</v>
      </c>
    </row>
    <row r="212" spans="29:41">
      <c r="AC212" s="192" t="s">
        <v>52</v>
      </c>
      <c r="AD212" s="192" t="s">
        <v>18</v>
      </c>
      <c r="AE212" s="192" t="s">
        <v>72</v>
      </c>
      <c r="AF212" s="192" t="s">
        <v>51</v>
      </c>
      <c r="AG212" s="192" t="s">
        <v>110</v>
      </c>
      <c r="AH212" s="192">
        <v>4.0923610563473902</v>
      </c>
      <c r="AJ212" s="192" t="s">
        <v>52</v>
      </c>
      <c r="AK212" s="192" t="s">
        <v>18</v>
      </c>
      <c r="AL212" s="192" t="s">
        <v>28</v>
      </c>
      <c r="AM212" s="192" t="s">
        <v>51</v>
      </c>
      <c r="AN212" s="192" t="s">
        <v>110</v>
      </c>
      <c r="AO212" s="192">
        <v>1.02209245388055</v>
      </c>
    </row>
    <row r="213" spans="29:41">
      <c r="AC213" s="192" t="s">
        <v>52</v>
      </c>
      <c r="AD213" s="192" t="s">
        <v>18</v>
      </c>
      <c r="AE213" s="192" t="s">
        <v>72</v>
      </c>
      <c r="AF213" s="192" t="s">
        <v>51</v>
      </c>
      <c r="AG213" s="192" t="s">
        <v>111</v>
      </c>
      <c r="AH213" s="192">
        <v>4.0923610563473902</v>
      </c>
      <c r="AJ213" s="192" t="s">
        <v>52</v>
      </c>
      <c r="AK213" s="192" t="s">
        <v>18</v>
      </c>
      <c r="AL213" s="192" t="s">
        <v>28</v>
      </c>
      <c r="AM213" s="192" t="s">
        <v>51</v>
      </c>
      <c r="AN213" s="192" t="s">
        <v>111</v>
      </c>
      <c r="AO213" s="192">
        <v>1.05136246705567</v>
      </c>
    </row>
    <row r="214" spans="29:41">
      <c r="AC214" s="192" t="s">
        <v>52</v>
      </c>
      <c r="AD214" s="192" t="s">
        <v>18</v>
      </c>
      <c r="AE214" s="192" t="s">
        <v>72</v>
      </c>
      <c r="AF214" s="192" t="s">
        <v>51</v>
      </c>
      <c r="AG214" s="192" t="s">
        <v>99</v>
      </c>
      <c r="AH214" s="192">
        <v>4.1231786353861342</v>
      </c>
      <c r="AJ214" s="192" t="s">
        <v>52</v>
      </c>
      <c r="AK214" s="192" t="s">
        <v>18</v>
      </c>
      <c r="AL214" s="192" t="s">
        <v>28</v>
      </c>
      <c r="AM214" s="192" t="s">
        <v>51</v>
      </c>
      <c r="AN214" s="192" t="s">
        <v>99</v>
      </c>
      <c r="AO214" s="192">
        <v>1.0959063610201645</v>
      </c>
    </row>
    <row r="215" spans="29:41">
      <c r="AC215" s="192" t="s">
        <v>52</v>
      </c>
      <c r="AD215" s="192" t="s">
        <v>18</v>
      </c>
      <c r="AE215" s="192" t="s">
        <v>72</v>
      </c>
      <c r="AF215" s="192" t="s">
        <v>51</v>
      </c>
      <c r="AG215" s="192" t="s">
        <v>126</v>
      </c>
      <c r="AH215" s="192">
        <v>4.1231786353861342</v>
      </c>
      <c r="AJ215" s="192" t="s">
        <v>52</v>
      </c>
      <c r="AK215" s="192" t="s">
        <v>18</v>
      </c>
      <c r="AL215" s="192" t="s">
        <v>28</v>
      </c>
      <c r="AM215" s="192" t="s">
        <v>51</v>
      </c>
      <c r="AN215" s="192" t="s">
        <v>126</v>
      </c>
      <c r="AO215" s="192">
        <v>1.1216542765386541</v>
      </c>
    </row>
    <row r="216" spans="29:41">
      <c r="AC216" s="192" t="s">
        <v>52</v>
      </c>
      <c r="AD216" s="192" t="s">
        <v>18</v>
      </c>
      <c r="AE216" s="192" t="s">
        <v>72</v>
      </c>
      <c r="AF216" s="192" t="s">
        <v>51</v>
      </c>
      <c r="AG216" s="192" t="s">
        <v>124</v>
      </c>
      <c r="AH216" s="192">
        <v>4.0936300339223344</v>
      </c>
      <c r="AJ216" s="192" t="s">
        <v>52</v>
      </c>
      <c r="AK216" s="192" t="s">
        <v>18</v>
      </c>
      <c r="AL216" s="192" t="s">
        <v>28</v>
      </c>
      <c r="AM216" s="192" t="s">
        <v>51</v>
      </c>
      <c r="AN216" s="192" t="s">
        <v>124</v>
      </c>
      <c r="AO216" s="192">
        <v>1.0848226045065246</v>
      </c>
    </row>
    <row r="217" spans="29:41">
      <c r="AC217" s="192" t="s">
        <v>52</v>
      </c>
      <c r="AD217" s="192" t="s">
        <v>18</v>
      </c>
      <c r="AE217" s="192" t="s">
        <v>72</v>
      </c>
      <c r="AF217" s="192" t="s">
        <v>51</v>
      </c>
      <c r="AG217" s="192" t="s">
        <v>127</v>
      </c>
      <c r="AH217" s="192">
        <v>4.0610656170015185</v>
      </c>
      <c r="AJ217" s="192" t="s">
        <v>52</v>
      </c>
      <c r="AK217" s="192" t="s">
        <v>18</v>
      </c>
      <c r="AL217" s="192" t="s">
        <v>28</v>
      </c>
      <c r="AM217" s="192" t="s">
        <v>51</v>
      </c>
      <c r="AN217" s="192" t="s">
        <v>127</v>
      </c>
      <c r="AO217" s="192">
        <v>1.0841836356510286</v>
      </c>
    </row>
    <row r="218" spans="29:41">
      <c r="AC218" s="192" t="s">
        <v>52</v>
      </c>
      <c r="AD218" s="192" t="s">
        <v>18</v>
      </c>
      <c r="AE218" s="192" t="s">
        <v>72</v>
      </c>
      <c r="AF218" s="192" t="s">
        <v>51</v>
      </c>
      <c r="AG218" s="192" t="s">
        <v>128</v>
      </c>
      <c r="AH218" s="192">
        <v>4.0936300339223344</v>
      </c>
      <c r="AJ218" s="192" t="s">
        <v>52</v>
      </c>
      <c r="AK218" s="192" t="s">
        <v>18</v>
      </c>
      <c r="AL218" s="192" t="s">
        <v>28</v>
      </c>
      <c r="AM218" s="192" t="s">
        <v>51</v>
      </c>
      <c r="AN218" s="192" t="s">
        <v>128</v>
      </c>
      <c r="AO218" s="192">
        <v>1.1236026633522043</v>
      </c>
    </row>
    <row r="219" spans="29:41">
      <c r="AC219" s="192" t="s">
        <v>52</v>
      </c>
      <c r="AD219" s="192" t="s">
        <v>18</v>
      </c>
      <c r="AE219" s="192" t="s">
        <v>72</v>
      </c>
      <c r="AF219" s="192" t="s">
        <v>51</v>
      </c>
      <c r="AG219" s="192" t="s">
        <v>129</v>
      </c>
      <c r="AH219" s="192">
        <v>4.0936300339223344</v>
      </c>
      <c r="AJ219" s="192" t="s">
        <v>52</v>
      </c>
      <c r="AK219" s="192" t="s">
        <v>18</v>
      </c>
      <c r="AL219" s="192" t="s">
        <v>28</v>
      </c>
      <c r="AM219" s="192" t="s">
        <v>51</v>
      </c>
      <c r="AN219" s="192" t="s">
        <v>129</v>
      </c>
      <c r="AO219" s="192">
        <v>1.0984133460250745</v>
      </c>
    </row>
    <row r="220" spans="29:41">
      <c r="AC220" s="192" t="s">
        <v>52</v>
      </c>
      <c r="AD220" s="192" t="s">
        <v>18</v>
      </c>
      <c r="AE220" s="192" t="s">
        <v>72</v>
      </c>
      <c r="AF220" s="192" t="s">
        <v>51</v>
      </c>
      <c r="AG220" s="192" t="s">
        <v>123</v>
      </c>
      <c r="AH220" s="192">
        <v>4.0936300339223344</v>
      </c>
      <c r="AJ220" s="192" t="s">
        <v>52</v>
      </c>
      <c r="AK220" s="192" t="s">
        <v>18</v>
      </c>
      <c r="AL220" s="192" t="s">
        <v>28</v>
      </c>
      <c r="AM220" s="192" t="s">
        <v>51</v>
      </c>
      <c r="AN220" s="192" t="s">
        <v>123</v>
      </c>
      <c r="AO220" s="192">
        <v>1.0991844871188046</v>
      </c>
    </row>
    <row r="221" spans="29:41">
      <c r="AC221" s="192" t="s">
        <v>52</v>
      </c>
      <c r="AD221" s="192" t="s">
        <v>18</v>
      </c>
      <c r="AE221" s="192" t="s">
        <v>72</v>
      </c>
      <c r="AF221" s="192" t="s">
        <v>51</v>
      </c>
      <c r="AG221" s="192" t="s">
        <v>125</v>
      </c>
      <c r="AH221" s="192">
        <v>3.968948344733974</v>
      </c>
      <c r="AJ221" s="192" t="s">
        <v>52</v>
      </c>
      <c r="AK221" s="192" t="s">
        <v>18</v>
      </c>
      <c r="AL221" s="192" t="s">
        <v>28</v>
      </c>
      <c r="AM221" s="192" t="s">
        <v>51</v>
      </c>
      <c r="AN221" s="192" t="s">
        <v>125</v>
      </c>
      <c r="AO221" s="192">
        <v>1.0534402187716043</v>
      </c>
    </row>
    <row r="222" spans="29:41">
      <c r="AC222" s="192" t="s">
        <v>52</v>
      </c>
      <c r="AD222" s="192" t="s">
        <v>18</v>
      </c>
      <c r="AE222" s="192" t="s">
        <v>72</v>
      </c>
      <c r="AF222" s="192" t="s">
        <v>51</v>
      </c>
      <c r="AG222" s="192" t="s">
        <v>215</v>
      </c>
      <c r="AH222" s="192">
        <v>3.968948344733974</v>
      </c>
      <c r="AJ222" s="192" t="s">
        <v>52</v>
      </c>
      <c r="AK222" s="192" t="s">
        <v>18</v>
      </c>
      <c r="AL222" s="192" t="s">
        <v>28</v>
      </c>
      <c r="AM222" s="192" t="s">
        <v>51</v>
      </c>
      <c r="AN222" s="192" t="s">
        <v>215</v>
      </c>
      <c r="AO222" s="192">
        <v>1.082989461372704</v>
      </c>
    </row>
    <row r="223" spans="29:41">
      <c r="AC223" s="192" t="s">
        <v>52</v>
      </c>
      <c r="AD223" s="192" t="s">
        <v>19</v>
      </c>
      <c r="AE223" s="192" t="s">
        <v>72</v>
      </c>
      <c r="AF223" s="192" t="s">
        <v>51</v>
      </c>
      <c r="AG223" s="192" t="s">
        <v>130</v>
      </c>
      <c r="AH223" s="192">
        <v>4.2722196725487462</v>
      </c>
      <c r="AJ223" s="192" t="s">
        <v>52</v>
      </c>
      <c r="AK223" s="192" t="s">
        <v>19</v>
      </c>
      <c r="AL223" s="192" t="s">
        <v>28</v>
      </c>
      <c r="AM223" s="192" t="s">
        <v>51</v>
      </c>
      <c r="AN223" s="192" t="s">
        <v>130</v>
      </c>
      <c r="AO223" s="192">
        <v>1.4380197325194559</v>
      </c>
    </row>
    <row r="224" spans="29:41">
      <c r="AC224" s="192" t="s">
        <v>52</v>
      </c>
      <c r="AD224" s="192" t="s">
        <v>19</v>
      </c>
      <c r="AE224" s="192" t="s">
        <v>72</v>
      </c>
      <c r="AF224" s="192" t="s">
        <v>51</v>
      </c>
      <c r="AG224" s="192" t="s">
        <v>131</v>
      </c>
      <c r="AH224" s="192">
        <v>4.2722152605049795</v>
      </c>
      <c r="AJ224" s="192" t="s">
        <v>52</v>
      </c>
      <c r="AK224" s="192" t="s">
        <v>19</v>
      </c>
      <c r="AL224" s="192" t="s">
        <v>28</v>
      </c>
      <c r="AM224" s="192" t="s">
        <v>51</v>
      </c>
      <c r="AN224" s="192" t="s">
        <v>131</v>
      </c>
      <c r="AO224" s="192">
        <v>1.4480315377515394</v>
      </c>
    </row>
    <row r="225" spans="29:41">
      <c r="AC225" s="192" t="s">
        <v>52</v>
      </c>
      <c r="AD225" s="192" t="s">
        <v>19</v>
      </c>
      <c r="AE225" s="192" t="s">
        <v>72</v>
      </c>
      <c r="AF225" s="192" t="s">
        <v>51</v>
      </c>
      <c r="AG225" s="192" t="s">
        <v>132</v>
      </c>
      <c r="AH225" s="192">
        <v>4.2722152605049795</v>
      </c>
      <c r="AJ225" s="192" t="s">
        <v>52</v>
      </c>
      <c r="AK225" s="192" t="s">
        <v>19</v>
      </c>
      <c r="AL225" s="192" t="s">
        <v>28</v>
      </c>
      <c r="AM225" s="192" t="s">
        <v>51</v>
      </c>
      <c r="AN225" s="192" t="s">
        <v>132</v>
      </c>
      <c r="AO225" s="192">
        <v>1.4566536855283092</v>
      </c>
    </row>
    <row r="226" spans="29:41">
      <c r="AC226" s="192" t="s">
        <v>52</v>
      </c>
      <c r="AD226" s="192" t="s">
        <v>19</v>
      </c>
      <c r="AE226" s="192" t="s">
        <v>72</v>
      </c>
      <c r="AF226" s="192" t="s">
        <v>51</v>
      </c>
      <c r="AG226" s="192" t="s">
        <v>133</v>
      </c>
      <c r="AH226" s="192">
        <v>4.356765969784167</v>
      </c>
      <c r="AJ226" s="192" t="s">
        <v>52</v>
      </c>
      <c r="AK226" s="192" t="s">
        <v>19</v>
      </c>
      <c r="AL226" s="192" t="s">
        <v>28</v>
      </c>
      <c r="AM226" s="192" t="s">
        <v>51</v>
      </c>
      <c r="AN226" s="192" t="s">
        <v>133</v>
      </c>
      <c r="AO226" s="192">
        <v>1.4264489588822669</v>
      </c>
    </row>
    <row r="227" spans="29:41">
      <c r="AC227" s="192" t="s">
        <v>52</v>
      </c>
      <c r="AD227" s="192" t="s">
        <v>19</v>
      </c>
      <c r="AE227" s="192" t="s">
        <v>72</v>
      </c>
      <c r="AF227" s="192" t="s">
        <v>51</v>
      </c>
      <c r="AG227" s="192" t="s">
        <v>134</v>
      </c>
      <c r="AH227" s="192">
        <v>4.3975094107446839</v>
      </c>
      <c r="AJ227" s="192" t="s">
        <v>52</v>
      </c>
      <c r="AK227" s="192" t="s">
        <v>19</v>
      </c>
      <c r="AL227" s="192" t="s">
        <v>28</v>
      </c>
      <c r="AM227" s="192" t="s">
        <v>51</v>
      </c>
      <c r="AN227" s="192" t="s">
        <v>134</v>
      </c>
      <c r="AO227" s="192">
        <v>1.4952818872147542</v>
      </c>
    </row>
    <row r="228" spans="29:41">
      <c r="AC228" s="192" t="s">
        <v>52</v>
      </c>
      <c r="AD228" s="192" t="s">
        <v>19</v>
      </c>
      <c r="AE228" s="192" t="s">
        <v>72</v>
      </c>
      <c r="AF228" s="192" t="s">
        <v>51</v>
      </c>
      <c r="AG228" s="192" t="s">
        <v>135</v>
      </c>
      <c r="AH228" s="192">
        <v>4.3364393474588088</v>
      </c>
      <c r="AJ228" s="192" t="s">
        <v>52</v>
      </c>
      <c r="AK228" s="192" t="s">
        <v>19</v>
      </c>
      <c r="AL228" s="192" t="s">
        <v>28</v>
      </c>
      <c r="AM228" s="192" t="s">
        <v>51</v>
      </c>
      <c r="AN228" s="192" t="s">
        <v>135</v>
      </c>
      <c r="AO228" s="192">
        <v>1.4900890106520488</v>
      </c>
    </row>
    <row r="229" spans="29:41">
      <c r="AC229" s="192" t="s">
        <v>52</v>
      </c>
      <c r="AD229" s="192" t="s">
        <v>19</v>
      </c>
      <c r="AE229" s="192" t="s">
        <v>72</v>
      </c>
      <c r="AF229" s="192" t="s">
        <v>51</v>
      </c>
      <c r="AG229" s="192" t="s">
        <v>136</v>
      </c>
      <c r="AH229" s="192">
        <v>4.3043588303271259</v>
      </c>
      <c r="AJ229" s="192" t="s">
        <v>52</v>
      </c>
      <c r="AK229" s="192" t="s">
        <v>19</v>
      </c>
      <c r="AL229" s="192" t="s">
        <v>28</v>
      </c>
      <c r="AM229" s="192" t="s">
        <v>51</v>
      </c>
      <c r="AN229" s="192" t="s">
        <v>136</v>
      </c>
      <c r="AO229" s="192">
        <v>1.4765235270090056</v>
      </c>
    </row>
    <row r="230" spans="29:41">
      <c r="AC230" s="192" t="s">
        <v>52</v>
      </c>
      <c r="AD230" s="192" t="s">
        <v>19</v>
      </c>
      <c r="AE230" s="192" t="s">
        <v>72</v>
      </c>
      <c r="AF230" s="192" t="s">
        <v>51</v>
      </c>
      <c r="AG230" s="192" t="s">
        <v>137</v>
      </c>
      <c r="AH230" s="192">
        <v>4.2722196725487462</v>
      </c>
      <c r="AJ230" s="192" t="s">
        <v>52</v>
      </c>
      <c r="AK230" s="192" t="s">
        <v>19</v>
      </c>
      <c r="AL230" s="192" t="s">
        <v>28</v>
      </c>
      <c r="AM230" s="192" t="s">
        <v>51</v>
      </c>
      <c r="AN230" s="192" t="s">
        <v>137</v>
      </c>
      <c r="AO230" s="192">
        <v>1.458400562294766</v>
      </c>
    </row>
    <row r="231" spans="29:41">
      <c r="AC231" s="192" t="s">
        <v>52</v>
      </c>
      <c r="AD231" s="192" t="s">
        <v>19</v>
      </c>
      <c r="AE231" s="192" t="s">
        <v>72</v>
      </c>
      <c r="AF231" s="192" t="s">
        <v>51</v>
      </c>
      <c r="AG231" s="192" t="s">
        <v>138</v>
      </c>
      <c r="AH231" s="192">
        <v>4.3043588303271259</v>
      </c>
      <c r="AJ231" s="192" t="s">
        <v>52</v>
      </c>
      <c r="AK231" s="192" t="s">
        <v>19</v>
      </c>
      <c r="AL231" s="192" t="s">
        <v>28</v>
      </c>
      <c r="AM231" s="192" t="s">
        <v>51</v>
      </c>
      <c r="AN231" s="192" t="s">
        <v>138</v>
      </c>
      <c r="AO231" s="192">
        <v>1.4728530811846257</v>
      </c>
    </row>
    <row r="232" spans="29:41">
      <c r="AC232" s="192" t="s">
        <v>52</v>
      </c>
      <c r="AD232" s="192" t="s">
        <v>19</v>
      </c>
      <c r="AE232" s="192" t="s">
        <v>72</v>
      </c>
      <c r="AF232" s="192" t="s">
        <v>51</v>
      </c>
      <c r="AG232" s="192" t="s">
        <v>139</v>
      </c>
      <c r="AH232" s="192">
        <v>4.2722152605049795</v>
      </c>
      <c r="AJ232" s="192" t="s">
        <v>52</v>
      </c>
      <c r="AK232" s="192" t="s">
        <v>19</v>
      </c>
      <c r="AL232" s="192" t="s">
        <v>28</v>
      </c>
      <c r="AM232" s="192" t="s">
        <v>51</v>
      </c>
      <c r="AN232" s="192" t="s">
        <v>139</v>
      </c>
      <c r="AO232" s="192">
        <v>1.4480384086770592</v>
      </c>
    </row>
    <row r="233" spans="29:41">
      <c r="AC233" s="192" t="s">
        <v>52</v>
      </c>
      <c r="AD233" s="192" t="s">
        <v>19</v>
      </c>
      <c r="AE233" s="192" t="s">
        <v>72</v>
      </c>
      <c r="AF233" s="192" t="s">
        <v>51</v>
      </c>
      <c r="AG233" s="192" t="s">
        <v>140</v>
      </c>
      <c r="AH233" s="192">
        <v>4.2722196725487462</v>
      </c>
      <c r="AJ233" s="192" t="s">
        <v>52</v>
      </c>
      <c r="AK233" s="192" t="s">
        <v>19</v>
      </c>
      <c r="AL233" s="192" t="s">
        <v>28</v>
      </c>
      <c r="AM233" s="192" t="s">
        <v>51</v>
      </c>
      <c r="AN233" s="192" t="s">
        <v>140</v>
      </c>
      <c r="AO233" s="192">
        <v>1.4763786632440858</v>
      </c>
    </row>
    <row r="234" spans="29:41">
      <c r="AC234" s="192" t="s">
        <v>52</v>
      </c>
      <c r="AD234" s="192" t="s">
        <v>19</v>
      </c>
      <c r="AE234" s="192" t="s">
        <v>72</v>
      </c>
      <c r="AF234" s="192" t="s">
        <v>51</v>
      </c>
      <c r="AG234" s="192" t="s">
        <v>141</v>
      </c>
      <c r="AH234" s="192">
        <v>4.1164931032788781</v>
      </c>
      <c r="AJ234" s="192" t="s">
        <v>52</v>
      </c>
      <c r="AK234" s="192" t="s">
        <v>19</v>
      </c>
      <c r="AL234" s="192" t="s">
        <v>28</v>
      </c>
      <c r="AM234" s="192" t="s">
        <v>51</v>
      </c>
      <c r="AN234" s="192" t="s">
        <v>141</v>
      </c>
      <c r="AO234" s="192">
        <v>1.4236442001834584</v>
      </c>
    </row>
    <row r="235" spans="29:41">
      <c r="AC235" s="192" t="s">
        <v>52</v>
      </c>
      <c r="AD235" s="192" t="s">
        <v>19</v>
      </c>
      <c r="AE235" s="192" t="s">
        <v>72</v>
      </c>
      <c r="AF235" s="192" t="s">
        <v>51</v>
      </c>
      <c r="AG235" s="192" t="s">
        <v>142</v>
      </c>
      <c r="AH235" s="192">
        <v>4.1164931032788781</v>
      </c>
      <c r="AJ235" s="192" t="s">
        <v>52</v>
      </c>
      <c r="AK235" s="192" t="s">
        <v>19</v>
      </c>
      <c r="AL235" s="192" t="s">
        <v>28</v>
      </c>
      <c r="AM235" s="192" t="s">
        <v>51</v>
      </c>
      <c r="AN235" s="192" t="s">
        <v>142</v>
      </c>
      <c r="AO235" s="192">
        <v>1.4069365395175983</v>
      </c>
    </row>
    <row r="236" spans="29:41">
      <c r="AC236" s="192" t="s">
        <v>52</v>
      </c>
      <c r="AD236" s="192" t="s">
        <v>19</v>
      </c>
      <c r="AE236" s="192" t="s">
        <v>72</v>
      </c>
      <c r="AF236" s="192" t="s">
        <v>51</v>
      </c>
      <c r="AG236" s="192" t="s">
        <v>143</v>
      </c>
      <c r="AH236" s="192">
        <v>4.1489354754111796</v>
      </c>
      <c r="AJ236" s="192" t="s">
        <v>52</v>
      </c>
      <c r="AK236" s="192" t="s">
        <v>19</v>
      </c>
      <c r="AL236" s="192" t="s">
        <v>28</v>
      </c>
      <c r="AM236" s="192" t="s">
        <v>51</v>
      </c>
      <c r="AN236" s="192" t="s">
        <v>143</v>
      </c>
      <c r="AO236" s="192">
        <v>1.4771625368674803</v>
      </c>
    </row>
    <row r="237" spans="29:41">
      <c r="AC237" s="192" t="s">
        <v>52</v>
      </c>
      <c r="AD237" s="192" t="s">
        <v>19</v>
      </c>
      <c r="AE237" s="192" t="s">
        <v>72</v>
      </c>
      <c r="AF237" s="192" t="s">
        <v>51</v>
      </c>
      <c r="AG237" s="192" t="s">
        <v>144</v>
      </c>
      <c r="AH237" s="192">
        <v>4.1164931032788781</v>
      </c>
      <c r="AJ237" s="192" t="s">
        <v>52</v>
      </c>
      <c r="AK237" s="192" t="s">
        <v>19</v>
      </c>
      <c r="AL237" s="192" t="s">
        <v>28</v>
      </c>
      <c r="AM237" s="192" t="s">
        <v>51</v>
      </c>
      <c r="AN237" s="192" t="s">
        <v>144</v>
      </c>
      <c r="AO237" s="192">
        <v>1.4589836252872179</v>
      </c>
    </row>
    <row r="238" spans="29:41">
      <c r="AC238" s="192" t="s">
        <v>52</v>
      </c>
      <c r="AD238" s="192" t="s">
        <v>19</v>
      </c>
      <c r="AE238" s="192" t="s">
        <v>72</v>
      </c>
      <c r="AF238" s="192" t="s">
        <v>51</v>
      </c>
      <c r="AG238" s="192" t="s">
        <v>145</v>
      </c>
      <c r="AH238" s="192">
        <v>4.0839866621698553</v>
      </c>
      <c r="AJ238" s="192" t="s">
        <v>52</v>
      </c>
      <c r="AK238" s="192" t="s">
        <v>19</v>
      </c>
      <c r="AL238" s="192" t="s">
        <v>28</v>
      </c>
      <c r="AM238" s="192" t="s">
        <v>51</v>
      </c>
      <c r="AN238" s="192" t="s">
        <v>145</v>
      </c>
      <c r="AO238" s="192">
        <v>1.4741399466234748</v>
      </c>
    </row>
    <row r="239" spans="29:41">
      <c r="AC239" s="192" t="s">
        <v>52</v>
      </c>
      <c r="AD239" s="192" t="s">
        <v>19</v>
      </c>
      <c r="AE239" s="192" t="s">
        <v>72</v>
      </c>
      <c r="AF239" s="192" t="s">
        <v>51</v>
      </c>
      <c r="AG239" s="192" t="s">
        <v>146</v>
      </c>
      <c r="AH239" s="192">
        <v>4.1164931032788781</v>
      </c>
      <c r="AJ239" s="192" t="s">
        <v>52</v>
      </c>
      <c r="AK239" s="192" t="s">
        <v>19</v>
      </c>
      <c r="AL239" s="192" t="s">
        <v>28</v>
      </c>
      <c r="AM239" s="192" t="s">
        <v>51</v>
      </c>
      <c r="AN239" s="192" t="s">
        <v>146</v>
      </c>
      <c r="AO239" s="192">
        <v>1.4523237072335584</v>
      </c>
    </row>
    <row r="240" spans="29:41">
      <c r="AC240" s="192" t="s">
        <v>52</v>
      </c>
      <c r="AD240" s="192" t="s">
        <v>19</v>
      </c>
      <c r="AE240" s="192" t="s">
        <v>72</v>
      </c>
      <c r="AF240" s="192" t="s">
        <v>51</v>
      </c>
      <c r="AG240" s="192" t="s">
        <v>147</v>
      </c>
      <c r="AH240" s="192">
        <v>4.2429503753802189</v>
      </c>
      <c r="AJ240" s="192" t="s">
        <v>52</v>
      </c>
      <c r="AK240" s="192" t="s">
        <v>19</v>
      </c>
      <c r="AL240" s="192" t="s">
        <v>28</v>
      </c>
      <c r="AM240" s="192" t="s">
        <v>51</v>
      </c>
      <c r="AN240" s="192" t="s">
        <v>147</v>
      </c>
      <c r="AO240" s="192">
        <v>1.4909513151017189</v>
      </c>
    </row>
    <row r="241" spans="29:41">
      <c r="AC241" s="192" t="s">
        <v>52</v>
      </c>
      <c r="AD241" s="192" t="s">
        <v>19</v>
      </c>
      <c r="AE241" s="192" t="s">
        <v>72</v>
      </c>
      <c r="AF241" s="192" t="s">
        <v>51</v>
      </c>
      <c r="AG241" s="192" t="s">
        <v>148</v>
      </c>
      <c r="AH241" s="192">
        <v>4.1783730691905516</v>
      </c>
      <c r="AJ241" s="192" t="s">
        <v>52</v>
      </c>
      <c r="AK241" s="192" t="s">
        <v>19</v>
      </c>
      <c r="AL241" s="192" t="s">
        <v>28</v>
      </c>
      <c r="AM241" s="192" t="s">
        <v>51</v>
      </c>
      <c r="AN241" s="192" t="s">
        <v>148</v>
      </c>
      <c r="AO241" s="192">
        <v>1.4848898228908918</v>
      </c>
    </row>
    <row r="242" spans="29:41">
      <c r="AC242" s="192" t="s">
        <v>52</v>
      </c>
      <c r="AD242" s="192" t="s">
        <v>19</v>
      </c>
      <c r="AE242" s="192" t="s">
        <v>72</v>
      </c>
      <c r="AF242" s="192" t="s">
        <v>51</v>
      </c>
      <c r="AG242" s="192" t="s">
        <v>149</v>
      </c>
      <c r="AH242" s="192">
        <v>4.1783730691905516</v>
      </c>
      <c r="AJ242" s="192" t="s">
        <v>52</v>
      </c>
      <c r="AK242" s="192" t="s">
        <v>19</v>
      </c>
      <c r="AL242" s="192" t="s">
        <v>28</v>
      </c>
      <c r="AM242" s="192" t="s">
        <v>51</v>
      </c>
      <c r="AN242" s="192" t="s">
        <v>149</v>
      </c>
      <c r="AO242" s="192">
        <v>1.4877516387472818</v>
      </c>
    </row>
    <row r="243" spans="29:41">
      <c r="AC243" s="192" t="s">
        <v>52</v>
      </c>
      <c r="AD243" s="192" t="s">
        <v>19</v>
      </c>
      <c r="AE243" s="192" t="s">
        <v>72</v>
      </c>
      <c r="AF243" s="192" t="s">
        <v>51</v>
      </c>
      <c r="AG243" s="192" t="s">
        <v>150</v>
      </c>
      <c r="AH243" s="192">
        <v>4.1489354754111796</v>
      </c>
      <c r="AJ243" s="192" t="s">
        <v>52</v>
      </c>
      <c r="AK243" s="192" t="s">
        <v>19</v>
      </c>
      <c r="AL243" s="192" t="s">
        <v>28</v>
      </c>
      <c r="AM243" s="192" t="s">
        <v>51</v>
      </c>
      <c r="AN243" s="192" t="s">
        <v>150</v>
      </c>
      <c r="AO243" s="192">
        <v>1.48790031413224</v>
      </c>
    </row>
    <row r="244" spans="29:41">
      <c r="AC244" s="192" t="s">
        <v>52</v>
      </c>
      <c r="AD244" s="192" t="s">
        <v>19</v>
      </c>
      <c r="AE244" s="192" t="s">
        <v>72</v>
      </c>
      <c r="AF244" s="192" t="s">
        <v>51</v>
      </c>
      <c r="AG244" s="192" t="s">
        <v>151</v>
      </c>
      <c r="AH244" s="192">
        <v>4.0543796294704109</v>
      </c>
      <c r="AJ244" s="192" t="s">
        <v>52</v>
      </c>
      <c r="AK244" s="192" t="s">
        <v>19</v>
      </c>
      <c r="AL244" s="192" t="s">
        <v>28</v>
      </c>
      <c r="AM244" s="192" t="s">
        <v>51</v>
      </c>
      <c r="AN244" s="192" t="s">
        <v>151</v>
      </c>
      <c r="AO244" s="192">
        <v>1.4551138540801207</v>
      </c>
    </row>
    <row r="245" spans="29:41">
      <c r="AC245" s="192" t="s">
        <v>52</v>
      </c>
      <c r="AD245" s="192" t="s">
        <v>19</v>
      </c>
      <c r="AE245" s="192" t="s">
        <v>72</v>
      </c>
      <c r="AF245" s="192" t="s">
        <v>51</v>
      </c>
      <c r="AG245" s="192" t="s">
        <v>152</v>
      </c>
      <c r="AH245" s="192">
        <v>4.0543796294704109</v>
      </c>
      <c r="AJ245" s="192" t="s">
        <v>52</v>
      </c>
      <c r="AK245" s="192" t="s">
        <v>19</v>
      </c>
      <c r="AL245" s="192" t="s">
        <v>28</v>
      </c>
      <c r="AM245" s="192" t="s">
        <v>51</v>
      </c>
      <c r="AN245" s="192" t="s">
        <v>152</v>
      </c>
      <c r="AO245" s="192">
        <v>1.4030969614698008</v>
      </c>
    </row>
    <row r="246" spans="29:41">
      <c r="AC246" s="192" t="s">
        <v>52</v>
      </c>
      <c r="AD246" s="192" t="s">
        <v>19</v>
      </c>
      <c r="AE246" s="192" t="s">
        <v>72</v>
      </c>
      <c r="AF246" s="192" t="s">
        <v>51</v>
      </c>
      <c r="AG246" s="192" t="s">
        <v>153</v>
      </c>
      <c r="AH246" s="192">
        <v>4.1173811756101593</v>
      </c>
      <c r="AJ246" s="192" t="s">
        <v>52</v>
      </c>
      <c r="AK246" s="192" t="s">
        <v>19</v>
      </c>
      <c r="AL246" s="192" t="s">
        <v>28</v>
      </c>
      <c r="AM246" s="192" t="s">
        <v>51</v>
      </c>
      <c r="AN246" s="192" t="s">
        <v>153</v>
      </c>
      <c r="AO246" s="192">
        <v>1.5264927540743496</v>
      </c>
    </row>
    <row r="247" spans="29:41">
      <c r="AC247" s="192" t="s">
        <v>52</v>
      </c>
      <c r="AD247" s="192" t="s">
        <v>19</v>
      </c>
      <c r="AE247" s="192" t="s">
        <v>72</v>
      </c>
      <c r="AF247" s="192" t="s">
        <v>51</v>
      </c>
      <c r="AG247" s="192" t="s">
        <v>154</v>
      </c>
      <c r="AH247" s="192">
        <v>4.1173811756101593</v>
      </c>
      <c r="AJ247" s="192" t="s">
        <v>52</v>
      </c>
      <c r="AK247" s="192" t="s">
        <v>19</v>
      </c>
      <c r="AL247" s="192" t="s">
        <v>28</v>
      </c>
      <c r="AM247" s="192" t="s">
        <v>51</v>
      </c>
      <c r="AN247" s="192" t="s">
        <v>154</v>
      </c>
      <c r="AO247" s="192">
        <v>1.4834640718696397</v>
      </c>
    </row>
    <row r="248" spans="29:41">
      <c r="AC248" s="192" t="s">
        <v>52</v>
      </c>
      <c r="AD248" s="192" t="s">
        <v>19</v>
      </c>
      <c r="AE248" s="192" t="s">
        <v>72</v>
      </c>
      <c r="AF248" s="192" t="s">
        <v>51</v>
      </c>
      <c r="AG248" s="192" t="s">
        <v>155</v>
      </c>
      <c r="AH248" s="192">
        <v>4.1164931032788781</v>
      </c>
      <c r="AJ248" s="192" t="s">
        <v>52</v>
      </c>
      <c r="AK248" s="192" t="s">
        <v>19</v>
      </c>
      <c r="AL248" s="192" t="s">
        <v>28</v>
      </c>
      <c r="AM248" s="192" t="s">
        <v>51</v>
      </c>
      <c r="AN248" s="192" t="s">
        <v>155</v>
      </c>
      <c r="AO248" s="192">
        <v>1.4877106444003581</v>
      </c>
    </row>
    <row r="249" spans="29:41">
      <c r="AC249" s="192" t="s">
        <v>52</v>
      </c>
      <c r="AD249" s="192" t="s">
        <v>19</v>
      </c>
      <c r="AE249" s="192" t="s">
        <v>72</v>
      </c>
      <c r="AF249" s="192" t="s">
        <v>51</v>
      </c>
      <c r="AG249" s="192" t="s">
        <v>156</v>
      </c>
      <c r="AH249" s="192">
        <v>4.0839866621698553</v>
      </c>
      <c r="AJ249" s="192" t="s">
        <v>52</v>
      </c>
      <c r="AK249" s="192" t="s">
        <v>19</v>
      </c>
      <c r="AL249" s="192" t="s">
        <v>28</v>
      </c>
      <c r="AM249" s="192" t="s">
        <v>51</v>
      </c>
      <c r="AN249" s="192" t="s">
        <v>156</v>
      </c>
      <c r="AO249" s="192">
        <v>1.4636651505186651</v>
      </c>
    </row>
    <row r="250" spans="29:41">
      <c r="AC250" s="192" t="s">
        <v>52</v>
      </c>
      <c r="AD250" s="192" t="s">
        <v>19</v>
      </c>
      <c r="AE250" s="192" t="s">
        <v>72</v>
      </c>
      <c r="AF250" s="192" t="s">
        <v>51</v>
      </c>
      <c r="AG250" s="192" t="s">
        <v>157</v>
      </c>
      <c r="AH250" s="192">
        <v>4.1164931032788781</v>
      </c>
      <c r="AJ250" s="192" t="s">
        <v>52</v>
      </c>
      <c r="AK250" s="192" t="s">
        <v>19</v>
      </c>
      <c r="AL250" s="192" t="s">
        <v>28</v>
      </c>
      <c r="AM250" s="192" t="s">
        <v>51</v>
      </c>
      <c r="AN250" s="192" t="s">
        <v>157</v>
      </c>
      <c r="AO250" s="192">
        <v>1.4688348248507781</v>
      </c>
    </row>
    <row r="251" spans="29:41">
      <c r="AC251" s="192" t="s">
        <v>52</v>
      </c>
      <c r="AD251" s="192" t="s">
        <v>19</v>
      </c>
      <c r="AE251" s="192" t="s">
        <v>72</v>
      </c>
      <c r="AF251" s="192" t="s">
        <v>51</v>
      </c>
      <c r="AG251" s="192" t="s">
        <v>158</v>
      </c>
      <c r="AH251" s="192">
        <v>4.1468684016219548</v>
      </c>
      <c r="AJ251" s="192" t="s">
        <v>52</v>
      </c>
      <c r="AK251" s="192" t="s">
        <v>19</v>
      </c>
      <c r="AL251" s="192" t="s">
        <v>28</v>
      </c>
      <c r="AM251" s="192" t="s">
        <v>51</v>
      </c>
      <c r="AN251" s="192" t="s">
        <v>158</v>
      </c>
      <c r="AO251" s="192">
        <v>1.4794738390900448</v>
      </c>
    </row>
    <row r="252" spans="29:41">
      <c r="AC252" s="192" t="s">
        <v>52</v>
      </c>
      <c r="AD252" s="192" t="s">
        <v>19</v>
      </c>
      <c r="AE252" s="192" t="s">
        <v>72</v>
      </c>
      <c r="AF252" s="192" t="s">
        <v>51</v>
      </c>
      <c r="AG252" s="192" t="s">
        <v>159</v>
      </c>
      <c r="AH252" s="192">
        <v>4.0839866621698553</v>
      </c>
      <c r="AJ252" s="192" t="s">
        <v>52</v>
      </c>
      <c r="AK252" s="192" t="s">
        <v>19</v>
      </c>
      <c r="AL252" s="192" t="s">
        <v>28</v>
      </c>
      <c r="AM252" s="192" t="s">
        <v>51</v>
      </c>
      <c r="AN252" s="192" t="s">
        <v>159</v>
      </c>
      <c r="AO252" s="192">
        <v>1.4426462117529448</v>
      </c>
    </row>
    <row r="253" spans="29:41">
      <c r="AC253" s="192" t="s">
        <v>52</v>
      </c>
      <c r="AD253" s="192" t="s">
        <v>19</v>
      </c>
      <c r="AE253" s="192" t="s">
        <v>72</v>
      </c>
      <c r="AF253" s="192" t="s">
        <v>51</v>
      </c>
      <c r="AG253" s="192" t="s">
        <v>160</v>
      </c>
      <c r="AH253" s="192">
        <v>4.0848839185997514</v>
      </c>
      <c r="AJ253" s="192" t="s">
        <v>52</v>
      </c>
      <c r="AK253" s="192" t="s">
        <v>19</v>
      </c>
      <c r="AL253" s="192" t="s">
        <v>28</v>
      </c>
      <c r="AM253" s="192" t="s">
        <v>51</v>
      </c>
      <c r="AN253" s="192" t="s">
        <v>160</v>
      </c>
      <c r="AO253" s="192">
        <v>1.4880251513383613</v>
      </c>
    </row>
    <row r="254" spans="29:41">
      <c r="AC254" s="192" t="s">
        <v>52</v>
      </c>
      <c r="AD254" s="192" t="s">
        <v>19</v>
      </c>
      <c r="AE254" s="192" t="s">
        <v>72</v>
      </c>
      <c r="AF254" s="192" t="s">
        <v>51</v>
      </c>
      <c r="AG254" s="192" t="s">
        <v>161</v>
      </c>
      <c r="AH254" s="192">
        <v>4.0848839185997514</v>
      </c>
      <c r="AJ254" s="192" t="s">
        <v>52</v>
      </c>
      <c r="AK254" s="192" t="s">
        <v>19</v>
      </c>
      <c r="AL254" s="192" t="s">
        <v>28</v>
      </c>
      <c r="AM254" s="192" t="s">
        <v>51</v>
      </c>
      <c r="AN254" s="192" t="s">
        <v>161</v>
      </c>
      <c r="AO254" s="192">
        <v>1.5001903340299612</v>
      </c>
    </row>
    <row r="255" spans="29:41">
      <c r="AC255" s="192" t="s">
        <v>52</v>
      </c>
      <c r="AD255" s="192" t="s">
        <v>19</v>
      </c>
      <c r="AE255" s="192" t="s">
        <v>72</v>
      </c>
      <c r="AF255" s="192" t="s">
        <v>51</v>
      </c>
      <c r="AG255" s="192" t="s">
        <v>162</v>
      </c>
      <c r="AH255" s="192">
        <v>4.0848839185997514</v>
      </c>
      <c r="AJ255" s="192" t="s">
        <v>52</v>
      </c>
      <c r="AK255" s="192" t="s">
        <v>19</v>
      </c>
      <c r="AL255" s="192" t="s">
        <v>28</v>
      </c>
      <c r="AM255" s="192" t="s">
        <v>51</v>
      </c>
      <c r="AN255" s="192" t="s">
        <v>162</v>
      </c>
      <c r="AO255" s="192">
        <v>1.5089809768010016</v>
      </c>
    </row>
    <row r="256" spans="29:41">
      <c r="AC256" s="192" t="s">
        <v>52</v>
      </c>
      <c r="AD256" s="192" t="s">
        <v>19</v>
      </c>
      <c r="AE256" s="192" t="s">
        <v>72</v>
      </c>
      <c r="AF256" s="192" t="s">
        <v>51</v>
      </c>
      <c r="AG256" s="192" t="s">
        <v>163</v>
      </c>
      <c r="AH256" s="192">
        <v>4.0848839185997514</v>
      </c>
      <c r="AJ256" s="192" t="s">
        <v>52</v>
      </c>
      <c r="AK256" s="192" t="s">
        <v>19</v>
      </c>
      <c r="AL256" s="192" t="s">
        <v>28</v>
      </c>
      <c r="AM256" s="192" t="s">
        <v>51</v>
      </c>
      <c r="AN256" s="192" t="s">
        <v>163</v>
      </c>
      <c r="AO256" s="192">
        <v>1.5177634981419812</v>
      </c>
    </row>
    <row r="257" spans="29:41">
      <c r="AC257" s="192" t="s">
        <v>52</v>
      </c>
      <c r="AD257" s="192" t="s">
        <v>19</v>
      </c>
      <c r="AE257" s="192" t="s">
        <v>72</v>
      </c>
      <c r="AF257" s="192" t="s">
        <v>51</v>
      </c>
      <c r="AG257" s="192" t="s">
        <v>164</v>
      </c>
      <c r="AH257" s="192">
        <v>4.0848839185997514</v>
      </c>
      <c r="AJ257" s="192" t="s">
        <v>52</v>
      </c>
      <c r="AK257" s="192" t="s">
        <v>19</v>
      </c>
      <c r="AL257" s="192" t="s">
        <v>28</v>
      </c>
      <c r="AM257" s="192" t="s">
        <v>51</v>
      </c>
      <c r="AN257" s="192" t="s">
        <v>164</v>
      </c>
      <c r="AO257" s="192">
        <v>1.4862947015294912</v>
      </c>
    </row>
    <row r="258" spans="29:41">
      <c r="AC258" s="192" t="s">
        <v>52</v>
      </c>
      <c r="AD258" s="192" t="s">
        <v>19</v>
      </c>
      <c r="AE258" s="192" t="s">
        <v>72</v>
      </c>
      <c r="AF258" s="192" t="s">
        <v>51</v>
      </c>
      <c r="AG258" s="192" t="s">
        <v>165</v>
      </c>
      <c r="AH258" s="192">
        <v>4.1173811756101593</v>
      </c>
      <c r="AJ258" s="192" t="s">
        <v>52</v>
      </c>
      <c r="AK258" s="192" t="s">
        <v>19</v>
      </c>
      <c r="AL258" s="192" t="s">
        <v>28</v>
      </c>
      <c r="AM258" s="192" t="s">
        <v>51</v>
      </c>
      <c r="AN258" s="192" t="s">
        <v>165</v>
      </c>
      <c r="AO258" s="192">
        <v>1.4948600955250895</v>
      </c>
    </row>
    <row r="259" spans="29:41">
      <c r="AC259" s="192" t="s">
        <v>52</v>
      </c>
      <c r="AD259" s="192" t="s">
        <v>19</v>
      </c>
      <c r="AE259" s="192" t="s">
        <v>72</v>
      </c>
      <c r="AF259" s="192" t="s">
        <v>51</v>
      </c>
      <c r="AG259" s="192" t="s">
        <v>166</v>
      </c>
      <c r="AH259" s="192">
        <v>4.1468684016219548</v>
      </c>
      <c r="AJ259" s="192" t="s">
        <v>52</v>
      </c>
      <c r="AK259" s="192" t="s">
        <v>19</v>
      </c>
      <c r="AL259" s="192" t="s">
        <v>28</v>
      </c>
      <c r="AM259" s="192" t="s">
        <v>51</v>
      </c>
      <c r="AN259" s="192" t="s">
        <v>166</v>
      </c>
      <c r="AO259" s="192">
        <v>1.4715419878752252</v>
      </c>
    </row>
    <row r="260" spans="29:41">
      <c r="AC260" s="192" t="s">
        <v>52</v>
      </c>
      <c r="AD260" s="192" t="s">
        <v>19</v>
      </c>
      <c r="AE260" s="192" t="s">
        <v>72</v>
      </c>
      <c r="AF260" s="192" t="s">
        <v>51</v>
      </c>
      <c r="AG260" s="192" t="s">
        <v>167</v>
      </c>
      <c r="AH260" s="192">
        <v>4.0839866621698553</v>
      </c>
      <c r="AJ260" s="192" t="s">
        <v>52</v>
      </c>
      <c r="AK260" s="192" t="s">
        <v>19</v>
      </c>
      <c r="AL260" s="192" t="s">
        <v>28</v>
      </c>
      <c r="AM260" s="192" t="s">
        <v>51</v>
      </c>
      <c r="AN260" s="192" t="s">
        <v>167</v>
      </c>
      <c r="AO260" s="192">
        <v>1.4276990806405148</v>
      </c>
    </row>
    <row r="261" spans="29:41">
      <c r="AC261" s="192" t="s">
        <v>52</v>
      </c>
      <c r="AD261" s="192" t="s">
        <v>19</v>
      </c>
      <c r="AE261" s="192" t="s">
        <v>72</v>
      </c>
      <c r="AF261" s="192" t="s">
        <v>51</v>
      </c>
      <c r="AG261" s="192" t="s">
        <v>168</v>
      </c>
      <c r="AH261" s="192">
        <v>4.0839866621698553</v>
      </c>
      <c r="AJ261" s="192" t="s">
        <v>52</v>
      </c>
      <c r="AK261" s="192" t="s">
        <v>19</v>
      </c>
      <c r="AL261" s="192" t="s">
        <v>28</v>
      </c>
      <c r="AM261" s="192" t="s">
        <v>51</v>
      </c>
      <c r="AN261" s="192" t="s">
        <v>168</v>
      </c>
      <c r="AO261" s="192">
        <v>1.4544274444006151</v>
      </c>
    </row>
    <row r="262" spans="29:41">
      <c r="AC262" s="192" t="s">
        <v>52</v>
      </c>
      <c r="AD262" s="192" t="s">
        <v>19</v>
      </c>
      <c r="AE262" s="192" t="s">
        <v>72</v>
      </c>
      <c r="AF262" s="192" t="s">
        <v>51</v>
      </c>
      <c r="AG262" s="192" t="s">
        <v>169</v>
      </c>
      <c r="AH262" s="192">
        <v>4.0543796294704109</v>
      </c>
      <c r="AJ262" s="192" t="s">
        <v>52</v>
      </c>
      <c r="AK262" s="192" t="s">
        <v>19</v>
      </c>
      <c r="AL262" s="192" t="s">
        <v>28</v>
      </c>
      <c r="AM262" s="192" t="s">
        <v>51</v>
      </c>
      <c r="AN262" s="192" t="s">
        <v>169</v>
      </c>
      <c r="AO262" s="192">
        <v>1.4106457790517211</v>
      </c>
    </row>
    <row r="263" spans="29:41">
      <c r="AC263" s="192" t="s">
        <v>52</v>
      </c>
      <c r="AD263" s="192" t="s">
        <v>19</v>
      </c>
      <c r="AE263" s="192" t="s">
        <v>72</v>
      </c>
      <c r="AF263" s="192" t="s">
        <v>51</v>
      </c>
      <c r="AG263" s="192" t="s">
        <v>170</v>
      </c>
      <c r="AH263" s="192">
        <v>4.1164931032788781</v>
      </c>
      <c r="AJ263" s="192" t="s">
        <v>52</v>
      </c>
      <c r="AK263" s="192" t="s">
        <v>19</v>
      </c>
      <c r="AL263" s="192" t="s">
        <v>28</v>
      </c>
      <c r="AM263" s="192" t="s">
        <v>51</v>
      </c>
      <c r="AN263" s="192" t="s">
        <v>170</v>
      </c>
      <c r="AO263" s="192">
        <v>1.4173516486483277</v>
      </c>
    </row>
    <row r="264" spans="29:41">
      <c r="AC264" s="192" t="s">
        <v>52</v>
      </c>
      <c r="AD264" s="192" t="s">
        <v>19</v>
      </c>
      <c r="AE264" s="192" t="s">
        <v>72</v>
      </c>
      <c r="AF264" s="192" t="s">
        <v>51</v>
      </c>
      <c r="AG264" s="192" t="s">
        <v>171</v>
      </c>
      <c r="AH264" s="192">
        <v>4.2722196725487462</v>
      </c>
      <c r="AJ264" s="192" t="s">
        <v>52</v>
      </c>
      <c r="AK264" s="192" t="s">
        <v>19</v>
      </c>
      <c r="AL264" s="192" t="s">
        <v>28</v>
      </c>
      <c r="AM264" s="192" t="s">
        <v>51</v>
      </c>
      <c r="AN264" s="192" t="s">
        <v>171</v>
      </c>
      <c r="AO264" s="192">
        <v>1.5254738009914262</v>
      </c>
    </row>
    <row r="265" spans="29:41">
      <c r="AC265" s="192" t="s">
        <v>52</v>
      </c>
      <c r="AD265" s="192" t="s">
        <v>19</v>
      </c>
      <c r="AE265" s="192" t="s">
        <v>72</v>
      </c>
      <c r="AF265" s="192" t="s">
        <v>51</v>
      </c>
      <c r="AG265" s="192" t="s">
        <v>172</v>
      </c>
      <c r="AH265" s="192">
        <v>4.2722196725487462</v>
      </c>
      <c r="AJ265" s="192" t="s">
        <v>52</v>
      </c>
      <c r="AK265" s="192" t="s">
        <v>19</v>
      </c>
      <c r="AL265" s="192" t="s">
        <v>28</v>
      </c>
      <c r="AM265" s="192" t="s">
        <v>51</v>
      </c>
      <c r="AN265" s="192" t="s">
        <v>172</v>
      </c>
      <c r="AO265" s="192">
        <v>1.524204949581796</v>
      </c>
    </row>
    <row r="266" spans="29:41">
      <c r="AC266" s="192" t="s">
        <v>52</v>
      </c>
      <c r="AD266" s="192" t="s">
        <v>19</v>
      </c>
      <c r="AE266" s="192" t="s">
        <v>72</v>
      </c>
      <c r="AF266" s="192" t="s">
        <v>51</v>
      </c>
      <c r="AG266" s="192" t="s">
        <v>173</v>
      </c>
      <c r="AH266" s="192">
        <v>4.2429503753802189</v>
      </c>
      <c r="AJ266" s="192" t="s">
        <v>52</v>
      </c>
      <c r="AK266" s="192" t="s">
        <v>19</v>
      </c>
      <c r="AL266" s="192" t="s">
        <v>28</v>
      </c>
      <c r="AM266" s="192" t="s">
        <v>51</v>
      </c>
      <c r="AN266" s="192" t="s">
        <v>173</v>
      </c>
      <c r="AO266" s="192">
        <v>1.4365404683160585</v>
      </c>
    </row>
    <row r="267" spans="29:41">
      <c r="AC267" s="192" t="s">
        <v>52</v>
      </c>
      <c r="AD267" s="192" t="s">
        <v>19</v>
      </c>
      <c r="AE267" s="192" t="s">
        <v>72</v>
      </c>
      <c r="AF267" s="192" t="s">
        <v>51</v>
      </c>
      <c r="AG267" s="192" t="s">
        <v>174</v>
      </c>
      <c r="AH267" s="192">
        <v>4.2722152605049795</v>
      </c>
      <c r="AJ267" s="192" t="s">
        <v>52</v>
      </c>
      <c r="AK267" s="192" t="s">
        <v>19</v>
      </c>
      <c r="AL267" s="192" t="s">
        <v>28</v>
      </c>
      <c r="AM267" s="192" t="s">
        <v>51</v>
      </c>
      <c r="AN267" s="192" t="s">
        <v>174</v>
      </c>
      <c r="AO267" s="192">
        <v>1.4305392548903291</v>
      </c>
    </row>
    <row r="268" spans="29:41">
      <c r="AC268" s="192" t="s">
        <v>52</v>
      </c>
      <c r="AD268" s="192" t="s">
        <v>19</v>
      </c>
      <c r="AE268" s="192" t="s">
        <v>72</v>
      </c>
      <c r="AF268" s="192" t="s">
        <v>51</v>
      </c>
      <c r="AG268" s="192" t="s">
        <v>175</v>
      </c>
      <c r="AH268" s="192">
        <v>4.3364393474588088</v>
      </c>
      <c r="AJ268" s="192" t="s">
        <v>52</v>
      </c>
      <c r="AK268" s="192" t="s">
        <v>19</v>
      </c>
      <c r="AL268" s="192" t="s">
        <v>28</v>
      </c>
      <c r="AM268" s="192" t="s">
        <v>51</v>
      </c>
      <c r="AN268" s="192" t="s">
        <v>175</v>
      </c>
      <c r="AO268" s="192">
        <v>1.4607908720241185</v>
      </c>
    </row>
    <row r="269" spans="29:41">
      <c r="AC269" s="192" t="s">
        <v>52</v>
      </c>
      <c r="AD269" s="192" t="s">
        <v>19</v>
      </c>
      <c r="AE269" s="192" t="s">
        <v>72</v>
      </c>
      <c r="AF269" s="192" t="s">
        <v>51</v>
      </c>
      <c r="AG269" s="192" t="s">
        <v>176</v>
      </c>
      <c r="AH269" s="192">
        <v>4.2955298466319416</v>
      </c>
      <c r="AJ269" s="192" t="s">
        <v>52</v>
      </c>
      <c r="AK269" s="192" t="s">
        <v>19</v>
      </c>
      <c r="AL269" s="192" t="s">
        <v>28</v>
      </c>
      <c r="AM269" s="192" t="s">
        <v>51</v>
      </c>
      <c r="AN269" s="192" t="s">
        <v>176</v>
      </c>
      <c r="AO269" s="192">
        <v>1.3762246496753616</v>
      </c>
    </row>
    <row r="270" spans="29:41">
      <c r="AC270" s="192" t="s">
        <v>52</v>
      </c>
      <c r="AD270" s="192" t="s">
        <v>19</v>
      </c>
      <c r="AE270" s="192" t="s">
        <v>72</v>
      </c>
      <c r="AF270" s="192" t="s">
        <v>51</v>
      </c>
      <c r="AG270" s="192" t="s">
        <v>177</v>
      </c>
      <c r="AH270" s="192">
        <v>4.3247184562130432</v>
      </c>
      <c r="AJ270" s="192" t="s">
        <v>52</v>
      </c>
      <c r="AK270" s="192" t="s">
        <v>19</v>
      </c>
      <c r="AL270" s="192" t="s">
        <v>28</v>
      </c>
      <c r="AM270" s="192" t="s">
        <v>51</v>
      </c>
      <c r="AN270" s="192" t="s">
        <v>177</v>
      </c>
      <c r="AO270" s="192">
        <v>1.4629404881689234</v>
      </c>
    </row>
    <row r="271" spans="29:41">
      <c r="AC271" s="192" t="s">
        <v>52</v>
      </c>
      <c r="AD271" s="192" t="s">
        <v>19</v>
      </c>
      <c r="AE271" s="192" t="s">
        <v>72</v>
      </c>
      <c r="AF271" s="192" t="s">
        <v>51</v>
      </c>
      <c r="AG271" s="192" t="s">
        <v>178</v>
      </c>
      <c r="AH271" s="192">
        <v>4.2722196725487462</v>
      </c>
      <c r="AJ271" s="192" t="s">
        <v>52</v>
      </c>
      <c r="AK271" s="192" t="s">
        <v>19</v>
      </c>
      <c r="AL271" s="192" t="s">
        <v>28</v>
      </c>
      <c r="AM271" s="192" t="s">
        <v>51</v>
      </c>
      <c r="AN271" s="192" t="s">
        <v>178</v>
      </c>
      <c r="AO271" s="192">
        <v>1.462111979295476</v>
      </c>
    </row>
    <row r="272" spans="29:41">
      <c r="AC272" s="192" t="s">
        <v>52</v>
      </c>
      <c r="AD272" s="192" t="s">
        <v>19</v>
      </c>
      <c r="AE272" s="192" t="s">
        <v>72</v>
      </c>
      <c r="AF272" s="192" t="s">
        <v>51</v>
      </c>
      <c r="AG272" s="192" t="s">
        <v>179</v>
      </c>
      <c r="AH272" s="192">
        <v>4.3247184562130432</v>
      </c>
      <c r="AJ272" s="192" t="s">
        <v>52</v>
      </c>
      <c r="AK272" s="192" t="s">
        <v>19</v>
      </c>
      <c r="AL272" s="192" t="s">
        <v>28</v>
      </c>
      <c r="AM272" s="192" t="s">
        <v>51</v>
      </c>
      <c r="AN272" s="192" t="s">
        <v>179</v>
      </c>
      <c r="AO272" s="192">
        <v>1.4047368657845636</v>
      </c>
    </row>
    <row r="273" spans="29:41">
      <c r="AC273" s="192" t="s">
        <v>52</v>
      </c>
      <c r="AD273" s="192" t="s">
        <v>19</v>
      </c>
      <c r="AE273" s="192" t="s">
        <v>72</v>
      </c>
      <c r="AF273" s="192" t="s">
        <v>51</v>
      </c>
      <c r="AG273" s="192" t="s">
        <v>180</v>
      </c>
      <c r="AH273" s="192">
        <v>4.356765969784167</v>
      </c>
      <c r="AJ273" s="192" t="s">
        <v>52</v>
      </c>
      <c r="AK273" s="192" t="s">
        <v>19</v>
      </c>
      <c r="AL273" s="192" t="s">
        <v>28</v>
      </c>
      <c r="AM273" s="192" t="s">
        <v>51</v>
      </c>
      <c r="AN273" s="192" t="s">
        <v>180</v>
      </c>
      <c r="AO273" s="192">
        <v>1.4204762246717666</v>
      </c>
    </row>
    <row r="274" spans="29:41">
      <c r="AC274" s="192" t="s">
        <v>52</v>
      </c>
      <c r="AD274" s="192" t="s">
        <v>19</v>
      </c>
      <c r="AE274" s="192" t="s">
        <v>72</v>
      </c>
      <c r="AF274" s="192" t="s">
        <v>51</v>
      </c>
      <c r="AG274" s="192" t="s">
        <v>181</v>
      </c>
      <c r="AH274" s="192">
        <v>4.3247184562130432</v>
      </c>
      <c r="AJ274" s="192" t="s">
        <v>52</v>
      </c>
      <c r="AK274" s="192" t="s">
        <v>19</v>
      </c>
      <c r="AL274" s="192" t="s">
        <v>28</v>
      </c>
      <c r="AM274" s="192" t="s">
        <v>51</v>
      </c>
      <c r="AN274" s="192" t="s">
        <v>181</v>
      </c>
      <c r="AO274" s="192">
        <v>1.3661091909397234</v>
      </c>
    </row>
    <row r="275" spans="29:41">
      <c r="AC275" s="192" t="s">
        <v>52</v>
      </c>
      <c r="AD275" s="192" t="s">
        <v>19</v>
      </c>
      <c r="AE275" s="192" t="s">
        <v>72</v>
      </c>
      <c r="AF275" s="192" t="s">
        <v>51</v>
      </c>
      <c r="AG275" s="192" t="s">
        <v>182</v>
      </c>
      <c r="AH275" s="192">
        <v>4.356765969784167</v>
      </c>
      <c r="AJ275" s="192" t="s">
        <v>52</v>
      </c>
      <c r="AK275" s="192" t="s">
        <v>19</v>
      </c>
      <c r="AL275" s="192" t="s">
        <v>28</v>
      </c>
      <c r="AM275" s="192" t="s">
        <v>51</v>
      </c>
      <c r="AN275" s="192" t="s">
        <v>182</v>
      </c>
      <c r="AO275" s="192">
        <v>1.4498754209908069</v>
      </c>
    </row>
    <row r="276" spans="29:41">
      <c r="AC276" s="192" t="s">
        <v>52</v>
      </c>
      <c r="AD276" s="192" t="s">
        <v>19</v>
      </c>
      <c r="AE276" s="192" t="s">
        <v>72</v>
      </c>
      <c r="AF276" s="192" t="s">
        <v>51</v>
      </c>
      <c r="AG276" s="192" t="s">
        <v>183</v>
      </c>
      <c r="AH276" s="192">
        <v>4.3364393474588088</v>
      </c>
      <c r="AJ276" s="192" t="s">
        <v>52</v>
      </c>
      <c r="AK276" s="192" t="s">
        <v>19</v>
      </c>
      <c r="AL276" s="192" t="s">
        <v>28</v>
      </c>
      <c r="AM276" s="192" t="s">
        <v>51</v>
      </c>
      <c r="AN276" s="192" t="s">
        <v>183</v>
      </c>
      <c r="AO276" s="192">
        <v>1.5101226484185784</v>
      </c>
    </row>
    <row r="277" spans="29:41">
      <c r="AC277" s="192" t="s">
        <v>52</v>
      </c>
      <c r="AD277" s="192" t="s">
        <v>19</v>
      </c>
      <c r="AE277" s="192" t="s">
        <v>72</v>
      </c>
      <c r="AF277" s="192" t="s">
        <v>51</v>
      </c>
      <c r="AG277" s="192" t="s">
        <v>184</v>
      </c>
      <c r="AH277" s="192">
        <v>4.3655488616966043</v>
      </c>
      <c r="AJ277" s="192" t="s">
        <v>52</v>
      </c>
      <c r="AK277" s="192" t="s">
        <v>19</v>
      </c>
      <c r="AL277" s="192" t="s">
        <v>28</v>
      </c>
      <c r="AM277" s="192" t="s">
        <v>51</v>
      </c>
      <c r="AN277" s="192" t="s">
        <v>184</v>
      </c>
      <c r="AO277" s="192">
        <v>1.4758689309019548</v>
      </c>
    </row>
    <row r="278" spans="29:41">
      <c r="AC278" s="192" t="s">
        <v>52</v>
      </c>
      <c r="AD278" s="192" t="s">
        <v>19</v>
      </c>
      <c r="AE278" s="192" t="s">
        <v>72</v>
      </c>
      <c r="AF278" s="192" t="s">
        <v>51</v>
      </c>
      <c r="AG278" s="192" t="s">
        <v>185</v>
      </c>
      <c r="AH278" s="192">
        <v>4.356765969784167</v>
      </c>
      <c r="AJ278" s="192" t="s">
        <v>52</v>
      </c>
      <c r="AK278" s="192" t="s">
        <v>19</v>
      </c>
      <c r="AL278" s="192" t="s">
        <v>28</v>
      </c>
      <c r="AM278" s="192" t="s">
        <v>51</v>
      </c>
      <c r="AN278" s="192" t="s">
        <v>185</v>
      </c>
      <c r="AO278" s="192">
        <v>1.4353176144054771</v>
      </c>
    </row>
    <row r="279" spans="29:41">
      <c r="AC279" s="192" t="s">
        <v>52</v>
      </c>
      <c r="AD279" s="192" t="s">
        <v>19</v>
      </c>
      <c r="AE279" s="192" t="s">
        <v>72</v>
      </c>
      <c r="AF279" s="192" t="s">
        <v>51</v>
      </c>
      <c r="AG279" s="192" t="s">
        <v>186</v>
      </c>
      <c r="AH279" s="192">
        <v>4.3247184562130432</v>
      </c>
      <c r="AJ279" s="192" t="s">
        <v>52</v>
      </c>
      <c r="AK279" s="192" t="s">
        <v>19</v>
      </c>
      <c r="AL279" s="192" t="s">
        <v>28</v>
      </c>
      <c r="AM279" s="192" t="s">
        <v>51</v>
      </c>
      <c r="AN279" s="192" t="s">
        <v>186</v>
      </c>
      <c r="AO279" s="192">
        <v>1.4144561297019835</v>
      </c>
    </row>
    <row r="280" spans="29:41">
      <c r="AC280" s="192" t="s">
        <v>52</v>
      </c>
      <c r="AD280" s="192" t="s">
        <v>19</v>
      </c>
      <c r="AE280" s="192" t="s">
        <v>72</v>
      </c>
      <c r="AF280" s="192" t="s">
        <v>51</v>
      </c>
      <c r="AG280" s="192" t="s">
        <v>187</v>
      </c>
      <c r="AH280" s="192">
        <v>4.3247184562130432</v>
      </c>
      <c r="AJ280" s="192" t="s">
        <v>52</v>
      </c>
      <c r="AK280" s="192" t="s">
        <v>19</v>
      </c>
      <c r="AL280" s="192" t="s">
        <v>28</v>
      </c>
      <c r="AM280" s="192" t="s">
        <v>51</v>
      </c>
      <c r="AN280" s="192" t="s">
        <v>187</v>
      </c>
      <c r="AO280" s="192">
        <v>1.4647424126284332</v>
      </c>
    </row>
    <row r="281" spans="29:41">
      <c r="AC281" s="192" t="s">
        <v>52</v>
      </c>
      <c r="AD281" s="192" t="s">
        <v>19</v>
      </c>
      <c r="AE281" s="192" t="s">
        <v>72</v>
      </c>
      <c r="AF281" s="192" t="s">
        <v>51</v>
      </c>
      <c r="AG281" s="192" t="s">
        <v>188</v>
      </c>
      <c r="AH281" s="192">
        <v>4.3655488616966043</v>
      </c>
      <c r="AJ281" s="192" t="s">
        <v>52</v>
      </c>
      <c r="AK281" s="192" t="s">
        <v>19</v>
      </c>
      <c r="AL281" s="192" t="s">
        <v>28</v>
      </c>
      <c r="AM281" s="192" t="s">
        <v>51</v>
      </c>
      <c r="AN281" s="192" t="s">
        <v>188</v>
      </c>
      <c r="AO281" s="192">
        <v>1.4740278458662346</v>
      </c>
    </row>
    <row r="282" spans="29:41">
      <c r="AC282" s="192" t="s">
        <v>52</v>
      </c>
      <c r="AD282" s="192" t="s">
        <v>19</v>
      </c>
      <c r="AE282" s="192" t="s">
        <v>72</v>
      </c>
      <c r="AF282" s="192" t="s">
        <v>51</v>
      </c>
      <c r="AG282" s="192" t="s">
        <v>189</v>
      </c>
      <c r="AH282" s="192">
        <v>4.3975094107446839</v>
      </c>
      <c r="AJ282" s="192" t="s">
        <v>52</v>
      </c>
      <c r="AK282" s="192" t="s">
        <v>19</v>
      </c>
      <c r="AL282" s="192" t="s">
        <v>28</v>
      </c>
      <c r="AM282" s="192" t="s">
        <v>51</v>
      </c>
      <c r="AN282" s="192" t="s">
        <v>189</v>
      </c>
      <c r="AO282" s="192">
        <v>1.5474389721311044</v>
      </c>
    </row>
    <row r="283" spans="29:41">
      <c r="AC283" s="192" t="s">
        <v>52</v>
      </c>
      <c r="AD283" s="192" t="s">
        <v>19</v>
      </c>
      <c r="AE283" s="192" t="s">
        <v>72</v>
      </c>
      <c r="AF283" s="192" t="s">
        <v>51</v>
      </c>
      <c r="AG283" s="192" t="s">
        <v>190</v>
      </c>
      <c r="AH283" s="192">
        <v>4.3364393474588088</v>
      </c>
      <c r="AJ283" s="192" t="s">
        <v>52</v>
      </c>
      <c r="AK283" s="192" t="s">
        <v>19</v>
      </c>
      <c r="AL283" s="192" t="s">
        <v>28</v>
      </c>
      <c r="AM283" s="192" t="s">
        <v>51</v>
      </c>
      <c r="AN283" s="192" t="s">
        <v>190</v>
      </c>
      <c r="AO283" s="192">
        <v>1.4903728139659185</v>
      </c>
    </row>
    <row r="284" spans="29:41">
      <c r="AC284" s="192" t="s">
        <v>52</v>
      </c>
      <c r="AD284" s="192" t="s">
        <v>19</v>
      </c>
      <c r="AE284" s="192" t="s">
        <v>72</v>
      </c>
      <c r="AF284" s="192" t="s">
        <v>51</v>
      </c>
      <c r="AG284" s="192" t="s">
        <v>191</v>
      </c>
      <c r="AH284" s="192">
        <v>4.3364393474588088</v>
      </c>
      <c r="AJ284" s="192" t="s">
        <v>52</v>
      </c>
      <c r="AK284" s="192" t="s">
        <v>19</v>
      </c>
      <c r="AL284" s="192" t="s">
        <v>28</v>
      </c>
      <c r="AM284" s="192" t="s">
        <v>51</v>
      </c>
      <c r="AN284" s="192" t="s">
        <v>191</v>
      </c>
      <c r="AO284" s="192">
        <v>1.4950721322413687</v>
      </c>
    </row>
    <row r="285" spans="29:41">
      <c r="AC285" s="192" t="s">
        <v>52</v>
      </c>
      <c r="AD285" s="192" t="s">
        <v>19</v>
      </c>
      <c r="AE285" s="192" t="s">
        <v>72</v>
      </c>
      <c r="AF285" s="192" t="s">
        <v>51</v>
      </c>
      <c r="AG285" s="192" t="s">
        <v>192</v>
      </c>
      <c r="AH285" s="192">
        <v>4.3043588303271259</v>
      </c>
      <c r="AJ285" s="192" t="s">
        <v>52</v>
      </c>
      <c r="AK285" s="192" t="s">
        <v>19</v>
      </c>
      <c r="AL285" s="192" t="s">
        <v>28</v>
      </c>
      <c r="AM285" s="192" t="s">
        <v>51</v>
      </c>
      <c r="AN285" s="192" t="s">
        <v>192</v>
      </c>
      <c r="AO285" s="192">
        <v>1.4917998878905758</v>
      </c>
    </row>
    <row r="286" spans="29:41">
      <c r="AC286" s="192" t="s">
        <v>52</v>
      </c>
      <c r="AD286" s="192" t="s">
        <v>19</v>
      </c>
      <c r="AE286" s="192" t="s">
        <v>72</v>
      </c>
      <c r="AF286" s="192" t="s">
        <v>51</v>
      </c>
      <c r="AG286" s="192" t="s">
        <v>193</v>
      </c>
      <c r="AH286" s="192">
        <v>4.4177736793579685</v>
      </c>
      <c r="AJ286" s="192" t="s">
        <v>52</v>
      </c>
      <c r="AK286" s="192" t="s">
        <v>19</v>
      </c>
      <c r="AL286" s="192" t="s">
        <v>28</v>
      </c>
      <c r="AM286" s="192" t="s">
        <v>51</v>
      </c>
      <c r="AN286" s="192" t="s">
        <v>193</v>
      </c>
      <c r="AO286" s="192">
        <v>1.5304654078377482</v>
      </c>
    </row>
    <row r="287" spans="29:41">
      <c r="AC287" s="192" t="s">
        <v>52</v>
      </c>
      <c r="AD287" s="192" t="s">
        <v>19</v>
      </c>
      <c r="AE287" s="192" t="s">
        <v>72</v>
      </c>
      <c r="AF287" s="192" t="s">
        <v>51</v>
      </c>
      <c r="AG287" s="192" t="s">
        <v>194</v>
      </c>
      <c r="AH287" s="192">
        <v>4.4177736793579685</v>
      </c>
      <c r="AJ287" s="192" t="s">
        <v>52</v>
      </c>
      <c r="AK287" s="192" t="s">
        <v>19</v>
      </c>
      <c r="AL287" s="192" t="s">
        <v>28</v>
      </c>
      <c r="AM287" s="192" t="s">
        <v>51</v>
      </c>
      <c r="AN287" s="192" t="s">
        <v>194</v>
      </c>
      <c r="AO287" s="192">
        <v>1.456538551931688</v>
      </c>
    </row>
    <row r="288" spans="29:41">
      <c r="AC288" s="192" t="s">
        <v>52</v>
      </c>
      <c r="AD288" s="192" t="s">
        <v>19</v>
      </c>
      <c r="AE288" s="192" t="s">
        <v>72</v>
      </c>
      <c r="AF288" s="192" t="s">
        <v>51</v>
      </c>
      <c r="AG288" s="192" t="s">
        <v>195</v>
      </c>
      <c r="AH288" s="192">
        <v>4.5215920109797576</v>
      </c>
      <c r="AJ288" s="192" t="s">
        <v>52</v>
      </c>
      <c r="AK288" s="192" t="s">
        <v>19</v>
      </c>
      <c r="AL288" s="192" t="s">
        <v>28</v>
      </c>
      <c r="AM288" s="192" t="s">
        <v>51</v>
      </c>
      <c r="AN288" s="192" t="s">
        <v>195</v>
      </c>
      <c r="AO288" s="192">
        <v>1.4471775794060073</v>
      </c>
    </row>
    <row r="289" spans="29:41">
      <c r="AC289" s="192" t="s">
        <v>52</v>
      </c>
      <c r="AD289" s="192" t="s">
        <v>19</v>
      </c>
      <c r="AE289" s="192" t="s">
        <v>72</v>
      </c>
      <c r="AF289" s="192" t="s">
        <v>51</v>
      </c>
      <c r="AG289" s="192" t="s">
        <v>196</v>
      </c>
      <c r="AH289" s="192">
        <v>4.51007164418104</v>
      </c>
      <c r="AJ289" s="192" t="s">
        <v>52</v>
      </c>
      <c r="AK289" s="192" t="s">
        <v>19</v>
      </c>
      <c r="AL289" s="192" t="s">
        <v>28</v>
      </c>
      <c r="AM289" s="192" t="s">
        <v>51</v>
      </c>
      <c r="AN289" s="192" t="s">
        <v>196</v>
      </c>
      <c r="AO289" s="192">
        <v>1.4843967805660399</v>
      </c>
    </row>
    <row r="290" spans="29:41">
      <c r="AC290" s="192" t="s">
        <v>52</v>
      </c>
      <c r="AD290" s="192" t="s">
        <v>19</v>
      </c>
      <c r="AE290" s="192" t="s">
        <v>72</v>
      </c>
      <c r="AF290" s="192" t="s">
        <v>51</v>
      </c>
      <c r="AG290" s="192" t="s">
        <v>197</v>
      </c>
      <c r="AH290" s="192">
        <v>4.5733883757567257</v>
      </c>
      <c r="AJ290" s="192" t="s">
        <v>52</v>
      </c>
      <c r="AK290" s="192" t="s">
        <v>19</v>
      </c>
      <c r="AL290" s="192" t="s">
        <v>28</v>
      </c>
      <c r="AM290" s="192" t="s">
        <v>51</v>
      </c>
      <c r="AN290" s="192" t="s">
        <v>197</v>
      </c>
      <c r="AO290" s="192">
        <v>1.4548494506448555</v>
      </c>
    </row>
    <row r="291" spans="29:41">
      <c r="AC291" s="192" t="s">
        <v>52</v>
      </c>
      <c r="AD291" s="192" t="s">
        <v>19</v>
      </c>
      <c r="AE291" s="192" t="s">
        <v>72</v>
      </c>
      <c r="AF291" s="192" t="s">
        <v>51</v>
      </c>
      <c r="AG291" s="192" t="s">
        <v>198</v>
      </c>
      <c r="AH291" s="192">
        <v>4.5733883757567257</v>
      </c>
      <c r="AJ291" s="192" t="s">
        <v>52</v>
      </c>
      <c r="AK291" s="192" t="s">
        <v>19</v>
      </c>
      <c r="AL291" s="192" t="s">
        <v>28</v>
      </c>
      <c r="AM291" s="192" t="s">
        <v>51</v>
      </c>
      <c r="AN291" s="192" t="s">
        <v>198</v>
      </c>
      <c r="AO291" s="192">
        <v>1.4881603042196454</v>
      </c>
    </row>
    <row r="292" spans="29:41">
      <c r="AC292" s="192" t="s">
        <v>52</v>
      </c>
      <c r="AD292" s="192" t="s">
        <v>19</v>
      </c>
      <c r="AE292" s="192" t="s">
        <v>72</v>
      </c>
      <c r="AF292" s="192" t="s">
        <v>51</v>
      </c>
      <c r="AG292" s="192" t="s">
        <v>199</v>
      </c>
      <c r="AH292" s="192">
        <v>4.5733883757567257</v>
      </c>
      <c r="AJ292" s="192" t="s">
        <v>52</v>
      </c>
      <c r="AK292" s="192" t="s">
        <v>19</v>
      </c>
      <c r="AL292" s="192" t="s">
        <v>28</v>
      </c>
      <c r="AM292" s="192" t="s">
        <v>51</v>
      </c>
      <c r="AN292" s="192" t="s">
        <v>199</v>
      </c>
      <c r="AO292" s="192">
        <v>1.4440887961320856</v>
      </c>
    </row>
    <row r="293" spans="29:41">
      <c r="AC293" s="192" t="s">
        <v>52</v>
      </c>
      <c r="AD293" s="192" t="s">
        <v>19</v>
      </c>
      <c r="AE293" s="192" t="s">
        <v>72</v>
      </c>
      <c r="AF293" s="192" t="s">
        <v>51</v>
      </c>
      <c r="AG293" s="192" t="s">
        <v>200</v>
      </c>
      <c r="AH293" s="192">
        <v>4.58487342616412</v>
      </c>
      <c r="AJ293" s="192" t="s">
        <v>52</v>
      </c>
      <c r="AK293" s="192" t="s">
        <v>19</v>
      </c>
      <c r="AL293" s="192" t="s">
        <v>28</v>
      </c>
      <c r="AM293" s="192" t="s">
        <v>51</v>
      </c>
      <c r="AN293" s="192" t="s">
        <v>200</v>
      </c>
      <c r="AO293" s="192">
        <v>1.4075287501712803</v>
      </c>
    </row>
    <row r="294" spans="29:41">
      <c r="AC294" s="192" t="s">
        <v>52</v>
      </c>
      <c r="AD294" s="192" t="s">
        <v>19</v>
      </c>
      <c r="AE294" s="192" t="s">
        <v>72</v>
      </c>
      <c r="AF294" s="192" t="s">
        <v>51</v>
      </c>
      <c r="AG294" s="192" t="s">
        <v>201</v>
      </c>
      <c r="AH294" s="192">
        <v>4.5733883757567257</v>
      </c>
      <c r="AJ294" s="192" t="s">
        <v>52</v>
      </c>
      <c r="AK294" s="192" t="s">
        <v>19</v>
      </c>
      <c r="AL294" s="192" t="s">
        <v>28</v>
      </c>
      <c r="AM294" s="192" t="s">
        <v>51</v>
      </c>
      <c r="AN294" s="192" t="s">
        <v>201</v>
      </c>
      <c r="AO294" s="192">
        <v>1.4972730625516655</v>
      </c>
    </row>
    <row r="295" spans="29:41">
      <c r="AC295" s="192" t="s">
        <v>52</v>
      </c>
      <c r="AD295" s="192" t="s">
        <v>19</v>
      </c>
      <c r="AE295" s="192" t="s">
        <v>72</v>
      </c>
      <c r="AF295" s="192" t="s">
        <v>51</v>
      </c>
      <c r="AG295" s="192" t="s">
        <v>202</v>
      </c>
      <c r="AH295" s="192">
        <v>4.5417608906253868</v>
      </c>
      <c r="AJ295" s="192" t="s">
        <v>52</v>
      </c>
      <c r="AK295" s="192" t="s">
        <v>19</v>
      </c>
      <c r="AL295" s="192" t="s">
        <v>28</v>
      </c>
      <c r="AM295" s="192" t="s">
        <v>51</v>
      </c>
      <c r="AN295" s="192" t="s">
        <v>202</v>
      </c>
      <c r="AO295" s="192">
        <v>1.4498207626518271</v>
      </c>
    </row>
    <row r="296" spans="29:41">
      <c r="AC296" s="192" t="s">
        <v>52</v>
      </c>
      <c r="AD296" s="192" t="s">
        <v>19</v>
      </c>
      <c r="AE296" s="192" t="s">
        <v>72</v>
      </c>
      <c r="AF296" s="192" t="s">
        <v>51</v>
      </c>
      <c r="AG296" s="192" t="s">
        <v>203</v>
      </c>
      <c r="AH296" s="192">
        <v>4.51007164418104</v>
      </c>
      <c r="AJ296" s="192" t="s">
        <v>52</v>
      </c>
      <c r="AK296" s="192" t="s">
        <v>19</v>
      </c>
      <c r="AL296" s="192" t="s">
        <v>28</v>
      </c>
      <c r="AM296" s="192" t="s">
        <v>51</v>
      </c>
      <c r="AN296" s="192" t="s">
        <v>203</v>
      </c>
      <c r="AO296" s="192">
        <v>1.4252231382307401</v>
      </c>
    </row>
    <row r="297" spans="29:41">
      <c r="AC297" s="192" t="s">
        <v>52</v>
      </c>
      <c r="AD297" s="192" t="s">
        <v>19</v>
      </c>
      <c r="AE297" s="192" t="s">
        <v>72</v>
      </c>
      <c r="AF297" s="192" t="s">
        <v>51</v>
      </c>
      <c r="AG297" s="192" t="s">
        <v>204</v>
      </c>
      <c r="AH297" s="192">
        <v>4.5417608906253868</v>
      </c>
      <c r="AJ297" s="192" t="s">
        <v>52</v>
      </c>
      <c r="AK297" s="192" t="s">
        <v>19</v>
      </c>
      <c r="AL297" s="192" t="s">
        <v>28</v>
      </c>
      <c r="AM297" s="192" t="s">
        <v>51</v>
      </c>
      <c r="AN297" s="192" t="s">
        <v>204</v>
      </c>
      <c r="AO297" s="192">
        <v>1.4880206003686269</v>
      </c>
    </row>
    <row r="298" spans="29:41">
      <c r="AC298" s="192" t="s">
        <v>52</v>
      </c>
      <c r="AD298" s="192" t="s">
        <v>19</v>
      </c>
      <c r="AE298" s="192" t="s">
        <v>72</v>
      </c>
      <c r="AF298" s="192" t="s">
        <v>51</v>
      </c>
      <c r="AG298" s="192" t="s">
        <v>205</v>
      </c>
      <c r="AH298" s="192">
        <v>4.5417608906253868</v>
      </c>
      <c r="AJ298" s="192" t="s">
        <v>52</v>
      </c>
      <c r="AK298" s="192" t="s">
        <v>19</v>
      </c>
      <c r="AL298" s="192" t="s">
        <v>28</v>
      </c>
      <c r="AM298" s="192" t="s">
        <v>51</v>
      </c>
      <c r="AN298" s="192" t="s">
        <v>205</v>
      </c>
      <c r="AO298" s="192">
        <v>1.5095993663904568</v>
      </c>
    </row>
    <row r="299" spans="29:41">
      <c r="AC299" s="192" t="s">
        <v>52</v>
      </c>
      <c r="AD299" s="192" t="s">
        <v>19</v>
      </c>
      <c r="AE299" s="192" t="s">
        <v>72</v>
      </c>
      <c r="AF299" s="192" t="s">
        <v>51</v>
      </c>
      <c r="AG299" s="192" t="s">
        <v>206</v>
      </c>
      <c r="AH299" s="192">
        <v>4.5131838688757515</v>
      </c>
      <c r="AJ299" s="192" t="s">
        <v>52</v>
      </c>
      <c r="AK299" s="192" t="s">
        <v>19</v>
      </c>
      <c r="AL299" s="192" t="s">
        <v>28</v>
      </c>
      <c r="AM299" s="192" t="s">
        <v>51</v>
      </c>
      <c r="AN299" s="192" t="s">
        <v>206</v>
      </c>
      <c r="AO299" s="192">
        <v>1.4663819561525822</v>
      </c>
    </row>
    <row r="300" spans="29:41">
      <c r="AC300" s="192" t="s">
        <v>52</v>
      </c>
      <c r="AD300" s="192" t="s">
        <v>19</v>
      </c>
      <c r="AE300" s="192" t="s">
        <v>72</v>
      </c>
      <c r="AF300" s="192" t="s">
        <v>51</v>
      </c>
      <c r="AG300" s="192" t="s">
        <v>207</v>
      </c>
      <c r="AH300" s="192">
        <v>4.449639278675031</v>
      </c>
      <c r="AJ300" s="192" t="s">
        <v>52</v>
      </c>
      <c r="AK300" s="192" t="s">
        <v>19</v>
      </c>
      <c r="AL300" s="192" t="s">
        <v>28</v>
      </c>
      <c r="AM300" s="192" t="s">
        <v>51</v>
      </c>
      <c r="AN300" s="192" t="s">
        <v>207</v>
      </c>
      <c r="AO300" s="192">
        <v>1.467421874783301</v>
      </c>
    </row>
    <row r="301" spans="29:41">
      <c r="AC301" s="192" t="s">
        <v>52</v>
      </c>
      <c r="AD301" s="192" t="s">
        <v>19</v>
      </c>
      <c r="AE301" s="192" t="s">
        <v>72</v>
      </c>
      <c r="AF301" s="192" t="s">
        <v>51</v>
      </c>
      <c r="AG301" s="192" t="s">
        <v>208</v>
      </c>
      <c r="AH301" s="192">
        <v>4.4783204935797372</v>
      </c>
      <c r="AJ301" s="192" t="s">
        <v>52</v>
      </c>
      <c r="AK301" s="192" t="s">
        <v>19</v>
      </c>
      <c r="AL301" s="192" t="s">
        <v>28</v>
      </c>
      <c r="AM301" s="192" t="s">
        <v>51</v>
      </c>
      <c r="AN301" s="192" t="s">
        <v>208</v>
      </c>
      <c r="AO301" s="192">
        <v>1.4021636048641268</v>
      </c>
    </row>
    <row r="302" spans="29:41">
      <c r="AC302" s="192" t="s">
        <v>52</v>
      </c>
      <c r="AD302" s="192" t="s">
        <v>19</v>
      </c>
      <c r="AE302" s="192" t="s">
        <v>72</v>
      </c>
      <c r="AF302" s="192" t="s">
        <v>51</v>
      </c>
      <c r="AG302" s="192" t="s">
        <v>209</v>
      </c>
      <c r="AH302" s="192">
        <v>4.5215920109797576</v>
      </c>
      <c r="AJ302" s="192" t="s">
        <v>52</v>
      </c>
      <c r="AK302" s="192" t="s">
        <v>19</v>
      </c>
      <c r="AL302" s="192" t="s">
        <v>28</v>
      </c>
      <c r="AM302" s="192" t="s">
        <v>51</v>
      </c>
      <c r="AN302" s="192" t="s">
        <v>209</v>
      </c>
      <c r="AO302" s="192">
        <v>1.3996874898998775</v>
      </c>
    </row>
    <row r="303" spans="29:41">
      <c r="AC303" s="192" t="s">
        <v>52</v>
      </c>
      <c r="AD303" s="192" t="s">
        <v>19</v>
      </c>
      <c r="AE303" s="192" t="s">
        <v>72</v>
      </c>
      <c r="AF303" s="192" t="s">
        <v>51</v>
      </c>
      <c r="AG303" s="192" t="s">
        <v>210</v>
      </c>
      <c r="AH303" s="192">
        <v>4.5215920109797576</v>
      </c>
      <c r="AJ303" s="192" t="s">
        <v>52</v>
      </c>
      <c r="AK303" s="192" t="s">
        <v>19</v>
      </c>
      <c r="AL303" s="192" t="s">
        <v>28</v>
      </c>
      <c r="AM303" s="192" t="s">
        <v>51</v>
      </c>
      <c r="AN303" s="192" t="s">
        <v>210</v>
      </c>
      <c r="AO303" s="192">
        <v>1.430331400554647</v>
      </c>
    </row>
    <row r="304" spans="29:41">
      <c r="AC304" s="192" t="s">
        <v>52</v>
      </c>
      <c r="AD304" s="192" t="s">
        <v>19</v>
      </c>
      <c r="AE304" s="192" t="s">
        <v>72</v>
      </c>
      <c r="AF304" s="192" t="s">
        <v>51</v>
      </c>
      <c r="AG304" s="192" t="s">
        <v>211</v>
      </c>
      <c r="AH304" s="192">
        <v>4.5215920109797576</v>
      </c>
      <c r="AJ304" s="192" t="s">
        <v>52</v>
      </c>
      <c r="AK304" s="192" t="s">
        <v>19</v>
      </c>
      <c r="AL304" s="192" t="s">
        <v>28</v>
      </c>
      <c r="AM304" s="192" t="s">
        <v>51</v>
      </c>
      <c r="AN304" s="192" t="s">
        <v>211</v>
      </c>
      <c r="AO304" s="192">
        <v>1.4056997034252172</v>
      </c>
    </row>
    <row r="305" spans="29:41">
      <c r="AC305" s="192" t="s">
        <v>52</v>
      </c>
      <c r="AD305" s="192" t="s">
        <v>19</v>
      </c>
      <c r="AE305" s="192" t="s">
        <v>72</v>
      </c>
      <c r="AF305" s="192" t="s">
        <v>51</v>
      </c>
      <c r="AG305" s="192" t="s">
        <v>212</v>
      </c>
      <c r="AH305" s="192">
        <v>4.58487342616412</v>
      </c>
      <c r="AJ305" s="192" t="s">
        <v>52</v>
      </c>
      <c r="AK305" s="192" t="s">
        <v>19</v>
      </c>
      <c r="AL305" s="192" t="s">
        <v>28</v>
      </c>
      <c r="AM305" s="192" t="s">
        <v>51</v>
      </c>
      <c r="AN305" s="192" t="s">
        <v>212</v>
      </c>
      <c r="AO305" s="192">
        <v>1.3826046317307703</v>
      </c>
    </row>
    <row r="306" spans="29:41">
      <c r="AC306" s="192" t="s">
        <v>52</v>
      </c>
      <c r="AD306" s="192" t="s">
        <v>19</v>
      </c>
      <c r="AE306" s="192" t="s">
        <v>72</v>
      </c>
      <c r="AF306" s="192" t="s">
        <v>51</v>
      </c>
      <c r="AG306" s="192" t="s">
        <v>213</v>
      </c>
      <c r="AH306" s="192">
        <v>4.5215920109797576</v>
      </c>
      <c r="AJ306" s="192" t="s">
        <v>52</v>
      </c>
      <c r="AK306" s="192" t="s">
        <v>19</v>
      </c>
      <c r="AL306" s="192" t="s">
        <v>28</v>
      </c>
      <c r="AM306" s="192" t="s">
        <v>51</v>
      </c>
      <c r="AN306" s="192" t="s">
        <v>213</v>
      </c>
      <c r="AO306" s="192">
        <v>1.4364050910114474</v>
      </c>
    </row>
    <row r="307" spans="29:41">
      <c r="AC307" s="192" t="s">
        <v>52</v>
      </c>
      <c r="AD307" s="192" t="s">
        <v>19</v>
      </c>
      <c r="AE307" s="192" t="s">
        <v>72</v>
      </c>
      <c r="AF307" s="192" t="s">
        <v>51</v>
      </c>
      <c r="AG307" s="192" t="s">
        <v>98</v>
      </c>
      <c r="AH307" s="192">
        <v>4.5215920109797576</v>
      </c>
      <c r="AJ307" s="192" t="s">
        <v>52</v>
      </c>
      <c r="AK307" s="192" t="s">
        <v>19</v>
      </c>
      <c r="AL307" s="192" t="s">
        <v>28</v>
      </c>
      <c r="AM307" s="192" t="s">
        <v>51</v>
      </c>
      <c r="AN307" s="192" t="s">
        <v>98</v>
      </c>
      <c r="AO307" s="192">
        <v>1.4483115676875973</v>
      </c>
    </row>
    <row r="308" spans="29:41">
      <c r="AC308" s="192" t="s">
        <v>52</v>
      </c>
      <c r="AD308" s="192" t="s">
        <v>19</v>
      </c>
      <c r="AE308" s="192" t="s">
        <v>72</v>
      </c>
      <c r="AF308" s="192" t="s">
        <v>51</v>
      </c>
      <c r="AG308" s="192" t="s">
        <v>96</v>
      </c>
      <c r="AH308" s="192">
        <v>4.58487342616412</v>
      </c>
      <c r="AJ308" s="192" t="s">
        <v>52</v>
      </c>
      <c r="AK308" s="192" t="s">
        <v>19</v>
      </c>
      <c r="AL308" s="192" t="s">
        <v>28</v>
      </c>
      <c r="AM308" s="192" t="s">
        <v>51</v>
      </c>
      <c r="AN308" s="192" t="s">
        <v>96</v>
      </c>
      <c r="AO308" s="192">
        <v>1.4221081738015604</v>
      </c>
    </row>
    <row r="309" spans="29:41">
      <c r="AC309" s="192" t="s">
        <v>52</v>
      </c>
      <c r="AD309" s="192" t="s">
        <v>19</v>
      </c>
      <c r="AE309" s="192" t="s">
        <v>72</v>
      </c>
      <c r="AF309" s="192" t="s">
        <v>51</v>
      </c>
      <c r="AG309" s="192" t="s">
        <v>97</v>
      </c>
      <c r="AH309" s="192">
        <v>4.5215920109797576</v>
      </c>
      <c r="AJ309" s="192" t="s">
        <v>52</v>
      </c>
      <c r="AK309" s="192" t="s">
        <v>19</v>
      </c>
      <c r="AL309" s="192" t="s">
        <v>28</v>
      </c>
      <c r="AM309" s="192" t="s">
        <v>51</v>
      </c>
      <c r="AN309" s="192" t="s">
        <v>97</v>
      </c>
      <c r="AO309" s="192">
        <v>1.3886466132010673</v>
      </c>
    </row>
    <row r="310" spans="29:41">
      <c r="AC310" s="192" t="s">
        <v>52</v>
      </c>
      <c r="AD310" s="192" t="s">
        <v>19</v>
      </c>
      <c r="AE310" s="192" t="s">
        <v>72</v>
      </c>
      <c r="AF310" s="192" t="s">
        <v>51</v>
      </c>
      <c r="AG310" s="192" t="s">
        <v>101</v>
      </c>
      <c r="AH310" s="192">
        <v>4.5733883757567257</v>
      </c>
      <c r="AJ310" s="192" t="s">
        <v>52</v>
      </c>
      <c r="AK310" s="192" t="s">
        <v>19</v>
      </c>
      <c r="AL310" s="192" t="s">
        <v>28</v>
      </c>
      <c r="AM310" s="192" t="s">
        <v>51</v>
      </c>
      <c r="AN310" s="192" t="s">
        <v>101</v>
      </c>
      <c r="AO310" s="192">
        <v>1.5324256561702054</v>
      </c>
    </row>
    <row r="311" spans="29:41">
      <c r="AC311" s="192" t="s">
        <v>52</v>
      </c>
      <c r="AD311" s="192" t="s">
        <v>19</v>
      </c>
      <c r="AE311" s="192" t="s">
        <v>72</v>
      </c>
      <c r="AF311" s="192" t="s">
        <v>51</v>
      </c>
      <c r="AG311" s="192" t="s">
        <v>102</v>
      </c>
      <c r="AH311" s="192">
        <v>4.5131838688757515</v>
      </c>
      <c r="AJ311" s="192" t="s">
        <v>52</v>
      </c>
      <c r="AK311" s="192" t="s">
        <v>19</v>
      </c>
      <c r="AL311" s="192" t="s">
        <v>28</v>
      </c>
      <c r="AM311" s="192" t="s">
        <v>51</v>
      </c>
      <c r="AN311" s="192" t="s">
        <v>102</v>
      </c>
      <c r="AO311" s="192">
        <v>1.5033319569337917</v>
      </c>
    </row>
    <row r="312" spans="29:41">
      <c r="AC312" s="192" t="s">
        <v>52</v>
      </c>
      <c r="AD312" s="192" t="s">
        <v>19</v>
      </c>
      <c r="AE312" s="192" t="s">
        <v>72</v>
      </c>
      <c r="AF312" s="192" t="s">
        <v>51</v>
      </c>
      <c r="AG312" s="192" t="s">
        <v>103</v>
      </c>
      <c r="AH312" s="192">
        <v>4.5417608906253868</v>
      </c>
      <c r="AJ312" s="192" t="s">
        <v>52</v>
      </c>
      <c r="AK312" s="192" t="s">
        <v>19</v>
      </c>
      <c r="AL312" s="192" t="s">
        <v>28</v>
      </c>
      <c r="AM312" s="192" t="s">
        <v>51</v>
      </c>
      <c r="AN312" s="192" t="s">
        <v>103</v>
      </c>
      <c r="AO312" s="192">
        <v>1.5626154943854269</v>
      </c>
    </row>
    <row r="313" spans="29:41">
      <c r="AC313" s="192" t="s">
        <v>52</v>
      </c>
      <c r="AD313" s="192" t="s">
        <v>19</v>
      </c>
      <c r="AE313" s="192" t="s">
        <v>72</v>
      </c>
      <c r="AF313" s="192" t="s">
        <v>51</v>
      </c>
      <c r="AG313" s="192" t="s">
        <v>104</v>
      </c>
      <c r="AH313" s="192">
        <v>4.6278726141585871</v>
      </c>
      <c r="AJ313" s="192" t="s">
        <v>52</v>
      </c>
      <c r="AK313" s="192" t="s">
        <v>19</v>
      </c>
      <c r="AL313" s="192" t="s">
        <v>28</v>
      </c>
      <c r="AM313" s="192" t="s">
        <v>51</v>
      </c>
      <c r="AN313" s="192" t="s">
        <v>104</v>
      </c>
      <c r="AO313" s="192">
        <v>1.5758798084377967</v>
      </c>
    </row>
    <row r="314" spans="29:41">
      <c r="AC314" s="192" t="s">
        <v>52</v>
      </c>
      <c r="AD314" s="192" t="s">
        <v>19</v>
      </c>
      <c r="AE314" s="192" t="s">
        <v>72</v>
      </c>
      <c r="AF314" s="192" t="s">
        <v>51</v>
      </c>
      <c r="AG314" s="192" t="s">
        <v>105</v>
      </c>
      <c r="AH314" s="192">
        <v>4.6393276238687271</v>
      </c>
      <c r="AJ314" s="192" t="s">
        <v>52</v>
      </c>
      <c r="AK314" s="192" t="s">
        <v>19</v>
      </c>
      <c r="AL314" s="192" t="s">
        <v>28</v>
      </c>
      <c r="AM314" s="192" t="s">
        <v>51</v>
      </c>
      <c r="AN314" s="192" t="s">
        <v>105</v>
      </c>
      <c r="AO314" s="192">
        <v>1.4924131272430072</v>
      </c>
    </row>
    <row r="315" spans="29:41">
      <c r="AC315" s="192" t="s">
        <v>52</v>
      </c>
      <c r="AD315" s="192" t="s">
        <v>19</v>
      </c>
      <c r="AE315" s="192" t="s">
        <v>72</v>
      </c>
      <c r="AF315" s="192" t="s">
        <v>51</v>
      </c>
      <c r="AG315" s="192" t="s">
        <v>106</v>
      </c>
      <c r="AH315" s="192">
        <v>4.623303488160051</v>
      </c>
      <c r="AJ315" s="192" t="s">
        <v>52</v>
      </c>
      <c r="AK315" s="192" t="s">
        <v>19</v>
      </c>
      <c r="AL315" s="192" t="s">
        <v>28</v>
      </c>
      <c r="AM315" s="192" t="s">
        <v>51</v>
      </c>
      <c r="AN315" s="192" t="s">
        <v>106</v>
      </c>
      <c r="AO315" s="192">
        <v>1.4792233270269517</v>
      </c>
    </row>
    <row r="316" spans="29:41">
      <c r="AC316" s="192" t="s">
        <v>52</v>
      </c>
      <c r="AD316" s="192" t="s">
        <v>19</v>
      </c>
      <c r="AE316" s="192" t="s">
        <v>72</v>
      </c>
      <c r="AF316" s="192" t="s">
        <v>51</v>
      </c>
      <c r="AG316" s="192" t="s">
        <v>107</v>
      </c>
      <c r="AH316" s="192">
        <v>4.5647651580417525</v>
      </c>
      <c r="AJ316" s="192" t="s">
        <v>52</v>
      </c>
      <c r="AK316" s="192" t="s">
        <v>19</v>
      </c>
      <c r="AL316" s="192" t="s">
        <v>28</v>
      </c>
      <c r="AM316" s="192" t="s">
        <v>51</v>
      </c>
      <c r="AN316" s="192" t="s">
        <v>107</v>
      </c>
      <c r="AO316" s="192">
        <v>1.4566586050220325</v>
      </c>
    </row>
    <row r="317" spans="29:41">
      <c r="AC317" s="192" t="s">
        <v>52</v>
      </c>
      <c r="AD317" s="192" t="s">
        <v>19</v>
      </c>
      <c r="AE317" s="192" t="s">
        <v>72</v>
      </c>
      <c r="AF317" s="192" t="s">
        <v>51</v>
      </c>
      <c r="AG317" s="192" t="s">
        <v>108</v>
      </c>
      <c r="AH317" s="192">
        <v>4.61355243920144</v>
      </c>
      <c r="AJ317" s="192" t="s">
        <v>52</v>
      </c>
      <c r="AK317" s="192" t="s">
        <v>19</v>
      </c>
      <c r="AL317" s="192" t="s">
        <v>28</v>
      </c>
      <c r="AM317" s="192" t="s">
        <v>51</v>
      </c>
      <c r="AN317" s="192" t="s">
        <v>108</v>
      </c>
      <c r="AO317" s="192">
        <v>1.5483643137247298</v>
      </c>
    </row>
    <row r="318" spans="29:41">
      <c r="AC318" s="192" t="s">
        <v>52</v>
      </c>
      <c r="AD318" s="192" t="s">
        <v>19</v>
      </c>
      <c r="AE318" s="192" t="s">
        <v>72</v>
      </c>
      <c r="AF318" s="192" t="s">
        <v>51</v>
      </c>
      <c r="AG318" s="192" t="s">
        <v>100</v>
      </c>
      <c r="AH318" s="192">
        <v>4.5590153608656223</v>
      </c>
      <c r="AJ318" s="192" t="s">
        <v>52</v>
      </c>
      <c r="AK318" s="192" t="s">
        <v>19</v>
      </c>
      <c r="AL318" s="192" t="s">
        <v>28</v>
      </c>
      <c r="AM318" s="192" t="s">
        <v>51</v>
      </c>
      <c r="AN318" s="192" t="s">
        <v>100</v>
      </c>
      <c r="AO318" s="192">
        <v>1.4947782656127222</v>
      </c>
    </row>
    <row r="319" spans="29:41">
      <c r="AC319" s="192" t="s">
        <v>52</v>
      </c>
      <c r="AD319" s="192" t="s">
        <v>19</v>
      </c>
      <c r="AE319" s="192" t="s">
        <v>72</v>
      </c>
      <c r="AF319" s="192" t="s">
        <v>51</v>
      </c>
      <c r="AG319" s="192" t="s">
        <v>109</v>
      </c>
      <c r="AH319" s="192">
        <v>4.5244737897027454</v>
      </c>
      <c r="AJ319" s="192" t="s">
        <v>52</v>
      </c>
      <c r="AK319" s="192" t="s">
        <v>19</v>
      </c>
      <c r="AL319" s="192" t="s">
        <v>28</v>
      </c>
      <c r="AM319" s="192" t="s">
        <v>51</v>
      </c>
      <c r="AN319" s="192" t="s">
        <v>109</v>
      </c>
      <c r="AO319" s="192">
        <v>1.4736088385134953</v>
      </c>
    </row>
    <row r="320" spans="29:41">
      <c r="AC320" s="192" t="s">
        <v>52</v>
      </c>
      <c r="AD320" s="192" t="s">
        <v>19</v>
      </c>
      <c r="AE320" s="192" t="s">
        <v>72</v>
      </c>
      <c r="AF320" s="192" t="s">
        <v>51</v>
      </c>
      <c r="AG320" s="192" t="s">
        <v>110</v>
      </c>
      <c r="AH320" s="192">
        <v>4.6020892685877657</v>
      </c>
      <c r="AJ320" s="192" t="s">
        <v>52</v>
      </c>
      <c r="AK320" s="192" t="s">
        <v>19</v>
      </c>
      <c r="AL320" s="192" t="s">
        <v>28</v>
      </c>
      <c r="AM320" s="192" t="s">
        <v>51</v>
      </c>
      <c r="AN320" s="192" t="s">
        <v>110</v>
      </c>
      <c r="AO320" s="192">
        <v>1.5318206661209262</v>
      </c>
    </row>
    <row r="321" spans="29:41">
      <c r="AC321" s="192" t="s">
        <v>52</v>
      </c>
      <c r="AD321" s="192" t="s">
        <v>19</v>
      </c>
      <c r="AE321" s="192" t="s">
        <v>72</v>
      </c>
      <c r="AF321" s="192" t="s">
        <v>51</v>
      </c>
      <c r="AG321" s="192" t="s">
        <v>111</v>
      </c>
      <c r="AH321" s="192">
        <v>4.6307417564501678</v>
      </c>
      <c r="AJ321" s="192" t="s">
        <v>52</v>
      </c>
      <c r="AK321" s="192" t="s">
        <v>19</v>
      </c>
      <c r="AL321" s="192" t="s">
        <v>28</v>
      </c>
      <c r="AM321" s="192" t="s">
        <v>51</v>
      </c>
      <c r="AN321" s="192" t="s">
        <v>111</v>
      </c>
      <c r="AO321" s="192">
        <v>1.5897431671584479</v>
      </c>
    </row>
    <row r="322" spans="29:41">
      <c r="AC322" s="192" t="s">
        <v>52</v>
      </c>
      <c r="AD322" s="192" t="s">
        <v>19</v>
      </c>
      <c r="AE322" s="192" t="s">
        <v>72</v>
      </c>
      <c r="AF322" s="192" t="s">
        <v>51</v>
      </c>
      <c r="AG322" s="192" t="s">
        <v>99</v>
      </c>
      <c r="AH322" s="192">
        <v>4.61355243920144</v>
      </c>
      <c r="AJ322" s="192" t="s">
        <v>52</v>
      </c>
      <c r="AK322" s="192" t="s">
        <v>19</v>
      </c>
      <c r="AL322" s="192" t="s">
        <v>28</v>
      </c>
      <c r="AM322" s="192" t="s">
        <v>51</v>
      </c>
      <c r="AN322" s="192" t="s">
        <v>99</v>
      </c>
      <c r="AO322" s="192">
        <v>1.5862801648354699</v>
      </c>
    </row>
    <row r="323" spans="29:41">
      <c r="AC323" s="192" t="s">
        <v>52</v>
      </c>
      <c r="AD323" s="192" t="s">
        <v>19</v>
      </c>
      <c r="AE323" s="192" t="s">
        <v>72</v>
      </c>
      <c r="AF323" s="192" t="s">
        <v>51</v>
      </c>
      <c r="AG323" s="192" t="s">
        <v>126</v>
      </c>
      <c r="AH323" s="192">
        <v>4.6421801086296943</v>
      </c>
      <c r="AJ323" s="192" t="s">
        <v>52</v>
      </c>
      <c r="AK323" s="192" t="s">
        <v>19</v>
      </c>
      <c r="AL323" s="192" t="s">
        <v>28</v>
      </c>
      <c r="AM323" s="192" t="s">
        <v>51</v>
      </c>
      <c r="AN323" s="192" t="s">
        <v>126</v>
      </c>
      <c r="AO323" s="192">
        <v>1.6406557497822147</v>
      </c>
    </row>
    <row r="324" spans="29:41">
      <c r="AC324" s="192" t="s">
        <v>52</v>
      </c>
      <c r="AD324" s="192" t="s">
        <v>19</v>
      </c>
      <c r="AE324" s="192" t="s">
        <v>72</v>
      </c>
      <c r="AF324" s="192" t="s">
        <v>51</v>
      </c>
      <c r="AG324" s="192" t="s">
        <v>124</v>
      </c>
      <c r="AH324" s="192">
        <v>4.5388826043032733</v>
      </c>
      <c r="AJ324" s="192" t="s">
        <v>52</v>
      </c>
      <c r="AK324" s="192" t="s">
        <v>19</v>
      </c>
      <c r="AL324" s="192" t="s">
        <v>28</v>
      </c>
      <c r="AM324" s="192" t="s">
        <v>51</v>
      </c>
      <c r="AN324" s="192" t="s">
        <v>124</v>
      </c>
      <c r="AO324" s="192">
        <v>1.530075174887463</v>
      </c>
    </row>
    <row r="325" spans="29:41">
      <c r="AC325" s="192" t="s">
        <v>52</v>
      </c>
      <c r="AD325" s="192" t="s">
        <v>19</v>
      </c>
      <c r="AE325" s="192" t="s">
        <v>72</v>
      </c>
      <c r="AF325" s="192" t="s">
        <v>51</v>
      </c>
      <c r="AG325" s="192" t="s">
        <v>127</v>
      </c>
      <c r="AH325" s="192">
        <v>4.5391078806773386</v>
      </c>
      <c r="AJ325" s="192" t="s">
        <v>52</v>
      </c>
      <c r="AK325" s="192" t="s">
        <v>19</v>
      </c>
      <c r="AL325" s="192" t="s">
        <v>28</v>
      </c>
      <c r="AM325" s="192" t="s">
        <v>51</v>
      </c>
      <c r="AN325" s="192" t="s">
        <v>127</v>
      </c>
      <c r="AO325" s="192">
        <v>1.5622258993268487</v>
      </c>
    </row>
    <row r="326" spans="29:41">
      <c r="AC326" s="192" t="s">
        <v>52</v>
      </c>
      <c r="AD326" s="192" t="s">
        <v>19</v>
      </c>
      <c r="AE326" s="192" t="s">
        <v>72</v>
      </c>
      <c r="AF326" s="192" t="s">
        <v>51</v>
      </c>
      <c r="AG326" s="192" t="s">
        <v>128</v>
      </c>
      <c r="AH326" s="192">
        <v>4.5360038074512801</v>
      </c>
      <c r="AJ326" s="192" t="s">
        <v>52</v>
      </c>
      <c r="AK326" s="192" t="s">
        <v>19</v>
      </c>
      <c r="AL326" s="192" t="s">
        <v>28</v>
      </c>
      <c r="AM326" s="192" t="s">
        <v>51</v>
      </c>
      <c r="AN326" s="192" t="s">
        <v>128</v>
      </c>
      <c r="AO326" s="192">
        <v>1.5659764368811495</v>
      </c>
    </row>
    <row r="327" spans="29:41">
      <c r="AC327" s="192" t="s">
        <v>52</v>
      </c>
      <c r="AD327" s="192" t="s">
        <v>19</v>
      </c>
      <c r="AE327" s="192" t="s">
        <v>72</v>
      </c>
      <c r="AF327" s="192" t="s">
        <v>51</v>
      </c>
      <c r="AG327" s="192" t="s">
        <v>129</v>
      </c>
      <c r="AH327" s="192">
        <v>4.5331244999599418</v>
      </c>
      <c r="AJ327" s="192" t="s">
        <v>52</v>
      </c>
      <c r="AK327" s="192" t="s">
        <v>19</v>
      </c>
      <c r="AL327" s="192" t="s">
        <v>28</v>
      </c>
      <c r="AM327" s="192" t="s">
        <v>51</v>
      </c>
      <c r="AN327" s="192" t="s">
        <v>129</v>
      </c>
      <c r="AO327" s="192">
        <v>1.5379078120626815</v>
      </c>
    </row>
    <row r="328" spans="29:41">
      <c r="AC328" s="192" t="s">
        <v>52</v>
      </c>
      <c r="AD328" s="192" t="s">
        <v>19</v>
      </c>
      <c r="AE328" s="192" t="s">
        <v>72</v>
      </c>
      <c r="AF328" s="192" t="s">
        <v>51</v>
      </c>
      <c r="AG328" s="192" t="s">
        <v>123</v>
      </c>
      <c r="AH328" s="192">
        <v>4.5618946090091974</v>
      </c>
      <c r="AJ328" s="192" t="s">
        <v>52</v>
      </c>
      <c r="AK328" s="192" t="s">
        <v>19</v>
      </c>
      <c r="AL328" s="192" t="s">
        <v>28</v>
      </c>
      <c r="AM328" s="192" t="s">
        <v>51</v>
      </c>
      <c r="AN328" s="192" t="s">
        <v>123</v>
      </c>
      <c r="AO328" s="192">
        <v>1.5674490622056676</v>
      </c>
    </row>
    <row r="329" spans="29:41">
      <c r="AC329" s="192" t="s">
        <v>52</v>
      </c>
      <c r="AD329" s="192" t="s">
        <v>19</v>
      </c>
      <c r="AE329" s="192" t="s">
        <v>72</v>
      </c>
      <c r="AF329" s="192" t="s">
        <v>51</v>
      </c>
      <c r="AG329" s="192" t="s">
        <v>125</v>
      </c>
      <c r="AH329" s="192">
        <v>4.4987637218053917</v>
      </c>
      <c r="AJ329" s="192" t="s">
        <v>52</v>
      </c>
      <c r="AK329" s="192" t="s">
        <v>19</v>
      </c>
      <c r="AL329" s="192" t="s">
        <v>28</v>
      </c>
      <c r="AM329" s="192" t="s">
        <v>51</v>
      </c>
      <c r="AN329" s="192" t="s">
        <v>125</v>
      </c>
      <c r="AO329" s="192">
        <v>1.5832555958430223</v>
      </c>
    </row>
    <row r="330" spans="29:41">
      <c r="AC330" s="192" t="s">
        <v>52</v>
      </c>
      <c r="AD330" s="192" t="s">
        <v>19</v>
      </c>
      <c r="AE330" s="192" t="s">
        <v>72</v>
      </c>
      <c r="AF330" s="192" t="s">
        <v>51</v>
      </c>
      <c r="AG330" s="192" t="s">
        <v>215</v>
      </c>
      <c r="AH330" s="192">
        <v>4.455426331689484</v>
      </c>
      <c r="AJ330" s="192" t="s">
        <v>52</v>
      </c>
      <c r="AK330" s="192" t="s">
        <v>19</v>
      </c>
      <c r="AL330" s="192" t="s">
        <v>28</v>
      </c>
      <c r="AM330" s="192" t="s">
        <v>51</v>
      </c>
      <c r="AN330" s="192" t="s">
        <v>215</v>
      </c>
      <c r="AO330" s="192">
        <v>1.5694674483282143</v>
      </c>
    </row>
    <row r="331" spans="29:41">
      <c r="AC331" s="192" t="s">
        <v>52</v>
      </c>
      <c r="AD331" s="192" t="s">
        <v>20</v>
      </c>
      <c r="AE331" s="192" t="s">
        <v>72</v>
      </c>
      <c r="AF331" s="192" t="s">
        <v>51</v>
      </c>
      <c r="AG331" s="192" t="s">
        <v>130</v>
      </c>
      <c r="AH331" s="192">
        <v>4.1618039804499194</v>
      </c>
      <c r="AJ331" s="192" t="s">
        <v>52</v>
      </c>
      <c r="AK331" s="192" t="s">
        <v>20</v>
      </c>
      <c r="AL331" s="192" t="s">
        <v>28</v>
      </c>
      <c r="AM331" s="192" t="s">
        <v>51</v>
      </c>
      <c r="AN331" s="192" t="s">
        <v>130</v>
      </c>
      <c r="AO331" s="192">
        <v>1.3276040404206293</v>
      </c>
    </row>
    <row r="332" spans="29:41">
      <c r="AC332" s="192" t="s">
        <v>52</v>
      </c>
      <c r="AD332" s="192" t="s">
        <v>20</v>
      </c>
      <c r="AE332" s="192" t="s">
        <v>72</v>
      </c>
      <c r="AF332" s="192" t="s">
        <v>51</v>
      </c>
      <c r="AG332" s="192" t="s">
        <v>131</v>
      </c>
      <c r="AH332" s="192">
        <v>4.1618039804499194</v>
      </c>
      <c r="AJ332" s="192" t="s">
        <v>52</v>
      </c>
      <c r="AK332" s="192" t="s">
        <v>20</v>
      </c>
      <c r="AL332" s="192" t="s">
        <v>28</v>
      </c>
      <c r="AM332" s="192" t="s">
        <v>51</v>
      </c>
      <c r="AN332" s="192" t="s">
        <v>131</v>
      </c>
      <c r="AO332" s="192">
        <v>1.3376202576964793</v>
      </c>
    </row>
    <row r="333" spans="29:41">
      <c r="AC333" s="192" t="s">
        <v>52</v>
      </c>
      <c r="AD333" s="192" t="s">
        <v>20</v>
      </c>
      <c r="AE333" s="192" t="s">
        <v>72</v>
      </c>
      <c r="AF333" s="192" t="s">
        <v>51</v>
      </c>
      <c r="AG333" s="192" t="s">
        <v>132</v>
      </c>
      <c r="AH333" s="192">
        <v>4.1618039804499194</v>
      </c>
      <c r="AJ333" s="192" t="s">
        <v>52</v>
      </c>
      <c r="AK333" s="192" t="s">
        <v>20</v>
      </c>
      <c r="AL333" s="192" t="s">
        <v>28</v>
      </c>
      <c r="AM333" s="192" t="s">
        <v>51</v>
      </c>
      <c r="AN333" s="192" t="s">
        <v>132</v>
      </c>
      <c r="AO333" s="192">
        <v>1.3462424054732489</v>
      </c>
    </row>
    <row r="334" spans="29:41">
      <c r="AC334" s="192" t="s">
        <v>52</v>
      </c>
      <c r="AD334" s="192" t="s">
        <v>20</v>
      </c>
      <c r="AE334" s="192" t="s">
        <v>72</v>
      </c>
      <c r="AF334" s="192" t="s">
        <v>51</v>
      </c>
      <c r="AG334" s="192" t="s">
        <v>133</v>
      </c>
      <c r="AH334" s="192">
        <v>4.3642403763055508</v>
      </c>
      <c r="AJ334" s="192" t="s">
        <v>52</v>
      </c>
      <c r="AK334" s="192" t="s">
        <v>20</v>
      </c>
      <c r="AL334" s="192" t="s">
        <v>28</v>
      </c>
      <c r="AM334" s="192" t="s">
        <v>51</v>
      </c>
      <c r="AN334" s="192" t="s">
        <v>133</v>
      </c>
      <c r="AO334" s="192">
        <v>1.4339233654036512</v>
      </c>
    </row>
    <row r="335" spans="29:41">
      <c r="AC335" s="192" t="s">
        <v>52</v>
      </c>
      <c r="AD335" s="192" t="s">
        <v>20</v>
      </c>
      <c r="AE335" s="192" t="s">
        <v>72</v>
      </c>
      <c r="AF335" s="192" t="s">
        <v>51</v>
      </c>
      <c r="AG335" s="192" t="s">
        <v>134</v>
      </c>
      <c r="AH335" s="192">
        <v>4.3002725972031506</v>
      </c>
      <c r="AJ335" s="192" t="s">
        <v>52</v>
      </c>
      <c r="AK335" s="192" t="s">
        <v>20</v>
      </c>
      <c r="AL335" s="192" t="s">
        <v>28</v>
      </c>
      <c r="AM335" s="192" t="s">
        <v>51</v>
      </c>
      <c r="AN335" s="192" t="s">
        <v>134</v>
      </c>
      <c r="AO335" s="192">
        <v>1.3980450736732202</v>
      </c>
    </row>
    <row r="336" spans="29:41">
      <c r="AC336" s="192" t="s">
        <v>52</v>
      </c>
      <c r="AD336" s="192" t="s">
        <v>20</v>
      </c>
      <c r="AE336" s="192" t="s">
        <v>72</v>
      </c>
      <c r="AF336" s="192" t="s">
        <v>51</v>
      </c>
      <c r="AG336" s="192" t="s">
        <v>135</v>
      </c>
      <c r="AH336" s="192">
        <v>4.1930539804499194</v>
      </c>
      <c r="AJ336" s="192" t="s">
        <v>52</v>
      </c>
      <c r="AK336" s="192" t="s">
        <v>20</v>
      </c>
      <c r="AL336" s="192" t="s">
        <v>28</v>
      </c>
      <c r="AM336" s="192" t="s">
        <v>51</v>
      </c>
      <c r="AN336" s="192" t="s">
        <v>135</v>
      </c>
      <c r="AO336" s="192">
        <v>1.3467036436431594</v>
      </c>
    </row>
    <row r="337" spans="29:41">
      <c r="AC337" s="192" t="s">
        <v>52</v>
      </c>
      <c r="AD337" s="192" t="s">
        <v>20</v>
      </c>
      <c r="AE337" s="192" t="s">
        <v>72</v>
      </c>
      <c r="AF337" s="192" t="s">
        <v>51</v>
      </c>
      <c r="AG337" s="192" t="s">
        <v>136</v>
      </c>
      <c r="AH337" s="192">
        <v>4.1930539804499194</v>
      </c>
      <c r="AJ337" s="192" t="s">
        <v>52</v>
      </c>
      <c r="AK337" s="192" t="s">
        <v>20</v>
      </c>
      <c r="AL337" s="192" t="s">
        <v>28</v>
      </c>
      <c r="AM337" s="192" t="s">
        <v>51</v>
      </c>
      <c r="AN337" s="192" t="s">
        <v>136</v>
      </c>
      <c r="AO337" s="192">
        <v>1.3652186771317991</v>
      </c>
    </row>
    <row r="338" spans="29:41">
      <c r="AC338" s="192" t="s">
        <v>52</v>
      </c>
      <c r="AD338" s="192" t="s">
        <v>20</v>
      </c>
      <c r="AE338" s="192" t="s">
        <v>72</v>
      </c>
      <c r="AF338" s="192" t="s">
        <v>51</v>
      </c>
      <c r="AG338" s="192" t="s">
        <v>137</v>
      </c>
      <c r="AH338" s="192">
        <v>4.3001919961318613</v>
      </c>
      <c r="AJ338" s="192" t="s">
        <v>52</v>
      </c>
      <c r="AK338" s="192" t="s">
        <v>20</v>
      </c>
      <c r="AL338" s="192" t="s">
        <v>28</v>
      </c>
      <c r="AM338" s="192" t="s">
        <v>51</v>
      </c>
      <c r="AN338" s="192" t="s">
        <v>137</v>
      </c>
      <c r="AO338" s="192">
        <v>1.4863728858778815</v>
      </c>
    </row>
    <row r="339" spans="29:41">
      <c r="AC339" s="192" t="s">
        <v>52</v>
      </c>
      <c r="AD339" s="192" t="s">
        <v>20</v>
      </c>
      <c r="AE339" s="192" t="s">
        <v>72</v>
      </c>
      <c r="AF339" s="192" t="s">
        <v>51</v>
      </c>
      <c r="AG339" s="192" t="s">
        <v>138</v>
      </c>
      <c r="AH339" s="192">
        <v>4.1930539804499194</v>
      </c>
      <c r="AJ339" s="192" t="s">
        <v>52</v>
      </c>
      <c r="AK339" s="192" t="s">
        <v>20</v>
      </c>
      <c r="AL339" s="192" t="s">
        <v>28</v>
      </c>
      <c r="AM339" s="192" t="s">
        <v>51</v>
      </c>
      <c r="AN339" s="192" t="s">
        <v>138</v>
      </c>
      <c r="AO339" s="192">
        <v>1.3615482313074194</v>
      </c>
    </row>
    <row r="340" spans="29:41">
      <c r="AC340" s="192" t="s">
        <v>52</v>
      </c>
      <c r="AD340" s="192" t="s">
        <v>20</v>
      </c>
      <c r="AE340" s="192" t="s">
        <v>72</v>
      </c>
      <c r="AF340" s="192" t="s">
        <v>51</v>
      </c>
      <c r="AG340" s="192" t="s">
        <v>139</v>
      </c>
      <c r="AH340" s="192">
        <v>4.1618039804499194</v>
      </c>
      <c r="AJ340" s="192" t="s">
        <v>52</v>
      </c>
      <c r="AK340" s="192" t="s">
        <v>20</v>
      </c>
      <c r="AL340" s="192" t="s">
        <v>28</v>
      </c>
      <c r="AM340" s="192" t="s">
        <v>51</v>
      </c>
      <c r="AN340" s="192" t="s">
        <v>139</v>
      </c>
      <c r="AO340" s="192">
        <v>1.3376271286219992</v>
      </c>
    </row>
    <row r="341" spans="29:41">
      <c r="AC341" s="192" t="s">
        <v>52</v>
      </c>
      <c r="AD341" s="192" t="s">
        <v>20</v>
      </c>
      <c r="AE341" s="192" t="s">
        <v>72</v>
      </c>
      <c r="AF341" s="192" t="s">
        <v>51</v>
      </c>
      <c r="AG341" s="192" t="s">
        <v>140</v>
      </c>
      <c r="AH341" s="192">
        <v>4.1305539804499194</v>
      </c>
      <c r="AJ341" s="192" t="s">
        <v>52</v>
      </c>
      <c r="AK341" s="192" t="s">
        <v>20</v>
      </c>
      <c r="AL341" s="192" t="s">
        <v>28</v>
      </c>
      <c r="AM341" s="192" t="s">
        <v>51</v>
      </c>
      <c r="AN341" s="192" t="s">
        <v>140</v>
      </c>
      <c r="AO341" s="192">
        <v>1.334712971145259</v>
      </c>
    </row>
    <row r="342" spans="29:41">
      <c r="AC342" s="192" t="s">
        <v>52</v>
      </c>
      <c r="AD342" s="192" t="s">
        <v>20</v>
      </c>
      <c r="AE342" s="192" t="s">
        <v>72</v>
      </c>
      <c r="AF342" s="192" t="s">
        <v>51</v>
      </c>
      <c r="AG342" s="192" t="s">
        <v>141</v>
      </c>
      <c r="AH342" s="192">
        <v>4.1748311341021385</v>
      </c>
      <c r="AJ342" s="192" t="s">
        <v>52</v>
      </c>
      <c r="AK342" s="192" t="s">
        <v>20</v>
      </c>
      <c r="AL342" s="192" t="s">
        <v>28</v>
      </c>
      <c r="AM342" s="192" t="s">
        <v>51</v>
      </c>
      <c r="AN342" s="192" t="s">
        <v>141</v>
      </c>
      <c r="AO342" s="192">
        <v>1.481982231006719</v>
      </c>
    </row>
    <row r="343" spans="29:41">
      <c r="AC343" s="192" t="s">
        <v>52</v>
      </c>
      <c r="AD343" s="192" t="s">
        <v>20</v>
      </c>
      <c r="AE343" s="192" t="s">
        <v>72</v>
      </c>
      <c r="AF343" s="192" t="s">
        <v>51</v>
      </c>
      <c r="AG343" s="192" t="s">
        <v>142</v>
      </c>
      <c r="AH343" s="192">
        <v>4.1135643018144359</v>
      </c>
      <c r="AJ343" s="192" t="s">
        <v>52</v>
      </c>
      <c r="AK343" s="192" t="s">
        <v>20</v>
      </c>
      <c r="AL343" s="192" t="s">
        <v>28</v>
      </c>
      <c r="AM343" s="192" t="s">
        <v>51</v>
      </c>
      <c r="AN343" s="192" t="s">
        <v>142</v>
      </c>
      <c r="AO343" s="192">
        <v>1.4040077380531564</v>
      </c>
    </row>
    <row r="344" spans="29:41">
      <c r="AC344" s="192" t="s">
        <v>52</v>
      </c>
      <c r="AD344" s="192" t="s">
        <v>20</v>
      </c>
      <c r="AE344" s="192" t="s">
        <v>72</v>
      </c>
      <c r="AF344" s="192" t="s">
        <v>51</v>
      </c>
      <c r="AG344" s="192" t="s">
        <v>143</v>
      </c>
      <c r="AH344" s="192">
        <v>4.1748311341021385</v>
      </c>
      <c r="AJ344" s="192" t="s">
        <v>52</v>
      </c>
      <c r="AK344" s="192" t="s">
        <v>20</v>
      </c>
      <c r="AL344" s="192" t="s">
        <v>28</v>
      </c>
      <c r="AM344" s="192" t="s">
        <v>51</v>
      </c>
      <c r="AN344" s="192" t="s">
        <v>143</v>
      </c>
      <c r="AO344" s="192">
        <v>1.503058195558439</v>
      </c>
    </row>
    <row r="345" spans="29:41">
      <c r="AC345" s="192" t="s">
        <v>52</v>
      </c>
      <c r="AD345" s="192" t="s">
        <v>20</v>
      </c>
      <c r="AE345" s="192" t="s">
        <v>72</v>
      </c>
      <c r="AF345" s="192" t="s">
        <v>51</v>
      </c>
      <c r="AG345" s="192" t="s">
        <v>144</v>
      </c>
      <c r="AH345" s="192">
        <v>4.1135643018144359</v>
      </c>
      <c r="AJ345" s="192" t="s">
        <v>52</v>
      </c>
      <c r="AK345" s="192" t="s">
        <v>20</v>
      </c>
      <c r="AL345" s="192" t="s">
        <v>28</v>
      </c>
      <c r="AM345" s="192" t="s">
        <v>51</v>
      </c>
      <c r="AN345" s="192" t="s">
        <v>144</v>
      </c>
      <c r="AO345" s="192">
        <v>1.456054823822776</v>
      </c>
    </row>
    <row r="346" spans="29:41">
      <c r="AC346" s="192" t="s">
        <v>52</v>
      </c>
      <c r="AD346" s="192" t="s">
        <v>20</v>
      </c>
      <c r="AE346" s="192" t="s">
        <v>72</v>
      </c>
      <c r="AF346" s="192" t="s">
        <v>51</v>
      </c>
      <c r="AG346" s="192" t="s">
        <v>145</v>
      </c>
      <c r="AH346" s="192">
        <v>4.0672857326453746</v>
      </c>
      <c r="AJ346" s="192" t="s">
        <v>52</v>
      </c>
      <c r="AK346" s="192" t="s">
        <v>20</v>
      </c>
      <c r="AL346" s="192" t="s">
        <v>28</v>
      </c>
      <c r="AM346" s="192" t="s">
        <v>51</v>
      </c>
      <c r="AN346" s="192" t="s">
        <v>145</v>
      </c>
      <c r="AO346" s="192">
        <v>1.4574390170989944</v>
      </c>
    </row>
    <row r="347" spans="29:41">
      <c r="AC347" s="192" t="s">
        <v>52</v>
      </c>
      <c r="AD347" s="192" t="s">
        <v>20</v>
      </c>
      <c r="AE347" s="192" t="s">
        <v>72</v>
      </c>
      <c r="AF347" s="192" t="s">
        <v>51</v>
      </c>
      <c r="AG347" s="192" t="s">
        <v>146</v>
      </c>
      <c r="AH347" s="192">
        <v>4.1135643018144359</v>
      </c>
      <c r="AJ347" s="192" t="s">
        <v>52</v>
      </c>
      <c r="AK347" s="192" t="s">
        <v>20</v>
      </c>
      <c r="AL347" s="192" t="s">
        <v>28</v>
      </c>
      <c r="AM347" s="192" t="s">
        <v>51</v>
      </c>
      <c r="AN347" s="192" t="s">
        <v>146</v>
      </c>
      <c r="AO347" s="192">
        <v>1.4493949057691164</v>
      </c>
    </row>
    <row r="348" spans="29:41">
      <c r="AC348" s="192" t="s">
        <v>52</v>
      </c>
      <c r="AD348" s="192" t="s">
        <v>20</v>
      </c>
      <c r="AE348" s="192" t="s">
        <v>72</v>
      </c>
      <c r="AF348" s="192" t="s">
        <v>51</v>
      </c>
      <c r="AG348" s="192" t="s">
        <v>147</v>
      </c>
      <c r="AH348" s="192">
        <v>4.2360443194521897</v>
      </c>
      <c r="AJ348" s="192" t="s">
        <v>52</v>
      </c>
      <c r="AK348" s="192" t="s">
        <v>20</v>
      </c>
      <c r="AL348" s="192" t="s">
        <v>28</v>
      </c>
      <c r="AM348" s="192" t="s">
        <v>51</v>
      </c>
      <c r="AN348" s="192" t="s">
        <v>147</v>
      </c>
      <c r="AO348" s="192">
        <v>1.4840452591736897</v>
      </c>
    </row>
    <row r="349" spans="29:41">
      <c r="AC349" s="192" t="s">
        <v>52</v>
      </c>
      <c r="AD349" s="192" t="s">
        <v>20</v>
      </c>
      <c r="AE349" s="192" t="s">
        <v>72</v>
      </c>
      <c r="AF349" s="192" t="s">
        <v>51</v>
      </c>
      <c r="AG349" s="192" t="s">
        <v>148</v>
      </c>
      <c r="AH349" s="192">
        <v>4.2360443194521897</v>
      </c>
      <c r="AJ349" s="192" t="s">
        <v>52</v>
      </c>
      <c r="AK349" s="192" t="s">
        <v>20</v>
      </c>
      <c r="AL349" s="192" t="s">
        <v>28</v>
      </c>
      <c r="AM349" s="192" t="s">
        <v>51</v>
      </c>
      <c r="AN349" s="192" t="s">
        <v>148</v>
      </c>
      <c r="AO349" s="192">
        <v>1.5425610731525299</v>
      </c>
    </row>
    <row r="350" spans="29:41">
      <c r="AC350" s="192" t="s">
        <v>52</v>
      </c>
      <c r="AD350" s="192" t="s">
        <v>20</v>
      </c>
      <c r="AE350" s="192" t="s">
        <v>72</v>
      </c>
      <c r="AF350" s="192" t="s">
        <v>51</v>
      </c>
      <c r="AG350" s="192" t="s">
        <v>149</v>
      </c>
      <c r="AH350" s="192">
        <v>4.1748311341021385</v>
      </c>
      <c r="AJ350" s="192" t="s">
        <v>52</v>
      </c>
      <c r="AK350" s="192" t="s">
        <v>20</v>
      </c>
      <c r="AL350" s="192" t="s">
        <v>28</v>
      </c>
      <c r="AM350" s="192" t="s">
        <v>51</v>
      </c>
      <c r="AN350" s="192" t="s">
        <v>149</v>
      </c>
      <c r="AO350" s="192">
        <v>1.4842097036588688</v>
      </c>
    </row>
    <row r="351" spans="29:41">
      <c r="AC351" s="192" t="s">
        <v>52</v>
      </c>
      <c r="AD351" s="192" t="s">
        <v>20</v>
      </c>
      <c r="AE351" s="192" t="s">
        <v>72</v>
      </c>
      <c r="AF351" s="192" t="s">
        <v>51</v>
      </c>
      <c r="AG351" s="192" t="s">
        <v>150</v>
      </c>
      <c r="AH351" s="192">
        <v>4.1135643018144359</v>
      </c>
      <c r="AJ351" s="192" t="s">
        <v>52</v>
      </c>
      <c r="AK351" s="192" t="s">
        <v>20</v>
      </c>
      <c r="AL351" s="192" t="s">
        <v>28</v>
      </c>
      <c r="AM351" s="192" t="s">
        <v>51</v>
      </c>
      <c r="AN351" s="192" t="s">
        <v>150</v>
      </c>
      <c r="AO351" s="192">
        <v>1.4525291405354961</v>
      </c>
    </row>
    <row r="352" spans="29:41">
      <c r="AC352" s="192" t="s">
        <v>52</v>
      </c>
      <c r="AD352" s="192" t="s">
        <v>20</v>
      </c>
      <c r="AE352" s="192" t="s">
        <v>72</v>
      </c>
      <c r="AF352" s="192" t="s">
        <v>51</v>
      </c>
      <c r="AG352" s="192" t="s">
        <v>151</v>
      </c>
      <c r="AH352" s="192">
        <v>4.1720767377573145</v>
      </c>
      <c r="AJ352" s="192" t="s">
        <v>52</v>
      </c>
      <c r="AK352" s="192" t="s">
        <v>20</v>
      </c>
      <c r="AL352" s="192" t="s">
        <v>28</v>
      </c>
      <c r="AM352" s="192" t="s">
        <v>51</v>
      </c>
      <c r="AN352" s="192" t="s">
        <v>151</v>
      </c>
      <c r="AO352" s="192">
        <v>1.5728109623670243</v>
      </c>
    </row>
    <row r="353" spans="29:41">
      <c r="AC353" s="192" t="s">
        <v>52</v>
      </c>
      <c r="AD353" s="192" t="s">
        <v>20</v>
      </c>
      <c r="AE353" s="192" t="s">
        <v>72</v>
      </c>
      <c r="AF353" s="192" t="s">
        <v>51</v>
      </c>
      <c r="AG353" s="192" t="s">
        <v>152</v>
      </c>
      <c r="AH353" s="192">
        <v>4.1720767377573145</v>
      </c>
      <c r="AJ353" s="192" t="s">
        <v>52</v>
      </c>
      <c r="AK353" s="192" t="s">
        <v>20</v>
      </c>
      <c r="AL353" s="192" t="s">
        <v>28</v>
      </c>
      <c r="AM353" s="192" t="s">
        <v>51</v>
      </c>
      <c r="AN353" s="192" t="s">
        <v>152</v>
      </c>
      <c r="AO353" s="192">
        <v>1.5207940697567046</v>
      </c>
    </row>
    <row r="354" spans="29:41">
      <c r="AC354" s="192" t="s">
        <v>52</v>
      </c>
      <c r="AD354" s="192" t="s">
        <v>20</v>
      </c>
      <c r="AE354" s="192" t="s">
        <v>72</v>
      </c>
      <c r="AF354" s="192" t="s">
        <v>51</v>
      </c>
      <c r="AG354" s="192" t="s">
        <v>153</v>
      </c>
      <c r="AH354" s="192">
        <v>4.0492683414237005</v>
      </c>
      <c r="AJ354" s="192" t="s">
        <v>52</v>
      </c>
      <c r="AK354" s="192" t="s">
        <v>20</v>
      </c>
      <c r="AL354" s="192" t="s">
        <v>28</v>
      </c>
      <c r="AM354" s="192" t="s">
        <v>51</v>
      </c>
      <c r="AN354" s="192" t="s">
        <v>153</v>
      </c>
      <c r="AO354" s="192">
        <v>1.4583799198878908</v>
      </c>
    </row>
    <row r="355" spans="29:41">
      <c r="AC355" s="192" t="s">
        <v>52</v>
      </c>
      <c r="AD355" s="192" t="s">
        <v>20</v>
      </c>
      <c r="AE355" s="192" t="s">
        <v>72</v>
      </c>
      <c r="AF355" s="192" t="s">
        <v>51</v>
      </c>
      <c r="AG355" s="192" t="s">
        <v>154</v>
      </c>
      <c r="AH355" s="192">
        <v>4.1135643018144359</v>
      </c>
      <c r="AJ355" s="192" t="s">
        <v>52</v>
      </c>
      <c r="AK355" s="192" t="s">
        <v>20</v>
      </c>
      <c r="AL355" s="192" t="s">
        <v>28</v>
      </c>
      <c r="AM355" s="192" t="s">
        <v>51</v>
      </c>
      <c r="AN355" s="192" t="s">
        <v>154</v>
      </c>
      <c r="AO355" s="192">
        <v>1.4796471980739163</v>
      </c>
    </row>
    <row r="356" spans="29:41">
      <c r="AC356" s="192" t="s">
        <v>52</v>
      </c>
      <c r="AD356" s="192" t="s">
        <v>20</v>
      </c>
      <c r="AE356" s="192" t="s">
        <v>72</v>
      </c>
      <c r="AF356" s="192" t="s">
        <v>51</v>
      </c>
      <c r="AG356" s="192" t="s">
        <v>155</v>
      </c>
      <c r="AH356" s="192">
        <v>4.1135643018144359</v>
      </c>
      <c r="AJ356" s="192" t="s">
        <v>52</v>
      </c>
      <c r="AK356" s="192" t="s">
        <v>20</v>
      </c>
      <c r="AL356" s="192" t="s">
        <v>28</v>
      </c>
      <c r="AM356" s="192" t="s">
        <v>51</v>
      </c>
      <c r="AN356" s="192" t="s">
        <v>155</v>
      </c>
      <c r="AO356" s="192">
        <v>1.4847818429359161</v>
      </c>
    </row>
    <row r="357" spans="29:41">
      <c r="AC357" s="192" t="s">
        <v>52</v>
      </c>
      <c r="AD357" s="192" t="s">
        <v>20</v>
      </c>
      <c r="AE357" s="192" t="s">
        <v>72</v>
      </c>
      <c r="AF357" s="192" t="s">
        <v>51</v>
      </c>
      <c r="AG357" s="192" t="s">
        <v>156</v>
      </c>
      <c r="AH357" s="192">
        <v>4.0672857326453746</v>
      </c>
      <c r="AJ357" s="192" t="s">
        <v>52</v>
      </c>
      <c r="AK357" s="192" t="s">
        <v>20</v>
      </c>
      <c r="AL357" s="192" t="s">
        <v>28</v>
      </c>
      <c r="AM357" s="192" t="s">
        <v>51</v>
      </c>
      <c r="AN357" s="192" t="s">
        <v>156</v>
      </c>
      <c r="AO357" s="192">
        <v>1.4469642209941846</v>
      </c>
    </row>
    <row r="358" spans="29:41">
      <c r="AC358" s="192" t="s">
        <v>52</v>
      </c>
      <c r="AD358" s="192" t="s">
        <v>20</v>
      </c>
      <c r="AE358" s="192" t="s">
        <v>72</v>
      </c>
      <c r="AF358" s="192" t="s">
        <v>51</v>
      </c>
      <c r="AG358" s="192" t="s">
        <v>157</v>
      </c>
      <c r="AH358" s="192">
        <v>4.1720767377573145</v>
      </c>
      <c r="AJ358" s="192" t="s">
        <v>52</v>
      </c>
      <c r="AK358" s="192" t="s">
        <v>20</v>
      </c>
      <c r="AL358" s="192" t="s">
        <v>28</v>
      </c>
      <c r="AM358" s="192" t="s">
        <v>51</v>
      </c>
      <c r="AN358" s="192" t="s">
        <v>157</v>
      </c>
      <c r="AO358" s="192">
        <v>1.5244184593292145</v>
      </c>
    </row>
    <row r="359" spans="29:41">
      <c r="AC359" s="192" t="s">
        <v>52</v>
      </c>
      <c r="AD359" s="192" t="s">
        <v>20</v>
      </c>
      <c r="AE359" s="192" t="s">
        <v>72</v>
      </c>
      <c r="AF359" s="192" t="s">
        <v>51</v>
      </c>
      <c r="AG359" s="192" t="s">
        <v>158</v>
      </c>
      <c r="AH359" s="192">
        <v>4.0672857326453746</v>
      </c>
      <c r="AJ359" s="192" t="s">
        <v>52</v>
      </c>
      <c r="AK359" s="192" t="s">
        <v>20</v>
      </c>
      <c r="AL359" s="192" t="s">
        <v>28</v>
      </c>
      <c r="AM359" s="192" t="s">
        <v>51</v>
      </c>
      <c r="AN359" s="192" t="s">
        <v>158</v>
      </c>
      <c r="AO359" s="192">
        <v>1.3998911701134642</v>
      </c>
    </row>
    <row r="360" spans="29:41">
      <c r="AC360" s="192" t="s">
        <v>52</v>
      </c>
      <c r="AD360" s="192" t="s">
        <v>20</v>
      </c>
      <c r="AE360" s="192" t="s">
        <v>72</v>
      </c>
      <c r="AF360" s="192" t="s">
        <v>51</v>
      </c>
      <c r="AG360" s="192" t="s">
        <v>159</v>
      </c>
      <c r="AH360" s="192">
        <v>4.0672857326453746</v>
      </c>
      <c r="AJ360" s="192" t="s">
        <v>52</v>
      </c>
      <c r="AK360" s="192" t="s">
        <v>20</v>
      </c>
      <c r="AL360" s="192" t="s">
        <v>28</v>
      </c>
      <c r="AM360" s="192" t="s">
        <v>51</v>
      </c>
      <c r="AN360" s="192" t="s">
        <v>159</v>
      </c>
      <c r="AO360" s="192">
        <v>1.4259452822284646</v>
      </c>
    </row>
    <row r="361" spans="29:41">
      <c r="AC361" s="192" t="s">
        <v>52</v>
      </c>
      <c r="AD361" s="192" t="s">
        <v>20</v>
      </c>
      <c r="AE361" s="192" t="s">
        <v>72</v>
      </c>
      <c r="AF361" s="192" t="s">
        <v>51</v>
      </c>
      <c r="AG361" s="192" t="s">
        <v>160</v>
      </c>
      <c r="AH361" s="192">
        <v>4.1106996097871527</v>
      </c>
      <c r="AJ361" s="192" t="s">
        <v>52</v>
      </c>
      <c r="AK361" s="192" t="s">
        <v>20</v>
      </c>
      <c r="AL361" s="192" t="s">
        <v>28</v>
      </c>
      <c r="AM361" s="192" t="s">
        <v>51</v>
      </c>
      <c r="AN361" s="192" t="s">
        <v>160</v>
      </c>
      <c r="AO361" s="192">
        <v>1.513840842525763</v>
      </c>
    </row>
    <row r="362" spans="29:41">
      <c r="AC362" s="192" t="s">
        <v>52</v>
      </c>
      <c r="AD362" s="192" t="s">
        <v>20</v>
      </c>
      <c r="AE362" s="192" t="s">
        <v>72</v>
      </c>
      <c r="AF362" s="192" t="s">
        <v>51</v>
      </c>
      <c r="AG362" s="192" t="s">
        <v>161</v>
      </c>
      <c r="AH362" s="192">
        <v>4.1720767377573145</v>
      </c>
      <c r="AJ362" s="192" t="s">
        <v>52</v>
      </c>
      <c r="AK362" s="192" t="s">
        <v>20</v>
      </c>
      <c r="AL362" s="192" t="s">
        <v>28</v>
      </c>
      <c r="AM362" s="192" t="s">
        <v>51</v>
      </c>
      <c r="AN362" s="192" t="s">
        <v>161</v>
      </c>
      <c r="AO362" s="192">
        <v>1.5873831531875244</v>
      </c>
    </row>
    <row r="363" spans="29:41">
      <c r="AC363" s="192" t="s">
        <v>52</v>
      </c>
      <c r="AD363" s="192" t="s">
        <v>20</v>
      </c>
      <c r="AE363" s="192" t="s">
        <v>72</v>
      </c>
      <c r="AF363" s="192" t="s">
        <v>51</v>
      </c>
      <c r="AG363" s="192" t="s">
        <v>162</v>
      </c>
      <c r="AH363" s="192">
        <v>4.1720767377573145</v>
      </c>
      <c r="AJ363" s="192" t="s">
        <v>52</v>
      </c>
      <c r="AK363" s="192" t="s">
        <v>20</v>
      </c>
      <c r="AL363" s="192" t="s">
        <v>28</v>
      </c>
      <c r="AM363" s="192" t="s">
        <v>51</v>
      </c>
      <c r="AN363" s="192" t="s">
        <v>162</v>
      </c>
      <c r="AO363" s="192">
        <v>1.5961737959585647</v>
      </c>
    </row>
    <row r="364" spans="29:41">
      <c r="AC364" s="192" t="s">
        <v>52</v>
      </c>
      <c r="AD364" s="192" t="s">
        <v>20</v>
      </c>
      <c r="AE364" s="192" t="s">
        <v>72</v>
      </c>
      <c r="AF364" s="192" t="s">
        <v>51</v>
      </c>
      <c r="AG364" s="192" t="s">
        <v>163</v>
      </c>
      <c r="AH364" s="192">
        <v>4.0672857326453746</v>
      </c>
      <c r="AJ364" s="192" t="s">
        <v>52</v>
      </c>
      <c r="AK364" s="192" t="s">
        <v>20</v>
      </c>
      <c r="AL364" s="192" t="s">
        <v>28</v>
      </c>
      <c r="AM364" s="192" t="s">
        <v>51</v>
      </c>
      <c r="AN364" s="192" t="s">
        <v>163</v>
      </c>
      <c r="AO364" s="192">
        <v>1.5001653121876044</v>
      </c>
    </row>
    <row r="365" spans="29:41">
      <c r="AC365" s="192" t="s">
        <v>52</v>
      </c>
      <c r="AD365" s="192" t="s">
        <v>20</v>
      </c>
      <c r="AE365" s="192" t="s">
        <v>72</v>
      </c>
      <c r="AF365" s="192" t="s">
        <v>51</v>
      </c>
      <c r="AG365" s="192" t="s">
        <v>164</v>
      </c>
      <c r="AH365" s="192">
        <v>4.1720767377573145</v>
      </c>
      <c r="AJ365" s="192" t="s">
        <v>52</v>
      </c>
      <c r="AK365" s="192" t="s">
        <v>20</v>
      </c>
      <c r="AL365" s="192" t="s">
        <v>28</v>
      </c>
      <c r="AM365" s="192" t="s">
        <v>51</v>
      </c>
      <c r="AN365" s="192" t="s">
        <v>164</v>
      </c>
      <c r="AO365" s="192">
        <v>1.5734875206870544</v>
      </c>
    </row>
    <row r="366" spans="29:41">
      <c r="AC366" s="192" t="s">
        <v>52</v>
      </c>
      <c r="AD366" s="192" t="s">
        <v>20</v>
      </c>
      <c r="AE366" s="192" t="s">
        <v>72</v>
      </c>
      <c r="AF366" s="192" t="s">
        <v>51</v>
      </c>
      <c r="AG366" s="192" t="s">
        <v>165</v>
      </c>
      <c r="AH366" s="192">
        <v>4.0672857326453746</v>
      </c>
      <c r="AJ366" s="192" t="s">
        <v>52</v>
      </c>
      <c r="AK366" s="192" t="s">
        <v>20</v>
      </c>
      <c r="AL366" s="192" t="s">
        <v>28</v>
      </c>
      <c r="AM366" s="192" t="s">
        <v>51</v>
      </c>
      <c r="AN366" s="192" t="s">
        <v>165</v>
      </c>
      <c r="AO366" s="192">
        <v>1.4447646525603046</v>
      </c>
    </row>
    <row r="367" spans="29:41">
      <c r="AC367" s="192" t="s">
        <v>52</v>
      </c>
      <c r="AD367" s="192" t="s">
        <v>20</v>
      </c>
      <c r="AE367" s="192" t="s">
        <v>72</v>
      </c>
      <c r="AF367" s="192" t="s">
        <v>51</v>
      </c>
      <c r="AG367" s="192" t="s">
        <v>166</v>
      </c>
      <c r="AH367" s="192">
        <v>4.1135643018144359</v>
      </c>
      <c r="AJ367" s="192" t="s">
        <v>52</v>
      </c>
      <c r="AK367" s="192" t="s">
        <v>20</v>
      </c>
      <c r="AL367" s="192" t="s">
        <v>28</v>
      </c>
      <c r="AM367" s="192" t="s">
        <v>51</v>
      </c>
      <c r="AN367" s="192" t="s">
        <v>166</v>
      </c>
      <c r="AO367" s="192">
        <v>1.438237888067706</v>
      </c>
    </row>
    <row r="368" spans="29:41">
      <c r="AC368" s="192" t="s">
        <v>52</v>
      </c>
      <c r="AD368" s="192" t="s">
        <v>20</v>
      </c>
      <c r="AE368" s="192" t="s">
        <v>72</v>
      </c>
      <c r="AF368" s="192" t="s">
        <v>51</v>
      </c>
      <c r="AG368" s="192" t="s">
        <v>167</v>
      </c>
      <c r="AH368" s="192">
        <v>4.1135643018144359</v>
      </c>
      <c r="AJ368" s="192" t="s">
        <v>52</v>
      </c>
      <c r="AK368" s="192" t="s">
        <v>20</v>
      </c>
      <c r="AL368" s="192" t="s">
        <v>28</v>
      </c>
      <c r="AM368" s="192" t="s">
        <v>51</v>
      </c>
      <c r="AN368" s="192" t="s">
        <v>167</v>
      </c>
      <c r="AO368" s="192">
        <v>1.4572767202850958</v>
      </c>
    </row>
    <row r="369" spans="29:41">
      <c r="AC369" s="192" t="s">
        <v>52</v>
      </c>
      <c r="AD369" s="192" t="s">
        <v>20</v>
      </c>
      <c r="AE369" s="192" t="s">
        <v>72</v>
      </c>
      <c r="AF369" s="192" t="s">
        <v>51</v>
      </c>
      <c r="AG369" s="192" t="s">
        <v>168</v>
      </c>
      <c r="AH369" s="192">
        <v>4.1135643018144359</v>
      </c>
      <c r="AJ369" s="192" t="s">
        <v>52</v>
      </c>
      <c r="AK369" s="192" t="s">
        <v>20</v>
      </c>
      <c r="AL369" s="192" t="s">
        <v>28</v>
      </c>
      <c r="AM369" s="192" t="s">
        <v>51</v>
      </c>
      <c r="AN369" s="192" t="s">
        <v>168</v>
      </c>
      <c r="AO369" s="192">
        <v>1.4840050840451962</v>
      </c>
    </row>
    <row r="370" spans="29:41">
      <c r="AC370" s="192" t="s">
        <v>52</v>
      </c>
      <c r="AD370" s="192" t="s">
        <v>20</v>
      </c>
      <c r="AE370" s="192" t="s">
        <v>72</v>
      </c>
      <c r="AF370" s="192" t="s">
        <v>51</v>
      </c>
      <c r="AG370" s="192" t="s">
        <v>169</v>
      </c>
      <c r="AH370" s="192">
        <v>4.1135643018144359</v>
      </c>
      <c r="AJ370" s="192" t="s">
        <v>52</v>
      </c>
      <c r="AK370" s="192" t="s">
        <v>20</v>
      </c>
      <c r="AL370" s="192" t="s">
        <v>28</v>
      </c>
      <c r="AM370" s="192" t="s">
        <v>51</v>
      </c>
      <c r="AN370" s="192" t="s">
        <v>169</v>
      </c>
      <c r="AO370" s="192">
        <v>1.4698304513957463</v>
      </c>
    </row>
    <row r="371" spans="29:41">
      <c r="AC371" s="192" t="s">
        <v>52</v>
      </c>
      <c r="AD371" s="192" t="s">
        <v>20</v>
      </c>
      <c r="AE371" s="192" t="s">
        <v>72</v>
      </c>
      <c r="AF371" s="192" t="s">
        <v>51</v>
      </c>
      <c r="AG371" s="192" t="s">
        <v>170</v>
      </c>
      <c r="AH371" s="192">
        <v>4.1748311341021385</v>
      </c>
      <c r="AJ371" s="192" t="s">
        <v>52</v>
      </c>
      <c r="AK371" s="192" t="s">
        <v>20</v>
      </c>
      <c r="AL371" s="192" t="s">
        <v>28</v>
      </c>
      <c r="AM371" s="192" t="s">
        <v>51</v>
      </c>
      <c r="AN371" s="192" t="s">
        <v>170</v>
      </c>
      <c r="AO371" s="192">
        <v>1.4756896794715886</v>
      </c>
    </row>
    <row r="372" spans="29:41">
      <c r="AC372" s="192" t="s">
        <v>52</v>
      </c>
      <c r="AD372" s="192" t="s">
        <v>20</v>
      </c>
      <c r="AE372" s="192" t="s">
        <v>72</v>
      </c>
      <c r="AF372" s="192" t="s">
        <v>51</v>
      </c>
      <c r="AG372" s="192" t="s">
        <v>171</v>
      </c>
      <c r="AH372" s="192">
        <v>4.1618039804499194</v>
      </c>
      <c r="AJ372" s="192" t="s">
        <v>52</v>
      </c>
      <c r="AK372" s="192" t="s">
        <v>20</v>
      </c>
      <c r="AL372" s="192" t="s">
        <v>28</v>
      </c>
      <c r="AM372" s="192" t="s">
        <v>51</v>
      </c>
      <c r="AN372" s="192" t="s">
        <v>171</v>
      </c>
      <c r="AO372" s="192">
        <v>1.4150581088925993</v>
      </c>
    </row>
    <row r="373" spans="29:41">
      <c r="AC373" s="192" t="s">
        <v>52</v>
      </c>
      <c r="AD373" s="192" t="s">
        <v>20</v>
      </c>
      <c r="AE373" s="192" t="s">
        <v>72</v>
      </c>
      <c r="AF373" s="192" t="s">
        <v>51</v>
      </c>
      <c r="AG373" s="192" t="s">
        <v>172</v>
      </c>
      <c r="AH373" s="192">
        <v>4.1305539804499194</v>
      </c>
      <c r="AJ373" s="192" t="s">
        <v>52</v>
      </c>
      <c r="AK373" s="192" t="s">
        <v>20</v>
      </c>
      <c r="AL373" s="192" t="s">
        <v>28</v>
      </c>
      <c r="AM373" s="192" t="s">
        <v>51</v>
      </c>
      <c r="AN373" s="192" t="s">
        <v>172</v>
      </c>
      <c r="AO373" s="192">
        <v>1.3825392574829694</v>
      </c>
    </row>
    <row r="374" spans="29:41">
      <c r="AC374" s="192" t="s">
        <v>52</v>
      </c>
      <c r="AD374" s="192" t="s">
        <v>20</v>
      </c>
      <c r="AE374" s="192" t="s">
        <v>72</v>
      </c>
      <c r="AF374" s="192" t="s">
        <v>51</v>
      </c>
      <c r="AG374" s="192" t="s">
        <v>173</v>
      </c>
      <c r="AH374" s="192">
        <v>4.1305539804499194</v>
      </c>
      <c r="AJ374" s="192" t="s">
        <v>52</v>
      </c>
      <c r="AK374" s="192" t="s">
        <v>20</v>
      </c>
      <c r="AL374" s="192" t="s">
        <v>28</v>
      </c>
      <c r="AM374" s="192" t="s">
        <v>51</v>
      </c>
      <c r="AN374" s="192" t="s">
        <v>173</v>
      </c>
      <c r="AO374" s="192">
        <v>1.324144073385759</v>
      </c>
    </row>
    <row r="375" spans="29:41">
      <c r="AC375" s="192" t="s">
        <v>52</v>
      </c>
      <c r="AD375" s="192" t="s">
        <v>20</v>
      </c>
      <c r="AE375" s="192" t="s">
        <v>72</v>
      </c>
      <c r="AF375" s="192" t="s">
        <v>51</v>
      </c>
      <c r="AG375" s="192" t="s">
        <v>174</v>
      </c>
      <c r="AH375" s="192">
        <v>4.1618039804499194</v>
      </c>
      <c r="AJ375" s="192" t="s">
        <v>52</v>
      </c>
      <c r="AK375" s="192" t="s">
        <v>20</v>
      </c>
      <c r="AL375" s="192" t="s">
        <v>28</v>
      </c>
      <c r="AM375" s="192" t="s">
        <v>51</v>
      </c>
      <c r="AN375" s="192" t="s">
        <v>174</v>
      </c>
      <c r="AO375" s="192">
        <v>1.3201279748352688</v>
      </c>
    </row>
    <row r="376" spans="29:41">
      <c r="AC376" s="192" t="s">
        <v>52</v>
      </c>
      <c r="AD376" s="192" t="s">
        <v>20</v>
      </c>
      <c r="AE376" s="192" t="s">
        <v>72</v>
      </c>
      <c r="AF376" s="192" t="s">
        <v>51</v>
      </c>
      <c r="AG376" s="192" t="s">
        <v>175</v>
      </c>
      <c r="AH376" s="192">
        <v>4.2392234701408622</v>
      </c>
      <c r="AJ376" s="192" t="s">
        <v>52</v>
      </c>
      <c r="AK376" s="192" t="s">
        <v>20</v>
      </c>
      <c r="AL376" s="192" t="s">
        <v>28</v>
      </c>
      <c r="AM376" s="192" t="s">
        <v>51</v>
      </c>
      <c r="AN376" s="192" t="s">
        <v>175</v>
      </c>
      <c r="AO376" s="192">
        <v>1.3635749947061719</v>
      </c>
    </row>
    <row r="377" spans="29:41">
      <c r="AC377" s="192" t="s">
        <v>52</v>
      </c>
      <c r="AD377" s="192" t="s">
        <v>20</v>
      </c>
      <c r="AE377" s="192" t="s">
        <v>72</v>
      </c>
      <c r="AF377" s="192" t="s">
        <v>51</v>
      </c>
      <c r="AG377" s="192" t="s">
        <v>176</v>
      </c>
      <c r="AH377" s="192">
        <v>4.3642403763055508</v>
      </c>
      <c r="AJ377" s="192" t="s">
        <v>52</v>
      </c>
      <c r="AK377" s="192" t="s">
        <v>20</v>
      </c>
      <c r="AL377" s="192" t="s">
        <v>28</v>
      </c>
      <c r="AM377" s="192" t="s">
        <v>51</v>
      </c>
      <c r="AN377" s="192" t="s">
        <v>176</v>
      </c>
      <c r="AO377" s="192">
        <v>1.4449351793489711</v>
      </c>
    </row>
    <row r="378" spans="29:41">
      <c r="AC378" s="192" t="s">
        <v>52</v>
      </c>
      <c r="AD378" s="192" t="s">
        <v>20</v>
      </c>
      <c r="AE378" s="192" t="s">
        <v>72</v>
      </c>
      <c r="AF378" s="192" t="s">
        <v>51</v>
      </c>
      <c r="AG378" s="192" t="s">
        <v>177</v>
      </c>
      <c r="AH378" s="192">
        <v>4.4251782413789309</v>
      </c>
      <c r="AJ378" s="192" t="s">
        <v>52</v>
      </c>
      <c r="AK378" s="192" t="s">
        <v>20</v>
      </c>
      <c r="AL378" s="192" t="s">
        <v>28</v>
      </c>
      <c r="AM378" s="192" t="s">
        <v>51</v>
      </c>
      <c r="AN378" s="192" t="s">
        <v>177</v>
      </c>
      <c r="AO378" s="192">
        <v>1.5634002733348114</v>
      </c>
    </row>
    <row r="379" spans="29:41">
      <c r="AC379" s="192" t="s">
        <v>52</v>
      </c>
      <c r="AD379" s="192" t="s">
        <v>20</v>
      </c>
      <c r="AE379" s="192" t="s">
        <v>72</v>
      </c>
      <c r="AF379" s="192" t="s">
        <v>51</v>
      </c>
      <c r="AG379" s="192" t="s">
        <v>178</v>
      </c>
      <c r="AH379" s="192">
        <v>4.1618039804499194</v>
      </c>
      <c r="AJ379" s="192" t="s">
        <v>52</v>
      </c>
      <c r="AK379" s="192" t="s">
        <v>20</v>
      </c>
      <c r="AL379" s="192" t="s">
        <v>28</v>
      </c>
      <c r="AM379" s="192" t="s">
        <v>51</v>
      </c>
      <c r="AN379" s="192" t="s">
        <v>178</v>
      </c>
      <c r="AO379" s="192">
        <v>1.3516962871966491</v>
      </c>
    </row>
    <row r="380" spans="29:41">
      <c r="AC380" s="192" t="s">
        <v>52</v>
      </c>
      <c r="AD380" s="192" t="s">
        <v>20</v>
      </c>
      <c r="AE380" s="192" t="s">
        <v>72</v>
      </c>
      <c r="AF380" s="192" t="s">
        <v>51</v>
      </c>
      <c r="AG380" s="192" t="s">
        <v>179</v>
      </c>
      <c r="AH380" s="192">
        <v>4.3642403763055508</v>
      </c>
      <c r="AJ380" s="192" t="s">
        <v>52</v>
      </c>
      <c r="AK380" s="192" t="s">
        <v>20</v>
      </c>
      <c r="AL380" s="192" t="s">
        <v>28</v>
      </c>
      <c r="AM380" s="192" t="s">
        <v>51</v>
      </c>
      <c r="AN380" s="192" t="s">
        <v>179</v>
      </c>
      <c r="AO380" s="192">
        <v>1.4442587858770715</v>
      </c>
    </row>
    <row r="381" spans="29:41">
      <c r="AC381" s="192" t="s">
        <v>52</v>
      </c>
      <c r="AD381" s="192" t="s">
        <v>20</v>
      </c>
      <c r="AE381" s="192" t="s">
        <v>72</v>
      </c>
      <c r="AF381" s="192" t="s">
        <v>51</v>
      </c>
      <c r="AG381" s="192" t="s">
        <v>180</v>
      </c>
      <c r="AH381" s="192">
        <v>4.2563244659487021</v>
      </c>
      <c r="AJ381" s="192" t="s">
        <v>52</v>
      </c>
      <c r="AK381" s="192" t="s">
        <v>20</v>
      </c>
      <c r="AL381" s="192" t="s">
        <v>28</v>
      </c>
      <c r="AM381" s="192" t="s">
        <v>51</v>
      </c>
      <c r="AN381" s="192" t="s">
        <v>180</v>
      </c>
      <c r="AO381" s="192">
        <v>1.3200347208363019</v>
      </c>
    </row>
    <row r="382" spans="29:41">
      <c r="AC382" s="192" t="s">
        <v>52</v>
      </c>
      <c r="AD382" s="192" t="s">
        <v>20</v>
      </c>
      <c r="AE382" s="192" t="s">
        <v>72</v>
      </c>
      <c r="AF382" s="192" t="s">
        <v>51</v>
      </c>
      <c r="AG382" s="192" t="s">
        <v>181</v>
      </c>
      <c r="AH382" s="192">
        <v>4.2875744659487021</v>
      </c>
      <c r="AJ382" s="192" t="s">
        <v>52</v>
      </c>
      <c r="AK382" s="192" t="s">
        <v>20</v>
      </c>
      <c r="AL382" s="192" t="s">
        <v>28</v>
      </c>
      <c r="AM382" s="192" t="s">
        <v>51</v>
      </c>
      <c r="AN382" s="192" t="s">
        <v>181</v>
      </c>
      <c r="AO382" s="192">
        <v>1.3289652006753823</v>
      </c>
    </row>
    <row r="383" spans="29:41">
      <c r="AC383" s="192" t="s">
        <v>52</v>
      </c>
      <c r="AD383" s="192" t="s">
        <v>20</v>
      </c>
      <c r="AE383" s="192" t="s">
        <v>72</v>
      </c>
      <c r="AF383" s="192" t="s">
        <v>51</v>
      </c>
      <c r="AG383" s="192" t="s">
        <v>182</v>
      </c>
      <c r="AH383" s="192">
        <v>4.2875744659487021</v>
      </c>
      <c r="AJ383" s="192" t="s">
        <v>52</v>
      </c>
      <c r="AK383" s="192" t="s">
        <v>20</v>
      </c>
      <c r="AL383" s="192" t="s">
        <v>28</v>
      </c>
      <c r="AM383" s="192" t="s">
        <v>51</v>
      </c>
      <c r="AN383" s="192" t="s">
        <v>182</v>
      </c>
      <c r="AO383" s="192">
        <v>1.3806839171553422</v>
      </c>
    </row>
    <row r="384" spans="29:41">
      <c r="AC384" s="192" t="s">
        <v>52</v>
      </c>
      <c r="AD384" s="192" t="s">
        <v>20</v>
      </c>
      <c r="AE384" s="192" t="s">
        <v>72</v>
      </c>
      <c r="AF384" s="192" t="s">
        <v>51</v>
      </c>
      <c r="AG384" s="192" t="s">
        <v>183</v>
      </c>
      <c r="AH384" s="192">
        <v>4.3002725972031506</v>
      </c>
      <c r="AJ384" s="192" t="s">
        <v>52</v>
      </c>
      <c r="AK384" s="192" t="s">
        <v>20</v>
      </c>
      <c r="AL384" s="192" t="s">
        <v>28</v>
      </c>
      <c r="AM384" s="192" t="s">
        <v>51</v>
      </c>
      <c r="AN384" s="192" t="s">
        <v>183</v>
      </c>
      <c r="AO384" s="192">
        <v>1.4739558981629202</v>
      </c>
    </row>
    <row r="385" spans="29:41">
      <c r="AC385" s="192" t="s">
        <v>52</v>
      </c>
      <c r="AD385" s="192" t="s">
        <v>20</v>
      </c>
      <c r="AE385" s="192" t="s">
        <v>72</v>
      </c>
      <c r="AF385" s="192" t="s">
        <v>51</v>
      </c>
      <c r="AG385" s="192" t="s">
        <v>184</v>
      </c>
      <c r="AH385" s="192">
        <v>4.2392234701408622</v>
      </c>
      <c r="AJ385" s="192" t="s">
        <v>52</v>
      </c>
      <c r="AK385" s="192" t="s">
        <v>20</v>
      </c>
      <c r="AL385" s="192" t="s">
        <v>28</v>
      </c>
      <c r="AM385" s="192" t="s">
        <v>51</v>
      </c>
      <c r="AN385" s="192" t="s">
        <v>184</v>
      </c>
      <c r="AO385" s="192">
        <v>1.3495435393462121</v>
      </c>
    </row>
    <row r="386" spans="29:41">
      <c r="AC386" s="192" t="s">
        <v>52</v>
      </c>
      <c r="AD386" s="192" t="s">
        <v>20</v>
      </c>
      <c r="AE386" s="192" t="s">
        <v>72</v>
      </c>
      <c r="AF386" s="192" t="s">
        <v>51</v>
      </c>
      <c r="AG386" s="192" t="s">
        <v>185</v>
      </c>
      <c r="AH386" s="192">
        <v>4.4251782413789309</v>
      </c>
      <c r="AJ386" s="192" t="s">
        <v>52</v>
      </c>
      <c r="AK386" s="192" t="s">
        <v>20</v>
      </c>
      <c r="AL386" s="192" t="s">
        <v>28</v>
      </c>
      <c r="AM386" s="192" t="s">
        <v>51</v>
      </c>
      <c r="AN386" s="192" t="s">
        <v>185</v>
      </c>
      <c r="AO386" s="192">
        <v>1.5037298860002415</v>
      </c>
    </row>
    <row r="387" spans="29:41">
      <c r="AC387" s="192" t="s">
        <v>52</v>
      </c>
      <c r="AD387" s="192" t="s">
        <v>20</v>
      </c>
      <c r="AE387" s="192" t="s">
        <v>72</v>
      </c>
      <c r="AF387" s="192" t="s">
        <v>51</v>
      </c>
      <c r="AG387" s="192" t="s">
        <v>186</v>
      </c>
      <c r="AH387" s="192">
        <v>4.4251782413789309</v>
      </c>
      <c r="AJ387" s="192" t="s">
        <v>52</v>
      </c>
      <c r="AK387" s="192" t="s">
        <v>20</v>
      </c>
      <c r="AL387" s="192" t="s">
        <v>28</v>
      </c>
      <c r="AM387" s="192" t="s">
        <v>51</v>
      </c>
      <c r="AN387" s="192" t="s">
        <v>186</v>
      </c>
      <c r="AO387" s="192">
        <v>1.5149159148678715</v>
      </c>
    </row>
    <row r="388" spans="29:41">
      <c r="AC388" s="192" t="s">
        <v>52</v>
      </c>
      <c r="AD388" s="192" t="s">
        <v>20</v>
      </c>
      <c r="AE388" s="192" t="s">
        <v>72</v>
      </c>
      <c r="AF388" s="192" t="s">
        <v>51</v>
      </c>
      <c r="AG388" s="192" t="s">
        <v>187</v>
      </c>
      <c r="AH388" s="192">
        <v>4.4251782413789309</v>
      </c>
      <c r="AJ388" s="192" t="s">
        <v>52</v>
      </c>
      <c r="AK388" s="192" t="s">
        <v>20</v>
      </c>
      <c r="AL388" s="192" t="s">
        <v>28</v>
      </c>
      <c r="AM388" s="192" t="s">
        <v>51</v>
      </c>
      <c r="AN388" s="192" t="s">
        <v>187</v>
      </c>
      <c r="AO388" s="192">
        <v>1.5652021977943211</v>
      </c>
    </row>
    <row r="389" spans="29:41">
      <c r="AC389" s="192" t="s">
        <v>52</v>
      </c>
      <c r="AD389" s="192" t="s">
        <v>20</v>
      </c>
      <c r="AE389" s="192" t="s">
        <v>72</v>
      </c>
      <c r="AF389" s="192" t="s">
        <v>51</v>
      </c>
      <c r="AG389" s="192" t="s">
        <v>188</v>
      </c>
      <c r="AH389" s="192">
        <v>4.3642403763055508</v>
      </c>
      <c r="AJ389" s="192" t="s">
        <v>52</v>
      </c>
      <c r="AK389" s="192" t="s">
        <v>20</v>
      </c>
      <c r="AL389" s="192" t="s">
        <v>28</v>
      </c>
      <c r="AM389" s="192" t="s">
        <v>51</v>
      </c>
      <c r="AN389" s="192" t="s">
        <v>188</v>
      </c>
      <c r="AO389" s="192">
        <v>1.4727193604751811</v>
      </c>
    </row>
    <row r="390" spans="29:41">
      <c r="AC390" s="192" t="s">
        <v>52</v>
      </c>
      <c r="AD390" s="192" t="s">
        <v>20</v>
      </c>
      <c r="AE390" s="192" t="s">
        <v>72</v>
      </c>
      <c r="AF390" s="192" t="s">
        <v>51</v>
      </c>
      <c r="AG390" s="192" t="s">
        <v>189</v>
      </c>
      <c r="AH390" s="192">
        <v>4.3642403763055508</v>
      </c>
      <c r="AJ390" s="192" t="s">
        <v>52</v>
      </c>
      <c r="AK390" s="192" t="s">
        <v>20</v>
      </c>
      <c r="AL390" s="192" t="s">
        <v>28</v>
      </c>
      <c r="AM390" s="192" t="s">
        <v>51</v>
      </c>
      <c r="AN390" s="192" t="s">
        <v>189</v>
      </c>
      <c r="AO390" s="192">
        <v>1.5141699376919713</v>
      </c>
    </row>
    <row r="391" spans="29:41">
      <c r="AC391" s="192" t="s">
        <v>52</v>
      </c>
      <c r="AD391" s="192" t="s">
        <v>20</v>
      </c>
      <c r="AE391" s="192" t="s">
        <v>72</v>
      </c>
      <c r="AF391" s="192" t="s">
        <v>51</v>
      </c>
      <c r="AG391" s="192" t="s">
        <v>190</v>
      </c>
      <c r="AH391" s="192">
        <v>4.3002725972031506</v>
      </c>
      <c r="AJ391" s="192" t="s">
        <v>52</v>
      </c>
      <c r="AK391" s="192" t="s">
        <v>20</v>
      </c>
      <c r="AL391" s="192" t="s">
        <v>28</v>
      </c>
      <c r="AM391" s="192" t="s">
        <v>51</v>
      </c>
      <c r="AN391" s="192" t="s">
        <v>190</v>
      </c>
      <c r="AO391" s="192">
        <v>1.4542060637102603</v>
      </c>
    </row>
    <row r="392" spans="29:41">
      <c r="AC392" s="192" t="s">
        <v>52</v>
      </c>
      <c r="AD392" s="192" t="s">
        <v>20</v>
      </c>
      <c r="AE392" s="192" t="s">
        <v>72</v>
      </c>
      <c r="AF392" s="192" t="s">
        <v>51</v>
      </c>
      <c r="AG392" s="192" t="s">
        <v>191</v>
      </c>
      <c r="AH392" s="192">
        <v>4.3002725972031506</v>
      </c>
      <c r="AJ392" s="192" t="s">
        <v>52</v>
      </c>
      <c r="AK392" s="192" t="s">
        <v>20</v>
      </c>
      <c r="AL392" s="192" t="s">
        <v>28</v>
      </c>
      <c r="AM392" s="192" t="s">
        <v>51</v>
      </c>
      <c r="AN392" s="192" t="s">
        <v>191</v>
      </c>
      <c r="AO392" s="192">
        <v>1.4589053819857103</v>
      </c>
    </row>
    <row r="393" spans="29:41">
      <c r="AC393" s="192" t="s">
        <v>52</v>
      </c>
      <c r="AD393" s="192" t="s">
        <v>20</v>
      </c>
      <c r="AE393" s="192" t="s">
        <v>72</v>
      </c>
      <c r="AF393" s="192" t="s">
        <v>51</v>
      </c>
      <c r="AG393" s="192" t="s">
        <v>192</v>
      </c>
      <c r="AH393" s="192">
        <v>4.2392234701408622</v>
      </c>
      <c r="AJ393" s="192" t="s">
        <v>52</v>
      </c>
      <c r="AK393" s="192" t="s">
        <v>20</v>
      </c>
      <c r="AL393" s="192" t="s">
        <v>28</v>
      </c>
      <c r="AM393" s="192" t="s">
        <v>51</v>
      </c>
      <c r="AN393" s="192" t="s">
        <v>192</v>
      </c>
      <c r="AO393" s="192">
        <v>1.4266645277043122</v>
      </c>
    </row>
    <row r="394" spans="29:41">
      <c r="AC394" s="192" t="s">
        <v>52</v>
      </c>
      <c r="AD394" s="192" t="s">
        <v>20</v>
      </c>
      <c r="AE394" s="192" t="s">
        <v>72</v>
      </c>
      <c r="AF394" s="192" t="s">
        <v>51</v>
      </c>
      <c r="AG394" s="192" t="s">
        <v>193</v>
      </c>
      <c r="AH394" s="192">
        <v>4.2875744659487021</v>
      </c>
      <c r="AJ394" s="192" t="s">
        <v>52</v>
      </c>
      <c r="AK394" s="192" t="s">
        <v>20</v>
      </c>
      <c r="AL394" s="192" t="s">
        <v>28</v>
      </c>
      <c r="AM394" s="192" t="s">
        <v>51</v>
      </c>
      <c r="AN394" s="192" t="s">
        <v>193</v>
      </c>
      <c r="AO394" s="192">
        <v>1.400266194428482</v>
      </c>
    </row>
    <row r="395" spans="29:41">
      <c r="AC395" s="192" t="s">
        <v>52</v>
      </c>
      <c r="AD395" s="192" t="s">
        <v>20</v>
      </c>
      <c r="AE395" s="192" t="s">
        <v>72</v>
      </c>
      <c r="AF395" s="192" t="s">
        <v>51</v>
      </c>
      <c r="AG395" s="192" t="s">
        <v>194</v>
      </c>
      <c r="AH395" s="192">
        <v>4.2875744659487021</v>
      </c>
      <c r="AJ395" s="192" t="s">
        <v>52</v>
      </c>
      <c r="AK395" s="192" t="s">
        <v>20</v>
      </c>
      <c r="AL395" s="192" t="s">
        <v>28</v>
      </c>
      <c r="AM395" s="192" t="s">
        <v>51</v>
      </c>
      <c r="AN395" s="192" t="s">
        <v>194</v>
      </c>
      <c r="AO395" s="192">
        <v>1.3263393385224218</v>
      </c>
    </row>
    <row r="396" spans="29:41">
      <c r="AC396" s="192" t="s">
        <v>52</v>
      </c>
      <c r="AD396" s="192" t="s">
        <v>20</v>
      </c>
      <c r="AE396" s="192" t="s">
        <v>72</v>
      </c>
      <c r="AF396" s="192" t="s">
        <v>51</v>
      </c>
      <c r="AG396" s="192" t="s">
        <v>195</v>
      </c>
      <c r="AH396" s="192">
        <v>4.4447222357449441</v>
      </c>
      <c r="AJ396" s="192" t="s">
        <v>52</v>
      </c>
      <c r="AK396" s="192" t="s">
        <v>20</v>
      </c>
      <c r="AL396" s="192" t="s">
        <v>28</v>
      </c>
      <c r="AM396" s="192" t="s">
        <v>51</v>
      </c>
      <c r="AN396" s="192" t="s">
        <v>195</v>
      </c>
      <c r="AO396" s="192">
        <v>1.370307804171194</v>
      </c>
    </row>
    <row r="397" spans="29:41">
      <c r="AC397" s="192" t="s">
        <v>52</v>
      </c>
      <c r="AD397" s="192" t="s">
        <v>20</v>
      </c>
      <c r="AE397" s="192" t="s">
        <v>72</v>
      </c>
      <c r="AF397" s="192" t="s">
        <v>51</v>
      </c>
      <c r="AG397" s="192" t="s">
        <v>196</v>
      </c>
      <c r="AH397" s="192">
        <v>4.5531147075387262</v>
      </c>
      <c r="AJ397" s="192" t="s">
        <v>52</v>
      </c>
      <c r="AK397" s="192" t="s">
        <v>20</v>
      </c>
      <c r="AL397" s="192" t="s">
        <v>28</v>
      </c>
      <c r="AM397" s="192" t="s">
        <v>51</v>
      </c>
      <c r="AN397" s="192" t="s">
        <v>196</v>
      </c>
      <c r="AO397" s="192">
        <v>1.527439843923726</v>
      </c>
    </row>
    <row r="398" spans="29:41">
      <c r="AC398" s="192" t="s">
        <v>52</v>
      </c>
      <c r="AD398" s="192" t="s">
        <v>20</v>
      </c>
      <c r="AE398" s="192" t="s">
        <v>72</v>
      </c>
      <c r="AF398" s="192" t="s">
        <v>51</v>
      </c>
      <c r="AG398" s="192" t="s">
        <v>197</v>
      </c>
      <c r="AH398" s="192">
        <v>4.5542256765749203</v>
      </c>
      <c r="AJ398" s="192" t="s">
        <v>52</v>
      </c>
      <c r="AK398" s="192" t="s">
        <v>20</v>
      </c>
      <c r="AL398" s="192" t="s">
        <v>28</v>
      </c>
      <c r="AM398" s="192" t="s">
        <v>51</v>
      </c>
      <c r="AN398" s="192" t="s">
        <v>197</v>
      </c>
      <c r="AO398" s="192">
        <v>1.4356867514630505</v>
      </c>
    </row>
    <row r="399" spans="29:41">
      <c r="AC399" s="192" t="s">
        <v>52</v>
      </c>
      <c r="AD399" s="192" t="s">
        <v>20</v>
      </c>
      <c r="AE399" s="192" t="s">
        <v>72</v>
      </c>
      <c r="AF399" s="192" t="s">
        <v>51</v>
      </c>
      <c r="AG399" s="192" t="s">
        <v>198</v>
      </c>
      <c r="AH399" s="192">
        <v>4.4906750935354101</v>
      </c>
      <c r="AJ399" s="192" t="s">
        <v>52</v>
      </c>
      <c r="AK399" s="192" t="s">
        <v>20</v>
      </c>
      <c r="AL399" s="192" t="s">
        <v>28</v>
      </c>
      <c r="AM399" s="192" t="s">
        <v>51</v>
      </c>
      <c r="AN399" s="192" t="s">
        <v>198</v>
      </c>
      <c r="AO399" s="192">
        <v>1.4054470219983302</v>
      </c>
    </row>
    <row r="400" spans="29:41">
      <c r="AC400" s="192" t="s">
        <v>52</v>
      </c>
      <c r="AD400" s="192" t="s">
        <v>20</v>
      </c>
      <c r="AE400" s="192" t="s">
        <v>72</v>
      </c>
      <c r="AF400" s="192" t="s">
        <v>51</v>
      </c>
      <c r="AG400" s="192" t="s">
        <v>199</v>
      </c>
      <c r="AH400" s="192">
        <v>4.4906750935354101</v>
      </c>
      <c r="AJ400" s="192" t="s">
        <v>52</v>
      </c>
      <c r="AK400" s="192" t="s">
        <v>20</v>
      </c>
      <c r="AL400" s="192" t="s">
        <v>28</v>
      </c>
      <c r="AM400" s="192" t="s">
        <v>51</v>
      </c>
      <c r="AN400" s="192" t="s">
        <v>199</v>
      </c>
      <c r="AO400" s="192">
        <v>1.3613755139107702</v>
      </c>
    </row>
    <row r="401" spans="29:41">
      <c r="AC401" s="192" t="s">
        <v>52</v>
      </c>
      <c r="AD401" s="192" t="s">
        <v>20</v>
      </c>
      <c r="AE401" s="192" t="s">
        <v>72</v>
      </c>
      <c r="AF401" s="192" t="s">
        <v>51</v>
      </c>
      <c r="AG401" s="192" t="s">
        <v>200</v>
      </c>
      <c r="AH401" s="192">
        <v>4.6782163696898609</v>
      </c>
      <c r="AJ401" s="192" t="s">
        <v>52</v>
      </c>
      <c r="AK401" s="192" t="s">
        <v>20</v>
      </c>
      <c r="AL401" s="192" t="s">
        <v>28</v>
      </c>
      <c r="AM401" s="192" t="s">
        <v>51</v>
      </c>
      <c r="AN401" s="192" t="s">
        <v>200</v>
      </c>
      <c r="AO401" s="192">
        <v>1.5008716936970208</v>
      </c>
    </row>
    <row r="402" spans="29:41">
      <c r="AC402" s="192" t="s">
        <v>52</v>
      </c>
      <c r="AD402" s="192" t="s">
        <v>20</v>
      </c>
      <c r="AE402" s="192" t="s">
        <v>72</v>
      </c>
      <c r="AF402" s="192" t="s">
        <v>51</v>
      </c>
      <c r="AG402" s="192" t="s">
        <v>201</v>
      </c>
      <c r="AH402" s="192">
        <v>4.4906750935354101</v>
      </c>
      <c r="AJ402" s="192" t="s">
        <v>52</v>
      </c>
      <c r="AK402" s="192" t="s">
        <v>20</v>
      </c>
      <c r="AL402" s="192" t="s">
        <v>28</v>
      </c>
      <c r="AM402" s="192" t="s">
        <v>51</v>
      </c>
      <c r="AN402" s="192" t="s">
        <v>201</v>
      </c>
      <c r="AO402" s="192">
        <v>1.4145597803303502</v>
      </c>
    </row>
    <row r="403" spans="29:41">
      <c r="AC403" s="192" t="s">
        <v>52</v>
      </c>
      <c r="AD403" s="192" t="s">
        <v>20</v>
      </c>
      <c r="AE403" s="192" t="s">
        <v>72</v>
      </c>
      <c r="AF403" s="192" t="s">
        <v>51</v>
      </c>
      <c r="AG403" s="192" t="s">
        <v>202</v>
      </c>
      <c r="AH403" s="192">
        <v>4.4906750935354101</v>
      </c>
      <c r="AJ403" s="192" t="s">
        <v>52</v>
      </c>
      <c r="AK403" s="192" t="s">
        <v>20</v>
      </c>
      <c r="AL403" s="192" t="s">
        <v>28</v>
      </c>
      <c r="AM403" s="192" t="s">
        <v>51</v>
      </c>
      <c r="AN403" s="192" t="s">
        <v>202</v>
      </c>
      <c r="AO403" s="192">
        <v>1.3987349655618504</v>
      </c>
    </row>
    <row r="404" spans="29:41">
      <c r="AC404" s="192" t="s">
        <v>52</v>
      </c>
      <c r="AD404" s="192" t="s">
        <v>20</v>
      </c>
      <c r="AE404" s="192" t="s">
        <v>72</v>
      </c>
      <c r="AF404" s="192" t="s">
        <v>51</v>
      </c>
      <c r="AG404" s="192" t="s">
        <v>203</v>
      </c>
      <c r="AH404" s="192">
        <v>4.4447222357449441</v>
      </c>
      <c r="AJ404" s="192" t="s">
        <v>52</v>
      </c>
      <c r="AK404" s="192" t="s">
        <v>20</v>
      </c>
      <c r="AL404" s="192" t="s">
        <v>28</v>
      </c>
      <c r="AM404" s="192" t="s">
        <v>51</v>
      </c>
      <c r="AN404" s="192" t="s">
        <v>203</v>
      </c>
      <c r="AO404" s="192">
        <v>1.3598737297946442</v>
      </c>
    </row>
    <row r="405" spans="29:41">
      <c r="AC405" s="192" t="s">
        <v>52</v>
      </c>
      <c r="AD405" s="192" t="s">
        <v>20</v>
      </c>
      <c r="AE405" s="192" t="s">
        <v>72</v>
      </c>
      <c r="AF405" s="192" t="s">
        <v>51</v>
      </c>
      <c r="AG405" s="192" t="s">
        <v>204</v>
      </c>
      <c r="AH405" s="192">
        <v>4.4447222357449441</v>
      </c>
      <c r="AJ405" s="192" t="s">
        <v>52</v>
      </c>
      <c r="AK405" s="192" t="s">
        <v>20</v>
      </c>
      <c r="AL405" s="192" t="s">
        <v>28</v>
      </c>
      <c r="AM405" s="192" t="s">
        <v>51</v>
      </c>
      <c r="AN405" s="192" t="s">
        <v>204</v>
      </c>
      <c r="AO405" s="192">
        <v>1.390981945488184</v>
      </c>
    </row>
    <row r="406" spans="29:41">
      <c r="AC406" s="192" t="s">
        <v>52</v>
      </c>
      <c r="AD406" s="192" t="s">
        <v>20</v>
      </c>
      <c r="AE406" s="192" t="s">
        <v>72</v>
      </c>
      <c r="AF406" s="192" t="s">
        <v>51</v>
      </c>
      <c r="AG406" s="192" t="s">
        <v>205</v>
      </c>
      <c r="AH406" s="192">
        <v>4.4447222357449441</v>
      </c>
      <c r="AJ406" s="192" t="s">
        <v>52</v>
      </c>
      <c r="AK406" s="192" t="s">
        <v>20</v>
      </c>
      <c r="AL406" s="192" t="s">
        <v>28</v>
      </c>
      <c r="AM406" s="192" t="s">
        <v>51</v>
      </c>
      <c r="AN406" s="192" t="s">
        <v>205</v>
      </c>
      <c r="AO406" s="192">
        <v>1.4125607115100141</v>
      </c>
    </row>
    <row r="407" spans="29:41">
      <c r="AC407" s="192" t="s">
        <v>52</v>
      </c>
      <c r="AD407" s="192" t="s">
        <v>20</v>
      </c>
      <c r="AE407" s="192" t="s">
        <v>72</v>
      </c>
      <c r="AF407" s="192" t="s">
        <v>51</v>
      </c>
      <c r="AG407" s="192" t="s">
        <v>206</v>
      </c>
      <c r="AH407" s="192">
        <v>4.5531147075387262</v>
      </c>
      <c r="AJ407" s="192" t="s">
        <v>52</v>
      </c>
      <c r="AK407" s="192" t="s">
        <v>20</v>
      </c>
      <c r="AL407" s="192" t="s">
        <v>28</v>
      </c>
      <c r="AM407" s="192" t="s">
        <v>51</v>
      </c>
      <c r="AN407" s="192" t="s">
        <v>206</v>
      </c>
      <c r="AO407" s="192">
        <v>1.5063127948155564</v>
      </c>
    </row>
    <row r="408" spans="29:41">
      <c r="AC408" s="192" t="s">
        <v>52</v>
      </c>
      <c r="AD408" s="192" t="s">
        <v>20</v>
      </c>
      <c r="AE408" s="192" t="s">
        <v>72</v>
      </c>
      <c r="AF408" s="192" t="s">
        <v>51</v>
      </c>
      <c r="AG408" s="192" t="s">
        <v>207</v>
      </c>
      <c r="AH408" s="192">
        <v>4.364885381659108</v>
      </c>
      <c r="AJ408" s="192" t="s">
        <v>52</v>
      </c>
      <c r="AK408" s="192" t="s">
        <v>20</v>
      </c>
      <c r="AL408" s="192" t="s">
        <v>28</v>
      </c>
      <c r="AM408" s="192" t="s">
        <v>51</v>
      </c>
      <c r="AN408" s="192" t="s">
        <v>207</v>
      </c>
      <c r="AO408" s="192">
        <v>1.3826679777673778</v>
      </c>
    </row>
    <row r="409" spans="29:41">
      <c r="AC409" s="192" t="s">
        <v>52</v>
      </c>
      <c r="AD409" s="192" t="s">
        <v>20</v>
      </c>
      <c r="AE409" s="192" t="s">
        <v>72</v>
      </c>
      <c r="AF409" s="192" t="s">
        <v>51</v>
      </c>
      <c r="AG409" s="192" t="s">
        <v>208</v>
      </c>
      <c r="AH409" s="192">
        <v>4.4894479147795909</v>
      </c>
      <c r="AJ409" s="192" t="s">
        <v>52</v>
      </c>
      <c r="AK409" s="192" t="s">
        <v>20</v>
      </c>
      <c r="AL409" s="192" t="s">
        <v>28</v>
      </c>
      <c r="AM409" s="192" t="s">
        <v>51</v>
      </c>
      <c r="AN409" s="192" t="s">
        <v>208</v>
      </c>
      <c r="AO409" s="192">
        <v>1.4132910260639806</v>
      </c>
    </row>
    <row r="410" spans="29:41">
      <c r="AC410" s="192" t="s">
        <v>52</v>
      </c>
      <c r="AD410" s="192" t="s">
        <v>20</v>
      </c>
      <c r="AE410" s="192" t="s">
        <v>72</v>
      </c>
      <c r="AF410" s="192" t="s">
        <v>51</v>
      </c>
      <c r="AG410" s="192" t="s">
        <v>209</v>
      </c>
      <c r="AH410" s="192">
        <v>4.5542256765749203</v>
      </c>
      <c r="AJ410" s="192" t="s">
        <v>52</v>
      </c>
      <c r="AK410" s="192" t="s">
        <v>20</v>
      </c>
      <c r="AL410" s="192" t="s">
        <v>28</v>
      </c>
      <c r="AM410" s="192" t="s">
        <v>51</v>
      </c>
      <c r="AN410" s="192" t="s">
        <v>209</v>
      </c>
      <c r="AO410" s="192">
        <v>1.4323211554950404</v>
      </c>
    </row>
    <row r="411" spans="29:41">
      <c r="AC411" s="192" t="s">
        <v>52</v>
      </c>
      <c r="AD411" s="192" t="s">
        <v>20</v>
      </c>
      <c r="AE411" s="192" t="s">
        <v>72</v>
      </c>
      <c r="AF411" s="192" t="s">
        <v>51</v>
      </c>
      <c r="AG411" s="192" t="s">
        <v>210</v>
      </c>
      <c r="AH411" s="192">
        <v>4.5542256765749203</v>
      </c>
      <c r="AJ411" s="192" t="s">
        <v>52</v>
      </c>
      <c r="AK411" s="192" t="s">
        <v>20</v>
      </c>
      <c r="AL411" s="192" t="s">
        <v>28</v>
      </c>
      <c r="AM411" s="192" t="s">
        <v>51</v>
      </c>
      <c r="AN411" s="192" t="s">
        <v>210</v>
      </c>
      <c r="AO411" s="192">
        <v>1.4629650661498101</v>
      </c>
    </row>
    <row r="412" spans="29:41">
      <c r="AC412" s="192" t="s">
        <v>52</v>
      </c>
      <c r="AD412" s="192" t="s">
        <v>20</v>
      </c>
      <c r="AE412" s="192" t="s">
        <v>72</v>
      </c>
      <c r="AF412" s="192" t="s">
        <v>51</v>
      </c>
      <c r="AG412" s="192" t="s">
        <v>211</v>
      </c>
      <c r="AH412" s="192">
        <v>4.5542256765749203</v>
      </c>
      <c r="AJ412" s="192" t="s">
        <v>52</v>
      </c>
      <c r="AK412" s="192" t="s">
        <v>20</v>
      </c>
      <c r="AL412" s="192" t="s">
        <v>28</v>
      </c>
      <c r="AM412" s="192" t="s">
        <v>51</v>
      </c>
      <c r="AN412" s="192" t="s">
        <v>211</v>
      </c>
      <c r="AO412" s="192">
        <v>1.4383333690203801</v>
      </c>
    </row>
    <row r="413" spans="29:41">
      <c r="AC413" s="192" t="s">
        <v>52</v>
      </c>
      <c r="AD413" s="192" t="s">
        <v>20</v>
      </c>
      <c r="AE413" s="192" t="s">
        <v>72</v>
      </c>
      <c r="AF413" s="192" t="s">
        <v>51</v>
      </c>
      <c r="AG413" s="192" t="s">
        <v>212</v>
      </c>
      <c r="AH413" s="192">
        <v>4.5079973351823694</v>
      </c>
      <c r="AJ413" s="192" t="s">
        <v>52</v>
      </c>
      <c r="AK413" s="192" t="s">
        <v>20</v>
      </c>
      <c r="AL413" s="192" t="s">
        <v>28</v>
      </c>
      <c r="AM413" s="192" t="s">
        <v>51</v>
      </c>
      <c r="AN413" s="192" t="s">
        <v>212</v>
      </c>
      <c r="AO413" s="192">
        <v>1.3057285407490189</v>
      </c>
    </row>
    <row r="414" spans="29:41">
      <c r="AC414" s="192" t="s">
        <v>52</v>
      </c>
      <c r="AD414" s="192" t="s">
        <v>20</v>
      </c>
      <c r="AE414" s="192" t="s">
        <v>72</v>
      </c>
      <c r="AF414" s="192" t="s">
        <v>51</v>
      </c>
      <c r="AG414" s="192" t="s">
        <v>213</v>
      </c>
      <c r="AH414" s="192">
        <v>4.6147854086055808</v>
      </c>
      <c r="AJ414" s="192" t="s">
        <v>52</v>
      </c>
      <c r="AK414" s="192" t="s">
        <v>20</v>
      </c>
      <c r="AL414" s="192" t="s">
        <v>28</v>
      </c>
      <c r="AM414" s="192" t="s">
        <v>51</v>
      </c>
      <c r="AN414" s="192" t="s">
        <v>213</v>
      </c>
      <c r="AO414" s="192">
        <v>1.5295984886372711</v>
      </c>
    </row>
    <row r="415" spans="29:41">
      <c r="AC415" s="192" t="s">
        <v>52</v>
      </c>
      <c r="AD415" s="192" t="s">
        <v>20</v>
      </c>
      <c r="AE415" s="192" t="s">
        <v>72</v>
      </c>
      <c r="AF415" s="192" t="s">
        <v>51</v>
      </c>
      <c r="AG415" s="192" t="s">
        <v>98</v>
      </c>
      <c r="AH415" s="192">
        <v>4.4906750935354101</v>
      </c>
      <c r="AJ415" s="192" t="s">
        <v>52</v>
      </c>
      <c r="AK415" s="192" t="s">
        <v>20</v>
      </c>
      <c r="AL415" s="192" t="s">
        <v>28</v>
      </c>
      <c r="AM415" s="192" t="s">
        <v>51</v>
      </c>
      <c r="AN415" s="192" t="s">
        <v>98</v>
      </c>
      <c r="AO415" s="192">
        <v>1.4173946502432502</v>
      </c>
    </row>
    <row r="416" spans="29:41">
      <c r="AC416" s="192" t="s">
        <v>52</v>
      </c>
      <c r="AD416" s="192" t="s">
        <v>20</v>
      </c>
      <c r="AE416" s="192" t="s">
        <v>72</v>
      </c>
      <c r="AF416" s="192" t="s">
        <v>51</v>
      </c>
      <c r="AG416" s="192" t="s">
        <v>96</v>
      </c>
      <c r="AH416" s="192">
        <v>4.6782163696898609</v>
      </c>
      <c r="AJ416" s="192" t="s">
        <v>52</v>
      </c>
      <c r="AK416" s="192" t="s">
        <v>20</v>
      </c>
      <c r="AL416" s="192" t="s">
        <v>28</v>
      </c>
      <c r="AM416" s="192" t="s">
        <v>51</v>
      </c>
      <c r="AN416" s="192" t="s">
        <v>96</v>
      </c>
      <c r="AO416" s="192">
        <v>1.5154511173273009</v>
      </c>
    </row>
    <row r="417" spans="29:41">
      <c r="AC417" s="192" t="s">
        <v>52</v>
      </c>
      <c r="AD417" s="192" t="s">
        <v>20</v>
      </c>
      <c r="AE417" s="192" t="s">
        <v>72</v>
      </c>
      <c r="AF417" s="192" t="s">
        <v>51</v>
      </c>
      <c r="AG417" s="192" t="s">
        <v>97</v>
      </c>
      <c r="AH417" s="192">
        <v>4.5542256765749203</v>
      </c>
      <c r="AJ417" s="192" t="s">
        <v>52</v>
      </c>
      <c r="AK417" s="192" t="s">
        <v>20</v>
      </c>
      <c r="AL417" s="192" t="s">
        <v>28</v>
      </c>
      <c r="AM417" s="192" t="s">
        <v>51</v>
      </c>
      <c r="AN417" s="192" t="s">
        <v>97</v>
      </c>
      <c r="AO417" s="192">
        <v>1.4212802787962304</v>
      </c>
    </row>
    <row r="418" spans="29:41">
      <c r="AC418" s="192" t="s">
        <v>52</v>
      </c>
      <c r="AD418" s="192" t="s">
        <v>20</v>
      </c>
      <c r="AE418" s="192" t="s">
        <v>72</v>
      </c>
      <c r="AF418" s="192" t="s">
        <v>51</v>
      </c>
      <c r="AG418" s="192" t="s">
        <v>101</v>
      </c>
      <c r="AH418" s="192">
        <v>4.5531147075387262</v>
      </c>
      <c r="AJ418" s="192" t="s">
        <v>52</v>
      </c>
      <c r="AK418" s="192" t="s">
        <v>20</v>
      </c>
      <c r="AL418" s="192" t="s">
        <v>28</v>
      </c>
      <c r="AM418" s="192" t="s">
        <v>51</v>
      </c>
      <c r="AN418" s="192" t="s">
        <v>101</v>
      </c>
      <c r="AO418" s="192">
        <v>1.5121519879522058</v>
      </c>
    </row>
    <row r="419" spans="29:41">
      <c r="AC419" s="192" t="s">
        <v>52</v>
      </c>
      <c r="AD419" s="192" t="s">
        <v>20</v>
      </c>
      <c r="AE419" s="192" t="s">
        <v>72</v>
      </c>
      <c r="AF419" s="192" t="s">
        <v>51</v>
      </c>
      <c r="AG419" s="192" t="s">
        <v>102</v>
      </c>
      <c r="AH419" s="192">
        <v>4.4894479147795909</v>
      </c>
      <c r="AJ419" s="192" t="s">
        <v>52</v>
      </c>
      <c r="AK419" s="192" t="s">
        <v>20</v>
      </c>
      <c r="AL419" s="192" t="s">
        <v>28</v>
      </c>
      <c r="AM419" s="192" t="s">
        <v>51</v>
      </c>
      <c r="AN419" s="192" t="s">
        <v>102</v>
      </c>
      <c r="AO419" s="192">
        <v>1.4795960028376309</v>
      </c>
    </row>
    <row r="420" spans="29:41">
      <c r="AC420" s="192" t="s">
        <v>52</v>
      </c>
      <c r="AD420" s="192" t="s">
        <v>20</v>
      </c>
      <c r="AE420" s="192" t="s">
        <v>72</v>
      </c>
      <c r="AF420" s="192" t="s">
        <v>51</v>
      </c>
      <c r="AG420" s="192" t="s">
        <v>103</v>
      </c>
      <c r="AH420" s="192">
        <v>4.5531147075387262</v>
      </c>
      <c r="AJ420" s="192" t="s">
        <v>52</v>
      </c>
      <c r="AK420" s="192" t="s">
        <v>20</v>
      </c>
      <c r="AL420" s="192" t="s">
        <v>28</v>
      </c>
      <c r="AM420" s="192" t="s">
        <v>51</v>
      </c>
      <c r="AN420" s="192" t="s">
        <v>103</v>
      </c>
      <c r="AO420" s="192">
        <v>1.573969311298766</v>
      </c>
    </row>
    <row r="421" spans="29:41">
      <c r="AC421" s="192" t="s">
        <v>52</v>
      </c>
      <c r="AD421" s="192" t="s">
        <v>20</v>
      </c>
      <c r="AE421" s="192" t="s">
        <v>72</v>
      </c>
      <c r="AF421" s="192" t="s">
        <v>51</v>
      </c>
      <c r="AG421" s="192" t="s">
        <v>104</v>
      </c>
      <c r="AH421" s="192">
        <v>4.4894479147795909</v>
      </c>
      <c r="AJ421" s="192" t="s">
        <v>52</v>
      </c>
      <c r="AK421" s="192" t="s">
        <v>20</v>
      </c>
      <c r="AL421" s="192" t="s">
        <v>28</v>
      </c>
      <c r="AM421" s="192" t="s">
        <v>51</v>
      </c>
      <c r="AN421" s="192" t="s">
        <v>104</v>
      </c>
      <c r="AO421" s="192">
        <v>1.4374551090588008</v>
      </c>
    </row>
    <row r="422" spans="29:41">
      <c r="AC422" s="192" t="s">
        <v>52</v>
      </c>
      <c r="AD422" s="192" t="s">
        <v>20</v>
      </c>
      <c r="AE422" s="192" t="s">
        <v>72</v>
      </c>
      <c r="AF422" s="192" t="s">
        <v>51</v>
      </c>
      <c r="AG422" s="192" t="s">
        <v>105</v>
      </c>
      <c r="AH422" s="192">
        <v>4.6147854086055808</v>
      </c>
      <c r="AJ422" s="192" t="s">
        <v>52</v>
      </c>
      <c r="AK422" s="192" t="s">
        <v>20</v>
      </c>
      <c r="AL422" s="192" t="s">
        <v>28</v>
      </c>
      <c r="AM422" s="192" t="s">
        <v>51</v>
      </c>
      <c r="AN422" s="192" t="s">
        <v>105</v>
      </c>
      <c r="AO422" s="192">
        <v>1.4678709119798614</v>
      </c>
    </row>
    <row r="423" spans="29:41">
      <c r="AC423" s="192" t="s">
        <v>52</v>
      </c>
      <c r="AD423" s="192" t="s">
        <v>20</v>
      </c>
      <c r="AE423" s="192" t="s">
        <v>72</v>
      </c>
      <c r="AF423" s="192" t="s">
        <v>51</v>
      </c>
      <c r="AG423" s="192" t="s">
        <v>106</v>
      </c>
      <c r="AH423" s="192">
        <v>4.5079973351823694</v>
      </c>
      <c r="AJ423" s="192" t="s">
        <v>52</v>
      </c>
      <c r="AK423" s="192" t="s">
        <v>20</v>
      </c>
      <c r="AL423" s="192" t="s">
        <v>28</v>
      </c>
      <c r="AM423" s="192" t="s">
        <v>51</v>
      </c>
      <c r="AN423" s="192" t="s">
        <v>106</v>
      </c>
      <c r="AO423" s="192">
        <v>1.3639171740492693</v>
      </c>
    </row>
    <row r="424" spans="29:41">
      <c r="AC424" s="192" t="s">
        <v>52</v>
      </c>
      <c r="AD424" s="192" t="s">
        <v>20</v>
      </c>
      <c r="AE424" s="192" t="s">
        <v>72</v>
      </c>
      <c r="AF424" s="192" t="s">
        <v>51</v>
      </c>
      <c r="AG424" s="192" t="s">
        <v>107</v>
      </c>
      <c r="AH424" s="192">
        <v>4.5542256765749203</v>
      </c>
      <c r="AJ424" s="192" t="s">
        <v>52</v>
      </c>
      <c r="AK424" s="192" t="s">
        <v>20</v>
      </c>
      <c r="AL424" s="192" t="s">
        <v>28</v>
      </c>
      <c r="AM424" s="192" t="s">
        <v>51</v>
      </c>
      <c r="AN424" s="192" t="s">
        <v>107</v>
      </c>
      <c r="AO424" s="192">
        <v>1.4461191235552002</v>
      </c>
    </row>
    <row r="425" spans="29:41">
      <c r="AC425" s="192" t="s">
        <v>52</v>
      </c>
      <c r="AD425" s="192" t="s">
        <v>20</v>
      </c>
      <c r="AE425" s="192" t="s">
        <v>72</v>
      </c>
      <c r="AF425" s="192" t="s">
        <v>51</v>
      </c>
      <c r="AG425" s="192" t="s">
        <v>108</v>
      </c>
      <c r="AH425" s="192">
        <v>4.4906750935354101</v>
      </c>
      <c r="AJ425" s="192" t="s">
        <v>52</v>
      </c>
      <c r="AK425" s="192" t="s">
        <v>20</v>
      </c>
      <c r="AL425" s="192" t="s">
        <v>28</v>
      </c>
      <c r="AM425" s="192" t="s">
        <v>51</v>
      </c>
      <c r="AN425" s="192" t="s">
        <v>108</v>
      </c>
      <c r="AO425" s="192">
        <v>1.4254869680587003</v>
      </c>
    </row>
    <row r="426" spans="29:41">
      <c r="AC426" s="192" t="s">
        <v>52</v>
      </c>
      <c r="AD426" s="192" t="s">
        <v>20</v>
      </c>
      <c r="AE426" s="192" t="s">
        <v>72</v>
      </c>
      <c r="AF426" s="192" t="s">
        <v>51</v>
      </c>
      <c r="AG426" s="192" t="s">
        <v>100</v>
      </c>
      <c r="AH426" s="192">
        <v>4.5542256765749203</v>
      </c>
      <c r="AJ426" s="192" t="s">
        <v>52</v>
      </c>
      <c r="AK426" s="192" t="s">
        <v>20</v>
      </c>
      <c r="AL426" s="192" t="s">
        <v>28</v>
      </c>
      <c r="AM426" s="192" t="s">
        <v>51</v>
      </c>
      <c r="AN426" s="192" t="s">
        <v>100</v>
      </c>
      <c r="AO426" s="192">
        <v>1.4899885813220202</v>
      </c>
    </row>
    <row r="427" spans="29:41">
      <c r="AC427" s="192" t="s">
        <v>52</v>
      </c>
      <c r="AD427" s="192" t="s">
        <v>20</v>
      </c>
      <c r="AE427" s="192" t="s">
        <v>72</v>
      </c>
      <c r="AF427" s="192" t="s">
        <v>51</v>
      </c>
      <c r="AG427" s="192" t="s">
        <v>109</v>
      </c>
      <c r="AH427" s="192">
        <v>4.4906750935354101</v>
      </c>
      <c r="AJ427" s="192" t="s">
        <v>52</v>
      </c>
      <c r="AK427" s="192" t="s">
        <v>20</v>
      </c>
      <c r="AL427" s="192" t="s">
        <v>28</v>
      </c>
      <c r="AM427" s="192" t="s">
        <v>51</v>
      </c>
      <c r="AN427" s="192" t="s">
        <v>109</v>
      </c>
      <c r="AO427" s="192">
        <v>1.4398101423461602</v>
      </c>
    </row>
    <row r="428" spans="29:41">
      <c r="AC428" s="192" t="s">
        <v>52</v>
      </c>
      <c r="AD428" s="192" t="s">
        <v>20</v>
      </c>
      <c r="AE428" s="192" t="s">
        <v>72</v>
      </c>
      <c r="AF428" s="192" t="s">
        <v>51</v>
      </c>
      <c r="AG428" s="192" t="s">
        <v>110</v>
      </c>
      <c r="AH428" s="192">
        <v>4.4906750935354101</v>
      </c>
      <c r="AJ428" s="192" t="s">
        <v>52</v>
      </c>
      <c r="AK428" s="192" t="s">
        <v>20</v>
      </c>
      <c r="AL428" s="192" t="s">
        <v>28</v>
      </c>
      <c r="AM428" s="192" t="s">
        <v>51</v>
      </c>
      <c r="AN428" s="192" t="s">
        <v>110</v>
      </c>
      <c r="AO428" s="192">
        <v>1.4204064910685703</v>
      </c>
    </row>
    <row r="429" spans="29:41">
      <c r="AC429" s="192" t="s">
        <v>52</v>
      </c>
      <c r="AD429" s="192" t="s">
        <v>20</v>
      </c>
      <c r="AE429" s="192" t="s">
        <v>72</v>
      </c>
      <c r="AF429" s="192" t="s">
        <v>51</v>
      </c>
      <c r="AG429" s="192" t="s">
        <v>111</v>
      </c>
      <c r="AH429" s="192">
        <v>4.5531147075387262</v>
      </c>
      <c r="AJ429" s="192" t="s">
        <v>52</v>
      </c>
      <c r="AK429" s="192" t="s">
        <v>20</v>
      </c>
      <c r="AL429" s="192" t="s">
        <v>28</v>
      </c>
      <c r="AM429" s="192" t="s">
        <v>51</v>
      </c>
      <c r="AN429" s="192" t="s">
        <v>111</v>
      </c>
      <c r="AO429" s="192">
        <v>1.5121161182470062</v>
      </c>
    </row>
    <row r="430" spans="29:41">
      <c r="AC430" s="192" t="s">
        <v>52</v>
      </c>
      <c r="AD430" s="192" t="s">
        <v>20</v>
      </c>
      <c r="AE430" s="192" t="s">
        <v>72</v>
      </c>
      <c r="AF430" s="192" t="s">
        <v>51</v>
      </c>
      <c r="AG430" s="192" t="s">
        <v>99</v>
      </c>
      <c r="AH430" s="192">
        <v>4.4894479147795909</v>
      </c>
      <c r="AJ430" s="192" t="s">
        <v>52</v>
      </c>
      <c r="AK430" s="192" t="s">
        <v>20</v>
      </c>
      <c r="AL430" s="192" t="s">
        <v>28</v>
      </c>
      <c r="AM430" s="192" t="s">
        <v>51</v>
      </c>
      <c r="AN430" s="192" t="s">
        <v>99</v>
      </c>
      <c r="AO430" s="192">
        <v>1.462175640413621</v>
      </c>
    </row>
    <row r="431" spans="29:41">
      <c r="AC431" s="192" t="s">
        <v>52</v>
      </c>
      <c r="AD431" s="192" t="s">
        <v>20</v>
      </c>
      <c r="AE431" s="192" t="s">
        <v>72</v>
      </c>
      <c r="AF431" s="192" t="s">
        <v>51</v>
      </c>
      <c r="AG431" s="192" t="s">
        <v>126</v>
      </c>
      <c r="AH431" s="192">
        <v>4.5531147075387262</v>
      </c>
      <c r="AJ431" s="192" t="s">
        <v>52</v>
      </c>
      <c r="AK431" s="192" t="s">
        <v>20</v>
      </c>
      <c r="AL431" s="192" t="s">
        <v>28</v>
      </c>
      <c r="AM431" s="192" t="s">
        <v>51</v>
      </c>
      <c r="AN431" s="192" t="s">
        <v>126</v>
      </c>
      <c r="AO431" s="192">
        <v>1.5515903486912459</v>
      </c>
    </row>
    <row r="432" spans="29:41">
      <c r="AC432" s="192" t="s">
        <v>52</v>
      </c>
      <c r="AD432" s="192" t="s">
        <v>20</v>
      </c>
      <c r="AE432" s="192" t="s">
        <v>72</v>
      </c>
      <c r="AF432" s="192" t="s">
        <v>51</v>
      </c>
      <c r="AG432" s="192" t="s">
        <v>124</v>
      </c>
      <c r="AH432" s="192">
        <v>4.4286731677951829</v>
      </c>
      <c r="AJ432" s="192" t="s">
        <v>52</v>
      </c>
      <c r="AK432" s="192" t="s">
        <v>20</v>
      </c>
      <c r="AL432" s="192" t="s">
        <v>28</v>
      </c>
      <c r="AM432" s="192" t="s">
        <v>51</v>
      </c>
      <c r="AN432" s="192" t="s">
        <v>124</v>
      </c>
      <c r="AO432" s="192">
        <v>1.4198657383793729</v>
      </c>
    </row>
    <row r="433" spans="29:41">
      <c r="AC433" s="192" t="s">
        <v>52</v>
      </c>
      <c r="AD433" s="192" t="s">
        <v>20</v>
      </c>
      <c r="AE433" s="192" t="s">
        <v>72</v>
      </c>
      <c r="AF433" s="192" t="s">
        <v>51</v>
      </c>
      <c r="AG433" s="192" t="s">
        <v>127</v>
      </c>
      <c r="AH433" s="192">
        <v>4.4286731677951829</v>
      </c>
      <c r="AJ433" s="192" t="s">
        <v>52</v>
      </c>
      <c r="AK433" s="192" t="s">
        <v>20</v>
      </c>
      <c r="AL433" s="192" t="s">
        <v>28</v>
      </c>
      <c r="AM433" s="192" t="s">
        <v>51</v>
      </c>
      <c r="AN433" s="192" t="s">
        <v>127</v>
      </c>
      <c r="AO433" s="192">
        <v>1.4517911864446933</v>
      </c>
    </row>
    <row r="434" spans="29:41">
      <c r="AC434" s="192" t="s">
        <v>52</v>
      </c>
      <c r="AD434" s="192" t="s">
        <v>20</v>
      </c>
      <c r="AE434" s="192" t="s">
        <v>72</v>
      </c>
      <c r="AF434" s="192" t="s">
        <v>51</v>
      </c>
      <c r="AG434" s="192" t="s">
        <v>128</v>
      </c>
      <c r="AH434" s="192">
        <v>4.4286731677951829</v>
      </c>
      <c r="AJ434" s="192" t="s">
        <v>52</v>
      </c>
      <c r="AK434" s="192" t="s">
        <v>20</v>
      </c>
      <c r="AL434" s="192" t="s">
        <v>28</v>
      </c>
      <c r="AM434" s="192" t="s">
        <v>51</v>
      </c>
      <c r="AN434" s="192" t="s">
        <v>128</v>
      </c>
      <c r="AO434" s="192">
        <v>1.4586457972250528</v>
      </c>
    </row>
    <row r="435" spans="29:41">
      <c r="AC435" s="192" t="s">
        <v>52</v>
      </c>
      <c r="AD435" s="192" t="s">
        <v>20</v>
      </c>
      <c r="AE435" s="192" t="s">
        <v>72</v>
      </c>
      <c r="AF435" s="192" t="s">
        <v>51</v>
      </c>
      <c r="AG435" s="192" t="s">
        <v>129</v>
      </c>
      <c r="AH435" s="192">
        <v>4.4894479147795909</v>
      </c>
      <c r="AJ435" s="192" t="s">
        <v>52</v>
      </c>
      <c r="AK435" s="192" t="s">
        <v>20</v>
      </c>
      <c r="AL435" s="192" t="s">
        <v>28</v>
      </c>
      <c r="AM435" s="192" t="s">
        <v>51</v>
      </c>
      <c r="AN435" s="192" t="s">
        <v>129</v>
      </c>
      <c r="AO435" s="192">
        <v>1.4942312268823306</v>
      </c>
    </row>
    <row r="436" spans="29:41">
      <c r="AC436" s="192" t="s">
        <v>52</v>
      </c>
      <c r="AD436" s="192" t="s">
        <v>20</v>
      </c>
      <c r="AE436" s="192" t="s">
        <v>72</v>
      </c>
      <c r="AF436" s="192" t="s">
        <v>51</v>
      </c>
      <c r="AG436" s="192" t="s">
        <v>123</v>
      </c>
      <c r="AH436" s="192">
        <v>4.4894479147795909</v>
      </c>
      <c r="AJ436" s="192" t="s">
        <v>52</v>
      </c>
      <c r="AK436" s="192" t="s">
        <v>20</v>
      </c>
      <c r="AL436" s="192" t="s">
        <v>28</v>
      </c>
      <c r="AM436" s="192" t="s">
        <v>51</v>
      </c>
      <c r="AN436" s="192" t="s">
        <v>123</v>
      </c>
      <c r="AO436" s="192">
        <v>1.4950023679760609</v>
      </c>
    </row>
    <row r="437" spans="29:41">
      <c r="AC437" s="192" t="s">
        <v>52</v>
      </c>
      <c r="AD437" s="192" t="s">
        <v>20</v>
      </c>
      <c r="AE437" s="192" t="s">
        <v>72</v>
      </c>
      <c r="AF437" s="192" t="s">
        <v>51</v>
      </c>
      <c r="AG437" s="192" t="s">
        <v>125</v>
      </c>
      <c r="AH437" s="192">
        <v>4.3188244659487021</v>
      </c>
      <c r="AJ437" s="192" t="s">
        <v>52</v>
      </c>
      <c r="AK437" s="192" t="s">
        <v>20</v>
      </c>
      <c r="AL437" s="192" t="s">
        <v>28</v>
      </c>
      <c r="AM437" s="192" t="s">
        <v>51</v>
      </c>
      <c r="AN437" s="192" t="s">
        <v>125</v>
      </c>
      <c r="AO437" s="192">
        <v>1.4033163399863324</v>
      </c>
    </row>
    <row r="438" spans="29:41">
      <c r="AC438" s="192" t="s">
        <v>52</v>
      </c>
      <c r="AD438" s="192" t="s">
        <v>20</v>
      </c>
      <c r="AE438" s="192" t="s">
        <v>72</v>
      </c>
      <c r="AF438" s="192" t="s">
        <v>51</v>
      </c>
      <c r="AG438" s="192" t="s">
        <v>215</v>
      </c>
      <c r="AH438" s="192">
        <v>4.2875744659487021</v>
      </c>
      <c r="AJ438" s="192" t="s">
        <v>52</v>
      </c>
      <c r="AK438" s="192" t="s">
        <v>20</v>
      </c>
      <c r="AL438" s="192" t="s">
        <v>28</v>
      </c>
      <c r="AM438" s="192" t="s">
        <v>51</v>
      </c>
      <c r="AN438" s="192" t="s">
        <v>215</v>
      </c>
      <c r="AO438" s="192">
        <v>1.4016155825874324</v>
      </c>
    </row>
    <row r="439" spans="29:41">
      <c r="AC439" s="192" t="s">
        <v>53</v>
      </c>
      <c r="AD439" s="192" t="s">
        <v>20</v>
      </c>
      <c r="AE439" s="192" t="s">
        <v>72</v>
      </c>
      <c r="AF439" s="192" t="s">
        <v>51</v>
      </c>
      <c r="AG439" s="192" t="s">
        <v>130</v>
      </c>
      <c r="AH439" s="192">
        <v>4.0036250000000004</v>
      </c>
      <c r="AJ439" s="192" t="s">
        <v>74</v>
      </c>
      <c r="AK439" s="192" t="s">
        <v>88</v>
      </c>
      <c r="AL439" s="192" t="s">
        <v>25</v>
      </c>
      <c r="AM439" s="192" t="s">
        <v>51</v>
      </c>
      <c r="AN439" s="192" t="s">
        <v>130</v>
      </c>
      <c r="AO439" s="192">
        <v>2.8341999400292899</v>
      </c>
    </row>
    <row r="440" spans="29:41">
      <c r="AC440" s="192" t="s">
        <v>53</v>
      </c>
      <c r="AD440" s="192" t="s">
        <v>20</v>
      </c>
      <c r="AE440" s="192" t="s">
        <v>72</v>
      </c>
      <c r="AF440" s="192" t="s">
        <v>51</v>
      </c>
      <c r="AG440" s="192" t="s">
        <v>131</v>
      </c>
      <c r="AH440" s="192">
        <v>4.0036250000000004</v>
      </c>
      <c r="AJ440" s="192" t="s">
        <v>74</v>
      </c>
      <c r="AK440" s="192" t="s">
        <v>88</v>
      </c>
      <c r="AL440" s="192" t="s">
        <v>25</v>
      </c>
      <c r="AM440" s="192" t="s">
        <v>51</v>
      </c>
      <c r="AN440" s="192" t="s">
        <v>131</v>
      </c>
      <c r="AO440" s="192">
        <v>2.8241837227534399</v>
      </c>
    </row>
    <row r="441" spans="29:41">
      <c r="AC441" s="192" t="s">
        <v>53</v>
      </c>
      <c r="AD441" s="192" t="s">
        <v>20</v>
      </c>
      <c r="AE441" s="192" t="s">
        <v>72</v>
      </c>
      <c r="AF441" s="192" t="s">
        <v>51</v>
      </c>
      <c r="AG441" s="192" t="s">
        <v>132</v>
      </c>
      <c r="AH441" s="192">
        <v>3.9717500000000001</v>
      </c>
      <c r="AJ441" s="192" t="s">
        <v>74</v>
      </c>
      <c r="AK441" s="192" t="s">
        <v>88</v>
      </c>
      <c r="AL441" s="192" t="s">
        <v>25</v>
      </c>
      <c r="AM441" s="192" t="s">
        <v>51</v>
      </c>
      <c r="AN441" s="192" t="s">
        <v>132</v>
      </c>
      <c r="AO441" s="192">
        <v>2.81556157497667</v>
      </c>
    </row>
    <row r="442" spans="29:41">
      <c r="AC442" s="192" t="s">
        <v>53</v>
      </c>
      <c r="AD442" s="192" t="s">
        <v>20</v>
      </c>
      <c r="AE442" s="192" t="s">
        <v>72</v>
      </c>
      <c r="AF442" s="192" t="s">
        <v>51</v>
      </c>
      <c r="AG442" s="192" t="s">
        <v>133</v>
      </c>
      <c r="AH442" s="192">
        <v>4.0676249999999996</v>
      </c>
      <c r="AJ442" s="192" t="s">
        <v>74</v>
      </c>
      <c r="AK442" s="192" t="s">
        <v>88</v>
      </c>
      <c r="AL442" s="192" t="s">
        <v>25</v>
      </c>
      <c r="AM442" s="192" t="s">
        <v>51</v>
      </c>
      <c r="AN442" s="192" t="s">
        <v>133</v>
      </c>
      <c r="AO442" s="192">
        <v>2.9303170109018999</v>
      </c>
    </row>
    <row r="443" spans="29:41">
      <c r="AC443" s="192" t="s">
        <v>53</v>
      </c>
      <c r="AD443" s="192" t="s">
        <v>20</v>
      </c>
      <c r="AE443" s="192" t="s">
        <v>72</v>
      </c>
      <c r="AF443" s="192" t="s">
        <v>51</v>
      </c>
      <c r="AG443" s="192" t="s">
        <v>134</v>
      </c>
      <c r="AH443" s="192">
        <v>4.0353750000000002</v>
      </c>
      <c r="AJ443" s="192" t="s">
        <v>74</v>
      </c>
      <c r="AK443" s="192" t="s">
        <v>88</v>
      </c>
      <c r="AL443" s="192" t="s">
        <v>25</v>
      </c>
      <c r="AM443" s="192" t="s">
        <v>51</v>
      </c>
      <c r="AN443" s="192" t="s">
        <v>134</v>
      </c>
      <c r="AO443" s="192">
        <v>2.90222752352993</v>
      </c>
    </row>
    <row r="444" spans="29:41">
      <c r="AC444" s="192" t="s">
        <v>53</v>
      </c>
      <c r="AD444" s="192" t="s">
        <v>20</v>
      </c>
      <c r="AE444" s="192" t="s">
        <v>72</v>
      </c>
      <c r="AF444" s="192" t="s">
        <v>51</v>
      </c>
      <c r="AG444" s="192" t="s">
        <v>135</v>
      </c>
      <c r="AH444" s="192">
        <v>4.0353750000000002</v>
      </c>
      <c r="AJ444" s="192" t="s">
        <v>74</v>
      </c>
      <c r="AK444" s="192" t="s">
        <v>88</v>
      </c>
      <c r="AL444" s="192" t="s">
        <v>25</v>
      </c>
      <c r="AM444" s="192" t="s">
        <v>51</v>
      </c>
      <c r="AN444" s="192" t="s">
        <v>135</v>
      </c>
      <c r="AO444" s="192">
        <v>2.84635033680676</v>
      </c>
    </row>
    <row r="445" spans="29:41">
      <c r="AC445" s="192" t="s">
        <v>53</v>
      </c>
      <c r="AD445" s="192" t="s">
        <v>20</v>
      </c>
      <c r="AE445" s="192" t="s">
        <v>72</v>
      </c>
      <c r="AF445" s="192" t="s">
        <v>51</v>
      </c>
      <c r="AG445" s="192" t="s">
        <v>136</v>
      </c>
      <c r="AH445" s="192">
        <v>4.0036250000000004</v>
      </c>
      <c r="AJ445" s="192" t="s">
        <v>74</v>
      </c>
      <c r="AK445" s="192" t="s">
        <v>88</v>
      </c>
      <c r="AL445" s="192" t="s">
        <v>25</v>
      </c>
      <c r="AM445" s="192" t="s">
        <v>51</v>
      </c>
      <c r="AN445" s="192" t="s">
        <v>136</v>
      </c>
      <c r="AO445" s="192">
        <v>2.8278353033181198</v>
      </c>
    </row>
    <row r="446" spans="29:41">
      <c r="AC446" s="192" t="s">
        <v>53</v>
      </c>
      <c r="AD446" s="192" t="s">
        <v>20</v>
      </c>
      <c r="AE446" s="192" t="s">
        <v>72</v>
      </c>
      <c r="AF446" s="192" t="s">
        <v>51</v>
      </c>
      <c r="AG446" s="192" t="s">
        <v>137</v>
      </c>
      <c r="AH446" s="192">
        <v>3.9717500000000001</v>
      </c>
      <c r="AJ446" s="192" t="s">
        <v>74</v>
      </c>
      <c r="AK446" s="192" t="s">
        <v>88</v>
      </c>
      <c r="AL446" s="192" t="s">
        <v>25</v>
      </c>
      <c r="AM446" s="192" t="s">
        <v>51</v>
      </c>
      <c r="AN446" s="192" t="s">
        <v>137</v>
      </c>
      <c r="AO446" s="192">
        <v>2.8138191102539798</v>
      </c>
    </row>
    <row r="447" spans="29:41">
      <c r="AC447" s="192" t="s">
        <v>53</v>
      </c>
      <c r="AD447" s="192" t="s">
        <v>20</v>
      </c>
      <c r="AE447" s="192" t="s">
        <v>72</v>
      </c>
      <c r="AF447" s="192" t="s">
        <v>51</v>
      </c>
      <c r="AG447" s="192" t="s">
        <v>138</v>
      </c>
      <c r="AH447" s="192">
        <v>4.0036250000000004</v>
      </c>
      <c r="AJ447" s="192" t="s">
        <v>74</v>
      </c>
      <c r="AK447" s="192" t="s">
        <v>88</v>
      </c>
      <c r="AL447" s="192" t="s">
        <v>25</v>
      </c>
      <c r="AM447" s="192" t="s">
        <v>51</v>
      </c>
      <c r="AN447" s="192" t="s">
        <v>138</v>
      </c>
      <c r="AO447" s="192">
        <v>2.8315057491425</v>
      </c>
    </row>
    <row r="448" spans="29:41">
      <c r="AC448" s="192" t="s">
        <v>53</v>
      </c>
      <c r="AD448" s="192" t="s">
        <v>20</v>
      </c>
      <c r="AE448" s="192" t="s">
        <v>72</v>
      </c>
      <c r="AF448" s="192" t="s">
        <v>51</v>
      </c>
      <c r="AG448" s="192" t="s">
        <v>139</v>
      </c>
      <c r="AH448" s="192">
        <v>3.9717500000000001</v>
      </c>
      <c r="AJ448" s="192" t="s">
        <v>74</v>
      </c>
      <c r="AK448" s="192" t="s">
        <v>88</v>
      </c>
      <c r="AL448" s="192" t="s">
        <v>25</v>
      </c>
      <c r="AM448" s="192" t="s">
        <v>51</v>
      </c>
      <c r="AN448" s="192" t="s">
        <v>139</v>
      </c>
      <c r="AO448" s="192">
        <v>2.8241768518279202</v>
      </c>
    </row>
    <row r="449" spans="29:41">
      <c r="AC449" s="192" t="s">
        <v>53</v>
      </c>
      <c r="AD449" s="192" t="s">
        <v>20</v>
      </c>
      <c r="AE449" s="192" t="s">
        <v>72</v>
      </c>
      <c r="AF449" s="192" t="s">
        <v>51</v>
      </c>
      <c r="AG449" s="192" t="s">
        <v>140</v>
      </c>
      <c r="AH449" s="192">
        <v>3.9717500000000001</v>
      </c>
      <c r="AJ449" s="192" t="s">
        <v>74</v>
      </c>
      <c r="AK449" s="192" t="s">
        <v>88</v>
      </c>
      <c r="AL449" s="192" t="s">
        <v>25</v>
      </c>
      <c r="AM449" s="192" t="s">
        <v>51</v>
      </c>
      <c r="AN449" s="192" t="s">
        <v>140</v>
      </c>
      <c r="AO449" s="192">
        <v>2.79584100930466</v>
      </c>
    </row>
    <row r="450" spans="29:41">
      <c r="AC450" s="192" t="s">
        <v>53</v>
      </c>
      <c r="AD450" s="192" t="s">
        <v>20</v>
      </c>
      <c r="AE450" s="192" t="s">
        <v>72</v>
      </c>
      <c r="AF450" s="192" t="s">
        <v>51</v>
      </c>
      <c r="AG450" s="192" t="s">
        <v>141</v>
      </c>
      <c r="AH450" s="192">
        <v>3.8759999999999994</v>
      </c>
      <c r="AJ450" s="192" t="s">
        <v>74</v>
      </c>
      <c r="AK450" s="192" t="s">
        <v>88</v>
      </c>
      <c r="AL450" s="192" t="s">
        <v>25</v>
      </c>
      <c r="AM450" s="192" t="s">
        <v>51</v>
      </c>
      <c r="AN450" s="192" t="s">
        <v>141</v>
      </c>
      <c r="AO450" s="192">
        <v>2.6928489030954199</v>
      </c>
    </row>
    <row r="451" spans="29:41">
      <c r="AC451" s="192" t="s">
        <v>53</v>
      </c>
      <c r="AD451" s="192" t="s">
        <v>20</v>
      </c>
      <c r="AE451" s="192" t="s">
        <v>72</v>
      </c>
      <c r="AF451" s="192" t="s">
        <v>51</v>
      </c>
      <c r="AG451" s="192" t="s">
        <v>142</v>
      </c>
      <c r="AH451" s="192">
        <v>3.8441249999999996</v>
      </c>
      <c r="AJ451" s="192" t="s">
        <v>74</v>
      </c>
      <c r="AK451" s="192" t="s">
        <v>88</v>
      </c>
      <c r="AL451" s="192" t="s">
        <v>25</v>
      </c>
      <c r="AM451" s="192" t="s">
        <v>51</v>
      </c>
      <c r="AN451" s="192" t="s">
        <v>142</v>
      </c>
      <c r="AO451" s="192">
        <v>2.70955656376128</v>
      </c>
    </row>
    <row r="452" spans="29:41">
      <c r="AC452" s="192" t="s">
        <v>53</v>
      </c>
      <c r="AD452" s="192" t="s">
        <v>20</v>
      </c>
      <c r="AE452" s="192" t="s">
        <v>72</v>
      </c>
      <c r="AF452" s="192" t="s">
        <v>51</v>
      </c>
      <c r="AG452" s="192" t="s">
        <v>143</v>
      </c>
      <c r="AH452" s="192">
        <v>3.9077500000000001</v>
      </c>
      <c r="AJ452" s="192" t="s">
        <v>74</v>
      </c>
      <c r="AK452" s="192" t="s">
        <v>88</v>
      </c>
      <c r="AL452" s="192" t="s">
        <v>25</v>
      </c>
      <c r="AM452" s="192" t="s">
        <v>51</v>
      </c>
      <c r="AN452" s="192" t="s">
        <v>143</v>
      </c>
      <c r="AO452" s="192">
        <v>2.6717729385436999</v>
      </c>
    </row>
    <row r="453" spans="29:41">
      <c r="AC453" s="192" t="s">
        <v>53</v>
      </c>
      <c r="AD453" s="192" t="s">
        <v>20</v>
      </c>
      <c r="AE453" s="192" t="s">
        <v>72</v>
      </c>
      <c r="AF453" s="192" t="s">
        <v>51</v>
      </c>
      <c r="AG453" s="192" t="s">
        <v>144</v>
      </c>
      <c r="AH453" s="192">
        <v>3.8759999999999994</v>
      </c>
      <c r="AJ453" s="192" t="s">
        <v>74</v>
      </c>
      <c r="AK453" s="192" t="s">
        <v>88</v>
      </c>
      <c r="AL453" s="192" t="s">
        <v>25</v>
      </c>
      <c r="AM453" s="192" t="s">
        <v>51</v>
      </c>
      <c r="AN453" s="192" t="s">
        <v>144</v>
      </c>
      <c r="AO453" s="192">
        <v>2.6575094779916602</v>
      </c>
    </row>
    <row r="454" spans="29:41">
      <c r="AC454" s="192" t="s">
        <v>53</v>
      </c>
      <c r="AD454" s="192" t="s">
        <v>20</v>
      </c>
      <c r="AE454" s="192" t="s">
        <v>72</v>
      </c>
      <c r="AF454" s="192" t="s">
        <v>51</v>
      </c>
      <c r="AG454" s="192" t="s">
        <v>145</v>
      </c>
      <c r="AH454" s="192">
        <v>3.8441249999999996</v>
      </c>
      <c r="AJ454" s="192" t="s">
        <v>74</v>
      </c>
      <c r="AK454" s="192" t="s">
        <v>88</v>
      </c>
      <c r="AL454" s="192" t="s">
        <v>25</v>
      </c>
      <c r="AM454" s="192" t="s">
        <v>51</v>
      </c>
      <c r="AN454" s="192" t="s">
        <v>145</v>
      </c>
      <c r="AO454" s="192">
        <v>2.60984671554638</v>
      </c>
    </row>
    <row r="455" spans="29:41">
      <c r="AC455" s="192" t="s">
        <v>53</v>
      </c>
      <c r="AD455" s="192" t="s">
        <v>20</v>
      </c>
      <c r="AE455" s="192" t="s">
        <v>72</v>
      </c>
      <c r="AF455" s="192" t="s">
        <v>51</v>
      </c>
      <c r="AG455" s="192" t="s">
        <v>146</v>
      </c>
      <c r="AH455" s="192">
        <v>3.8441249999999996</v>
      </c>
      <c r="AJ455" s="192" t="s">
        <v>74</v>
      </c>
      <c r="AK455" s="192" t="s">
        <v>88</v>
      </c>
      <c r="AL455" s="192" t="s">
        <v>25</v>
      </c>
      <c r="AM455" s="192" t="s">
        <v>51</v>
      </c>
      <c r="AN455" s="192" t="s">
        <v>146</v>
      </c>
      <c r="AO455" s="192">
        <v>2.6641693960453199</v>
      </c>
    </row>
    <row r="456" spans="29:41">
      <c r="AC456" s="192" t="s">
        <v>53</v>
      </c>
      <c r="AD456" s="192" t="s">
        <v>20</v>
      </c>
      <c r="AE456" s="192" t="s">
        <v>72</v>
      </c>
      <c r="AF456" s="192" t="s">
        <v>51</v>
      </c>
      <c r="AG456" s="192" t="s">
        <v>147</v>
      </c>
      <c r="AH456" s="192">
        <v>3.9077500000000001</v>
      </c>
      <c r="AJ456" s="192" t="s">
        <v>74</v>
      </c>
      <c r="AK456" s="192" t="s">
        <v>88</v>
      </c>
      <c r="AL456" s="192" t="s">
        <v>25</v>
      </c>
      <c r="AM456" s="192" t="s">
        <v>51</v>
      </c>
      <c r="AN456" s="192" t="s">
        <v>147</v>
      </c>
      <c r="AO456" s="192">
        <v>2.7519990602785001</v>
      </c>
    </row>
    <row r="457" spans="29:41">
      <c r="AC457" s="192" t="s">
        <v>53</v>
      </c>
      <c r="AD457" s="192" t="s">
        <v>20</v>
      </c>
      <c r="AE457" s="192" t="s">
        <v>72</v>
      </c>
      <c r="AF457" s="192" t="s">
        <v>51</v>
      </c>
      <c r="AG457" s="192" t="s">
        <v>148</v>
      </c>
      <c r="AH457" s="192">
        <v>3.9077500000000001</v>
      </c>
      <c r="AJ457" s="192" t="s">
        <v>74</v>
      </c>
      <c r="AK457" s="192" t="s">
        <v>88</v>
      </c>
      <c r="AL457" s="192" t="s">
        <v>25</v>
      </c>
      <c r="AM457" s="192" t="s">
        <v>51</v>
      </c>
      <c r="AN457" s="192" t="s">
        <v>148</v>
      </c>
      <c r="AO457" s="192">
        <v>2.6934832462996599</v>
      </c>
    </row>
    <row r="458" spans="29:41">
      <c r="AC458" s="192" t="s">
        <v>53</v>
      </c>
      <c r="AD458" s="192" t="s">
        <v>20</v>
      </c>
      <c r="AE458" s="192" t="s">
        <v>72</v>
      </c>
      <c r="AF458" s="192" t="s">
        <v>51</v>
      </c>
      <c r="AG458" s="192" t="s">
        <v>149</v>
      </c>
      <c r="AH458" s="192">
        <v>3.9077500000000001</v>
      </c>
      <c r="AJ458" s="192" t="s">
        <v>74</v>
      </c>
      <c r="AK458" s="192" t="s">
        <v>88</v>
      </c>
      <c r="AL458" s="192" t="s">
        <v>25</v>
      </c>
      <c r="AM458" s="192" t="s">
        <v>51</v>
      </c>
      <c r="AN458" s="192" t="s">
        <v>149</v>
      </c>
      <c r="AO458" s="192">
        <v>2.6906214304432701</v>
      </c>
    </row>
    <row r="459" spans="29:41">
      <c r="AC459" s="192" t="s">
        <v>53</v>
      </c>
      <c r="AD459" s="192" t="s">
        <v>20</v>
      </c>
      <c r="AE459" s="192" t="s">
        <v>72</v>
      </c>
      <c r="AF459" s="192" t="s">
        <v>51</v>
      </c>
      <c r="AG459" s="192" t="s">
        <v>150</v>
      </c>
      <c r="AH459" s="192">
        <v>3.8759999999999994</v>
      </c>
      <c r="AJ459" s="192" t="s">
        <v>74</v>
      </c>
      <c r="AK459" s="192" t="s">
        <v>88</v>
      </c>
      <c r="AL459" s="192" t="s">
        <v>25</v>
      </c>
      <c r="AM459" s="192" t="s">
        <v>51</v>
      </c>
      <c r="AN459" s="192" t="s">
        <v>150</v>
      </c>
      <c r="AO459" s="192">
        <v>2.66103516127894</v>
      </c>
    </row>
    <row r="460" spans="29:41">
      <c r="AC460" s="192" t="s">
        <v>53</v>
      </c>
      <c r="AD460" s="192" t="s">
        <v>20</v>
      </c>
      <c r="AE460" s="192" t="s">
        <v>72</v>
      </c>
      <c r="AF460" s="192" t="s">
        <v>51</v>
      </c>
      <c r="AG460" s="192" t="s">
        <v>151</v>
      </c>
      <c r="AH460" s="192">
        <v>3.8123749999999998</v>
      </c>
      <c r="AJ460" s="192" t="s">
        <v>74</v>
      </c>
      <c r="AK460" s="192" t="s">
        <v>88</v>
      </c>
      <c r="AL460" s="192" t="s">
        <v>25</v>
      </c>
      <c r="AM460" s="192" t="s">
        <v>51</v>
      </c>
      <c r="AN460" s="192" t="s">
        <v>151</v>
      </c>
      <c r="AO460" s="192">
        <v>2.5992657753902901</v>
      </c>
    </row>
    <row r="461" spans="29:41">
      <c r="AC461" s="192" t="s">
        <v>53</v>
      </c>
      <c r="AD461" s="192" t="s">
        <v>20</v>
      </c>
      <c r="AE461" s="192" t="s">
        <v>72</v>
      </c>
      <c r="AF461" s="192" t="s">
        <v>51</v>
      </c>
      <c r="AG461" s="192" t="s">
        <v>152</v>
      </c>
      <c r="AH461" s="192">
        <v>3.7805</v>
      </c>
      <c r="AJ461" s="192" t="s">
        <v>74</v>
      </c>
      <c r="AK461" s="192" t="s">
        <v>88</v>
      </c>
      <c r="AL461" s="192" t="s">
        <v>25</v>
      </c>
      <c r="AM461" s="192" t="s">
        <v>51</v>
      </c>
      <c r="AN461" s="192" t="s">
        <v>152</v>
      </c>
      <c r="AO461" s="192">
        <v>2.6512826680006101</v>
      </c>
    </row>
    <row r="462" spans="29:41">
      <c r="AC462" s="192" t="s">
        <v>53</v>
      </c>
      <c r="AD462" s="192" t="s">
        <v>20</v>
      </c>
      <c r="AE462" s="192" t="s">
        <v>72</v>
      </c>
      <c r="AF462" s="192" t="s">
        <v>51</v>
      </c>
      <c r="AG462" s="192" t="s">
        <v>153</v>
      </c>
      <c r="AH462" s="192">
        <v>3.7805</v>
      </c>
      <c r="AJ462" s="192" t="s">
        <v>74</v>
      </c>
      <c r="AK462" s="192" t="s">
        <v>88</v>
      </c>
      <c r="AL462" s="192" t="s">
        <v>25</v>
      </c>
      <c r="AM462" s="192" t="s">
        <v>51</v>
      </c>
      <c r="AN462" s="192" t="s">
        <v>153</v>
      </c>
      <c r="AO462" s="192">
        <v>2.5908884215358099</v>
      </c>
    </row>
    <row r="463" spans="29:41">
      <c r="AC463" s="192" t="s">
        <v>53</v>
      </c>
      <c r="AD463" s="192" t="s">
        <v>20</v>
      </c>
      <c r="AE463" s="192" t="s">
        <v>72</v>
      </c>
      <c r="AF463" s="192" t="s">
        <v>51</v>
      </c>
      <c r="AG463" s="192" t="s">
        <v>154</v>
      </c>
      <c r="AH463" s="192">
        <v>3.964</v>
      </c>
      <c r="AJ463" s="192" t="s">
        <v>74</v>
      </c>
      <c r="AK463" s="192" t="s">
        <v>88</v>
      </c>
      <c r="AL463" s="192" t="s">
        <v>25</v>
      </c>
      <c r="AM463" s="192" t="s">
        <v>51</v>
      </c>
      <c r="AN463" s="192" t="s">
        <v>154</v>
      </c>
      <c r="AO463" s="192">
        <v>2.63391710374052</v>
      </c>
    </row>
    <row r="464" spans="29:41">
      <c r="AC464" s="192" t="s">
        <v>53</v>
      </c>
      <c r="AD464" s="192" t="s">
        <v>20</v>
      </c>
      <c r="AE464" s="192" t="s">
        <v>72</v>
      </c>
      <c r="AF464" s="192" t="s">
        <v>51</v>
      </c>
      <c r="AG464" s="192" t="s">
        <v>155</v>
      </c>
      <c r="AH464" s="192">
        <v>3.964</v>
      </c>
      <c r="AJ464" s="192" t="s">
        <v>74</v>
      </c>
      <c r="AK464" s="192" t="s">
        <v>88</v>
      </c>
      <c r="AL464" s="192" t="s">
        <v>25</v>
      </c>
      <c r="AM464" s="192" t="s">
        <v>51</v>
      </c>
      <c r="AN464" s="192" t="s">
        <v>155</v>
      </c>
      <c r="AO464" s="192">
        <v>2.6287824588785198</v>
      </c>
    </row>
    <row r="465" spans="29:41">
      <c r="AC465" s="192" t="s">
        <v>53</v>
      </c>
      <c r="AD465" s="192" t="s">
        <v>20</v>
      </c>
      <c r="AE465" s="192" t="s">
        <v>72</v>
      </c>
      <c r="AF465" s="192" t="s">
        <v>51</v>
      </c>
      <c r="AG465" s="192" t="s">
        <v>156</v>
      </c>
      <c r="AH465" s="192">
        <v>4.0271249999999998</v>
      </c>
      <c r="AJ465" s="192" t="s">
        <v>74</v>
      </c>
      <c r="AK465" s="192" t="s">
        <v>88</v>
      </c>
      <c r="AL465" s="192" t="s">
        <v>25</v>
      </c>
      <c r="AM465" s="192" t="s">
        <v>51</v>
      </c>
      <c r="AN465" s="192" t="s">
        <v>156</v>
      </c>
      <c r="AO465" s="192">
        <v>2.62032151165119</v>
      </c>
    </row>
    <row r="466" spans="29:41">
      <c r="AC466" s="192" t="s">
        <v>53</v>
      </c>
      <c r="AD466" s="192" t="s">
        <v>20</v>
      </c>
      <c r="AE466" s="192" t="s">
        <v>72</v>
      </c>
      <c r="AF466" s="192" t="s">
        <v>51</v>
      </c>
      <c r="AG466" s="192" t="s">
        <v>157</v>
      </c>
      <c r="AH466" s="192">
        <v>3.9634999999999998</v>
      </c>
      <c r="AJ466" s="192" t="s">
        <v>74</v>
      </c>
      <c r="AK466" s="192" t="s">
        <v>88</v>
      </c>
      <c r="AL466" s="192" t="s">
        <v>25</v>
      </c>
      <c r="AM466" s="192" t="s">
        <v>51</v>
      </c>
      <c r="AN466" s="192" t="s">
        <v>157</v>
      </c>
      <c r="AO466" s="192">
        <v>2.6476582784281</v>
      </c>
    </row>
    <row r="467" spans="29:41">
      <c r="AC467" s="192" t="s">
        <v>53</v>
      </c>
      <c r="AD467" s="192" t="s">
        <v>20</v>
      </c>
      <c r="AE467" s="192" t="s">
        <v>72</v>
      </c>
      <c r="AF467" s="192" t="s">
        <v>51</v>
      </c>
      <c r="AG467" s="192" t="s">
        <v>158</v>
      </c>
      <c r="AH467" s="192">
        <v>4.0271249999999998</v>
      </c>
      <c r="AJ467" s="192" t="s">
        <v>74</v>
      </c>
      <c r="AK467" s="192" t="s">
        <v>88</v>
      </c>
      <c r="AL467" s="192" t="s">
        <v>25</v>
      </c>
      <c r="AM467" s="192" t="s">
        <v>51</v>
      </c>
      <c r="AN467" s="192" t="s">
        <v>158</v>
      </c>
      <c r="AO467" s="192">
        <v>2.6673945625319102</v>
      </c>
    </row>
    <row r="468" spans="29:41">
      <c r="AC468" s="192" t="s">
        <v>53</v>
      </c>
      <c r="AD468" s="192" t="s">
        <v>20</v>
      </c>
      <c r="AE468" s="192" t="s">
        <v>72</v>
      </c>
      <c r="AF468" s="192" t="s">
        <v>51</v>
      </c>
      <c r="AG468" s="192" t="s">
        <v>159</v>
      </c>
      <c r="AH468" s="192">
        <v>4.0271249999999998</v>
      </c>
      <c r="AJ468" s="192" t="s">
        <v>74</v>
      </c>
      <c r="AK468" s="192" t="s">
        <v>88</v>
      </c>
      <c r="AL468" s="192" t="s">
        <v>25</v>
      </c>
      <c r="AM468" s="192" t="s">
        <v>51</v>
      </c>
      <c r="AN468" s="192" t="s">
        <v>159</v>
      </c>
      <c r="AO468" s="192">
        <v>2.64134045041691</v>
      </c>
    </row>
    <row r="469" spans="29:41">
      <c r="AC469" s="192" t="s">
        <v>53</v>
      </c>
      <c r="AD469" s="192" t="s">
        <v>20</v>
      </c>
      <c r="AE469" s="192" t="s">
        <v>72</v>
      </c>
      <c r="AF469" s="192" t="s">
        <v>51</v>
      </c>
      <c r="AG469" s="192" t="s">
        <v>160</v>
      </c>
      <c r="AH469" s="192">
        <v>3.8995000000000002</v>
      </c>
      <c r="AJ469" s="192" t="s">
        <v>74</v>
      </c>
      <c r="AK469" s="192" t="s">
        <v>88</v>
      </c>
      <c r="AL469" s="192" t="s">
        <v>25</v>
      </c>
      <c r="AM469" s="192" t="s">
        <v>51</v>
      </c>
      <c r="AN469" s="192" t="s">
        <v>160</v>
      </c>
      <c r="AO469" s="192">
        <v>2.5968587672613901</v>
      </c>
    </row>
    <row r="470" spans="29:41">
      <c r="AC470" s="192" t="s">
        <v>53</v>
      </c>
      <c r="AD470" s="192" t="s">
        <v>20</v>
      </c>
      <c r="AE470" s="192" t="s">
        <v>72</v>
      </c>
      <c r="AF470" s="192" t="s">
        <v>51</v>
      </c>
      <c r="AG470" s="192" t="s">
        <v>161</v>
      </c>
      <c r="AH470" s="192">
        <v>3.8995000000000002</v>
      </c>
      <c r="AJ470" s="192" t="s">
        <v>74</v>
      </c>
      <c r="AK470" s="192" t="s">
        <v>88</v>
      </c>
      <c r="AL470" s="192" t="s">
        <v>25</v>
      </c>
      <c r="AM470" s="192" t="s">
        <v>51</v>
      </c>
      <c r="AN470" s="192" t="s">
        <v>161</v>
      </c>
      <c r="AO470" s="192">
        <v>2.58469358456979</v>
      </c>
    </row>
    <row r="471" spans="29:41">
      <c r="AC471" s="192" t="s">
        <v>53</v>
      </c>
      <c r="AD471" s="192" t="s">
        <v>20</v>
      </c>
      <c r="AE471" s="192" t="s">
        <v>72</v>
      </c>
      <c r="AF471" s="192" t="s">
        <v>51</v>
      </c>
      <c r="AG471" s="192" t="s">
        <v>162</v>
      </c>
      <c r="AH471" s="192">
        <v>3.9634999999999998</v>
      </c>
      <c r="AJ471" s="192" t="s">
        <v>74</v>
      </c>
      <c r="AK471" s="192" t="s">
        <v>88</v>
      </c>
      <c r="AL471" s="192" t="s">
        <v>25</v>
      </c>
      <c r="AM471" s="192" t="s">
        <v>51</v>
      </c>
      <c r="AN471" s="192" t="s">
        <v>162</v>
      </c>
      <c r="AO471" s="192">
        <v>2.5759029417987498</v>
      </c>
    </row>
    <row r="472" spans="29:41">
      <c r="AC472" s="192" t="s">
        <v>53</v>
      </c>
      <c r="AD472" s="192" t="s">
        <v>20</v>
      </c>
      <c r="AE472" s="192" t="s">
        <v>72</v>
      </c>
      <c r="AF472" s="192" t="s">
        <v>51</v>
      </c>
      <c r="AG472" s="192" t="s">
        <v>163</v>
      </c>
      <c r="AH472" s="192">
        <v>3.9634999999999998</v>
      </c>
      <c r="AJ472" s="192" t="s">
        <v>74</v>
      </c>
      <c r="AK472" s="192" t="s">
        <v>88</v>
      </c>
      <c r="AL472" s="192" t="s">
        <v>25</v>
      </c>
      <c r="AM472" s="192" t="s">
        <v>51</v>
      </c>
      <c r="AN472" s="192" t="s">
        <v>163</v>
      </c>
      <c r="AO472" s="192">
        <v>2.56712042045777</v>
      </c>
    </row>
    <row r="473" spans="29:41">
      <c r="AC473" s="192" t="s">
        <v>53</v>
      </c>
      <c r="AD473" s="192" t="s">
        <v>20</v>
      </c>
      <c r="AE473" s="192" t="s">
        <v>72</v>
      </c>
      <c r="AF473" s="192" t="s">
        <v>51</v>
      </c>
      <c r="AG473" s="192" t="s">
        <v>164</v>
      </c>
      <c r="AH473" s="192">
        <v>3.8995000000000002</v>
      </c>
      <c r="AJ473" s="192" t="s">
        <v>74</v>
      </c>
      <c r="AK473" s="192" t="s">
        <v>88</v>
      </c>
      <c r="AL473" s="192" t="s">
        <v>25</v>
      </c>
      <c r="AM473" s="192" t="s">
        <v>51</v>
      </c>
      <c r="AN473" s="192" t="s">
        <v>164</v>
      </c>
      <c r="AO473" s="192">
        <v>2.59858921707026</v>
      </c>
    </row>
    <row r="474" spans="29:41">
      <c r="AC474" s="192" t="s">
        <v>53</v>
      </c>
      <c r="AD474" s="192" t="s">
        <v>20</v>
      </c>
      <c r="AE474" s="192" t="s">
        <v>72</v>
      </c>
      <c r="AF474" s="192" t="s">
        <v>51</v>
      </c>
      <c r="AG474" s="192" t="s">
        <v>165</v>
      </c>
      <c r="AH474" s="192">
        <v>3.9634999999999998</v>
      </c>
      <c r="AJ474" s="192" t="s">
        <v>74</v>
      </c>
      <c r="AK474" s="192" t="s">
        <v>88</v>
      </c>
      <c r="AL474" s="192" t="s">
        <v>25</v>
      </c>
      <c r="AM474" s="192" t="s">
        <v>51</v>
      </c>
      <c r="AN474" s="192" t="s">
        <v>165</v>
      </c>
      <c r="AO474" s="192">
        <v>2.62252108008507</v>
      </c>
    </row>
    <row r="475" spans="29:41">
      <c r="AC475" s="192" t="s">
        <v>53</v>
      </c>
      <c r="AD475" s="192" t="s">
        <v>20</v>
      </c>
      <c r="AE475" s="192" t="s">
        <v>72</v>
      </c>
      <c r="AF475" s="192" t="s">
        <v>51</v>
      </c>
      <c r="AG475" s="192" t="s">
        <v>166</v>
      </c>
      <c r="AH475" s="192">
        <v>4.0271249999999998</v>
      </c>
      <c r="AJ475" s="192" t="s">
        <v>74</v>
      </c>
      <c r="AK475" s="192" t="s">
        <v>88</v>
      </c>
      <c r="AL475" s="192" t="s">
        <v>25</v>
      </c>
      <c r="AM475" s="192" t="s">
        <v>51</v>
      </c>
      <c r="AN475" s="192" t="s">
        <v>166</v>
      </c>
      <c r="AO475" s="192">
        <v>2.6753264137467299</v>
      </c>
    </row>
    <row r="476" spans="29:41">
      <c r="AC476" s="192" t="s">
        <v>53</v>
      </c>
      <c r="AD476" s="192" t="s">
        <v>20</v>
      </c>
      <c r="AE476" s="192" t="s">
        <v>72</v>
      </c>
      <c r="AF476" s="192" t="s">
        <v>51</v>
      </c>
      <c r="AG476" s="192" t="s">
        <v>167</v>
      </c>
      <c r="AH476" s="192">
        <v>4.0271249999999998</v>
      </c>
      <c r="AJ476" s="192" t="s">
        <v>74</v>
      </c>
      <c r="AK476" s="192" t="s">
        <v>88</v>
      </c>
      <c r="AL476" s="192" t="s">
        <v>25</v>
      </c>
      <c r="AM476" s="192" t="s">
        <v>51</v>
      </c>
      <c r="AN476" s="192" t="s">
        <v>167</v>
      </c>
      <c r="AO476" s="192">
        <v>2.6562875815293401</v>
      </c>
    </row>
    <row r="477" spans="29:41">
      <c r="AC477" s="192" t="s">
        <v>53</v>
      </c>
      <c r="AD477" s="192" t="s">
        <v>20</v>
      </c>
      <c r="AE477" s="192" t="s">
        <v>72</v>
      </c>
      <c r="AF477" s="192" t="s">
        <v>51</v>
      </c>
      <c r="AG477" s="192" t="s">
        <v>168</v>
      </c>
      <c r="AH477" s="192">
        <v>3.9953749999999997</v>
      </c>
      <c r="AJ477" s="192" t="s">
        <v>74</v>
      </c>
      <c r="AK477" s="192" t="s">
        <v>88</v>
      </c>
      <c r="AL477" s="192" t="s">
        <v>25</v>
      </c>
      <c r="AM477" s="192" t="s">
        <v>51</v>
      </c>
      <c r="AN477" s="192" t="s">
        <v>168</v>
      </c>
      <c r="AO477" s="192">
        <v>2.62955921776924</v>
      </c>
    </row>
    <row r="478" spans="29:41">
      <c r="AC478" s="192" t="s">
        <v>53</v>
      </c>
      <c r="AD478" s="192" t="s">
        <v>20</v>
      </c>
      <c r="AE478" s="192" t="s">
        <v>72</v>
      </c>
      <c r="AF478" s="192" t="s">
        <v>51</v>
      </c>
      <c r="AG478" s="192" t="s">
        <v>169</v>
      </c>
      <c r="AH478" s="192">
        <v>4.0271249999999998</v>
      </c>
      <c r="AJ478" s="192" t="s">
        <v>74</v>
      </c>
      <c r="AK478" s="192" t="s">
        <v>88</v>
      </c>
      <c r="AL478" s="192" t="s">
        <v>25</v>
      </c>
      <c r="AM478" s="192" t="s">
        <v>51</v>
      </c>
      <c r="AN478" s="192" t="s">
        <v>169</v>
      </c>
      <c r="AO478" s="192">
        <v>2.6437338504186898</v>
      </c>
    </row>
    <row r="479" spans="29:41">
      <c r="AC479" s="192" t="s">
        <v>53</v>
      </c>
      <c r="AD479" s="192" t="s">
        <v>20</v>
      </c>
      <c r="AE479" s="192" t="s">
        <v>72</v>
      </c>
      <c r="AF479" s="192" t="s">
        <v>51</v>
      </c>
      <c r="AG479" s="192" t="s">
        <v>170</v>
      </c>
      <c r="AH479" s="192">
        <v>3.9321250000000001</v>
      </c>
      <c r="AJ479" s="192" t="s">
        <v>74</v>
      </c>
      <c r="AK479" s="192" t="s">
        <v>88</v>
      </c>
      <c r="AL479" s="192" t="s">
        <v>25</v>
      </c>
      <c r="AM479" s="192" t="s">
        <v>51</v>
      </c>
      <c r="AN479" s="192" t="s">
        <v>170</v>
      </c>
      <c r="AO479" s="192">
        <v>2.6991414546305501</v>
      </c>
    </row>
    <row r="480" spans="29:41">
      <c r="AC480" s="192" t="s">
        <v>53</v>
      </c>
      <c r="AD480" s="192" t="s">
        <v>20</v>
      </c>
      <c r="AE480" s="192" t="s">
        <v>72</v>
      </c>
      <c r="AF480" s="192" t="s">
        <v>51</v>
      </c>
      <c r="AG480" s="192" t="s">
        <v>171</v>
      </c>
      <c r="AH480" s="192">
        <v>4.0274999999999999</v>
      </c>
      <c r="AJ480" s="192" t="s">
        <v>74</v>
      </c>
      <c r="AK480" s="192" t="s">
        <v>88</v>
      </c>
      <c r="AL480" s="192" t="s">
        <v>25</v>
      </c>
      <c r="AM480" s="192" t="s">
        <v>51</v>
      </c>
      <c r="AN480" s="192" t="s">
        <v>171</v>
      </c>
      <c r="AO480" s="192">
        <v>2.7467458715573199</v>
      </c>
    </row>
    <row r="481" spans="29:41">
      <c r="AC481" s="192" t="s">
        <v>53</v>
      </c>
      <c r="AD481" s="192" t="s">
        <v>20</v>
      </c>
      <c r="AE481" s="192" t="s">
        <v>72</v>
      </c>
      <c r="AF481" s="192" t="s">
        <v>51</v>
      </c>
      <c r="AG481" s="192" t="s">
        <v>172</v>
      </c>
      <c r="AH481" s="192">
        <v>3.9957500000000001</v>
      </c>
      <c r="AJ481" s="192" t="s">
        <v>74</v>
      </c>
      <c r="AK481" s="192" t="s">
        <v>88</v>
      </c>
      <c r="AL481" s="192" t="s">
        <v>25</v>
      </c>
      <c r="AM481" s="192" t="s">
        <v>51</v>
      </c>
      <c r="AN481" s="192" t="s">
        <v>172</v>
      </c>
      <c r="AO481" s="192">
        <v>2.7480147229669498</v>
      </c>
    </row>
    <row r="482" spans="29:41">
      <c r="AC482" s="192" t="s">
        <v>53</v>
      </c>
      <c r="AD482" s="192" t="s">
        <v>20</v>
      </c>
      <c r="AE482" s="192" t="s">
        <v>72</v>
      </c>
      <c r="AF482" s="192" t="s">
        <v>51</v>
      </c>
      <c r="AG482" s="192" t="s">
        <v>173</v>
      </c>
      <c r="AH482" s="192">
        <v>3.9957500000000001</v>
      </c>
      <c r="AJ482" s="192" t="s">
        <v>74</v>
      </c>
      <c r="AK482" s="192" t="s">
        <v>88</v>
      </c>
      <c r="AL482" s="192" t="s">
        <v>25</v>
      </c>
      <c r="AM482" s="192" t="s">
        <v>51</v>
      </c>
      <c r="AN482" s="192" t="s">
        <v>173</v>
      </c>
      <c r="AO482" s="192">
        <v>2.8064099070641602</v>
      </c>
    </row>
    <row r="483" spans="29:41">
      <c r="AC483" s="192" t="s">
        <v>53</v>
      </c>
      <c r="AD483" s="192" t="s">
        <v>20</v>
      </c>
      <c r="AE483" s="192" t="s">
        <v>72</v>
      </c>
      <c r="AF483" s="192" t="s">
        <v>51</v>
      </c>
      <c r="AG483" s="192" t="s">
        <v>174</v>
      </c>
      <c r="AH483" s="192">
        <v>4.0593750000000002</v>
      </c>
      <c r="AJ483" s="192" t="s">
        <v>74</v>
      </c>
      <c r="AK483" s="192" t="s">
        <v>88</v>
      </c>
      <c r="AL483" s="192" t="s">
        <v>25</v>
      </c>
      <c r="AM483" s="192" t="s">
        <v>51</v>
      </c>
      <c r="AN483" s="192" t="s">
        <v>174</v>
      </c>
      <c r="AO483" s="192">
        <v>2.8416760056146502</v>
      </c>
    </row>
    <row r="484" spans="29:41">
      <c r="AC484" s="192" t="s">
        <v>53</v>
      </c>
      <c r="AD484" s="192" t="s">
        <v>20</v>
      </c>
      <c r="AE484" s="192" t="s">
        <v>72</v>
      </c>
      <c r="AF484" s="192" t="s">
        <v>51</v>
      </c>
      <c r="AG484" s="192" t="s">
        <v>175</v>
      </c>
      <c r="AH484" s="192">
        <v>4.0911249999999999</v>
      </c>
      <c r="AJ484" s="192" t="s">
        <v>74</v>
      </c>
      <c r="AK484" s="192" t="s">
        <v>88</v>
      </c>
      <c r="AL484" s="192" t="s">
        <v>25</v>
      </c>
      <c r="AM484" s="192" t="s">
        <v>51</v>
      </c>
      <c r="AN484" s="192" t="s">
        <v>175</v>
      </c>
      <c r="AO484" s="192">
        <v>2.8756484754346898</v>
      </c>
    </row>
    <row r="485" spans="29:41">
      <c r="AC485" s="192" t="s">
        <v>53</v>
      </c>
      <c r="AD485" s="192" t="s">
        <v>20</v>
      </c>
      <c r="AE485" s="192" t="s">
        <v>72</v>
      </c>
      <c r="AF485" s="192" t="s">
        <v>51</v>
      </c>
      <c r="AG485" s="192" t="s">
        <v>176</v>
      </c>
      <c r="AH485" s="192">
        <v>4.1547499999999999</v>
      </c>
      <c r="AJ485" s="192" t="s">
        <v>74</v>
      </c>
      <c r="AK485" s="192" t="s">
        <v>88</v>
      </c>
      <c r="AL485" s="192" t="s">
        <v>25</v>
      </c>
      <c r="AM485" s="192" t="s">
        <v>51</v>
      </c>
      <c r="AN485" s="192" t="s">
        <v>176</v>
      </c>
      <c r="AO485" s="192">
        <v>2.91930519695658</v>
      </c>
    </row>
    <row r="486" spans="29:41">
      <c r="AC486" s="192" t="s">
        <v>53</v>
      </c>
      <c r="AD486" s="192" t="s">
        <v>20</v>
      </c>
      <c r="AE486" s="192" t="s">
        <v>72</v>
      </c>
      <c r="AF486" s="192" t="s">
        <v>51</v>
      </c>
      <c r="AG486" s="192" t="s">
        <v>177</v>
      </c>
      <c r="AH486" s="192">
        <v>4.1547499999999999</v>
      </c>
      <c r="AJ486" s="192" t="s">
        <v>74</v>
      </c>
      <c r="AK486" s="192" t="s">
        <v>88</v>
      </c>
      <c r="AL486" s="192" t="s">
        <v>25</v>
      </c>
      <c r="AM486" s="192" t="s">
        <v>51</v>
      </c>
      <c r="AN486" s="192" t="s">
        <v>177</v>
      </c>
      <c r="AO486" s="192">
        <v>2.86177796804412</v>
      </c>
    </row>
    <row r="487" spans="29:41">
      <c r="AC487" s="192" t="s">
        <v>53</v>
      </c>
      <c r="AD487" s="192" t="s">
        <v>20</v>
      </c>
      <c r="AE487" s="192" t="s">
        <v>72</v>
      </c>
      <c r="AF487" s="192" t="s">
        <v>51</v>
      </c>
      <c r="AG487" s="192" t="s">
        <v>178</v>
      </c>
      <c r="AH487" s="192">
        <v>4.0274999999999999</v>
      </c>
      <c r="AJ487" s="192" t="s">
        <v>74</v>
      </c>
      <c r="AK487" s="192" t="s">
        <v>88</v>
      </c>
      <c r="AL487" s="192" t="s">
        <v>25</v>
      </c>
      <c r="AM487" s="192" t="s">
        <v>51</v>
      </c>
      <c r="AN487" s="192" t="s">
        <v>178</v>
      </c>
      <c r="AO487" s="192">
        <v>2.8101076932532698</v>
      </c>
    </row>
    <row r="488" spans="29:41">
      <c r="AC488" s="192" t="s">
        <v>53</v>
      </c>
      <c r="AD488" s="192" t="s">
        <v>20</v>
      </c>
      <c r="AE488" s="192" t="s">
        <v>72</v>
      </c>
      <c r="AF488" s="192" t="s">
        <v>51</v>
      </c>
      <c r="AG488" s="192" t="s">
        <v>179</v>
      </c>
      <c r="AH488" s="192">
        <v>4.1229999999999993</v>
      </c>
      <c r="AJ488" s="192" t="s">
        <v>74</v>
      </c>
      <c r="AK488" s="192" t="s">
        <v>88</v>
      </c>
      <c r="AL488" s="192" t="s">
        <v>25</v>
      </c>
      <c r="AM488" s="192" t="s">
        <v>51</v>
      </c>
      <c r="AN488" s="192" t="s">
        <v>179</v>
      </c>
      <c r="AO488" s="192">
        <v>2.9199815904284798</v>
      </c>
    </row>
    <row r="489" spans="29:41">
      <c r="AC489" s="192" t="s">
        <v>53</v>
      </c>
      <c r="AD489" s="192" t="s">
        <v>20</v>
      </c>
      <c r="AE489" s="192" t="s">
        <v>72</v>
      </c>
      <c r="AF489" s="192" t="s">
        <v>51</v>
      </c>
      <c r="AG489" s="192" t="s">
        <v>180</v>
      </c>
      <c r="AH489" s="192">
        <v>4.1229999999999993</v>
      </c>
      <c r="AJ489" s="192" t="s">
        <v>74</v>
      </c>
      <c r="AK489" s="192" t="s">
        <v>88</v>
      </c>
      <c r="AL489" s="192" t="s">
        <v>25</v>
      </c>
      <c r="AM489" s="192" t="s">
        <v>51</v>
      </c>
      <c r="AN489" s="192" t="s">
        <v>180</v>
      </c>
      <c r="AO489" s="192">
        <v>2.9362897451124002</v>
      </c>
    </row>
    <row r="490" spans="29:41">
      <c r="AC490" s="192" t="s">
        <v>53</v>
      </c>
      <c r="AD490" s="192" t="s">
        <v>20</v>
      </c>
      <c r="AE490" s="192" t="s">
        <v>72</v>
      </c>
      <c r="AF490" s="192" t="s">
        <v>51</v>
      </c>
      <c r="AG490" s="192" t="s">
        <v>181</v>
      </c>
      <c r="AH490" s="192">
        <v>4.1547499999999999</v>
      </c>
      <c r="AJ490" s="192" t="s">
        <v>74</v>
      </c>
      <c r="AK490" s="192" t="s">
        <v>88</v>
      </c>
      <c r="AL490" s="192" t="s">
        <v>25</v>
      </c>
      <c r="AM490" s="192" t="s">
        <v>51</v>
      </c>
      <c r="AN490" s="192" t="s">
        <v>181</v>
      </c>
      <c r="AO490" s="192">
        <v>2.9586092652733198</v>
      </c>
    </row>
    <row r="491" spans="29:41">
      <c r="AC491" s="192" t="s">
        <v>53</v>
      </c>
      <c r="AD491" s="192" t="s">
        <v>20</v>
      </c>
      <c r="AE491" s="192" t="s">
        <v>72</v>
      </c>
      <c r="AF491" s="192" t="s">
        <v>51</v>
      </c>
      <c r="AG491" s="192" t="s">
        <v>182</v>
      </c>
      <c r="AH491" s="192">
        <v>4.1547499999999999</v>
      </c>
      <c r="AJ491" s="192" t="s">
        <v>74</v>
      </c>
      <c r="AK491" s="192" t="s">
        <v>88</v>
      </c>
      <c r="AL491" s="192" t="s">
        <v>25</v>
      </c>
      <c r="AM491" s="192" t="s">
        <v>51</v>
      </c>
      <c r="AN491" s="192" t="s">
        <v>182</v>
      </c>
      <c r="AO491" s="192">
        <v>2.9068905487933598</v>
      </c>
    </row>
    <row r="492" spans="29:41">
      <c r="AC492" s="192" t="s">
        <v>53</v>
      </c>
      <c r="AD492" s="192" t="s">
        <v>20</v>
      </c>
      <c r="AE492" s="192" t="s">
        <v>72</v>
      </c>
      <c r="AF492" s="192" t="s">
        <v>51</v>
      </c>
      <c r="AG492" s="192" t="s">
        <v>183</v>
      </c>
      <c r="AH492" s="192">
        <v>4.0593750000000002</v>
      </c>
      <c r="AJ492" s="192" t="s">
        <v>74</v>
      </c>
      <c r="AK492" s="192" t="s">
        <v>88</v>
      </c>
      <c r="AL492" s="192" t="s">
        <v>25</v>
      </c>
      <c r="AM492" s="192" t="s">
        <v>51</v>
      </c>
      <c r="AN492" s="192" t="s">
        <v>183</v>
      </c>
      <c r="AO492" s="192">
        <v>2.82631669904023</v>
      </c>
    </row>
    <row r="493" spans="29:41">
      <c r="AC493" s="192" t="s">
        <v>53</v>
      </c>
      <c r="AD493" s="192" t="s">
        <v>20</v>
      </c>
      <c r="AE493" s="192" t="s">
        <v>72</v>
      </c>
      <c r="AF493" s="192" t="s">
        <v>51</v>
      </c>
      <c r="AG493" s="192" t="s">
        <v>184</v>
      </c>
      <c r="AH493" s="192">
        <v>4.0911249999999999</v>
      </c>
      <c r="AJ493" s="192" t="s">
        <v>74</v>
      </c>
      <c r="AK493" s="192" t="s">
        <v>88</v>
      </c>
      <c r="AL493" s="192" t="s">
        <v>25</v>
      </c>
      <c r="AM493" s="192" t="s">
        <v>51</v>
      </c>
      <c r="AN493" s="192" t="s">
        <v>184</v>
      </c>
      <c r="AO493" s="192">
        <v>2.8896799307946499</v>
      </c>
    </row>
    <row r="494" spans="29:41">
      <c r="AC494" s="192" t="s">
        <v>53</v>
      </c>
      <c r="AD494" s="192" t="s">
        <v>20</v>
      </c>
      <c r="AE494" s="192" t="s">
        <v>72</v>
      </c>
      <c r="AF494" s="192" t="s">
        <v>51</v>
      </c>
      <c r="AG494" s="192" t="s">
        <v>185</v>
      </c>
      <c r="AH494" s="192">
        <v>4.1547499999999999</v>
      </c>
      <c r="AJ494" s="192" t="s">
        <v>74</v>
      </c>
      <c r="AK494" s="192" t="s">
        <v>88</v>
      </c>
      <c r="AL494" s="192" t="s">
        <v>25</v>
      </c>
      <c r="AM494" s="192" t="s">
        <v>51</v>
      </c>
      <c r="AN494" s="192" t="s">
        <v>185</v>
      </c>
      <c r="AO494" s="192">
        <v>2.9214483553786899</v>
      </c>
    </row>
    <row r="495" spans="29:41">
      <c r="AC495" s="192" t="s">
        <v>53</v>
      </c>
      <c r="AD495" s="192" t="s">
        <v>20</v>
      </c>
      <c r="AE495" s="192" t="s">
        <v>72</v>
      </c>
      <c r="AF495" s="192" t="s">
        <v>51</v>
      </c>
      <c r="AG495" s="192" t="s">
        <v>186</v>
      </c>
      <c r="AH495" s="192">
        <v>4.1547499999999999</v>
      </c>
      <c r="AJ495" s="192" t="s">
        <v>74</v>
      </c>
      <c r="AK495" s="192" t="s">
        <v>88</v>
      </c>
      <c r="AL495" s="192" t="s">
        <v>25</v>
      </c>
      <c r="AM495" s="192" t="s">
        <v>51</v>
      </c>
      <c r="AN495" s="192" t="s">
        <v>186</v>
      </c>
      <c r="AO495" s="192">
        <v>2.9102623265110599</v>
      </c>
    </row>
    <row r="496" spans="29:41">
      <c r="AC496" s="192" t="s">
        <v>53</v>
      </c>
      <c r="AD496" s="192" t="s">
        <v>20</v>
      </c>
      <c r="AE496" s="192" t="s">
        <v>72</v>
      </c>
      <c r="AF496" s="192" t="s">
        <v>51</v>
      </c>
      <c r="AG496" s="192" t="s">
        <v>187</v>
      </c>
      <c r="AH496" s="192">
        <v>4.1547499999999999</v>
      </c>
      <c r="AJ496" s="192" t="s">
        <v>74</v>
      </c>
      <c r="AK496" s="192" t="s">
        <v>88</v>
      </c>
      <c r="AL496" s="192" t="s">
        <v>25</v>
      </c>
      <c r="AM496" s="192" t="s">
        <v>51</v>
      </c>
      <c r="AN496" s="192" t="s">
        <v>187</v>
      </c>
      <c r="AO496" s="192">
        <v>2.8599760435846102</v>
      </c>
    </row>
    <row r="497" spans="29:41">
      <c r="AC497" s="192" t="s">
        <v>53</v>
      </c>
      <c r="AD497" s="192" t="s">
        <v>20</v>
      </c>
      <c r="AE497" s="192" t="s">
        <v>72</v>
      </c>
      <c r="AF497" s="192" t="s">
        <v>51</v>
      </c>
      <c r="AG497" s="192" t="s">
        <v>188</v>
      </c>
      <c r="AH497" s="192">
        <v>4.1547499999999999</v>
      </c>
      <c r="AJ497" s="192" t="s">
        <v>74</v>
      </c>
      <c r="AK497" s="192" t="s">
        <v>88</v>
      </c>
      <c r="AL497" s="192" t="s">
        <v>25</v>
      </c>
      <c r="AM497" s="192" t="s">
        <v>51</v>
      </c>
      <c r="AN497" s="192" t="s">
        <v>188</v>
      </c>
      <c r="AO497" s="192">
        <v>2.8915210158303699</v>
      </c>
    </row>
    <row r="498" spans="29:41">
      <c r="AC498" s="192" t="s">
        <v>53</v>
      </c>
      <c r="AD498" s="192" t="s">
        <v>20</v>
      </c>
      <c r="AE498" s="192" t="s">
        <v>72</v>
      </c>
      <c r="AF498" s="192" t="s">
        <v>51</v>
      </c>
      <c r="AG498" s="192" t="s">
        <v>189</v>
      </c>
      <c r="AH498" s="192">
        <v>4.155125</v>
      </c>
      <c r="AJ498" s="192" t="s">
        <v>74</v>
      </c>
      <c r="AK498" s="192" t="s">
        <v>88</v>
      </c>
      <c r="AL498" s="192" t="s">
        <v>25</v>
      </c>
      <c r="AM498" s="192" t="s">
        <v>51</v>
      </c>
      <c r="AN498" s="192" t="s">
        <v>189</v>
      </c>
      <c r="AO498" s="192">
        <v>2.8500704386135798</v>
      </c>
    </row>
    <row r="499" spans="29:41">
      <c r="AC499" s="192" t="s">
        <v>53</v>
      </c>
      <c r="AD499" s="192" t="s">
        <v>20</v>
      </c>
      <c r="AE499" s="192" t="s">
        <v>72</v>
      </c>
      <c r="AF499" s="192" t="s">
        <v>51</v>
      </c>
      <c r="AG499" s="192" t="s">
        <v>190</v>
      </c>
      <c r="AH499" s="192">
        <v>4.1547499999999999</v>
      </c>
      <c r="AJ499" s="192" t="s">
        <v>74</v>
      </c>
      <c r="AK499" s="192" t="s">
        <v>88</v>
      </c>
      <c r="AL499" s="192" t="s">
        <v>25</v>
      </c>
      <c r="AM499" s="192" t="s">
        <v>51</v>
      </c>
      <c r="AN499" s="192" t="s">
        <v>190</v>
      </c>
      <c r="AO499" s="192">
        <v>2.8460665334928898</v>
      </c>
    </row>
    <row r="500" spans="29:41">
      <c r="AC500" s="192" t="s">
        <v>53</v>
      </c>
      <c r="AD500" s="192" t="s">
        <v>20</v>
      </c>
      <c r="AE500" s="192" t="s">
        <v>72</v>
      </c>
      <c r="AF500" s="192" t="s">
        <v>51</v>
      </c>
      <c r="AG500" s="192" t="s">
        <v>191</v>
      </c>
      <c r="AH500" s="192">
        <v>4.1229999999999993</v>
      </c>
      <c r="AJ500" s="192" t="s">
        <v>74</v>
      </c>
      <c r="AK500" s="192" t="s">
        <v>88</v>
      </c>
      <c r="AL500" s="192" t="s">
        <v>25</v>
      </c>
      <c r="AM500" s="192" t="s">
        <v>51</v>
      </c>
      <c r="AN500" s="192" t="s">
        <v>191</v>
      </c>
      <c r="AO500" s="192">
        <v>2.8413672152174398</v>
      </c>
    </row>
    <row r="501" spans="29:41">
      <c r="AC501" s="192" t="s">
        <v>53</v>
      </c>
      <c r="AD501" s="192" t="s">
        <v>20</v>
      </c>
      <c r="AE501" s="192" t="s">
        <v>72</v>
      </c>
      <c r="AF501" s="192" t="s">
        <v>51</v>
      </c>
      <c r="AG501" s="192" t="s">
        <v>192</v>
      </c>
      <c r="AH501" s="192">
        <v>4.0911249999999999</v>
      </c>
      <c r="AJ501" s="192" t="s">
        <v>74</v>
      </c>
      <c r="AK501" s="192" t="s">
        <v>88</v>
      </c>
      <c r="AL501" s="192" t="s">
        <v>25</v>
      </c>
      <c r="AM501" s="192" t="s">
        <v>51</v>
      </c>
      <c r="AN501" s="192" t="s">
        <v>192</v>
      </c>
      <c r="AO501" s="192">
        <v>2.8125589424365498</v>
      </c>
    </row>
    <row r="502" spans="29:41">
      <c r="AC502" s="192" t="s">
        <v>53</v>
      </c>
      <c r="AD502" s="192" t="s">
        <v>20</v>
      </c>
      <c r="AE502" s="192" t="s">
        <v>72</v>
      </c>
      <c r="AF502" s="192" t="s">
        <v>51</v>
      </c>
      <c r="AG502" s="192" t="s">
        <v>193</v>
      </c>
      <c r="AH502" s="192">
        <v>4.0993750000000002</v>
      </c>
      <c r="AJ502" s="192" t="s">
        <v>74</v>
      </c>
      <c r="AK502" s="192" t="s">
        <v>88</v>
      </c>
      <c r="AL502" s="192" t="s">
        <v>25</v>
      </c>
      <c r="AM502" s="192" t="s">
        <v>51</v>
      </c>
      <c r="AN502" s="192" t="s">
        <v>193</v>
      </c>
      <c r="AO502" s="192">
        <v>2.8873082715202201</v>
      </c>
    </row>
    <row r="503" spans="29:41">
      <c r="AC503" s="192" t="s">
        <v>53</v>
      </c>
      <c r="AD503" s="192" t="s">
        <v>20</v>
      </c>
      <c r="AE503" s="192" t="s">
        <v>72</v>
      </c>
      <c r="AF503" s="192" t="s">
        <v>51</v>
      </c>
      <c r="AG503" s="192" t="s">
        <v>194</v>
      </c>
      <c r="AH503" s="192">
        <v>4.0993750000000002</v>
      </c>
      <c r="AJ503" s="192" t="s">
        <v>74</v>
      </c>
      <c r="AK503" s="192" t="s">
        <v>88</v>
      </c>
      <c r="AL503" s="192" t="s">
        <v>25</v>
      </c>
      <c r="AM503" s="192" t="s">
        <v>51</v>
      </c>
      <c r="AN503" s="192" t="s">
        <v>194</v>
      </c>
      <c r="AO503" s="192">
        <v>2.96123512742628</v>
      </c>
    </row>
    <row r="504" spans="29:41">
      <c r="AC504" s="192" t="s">
        <v>53</v>
      </c>
      <c r="AD504" s="192" t="s">
        <v>20</v>
      </c>
      <c r="AE504" s="192" t="s">
        <v>72</v>
      </c>
      <c r="AF504" s="192" t="s">
        <v>51</v>
      </c>
      <c r="AG504" s="192" t="s">
        <v>195</v>
      </c>
      <c r="AH504" s="192">
        <v>4.2910000000000004</v>
      </c>
      <c r="AJ504" s="192" t="s">
        <v>74</v>
      </c>
      <c r="AK504" s="192" t="s">
        <v>88</v>
      </c>
      <c r="AL504" s="192" t="s">
        <v>25</v>
      </c>
      <c r="AM504" s="192" t="s">
        <v>51</v>
      </c>
      <c r="AN504" s="192" t="s">
        <v>195</v>
      </c>
      <c r="AO504" s="192">
        <v>3.0744144315737501</v>
      </c>
    </row>
    <row r="505" spans="29:41">
      <c r="AC505" s="192" t="s">
        <v>53</v>
      </c>
      <c r="AD505" s="192" t="s">
        <v>20</v>
      </c>
      <c r="AE505" s="192" t="s">
        <v>72</v>
      </c>
      <c r="AF505" s="192" t="s">
        <v>51</v>
      </c>
      <c r="AG505" s="192" t="s">
        <v>196</v>
      </c>
      <c r="AH505" s="192">
        <v>4.2588749999999997</v>
      </c>
      <c r="AJ505" s="192" t="s">
        <v>74</v>
      </c>
      <c r="AK505" s="192" t="s">
        <v>88</v>
      </c>
      <c r="AL505" s="192" t="s">
        <v>25</v>
      </c>
      <c r="AM505" s="192" t="s">
        <v>51</v>
      </c>
      <c r="AN505" s="192" t="s">
        <v>196</v>
      </c>
      <c r="AO505" s="192">
        <v>3.0256748636149999</v>
      </c>
    </row>
    <row r="506" spans="29:41">
      <c r="AC506" s="192" t="s">
        <v>53</v>
      </c>
      <c r="AD506" s="192" t="s">
        <v>20</v>
      </c>
      <c r="AE506" s="192" t="s">
        <v>72</v>
      </c>
      <c r="AF506" s="192" t="s">
        <v>51</v>
      </c>
      <c r="AG506" s="192" t="s">
        <v>197</v>
      </c>
      <c r="AH506" s="192">
        <v>4.2592500000000006</v>
      </c>
      <c r="AJ506" s="192" t="s">
        <v>74</v>
      </c>
      <c r="AK506" s="192" t="s">
        <v>88</v>
      </c>
      <c r="AL506" s="192" t="s">
        <v>25</v>
      </c>
      <c r="AM506" s="192" t="s">
        <v>51</v>
      </c>
      <c r="AN506" s="192" t="s">
        <v>197</v>
      </c>
      <c r="AO506" s="192">
        <v>3.1185389251118698</v>
      </c>
    </row>
    <row r="507" spans="29:41">
      <c r="AC507" s="192" t="s">
        <v>53</v>
      </c>
      <c r="AD507" s="192" t="s">
        <v>20</v>
      </c>
      <c r="AE507" s="192" t="s">
        <v>72</v>
      </c>
      <c r="AF507" s="192" t="s">
        <v>51</v>
      </c>
      <c r="AG507" s="192" t="s">
        <v>198</v>
      </c>
      <c r="AH507" s="192">
        <v>4.2275</v>
      </c>
      <c r="AJ507" s="192" t="s">
        <v>74</v>
      </c>
      <c r="AK507" s="192" t="s">
        <v>88</v>
      </c>
      <c r="AL507" s="192" t="s">
        <v>25</v>
      </c>
      <c r="AM507" s="192" t="s">
        <v>51</v>
      </c>
      <c r="AN507" s="192" t="s">
        <v>198</v>
      </c>
      <c r="AO507" s="192">
        <v>3.0852280715370801</v>
      </c>
    </row>
    <row r="508" spans="29:41">
      <c r="AC508" s="192" t="s">
        <v>53</v>
      </c>
      <c r="AD508" s="192" t="s">
        <v>20</v>
      </c>
      <c r="AE508" s="192" t="s">
        <v>72</v>
      </c>
      <c r="AF508" s="192" t="s">
        <v>51</v>
      </c>
      <c r="AG508" s="192" t="s">
        <v>199</v>
      </c>
      <c r="AH508" s="192">
        <v>4.1956249999999997</v>
      </c>
      <c r="AJ508" s="192" t="s">
        <v>74</v>
      </c>
      <c r="AK508" s="192" t="s">
        <v>88</v>
      </c>
      <c r="AL508" s="192" t="s">
        <v>25</v>
      </c>
      <c r="AM508" s="192" t="s">
        <v>51</v>
      </c>
      <c r="AN508" s="192" t="s">
        <v>199</v>
      </c>
      <c r="AO508" s="192">
        <v>3.1292995796246399</v>
      </c>
    </row>
    <row r="509" spans="29:41">
      <c r="AC509" s="192" t="s">
        <v>53</v>
      </c>
      <c r="AD509" s="192" t="s">
        <v>20</v>
      </c>
      <c r="AE509" s="192" t="s">
        <v>72</v>
      </c>
      <c r="AF509" s="192" t="s">
        <v>51</v>
      </c>
      <c r="AG509" s="192" t="s">
        <v>200</v>
      </c>
      <c r="AH509" s="192">
        <v>4.2275</v>
      </c>
      <c r="AJ509" s="192" t="s">
        <v>74</v>
      </c>
      <c r="AK509" s="192" t="s">
        <v>88</v>
      </c>
      <c r="AL509" s="192" t="s">
        <v>25</v>
      </c>
      <c r="AM509" s="192" t="s">
        <v>51</v>
      </c>
      <c r="AN509" s="192" t="s">
        <v>200</v>
      </c>
      <c r="AO509" s="192">
        <v>3.1773446759928401</v>
      </c>
    </row>
    <row r="510" spans="29:41">
      <c r="AC510" s="192" t="s">
        <v>53</v>
      </c>
      <c r="AD510" s="192" t="s">
        <v>20</v>
      </c>
      <c r="AE510" s="192" t="s">
        <v>72</v>
      </c>
      <c r="AF510" s="192" t="s">
        <v>51</v>
      </c>
      <c r="AG510" s="192" t="s">
        <v>201</v>
      </c>
      <c r="AH510" s="192">
        <v>4.1956249999999997</v>
      </c>
      <c r="AJ510" s="192" t="s">
        <v>74</v>
      </c>
      <c r="AK510" s="192" t="s">
        <v>88</v>
      </c>
      <c r="AL510" s="192" t="s">
        <v>25</v>
      </c>
      <c r="AM510" s="192" t="s">
        <v>51</v>
      </c>
      <c r="AN510" s="192" t="s">
        <v>201</v>
      </c>
      <c r="AO510" s="192">
        <v>3.0761153132050598</v>
      </c>
    </row>
    <row r="511" spans="29:41">
      <c r="AC511" s="192" t="s">
        <v>53</v>
      </c>
      <c r="AD511" s="192" t="s">
        <v>20</v>
      </c>
      <c r="AE511" s="192" t="s">
        <v>72</v>
      </c>
      <c r="AF511" s="192" t="s">
        <v>51</v>
      </c>
      <c r="AG511" s="192" t="s">
        <v>202</v>
      </c>
      <c r="AH511" s="192">
        <v>4.2906250000000004</v>
      </c>
      <c r="AJ511" s="192" t="s">
        <v>74</v>
      </c>
      <c r="AK511" s="192" t="s">
        <v>88</v>
      </c>
      <c r="AL511" s="192" t="s">
        <v>25</v>
      </c>
      <c r="AM511" s="192" t="s">
        <v>51</v>
      </c>
      <c r="AN511" s="192" t="s">
        <v>202</v>
      </c>
      <c r="AO511" s="192">
        <v>3.0919401279735599</v>
      </c>
    </row>
    <row r="512" spans="29:41">
      <c r="AC512" s="192" t="s">
        <v>53</v>
      </c>
      <c r="AD512" s="192" t="s">
        <v>20</v>
      </c>
      <c r="AE512" s="192" t="s">
        <v>72</v>
      </c>
      <c r="AF512" s="192" t="s">
        <v>51</v>
      </c>
      <c r="AG512" s="192" t="s">
        <v>203</v>
      </c>
      <c r="AH512" s="192">
        <v>4.2906250000000004</v>
      </c>
      <c r="AJ512" s="192" t="s">
        <v>74</v>
      </c>
      <c r="AK512" s="192" t="s">
        <v>88</v>
      </c>
      <c r="AL512" s="192" t="s">
        <v>25</v>
      </c>
      <c r="AM512" s="192" t="s">
        <v>51</v>
      </c>
      <c r="AN512" s="192" t="s">
        <v>203</v>
      </c>
      <c r="AO512" s="192">
        <v>3.0848485059502999</v>
      </c>
    </row>
    <row r="513" spans="29:41">
      <c r="AC513" s="192" t="s">
        <v>53</v>
      </c>
      <c r="AD513" s="192" t="s">
        <v>20</v>
      </c>
      <c r="AE513" s="192" t="s">
        <v>72</v>
      </c>
      <c r="AF513" s="192" t="s">
        <v>51</v>
      </c>
      <c r="AG513" s="192" t="s">
        <v>204</v>
      </c>
      <c r="AH513" s="192">
        <v>4.2275</v>
      </c>
      <c r="AJ513" s="192" t="s">
        <v>74</v>
      </c>
      <c r="AK513" s="192" t="s">
        <v>88</v>
      </c>
      <c r="AL513" s="192" t="s">
        <v>25</v>
      </c>
      <c r="AM513" s="192" t="s">
        <v>51</v>
      </c>
      <c r="AN513" s="192" t="s">
        <v>204</v>
      </c>
      <c r="AO513" s="192">
        <v>3.0537402902567599</v>
      </c>
    </row>
    <row r="514" spans="29:41">
      <c r="AC514" s="192" t="s">
        <v>53</v>
      </c>
      <c r="AD514" s="192" t="s">
        <v>20</v>
      </c>
      <c r="AE514" s="192" t="s">
        <v>72</v>
      </c>
      <c r="AF514" s="192" t="s">
        <v>51</v>
      </c>
      <c r="AG514" s="192" t="s">
        <v>205</v>
      </c>
      <c r="AH514" s="192">
        <v>4.2275</v>
      </c>
      <c r="AJ514" s="192" t="s">
        <v>74</v>
      </c>
      <c r="AK514" s="192" t="s">
        <v>88</v>
      </c>
      <c r="AL514" s="192" t="s">
        <v>25</v>
      </c>
      <c r="AM514" s="192" t="s">
        <v>51</v>
      </c>
      <c r="AN514" s="192" t="s">
        <v>205</v>
      </c>
      <c r="AO514" s="192">
        <v>3.03216152423493</v>
      </c>
    </row>
    <row r="515" spans="29:41">
      <c r="AC515" s="192" t="s">
        <v>53</v>
      </c>
      <c r="AD515" s="192" t="s">
        <v>20</v>
      </c>
      <c r="AE515" s="192" t="s">
        <v>72</v>
      </c>
      <c r="AF515" s="192" t="s">
        <v>51</v>
      </c>
      <c r="AG515" s="192" t="s">
        <v>206</v>
      </c>
      <c r="AH515" s="192">
        <v>4.2588749999999997</v>
      </c>
      <c r="AJ515" s="192" t="s">
        <v>74</v>
      </c>
      <c r="AK515" s="192" t="s">
        <v>88</v>
      </c>
      <c r="AL515" s="192" t="s">
        <v>25</v>
      </c>
      <c r="AM515" s="192" t="s">
        <v>51</v>
      </c>
      <c r="AN515" s="192" t="s">
        <v>206</v>
      </c>
      <c r="AO515" s="192">
        <v>3.0468019127231698</v>
      </c>
    </row>
    <row r="516" spans="29:41">
      <c r="AC516" s="192" t="s">
        <v>53</v>
      </c>
      <c r="AD516" s="192" t="s">
        <v>20</v>
      </c>
      <c r="AE516" s="192" t="s">
        <v>72</v>
      </c>
      <c r="AF516" s="192" t="s">
        <v>51</v>
      </c>
      <c r="AG516" s="192" t="s">
        <v>207</v>
      </c>
      <c r="AH516" s="192">
        <v>4.2270000000000003</v>
      </c>
      <c r="AJ516" s="192" t="s">
        <v>74</v>
      </c>
      <c r="AK516" s="192" t="s">
        <v>88</v>
      </c>
      <c r="AL516" s="192" t="s">
        <v>25</v>
      </c>
      <c r="AM516" s="192" t="s">
        <v>51</v>
      </c>
      <c r="AN516" s="192" t="s">
        <v>207</v>
      </c>
      <c r="AO516" s="192">
        <v>2.9822174038917302</v>
      </c>
    </row>
    <row r="517" spans="29:41">
      <c r="AC517" s="192" t="s">
        <v>53</v>
      </c>
      <c r="AD517" s="192" t="s">
        <v>20</v>
      </c>
      <c r="AE517" s="192" t="s">
        <v>72</v>
      </c>
      <c r="AF517" s="192" t="s">
        <v>51</v>
      </c>
      <c r="AG517" s="192" t="s">
        <v>208</v>
      </c>
      <c r="AH517" s="192">
        <v>4.2906250000000004</v>
      </c>
      <c r="AJ517" s="192" t="s">
        <v>74</v>
      </c>
      <c r="AK517" s="192" t="s">
        <v>88</v>
      </c>
      <c r="AL517" s="192" t="s">
        <v>25</v>
      </c>
      <c r="AM517" s="192" t="s">
        <v>51</v>
      </c>
      <c r="AN517" s="192" t="s">
        <v>208</v>
      </c>
      <c r="AO517" s="192">
        <v>3.0761568887156101</v>
      </c>
    </row>
    <row r="518" spans="29:41">
      <c r="AC518" s="192" t="s">
        <v>53</v>
      </c>
      <c r="AD518" s="192" t="s">
        <v>20</v>
      </c>
      <c r="AE518" s="192" t="s">
        <v>72</v>
      </c>
      <c r="AF518" s="192" t="s">
        <v>51</v>
      </c>
      <c r="AG518" s="192" t="s">
        <v>209</v>
      </c>
      <c r="AH518" s="192">
        <v>4.3228750000000007</v>
      </c>
      <c r="AJ518" s="192" t="s">
        <v>74</v>
      </c>
      <c r="AK518" s="192" t="s">
        <v>88</v>
      </c>
      <c r="AL518" s="192" t="s">
        <v>25</v>
      </c>
      <c r="AM518" s="192" t="s">
        <v>51</v>
      </c>
      <c r="AN518" s="192" t="s">
        <v>209</v>
      </c>
      <c r="AO518" s="192">
        <v>3.1219045210798799</v>
      </c>
    </row>
    <row r="519" spans="29:41">
      <c r="AC519" s="192" t="s">
        <v>53</v>
      </c>
      <c r="AD519" s="192" t="s">
        <v>20</v>
      </c>
      <c r="AE519" s="192" t="s">
        <v>72</v>
      </c>
      <c r="AF519" s="192" t="s">
        <v>51</v>
      </c>
      <c r="AG519" s="192" t="s">
        <v>210</v>
      </c>
      <c r="AH519" s="192">
        <v>4.2910000000000004</v>
      </c>
      <c r="AJ519" s="192" t="s">
        <v>74</v>
      </c>
      <c r="AK519" s="192" t="s">
        <v>88</v>
      </c>
      <c r="AL519" s="192" t="s">
        <v>25</v>
      </c>
      <c r="AM519" s="192" t="s">
        <v>51</v>
      </c>
      <c r="AN519" s="192" t="s">
        <v>210</v>
      </c>
      <c r="AO519" s="192">
        <v>3.0912606104251101</v>
      </c>
    </row>
    <row r="520" spans="29:41">
      <c r="AC520" s="192" t="s">
        <v>53</v>
      </c>
      <c r="AD520" s="192" t="s">
        <v>20</v>
      </c>
      <c r="AE520" s="192" t="s">
        <v>72</v>
      </c>
      <c r="AF520" s="192" t="s">
        <v>51</v>
      </c>
      <c r="AG520" s="192" t="s">
        <v>211</v>
      </c>
      <c r="AH520" s="192">
        <v>4.2910000000000004</v>
      </c>
      <c r="AJ520" s="192" t="s">
        <v>74</v>
      </c>
      <c r="AK520" s="192" t="s">
        <v>88</v>
      </c>
      <c r="AL520" s="192" t="s">
        <v>25</v>
      </c>
      <c r="AM520" s="192" t="s">
        <v>51</v>
      </c>
      <c r="AN520" s="192" t="s">
        <v>211</v>
      </c>
      <c r="AO520" s="192">
        <v>3.1158923075545402</v>
      </c>
    </row>
    <row r="521" spans="29:41">
      <c r="AC521" s="192" t="s">
        <v>53</v>
      </c>
      <c r="AD521" s="192" t="s">
        <v>20</v>
      </c>
      <c r="AE521" s="192" t="s">
        <v>72</v>
      </c>
      <c r="AF521" s="192" t="s">
        <v>51</v>
      </c>
      <c r="AG521" s="192" t="s">
        <v>212</v>
      </c>
      <c r="AH521" s="192">
        <v>4.3546250000000004</v>
      </c>
      <c r="AJ521" s="192" t="s">
        <v>74</v>
      </c>
      <c r="AK521" s="192" t="s">
        <v>88</v>
      </c>
      <c r="AL521" s="192" t="s">
        <v>25</v>
      </c>
      <c r="AM521" s="192" t="s">
        <v>51</v>
      </c>
      <c r="AN521" s="192" t="s">
        <v>212</v>
      </c>
      <c r="AO521" s="192">
        <v>3.2022687944333499</v>
      </c>
    </row>
    <row r="522" spans="29:41">
      <c r="AC522" s="192" t="s">
        <v>53</v>
      </c>
      <c r="AD522" s="192" t="s">
        <v>20</v>
      </c>
      <c r="AE522" s="192" t="s">
        <v>72</v>
      </c>
      <c r="AF522" s="192" t="s">
        <v>51</v>
      </c>
      <c r="AG522" s="192" t="s">
        <v>213</v>
      </c>
      <c r="AH522" s="192">
        <v>4.2910000000000004</v>
      </c>
      <c r="AJ522" s="192" t="s">
        <v>74</v>
      </c>
      <c r="AK522" s="192" t="s">
        <v>88</v>
      </c>
      <c r="AL522" s="192" t="s">
        <v>25</v>
      </c>
      <c r="AM522" s="192" t="s">
        <v>51</v>
      </c>
      <c r="AN522" s="192" t="s">
        <v>213</v>
      </c>
      <c r="AO522" s="192">
        <v>3.0851869199683102</v>
      </c>
    </row>
    <row r="523" spans="29:41">
      <c r="AC523" s="192" t="s">
        <v>53</v>
      </c>
      <c r="AD523" s="192" t="s">
        <v>20</v>
      </c>
      <c r="AE523" s="192" t="s">
        <v>72</v>
      </c>
      <c r="AF523" s="192" t="s">
        <v>51</v>
      </c>
      <c r="AG523" s="192" t="s">
        <v>98</v>
      </c>
      <c r="AH523" s="192">
        <v>4.2592500000000006</v>
      </c>
      <c r="AJ523" s="192" t="s">
        <v>74</v>
      </c>
      <c r="AK523" s="192" t="s">
        <v>88</v>
      </c>
      <c r="AL523" s="192" t="s">
        <v>25</v>
      </c>
      <c r="AM523" s="192" t="s">
        <v>51</v>
      </c>
      <c r="AN523" s="192" t="s">
        <v>98</v>
      </c>
      <c r="AO523" s="192">
        <v>3.0732804432921599</v>
      </c>
    </row>
    <row r="524" spans="29:41">
      <c r="AC524" s="192" t="s">
        <v>53</v>
      </c>
      <c r="AD524" s="192" t="s">
        <v>20</v>
      </c>
      <c r="AE524" s="192" t="s">
        <v>72</v>
      </c>
      <c r="AF524" s="192" t="s">
        <v>51</v>
      </c>
      <c r="AG524" s="192" t="s">
        <v>96</v>
      </c>
      <c r="AH524" s="192">
        <v>4.3228750000000007</v>
      </c>
      <c r="AJ524" s="192" t="s">
        <v>74</v>
      </c>
      <c r="AK524" s="192" t="s">
        <v>88</v>
      </c>
      <c r="AL524" s="192" t="s">
        <v>25</v>
      </c>
      <c r="AM524" s="192" t="s">
        <v>51</v>
      </c>
      <c r="AN524" s="192" t="s">
        <v>96</v>
      </c>
      <c r="AO524" s="192">
        <v>3.16276525236256</v>
      </c>
    </row>
    <row r="525" spans="29:41">
      <c r="AC525" s="192" t="s">
        <v>53</v>
      </c>
      <c r="AD525" s="192" t="s">
        <v>20</v>
      </c>
      <c r="AE525" s="192" t="s">
        <v>72</v>
      </c>
      <c r="AF525" s="192" t="s">
        <v>51</v>
      </c>
      <c r="AG525" s="192" t="s">
        <v>97</v>
      </c>
      <c r="AH525" s="192">
        <v>4.2910000000000004</v>
      </c>
      <c r="AJ525" s="192" t="s">
        <v>74</v>
      </c>
      <c r="AK525" s="192" t="s">
        <v>88</v>
      </c>
      <c r="AL525" s="192" t="s">
        <v>25</v>
      </c>
      <c r="AM525" s="192" t="s">
        <v>51</v>
      </c>
      <c r="AN525" s="192" t="s">
        <v>97</v>
      </c>
      <c r="AO525" s="192">
        <v>3.1329453977786899</v>
      </c>
    </row>
    <row r="526" spans="29:41">
      <c r="AC526" s="192" t="s">
        <v>53</v>
      </c>
      <c r="AD526" s="192" t="s">
        <v>20</v>
      </c>
      <c r="AE526" s="192" t="s">
        <v>72</v>
      </c>
      <c r="AF526" s="192" t="s">
        <v>51</v>
      </c>
      <c r="AG526" s="192" t="s">
        <v>101</v>
      </c>
      <c r="AH526" s="192">
        <v>4.2592500000000006</v>
      </c>
      <c r="AJ526" s="192" t="s">
        <v>74</v>
      </c>
      <c r="AK526" s="192" t="s">
        <v>88</v>
      </c>
      <c r="AL526" s="192" t="s">
        <v>25</v>
      </c>
      <c r="AM526" s="192" t="s">
        <v>51</v>
      </c>
      <c r="AN526" s="192" t="s">
        <v>101</v>
      </c>
      <c r="AO526" s="192">
        <v>3.0409627195865201</v>
      </c>
    </row>
    <row r="527" spans="29:41">
      <c r="AC527" s="192" t="s">
        <v>53</v>
      </c>
      <c r="AD527" s="192" t="s">
        <v>20</v>
      </c>
      <c r="AE527" s="192" t="s">
        <v>72</v>
      </c>
      <c r="AF527" s="192" t="s">
        <v>51</v>
      </c>
      <c r="AG527" s="192" t="s">
        <v>102</v>
      </c>
      <c r="AH527" s="192">
        <v>4.2906250000000004</v>
      </c>
      <c r="AJ527" s="192" t="s">
        <v>74</v>
      </c>
      <c r="AK527" s="192" t="s">
        <v>88</v>
      </c>
      <c r="AL527" s="192" t="s">
        <v>25</v>
      </c>
      <c r="AM527" s="192" t="s">
        <v>51</v>
      </c>
      <c r="AN527" s="192" t="s">
        <v>102</v>
      </c>
      <c r="AO527" s="192">
        <v>3.00985191194196</v>
      </c>
    </row>
    <row r="528" spans="29:41">
      <c r="AC528" s="192" t="s">
        <v>53</v>
      </c>
      <c r="AD528" s="192" t="s">
        <v>20</v>
      </c>
      <c r="AE528" s="192" t="s">
        <v>72</v>
      </c>
      <c r="AF528" s="192" t="s">
        <v>51</v>
      </c>
      <c r="AG528" s="192" t="s">
        <v>103</v>
      </c>
      <c r="AH528" s="192">
        <v>4.2910000000000004</v>
      </c>
      <c r="AJ528" s="192" t="s">
        <v>74</v>
      </c>
      <c r="AK528" s="192" t="s">
        <v>88</v>
      </c>
      <c r="AL528" s="192" t="s">
        <v>25</v>
      </c>
      <c r="AM528" s="192" t="s">
        <v>51</v>
      </c>
      <c r="AN528" s="192" t="s">
        <v>103</v>
      </c>
      <c r="AO528" s="192">
        <v>2.9791453962399599</v>
      </c>
    </row>
    <row r="529" spans="29:41">
      <c r="AC529" s="192" t="s">
        <v>53</v>
      </c>
      <c r="AD529" s="192" t="s">
        <v>20</v>
      </c>
      <c r="AE529" s="192" t="s">
        <v>72</v>
      </c>
      <c r="AF529" s="192" t="s">
        <v>51</v>
      </c>
      <c r="AG529" s="192" t="s">
        <v>104</v>
      </c>
      <c r="AH529" s="192">
        <v>4.2592500000000006</v>
      </c>
      <c r="AJ529" s="192" t="s">
        <v>74</v>
      </c>
      <c r="AK529" s="192" t="s">
        <v>88</v>
      </c>
      <c r="AL529" s="192" t="s">
        <v>25</v>
      </c>
      <c r="AM529" s="192" t="s">
        <v>51</v>
      </c>
      <c r="AN529" s="192" t="s">
        <v>104</v>
      </c>
      <c r="AO529" s="192">
        <v>3.0519928057207899</v>
      </c>
    </row>
    <row r="530" spans="29:41">
      <c r="AC530" s="192" t="s">
        <v>53</v>
      </c>
      <c r="AD530" s="192" t="s">
        <v>20</v>
      </c>
      <c r="AE530" s="192" t="s">
        <v>72</v>
      </c>
      <c r="AF530" s="192" t="s">
        <v>51</v>
      </c>
      <c r="AG530" s="192" t="s">
        <v>105</v>
      </c>
      <c r="AH530" s="192">
        <v>4.3228750000000007</v>
      </c>
      <c r="AJ530" s="192" t="s">
        <v>74</v>
      </c>
      <c r="AK530" s="192" t="s">
        <v>88</v>
      </c>
      <c r="AL530" s="192" t="s">
        <v>25</v>
      </c>
      <c r="AM530" s="192" t="s">
        <v>51</v>
      </c>
      <c r="AN530" s="192" t="s">
        <v>105</v>
      </c>
      <c r="AO530" s="192">
        <v>3.1469144966257199</v>
      </c>
    </row>
    <row r="531" spans="29:41">
      <c r="AC531" s="192" t="s">
        <v>53</v>
      </c>
      <c r="AD531" s="192" t="s">
        <v>20</v>
      </c>
      <c r="AE531" s="192" t="s">
        <v>72</v>
      </c>
      <c r="AF531" s="192" t="s">
        <v>51</v>
      </c>
      <c r="AG531" s="192" t="s">
        <v>106</v>
      </c>
      <c r="AH531" s="192">
        <v>4.3864999999999998</v>
      </c>
      <c r="AJ531" s="192" t="s">
        <v>74</v>
      </c>
      <c r="AK531" s="192" t="s">
        <v>88</v>
      </c>
      <c r="AL531" s="192" t="s">
        <v>25</v>
      </c>
      <c r="AM531" s="192" t="s">
        <v>51</v>
      </c>
      <c r="AN531" s="192" t="s">
        <v>106</v>
      </c>
      <c r="AO531" s="192">
        <v>3.1440801611331</v>
      </c>
    </row>
    <row r="532" spans="29:41">
      <c r="AC532" s="192" t="s">
        <v>53</v>
      </c>
      <c r="AD532" s="192" t="s">
        <v>20</v>
      </c>
      <c r="AE532" s="192" t="s">
        <v>72</v>
      </c>
      <c r="AF532" s="192" t="s">
        <v>51</v>
      </c>
      <c r="AG532" s="192" t="s">
        <v>107</v>
      </c>
      <c r="AH532" s="192">
        <v>4.2910000000000004</v>
      </c>
      <c r="AJ532" s="192" t="s">
        <v>74</v>
      </c>
      <c r="AK532" s="192" t="s">
        <v>88</v>
      </c>
      <c r="AL532" s="192" t="s">
        <v>25</v>
      </c>
      <c r="AM532" s="192" t="s">
        <v>51</v>
      </c>
      <c r="AN532" s="192" t="s">
        <v>107</v>
      </c>
      <c r="AO532" s="192">
        <v>3.1081065530197201</v>
      </c>
    </row>
    <row r="533" spans="29:41">
      <c r="AC533" s="192" t="s">
        <v>53</v>
      </c>
      <c r="AD533" s="192" t="s">
        <v>20</v>
      </c>
      <c r="AE533" s="192" t="s">
        <v>72</v>
      </c>
      <c r="AF533" s="192" t="s">
        <v>51</v>
      </c>
      <c r="AG533" s="192" t="s">
        <v>108</v>
      </c>
      <c r="AH533" s="192">
        <v>4.2592500000000006</v>
      </c>
      <c r="AJ533" s="192" t="s">
        <v>74</v>
      </c>
      <c r="AK533" s="192" t="s">
        <v>88</v>
      </c>
      <c r="AL533" s="192" t="s">
        <v>25</v>
      </c>
      <c r="AM533" s="192" t="s">
        <v>51</v>
      </c>
      <c r="AN533" s="192" t="s">
        <v>108</v>
      </c>
      <c r="AO533" s="192">
        <v>3.0651881254767099</v>
      </c>
    </row>
    <row r="534" spans="29:41">
      <c r="AC534" s="192" t="s">
        <v>53</v>
      </c>
      <c r="AD534" s="192" t="s">
        <v>20</v>
      </c>
      <c r="AE534" s="192" t="s">
        <v>72</v>
      </c>
      <c r="AF534" s="192" t="s">
        <v>51</v>
      </c>
      <c r="AG534" s="192" t="s">
        <v>100</v>
      </c>
      <c r="AH534" s="192">
        <v>4.2592500000000006</v>
      </c>
      <c r="AJ534" s="192" t="s">
        <v>74</v>
      </c>
      <c r="AK534" s="192" t="s">
        <v>88</v>
      </c>
      <c r="AL534" s="192" t="s">
        <v>25</v>
      </c>
      <c r="AM534" s="192" t="s">
        <v>51</v>
      </c>
      <c r="AN534" s="192" t="s">
        <v>100</v>
      </c>
      <c r="AO534" s="192">
        <v>3.0642370952529001</v>
      </c>
    </row>
    <row r="535" spans="29:41">
      <c r="AC535" s="192" t="s">
        <v>53</v>
      </c>
      <c r="AD535" s="192" t="s">
        <v>20</v>
      </c>
      <c r="AE535" s="192" t="s">
        <v>72</v>
      </c>
      <c r="AF535" s="192" t="s">
        <v>51</v>
      </c>
      <c r="AG535" s="192" t="s">
        <v>109</v>
      </c>
      <c r="AH535" s="192">
        <v>4.2592500000000006</v>
      </c>
      <c r="AJ535" s="192" t="s">
        <v>74</v>
      </c>
      <c r="AK535" s="192" t="s">
        <v>88</v>
      </c>
      <c r="AL535" s="192" t="s">
        <v>25</v>
      </c>
      <c r="AM535" s="192" t="s">
        <v>51</v>
      </c>
      <c r="AN535" s="192" t="s">
        <v>109</v>
      </c>
      <c r="AO535" s="192">
        <v>3.0508649511892498</v>
      </c>
    </row>
    <row r="536" spans="29:41">
      <c r="AC536" s="192" t="s">
        <v>53</v>
      </c>
      <c r="AD536" s="192" t="s">
        <v>20</v>
      </c>
      <c r="AE536" s="192" t="s">
        <v>72</v>
      </c>
      <c r="AF536" s="192" t="s">
        <v>51</v>
      </c>
      <c r="AG536" s="192" t="s">
        <v>110</v>
      </c>
      <c r="AH536" s="192">
        <v>4.2910000000000004</v>
      </c>
      <c r="AJ536" s="192" t="s">
        <v>74</v>
      </c>
      <c r="AK536" s="192" t="s">
        <v>88</v>
      </c>
      <c r="AL536" s="192" t="s">
        <v>25</v>
      </c>
      <c r="AM536" s="192" t="s">
        <v>51</v>
      </c>
      <c r="AN536" s="192" t="s">
        <v>110</v>
      </c>
      <c r="AO536" s="192">
        <v>3.07026860246684</v>
      </c>
    </row>
    <row r="537" spans="29:41">
      <c r="AC537" s="192" t="s">
        <v>53</v>
      </c>
      <c r="AD537" s="192" t="s">
        <v>20</v>
      </c>
      <c r="AE537" s="192" t="s">
        <v>72</v>
      </c>
      <c r="AF537" s="192" t="s">
        <v>51</v>
      </c>
      <c r="AG537" s="192" t="s">
        <v>111</v>
      </c>
      <c r="AH537" s="192">
        <v>4.2906250000000004</v>
      </c>
      <c r="AJ537" s="192" t="s">
        <v>74</v>
      </c>
      <c r="AK537" s="192" t="s">
        <v>88</v>
      </c>
      <c r="AL537" s="192" t="s">
        <v>25</v>
      </c>
      <c r="AM537" s="192" t="s">
        <v>51</v>
      </c>
      <c r="AN537" s="192" t="s">
        <v>111</v>
      </c>
      <c r="AO537" s="192">
        <v>3.04099858929172</v>
      </c>
    </row>
    <row r="538" spans="29:41">
      <c r="AC538" s="192" t="s">
        <v>53</v>
      </c>
      <c r="AD538" s="192" t="s">
        <v>20</v>
      </c>
      <c r="AE538" s="192" t="s">
        <v>72</v>
      </c>
      <c r="AF538" s="192" t="s">
        <v>51</v>
      </c>
      <c r="AG538" s="192" t="s">
        <v>99</v>
      </c>
      <c r="AH538" s="192">
        <v>4.2906250000000004</v>
      </c>
      <c r="AJ538" s="192" t="s">
        <v>74</v>
      </c>
      <c r="AK538" s="192" t="s">
        <v>88</v>
      </c>
      <c r="AL538" s="192" t="s">
        <v>25</v>
      </c>
      <c r="AM538" s="192" t="s">
        <v>51</v>
      </c>
      <c r="AN538" s="192" t="s">
        <v>99</v>
      </c>
      <c r="AO538" s="192">
        <v>3.0272722743659699</v>
      </c>
    </row>
    <row r="539" spans="29:41">
      <c r="AC539" s="192" t="s">
        <v>53</v>
      </c>
      <c r="AD539" s="192" t="s">
        <v>20</v>
      </c>
      <c r="AE539" s="192" t="s">
        <v>72</v>
      </c>
      <c r="AF539" s="192" t="s">
        <v>51</v>
      </c>
      <c r="AG539" s="192" t="s">
        <v>126</v>
      </c>
      <c r="AH539" s="192">
        <v>4.2592500000000006</v>
      </c>
      <c r="AJ539" s="192" t="s">
        <v>74</v>
      </c>
      <c r="AK539" s="192" t="s">
        <v>88</v>
      </c>
      <c r="AL539" s="192" t="s">
        <v>25</v>
      </c>
      <c r="AM539" s="192" t="s">
        <v>51</v>
      </c>
      <c r="AN539" s="192" t="s">
        <v>126</v>
      </c>
      <c r="AO539" s="192">
        <v>3.00152435884748</v>
      </c>
    </row>
    <row r="540" spans="29:41">
      <c r="AC540" s="192" t="s">
        <v>53</v>
      </c>
      <c r="AD540" s="192" t="s">
        <v>20</v>
      </c>
      <c r="AE540" s="192" t="s">
        <v>72</v>
      </c>
      <c r="AF540" s="192" t="s">
        <v>51</v>
      </c>
      <c r="AG540" s="192" t="s">
        <v>124</v>
      </c>
      <c r="AH540" s="192">
        <v>4.2588749999999997</v>
      </c>
      <c r="AJ540" s="192" t="s">
        <v>74</v>
      </c>
      <c r="AK540" s="192" t="s">
        <v>88</v>
      </c>
      <c r="AL540" s="192" t="s">
        <v>25</v>
      </c>
      <c r="AM540" s="192" t="s">
        <v>51</v>
      </c>
      <c r="AN540" s="192" t="s">
        <v>124</v>
      </c>
      <c r="AO540" s="192">
        <v>3.00880742941581</v>
      </c>
    </row>
    <row r="541" spans="29:41">
      <c r="AC541" s="192" t="s">
        <v>53</v>
      </c>
      <c r="AD541" s="192" t="s">
        <v>20</v>
      </c>
      <c r="AE541" s="192" t="s">
        <v>72</v>
      </c>
      <c r="AF541" s="192" t="s">
        <v>51</v>
      </c>
      <c r="AG541" s="192" t="s">
        <v>127</v>
      </c>
      <c r="AH541" s="192">
        <v>4.2588749999999997</v>
      </c>
      <c r="AJ541" s="192" t="s">
        <v>74</v>
      </c>
      <c r="AK541" s="192" t="s">
        <v>88</v>
      </c>
      <c r="AL541" s="192" t="s">
        <v>25</v>
      </c>
      <c r="AM541" s="192" t="s">
        <v>51</v>
      </c>
      <c r="AN541" s="192" t="s">
        <v>127</v>
      </c>
      <c r="AO541" s="192">
        <v>2.9768819813504899</v>
      </c>
    </row>
    <row r="542" spans="29:41">
      <c r="AC542" s="192" t="s">
        <v>53</v>
      </c>
      <c r="AD542" s="192" t="s">
        <v>20</v>
      </c>
      <c r="AE542" s="192" t="s">
        <v>72</v>
      </c>
      <c r="AF542" s="192" t="s">
        <v>51</v>
      </c>
      <c r="AG542" s="192" t="s">
        <v>128</v>
      </c>
      <c r="AH542" s="192">
        <v>4.2906250000000004</v>
      </c>
      <c r="AJ542" s="192" t="s">
        <v>74</v>
      </c>
      <c r="AK542" s="192" t="s">
        <v>88</v>
      </c>
      <c r="AL542" s="192" t="s">
        <v>25</v>
      </c>
      <c r="AM542" s="192" t="s">
        <v>51</v>
      </c>
      <c r="AN542" s="192" t="s">
        <v>128</v>
      </c>
      <c r="AO542" s="192">
        <v>2.9700273705701301</v>
      </c>
    </row>
    <row r="543" spans="29:41">
      <c r="AC543" s="192" t="s">
        <v>53</v>
      </c>
      <c r="AD543" s="192" t="s">
        <v>20</v>
      </c>
      <c r="AE543" s="192" t="s">
        <v>72</v>
      </c>
      <c r="AF543" s="192" t="s">
        <v>51</v>
      </c>
      <c r="AG543" s="192" t="s">
        <v>129</v>
      </c>
      <c r="AH543" s="192">
        <v>4.2906250000000004</v>
      </c>
      <c r="AJ543" s="192" t="s">
        <v>74</v>
      </c>
      <c r="AK543" s="192" t="s">
        <v>88</v>
      </c>
      <c r="AL543" s="192" t="s">
        <v>25</v>
      </c>
      <c r="AM543" s="192" t="s">
        <v>51</v>
      </c>
      <c r="AN543" s="192" t="s">
        <v>129</v>
      </c>
      <c r="AO543" s="192">
        <v>2.9952166878972601</v>
      </c>
    </row>
    <row r="544" spans="29:41">
      <c r="AC544" s="192" t="s">
        <v>53</v>
      </c>
      <c r="AD544" s="192" t="s">
        <v>20</v>
      </c>
      <c r="AE544" s="192" t="s">
        <v>72</v>
      </c>
      <c r="AF544" s="192" t="s">
        <v>51</v>
      </c>
      <c r="AG544" s="192" t="s">
        <v>123</v>
      </c>
      <c r="AH544" s="192">
        <v>4.2906250000000004</v>
      </c>
      <c r="AJ544" s="192" t="s">
        <v>74</v>
      </c>
      <c r="AK544" s="192" t="s">
        <v>88</v>
      </c>
      <c r="AL544" s="192" t="s">
        <v>25</v>
      </c>
      <c r="AM544" s="192" t="s">
        <v>51</v>
      </c>
      <c r="AN544" s="192" t="s">
        <v>123</v>
      </c>
      <c r="AO544" s="192">
        <v>2.9944455468035298</v>
      </c>
    </row>
    <row r="545" spans="29:41">
      <c r="AC545" s="192" t="s">
        <v>53</v>
      </c>
      <c r="AD545" s="192" t="s">
        <v>20</v>
      </c>
      <c r="AE545" s="192" t="s">
        <v>72</v>
      </c>
      <c r="AF545" s="192" t="s">
        <v>51</v>
      </c>
      <c r="AG545" s="192" t="s">
        <v>125</v>
      </c>
      <c r="AH545" s="192">
        <v>4.1630000000000003</v>
      </c>
      <c r="AJ545" s="192" t="s">
        <v>74</v>
      </c>
      <c r="AK545" s="192" t="s">
        <v>88</v>
      </c>
      <c r="AL545" s="192" t="s">
        <v>25</v>
      </c>
      <c r="AM545" s="192" t="s">
        <v>51</v>
      </c>
      <c r="AN545" s="192" t="s">
        <v>125</v>
      </c>
      <c r="AO545" s="192">
        <v>2.9155081259623699</v>
      </c>
    </row>
    <row r="546" spans="29:41">
      <c r="AC546" s="192" t="s">
        <v>53</v>
      </c>
      <c r="AD546" s="192" t="s">
        <v>20</v>
      </c>
      <c r="AE546" s="192" t="s">
        <v>72</v>
      </c>
      <c r="AF546" s="192" t="s">
        <v>51</v>
      </c>
      <c r="AG546" s="192" t="s">
        <v>215</v>
      </c>
      <c r="AH546" s="192">
        <v>4.1312500000000005</v>
      </c>
      <c r="AJ546" s="192" t="s">
        <v>74</v>
      </c>
      <c r="AK546" s="192" t="s">
        <v>88</v>
      </c>
      <c r="AL546" s="192" t="s">
        <v>25</v>
      </c>
      <c r="AM546" s="192" t="s">
        <v>51</v>
      </c>
      <c r="AN546" s="192" t="s">
        <v>215</v>
      </c>
      <c r="AO546" s="192">
        <v>2.8859588833612699</v>
      </c>
    </row>
    <row r="547" spans="29:41">
      <c r="AC547" s="192" t="s">
        <v>54</v>
      </c>
      <c r="AD547" s="192" t="s">
        <v>20</v>
      </c>
      <c r="AE547" s="192" t="s">
        <v>72</v>
      </c>
      <c r="AF547" s="192" t="s">
        <v>51</v>
      </c>
      <c r="AG547" s="192" t="s">
        <v>130</v>
      </c>
      <c r="AH547" s="192">
        <v>4.123888942161555</v>
      </c>
      <c r="AJ547" s="78"/>
      <c r="AK547" s="78"/>
      <c r="AL547" s="78"/>
      <c r="AM547" s="78"/>
      <c r="AN547" s="78"/>
      <c r="AO547" s="78"/>
    </row>
    <row r="548" spans="29:41">
      <c r="AC548" s="192" t="s">
        <v>54</v>
      </c>
      <c r="AD548" s="192" t="s">
        <v>20</v>
      </c>
      <c r="AE548" s="192" t="s">
        <v>72</v>
      </c>
      <c r="AF548" s="192" t="s">
        <v>51</v>
      </c>
      <c r="AG548" s="192" t="s">
        <v>131</v>
      </c>
      <c r="AH548" s="192">
        <v>4.123888942161555</v>
      </c>
      <c r="AJ548" s="78"/>
      <c r="AK548" s="78"/>
      <c r="AL548" s="78"/>
      <c r="AM548" s="78"/>
      <c r="AN548" s="78"/>
      <c r="AO548" s="78"/>
    </row>
    <row r="549" spans="29:41">
      <c r="AC549" s="192" t="s">
        <v>54</v>
      </c>
      <c r="AD549" s="192" t="s">
        <v>20</v>
      </c>
      <c r="AE549" s="192" t="s">
        <v>72</v>
      </c>
      <c r="AF549" s="192" t="s">
        <v>51</v>
      </c>
      <c r="AG549" s="192" t="s">
        <v>132</v>
      </c>
      <c r="AH549" s="192">
        <v>4.123888942161555</v>
      </c>
      <c r="AJ549" s="78"/>
      <c r="AK549" s="78"/>
      <c r="AL549" s="78"/>
      <c r="AM549" s="78"/>
      <c r="AN549" s="78"/>
      <c r="AO549" s="78"/>
    </row>
    <row r="550" spans="29:41">
      <c r="AC550" s="192" t="s">
        <v>54</v>
      </c>
      <c r="AD550" s="192" t="s">
        <v>20</v>
      </c>
      <c r="AE550" s="192" t="s">
        <v>72</v>
      </c>
      <c r="AF550" s="192" t="s">
        <v>51</v>
      </c>
      <c r="AG550" s="192" t="s">
        <v>133</v>
      </c>
      <c r="AH550" s="192">
        <v>4.145604497342033</v>
      </c>
      <c r="AJ550" s="78"/>
      <c r="AK550" s="78"/>
      <c r="AL550" s="78"/>
      <c r="AM550" s="78"/>
      <c r="AN550" s="78"/>
      <c r="AO550" s="78"/>
    </row>
    <row r="551" spans="29:41">
      <c r="AC551" s="192" t="s">
        <v>54</v>
      </c>
      <c r="AD551" s="192" t="s">
        <v>20</v>
      </c>
      <c r="AE551" s="192" t="s">
        <v>72</v>
      </c>
      <c r="AF551" s="192" t="s">
        <v>51</v>
      </c>
      <c r="AG551" s="192" t="s">
        <v>134</v>
      </c>
      <c r="AH551" s="192">
        <v>4.0563500000000001</v>
      </c>
      <c r="AJ551" s="78"/>
      <c r="AK551" s="78"/>
      <c r="AL551" s="78"/>
      <c r="AM551" s="78"/>
      <c r="AN551" s="78"/>
      <c r="AO551" s="78"/>
    </row>
    <row r="552" spans="29:41">
      <c r="AC552" s="192" t="s">
        <v>54</v>
      </c>
      <c r="AD552" s="192" t="s">
        <v>20</v>
      </c>
      <c r="AE552" s="192" t="s">
        <v>72</v>
      </c>
      <c r="AF552" s="192" t="s">
        <v>51</v>
      </c>
      <c r="AG552" s="192" t="s">
        <v>135</v>
      </c>
      <c r="AH552" s="192">
        <v>4.0251000000000001</v>
      </c>
      <c r="AJ552" s="78"/>
      <c r="AK552" s="78"/>
      <c r="AL552" s="78"/>
      <c r="AM552" s="78"/>
      <c r="AN552" s="78"/>
      <c r="AO552" s="78"/>
    </row>
    <row r="553" spans="29:41">
      <c r="AC553" s="192" t="s">
        <v>54</v>
      </c>
      <c r="AD553" s="192" t="s">
        <v>20</v>
      </c>
      <c r="AE553" s="192" t="s">
        <v>72</v>
      </c>
      <c r="AF553" s="192" t="s">
        <v>51</v>
      </c>
      <c r="AG553" s="192" t="s">
        <v>136</v>
      </c>
      <c r="AH553" s="192">
        <v>4.123888942161555</v>
      </c>
      <c r="AJ553" s="78"/>
      <c r="AK553" s="78"/>
      <c r="AL553" s="78"/>
      <c r="AM553" s="78"/>
      <c r="AN553" s="78"/>
      <c r="AO553" s="78"/>
    </row>
    <row r="554" spans="29:41">
      <c r="AC554" s="192" t="s">
        <v>54</v>
      </c>
      <c r="AD554" s="192" t="s">
        <v>20</v>
      </c>
      <c r="AE554" s="192" t="s">
        <v>72</v>
      </c>
      <c r="AF554" s="192" t="s">
        <v>51</v>
      </c>
      <c r="AG554" s="192" t="s">
        <v>137</v>
      </c>
      <c r="AH554" s="192">
        <v>4.0195510152855149</v>
      </c>
      <c r="AJ554" s="78"/>
      <c r="AK554" s="78"/>
      <c r="AL554" s="78"/>
      <c r="AM554" s="78"/>
      <c r="AN554" s="78"/>
      <c r="AO554" s="78"/>
    </row>
    <row r="555" spans="29:41">
      <c r="AC555" s="192" t="s">
        <v>54</v>
      </c>
      <c r="AD555" s="192" t="s">
        <v>20</v>
      </c>
      <c r="AE555" s="192" t="s">
        <v>72</v>
      </c>
      <c r="AF555" s="192" t="s">
        <v>51</v>
      </c>
      <c r="AG555" s="192" t="s">
        <v>138</v>
      </c>
      <c r="AH555" s="192">
        <v>4.123888942161555</v>
      </c>
      <c r="AJ555" s="78"/>
      <c r="AK555" s="78"/>
      <c r="AL555" s="78"/>
      <c r="AM555" s="78"/>
      <c r="AN555" s="78"/>
      <c r="AO555" s="78"/>
    </row>
    <row r="556" spans="29:41">
      <c r="AC556" s="192" t="s">
        <v>54</v>
      </c>
      <c r="AD556" s="192" t="s">
        <v>20</v>
      </c>
      <c r="AE556" s="192" t="s">
        <v>72</v>
      </c>
      <c r="AF556" s="192" t="s">
        <v>51</v>
      </c>
      <c r="AG556" s="192" t="s">
        <v>139</v>
      </c>
      <c r="AH556" s="192">
        <v>3.9301000000000004</v>
      </c>
      <c r="AJ556" s="78"/>
      <c r="AK556" s="78"/>
      <c r="AL556" s="78"/>
      <c r="AM556" s="78"/>
      <c r="AN556" s="78"/>
      <c r="AO556" s="78"/>
    </row>
    <row r="557" spans="29:41">
      <c r="AC557" s="192" t="s">
        <v>54</v>
      </c>
      <c r="AD557" s="192" t="s">
        <v>20</v>
      </c>
      <c r="AE557" s="192" t="s">
        <v>72</v>
      </c>
      <c r="AF557" s="192" t="s">
        <v>51</v>
      </c>
      <c r="AG557" s="192" t="s">
        <v>140</v>
      </c>
      <c r="AH557" s="192">
        <v>3.8988500000000004</v>
      </c>
      <c r="AJ557" s="78"/>
      <c r="AK557" s="78"/>
      <c r="AL557" s="78"/>
      <c r="AM557" s="78"/>
      <c r="AN557" s="78"/>
      <c r="AO557" s="78"/>
    </row>
    <row r="558" spans="29:41">
      <c r="AC558" s="192" t="s">
        <v>54</v>
      </c>
      <c r="AD558" s="192" t="s">
        <v>20</v>
      </c>
      <c r="AE558" s="192" t="s">
        <v>72</v>
      </c>
      <c r="AF558" s="192" t="s">
        <v>51</v>
      </c>
      <c r="AG558" s="192" t="s">
        <v>141</v>
      </c>
      <c r="AH558" s="192">
        <v>3.9367503938171491</v>
      </c>
      <c r="AJ558" s="77"/>
      <c r="AK558" s="77"/>
      <c r="AL558" s="77"/>
      <c r="AM558" s="77"/>
      <c r="AN558" s="77"/>
      <c r="AO558" s="77"/>
    </row>
    <row r="559" spans="29:41">
      <c r="AC559" s="192" t="s">
        <v>54</v>
      </c>
      <c r="AD559" s="192" t="s">
        <v>20</v>
      </c>
      <c r="AE559" s="192" t="s">
        <v>72</v>
      </c>
      <c r="AF559" s="192" t="s">
        <v>51</v>
      </c>
      <c r="AG559" s="192" t="s">
        <v>142</v>
      </c>
      <c r="AH559" s="192">
        <v>3.872298391426404</v>
      </c>
      <c r="AJ559" s="77"/>
      <c r="AK559" s="77"/>
      <c r="AL559" s="77"/>
      <c r="AM559" s="77"/>
      <c r="AN559" s="77"/>
      <c r="AO559" s="77"/>
    </row>
    <row r="560" spans="29:41">
      <c r="AC560" s="192" t="s">
        <v>54</v>
      </c>
      <c r="AD560" s="192" t="s">
        <v>20</v>
      </c>
      <c r="AE560" s="192" t="s">
        <v>72</v>
      </c>
      <c r="AF560" s="192" t="s">
        <v>51</v>
      </c>
      <c r="AG560" s="192" t="s">
        <v>143</v>
      </c>
      <c r="AH560" s="192">
        <v>3.9367503938171491</v>
      </c>
      <c r="AJ560" s="77"/>
      <c r="AK560" s="77"/>
      <c r="AL560" s="77"/>
      <c r="AM560" s="77"/>
      <c r="AN560" s="77"/>
      <c r="AO560" s="77"/>
    </row>
    <row r="561" spans="29:41">
      <c r="AC561" s="192" t="s">
        <v>54</v>
      </c>
      <c r="AD561" s="192" t="s">
        <v>20</v>
      </c>
      <c r="AE561" s="192" t="s">
        <v>72</v>
      </c>
      <c r="AF561" s="192" t="s">
        <v>51</v>
      </c>
      <c r="AG561" s="192" t="s">
        <v>144</v>
      </c>
      <c r="AH561" s="192">
        <v>3.872298391426404</v>
      </c>
      <c r="AJ561" s="77"/>
      <c r="AK561" s="77"/>
      <c r="AL561" s="77"/>
      <c r="AM561" s="77"/>
      <c r="AN561" s="77"/>
      <c r="AO561" s="77"/>
    </row>
    <row r="562" spans="29:41">
      <c r="AC562" s="192" t="s">
        <v>54</v>
      </c>
      <c r="AD562" s="192" t="s">
        <v>20</v>
      </c>
      <c r="AE562" s="192" t="s">
        <v>72</v>
      </c>
      <c r="AF562" s="192" t="s">
        <v>51</v>
      </c>
      <c r="AG562" s="192" t="s">
        <v>145</v>
      </c>
      <c r="AH562" s="192">
        <v>3.8107367176633482</v>
      </c>
      <c r="AJ562" s="77"/>
      <c r="AK562" s="77"/>
      <c r="AL562" s="77"/>
      <c r="AM562" s="77"/>
      <c r="AN562" s="77"/>
      <c r="AO562" s="77"/>
    </row>
    <row r="563" spans="29:41">
      <c r="AC563" s="192" t="s">
        <v>54</v>
      </c>
      <c r="AD563" s="192" t="s">
        <v>20</v>
      </c>
      <c r="AE563" s="192" t="s">
        <v>72</v>
      </c>
      <c r="AF563" s="192" t="s">
        <v>51</v>
      </c>
      <c r="AG563" s="192" t="s">
        <v>146</v>
      </c>
      <c r="AH563" s="192">
        <v>3.872298391426404</v>
      </c>
      <c r="AJ563" s="77"/>
      <c r="AK563" s="77"/>
      <c r="AL563" s="77"/>
      <c r="AM563" s="77"/>
      <c r="AN563" s="77"/>
      <c r="AO563" s="77"/>
    </row>
    <row r="564" spans="29:41">
      <c r="AC564" s="192" t="s">
        <v>54</v>
      </c>
      <c r="AD564" s="192" t="s">
        <v>20</v>
      </c>
      <c r="AE564" s="192" t="s">
        <v>72</v>
      </c>
      <c r="AF564" s="192" t="s">
        <v>51</v>
      </c>
      <c r="AG564" s="192" t="s">
        <v>147</v>
      </c>
      <c r="AH564" s="192">
        <v>3.9367503938171491</v>
      </c>
      <c r="AJ564" s="77"/>
      <c r="AK564" s="77"/>
      <c r="AL564" s="77"/>
      <c r="AM564" s="77"/>
      <c r="AN564" s="77"/>
      <c r="AO564" s="77"/>
    </row>
    <row r="565" spans="29:41">
      <c r="AC565" s="192" t="s">
        <v>54</v>
      </c>
      <c r="AD565" s="192" t="s">
        <v>20</v>
      </c>
      <c r="AE565" s="192" t="s">
        <v>72</v>
      </c>
      <c r="AF565" s="192" t="s">
        <v>51</v>
      </c>
      <c r="AG565" s="192" t="s">
        <v>148</v>
      </c>
      <c r="AH565" s="192">
        <v>3.9980925223663326</v>
      </c>
      <c r="AJ565" s="77"/>
      <c r="AK565" s="77"/>
      <c r="AL565" s="77"/>
      <c r="AM565" s="77"/>
      <c r="AN565" s="77"/>
      <c r="AO565" s="77"/>
    </row>
    <row r="566" spans="29:41">
      <c r="AC566" s="192" t="s">
        <v>54</v>
      </c>
      <c r="AD566" s="192" t="s">
        <v>20</v>
      </c>
      <c r="AE566" s="192" t="s">
        <v>72</v>
      </c>
      <c r="AF566" s="192" t="s">
        <v>51</v>
      </c>
      <c r="AG566" s="192" t="s">
        <v>149</v>
      </c>
      <c r="AH566" s="192">
        <v>3.9367503938171491</v>
      </c>
      <c r="AJ566" s="77"/>
      <c r="AK566" s="77"/>
      <c r="AL566" s="77"/>
      <c r="AM566" s="77"/>
      <c r="AN566" s="77"/>
      <c r="AO566" s="77"/>
    </row>
    <row r="567" spans="29:41">
      <c r="AC567" s="192" t="s">
        <v>54</v>
      </c>
      <c r="AD567" s="192" t="s">
        <v>20</v>
      </c>
      <c r="AE567" s="192" t="s">
        <v>72</v>
      </c>
      <c r="AF567" s="192" t="s">
        <v>51</v>
      </c>
      <c r="AG567" s="192" t="s">
        <v>150</v>
      </c>
      <c r="AH567" s="192">
        <v>3.872298391426404</v>
      </c>
      <c r="AJ567" s="77"/>
      <c r="AK567" s="77"/>
      <c r="AL567" s="77"/>
      <c r="AM567" s="77"/>
      <c r="AN567" s="77"/>
      <c r="AO567" s="77"/>
    </row>
    <row r="568" spans="29:41">
      <c r="AC568" s="192" t="s">
        <v>54</v>
      </c>
      <c r="AD568" s="192" t="s">
        <v>20</v>
      </c>
      <c r="AE568" s="192" t="s">
        <v>72</v>
      </c>
      <c r="AF568" s="192" t="s">
        <v>51</v>
      </c>
      <c r="AG568" s="192" t="s">
        <v>151</v>
      </c>
      <c r="AH568" s="192">
        <v>3.7673467858228435</v>
      </c>
      <c r="AJ568" s="77"/>
      <c r="AK568" s="77"/>
      <c r="AL568" s="77"/>
      <c r="AM568" s="77"/>
      <c r="AN568" s="77"/>
      <c r="AO568" s="77"/>
    </row>
    <row r="569" spans="29:41">
      <c r="AC569" s="192" t="s">
        <v>54</v>
      </c>
      <c r="AD569" s="192" t="s">
        <v>20</v>
      </c>
      <c r="AE569" s="192" t="s">
        <v>72</v>
      </c>
      <c r="AF569" s="192" t="s">
        <v>51</v>
      </c>
      <c r="AG569" s="192" t="s">
        <v>152</v>
      </c>
      <c r="AH569" s="192">
        <v>3.7673467858228435</v>
      </c>
      <c r="AJ569" s="77"/>
      <c r="AK569" s="77"/>
      <c r="AL569" s="77"/>
      <c r="AM569" s="77"/>
      <c r="AN569" s="77"/>
      <c r="AO569" s="77"/>
    </row>
    <row r="570" spans="29:41">
      <c r="AC570" s="192" t="s">
        <v>54</v>
      </c>
      <c r="AD570" s="192" t="s">
        <v>20</v>
      </c>
      <c r="AE570" s="192" t="s">
        <v>72</v>
      </c>
      <c r="AF570" s="192" t="s">
        <v>51</v>
      </c>
      <c r="AG570" s="192" t="s">
        <v>153</v>
      </c>
      <c r="AH570" s="192">
        <v>3.7178705124641254</v>
      </c>
      <c r="AJ570" s="77"/>
      <c r="AK570" s="77"/>
      <c r="AL570" s="77"/>
      <c r="AM570" s="77"/>
      <c r="AN570" s="77"/>
      <c r="AO570" s="77"/>
    </row>
    <row r="571" spans="29:41">
      <c r="AC571" s="192" t="s">
        <v>54</v>
      </c>
      <c r="AD571" s="192" t="s">
        <v>20</v>
      </c>
      <c r="AE571" s="192" t="s">
        <v>72</v>
      </c>
      <c r="AF571" s="192" t="s">
        <v>51</v>
      </c>
      <c r="AG571" s="192" t="s">
        <v>154</v>
      </c>
      <c r="AH571" s="192">
        <v>3.8662066882918835</v>
      </c>
      <c r="AJ571" s="77"/>
      <c r="AK571" s="77"/>
      <c r="AL571" s="77"/>
      <c r="AM571" s="77"/>
      <c r="AN571" s="77"/>
      <c r="AO571" s="77"/>
    </row>
    <row r="572" spans="29:41">
      <c r="AC572" s="192" t="s">
        <v>54</v>
      </c>
      <c r="AD572" s="192" t="s">
        <v>20</v>
      </c>
      <c r="AE572" s="192" t="s">
        <v>72</v>
      </c>
      <c r="AF572" s="192" t="s">
        <v>51</v>
      </c>
      <c r="AG572" s="192" t="s">
        <v>155</v>
      </c>
      <c r="AH572" s="192">
        <v>3.8662066882918835</v>
      </c>
      <c r="AJ572" s="77"/>
      <c r="AK572" s="77"/>
      <c r="AL572" s="77"/>
      <c r="AM572" s="77"/>
      <c r="AN572" s="77"/>
      <c r="AO572" s="77"/>
    </row>
    <row r="573" spans="29:41">
      <c r="AC573" s="192" t="s">
        <v>54</v>
      </c>
      <c r="AD573" s="192" t="s">
        <v>20</v>
      </c>
      <c r="AE573" s="192" t="s">
        <v>72</v>
      </c>
      <c r="AF573" s="192" t="s">
        <v>51</v>
      </c>
      <c r="AG573" s="192" t="s">
        <v>156</v>
      </c>
      <c r="AH573" s="192">
        <v>3.804430007719005</v>
      </c>
      <c r="AJ573" s="77"/>
      <c r="AK573" s="77"/>
      <c r="AL573" s="77"/>
      <c r="AM573" s="77"/>
      <c r="AN573" s="77"/>
      <c r="AO573" s="77"/>
    </row>
    <row r="574" spans="29:41">
      <c r="AC574" s="192" t="s">
        <v>54</v>
      </c>
      <c r="AD574" s="192" t="s">
        <v>20</v>
      </c>
      <c r="AE574" s="192" t="s">
        <v>72</v>
      </c>
      <c r="AF574" s="192" t="s">
        <v>51</v>
      </c>
      <c r="AG574" s="192" t="s">
        <v>157</v>
      </c>
      <c r="AH574" s="192">
        <v>3.7609539039308504</v>
      </c>
      <c r="AJ574" s="77"/>
      <c r="AK574" s="77"/>
      <c r="AL574" s="77"/>
      <c r="AM574" s="77"/>
      <c r="AN574" s="77"/>
      <c r="AO574" s="77"/>
    </row>
    <row r="575" spans="29:41">
      <c r="AC575" s="192" t="s">
        <v>54</v>
      </c>
      <c r="AD575" s="192" t="s">
        <v>20</v>
      </c>
      <c r="AE575" s="192" t="s">
        <v>72</v>
      </c>
      <c r="AF575" s="192" t="s">
        <v>51</v>
      </c>
      <c r="AG575" s="192" t="s">
        <v>158</v>
      </c>
      <c r="AH575" s="192">
        <v>3.8662066882918835</v>
      </c>
      <c r="AJ575" s="77"/>
      <c r="AK575" s="77"/>
      <c r="AL575" s="77"/>
      <c r="AM575" s="77"/>
      <c r="AN575" s="77"/>
      <c r="AO575" s="77"/>
    </row>
    <row r="576" spans="29:41">
      <c r="AC576" s="192" t="s">
        <v>54</v>
      </c>
      <c r="AD576" s="192" t="s">
        <v>20</v>
      </c>
      <c r="AE576" s="192" t="s">
        <v>72</v>
      </c>
      <c r="AF576" s="192" t="s">
        <v>51</v>
      </c>
      <c r="AG576" s="192" t="s">
        <v>159</v>
      </c>
      <c r="AH576" s="192">
        <v>3.8662066882918835</v>
      </c>
      <c r="AJ576" s="77"/>
      <c r="AK576" s="77"/>
      <c r="AL576" s="77"/>
      <c r="AM576" s="77"/>
      <c r="AN576" s="77"/>
      <c r="AO576" s="77"/>
    </row>
    <row r="577" spans="29:41">
      <c r="AC577" s="192" t="s">
        <v>54</v>
      </c>
      <c r="AD577" s="192" t="s">
        <v>20</v>
      </c>
      <c r="AE577" s="192" t="s">
        <v>72</v>
      </c>
      <c r="AF577" s="192" t="s">
        <v>51</v>
      </c>
      <c r="AG577" s="192" t="s">
        <v>160</v>
      </c>
      <c r="AH577" s="192">
        <v>3.7113481910264978</v>
      </c>
      <c r="AJ577" s="77"/>
      <c r="AK577" s="77"/>
      <c r="AL577" s="77"/>
      <c r="AM577" s="77"/>
      <c r="AN577" s="77"/>
      <c r="AO577" s="77"/>
    </row>
    <row r="578" spans="29:41">
      <c r="AC578" s="192" t="s">
        <v>54</v>
      </c>
      <c r="AD578" s="192" t="s">
        <v>20</v>
      </c>
      <c r="AE578" s="192" t="s">
        <v>72</v>
      </c>
      <c r="AF578" s="192" t="s">
        <v>51</v>
      </c>
      <c r="AG578" s="192" t="s">
        <v>161</v>
      </c>
      <c r="AH578" s="192">
        <v>3.804430007719005</v>
      </c>
      <c r="AJ578" s="77"/>
      <c r="AK578" s="77"/>
      <c r="AL578" s="77"/>
      <c r="AM578" s="77"/>
      <c r="AN578" s="77"/>
      <c r="AO578" s="77"/>
    </row>
    <row r="579" spans="29:41">
      <c r="AC579" s="192" t="s">
        <v>54</v>
      </c>
      <c r="AD579" s="192" t="s">
        <v>20</v>
      </c>
      <c r="AE579" s="192" t="s">
        <v>72</v>
      </c>
      <c r="AF579" s="192" t="s">
        <v>51</v>
      </c>
      <c r="AG579" s="192" t="s">
        <v>162</v>
      </c>
      <c r="AH579" s="192">
        <v>3.804430007719005</v>
      </c>
      <c r="AJ579" s="77"/>
      <c r="AK579" s="77"/>
      <c r="AL579" s="77"/>
      <c r="AM579" s="77"/>
      <c r="AN579" s="77"/>
      <c r="AO579" s="77"/>
    </row>
    <row r="580" spans="29:41">
      <c r="AC580" s="192" t="s">
        <v>54</v>
      </c>
      <c r="AD580" s="192" t="s">
        <v>20</v>
      </c>
      <c r="AE580" s="192" t="s">
        <v>72</v>
      </c>
      <c r="AF580" s="192" t="s">
        <v>51</v>
      </c>
      <c r="AG580" s="192" t="s">
        <v>163</v>
      </c>
      <c r="AH580" s="192">
        <v>3.8662066882918835</v>
      </c>
      <c r="AJ580" s="77"/>
      <c r="AK580" s="77"/>
      <c r="AL580" s="77"/>
      <c r="AM580" s="77"/>
      <c r="AN580" s="77"/>
      <c r="AO580" s="77"/>
    </row>
    <row r="581" spans="29:41">
      <c r="AC581" s="192" t="s">
        <v>54</v>
      </c>
      <c r="AD581" s="192" t="s">
        <v>20</v>
      </c>
      <c r="AE581" s="192" t="s">
        <v>72</v>
      </c>
      <c r="AF581" s="192" t="s">
        <v>51</v>
      </c>
      <c r="AG581" s="192" t="s">
        <v>164</v>
      </c>
      <c r="AH581" s="192">
        <v>3.804430007719005</v>
      </c>
      <c r="AJ581" s="77"/>
      <c r="AK581" s="77"/>
      <c r="AL581" s="77"/>
      <c r="AM581" s="77"/>
      <c r="AN581" s="77"/>
      <c r="AO581" s="77"/>
    </row>
    <row r="582" spans="29:41">
      <c r="AC582" s="192" t="s">
        <v>54</v>
      </c>
      <c r="AD582" s="192" t="s">
        <v>20</v>
      </c>
      <c r="AE582" s="192" t="s">
        <v>72</v>
      </c>
      <c r="AF582" s="192" t="s">
        <v>51</v>
      </c>
      <c r="AG582" s="192" t="s">
        <v>165</v>
      </c>
      <c r="AH582" s="192">
        <v>3.8662066882918835</v>
      </c>
      <c r="AJ582" s="77"/>
      <c r="AK582" s="77"/>
      <c r="AL582" s="77"/>
      <c r="AM582" s="77"/>
      <c r="AN582" s="77"/>
      <c r="AO582" s="77"/>
    </row>
    <row r="583" spans="29:41">
      <c r="AC583" s="192" t="s">
        <v>54</v>
      </c>
      <c r="AD583" s="192" t="s">
        <v>20</v>
      </c>
      <c r="AE583" s="192" t="s">
        <v>72</v>
      </c>
      <c r="AF583" s="192" t="s">
        <v>51</v>
      </c>
      <c r="AG583" s="192" t="s">
        <v>166</v>
      </c>
      <c r="AH583" s="192">
        <v>3.8375095901912939</v>
      </c>
      <c r="AJ583" s="77"/>
      <c r="AK583" s="77"/>
      <c r="AL583" s="77"/>
      <c r="AM583" s="77"/>
      <c r="AN583" s="77"/>
      <c r="AO583" s="77"/>
    </row>
    <row r="584" spans="29:41">
      <c r="AC584" s="192" t="s">
        <v>54</v>
      </c>
      <c r="AD584" s="192" t="s">
        <v>20</v>
      </c>
      <c r="AE584" s="192" t="s">
        <v>72</v>
      </c>
      <c r="AF584" s="192" t="s">
        <v>51</v>
      </c>
      <c r="AG584" s="192" t="s">
        <v>167</v>
      </c>
      <c r="AH584" s="192">
        <v>3.8869825871584012</v>
      </c>
      <c r="AJ584" s="77"/>
      <c r="AK584" s="77"/>
      <c r="AL584" s="77"/>
      <c r="AM584" s="77"/>
      <c r="AN584" s="77"/>
      <c r="AO584" s="77"/>
    </row>
    <row r="585" spans="29:41">
      <c r="AC585" s="192" t="s">
        <v>54</v>
      </c>
      <c r="AD585" s="192" t="s">
        <v>20</v>
      </c>
      <c r="AE585" s="192" t="s">
        <v>72</v>
      </c>
      <c r="AF585" s="192" t="s">
        <v>51</v>
      </c>
      <c r="AG585" s="192" t="s">
        <v>168</v>
      </c>
      <c r="AH585" s="192">
        <v>3.8375095901912939</v>
      </c>
      <c r="AJ585" s="77"/>
      <c r="AK585" s="77"/>
      <c r="AL585" s="77"/>
      <c r="AM585" s="77"/>
      <c r="AN585" s="77"/>
      <c r="AO585" s="77"/>
    </row>
    <row r="586" spans="29:41">
      <c r="AC586" s="192" t="s">
        <v>54</v>
      </c>
      <c r="AD586" s="192" t="s">
        <v>20</v>
      </c>
      <c r="AE586" s="192" t="s">
        <v>72</v>
      </c>
      <c r="AF586" s="192" t="s">
        <v>51</v>
      </c>
      <c r="AG586" s="192" t="s">
        <v>169</v>
      </c>
      <c r="AH586" s="192">
        <v>3.8375095901912939</v>
      </c>
      <c r="AJ586" s="77"/>
      <c r="AK586" s="77"/>
      <c r="AL586" s="77"/>
      <c r="AM586" s="77"/>
      <c r="AN586" s="77"/>
      <c r="AO586" s="77"/>
    </row>
    <row r="587" spans="29:41">
      <c r="AC587" s="192" t="s">
        <v>54</v>
      </c>
      <c r="AD587" s="192" t="s">
        <v>20</v>
      </c>
      <c r="AE587" s="192" t="s">
        <v>72</v>
      </c>
      <c r="AF587" s="192" t="s">
        <v>51</v>
      </c>
      <c r="AG587" s="192" t="s">
        <v>170</v>
      </c>
      <c r="AH587" s="192">
        <v>3.9303703370483709</v>
      </c>
      <c r="AJ587" s="77"/>
      <c r="AK587" s="77"/>
      <c r="AL587" s="77"/>
      <c r="AM587" s="77"/>
      <c r="AN587" s="77"/>
      <c r="AO587" s="77"/>
    </row>
    <row r="588" spans="29:41">
      <c r="AC588" s="192" t="s">
        <v>54</v>
      </c>
      <c r="AD588" s="192" t="s">
        <v>20</v>
      </c>
      <c r="AE588" s="192" t="s">
        <v>72</v>
      </c>
      <c r="AF588" s="192" t="s">
        <v>51</v>
      </c>
      <c r="AG588" s="192" t="s">
        <v>171</v>
      </c>
      <c r="AH588" s="192">
        <v>4.117698774030444</v>
      </c>
      <c r="AJ588" s="77"/>
      <c r="AK588" s="77"/>
      <c r="AL588" s="77"/>
      <c r="AM588" s="77"/>
      <c r="AN588" s="77"/>
      <c r="AO588" s="77"/>
    </row>
    <row r="589" spans="29:41">
      <c r="AC589" s="192" t="s">
        <v>54</v>
      </c>
      <c r="AD589" s="192" t="s">
        <v>20</v>
      </c>
      <c r="AE589" s="192" t="s">
        <v>72</v>
      </c>
      <c r="AF589" s="192" t="s">
        <v>51</v>
      </c>
      <c r="AG589" s="192" t="s">
        <v>172</v>
      </c>
      <c r="AH589" s="192">
        <v>4.0563620311709938</v>
      </c>
      <c r="AJ589" s="77"/>
      <c r="AK589" s="77"/>
      <c r="AL589" s="77"/>
      <c r="AM589" s="77"/>
      <c r="AN589" s="77"/>
      <c r="AO589" s="77"/>
    </row>
    <row r="590" spans="29:41">
      <c r="AC590" s="192" t="s">
        <v>54</v>
      </c>
      <c r="AD590" s="192" t="s">
        <v>20</v>
      </c>
      <c r="AE590" s="192" t="s">
        <v>72</v>
      </c>
      <c r="AF590" s="192" t="s">
        <v>51</v>
      </c>
      <c r="AG590" s="192" t="s">
        <v>173</v>
      </c>
      <c r="AH590" s="192">
        <v>4.0563620311709938</v>
      </c>
      <c r="AJ590" s="77"/>
      <c r="AK590" s="77"/>
      <c r="AL590" s="77"/>
      <c r="AM590" s="77"/>
      <c r="AN590" s="77"/>
      <c r="AO590" s="77"/>
    </row>
    <row r="591" spans="29:41">
      <c r="AC591" s="192" t="s">
        <v>54</v>
      </c>
      <c r="AD591" s="192" t="s">
        <v>20</v>
      </c>
      <c r="AE591" s="192" t="s">
        <v>72</v>
      </c>
      <c r="AF591" s="192" t="s">
        <v>51</v>
      </c>
      <c r="AG591" s="192" t="s">
        <v>174</v>
      </c>
      <c r="AH591" s="192">
        <v>4.117698774030444</v>
      </c>
      <c r="AJ591" s="77"/>
      <c r="AK591" s="77"/>
      <c r="AL591" s="77"/>
      <c r="AM591" s="77"/>
      <c r="AN591" s="77"/>
      <c r="AO591" s="77"/>
    </row>
    <row r="592" spans="29:41">
      <c r="AC592" s="192" t="s">
        <v>54</v>
      </c>
      <c r="AD592" s="192" t="s">
        <v>20</v>
      </c>
      <c r="AE592" s="192" t="s">
        <v>72</v>
      </c>
      <c r="AF592" s="192" t="s">
        <v>51</v>
      </c>
      <c r="AG592" s="192" t="s">
        <v>175</v>
      </c>
      <c r="AH592" s="192">
        <v>4.0154500000000004</v>
      </c>
      <c r="AJ592" s="77"/>
      <c r="AK592" s="77"/>
      <c r="AL592" s="77"/>
      <c r="AM592" s="77"/>
      <c r="AN592" s="77"/>
      <c r="AO592" s="77"/>
    </row>
    <row r="593" spans="29:41">
      <c r="AC593" s="192" t="s">
        <v>54</v>
      </c>
      <c r="AD593" s="192" t="s">
        <v>20</v>
      </c>
      <c r="AE593" s="192" t="s">
        <v>72</v>
      </c>
      <c r="AF593" s="192" t="s">
        <v>51</v>
      </c>
      <c r="AG593" s="192" t="s">
        <v>176</v>
      </c>
      <c r="AH593" s="192">
        <v>4.0899335699667727</v>
      </c>
      <c r="AJ593" s="77"/>
      <c r="AK593" s="77"/>
      <c r="AL593" s="77"/>
      <c r="AM593" s="77"/>
      <c r="AN593" s="77"/>
      <c r="AO593" s="77"/>
    </row>
    <row r="594" spans="29:41">
      <c r="AC594" s="192" t="s">
        <v>54</v>
      </c>
      <c r="AD594" s="192" t="s">
        <v>20</v>
      </c>
      <c r="AE594" s="192" t="s">
        <v>72</v>
      </c>
      <c r="AF594" s="192" t="s">
        <v>51</v>
      </c>
      <c r="AG594" s="192" t="s">
        <v>177</v>
      </c>
      <c r="AH594" s="192">
        <v>4.1391429031887403</v>
      </c>
      <c r="AJ594" s="77"/>
      <c r="AK594" s="77"/>
      <c r="AL594" s="77"/>
      <c r="AM594" s="77"/>
      <c r="AN594" s="77"/>
      <c r="AO594" s="77"/>
    </row>
    <row r="595" spans="29:41">
      <c r="AC595" s="192" t="s">
        <v>54</v>
      </c>
      <c r="AD595" s="192" t="s">
        <v>20</v>
      </c>
      <c r="AE595" s="192" t="s">
        <v>72</v>
      </c>
      <c r="AF595" s="192" t="s">
        <v>51</v>
      </c>
      <c r="AG595" s="192" t="s">
        <v>178</v>
      </c>
      <c r="AH595" s="192">
        <v>4.117698774030444</v>
      </c>
      <c r="AJ595" s="77"/>
      <c r="AK595" s="77"/>
      <c r="AL595" s="77"/>
      <c r="AM595" s="77"/>
      <c r="AN595" s="77"/>
      <c r="AO595" s="77"/>
    </row>
    <row r="596" spans="29:41">
      <c r="AC596" s="192" t="s">
        <v>54</v>
      </c>
      <c r="AD596" s="192" t="s">
        <v>20</v>
      </c>
      <c r="AE596" s="192" t="s">
        <v>72</v>
      </c>
      <c r="AF596" s="192" t="s">
        <v>51</v>
      </c>
      <c r="AG596" s="192" t="s">
        <v>179</v>
      </c>
      <c r="AH596" s="192">
        <v>4.0899335699667727</v>
      </c>
      <c r="AJ596" s="77"/>
      <c r="AK596" s="77"/>
      <c r="AL596" s="77"/>
      <c r="AM596" s="77"/>
      <c r="AN596" s="77"/>
      <c r="AO596" s="77"/>
    </row>
    <row r="597" spans="29:41">
      <c r="AC597" s="192" t="s">
        <v>54</v>
      </c>
      <c r="AD597" s="192" t="s">
        <v>20</v>
      </c>
      <c r="AE597" s="192" t="s">
        <v>72</v>
      </c>
      <c r="AF597" s="192" t="s">
        <v>51</v>
      </c>
      <c r="AG597" s="192" t="s">
        <v>180</v>
      </c>
      <c r="AH597" s="192">
        <v>4.1823551213488175</v>
      </c>
      <c r="AJ597" s="77"/>
      <c r="AK597" s="77"/>
      <c r="AL597" s="77"/>
      <c r="AM597" s="77"/>
      <c r="AN597" s="77"/>
      <c r="AO597" s="77"/>
    </row>
    <row r="598" spans="29:41">
      <c r="AC598" s="192" t="s">
        <v>54</v>
      </c>
      <c r="AD598" s="192" t="s">
        <v>20</v>
      </c>
      <c r="AE598" s="192" t="s">
        <v>72</v>
      </c>
      <c r="AF598" s="192" t="s">
        <v>51</v>
      </c>
      <c r="AG598" s="192" t="s">
        <v>181</v>
      </c>
      <c r="AH598" s="192">
        <v>4.1823551213488175</v>
      </c>
      <c r="AJ598" s="77"/>
      <c r="AK598" s="77"/>
      <c r="AL598" s="77"/>
      <c r="AM598" s="77"/>
      <c r="AN598" s="77"/>
      <c r="AO598" s="77"/>
    </row>
    <row r="599" spans="29:41">
      <c r="AC599" s="192" t="s">
        <v>54</v>
      </c>
      <c r="AD599" s="192" t="s">
        <v>20</v>
      </c>
      <c r="AE599" s="192" t="s">
        <v>72</v>
      </c>
      <c r="AF599" s="192" t="s">
        <v>51</v>
      </c>
      <c r="AG599" s="192" t="s">
        <v>182</v>
      </c>
      <c r="AH599" s="192">
        <v>4.1823551213488175</v>
      </c>
      <c r="AJ599" s="77"/>
      <c r="AK599" s="77"/>
      <c r="AL599" s="77"/>
      <c r="AM599" s="77"/>
      <c r="AN599" s="77"/>
      <c r="AO599" s="77"/>
    </row>
    <row r="600" spans="29:41">
      <c r="AC600" s="192" t="s">
        <v>54</v>
      </c>
      <c r="AD600" s="192" t="s">
        <v>20</v>
      </c>
      <c r="AE600" s="192" t="s">
        <v>72</v>
      </c>
      <c r="AF600" s="192" t="s">
        <v>51</v>
      </c>
      <c r="AG600" s="192" t="s">
        <v>183</v>
      </c>
      <c r="AH600" s="192">
        <v>4.0154500000000004</v>
      </c>
      <c r="AJ600" s="77"/>
      <c r="AK600" s="77"/>
      <c r="AL600" s="77"/>
      <c r="AM600" s="77"/>
      <c r="AN600" s="77"/>
      <c r="AO600" s="77"/>
    </row>
    <row r="601" spans="29:41">
      <c r="AC601" s="192" t="s">
        <v>54</v>
      </c>
      <c r="AD601" s="192" t="s">
        <v>20</v>
      </c>
      <c r="AE601" s="192" t="s">
        <v>72</v>
      </c>
      <c r="AF601" s="192" t="s">
        <v>51</v>
      </c>
      <c r="AG601" s="192" t="s">
        <v>184</v>
      </c>
      <c r="AH601" s="192">
        <v>4.0154500000000004</v>
      </c>
      <c r="AJ601" s="77"/>
      <c r="AK601" s="77"/>
      <c r="AL601" s="77"/>
      <c r="AM601" s="77"/>
      <c r="AN601" s="77"/>
      <c r="AO601" s="77"/>
    </row>
    <row r="602" spans="29:41">
      <c r="AC602" s="192" t="s">
        <v>54</v>
      </c>
      <c r="AD602" s="192" t="s">
        <v>20</v>
      </c>
      <c r="AE602" s="192" t="s">
        <v>72</v>
      </c>
      <c r="AF602" s="192" t="s">
        <v>51</v>
      </c>
      <c r="AG602" s="192" t="s">
        <v>185</v>
      </c>
      <c r="AH602" s="192">
        <v>4.1391429031887403</v>
      </c>
      <c r="AJ602" s="77"/>
      <c r="AK602" s="77"/>
      <c r="AL602" s="77"/>
      <c r="AM602" s="77"/>
      <c r="AN602" s="77"/>
      <c r="AO602" s="77"/>
    </row>
    <row r="603" spans="29:41">
      <c r="AC603" s="192" t="s">
        <v>54</v>
      </c>
      <c r="AD603" s="192" t="s">
        <v>20</v>
      </c>
      <c r="AE603" s="192" t="s">
        <v>72</v>
      </c>
      <c r="AF603" s="192" t="s">
        <v>51</v>
      </c>
      <c r="AG603" s="192" t="s">
        <v>186</v>
      </c>
      <c r="AH603" s="192">
        <v>4.1078929031887403</v>
      </c>
      <c r="AJ603" s="77"/>
      <c r="AK603" s="77"/>
      <c r="AL603" s="77"/>
      <c r="AM603" s="77"/>
      <c r="AN603" s="77"/>
      <c r="AO603" s="77"/>
    </row>
    <row r="604" spans="29:41">
      <c r="AC604" s="192" t="s">
        <v>54</v>
      </c>
      <c r="AD604" s="192" t="s">
        <v>20</v>
      </c>
      <c r="AE604" s="192" t="s">
        <v>72</v>
      </c>
      <c r="AF604" s="192" t="s">
        <v>51</v>
      </c>
      <c r="AG604" s="192" t="s">
        <v>187</v>
      </c>
      <c r="AH604" s="192">
        <v>4.1078929031887403</v>
      </c>
      <c r="AJ604" s="77"/>
      <c r="AK604" s="77"/>
      <c r="AL604" s="77"/>
      <c r="AM604" s="77"/>
      <c r="AN604" s="77"/>
      <c r="AO604" s="77"/>
    </row>
    <row r="605" spans="29:41">
      <c r="AC605" s="192" t="s">
        <v>54</v>
      </c>
      <c r="AD605" s="192" t="s">
        <v>20</v>
      </c>
      <c r="AE605" s="192" t="s">
        <v>72</v>
      </c>
      <c r="AF605" s="192" t="s">
        <v>51</v>
      </c>
      <c r="AG605" s="192" t="s">
        <v>188</v>
      </c>
      <c r="AH605" s="192">
        <v>3.9529500000000004</v>
      </c>
      <c r="AJ605" s="77"/>
      <c r="AK605" s="77"/>
      <c r="AL605" s="77"/>
      <c r="AM605" s="77"/>
      <c r="AN605" s="77"/>
      <c r="AO605" s="77"/>
    </row>
    <row r="606" spans="29:41">
      <c r="AC606" s="192" t="s">
        <v>54</v>
      </c>
      <c r="AD606" s="192" t="s">
        <v>20</v>
      </c>
      <c r="AE606" s="192" t="s">
        <v>72</v>
      </c>
      <c r="AF606" s="192" t="s">
        <v>51</v>
      </c>
      <c r="AG606" s="192" t="s">
        <v>189</v>
      </c>
      <c r="AH606" s="192">
        <v>3.9842000000000004</v>
      </c>
      <c r="AJ606" s="77"/>
      <c r="AK606" s="77"/>
      <c r="AL606" s="77"/>
      <c r="AM606" s="77"/>
      <c r="AN606" s="77"/>
      <c r="AO606" s="77"/>
    </row>
    <row r="607" spans="29:41">
      <c r="AC607" s="192" t="s">
        <v>54</v>
      </c>
      <c r="AD607" s="192" t="s">
        <v>20</v>
      </c>
      <c r="AE607" s="192" t="s">
        <v>72</v>
      </c>
      <c r="AF607" s="192" t="s">
        <v>51</v>
      </c>
      <c r="AG607" s="192" t="s">
        <v>190</v>
      </c>
      <c r="AH607" s="192">
        <v>3.9529500000000004</v>
      </c>
      <c r="AJ607" s="77"/>
      <c r="AK607" s="77"/>
      <c r="AL607" s="77"/>
      <c r="AM607" s="77"/>
      <c r="AN607" s="77"/>
      <c r="AO607" s="77"/>
    </row>
    <row r="608" spans="29:41">
      <c r="AC608" s="192" t="s">
        <v>54</v>
      </c>
      <c r="AD608" s="192" t="s">
        <v>20</v>
      </c>
      <c r="AE608" s="192" t="s">
        <v>72</v>
      </c>
      <c r="AF608" s="192" t="s">
        <v>51</v>
      </c>
      <c r="AG608" s="192" t="s">
        <v>191</v>
      </c>
      <c r="AH608" s="192">
        <v>4.117698774030444</v>
      </c>
      <c r="AJ608" s="77"/>
      <c r="AK608" s="77"/>
      <c r="AL608" s="77"/>
      <c r="AM608" s="77"/>
      <c r="AN608" s="77"/>
      <c r="AO608" s="77"/>
    </row>
    <row r="609" spans="29:41">
      <c r="AC609" s="192" t="s">
        <v>54</v>
      </c>
      <c r="AD609" s="192" t="s">
        <v>20</v>
      </c>
      <c r="AE609" s="192" t="s">
        <v>72</v>
      </c>
      <c r="AF609" s="192" t="s">
        <v>51</v>
      </c>
      <c r="AG609" s="192" t="s">
        <v>192</v>
      </c>
      <c r="AH609" s="192">
        <v>4.0563620311709938</v>
      </c>
      <c r="AJ609" s="77"/>
      <c r="AK609" s="77"/>
      <c r="AL609" s="77"/>
      <c r="AM609" s="77"/>
      <c r="AN609" s="77"/>
      <c r="AO609" s="77"/>
    </row>
    <row r="610" spans="29:41">
      <c r="AC610" s="192" t="s">
        <v>54</v>
      </c>
      <c r="AD610" s="192" t="s">
        <v>20</v>
      </c>
      <c r="AE610" s="192" t="s">
        <v>72</v>
      </c>
      <c r="AF610" s="192" t="s">
        <v>51</v>
      </c>
      <c r="AG610" s="192" t="s">
        <v>193</v>
      </c>
      <c r="AH610" s="192">
        <v>4.114354497342033</v>
      </c>
      <c r="AJ610" s="77"/>
      <c r="AK610" s="77"/>
      <c r="AL610" s="77"/>
      <c r="AM610" s="77"/>
      <c r="AN610" s="77"/>
      <c r="AO610" s="77"/>
    </row>
    <row r="611" spans="29:41">
      <c r="AC611" s="192" t="s">
        <v>54</v>
      </c>
      <c r="AD611" s="192" t="s">
        <v>20</v>
      </c>
      <c r="AE611" s="192" t="s">
        <v>72</v>
      </c>
      <c r="AF611" s="192" t="s">
        <v>51</v>
      </c>
      <c r="AG611" s="192" t="s">
        <v>194</v>
      </c>
      <c r="AH611" s="192">
        <v>4.114354497342033</v>
      </c>
      <c r="AJ611" s="77"/>
      <c r="AK611" s="77"/>
      <c r="AL611" s="77"/>
      <c r="AM611" s="77"/>
      <c r="AN611" s="77"/>
      <c r="AO611" s="77"/>
    </row>
    <row r="612" spans="29:41">
      <c r="AC612" s="192" t="s">
        <v>54</v>
      </c>
      <c r="AD612" s="192" t="s">
        <v>20</v>
      </c>
      <c r="AE612" s="192" t="s">
        <v>72</v>
      </c>
      <c r="AF612" s="192" t="s">
        <v>51</v>
      </c>
      <c r="AG612" s="192" t="s">
        <v>195</v>
      </c>
      <c r="AH612" s="192">
        <v>4.2717089165741537</v>
      </c>
      <c r="AJ612" s="77"/>
      <c r="AK612" s="77"/>
      <c r="AL612" s="77"/>
      <c r="AM612" s="77"/>
      <c r="AN612" s="77"/>
      <c r="AO612" s="77"/>
    </row>
    <row r="613" spans="29:41">
      <c r="AC613" s="192" t="s">
        <v>54</v>
      </c>
      <c r="AD613" s="192" t="s">
        <v>20</v>
      </c>
      <c r="AE613" s="192" t="s">
        <v>72</v>
      </c>
      <c r="AF613" s="192" t="s">
        <v>51</v>
      </c>
      <c r="AG613" s="192" t="s">
        <v>196</v>
      </c>
      <c r="AH613" s="192">
        <v>4.2404589165741537</v>
      </c>
      <c r="AJ613" s="77"/>
      <c r="AK613" s="77"/>
      <c r="AL613" s="77"/>
      <c r="AM613" s="77"/>
      <c r="AN613" s="77"/>
      <c r="AO613" s="77"/>
    </row>
    <row r="614" spans="29:41">
      <c r="AC614" s="192" t="s">
        <v>54</v>
      </c>
      <c r="AD614" s="192" t="s">
        <v>20</v>
      </c>
      <c r="AE614" s="192" t="s">
        <v>72</v>
      </c>
      <c r="AF614" s="192" t="s">
        <v>51</v>
      </c>
      <c r="AG614" s="192" t="s">
        <v>197</v>
      </c>
      <c r="AH614" s="192">
        <v>4.3147493145490214</v>
      </c>
      <c r="AJ614" s="77"/>
      <c r="AK614" s="77"/>
      <c r="AL614" s="77"/>
      <c r="AM614" s="77"/>
      <c r="AN614" s="77"/>
      <c r="AO614" s="77"/>
    </row>
    <row r="615" spans="29:41">
      <c r="AC615" s="192" t="s">
        <v>54</v>
      </c>
      <c r="AD615" s="192" t="s">
        <v>20</v>
      </c>
      <c r="AE615" s="192" t="s">
        <v>72</v>
      </c>
      <c r="AF615" s="192" t="s">
        <v>51</v>
      </c>
      <c r="AG615" s="192" t="s">
        <v>198</v>
      </c>
      <c r="AH615" s="192">
        <v>4.2717089165741537</v>
      </c>
      <c r="AJ615" s="77"/>
      <c r="AK615" s="77"/>
      <c r="AL615" s="77"/>
      <c r="AM615" s="77"/>
      <c r="AN615" s="77"/>
      <c r="AO615" s="77"/>
    </row>
    <row r="616" spans="29:41">
      <c r="AC616" s="192" t="s">
        <v>54</v>
      </c>
      <c r="AD616" s="192" t="s">
        <v>20</v>
      </c>
      <c r="AE616" s="192" t="s">
        <v>72</v>
      </c>
      <c r="AF616" s="192" t="s">
        <v>51</v>
      </c>
      <c r="AG616" s="192" t="s">
        <v>199</v>
      </c>
      <c r="AH616" s="192">
        <v>4.2717089165741537</v>
      </c>
      <c r="AJ616" s="77"/>
      <c r="AK616" s="77"/>
      <c r="AL616" s="77"/>
      <c r="AM616" s="77"/>
      <c r="AN616" s="77"/>
      <c r="AO616" s="77"/>
    </row>
    <row r="617" spans="29:41">
      <c r="AC617" s="192" t="s">
        <v>54</v>
      </c>
      <c r="AD617" s="192" t="s">
        <v>20</v>
      </c>
      <c r="AE617" s="192" t="s">
        <v>72</v>
      </c>
      <c r="AF617" s="192" t="s">
        <v>51</v>
      </c>
      <c r="AG617" s="192" t="s">
        <v>200</v>
      </c>
      <c r="AH617" s="192">
        <v>4.5041620075276256</v>
      </c>
      <c r="AJ617" s="77"/>
      <c r="AK617" s="77"/>
      <c r="AL617" s="77"/>
      <c r="AM617" s="77"/>
      <c r="AN617" s="77"/>
      <c r="AO617" s="77"/>
    </row>
    <row r="618" spans="29:41">
      <c r="AC618" s="192" t="s">
        <v>54</v>
      </c>
      <c r="AD618" s="192" t="s">
        <v>20</v>
      </c>
      <c r="AE618" s="192" t="s">
        <v>72</v>
      </c>
      <c r="AF618" s="192" t="s">
        <v>51</v>
      </c>
      <c r="AG618" s="192" t="s">
        <v>201</v>
      </c>
      <c r="AH618" s="192">
        <v>4.2717089165741537</v>
      </c>
      <c r="AJ618" s="77"/>
      <c r="AK618" s="77"/>
      <c r="AL618" s="77"/>
      <c r="AM618" s="77"/>
      <c r="AN618" s="77"/>
      <c r="AO618" s="77"/>
    </row>
    <row r="619" spans="29:41">
      <c r="AC619" s="192" t="s">
        <v>54</v>
      </c>
      <c r="AD619" s="192" t="s">
        <v>20</v>
      </c>
      <c r="AE619" s="192" t="s">
        <v>72</v>
      </c>
      <c r="AF619" s="192" t="s">
        <v>51</v>
      </c>
      <c r="AG619" s="192" t="s">
        <v>202</v>
      </c>
      <c r="AH619" s="192">
        <v>4.2404589165741537</v>
      </c>
      <c r="AJ619" s="77"/>
      <c r="AK619" s="77"/>
      <c r="AL619" s="77"/>
      <c r="AM619" s="77"/>
      <c r="AN619" s="77"/>
      <c r="AO619" s="77"/>
    </row>
    <row r="620" spans="29:41">
      <c r="AC620" s="192" t="s">
        <v>54</v>
      </c>
      <c r="AD620" s="192" t="s">
        <v>20</v>
      </c>
      <c r="AE620" s="192" t="s">
        <v>72</v>
      </c>
      <c r="AF620" s="192" t="s">
        <v>51</v>
      </c>
      <c r="AG620" s="192" t="s">
        <v>203</v>
      </c>
      <c r="AH620" s="192">
        <v>4.2033105887459152</v>
      </c>
      <c r="AJ620" s="77"/>
      <c r="AK620" s="77"/>
      <c r="AL620" s="77"/>
      <c r="AM620" s="77"/>
      <c r="AN620" s="77"/>
      <c r="AO620" s="77"/>
    </row>
    <row r="621" spans="29:41">
      <c r="AC621" s="192" t="s">
        <v>54</v>
      </c>
      <c r="AD621" s="192" t="s">
        <v>20</v>
      </c>
      <c r="AE621" s="192" t="s">
        <v>72</v>
      </c>
      <c r="AF621" s="192" t="s">
        <v>51</v>
      </c>
      <c r="AG621" s="192" t="s">
        <v>204</v>
      </c>
      <c r="AH621" s="192">
        <v>4.2033105887459152</v>
      </c>
      <c r="AJ621" s="77"/>
      <c r="AK621" s="77"/>
      <c r="AL621" s="77"/>
      <c r="AM621" s="77"/>
      <c r="AN621" s="77"/>
      <c r="AO621" s="77"/>
    </row>
    <row r="622" spans="29:41">
      <c r="AC622" s="192" t="s">
        <v>54</v>
      </c>
      <c r="AD622" s="192" t="s">
        <v>20</v>
      </c>
      <c r="AE622" s="192" t="s">
        <v>72</v>
      </c>
      <c r="AF622" s="192" t="s">
        <v>51</v>
      </c>
      <c r="AG622" s="192" t="s">
        <v>205</v>
      </c>
      <c r="AH622" s="192">
        <v>4.2033105887459152</v>
      </c>
      <c r="AJ622" s="77"/>
      <c r="AK622" s="77"/>
      <c r="AL622" s="77"/>
      <c r="AM622" s="77"/>
      <c r="AN622" s="77"/>
      <c r="AO622" s="77"/>
    </row>
    <row r="623" spans="29:41">
      <c r="AC623" s="192" t="s">
        <v>54</v>
      </c>
      <c r="AD623" s="192" t="s">
        <v>20</v>
      </c>
      <c r="AE623" s="192" t="s">
        <v>72</v>
      </c>
      <c r="AF623" s="192" t="s">
        <v>51</v>
      </c>
      <c r="AG623" s="192" t="s">
        <v>206</v>
      </c>
      <c r="AH623" s="192">
        <v>4.2496377008409834</v>
      </c>
      <c r="AJ623" s="77"/>
      <c r="AK623" s="77"/>
      <c r="AL623" s="77"/>
      <c r="AM623" s="77"/>
      <c r="AN623" s="77"/>
      <c r="AO623" s="77"/>
    </row>
    <row r="624" spans="29:41">
      <c r="AC624" s="192" t="s">
        <v>54</v>
      </c>
      <c r="AD624" s="192" t="s">
        <v>20</v>
      </c>
      <c r="AE624" s="192" t="s">
        <v>72</v>
      </c>
      <c r="AF624" s="192" t="s">
        <v>51</v>
      </c>
      <c r="AG624" s="192" t="s">
        <v>207</v>
      </c>
      <c r="AH624" s="192">
        <v>4.114354497342033</v>
      </c>
      <c r="AJ624" s="77"/>
      <c r="AK624" s="77"/>
      <c r="AL624" s="77"/>
      <c r="AM624" s="77"/>
      <c r="AN624" s="77"/>
      <c r="AO624" s="77"/>
    </row>
    <row r="625" spans="29:41">
      <c r="AC625" s="192" t="s">
        <v>54</v>
      </c>
      <c r="AD625" s="192" t="s">
        <v>20</v>
      </c>
      <c r="AE625" s="192" t="s">
        <v>72</v>
      </c>
      <c r="AF625" s="192" t="s">
        <v>51</v>
      </c>
      <c r="AG625" s="192" t="s">
        <v>208</v>
      </c>
      <c r="AH625" s="192">
        <v>4.1887316643249344</v>
      </c>
      <c r="AJ625" s="77"/>
      <c r="AK625" s="77"/>
      <c r="AL625" s="77"/>
      <c r="AM625" s="77"/>
      <c r="AN625" s="77"/>
      <c r="AO625" s="77"/>
    </row>
    <row r="626" spans="29:41">
      <c r="AC626" s="192" t="s">
        <v>54</v>
      </c>
      <c r="AD626" s="192" t="s">
        <v>20</v>
      </c>
      <c r="AE626" s="192" t="s">
        <v>72</v>
      </c>
      <c r="AF626" s="192" t="s">
        <v>51</v>
      </c>
      <c r="AG626" s="192" t="s">
        <v>209</v>
      </c>
      <c r="AH626" s="192">
        <v>4.2717089165741537</v>
      </c>
      <c r="AJ626" s="77"/>
      <c r="AK626" s="77"/>
      <c r="AL626" s="77"/>
      <c r="AM626" s="77"/>
      <c r="AN626" s="77"/>
      <c r="AO626" s="77"/>
    </row>
    <row r="627" spans="29:41">
      <c r="AC627" s="192" t="s">
        <v>54</v>
      </c>
      <c r="AD627" s="192" t="s">
        <v>20</v>
      </c>
      <c r="AE627" s="192" t="s">
        <v>72</v>
      </c>
      <c r="AF627" s="192" t="s">
        <v>51</v>
      </c>
      <c r="AG627" s="192" t="s">
        <v>210</v>
      </c>
      <c r="AH627" s="192">
        <v>4.2717089165741537</v>
      </c>
      <c r="AJ627" s="77"/>
      <c r="AK627" s="77"/>
      <c r="AL627" s="77"/>
      <c r="AM627" s="77"/>
      <c r="AN627" s="77"/>
      <c r="AO627" s="77"/>
    </row>
    <row r="628" spans="29:41">
      <c r="AC628" s="192" t="s">
        <v>54</v>
      </c>
      <c r="AD628" s="192" t="s">
        <v>20</v>
      </c>
      <c r="AE628" s="192" t="s">
        <v>72</v>
      </c>
      <c r="AF628" s="192" t="s">
        <v>51</v>
      </c>
      <c r="AG628" s="192" t="s">
        <v>211</v>
      </c>
      <c r="AH628" s="192">
        <v>4.375438847121214</v>
      </c>
      <c r="AJ628" s="77"/>
      <c r="AK628" s="77"/>
      <c r="AL628" s="77"/>
      <c r="AM628" s="77"/>
      <c r="AN628" s="77"/>
      <c r="AO628" s="77"/>
    </row>
    <row r="629" spans="29:41">
      <c r="AC629" s="192" t="s">
        <v>54</v>
      </c>
      <c r="AD629" s="192" t="s">
        <v>20</v>
      </c>
      <c r="AE629" s="192" t="s">
        <v>72</v>
      </c>
      <c r="AF629" s="192" t="s">
        <v>51</v>
      </c>
      <c r="AG629" s="192" t="s">
        <v>212</v>
      </c>
      <c r="AH629" s="192">
        <v>4.3773</v>
      </c>
      <c r="AJ629" s="77"/>
      <c r="AK629" s="77"/>
      <c r="AL629" s="77"/>
      <c r="AM629" s="77"/>
      <c r="AN629" s="77"/>
      <c r="AO629" s="77"/>
    </row>
    <row r="630" spans="29:41">
      <c r="AC630" s="192" t="s">
        <v>54</v>
      </c>
      <c r="AD630" s="192" t="s">
        <v>20</v>
      </c>
      <c r="AE630" s="192" t="s">
        <v>72</v>
      </c>
      <c r="AF630" s="192" t="s">
        <v>51</v>
      </c>
      <c r="AG630" s="192" t="s">
        <v>213</v>
      </c>
      <c r="AH630" s="192">
        <v>4.5041620075276256</v>
      </c>
      <c r="AJ630" s="77"/>
      <c r="AK630" s="77"/>
      <c r="AL630" s="77"/>
      <c r="AM630" s="77"/>
      <c r="AN630" s="77"/>
      <c r="AO630" s="77"/>
    </row>
    <row r="631" spans="29:41">
      <c r="AC631" s="192" t="s">
        <v>54</v>
      </c>
      <c r="AD631" s="192" t="s">
        <v>20</v>
      </c>
      <c r="AE631" s="192" t="s">
        <v>72</v>
      </c>
      <c r="AF631" s="192" t="s">
        <v>51</v>
      </c>
      <c r="AG631" s="192" t="s">
        <v>98</v>
      </c>
      <c r="AH631" s="192">
        <v>4.2717089165741537</v>
      </c>
    </row>
    <row r="632" spans="29:41">
      <c r="AC632" s="192" t="s">
        <v>54</v>
      </c>
      <c r="AD632" s="192" t="s">
        <v>20</v>
      </c>
      <c r="AE632" s="192" t="s">
        <v>72</v>
      </c>
      <c r="AF632" s="192" t="s">
        <v>51</v>
      </c>
      <c r="AG632" s="192" t="s">
        <v>96</v>
      </c>
      <c r="AH632" s="192">
        <v>4.3773</v>
      </c>
    </row>
    <row r="633" spans="29:41">
      <c r="AC633" s="192" t="s">
        <v>54</v>
      </c>
      <c r="AD633" s="192" t="s">
        <v>20</v>
      </c>
      <c r="AE633" s="192" t="s">
        <v>72</v>
      </c>
      <c r="AF633" s="192" t="s">
        <v>51</v>
      </c>
      <c r="AG633" s="192" t="s">
        <v>97</v>
      </c>
      <c r="AH633" s="192">
        <v>4.375438847121214</v>
      </c>
    </row>
    <row r="634" spans="29:41">
      <c r="AC634" s="192" t="s">
        <v>54</v>
      </c>
      <c r="AD634" s="192" t="s">
        <v>20</v>
      </c>
      <c r="AE634" s="192" t="s">
        <v>72</v>
      </c>
      <c r="AF634" s="192" t="s">
        <v>51</v>
      </c>
      <c r="AG634" s="192" t="s">
        <v>101</v>
      </c>
      <c r="AH634" s="192">
        <v>4.2033105887459152</v>
      </c>
    </row>
    <row r="635" spans="29:41">
      <c r="AC635" s="192" t="s">
        <v>54</v>
      </c>
      <c r="AD635" s="192" t="s">
        <v>20</v>
      </c>
      <c r="AE635" s="192" t="s">
        <v>72</v>
      </c>
      <c r="AF635" s="192" t="s">
        <v>51</v>
      </c>
      <c r="AG635" s="192" t="s">
        <v>102</v>
      </c>
      <c r="AH635" s="192">
        <v>4.1887316643249344</v>
      </c>
    </row>
    <row r="636" spans="29:41">
      <c r="AC636" s="192" t="s">
        <v>54</v>
      </c>
      <c r="AD636" s="192" t="s">
        <v>20</v>
      </c>
      <c r="AE636" s="192" t="s">
        <v>72</v>
      </c>
      <c r="AF636" s="192" t="s">
        <v>51</v>
      </c>
      <c r="AG636" s="192" t="s">
        <v>103</v>
      </c>
      <c r="AH636" s="192">
        <v>4.2496377008409834</v>
      </c>
    </row>
    <row r="637" spans="29:41">
      <c r="AC637" s="192" t="s">
        <v>54</v>
      </c>
      <c r="AD637" s="192" t="s">
        <v>20</v>
      </c>
      <c r="AE637" s="192" t="s">
        <v>72</v>
      </c>
      <c r="AF637" s="192" t="s">
        <v>51</v>
      </c>
      <c r="AG637" s="192" t="s">
        <v>104</v>
      </c>
      <c r="AH637" s="192">
        <v>4.2496377008409834</v>
      </c>
    </row>
    <row r="638" spans="29:41">
      <c r="AC638" s="192" t="s">
        <v>54</v>
      </c>
      <c r="AD638" s="192" t="s">
        <v>20</v>
      </c>
      <c r="AE638" s="192" t="s">
        <v>72</v>
      </c>
      <c r="AF638" s="192" t="s">
        <v>51</v>
      </c>
      <c r="AG638" s="192" t="s">
        <v>105</v>
      </c>
      <c r="AH638" s="192">
        <v>4.4407683440906052</v>
      </c>
    </row>
    <row r="639" spans="29:41">
      <c r="AC639" s="192" t="s">
        <v>54</v>
      </c>
      <c r="AD639" s="192" t="s">
        <v>20</v>
      </c>
      <c r="AE639" s="192" t="s">
        <v>72</v>
      </c>
      <c r="AF639" s="192" t="s">
        <v>51</v>
      </c>
      <c r="AG639" s="192" t="s">
        <v>106</v>
      </c>
      <c r="AH639" s="192">
        <v>4.5041620075276256</v>
      </c>
    </row>
    <row r="640" spans="29:41">
      <c r="AC640" s="192" t="s">
        <v>54</v>
      </c>
      <c r="AD640" s="192" t="s">
        <v>20</v>
      </c>
      <c r="AE640" s="192" t="s">
        <v>72</v>
      </c>
      <c r="AF640" s="192" t="s">
        <v>51</v>
      </c>
      <c r="AG640" s="192" t="s">
        <v>107</v>
      </c>
      <c r="AH640" s="192">
        <v>4.3147493145490214</v>
      </c>
    </row>
    <row r="641" spans="29:34">
      <c r="AC641" s="192" t="s">
        <v>54</v>
      </c>
      <c r="AD641" s="192" t="s">
        <v>20</v>
      </c>
      <c r="AE641" s="192" t="s">
        <v>72</v>
      </c>
      <c r="AF641" s="192" t="s">
        <v>51</v>
      </c>
      <c r="AG641" s="192" t="s">
        <v>108</v>
      </c>
      <c r="AH641" s="192">
        <v>4.2717089165741537</v>
      </c>
    </row>
    <row r="642" spans="29:34">
      <c r="AC642" s="192" t="s">
        <v>54</v>
      </c>
      <c r="AD642" s="192" t="s">
        <v>20</v>
      </c>
      <c r="AE642" s="192" t="s">
        <v>72</v>
      </c>
      <c r="AF642" s="192" t="s">
        <v>51</v>
      </c>
      <c r="AG642" s="192" t="s">
        <v>100</v>
      </c>
      <c r="AH642" s="192">
        <v>4.3147493145490214</v>
      </c>
    </row>
    <row r="643" spans="29:34">
      <c r="AC643" s="192" t="s">
        <v>54</v>
      </c>
      <c r="AD643" s="192" t="s">
        <v>20</v>
      </c>
      <c r="AE643" s="192" t="s">
        <v>72</v>
      </c>
      <c r="AF643" s="192" t="s">
        <v>51</v>
      </c>
      <c r="AG643" s="192" t="s">
        <v>109</v>
      </c>
      <c r="AH643" s="192">
        <v>4.2717089165741537</v>
      </c>
    </row>
    <row r="644" spans="29:34">
      <c r="AC644" s="192" t="s">
        <v>54</v>
      </c>
      <c r="AD644" s="192" t="s">
        <v>20</v>
      </c>
      <c r="AE644" s="192" t="s">
        <v>72</v>
      </c>
      <c r="AF644" s="192" t="s">
        <v>51</v>
      </c>
      <c r="AG644" s="192" t="s">
        <v>110</v>
      </c>
      <c r="AH644" s="192">
        <v>4.2717089165741537</v>
      </c>
    </row>
    <row r="645" spans="29:34">
      <c r="AC645" s="192" t="s">
        <v>54</v>
      </c>
      <c r="AD645" s="192" t="s">
        <v>20</v>
      </c>
      <c r="AE645" s="192" t="s">
        <v>72</v>
      </c>
      <c r="AF645" s="192" t="s">
        <v>51</v>
      </c>
      <c r="AG645" s="192" t="s">
        <v>111</v>
      </c>
      <c r="AH645" s="192">
        <v>4.2033105887459152</v>
      </c>
    </row>
    <row r="646" spans="29:34">
      <c r="AC646" s="192" t="s">
        <v>54</v>
      </c>
      <c r="AD646" s="192" t="s">
        <v>20</v>
      </c>
      <c r="AE646" s="192" t="s">
        <v>72</v>
      </c>
      <c r="AF646" s="192" t="s">
        <v>51</v>
      </c>
      <c r="AG646" s="192" t="s">
        <v>99</v>
      </c>
      <c r="AH646" s="192">
        <v>4.2496377008409834</v>
      </c>
    </row>
    <row r="647" spans="29:34">
      <c r="AC647" s="192" t="s">
        <v>54</v>
      </c>
      <c r="AD647" s="192" t="s">
        <v>20</v>
      </c>
      <c r="AE647" s="192" t="s">
        <v>72</v>
      </c>
      <c r="AF647" s="192" t="s">
        <v>51</v>
      </c>
      <c r="AG647" s="192" t="s">
        <v>126</v>
      </c>
      <c r="AH647" s="192">
        <v>4.2404589165741537</v>
      </c>
    </row>
    <row r="648" spans="29:34">
      <c r="AC648" s="192" t="s">
        <v>54</v>
      </c>
      <c r="AD648" s="192" t="s">
        <v>20</v>
      </c>
      <c r="AE648" s="192" t="s">
        <v>72</v>
      </c>
      <c r="AF648" s="192" t="s">
        <v>51</v>
      </c>
      <c r="AG648" s="192" t="s">
        <v>124</v>
      </c>
      <c r="AH648" s="192">
        <v>4.1887316643249344</v>
      </c>
    </row>
    <row r="649" spans="29:34">
      <c r="AC649" s="192" t="s">
        <v>54</v>
      </c>
      <c r="AD649" s="192" t="s">
        <v>20</v>
      </c>
      <c r="AE649" s="192" t="s">
        <v>72</v>
      </c>
      <c r="AF649" s="192" t="s">
        <v>51</v>
      </c>
      <c r="AG649" s="192" t="s">
        <v>127</v>
      </c>
      <c r="AH649" s="192">
        <v>4.145604497342033</v>
      </c>
    </row>
    <row r="650" spans="29:34">
      <c r="AC650" s="192" t="s">
        <v>54</v>
      </c>
      <c r="AD650" s="192" t="s">
        <v>20</v>
      </c>
      <c r="AE650" s="192" t="s">
        <v>72</v>
      </c>
      <c r="AF650" s="192" t="s">
        <v>51</v>
      </c>
      <c r="AG650" s="192" t="s">
        <v>128</v>
      </c>
      <c r="AH650" s="192">
        <v>4.1887316643249344</v>
      </c>
    </row>
    <row r="651" spans="29:34">
      <c r="AC651" s="192" t="s">
        <v>54</v>
      </c>
      <c r="AD651" s="192" t="s">
        <v>20</v>
      </c>
      <c r="AE651" s="192" t="s">
        <v>72</v>
      </c>
      <c r="AF651" s="192" t="s">
        <v>51</v>
      </c>
      <c r="AG651" s="192" t="s">
        <v>129</v>
      </c>
      <c r="AH651" s="192">
        <v>4.1887316643249344</v>
      </c>
    </row>
    <row r="652" spans="29:34">
      <c r="AC652" s="192" t="s">
        <v>54</v>
      </c>
      <c r="AD652" s="192" t="s">
        <v>20</v>
      </c>
      <c r="AE652" s="192" t="s">
        <v>72</v>
      </c>
      <c r="AF652" s="192" t="s">
        <v>51</v>
      </c>
      <c r="AG652" s="192" t="s">
        <v>123</v>
      </c>
      <c r="AH652" s="192">
        <v>4.2496377008409834</v>
      </c>
    </row>
    <row r="653" spans="29:34">
      <c r="AC653" s="192" t="s">
        <v>54</v>
      </c>
      <c r="AD653" s="192" t="s">
        <v>20</v>
      </c>
      <c r="AE653" s="192" t="s">
        <v>72</v>
      </c>
      <c r="AF653" s="192" t="s">
        <v>51</v>
      </c>
      <c r="AG653" s="192" t="s">
        <v>125</v>
      </c>
      <c r="AH653" s="192">
        <v>4.0771627490827687</v>
      </c>
    </row>
    <row r="654" spans="29:34">
      <c r="AC654" s="192" t="s">
        <v>54</v>
      </c>
      <c r="AD654" s="192" t="s">
        <v>20</v>
      </c>
      <c r="AE654" s="192" t="s">
        <v>72</v>
      </c>
      <c r="AF654" s="192" t="s">
        <v>51</v>
      </c>
      <c r="AG654" s="192" t="s">
        <v>215</v>
      </c>
      <c r="AH654" s="192">
        <v>4.0771627490827687</v>
      </c>
    </row>
    <row r="655" spans="29:34">
      <c r="AC655" s="192" t="s">
        <v>55</v>
      </c>
      <c r="AD655" s="192" t="s">
        <v>20</v>
      </c>
      <c r="AE655" s="192" t="s">
        <v>72</v>
      </c>
      <c r="AF655" s="192" t="s">
        <v>51</v>
      </c>
      <c r="AG655" s="192" t="s">
        <v>130</v>
      </c>
      <c r="AH655" s="192">
        <v>3.9170666666666665</v>
      </c>
    </row>
    <row r="656" spans="29:34">
      <c r="AC656" s="192" t="s">
        <v>55</v>
      </c>
      <c r="AD656" s="192" t="s">
        <v>20</v>
      </c>
      <c r="AE656" s="192" t="s">
        <v>72</v>
      </c>
      <c r="AF656" s="192" t="s">
        <v>51</v>
      </c>
      <c r="AG656" s="192" t="s">
        <v>131</v>
      </c>
      <c r="AH656" s="192">
        <v>3.9170666666666665</v>
      </c>
    </row>
    <row r="657" spans="29:34">
      <c r="AC657" s="192" t="s">
        <v>55</v>
      </c>
      <c r="AD657" s="192" t="s">
        <v>20</v>
      </c>
      <c r="AE657" s="192" t="s">
        <v>72</v>
      </c>
      <c r="AF657" s="192" t="s">
        <v>51</v>
      </c>
      <c r="AG657" s="192" t="s">
        <v>132</v>
      </c>
      <c r="AH657" s="192">
        <v>3.9170666666666665</v>
      </c>
    </row>
    <row r="658" spans="29:34">
      <c r="AC658" s="192" t="s">
        <v>55</v>
      </c>
      <c r="AD658" s="192" t="s">
        <v>20</v>
      </c>
      <c r="AE658" s="192" t="s">
        <v>72</v>
      </c>
      <c r="AF658" s="192" t="s">
        <v>51</v>
      </c>
      <c r="AG658" s="192" t="s">
        <v>133</v>
      </c>
      <c r="AH658" s="192">
        <v>3.9975388163708763</v>
      </c>
    </row>
    <row r="659" spans="29:34">
      <c r="AC659" s="192" t="s">
        <v>55</v>
      </c>
      <c r="AD659" s="192" t="s">
        <v>20</v>
      </c>
      <c r="AE659" s="192" t="s">
        <v>72</v>
      </c>
      <c r="AF659" s="192" t="s">
        <v>51</v>
      </c>
      <c r="AG659" s="192" t="s">
        <v>134</v>
      </c>
      <c r="AH659" s="192">
        <v>3.9543261870321942</v>
      </c>
    </row>
    <row r="660" spans="29:34">
      <c r="AC660" s="192" t="s">
        <v>55</v>
      </c>
      <c r="AD660" s="192" t="s">
        <v>20</v>
      </c>
      <c r="AE660" s="192" t="s">
        <v>72</v>
      </c>
      <c r="AF660" s="192" t="s">
        <v>51</v>
      </c>
      <c r="AG660" s="192" t="s">
        <v>135</v>
      </c>
      <c r="AH660" s="192">
        <v>3.929789796110164</v>
      </c>
    </row>
    <row r="661" spans="29:34">
      <c r="AC661" s="192" t="s">
        <v>55</v>
      </c>
      <c r="AD661" s="192" t="s">
        <v>20</v>
      </c>
      <c r="AE661" s="192" t="s">
        <v>72</v>
      </c>
      <c r="AF661" s="192" t="s">
        <v>51</v>
      </c>
      <c r="AG661" s="192" t="s">
        <v>136</v>
      </c>
      <c r="AH661" s="192">
        <v>3.929789796110164</v>
      </c>
    </row>
    <row r="662" spans="29:34">
      <c r="AC662" s="192" t="s">
        <v>55</v>
      </c>
      <c r="AD662" s="192" t="s">
        <v>20</v>
      </c>
      <c r="AE662" s="192" t="s">
        <v>72</v>
      </c>
      <c r="AF662" s="192" t="s">
        <v>51</v>
      </c>
      <c r="AG662" s="192" t="s">
        <v>137</v>
      </c>
      <c r="AH662" s="192">
        <v>3.8281034376602534</v>
      </c>
    </row>
    <row r="663" spans="29:34">
      <c r="AC663" s="192" t="s">
        <v>55</v>
      </c>
      <c r="AD663" s="192" t="s">
        <v>20</v>
      </c>
      <c r="AE663" s="192" t="s">
        <v>72</v>
      </c>
      <c r="AF663" s="192" t="s">
        <v>51</v>
      </c>
      <c r="AG663" s="192" t="s">
        <v>138</v>
      </c>
      <c r="AH663" s="192">
        <v>3.8714038285041039</v>
      </c>
    </row>
    <row r="664" spans="29:34">
      <c r="AC664" s="192" t="s">
        <v>55</v>
      </c>
      <c r="AD664" s="192" t="s">
        <v>20</v>
      </c>
      <c r="AE664" s="192" t="s">
        <v>72</v>
      </c>
      <c r="AF664" s="192" t="s">
        <v>51</v>
      </c>
      <c r="AG664" s="192" t="s">
        <v>139</v>
      </c>
      <c r="AH664" s="192">
        <v>3.8281034376602534</v>
      </c>
    </row>
    <row r="665" spans="29:34">
      <c r="AC665" s="192" t="s">
        <v>55</v>
      </c>
      <c r="AD665" s="192" t="s">
        <v>20</v>
      </c>
      <c r="AE665" s="192" t="s">
        <v>72</v>
      </c>
      <c r="AF665" s="192" t="s">
        <v>51</v>
      </c>
      <c r="AG665" s="192" t="s">
        <v>140</v>
      </c>
      <c r="AH665" s="192">
        <v>3.7907999999999999</v>
      </c>
    </row>
    <row r="666" spans="29:34">
      <c r="AC666" s="192" t="s">
        <v>55</v>
      </c>
      <c r="AD666" s="192" t="s">
        <v>20</v>
      </c>
      <c r="AE666" s="192" t="s">
        <v>72</v>
      </c>
      <c r="AF666" s="192" t="s">
        <v>51</v>
      </c>
      <c r="AG666" s="192" t="s">
        <v>141</v>
      </c>
      <c r="AH666" s="192">
        <v>3.7452361066975079</v>
      </c>
    </row>
    <row r="667" spans="29:34">
      <c r="AC667" s="192" t="s">
        <v>55</v>
      </c>
      <c r="AD667" s="192" t="s">
        <v>20</v>
      </c>
      <c r="AE667" s="192" t="s">
        <v>72</v>
      </c>
      <c r="AF667" s="192" t="s">
        <v>51</v>
      </c>
      <c r="AG667" s="192" t="s">
        <v>142</v>
      </c>
      <c r="AH667" s="192">
        <v>3.701847554934004</v>
      </c>
    </row>
    <row r="668" spans="29:34">
      <c r="AC668" s="192" t="s">
        <v>55</v>
      </c>
      <c r="AD668" s="192" t="s">
        <v>20</v>
      </c>
      <c r="AE668" s="192" t="s">
        <v>72</v>
      </c>
      <c r="AF668" s="192" t="s">
        <v>51</v>
      </c>
      <c r="AG668" s="192" t="s">
        <v>143</v>
      </c>
      <c r="AH668" s="192">
        <v>3.7452361066975079</v>
      </c>
    </row>
    <row r="669" spans="29:34">
      <c r="AC669" s="192" t="s">
        <v>55</v>
      </c>
      <c r="AD669" s="192" t="s">
        <v>20</v>
      </c>
      <c r="AE669" s="192" t="s">
        <v>72</v>
      </c>
      <c r="AF669" s="192" t="s">
        <v>51</v>
      </c>
      <c r="AG669" s="192" t="s">
        <v>144</v>
      </c>
      <c r="AH669" s="192">
        <v>3.7452361066975079</v>
      </c>
    </row>
    <row r="670" spans="29:34">
      <c r="AC670" s="192" t="s">
        <v>55</v>
      </c>
      <c r="AD670" s="192" t="s">
        <v>20</v>
      </c>
      <c r="AE670" s="192" t="s">
        <v>72</v>
      </c>
      <c r="AF670" s="192" t="s">
        <v>51</v>
      </c>
      <c r="AG670" s="192" t="s">
        <v>145</v>
      </c>
      <c r="AH670" s="192">
        <v>3.7907999999999999</v>
      </c>
    </row>
    <row r="671" spans="29:34">
      <c r="AC671" s="192" t="s">
        <v>55</v>
      </c>
      <c r="AD671" s="192" t="s">
        <v>20</v>
      </c>
      <c r="AE671" s="192" t="s">
        <v>72</v>
      </c>
      <c r="AF671" s="192" t="s">
        <v>51</v>
      </c>
      <c r="AG671" s="192" t="s">
        <v>146</v>
      </c>
      <c r="AH671" s="192">
        <v>3.8281034376602534</v>
      </c>
    </row>
    <row r="672" spans="29:34">
      <c r="AC672" s="192" t="s">
        <v>55</v>
      </c>
      <c r="AD672" s="192" t="s">
        <v>20</v>
      </c>
      <c r="AE672" s="192" t="s">
        <v>72</v>
      </c>
      <c r="AF672" s="192" t="s">
        <v>51</v>
      </c>
      <c r="AG672" s="192" t="s">
        <v>147</v>
      </c>
      <c r="AH672" s="192">
        <v>3.8714038285041039</v>
      </c>
    </row>
    <row r="673" spans="29:34">
      <c r="AC673" s="192" t="s">
        <v>55</v>
      </c>
      <c r="AD673" s="192" t="s">
        <v>20</v>
      </c>
      <c r="AE673" s="192" t="s">
        <v>72</v>
      </c>
      <c r="AF673" s="192" t="s">
        <v>51</v>
      </c>
      <c r="AG673" s="192" t="s">
        <v>148</v>
      </c>
      <c r="AH673" s="192">
        <v>3.8714038285041039</v>
      </c>
    </row>
    <row r="674" spans="29:34">
      <c r="AC674" s="192" t="s">
        <v>55</v>
      </c>
      <c r="AD674" s="192" t="s">
        <v>20</v>
      </c>
      <c r="AE674" s="192" t="s">
        <v>72</v>
      </c>
      <c r="AF674" s="192" t="s">
        <v>51</v>
      </c>
      <c r="AG674" s="192" t="s">
        <v>149</v>
      </c>
      <c r="AH674" s="192">
        <v>3.8714038285041039</v>
      </c>
    </row>
    <row r="675" spans="29:34">
      <c r="AC675" s="192" t="s">
        <v>55</v>
      </c>
      <c r="AD675" s="192" t="s">
        <v>20</v>
      </c>
      <c r="AE675" s="192" t="s">
        <v>72</v>
      </c>
      <c r="AF675" s="192" t="s">
        <v>51</v>
      </c>
      <c r="AG675" s="192" t="s">
        <v>150</v>
      </c>
      <c r="AH675" s="192">
        <v>3.8714038285041039</v>
      </c>
    </row>
    <row r="676" spans="29:34">
      <c r="AC676" s="192" t="s">
        <v>55</v>
      </c>
      <c r="AD676" s="192" t="s">
        <v>20</v>
      </c>
      <c r="AE676" s="192" t="s">
        <v>72</v>
      </c>
      <c r="AF676" s="192" t="s">
        <v>51</v>
      </c>
      <c r="AG676" s="192" t="s">
        <v>151</v>
      </c>
      <c r="AH676" s="192">
        <v>3.7907999999999999</v>
      </c>
    </row>
    <row r="677" spans="29:34">
      <c r="AC677" s="192" t="s">
        <v>55</v>
      </c>
      <c r="AD677" s="192" t="s">
        <v>20</v>
      </c>
      <c r="AE677" s="192" t="s">
        <v>72</v>
      </c>
      <c r="AF677" s="192" t="s">
        <v>51</v>
      </c>
      <c r="AG677" s="192" t="s">
        <v>152</v>
      </c>
      <c r="AH677" s="192">
        <v>3.7907999999999999</v>
      </c>
    </row>
    <row r="678" spans="29:34">
      <c r="AC678" s="192" t="s">
        <v>55</v>
      </c>
      <c r="AD678" s="192" t="s">
        <v>20</v>
      </c>
      <c r="AE678" s="192" t="s">
        <v>72</v>
      </c>
      <c r="AF678" s="192" t="s">
        <v>51</v>
      </c>
      <c r="AG678" s="192" t="s">
        <v>153</v>
      </c>
      <c r="AH678" s="192">
        <v>3.8038200779030156</v>
      </c>
    </row>
    <row r="679" spans="29:34">
      <c r="AC679" s="192" t="s">
        <v>55</v>
      </c>
      <c r="AD679" s="192" t="s">
        <v>20</v>
      </c>
      <c r="AE679" s="192" t="s">
        <v>72</v>
      </c>
      <c r="AF679" s="192" t="s">
        <v>51</v>
      </c>
      <c r="AG679" s="192" t="s">
        <v>154</v>
      </c>
      <c r="AH679" s="192">
        <v>3.6708585343811904</v>
      </c>
    </row>
    <row r="680" spans="29:34">
      <c r="AC680" s="192" t="s">
        <v>55</v>
      </c>
      <c r="AD680" s="192" t="s">
        <v>20</v>
      </c>
      <c r="AE680" s="192" t="s">
        <v>72</v>
      </c>
      <c r="AF680" s="192" t="s">
        <v>51</v>
      </c>
      <c r="AG680" s="192" t="s">
        <v>155</v>
      </c>
      <c r="AH680" s="192">
        <v>3.6708585343811904</v>
      </c>
    </row>
    <row r="681" spans="29:34">
      <c r="AC681" s="192" t="s">
        <v>55</v>
      </c>
      <c r="AD681" s="192" t="s">
        <v>20</v>
      </c>
      <c r="AE681" s="192" t="s">
        <v>72</v>
      </c>
      <c r="AF681" s="192" t="s">
        <v>51</v>
      </c>
      <c r="AG681" s="192" t="s">
        <v>156</v>
      </c>
      <c r="AH681" s="192">
        <v>3.6708585343811904</v>
      </c>
    </row>
    <row r="682" spans="29:34">
      <c r="AC682" s="192" t="s">
        <v>55</v>
      </c>
      <c r="AD682" s="192" t="s">
        <v>20</v>
      </c>
      <c r="AE682" s="192" t="s">
        <v>72</v>
      </c>
      <c r="AF682" s="192" t="s">
        <v>51</v>
      </c>
      <c r="AG682" s="192" t="s">
        <v>157</v>
      </c>
      <c r="AH682" s="192">
        <v>3.6708585343811904</v>
      </c>
    </row>
    <row r="683" spans="29:34">
      <c r="AC683" s="192" t="s">
        <v>55</v>
      </c>
      <c r="AD683" s="192" t="s">
        <v>20</v>
      </c>
      <c r="AE683" s="192" t="s">
        <v>72</v>
      </c>
      <c r="AF683" s="192" t="s">
        <v>51</v>
      </c>
      <c r="AG683" s="192" t="s">
        <v>158</v>
      </c>
      <c r="AH683" s="192">
        <v>3.6708585343811904</v>
      </c>
    </row>
    <row r="684" spans="29:34">
      <c r="AC684" s="192" t="s">
        <v>55</v>
      </c>
      <c r="AD684" s="192" t="s">
        <v>20</v>
      </c>
      <c r="AE684" s="192" t="s">
        <v>72</v>
      </c>
      <c r="AF684" s="192" t="s">
        <v>51</v>
      </c>
      <c r="AG684" s="192" t="s">
        <v>159</v>
      </c>
      <c r="AH684" s="192">
        <v>3.7143356375412493</v>
      </c>
    </row>
    <row r="685" spans="29:34">
      <c r="AC685" s="192" t="s">
        <v>55</v>
      </c>
      <c r="AD685" s="192" t="s">
        <v>20</v>
      </c>
      <c r="AE685" s="192" t="s">
        <v>72</v>
      </c>
      <c r="AF685" s="192" t="s">
        <v>51</v>
      </c>
      <c r="AG685" s="192" t="s">
        <v>160</v>
      </c>
      <c r="AH685" s="192">
        <v>3.6334666666666666</v>
      </c>
    </row>
    <row r="686" spans="29:34">
      <c r="AC686" s="192" t="s">
        <v>55</v>
      </c>
      <c r="AD686" s="192" t="s">
        <v>20</v>
      </c>
      <c r="AE686" s="192" t="s">
        <v>72</v>
      </c>
      <c r="AF686" s="192" t="s">
        <v>51</v>
      </c>
      <c r="AG686" s="192" t="s">
        <v>161</v>
      </c>
      <c r="AH686" s="192">
        <v>3.6334666666666666</v>
      </c>
    </row>
    <row r="687" spans="29:34">
      <c r="AC687" s="192" t="s">
        <v>55</v>
      </c>
      <c r="AD687" s="192" t="s">
        <v>20</v>
      </c>
      <c r="AE687" s="192" t="s">
        <v>72</v>
      </c>
      <c r="AF687" s="192" t="s">
        <v>51</v>
      </c>
      <c r="AG687" s="192" t="s">
        <v>162</v>
      </c>
      <c r="AH687" s="192">
        <v>3.6334666666666666</v>
      </c>
    </row>
    <row r="688" spans="29:34">
      <c r="AC688" s="192" t="s">
        <v>55</v>
      </c>
      <c r="AD688" s="192" t="s">
        <v>20</v>
      </c>
      <c r="AE688" s="192" t="s">
        <v>72</v>
      </c>
      <c r="AF688" s="192" t="s">
        <v>51</v>
      </c>
      <c r="AG688" s="192" t="s">
        <v>163</v>
      </c>
      <c r="AH688" s="192">
        <v>3.6334666666666666</v>
      </c>
    </row>
    <row r="689" spans="29:34">
      <c r="AC689" s="192" t="s">
        <v>55</v>
      </c>
      <c r="AD689" s="192" t="s">
        <v>20</v>
      </c>
      <c r="AE689" s="192" t="s">
        <v>72</v>
      </c>
      <c r="AF689" s="192" t="s">
        <v>51</v>
      </c>
      <c r="AG689" s="192" t="s">
        <v>164</v>
      </c>
      <c r="AH689" s="192">
        <v>3.6334666666666666</v>
      </c>
    </row>
    <row r="690" spans="29:34">
      <c r="AC690" s="192" t="s">
        <v>55</v>
      </c>
      <c r="AD690" s="192" t="s">
        <v>20</v>
      </c>
      <c r="AE690" s="192" t="s">
        <v>72</v>
      </c>
      <c r="AF690" s="192" t="s">
        <v>51</v>
      </c>
      <c r="AG690" s="192" t="s">
        <v>165</v>
      </c>
      <c r="AH690" s="192">
        <v>3.6334666666666666</v>
      </c>
    </row>
    <row r="691" spans="29:34">
      <c r="AC691" s="192" t="s">
        <v>55</v>
      </c>
      <c r="AD691" s="192" t="s">
        <v>20</v>
      </c>
      <c r="AE691" s="192" t="s">
        <v>72</v>
      </c>
      <c r="AF691" s="192" t="s">
        <v>51</v>
      </c>
      <c r="AG691" s="192" t="s">
        <v>166</v>
      </c>
      <c r="AH691" s="192">
        <v>3.7597333333333331</v>
      </c>
    </row>
    <row r="692" spans="29:34">
      <c r="AC692" s="192" t="s">
        <v>55</v>
      </c>
      <c r="AD692" s="192" t="s">
        <v>20</v>
      </c>
      <c r="AE692" s="192" t="s">
        <v>72</v>
      </c>
      <c r="AF692" s="192" t="s">
        <v>51</v>
      </c>
      <c r="AG692" s="192" t="s">
        <v>167</v>
      </c>
      <c r="AH692" s="192">
        <v>3.7597333333333331</v>
      </c>
    </row>
    <row r="693" spans="29:34">
      <c r="AC693" s="192" t="s">
        <v>55</v>
      </c>
      <c r="AD693" s="192" t="s">
        <v>20</v>
      </c>
      <c r="AE693" s="192" t="s">
        <v>72</v>
      </c>
      <c r="AF693" s="192" t="s">
        <v>51</v>
      </c>
      <c r="AG693" s="192" t="s">
        <v>168</v>
      </c>
      <c r="AH693" s="192">
        <v>3.7143356375412493</v>
      </c>
    </row>
    <row r="694" spans="29:34">
      <c r="AC694" s="192" t="s">
        <v>55</v>
      </c>
      <c r="AD694" s="192" t="s">
        <v>20</v>
      </c>
      <c r="AE694" s="192" t="s">
        <v>72</v>
      </c>
      <c r="AF694" s="192" t="s">
        <v>51</v>
      </c>
      <c r="AG694" s="192" t="s">
        <v>169</v>
      </c>
      <c r="AH694" s="192">
        <v>3.7143356375412493</v>
      </c>
    </row>
    <row r="695" spans="29:34">
      <c r="AC695" s="192" t="s">
        <v>55</v>
      </c>
      <c r="AD695" s="192" t="s">
        <v>20</v>
      </c>
      <c r="AE695" s="192" t="s">
        <v>72</v>
      </c>
      <c r="AF695" s="192" t="s">
        <v>51</v>
      </c>
      <c r="AG695" s="192" t="s">
        <v>170</v>
      </c>
      <c r="AH695" s="192">
        <v>3.7143356375412493</v>
      </c>
    </row>
    <row r="696" spans="29:34">
      <c r="AC696" s="192" t="s">
        <v>55</v>
      </c>
      <c r="AD696" s="192" t="s">
        <v>20</v>
      </c>
      <c r="AE696" s="192" t="s">
        <v>72</v>
      </c>
      <c r="AF696" s="192" t="s">
        <v>51</v>
      </c>
      <c r="AG696" s="192" t="s">
        <v>171</v>
      </c>
      <c r="AH696" s="192">
        <v>3.7970808882673373</v>
      </c>
    </row>
    <row r="697" spans="29:34">
      <c r="AC697" s="192" t="s">
        <v>55</v>
      </c>
      <c r="AD697" s="192" t="s">
        <v>20</v>
      </c>
      <c r="AE697" s="192" t="s">
        <v>72</v>
      </c>
      <c r="AF697" s="192" t="s">
        <v>51</v>
      </c>
      <c r="AG697" s="192" t="s">
        <v>172</v>
      </c>
      <c r="AH697" s="192">
        <v>3.7970808882673373</v>
      </c>
    </row>
    <row r="698" spans="29:34">
      <c r="AC698" s="192" t="s">
        <v>55</v>
      </c>
      <c r="AD698" s="192" t="s">
        <v>20</v>
      </c>
      <c r="AE698" s="192" t="s">
        <v>72</v>
      </c>
      <c r="AF698" s="192" t="s">
        <v>51</v>
      </c>
      <c r="AG698" s="192" t="s">
        <v>173</v>
      </c>
      <c r="AH698" s="192">
        <v>3.7970808882673373</v>
      </c>
    </row>
    <row r="699" spans="29:34">
      <c r="AC699" s="192" t="s">
        <v>55</v>
      </c>
      <c r="AD699" s="192" t="s">
        <v>20</v>
      </c>
      <c r="AE699" s="192" t="s">
        <v>72</v>
      </c>
      <c r="AF699" s="192" t="s">
        <v>51</v>
      </c>
      <c r="AG699" s="192" t="s">
        <v>174</v>
      </c>
      <c r="AH699" s="192">
        <v>3.7970808882673373</v>
      </c>
    </row>
    <row r="700" spans="29:34">
      <c r="AC700" s="192" t="s">
        <v>55</v>
      </c>
      <c r="AD700" s="192" t="s">
        <v>20</v>
      </c>
      <c r="AE700" s="192" t="s">
        <v>72</v>
      </c>
      <c r="AF700" s="192" t="s">
        <v>51</v>
      </c>
      <c r="AG700" s="192" t="s">
        <v>175</v>
      </c>
      <c r="AH700" s="192">
        <v>3.8404694400308417</v>
      </c>
    </row>
    <row r="701" spans="29:34">
      <c r="AC701" s="192" t="s">
        <v>55</v>
      </c>
      <c r="AD701" s="192" t="s">
        <v>20</v>
      </c>
      <c r="AE701" s="192" t="s">
        <v>72</v>
      </c>
      <c r="AF701" s="192" t="s">
        <v>51</v>
      </c>
      <c r="AG701" s="192" t="s">
        <v>176</v>
      </c>
      <c r="AH701" s="192">
        <v>3.9020859403395352</v>
      </c>
    </row>
    <row r="702" spans="29:34">
      <c r="AC702" s="192" t="s">
        <v>55</v>
      </c>
      <c r="AD702" s="192" t="s">
        <v>20</v>
      </c>
      <c r="AE702" s="192" t="s">
        <v>72</v>
      </c>
      <c r="AF702" s="192" t="s">
        <v>51</v>
      </c>
      <c r="AG702" s="192" t="s">
        <v>177</v>
      </c>
      <c r="AH702" s="192">
        <v>3.9020859403395352</v>
      </c>
    </row>
    <row r="703" spans="29:34">
      <c r="AC703" s="192" t="s">
        <v>55</v>
      </c>
      <c r="AD703" s="192" t="s">
        <v>20</v>
      </c>
      <c r="AE703" s="192" t="s">
        <v>72</v>
      </c>
      <c r="AF703" s="192" t="s">
        <v>51</v>
      </c>
      <c r="AG703" s="192" t="s">
        <v>178</v>
      </c>
      <c r="AH703" s="192">
        <v>3.7970808882673373</v>
      </c>
    </row>
    <row r="704" spans="29:34">
      <c r="AC704" s="192" t="s">
        <v>55</v>
      </c>
      <c r="AD704" s="192" t="s">
        <v>20</v>
      </c>
      <c r="AE704" s="192" t="s">
        <v>72</v>
      </c>
      <c r="AF704" s="192" t="s">
        <v>51</v>
      </c>
      <c r="AG704" s="192" t="s">
        <v>179</v>
      </c>
      <c r="AH704" s="192">
        <v>3.8860333333333337</v>
      </c>
    </row>
    <row r="705" spans="29:34">
      <c r="AC705" s="192" t="s">
        <v>55</v>
      </c>
      <c r="AD705" s="192" t="s">
        <v>20</v>
      </c>
      <c r="AE705" s="192" t="s">
        <v>72</v>
      </c>
      <c r="AF705" s="192" t="s">
        <v>51</v>
      </c>
      <c r="AG705" s="192" t="s">
        <v>180</v>
      </c>
      <c r="AH705" s="192">
        <v>3.9233367709935867</v>
      </c>
    </row>
    <row r="706" spans="29:34">
      <c r="AC706" s="192" t="s">
        <v>55</v>
      </c>
      <c r="AD706" s="192" t="s">
        <v>20</v>
      </c>
      <c r="AE706" s="192" t="s">
        <v>72</v>
      </c>
      <c r="AF706" s="192" t="s">
        <v>51</v>
      </c>
      <c r="AG706" s="192" t="s">
        <v>181</v>
      </c>
      <c r="AH706" s="192">
        <v>3.9233367709935867</v>
      </c>
    </row>
    <row r="707" spans="29:34">
      <c r="AC707" s="192" t="s">
        <v>55</v>
      </c>
      <c r="AD707" s="192" t="s">
        <v>20</v>
      </c>
      <c r="AE707" s="192" t="s">
        <v>72</v>
      </c>
      <c r="AF707" s="192" t="s">
        <v>51</v>
      </c>
      <c r="AG707" s="192" t="s">
        <v>182</v>
      </c>
      <c r="AH707" s="192">
        <v>3.8860333333333337</v>
      </c>
    </row>
    <row r="708" spans="29:34">
      <c r="AC708" s="192" t="s">
        <v>55</v>
      </c>
      <c r="AD708" s="192" t="s">
        <v>20</v>
      </c>
      <c r="AE708" s="192" t="s">
        <v>72</v>
      </c>
      <c r="AF708" s="192" t="s">
        <v>51</v>
      </c>
      <c r="AG708" s="192" t="s">
        <v>183</v>
      </c>
      <c r="AH708" s="192">
        <v>3.8404694400308417</v>
      </c>
    </row>
    <row r="709" spans="29:34">
      <c r="AC709" s="192" t="s">
        <v>55</v>
      </c>
      <c r="AD709" s="192" t="s">
        <v>20</v>
      </c>
      <c r="AE709" s="192" t="s">
        <v>72</v>
      </c>
      <c r="AF709" s="192" t="s">
        <v>51</v>
      </c>
      <c r="AG709" s="192" t="s">
        <v>184</v>
      </c>
      <c r="AH709" s="192">
        <v>3.8404694400308417</v>
      </c>
    </row>
    <row r="710" spans="29:34">
      <c r="AC710" s="192" t="s">
        <v>55</v>
      </c>
      <c r="AD710" s="192" t="s">
        <v>20</v>
      </c>
      <c r="AE710" s="192" t="s">
        <v>72</v>
      </c>
      <c r="AF710" s="192" t="s">
        <v>51</v>
      </c>
      <c r="AG710" s="192" t="s">
        <v>185</v>
      </c>
      <c r="AH710" s="192">
        <v>3.9041371618374376</v>
      </c>
    </row>
    <row r="711" spans="29:34">
      <c r="AC711" s="192" t="s">
        <v>55</v>
      </c>
      <c r="AD711" s="192" t="s">
        <v>20</v>
      </c>
      <c r="AE711" s="192" t="s">
        <v>72</v>
      </c>
      <c r="AF711" s="192" t="s">
        <v>51</v>
      </c>
      <c r="AG711" s="192" t="s">
        <v>186</v>
      </c>
      <c r="AH711" s="192">
        <v>3.9041371618374376</v>
      </c>
    </row>
    <row r="712" spans="29:34">
      <c r="AC712" s="192" t="s">
        <v>55</v>
      </c>
      <c r="AD712" s="192" t="s">
        <v>20</v>
      </c>
      <c r="AE712" s="192" t="s">
        <v>72</v>
      </c>
      <c r="AF712" s="192" t="s">
        <v>51</v>
      </c>
      <c r="AG712" s="192" t="s">
        <v>187</v>
      </c>
      <c r="AH712" s="192">
        <v>3.9041371618374376</v>
      </c>
    </row>
    <row r="713" spans="29:34">
      <c r="AC713" s="192" t="s">
        <v>55</v>
      </c>
      <c r="AD713" s="192" t="s">
        <v>20</v>
      </c>
      <c r="AE713" s="192" t="s">
        <v>72</v>
      </c>
      <c r="AF713" s="192" t="s">
        <v>51</v>
      </c>
      <c r="AG713" s="192" t="s">
        <v>188</v>
      </c>
      <c r="AH713" s="192">
        <v>3.7749314548968891</v>
      </c>
    </row>
    <row r="714" spans="29:34">
      <c r="AC714" s="192" t="s">
        <v>55</v>
      </c>
      <c r="AD714" s="192" t="s">
        <v>20</v>
      </c>
      <c r="AE714" s="192" t="s">
        <v>72</v>
      </c>
      <c r="AF714" s="192" t="s">
        <v>51</v>
      </c>
      <c r="AG714" s="192" t="s">
        <v>189</v>
      </c>
      <c r="AH714" s="192">
        <v>3.7749314548968891</v>
      </c>
    </row>
    <row r="715" spans="29:34">
      <c r="AC715" s="192" t="s">
        <v>55</v>
      </c>
      <c r="AD715" s="192" t="s">
        <v>20</v>
      </c>
      <c r="AE715" s="192" t="s">
        <v>72</v>
      </c>
      <c r="AF715" s="192" t="s">
        <v>51</v>
      </c>
      <c r="AG715" s="192" t="s">
        <v>190</v>
      </c>
      <c r="AH715" s="192">
        <v>3.7749314548968891</v>
      </c>
    </row>
    <row r="716" spans="29:34">
      <c r="AC716" s="192" t="s">
        <v>55</v>
      </c>
      <c r="AD716" s="192" t="s">
        <v>20</v>
      </c>
      <c r="AE716" s="192" t="s">
        <v>72</v>
      </c>
      <c r="AF716" s="192" t="s">
        <v>51</v>
      </c>
      <c r="AG716" s="192" t="s">
        <v>191</v>
      </c>
      <c r="AH716" s="192">
        <v>3.7761730843118855</v>
      </c>
    </row>
    <row r="717" spans="29:34">
      <c r="AC717" s="192" t="s">
        <v>55</v>
      </c>
      <c r="AD717" s="192" t="s">
        <v>20</v>
      </c>
      <c r="AE717" s="192" t="s">
        <v>72</v>
      </c>
      <c r="AF717" s="192" t="s">
        <v>51</v>
      </c>
      <c r="AG717" s="192" t="s">
        <v>192</v>
      </c>
      <c r="AH717" s="192">
        <v>3.7761730843118855</v>
      </c>
    </row>
    <row r="718" spans="29:34">
      <c r="AC718" s="192" t="s">
        <v>55</v>
      </c>
      <c r="AD718" s="192" t="s">
        <v>20</v>
      </c>
      <c r="AE718" s="192" t="s">
        <v>72</v>
      </c>
      <c r="AF718" s="192" t="s">
        <v>51</v>
      </c>
      <c r="AG718" s="192" t="s">
        <v>193</v>
      </c>
      <c r="AH718" s="192">
        <v>4.0557276764206129</v>
      </c>
    </row>
    <row r="719" spans="29:34">
      <c r="AC719" s="192" t="s">
        <v>55</v>
      </c>
      <c r="AD719" s="192" t="s">
        <v>20</v>
      </c>
      <c r="AE719" s="192" t="s">
        <v>72</v>
      </c>
      <c r="AF719" s="192" t="s">
        <v>51</v>
      </c>
      <c r="AG719" s="192" t="s">
        <v>194</v>
      </c>
      <c r="AH719" s="192">
        <v>4.0557276764206129</v>
      </c>
    </row>
    <row r="720" spans="29:34">
      <c r="AC720" s="192" t="s">
        <v>55</v>
      </c>
      <c r="AD720" s="192" t="s">
        <v>20</v>
      </c>
      <c r="AE720" s="192" t="s">
        <v>72</v>
      </c>
      <c r="AF720" s="192" t="s">
        <v>51</v>
      </c>
      <c r="AG720" s="192" t="s">
        <v>195</v>
      </c>
      <c r="AH720" s="192">
        <v>4.1817004181546098</v>
      </c>
    </row>
    <row r="721" spans="29:34">
      <c r="AC721" s="192" t="s">
        <v>55</v>
      </c>
      <c r="AD721" s="192" t="s">
        <v>20</v>
      </c>
      <c r="AE721" s="192" t="s">
        <v>72</v>
      </c>
      <c r="AF721" s="192" t="s">
        <v>51</v>
      </c>
      <c r="AG721" s="192" t="s">
        <v>196</v>
      </c>
      <c r="AH721" s="192">
        <v>4.1237077500397357</v>
      </c>
    </row>
    <row r="722" spans="29:34">
      <c r="AC722" s="192" t="s">
        <v>55</v>
      </c>
      <c r="AD722" s="192" t="s">
        <v>20</v>
      </c>
      <c r="AE722" s="192" t="s">
        <v>72</v>
      </c>
      <c r="AF722" s="192" t="s">
        <v>51</v>
      </c>
      <c r="AG722" s="192" t="s">
        <v>197</v>
      </c>
      <c r="AH722" s="192">
        <v>4.2186106422383469</v>
      </c>
    </row>
    <row r="723" spans="29:34">
      <c r="AC723" s="192" t="s">
        <v>55</v>
      </c>
      <c r="AD723" s="192" t="s">
        <v>20</v>
      </c>
      <c r="AE723" s="192" t="s">
        <v>72</v>
      </c>
      <c r="AF723" s="192" t="s">
        <v>51</v>
      </c>
      <c r="AG723" s="192" t="s">
        <v>198</v>
      </c>
      <c r="AH723" s="192">
        <v>4.1873439755716797</v>
      </c>
    </row>
    <row r="724" spans="29:34">
      <c r="AC724" s="192" t="s">
        <v>55</v>
      </c>
      <c r="AD724" s="192" t="s">
        <v>20</v>
      </c>
      <c r="AE724" s="192" t="s">
        <v>72</v>
      </c>
      <c r="AF724" s="192" t="s">
        <v>51</v>
      </c>
      <c r="AG724" s="192" t="s">
        <v>199</v>
      </c>
      <c r="AH724" s="192">
        <v>4.1873439755716797</v>
      </c>
    </row>
    <row r="725" spans="29:34">
      <c r="AC725" s="192" t="s">
        <v>55</v>
      </c>
      <c r="AD725" s="192" t="s">
        <v>20</v>
      </c>
      <c r="AE725" s="192" t="s">
        <v>72</v>
      </c>
      <c r="AF725" s="192" t="s">
        <v>51</v>
      </c>
      <c r="AG725" s="192" t="s">
        <v>200</v>
      </c>
      <c r="AH725" s="192">
        <v>4.310586640999877</v>
      </c>
    </row>
    <row r="726" spans="29:34">
      <c r="AC726" s="192" t="s">
        <v>55</v>
      </c>
      <c r="AD726" s="192" t="s">
        <v>20</v>
      </c>
      <c r="AE726" s="192" t="s">
        <v>72</v>
      </c>
      <c r="AF726" s="192" t="s">
        <v>51</v>
      </c>
      <c r="AG726" s="192" t="s">
        <v>201</v>
      </c>
      <c r="AH726" s="192">
        <v>4.2186106422383469</v>
      </c>
    </row>
    <row r="727" spans="29:34">
      <c r="AC727" s="192" t="s">
        <v>55</v>
      </c>
      <c r="AD727" s="192" t="s">
        <v>20</v>
      </c>
      <c r="AE727" s="192" t="s">
        <v>72</v>
      </c>
      <c r="AF727" s="192" t="s">
        <v>51</v>
      </c>
      <c r="AG727" s="192" t="s">
        <v>202</v>
      </c>
      <c r="AH727" s="192">
        <v>4.2186106422383469</v>
      </c>
    </row>
    <row r="728" spans="29:34">
      <c r="AC728" s="192" t="s">
        <v>55</v>
      </c>
      <c r="AD728" s="192" t="s">
        <v>20</v>
      </c>
      <c r="AE728" s="192" t="s">
        <v>72</v>
      </c>
      <c r="AF728" s="192" t="s">
        <v>51</v>
      </c>
      <c r="AG728" s="192" t="s">
        <v>203</v>
      </c>
      <c r="AH728" s="192">
        <v>4.1817004181546098</v>
      </c>
    </row>
    <row r="729" spans="29:34">
      <c r="AC729" s="192" t="s">
        <v>55</v>
      </c>
      <c r="AD729" s="192" t="s">
        <v>20</v>
      </c>
      <c r="AE729" s="192" t="s">
        <v>72</v>
      </c>
      <c r="AF729" s="192" t="s">
        <v>51</v>
      </c>
      <c r="AG729" s="192" t="s">
        <v>204</v>
      </c>
      <c r="AH729" s="192">
        <v>4.1817004181546098</v>
      </c>
    </row>
    <row r="730" spans="29:34">
      <c r="AC730" s="192" t="s">
        <v>55</v>
      </c>
      <c r="AD730" s="192" t="s">
        <v>20</v>
      </c>
      <c r="AE730" s="192" t="s">
        <v>72</v>
      </c>
      <c r="AF730" s="192" t="s">
        <v>51</v>
      </c>
      <c r="AG730" s="192" t="s">
        <v>205</v>
      </c>
      <c r="AH730" s="192">
        <v>4.1873439755716797</v>
      </c>
    </row>
    <row r="731" spans="29:34">
      <c r="AC731" s="192" t="s">
        <v>55</v>
      </c>
      <c r="AD731" s="192" t="s">
        <v>20</v>
      </c>
      <c r="AE731" s="192" t="s">
        <v>72</v>
      </c>
      <c r="AF731" s="192" t="s">
        <v>51</v>
      </c>
      <c r="AG731" s="192" t="s">
        <v>206</v>
      </c>
      <c r="AH731" s="192">
        <v>4.1873439755716797</v>
      </c>
    </row>
    <row r="732" spans="29:34">
      <c r="AC732" s="192" t="s">
        <v>55</v>
      </c>
      <c r="AD732" s="192" t="s">
        <v>20</v>
      </c>
      <c r="AE732" s="192" t="s">
        <v>72</v>
      </c>
      <c r="AF732" s="192" t="s">
        <v>51</v>
      </c>
      <c r="AG732" s="192" t="s">
        <v>207</v>
      </c>
      <c r="AH732" s="192">
        <v>4.1817004181546098</v>
      </c>
    </row>
    <row r="733" spans="29:34">
      <c r="AC733" s="192" t="s">
        <v>55</v>
      </c>
      <c r="AD733" s="192" t="s">
        <v>20</v>
      </c>
      <c r="AE733" s="192" t="s">
        <v>72</v>
      </c>
      <c r="AF733" s="192" t="s">
        <v>51</v>
      </c>
      <c r="AG733" s="192" t="s">
        <v>208</v>
      </c>
      <c r="AH733" s="192">
        <v>4.1873439755716797</v>
      </c>
    </row>
    <row r="734" spans="29:34">
      <c r="AC734" s="192" t="s">
        <v>55</v>
      </c>
      <c r="AD734" s="192" t="s">
        <v>20</v>
      </c>
      <c r="AE734" s="192" t="s">
        <v>72</v>
      </c>
      <c r="AF734" s="192" t="s">
        <v>51</v>
      </c>
      <c r="AG734" s="192" t="s">
        <v>209</v>
      </c>
      <c r="AH734" s="192">
        <v>4.2186106422383469</v>
      </c>
    </row>
    <row r="735" spans="29:34">
      <c r="AC735" s="192" t="s">
        <v>55</v>
      </c>
      <c r="AD735" s="192" t="s">
        <v>20</v>
      </c>
      <c r="AE735" s="192" t="s">
        <v>72</v>
      </c>
      <c r="AF735" s="192" t="s">
        <v>51</v>
      </c>
      <c r="AG735" s="192" t="s">
        <v>210</v>
      </c>
      <c r="AH735" s="192">
        <v>4.2186106422383469</v>
      </c>
    </row>
    <row r="736" spans="29:34">
      <c r="AC736" s="192" t="s">
        <v>55</v>
      </c>
      <c r="AD736" s="192" t="s">
        <v>20</v>
      </c>
      <c r="AE736" s="192" t="s">
        <v>72</v>
      </c>
      <c r="AF736" s="192" t="s">
        <v>51</v>
      </c>
      <c r="AG736" s="192" t="s">
        <v>211</v>
      </c>
      <c r="AH736" s="192">
        <v>4.2186106422383469</v>
      </c>
    </row>
    <row r="737" spans="29:34">
      <c r="AC737" s="192" t="s">
        <v>55</v>
      </c>
      <c r="AD737" s="192" t="s">
        <v>20</v>
      </c>
      <c r="AE737" s="192" t="s">
        <v>72</v>
      </c>
      <c r="AF737" s="192" t="s">
        <v>51</v>
      </c>
      <c r="AG737" s="192" t="s">
        <v>212</v>
      </c>
      <c r="AH737" s="192">
        <v>4.310586640999877</v>
      </c>
    </row>
    <row r="738" spans="29:34">
      <c r="AC738" s="192" t="s">
        <v>55</v>
      </c>
      <c r="AD738" s="192" t="s">
        <v>20</v>
      </c>
      <c r="AE738" s="192" t="s">
        <v>72</v>
      </c>
      <c r="AF738" s="192" t="s">
        <v>51</v>
      </c>
      <c r="AG738" s="192" t="s">
        <v>213</v>
      </c>
      <c r="AH738" s="192">
        <v>4.2186106422383469</v>
      </c>
    </row>
    <row r="739" spans="29:34">
      <c r="AC739" s="192" t="s">
        <v>55</v>
      </c>
      <c r="AD739" s="192" t="s">
        <v>20</v>
      </c>
      <c r="AE739" s="192" t="s">
        <v>72</v>
      </c>
      <c r="AF739" s="192" t="s">
        <v>51</v>
      </c>
      <c r="AG739" s="192" t="s">
        <v>98</v>
      </c>
      <c r="AH739" s="192">
        <v>4.1873439755716797</v>
      </c>
    </row>
    <row r="740" spans="29:34">
      <c r="AC740" s="192" t="s">
        <v>55</v>
      </c>
      <c r="AD740" s="192" t="s">
        <v>20</v>
      </c>
      <c r="AE740" s="192" t="s">
        <v>72</v>
      </c>
      <c r="AF740" s="192" t="s">
        <v>51</v>
      </c>
      <c r="AG740" s="192" t="s">
        <v>96</v>
      </c>
      <c r="AH740" s="192">
        <v>4.2186106422383469</v>
      </c>
    </row>
    <row r="741" spans="29:34">
      <c r="AC741" s="192" t="s">
        <v>55</v>
      </c>
      <c r="AD741" s="192" t="s">
        <v>20</v>
      </c>
      <c r="AE741" s="192" t="s">
        <v>72</v>
      </c>
      <c r="AF741" s="192" t="s">
        <v>51</v>
      </c>
      <c r="AG741" s="192" t="s">
        <v>97</v>
      </c>
      <c r="AH741" s="192">
        <v>4.2186106422383469</v>
      </c>
    </row>
    <row r="742" spans="29:34">
      <c r="AC742" s="192" t="s">
        <v>55</v>
      </c>
      <c r="AD742" s="192" t="s">
        <v>20</v>
      </c>
      <c r="AE742" s="192" t="s">
        <v>72</v>
      </c>
      <c r="AF742" s="192" t="s">
        <v>51</v>
      </c>
      <c r="AG742" s="192" t="s">
        <v>101</v>
      </c>
      <c r="AH742" s="192">
        <v>4.1237077500397357</v>
      </c>
    </row>
    <row r="743" spans="29:34">
      <c r="AC743" s="192" t="s">
        <v>55</v>
      </c>
      <c r="AD743" s="192" t="s">
        <v>20</v>
      </c>
      <c r="AE743" s="192" t="s">
        <v>72</v>
      </c>
      <c r="AF743" s="192" t="s">
        <v>51</v>
      </c>
      <c r="AG743" s="192" t="s">
        <v>102</v>
      </c>
      <c r="AH743" s="192">
        <v>4.0612077500397348</v>
      </c>
    </row>
    <row r="744" spans="29:34">
      <c r="AC744" s="192" t="s">
        <v>55</v>
      </c>
      <c r="AD744" s="192" t="s">
        <v>20</v>
      </c>
      <c r="AE744" s="192" t="s">
        <v>72</v>
      </c>
      <c r="AF744" s="192" t="s">
        <v>51</v>
      </c>
      <c r="AG744" s="192" t="s">
        <v>103</v>
      </c>
      <c r="AH744" s="192">
        <v>4.092474416706402</v>
      </c>
    </row>
    <row r="745" spans="29:34">
      <c r="AC745" s="192" t="s">
        <v>55</v>
      </c>
      <c r="AD745" s="192" t="s">
        <v>20</v>
      </c>
      <c r="AE745" s="192" t="s">
        <v>72</v>
      </c>
      <c r="AF745" s="192" t="s">
        <v>51</v>
      </c>
      <c r="AG745" s="192" t="s">
        <v>104</v>
      </c>
      <c r="AH745" s="192">
        <v>4.092474416706402</v>
      </c>
    </row>
    <row r="746" spans="29:34">
      <c r="AC746" s="192" t="s">
        <v>55</v>
      </c>
      <c r="AD746" s="192" t="s">
        <v>20</v>
      </c>
      <c r="AE746" s="192" t="s">
        <v>72</v>
      </c>
      <c r="AF746" s="192" t="s">
        <v>51</v>
      </c>
      <c r="AG746" s="192" t="s">
        <v>105</v>
      </c>
      <c r="AH746" s="192">
        <v>4.1873439755716797</v>
      </c>
    </row>
    <row r="747" spans="29:34">
      <c r="AC747" s="192" t="s">
        <v>55</v>
      </c>
      <c r="AD747" s="192" t="s">
        <v>20</v>
      </c>
      <c r="AE747" s="192" t="s">
        <v>72</v>
      </c>
      <c r="AF747" s="192" t="s">
        <v>51</v>
      </c>
      <c r="AG747" s="192" t="s">
        <v>106</v>
      </c>
      <c r="AH747" s="192">
        <v>4.2498439755716797</v>
      </c>
    </row>
    <row r="748" spans="29:34">
      <c r="AC748" s="192" t="s">
        <v>55</v>
      </c>
      <c r="AD748" s="192" t="s">
        <v>20</v>
      </c>
      <c r="AE748" s="192" t="s">
        <v>72</v>
      </c>
      <c r="AF748" s="192" t="s">
        <v>51</v>
      </c>
      <c r="AG748" s="192" t="s">
        <v>107</v>
      </c>
      <c r="AH748" s="192">
        <v>4.1873439755716797</v>
      </c>
    </row>
    <row r="749" spans="29:34">
      <c r="AC749" s="192" t="s">
        <v>55</v>
      </c>
      <c r="AD749" s="192" t="s">
        <v>20</v>
      </c>
      <c r="AE749" s="192" t="s">
        <v>72</v>
      </c>
      <c r="AF749" s="192" t="s">
        <v>51</v>
      </c>
      <c r="AG749" s="192" t="s">
        <v>108</v>
      </c>
      <c r="AH749" s="192">
        <v>4.1237077500397357</v>
      </c>
    </row>
    <row r="750" spans="29:34">
      <c r="AC750" s="192" t="s">
        <v>55</v>
      </c>
      <c r="AD750" s="192" t="s">
        <v>20</v>
      </c>
      <c r="AE750" s="192" t="s">
        <v>72</v>
      </c>
      <c r="AF750" s="192" t="s">
        <v>51</v>
      </c>
      <c r="AG750" s="192" t="s">
        <v>100</v>
      </c>
      <c r="AH750" s="192">
        <v>4.1817004181546098</v>
      </c>
    </row>
    <row r="751" spans="29:34">
      <c r="AC751" s="192" t="s">
        <v>55</v>
      </c>
      <c r="AD751" s="192" t="s">
        <v>20</v>
      </c>
      <c r="AE751" s="192" t="s">
        <v>72</v>
      </c>
      <c r="AF751" s="192" t="s">
        <v>51</v>
      </c>
      <c r="AG751" s="192" t="s">
        <v>109</v>
      </c>
      <c r="AH751" s="192">
        <v>4.1237077500397357</v>
      </c>
    </row>
    <row r="752" spans="29:34">
      <c r="AC752" s="192" t="s">
        <v>55</v>
      </c>
      <c r="AD752" s="192" t="s">
        <v>20</v>
      </c>
      <c r="AE752" s="192" t="s">
        <v>72</v>
      </c>
      <c r="AF752" s="192" t="s">
        <v>51</v>
      </c>
      <c r="AG752" s="192" t="s">
        <v>110</v>
      </c>
      <c r="AH752" s="192">
        <v>4.1817004181546098</v>
      </c>
    </row>
    <row r="753" spans="29:34">
      <c r="AC753" s="192" t="s">
        <v>55</v>
      </c>
      <c r="AD753" s="192" t="s">
        <v>20</v>
      </c>
      <c r="AE753" s="192" t="s">
        <v>72</v>
      </c>
      <c r="AF753" s="192" t="s">
        <v>51</v>
      </c>
      <c r="AG753" s="192" t="s">
        <v>111</v>
      </c>
      <c r="AH753" s="192">
        <v>4.1237077500397357</v>
      </c>
    </row>
    <row r="754" spans="29:34">
      <c r="AC754" s="192" t="s">
        <v>55</v>
      </c>
      <c r="AD754" s="192" t="s">
        <v>20</v>
      </c>
      <c r="AE754" s="192" t="s">
        <v>72</v>
      </c>
      <c r="AF754" s="192" t="s">
        <v>51</v>
      </c>
      <c r="AG754" s="192" t="s">
        <v>99</v>
      </c>
      <c r="AH754" s="192">
        <v>4.1237077500397357</v>
      </c>
    </row>
    <row r="755" spans="29:34">
      <c r="AC755" s="192" t="s">
        <v>55</v>
      </c>
      <c r="AD755" s="192" t="s">
        <v>20</v>
      </c>
      <c r="AE755" s="192" t="s">
        <v>72</v>
      </c>
      <c r="AF755" s="192" t="s">
        <v>51</v>
      </c>
      <c r="AG755" s="192" t="s">
        <v>126</v>
      </c>
      <c r="AH755" s="192">
        <v>4.1237077500397357</v>
      </c>
    </row>
    <row r="756" spans="29:34">
      <c r="AC756" s="192" t="s">
        <v>55</v>
      </c>
      <c r="AD756" s="192" t="s">
        <v>20</v>
      </c>
      <c r="AE756" s="192" t="s">
        <v>72</v>
      </c>
      <c r="AF756" s="192" t="s">
        <v>51</v>
      </c>
      <c r="AG756" s="192" t="s">
        <v>124</v>
      </c>
      <c r="AH756" s="192">
        <v>4.0612077500397348</v>
      </c>
    </row>
    <row r="757" spans="29:34">
      <c r="AC757" s="192" t="s">
        <v>55</v>
      </c>
      <c r="AD757" s="192" t="s">
        <v>20</v>
      </c>
      <c r="AE757" s="192" t="s">
        <v>72</v>
      </c>
      <c r="AF757" s="192" t="s">
        <v>51</v>
      </c>
      <c r="AG757" s="192" t="s">
        <v>127</v>
      </c>
      <c r="AH757" s="192">
        <v>4.0557276764206129</v>
      </c>
    </row>
    <row r="758" spans="29:34">
      <c r="AC758" s="192" t="s">
        <v>55</v>
      </c>
      <c r="AD758" s="192" t="s">
        <v>20</v>
      </c>
      <c r="AE758" s="192" t="s">
        <v>72</v>
      </c>
      <c r="AF758" s="192" t="s">
        <v>51</v>
      </c>
      <c r="AG758" s="192" t="s">
        <v>128</v>
      </c>
      <c r="AH758" s="192">
        <v>4.0557276764206129</v>
      </c>
    </row>
    <row r="759" spans="29:34">
      <c r="AC759" s="192" t="s">
        <v>55</v>
      </c>
      <c r="AD759" s="192" t="s">
        <v>20</v>
      </c>
      <c r="AE759" s="192" t="s">
        <v>72</v>
      </c>
      <c r="AF759" s="192" t="s">
        <v>51</v>
      </c>
      <c r="AG759" s="192" t="s">
        <v>129</v>
      </c>
      <c r="AH759" s="192">
        <v>4.0557276764206129</v>
      </c>
    </row>
    <row r="760" spans="29:34">
      <c r="AC760" s="192" t="s">
        <v>55</v>
      </c>
      <c r="AD760" s="192" t="s">
        <v>20</v>
      </c>
      <c r="AE760" s="192" t="s">
        <v>72</v>
      </c>
      <c r="AF760" s="192" t="s">
        <v>51</v>
      </c>
      <c r="AG760" s="192" t="s">
        <v>123</v>
      </c>
      <c r="AH760" s="192">
        <v>4.0557276764206129</v>
      </c>
    </row>
    <row r="761" spans="29:34">
      <c r="AC761" s="192" t="s">
        <v>55</v>
      </c>
      <c r="AD761" s="192" t="s">
        <v>20</v>
      </c>
      <c r="AE761" s="192" t="s">
        <v>72</v>
      </c>
      <c r="AF761" s="192" t="s">
        <v>51</v>
      </c>
      <c r="AG761" s="192" t="s">
        <v>125</v>
      </c>
      <c r="AH761" s="192">
        <v>3.966305483037543</v>
      </c>
    </row>
    <row r="762" spans="29:34">
      <c r="AC762" s="192" t="s">
        <v>55</v>
      </c>
      <c r="AD762" s="192" t="s">
        <v>20</v>
      </c>
      <c r="AE762" s="192" t="s">
        <v>72</v>
      </c>
      <c r="AF762" s="192" t="s">
        <v>51</v>
      </c>
      <c r="AG762" s="192" t="s">
        <v>215</v>
      </c>
      <c r="AH762" s="192">
        <v>3.966305483037543</v>
      </c>
    </row>
    <row r="763" spans="29:34">
      <c r="AC763" s="78"/>
      <c r="AD763" s="78"/>
      <c r="AE763" s="78"/>
      <c r="AF763" s="78"/>
      <c r="AG763" s="78"/>
      <c r="AH763" s="78"/>
    </row>
    <row r="764" spans="29:34">
      <c r="AC764" s="78"/>
      <c r="AD764" s="78"/>
      <c r="AE764" s="78"/>
      <c r="AF764" s="78"/>
      <c r="AG764" s="78"/>
      <c r="AH764" s="78"/>
    </row>
    <row r="765" spans="29:34">
      <c r="AC765" s="78"/>
      <c r="AD765" s="78"/>
      <c r="AE765" s="78"/>
      <c r="AF765" s="78"/>
      <c r="AG765" s="78"/>
      <c r="AH765" s="78"/>
    </row>
    <row r="766" spans="29:34">
      <c r="AC766" s="78"/>
      <c r="AD766" s="78"/>
      <c r="AE766" s="78"/>
      <c r="AF766" s="78"/>
      <c r="AG766" s="78"/>
      <c r="AH766" s="78"/>
    </row>
    <row r="767" spans="29:34">
      <c r="AC767" s="78"/>
      <c r="AD767" s="78"/>
      <c r="AE767" s="78"/>
      <c r="AF767" s="78"/>
      <c r="AG767" s="78"/>
      <c r="AH767" s="78"/>
    </row>
    <row r="768" spans="29:34">
      <c r="AC768" s="78"/>
      <c r="AD768" s="78"/>
      <c r="AE768" s="78"/>
      <c r="AF768" s="78"/>
      <c r="AG768" s="78"/>
      <c r="AH768" s="78"/>
    </row>
    <row r="769" spans="29:34">
      <c r="AC769" s="78"/>
      <c r="AD769" s="78"/>
      <c r="AE769" s="78"/>
      <c r="AF769" s="78"/>
      <c r="AG769" s="78"/>
      <c r="AH769" s="78"/>
    </row>
    <row r="770" spans="29:34">
      <c r="AC770" s="78"/>
      <c r="AD770" s="78"/>
      <c r="AE770" s="78"/>
      <c r="AF770" s="78"/>
      <c r="AG770" s="78"/>
      <c r="AH770" s="78"/>
    </row>
    <row r="771" spans="29:34">
      <c r="AC771" s="78"/>
      <c r="AD771" s="78"/>
      <c r="AE771" s="78"/>
      <c r="AF771" s="78"/>
      <c r="AG771" s="78"/>
      <c r="AH771" s="78"/>
    </row>
    <row r="772" spans="29:34">
      <c r="AC772" s="78"/>
      <c r="AD772" s="78"/>
      <c r="AE772" s="78"/>
      <c r="AF772" s="78"/>
      <c r="AG772" s="78"/>
      <c r="AH772" s="78"/>
    </row>
    <row r="773" spans="29:34">
      <c r="AC773" s="78"/>
      <c r="AD773" s="78"/>
      <c r="AE773" s="78"/>
      <c r="AF773" s="78"/>
      <c r="AG773" s="78"/>
      <c r="AH773" s="78"/>
    </row>
    <row r="774" spans="29:34">
      <c r="AC774" s="78"/>
      <c r="AD774" s="78"/>
      <c r="AE774" s="78"/>
      <c r="AF774" s="78"/>
      <c r="AG774" s="78"/>
      <c r="AH774" s="78"/>
    </row>
    <row r="775" spans="29:34">
      <c r="AC775" s="78"/>
      <c r="AD775" s="78"/>
      <c r="AE775" s="78"/>
      <c r="AF775" s="78"/>
      <c r="AG775" s="78"/>
      <c r="AH775" s="78"/>
    </row>
    <row r="776" spans="29:34">
      <c r="AC776" s="78"/>
      <c r="AD776" s="78"/>
      <c r="AE776" s="78"/>
      <c r="AF776" s="78"/>
      <c r="AG776" s="78"/>
      <c r="AH776" s="78"/>
    </row>
    <row r="777" spans="29:34">
      <c r="AC777" s="78"/>
      <c r="AD777" s="78"/>
      <c r="AE777" s="78"/>
      <c r="AF777" s="78"/>
      <c r="AG777" s="78"/>
      <c r="AH777" s="78"/>
    </row>
    <row r="778" spans="29:34">
      <c r="AC778" s="78"/>
      <c r="AD778" s="78"/>
      <c r="AE778" s="78"/>
      <c r="AF778" s="78"/>
      <c r="AG778" s="78"/>
      <c r="AH778" s="78"/>
    </row>
    <row r="779" spans="29:34">
      <c r="AC779" s="78"/>
      <c r="AD779" s="78"/>
      <c r="AE779" s="78"/>
      <c r="AF779" s="78"/>
      <c r="AG779" s="78"/>
      <c r="AH779" s="78"/>
    </row>
    <row r="780" spans="29:34">
      <c r="AC780" s="78"/>
      <c r="AD780" s="78"/>
      <c r="AE780" s="78"/>
      <c r="AF780" s="78"/>
      <c r="AG780" s="78"/>
      <c r="AH780" s="78"/>
    </row>
    <row r="781" spans="29:34">
      <c r="AC781" s="78"/>
      <c r="AD781" s="78"/>
      <c r="AE781" s="78"/>
      <c r="AF781" s="78"/>
      <c r="AG781" s="78"/>
      <c r="AH781" s="78"/>
    </row>
    <row r="782" spans="29:34">
      <c r="AC782" s="78"/>
      <c r="AD782" s="78"/>
      <c r="AE782" s="78"/>
      <c r="AF782" s="78"/>
      <c r="AG782" s="78"/>
      <c r="AH782" s="78"/>
    </row>
    <row r="783" spans="29:34">
      <c r="AC783" s="78"/>
      <c r="AD783" s="78"/>
      <c r="AE783" s="78"/>
      <c r="AF783" s="78"/>
      <c r="AG783" s="78"/>
      <c r="AH783" s="78"/>
    </row>
    <row r="784" spans="29:34">
      <c r="AC784" s="78"/>
      <c r="AD784" s="78"/>
      <c r="AE784" s="78"/>
      <c r="AF784" s="78"/>
      <c r="AG784" s="78"/>
      <c r="AH784" s="78"/>
    </row>
    <row r="785" spans="29:34">
      <c r="AC785" s="78"/>
      <c r="AD785" s="78"/>
      <c r="AE785" s="78"/>
      <c r="AF785" s="78"/>
      <c r="AG785" s="78"/>
      <c r="AH785" s="78"/>
    </row>
    <row r="786" spans="29:34">
      <c r="AC786" s="78"/>
      <c r="AD786" s="78"/>
      <c r="AE786" s="78"/>
      <c r="AF786" s="78"/>
      <c r="AG786" s="78"/>
      <c r="AH786" s="78"/>
    </row>
    <row r="787" spans="29:34">
      <c r="AC787" s="78"/>
      <c r="AD787" s="78"/>
      <c r="AE787" s="78"/>
      <c r="AF787" s="78"/>
      <c r="AG787" s="78"/>
      <c r="AH787" s="78"/>
    </row>
    <row r="788" spans="29:34">
      <c r="AC788" s="78"/>
      <c r="AD788" s="78"/>
      <c r="AE788" s="78"/>
      <c r="AF788" s="78"/>
      <c r="AG788" s="78"/>
      <c r="AH788" s="78"/>
    </row>
    <row r="789" spans="29:34">
      <c r="AC789" s="78"/>
      <c r="AD789" s="78"/>
      <c r="AE789" s="78"/>
      <c r="AF789" s="78"/>
      <c r="AG789" s="78"/>
      <c r="AH789" s="78"/>
    </row>
    <row r="790" spans="29:34">
      <c r="AC790" s="77"/>
      <c r="AD790" s="77"/>
      <c r="AE790" s="77"/>
      <c r="AF790" s="77"/>
      <c r="AG790" s="77"/>
      <c r="AH790" s="77"/>
    </row>
    <row r="791" spans="29:34">
      <c r="AC791" s="77"/>
      <c r="AD791" s="77"/>
      <c r="AE791" s="77"/>
      <c r="AF791" s="77"/>
      <c r="AG791" s="77"/>
      <c r="AH791" s="77"/>
    </row>
    <row r="792" spans="29:34">
      <c r="AC792" s="77"/>
      <c r="AD792" s="77"/>
      <c r="AE792" s="77"/>
      <c r="AF792" s="77"/>
      <c r="AG792" s="77"/>
      <c r="AH792" s="77"/>
    </row>
    <row r="793" spans="29:34">
      <c r="AC793" s="77"/>
      <c r="AD793" s="77"/>
      <c r="AE793" s="77"/>
      <c r="AF793" s="77"/>
      <c r="AG793" s="77"/>
      <c r="AH793" s="77"/>
    </row>
    <row r="794" spans="29:34">
      <c r="AC794" s="77"/>
      <c r="AD794" s="77"/>
      <c r="AE794" s="77"/>
      <c r="AF794" s="77"/>
      <c r="AG794" s="77"/>
      <c r="AH794" s="77"/>
    </row>
    <row r="795" spans="29:34">
      <c r="AC795" s="77"/>
      <c r="AD795" s="77"/>
      <c r="AE795" s="77"/>
      <c r="AF795" s="77"/>
      <c r="AG795" s="77"/>
      <c r="AH795" s="77"/>
    </row>
    <row r="796" spans="29:34">
      <c r="AC796" s="77"/>
      <c r="AD796" s="77"/>
      <c r="AE796" s="77"/>
      <c r="AF796" s="77"/>
      <c r="AG796" s="77"/>
      <c r="AH796" s="77"/>
    </row>
    <row r="797" spans="29:34">
      <c r="AC797" s="77"/>
      <c r="AD797" s="77"/>
      <c r="AE797" s="77"/>
      <c r="AF797" s="77"/>
      <c r="AG797" s="77"/>
      <c r="AH797" s="77"/>
    </row>
    <row r="798" spans="29:34">
      <c r="AC798" s="77"/>
      <c r="AD798" s="77"/>
      <c r="AE798" s="77"/>
      <c r="AF798" s="77"/>
      <c r="AG798" s="77"/>
      <c r="AH798" s="77"/>
    </row>
    <row r="799" spans="29:34">
      <c r="AC799" s="77"/>
      <c r="AD799" s="77"/>
      <c r="AE799" s="77"/>
      <c r="AF799" s="77"/>
      <c r="AG799" s="77"/>
      <c r="AH799" s="77"/>
    </row>
    <row r="800" spans="29:34">
      <c r="AC800" s="77"/>
      <c r="AD800" s="77"/>
      <c r="AE800" s="77"/>
      <c r="AF800" s="77"/>
      <c r="AG800" s="77"/>
      <c r="AH800" s="77"/>
    </row>
    <row r="801" spans="29:34">
      <c r="AC801" s="77"/>
      <c r="AD801" s="77"/>
      <c r="AE801" s="77"/>
      <c r="AF801" s="77"/>
      <c r="AG801" s="77"/>
      <c r="AH801" s="77"/>
    </row>
    <row r="802" spans="29:34">
      <c r="AC802" s="77"/>
      <c r="AD802" s="77"/>
      <c r="AE802" s="77"/>
      <c r="AF802" s="77"/>
      <c r="AG802" s="77"/>
      <c r="AH802" s="77"/>
    </row>
    <row r="803" spans="29:34">
      <c r="AC803" s="77"/>
      <c r="AD803" s="77"/>
      <c r="AE803" s="77"/>
      <c r="AF803" s="77"/>
      <c r="AG803" s="77"/>
      <c r="AH803" s="77"/>
    </row>
    <row r="804" spans="29:34">
      <c r="AC804" s="77"/>
      <c r="AD804" s="77"/>
      <c r="AE804" s="77"/>
      <c r="AF804" s="77"/>
      <c r="AG804" s="77"/>
      <c r="AH804" s="77"/>
    </row>
    <row r="805" spans="29:34">
      <c r="AC805" s="77"/>
      <c r="AD805" s="77"/>
      <c r="AE805" s="77"/>
      <c r="AF805" s="77"/>
      <c r="AG805" s="77"/>
      <c r="AH805" s="77"/>
    </row>
    <row r="806" spans="29:34">
      <c r="AC806" s="77"/>
      <c r="AD806" s="77"/>
      <c r="AE806" s="77"/>
      <c r="AF806" s="77"/>
      <c r="AG806" s="77"/>
      <c r="AH806" s="77"/>
    </row>
    <row r="807" spans="29:34">
      <c r="AC807" s="77"/>
      <c r="AD807" s="77"/>
      <c r="AE807" s="77"/>
      <c r="AF807" s="77"/>
      <c r="AG807" s="77"/>
      <c r="AH807" s="77"/>
    </row>
    <row r="808" spans="29:34">
      <c r="AC808" s="77"/>
      <c r="AD808" s="77"/>
      <c r="AE808" s="77"/>
      <c r="AF808" s="77"/>
      <c r="AG808" s="77"/>
      <c r="AH808" s="77"/>
    </row>
    <row r="809" spans="29:34">
      <c r="AC809" s="77"/>
      <c r="AD809" s="77"/>
      <c r="AE809" s="77"/>
      <c r="AF809" s="77"/>
      <c r="AG809" s="77"/>
      <c r="AH809" s="77"/>
    </row>
    <row r="810" spans="29:34">
      <c r="AC810" s="77"/>
      <c r="AD810" s="77"/>
      <c r="AE810" s="77"/>
      <c r="AF810" s="77"/>
      <c r="AG810" s="77"/>
      <c r="AH810" s="77"/>
    </row>
    <row r="811" spans="29:34">
      <c r="AC811" s="77"/>
      <c r="AD811" s="77"/>
      <c r="AE811" s="77"/>
      <c r="AF811" s="77"/>
      <c r="AG811" s="77"/>
      <c r="AH811" s="77"/>
    </row>
    <row r="812" spans="29:34">
      <c r="AC812" s="77"/>
      <c r="AD812" s="77"/>
      <c r="AE812" s="77"/>
      <c r="AF812" s="77"/>
      <c r="AG812" s="77"/>
      <c r="AH812" s="77"/>
    </row>
    <row r="813" spans="29:34">
      <c r="AC813" s="77"/>
      <c r="AD813" s="77"/>
      <c r="AE813" s="77"/>
      <c r="AF813" s="77"/>
      <c r="AG813" s="77"/>
      <c r="AH813" s="77"/>
    </row>
    <row r="814" spans="29:34">
      <c r="AC814" s="77"/>
      <c r="AD814" s="77"/>
      <c r="AE814" s="77"/>
      <c r="AF814" s="77"/>
      <c r="AG814" s="77"/>
      <c r="AH814" s="77"/>
    </row>
    <row r="815" spans="29:34">
      <c r="AC815" s="77"/>
      <c r="AD815" s="77"/>
      <c r="AE815" s="77"/>
      <c r="AF815" s="77"/>
      <c r="AG815" s="77"/>
      <c r="AH815" s="77"/>
    </row>
    <row r="816" spans="29:34">
      <c r="AC816" s="77"/>
      <c r="AD816" s="77"/>
      <c r="AE816" s="77"/>
      <c r="AF816" s="77"/>
      <c r="AG816" s="77"/>
      <c r="AH816" s="77"/>
    </row>
    <row r="817" spans="29:34">
      <c r="AC817" s="77"/>
      <c r="AD817" s="77"/>
      <c r="AE817" s="77"/>
      <c r="AF817" s="77"/>
      <c r="AG817" s="77"/>
      <c r="AH817" s="77"/>
    </row>
    <row r="818" spans="29:34">
      <c r="AC818" s="77"/>
      <c r="AD818" s="77"/>
      <c r="AE818" s="77"/>
      <c r="AF818" s="77"/>
      <c r="AG818" s="77"/>
      <c r="AH818" s="77"/>
    </row>
    <row r="819" spans="29:34">
      <c r="AC819" s="77"/>
      <c r="AD819" s="77"/>
      <c r="AE819" s="77"/>
      <c r="AF819" s="77"/>
      <c r="AG819" s="77"/>
      <c r="AH819" s="77"/>
    </row>
    <row r="820" spans="29:34">
      <c r="AC820" s="77"/>
      <c r="AD820" s="77"/>
      <c r="AE820" s="77"/>
      <c r="AF820" s="77"/>
      <c r="AG820" s="77"/>
      <c r="AH820" s="77"/>
    </row>
    <row r="821" spans="29:34">
      <c r="AC821" s="77"/>
      <c r="AD821" s="77"/>
      <c r="AE821" s="77"/>
      <c r="AF821" s="77"/>
      <c r="AG821" s="77"/>
      <c r="AH821" s="77"/>
    </row>
    <row r="822" spans="29:34">
      <c r="AC822" s="77"/>
      <c r="AD822" s="77"/>
      <c r="AE822" s="77"/>
      <c r="AF822" s="77"/>
      <c r="AG822" s="77"/>
      <c r="AH822" s="77"/>
    </row>
    <row r="823" spans="29:34">
      <c r="AC823" s="77"/>
      <c r="AD823" s="77"/>
      <c r="AE823" s="77"/>
      <c r="AF823" s="77"/>
      <c r="AG823" s="77"/>
      <c r="AH823" s="77"/>
    </row>
    <row r="824" spans="29:34">
      <c r="AC824" s="77"/>
      <c r="AD824" s="77"/>
      <c r="AE824" s="77"/>
      <c r="AF824" s="77"/>
      <c r="AG824" s="77"/>
      <c r="AH824" s="77"/>
    </row>
    <row r="825" spans="29:34">
      <c r="AC825" s="77"/>
      <c r="AD825" s="77"/>
      <c r="AE825" s="77"/>
      <c r="AF825" s="77"/>
      <c r="AG825" s="77"/>
      <c r="AH825" s="77"/>
    </row>
    <row r="826" spans="29:34">
      <c r="AC826" s="77"/>
      <c r="AD826" s="77"/>
      <c r="AE826" s="77"/>
      <c r="AF826" s="77"/>
      <c r="AG826" s="77"/>
      <c r="AH826" s="77"/>
    </row>
    <row r="827" spans="29:34">
      <c r="AC827" s="77"/>
      <c r="AD827" s="77"/>
      <c r="AE827" s="77"/>
      <c r="AF827" s="77"/>
      <c r="AG827" s="77"/>
      <c r="AH827" s="77"/>
    </row>
    <row r="828" spans="29:34">
      <c r="AC828" s="77"/>
      <c r="AD828" s="77"/>
      <c r="AE828" s="77"/>
      <c r="AF828" s="77"/>
      <c r="AG828" s="77"/>
      <c r="AH828" s="77"/>
    </row>
    <row r="829" spans="29:34">
      <c r="AC829" s="77"/>
      <c r="AD829" s="77"/>
      <c r="AE829" s="77"/>
      <c r="AF829" s="77"/>
      <c r="AG829" s="77"/>
      <c r="AH829" s="77"/>
    </row>
    <row r="830" spans="29:34">
      <c r="AC830" s="77"/>
      <c r="AD830" s="77"/>
      <c r="AE830" s="77"/>
      <c r="AF830" s="77"/>
      <c r="AG830" s="77"/>
      <c r="AH830" s="77"/>
    </row>
    <row r="831" spans="29:34">
      <c r="AC831" s="77"/>
      <c r="AD831" s="77"/>
      <c r="AE831" s="77"/>
      <c r="AF831" s="77"/>
      <c r="AG831" s="77"/>
      <c r="AH831" s="77"/>
    </row>
    <row r="832" spans="29:34">
      <c r="AC832" s="77"/>
      <c r="AD832" s="77"/>
      <c r="AE832" s="77"/>
      <c r="AF832" s="77"/>
      <c r="AG832" s="77"/>
      <c r="AH832" s="77"/>
    </row>
    <row r="833" spans="29:34">
      <c r="AC833" s="77"/>
      <c r="AD833" s="77"/>
      <c r="AE833" s="77"/>
      <c r="AF833" s="77"/>
      <c r="AG833" s="77"/>
      <c r="AH833" s="77"/>
    </row>
    <row r="834" spans="29:34">
      <c r="AC834" s="77"/>
      <c r="AD834" s="77"/>
      <c r="AE834" s="77"/>
      <c r="AF834" s="77"/>
      <c r="AG834" s="77"/>
      <c r="AH834" s="77"/>
    </row>
    <row r="835" spans="29:34">
      <c r="AC835" s="77"/>
      <c r="AD835" s="77"/>
      <c r="AE835" s="77"/>
      <c r="AF835" s="77"/>
      <c r="AG835" s="77"/>
      <c r="AH835" s="77"/>
    </row>
    <row r="836" spans="29:34">
      <c r="AC836" s="77"/>
      <c r="AD836" s="77"/>
      <c r="AE836" s="77"/>
      <c r="AF836" s="77"/>
      <c r="AG836" s="77"/>
      <c r="AH836" s="77"/>
    </row>
    <row r="837" spans="29:34">
      <c r="AC837" s="77"/>
      <c r="AD837" s="77"/>
      <c r="AE837" s="77"/>
      <c r="AF837" s="77"/>
      <c r="AG837" s="77"/>
      <c r="AH837" s="77"/>
    </row>
    <row r="838" spans="29:34">
      <c r="AC838" s="77"/>
      <c r="AD838" s="77"/>
      <c r="AE838" s="77"/>
      <c r="AF838" s="77"/>
      <c r="AG838" s="77"/>
      <c r="AH838" s="77"/>
    </row>
    <row r="839" spans="29:34">
      <c r="AC839" s="77"/>
      <c r="AD839" s="77"/>
      <c r="AE839" s="77"/>
      <c r="AF839" s="77"/>
      <c r="AG839" s="77"/>
      <c r="AH839" s="77"/>
    </row>
    <row r="840" spans="29:34">
      <c r="AC840" s="77"/>
      <c r="AD840" s="77"/>
      <c r="AE840" s="77"/>
      <c r="AF840" s="77"/>
      <c r="AG840" s="77"/>
      <c r="AH840" s="77"/>
    </row>
    <row r="841" spans="29:34">
      <c r="AC841" s="77"/>
      <c r="AD841" s="77"/>
      <c r="AE841" s="77"/>
      <c r="AF841" s="77"/>
      <c r="AG841" s="77"/>
      <c r="AH841" s="77"/>
    </row>
    <row r="842" spans="29:34">
      <c r="AC842" s="77"/>
      <c r="AD842" s="77"/>
      <c r="AE842" s="77"/>
      <c r="AF842" s="77"/>
      <c r="AG842" s="77"/>
      <c r="AH842" s="77"/>
    </row>
    <row r="843" spans="29:34">
      <c r="AC843" s="77"/>
      <c r="AD843" s="77"/>
      <c r="AE843" s="77"/>
      <c r="AF843" s="77"/>
      <c r="AG843" s="77"/>
      <c r="AH843" s="77"/>
    </row>
    <row r="844" spans="29:34">
      <c r="AC844" s="77"/>
      <c r="AD844" s="77"/>
      <c r="AE844" s="77"/>
      <c r="AF844" s="77"/>
      <c r="AG844" s="77"/>
      <c r="AH844" s="77"/>
    </row>
    <row r="845" spans="29:34">
      <c r="AC845" s="77"/>
      <c r="AD845" s="77"/>
      <c r="AE845" s="77"/>
      <c r="AF845" s="77"/>
      <c r="AG845" s="77"/>
      <c r="AH845" s="77"/>
    </row>
    <row r="846" spans="29:34">
      <c r="AC846" s="77"/>
      <c r="AD846" s="77"/>
      <c r="AE846" s="77"/>
      <c r="AF846" s="77"/>
      <c r="AG846" s="77"/>
      <c r="AH846" s="77"/>
    </row>
    <row r="847" spans="29:34">
      <c r="AC847" s="77"/>
      <c r="AD847" s="77"/>
      <c r="AE847" s="77"/>
      <c r="AF847" s="77"/>
      <c r="AG847" s="77"/>
      <c r="AH847" s="77"/>
    </row>
    <row r="848" spans="29:34">
      <c r="AC848" s="77"/>
      <c r="AD848" s="77"/>
      <c r="AE848" s="77"/>
      <c r="AF848" s="77"/>
      <c r="AG848" s="77"/>
      <c r="AH848" s="77"/>
    </row>
    <row r="849" spans="29:34">
      <c r="AC849" s="77"/>
      <c r="AD849" s="77"/>
      <c r="AE849" s="77"/>
      <c r="AF849" s="77"/>
      <c r="AG849" s="77"/>
      <c r="AH849" s="77"/>
    </row>
    <row r="850" spans="29:34">
      <c r="AC850" s="77"/>
      <c r="AD850" s="77"/>
      <c r="AE850" s="77"/>
      <c r="AF850" s="77"/>
      <c r="AG850" s="77"/>
      <c r="AH850" s="77"/>
    </row>
    <row r="851" spans="29:34">
      <c r="AC851" s="77"/>
      <c r="AD851" s="77"/>
      <c r="AE851" s="77"/>
      <c r="AF851" s="77"/>
      <c r="AG851" s="77"/>
      <c r="AH851" s="77"/>
    </row>
    <row r="852" spans="29:34">
      <c r="AC852" s="77"/>
      <c r="AD852" s="77"/>
      <c r="AE852" s="77"/>
      <c r="AF852" s="77"/>
      <c r="AG852" s="77"/>
      <c r="AH852" s="77"/>
    </row>
    <row r="853" spans="29:34">
      <c r="AC853" s="77"/>
      <c r="AD853" s="77"/>
      <c r="AE853" s="77"/>
      <c r="AF853" s="77"/>
      <c r="AG853" s="77"/>
      <c r="AH853" s="77"/>
    </row>
    <row r="854" spans="29:34">
      <c r="AC854" s="77"/>
      <c r="AD854" s="77"/>
      <c r="AE854" s="77"/>
      <c r="AF854" s="77"/>
      <c r="AG854" s="77"/>
      <c r="AH854" s="77"/>
    </row>
    <row r="855" spans="29:34">
      <c r="AC855" s="77"/>
      <c r="AD855" s="77"/>
      <c r="AE855" s="77"/>
      <c r="AF855" s="77"/>
      <c r="AG855" s="77"/>
      <c r="AH855" s="77"/>
    </row>
    <row r="856" spans="29:34">
      <c r="AC856" s="77"/>
      <c r="AD856" s="77"/>
      <c r="AE856" s="77"/>
      <c r="AF856" s="77"/>
      <c r="AG856" s="77"/>
      <c r="AH856" s="77"/>
    </row>
    <row r="857" spans="29:34">
      <c r="AC857" s="77"/>
      <c r="AD857" s="77"/>
      <c r="AE857" s="77"/>
      <c r="AF857" s="77"/>
      <c r="AG857" s="77"/>
      <c r="AH857" s="77"/>
    </row>
    <row r="858" spans="29:34">
      <c r="AC858" s="77"/>
      <c r="AD858" s="77"/>
      <c r="AE858" s="77"/>
      <c r="AF858" s="77"/>
      <c r="AG858" s="77"/>
      <c r="AH858" s="77"/>
    </row>
    <row r="859" spans="29:34">
      <c r="AC859" s="77"/>
      <c r="AD859" s="77"/>
      <c r="AE859" s="77"/>
      <c r="AF859" s="77"/>
      <c r="AG859" s="77"/>
      <c r="AH859" s="77"/>
    </row>
    <row r="860" spans="29:34">
      <c r="AC860" s="77"/>
      <c r="AD860" s="77"/>
      <c r="AE860" s="77"/>
      <c r="AF860" s="77"/>
      <c r="AG860" s="77"/>
      <c r="AH860" s="77"/>
    </row>
    <row r="861" spans="29:34">
      <c r="AC861" s="77"/>
      <c r="AD861" s="77"/>
      <c r="AE861" s="77"/>
      <c r="AF861" s="77"/>
      <c r="AG861" s="77"/>
      <c r="AH861" s="77"/>
    </row>
    <row r="862" spans="29:34">
      <c r="AC862" s="77"/>
      <c r="AD862" s="77"/>
      <c r="AE862" s="77"/>
      <c r="AF862" s="77"/>
      <c r="AG862" s="77"/>
      <c r="AH862" s="77"/>
    </row>
  </sheetData>
  <pageMargins left="0.7" right="0.7" top="0.75" bottom="0.75" header="0.3" footer="0.3"/>
  <pageSetup orientation="portrait" horizontalDpi="300" verticalDpi="300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O187"/>
  <sheetViews>
    <sheetView topLeftCell="A55" workbookViewId="0">
      <selection activeCell="J78" sqref="J78"/>
    </sheetView>
  </sheetViews>
  <sheetFormatPr defaultRowHeight="15"/>
  <cols>
    <col min="1" max="1" width="26.42578125" customWidth="1"/>
    <col min="2" max="2" width="28.5703125" customWidth="1"/>
    <col min="3" max="3" width="20" customWidth="1"/>
    <col min="4" max="4" width="22.42578125" customWidth="1"/>
    <col min="5" max="5" width="27" customWidth="1"/>
    <col min="6" max="6" width="15.7109375" customWidth="1"/>
    <col min="7" max="7" width="8.28515625" customWidth="1"/>
    <col min="8" max="8" width="15.7109375" customWidth="1"/>
    <col min="9" max="9" width="11.42578125" customWidth="1"/>
    <col min="10" max="11" width="15.7109375" customWidth="1"/>
    <col min="12" max="12" width="13.28515625" customWidth="1"/>
    <col min="13" max="14" width="26.42578125" customWidth="1"/>
    <col min="15" max="15" width="33.5703125" customWidth="1"/>
    <col min="16" max="16" width="14.28515625" bestFit="1" customWidth="1"/>
    <col min="17" max="17" width="19.28515625" customWidth="1"/>
    <col min="18" max="18" width="15.7109375" bestFit="1" customWidth="1"/>
    <col min="19" max="19" width="33.5703125" bestFit="1" customWidth="1"/>
    <col min="20" max="20" width="16.42578125" bestFit="1" customWidth="1"/>
  </cols>
  <sheetData>
    <row r="1" spans="1:11" ht="19.5">
      <c r="A1" s="189" t="s">
        <v>65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</row>
    <row r="3" spans="1:11" hidden="1">
      <c r="A3" s="39" t="s">
        <v>56</v>
      </c>
      <c r="D3" s="39" t="s">
        <v>47</v>
      </c>
    </row>
    <row r="4" spans="1:11" s="42" customFormat="1">
      <c r="A4" s="39" t="s">
        <v>49</v>
      </c>
      <c r="B4" s="39" t="s">
        <v>45</v>
      </c>
      <c r="C4" s="39" t="s">
        <v>46</v>
      </c>
      <c r="D4" s="42" t="s">
        <v>25</v>
      </c>
      <c r="E4" s="42" t="s">
        <v>7</v>
      </c>
      <c r="F4" s="42" t="s">
        <v>0</v>
      </c>
      <c r="G4" s="42" t="s">
        <v>40</v>
      </c>
      <c r="H4" s="42" t="s">
        <v>1</v>
      </c>
      <c r="I4" s="42" t="s">
        <v>41</v>
      </c>
      <c r="J4" s="42" t="s">
        <v>72</v>
      </c>
      <c r="K4" s="42" t="s">
        <v>28</v>
      </c>
    </row>
    <row r="5" spans="1:11">
      <c r="A5" s="1" t="s">
        <v>215</v>
      </c>
      <c r="B5" s="1" t="s">
        <v>20</v>
      </c>
      <c r="C5" s="1" t="s">
        <v>52</v>
      </c>
      <c r="D5" s="40">
        <v>4.25</v>
      </c>
      <c r="E5" s="40">
        <v>1</v>
      </c>
      <c r="F5" s="40">
        <v>4.2720000000000002</v>
      </c>
      <c r="G5" s="40">
        <v>1778</v>
      </c>
      <c r="H5" s="40">
        <v>200000</v>
      </c>
      <c r="I5" s="40"/>
      <c r="J5" s="40">
        <v>4.2875744659487021</v>
      </c>
      <c r="K5" s="40">
        <v>1.4016155825874324</v>
      </c>
    </row>
    <row r="6" spans="1:11">
      <c r="A6" s="1" t="s">
        <v>215</v>
      </c>
      <c r="B6" s="1" t="s">
        <v>20</v>
      </c>
      <c r="C6" s="1" t="s">
        <v>53</v>
      </c>
      <c r="D6" s="40">
        <v>4</v>
      </c>
      <c r="E6" s="40">
        <v>1</v>
      </c>
      <c r="F6" s="40">
        <v>5.032</v>
      </c>
      <c r="G6" s="40">
        <v>6550</v>
      </c>
      <c r="H6" s="40">
        <v>200000</v>
      </c>
      <c r="I6" s="40">
        <v>3500</v>
      </c>
      <c r="J6" s="40">
        <v>4.1312500000000005</v>
      </c>
      <c r="K6" s="40">
        <v>1.4157159766750402</v>
      </c>
    </row>
    <row r="7" spans="1:11">
      <c r="A7" s="1" t="s">
        <v>215</v>
      </c>
      <c r="B7" s="1" t="s">
        <v>20</v>
      </c>
      <c r="C7" s="1" t="s">
        <v>54</v>
      </c>
      <c r="D7" s="40">
        <v>4.25</v>
      </c>
      <c r="E7" s="40">
        <v>1</v>
      </c>
      <c r="F7" s="40">
        <v>4.2569999999999997</v>
      </c>
      <c r="G7" s="40">
        <v>1127</v>
      </c>
      <c r="H7" s="40">
        <v>500000</v>
      </c>
      <c r="I7" s="40"/>
      <c r="J7" s="40">
        <v>4.0771627490827687</v>
      </c>
      <c r="K7" s="40">
        <v>1.1912038657214992</v>
      </c>
    </row>
    <row r="8" spans="1:11">
      <c r="A8" s="1" t="s">
        <v>215</v>
      </c>
      <c r="B8" s="1" t="s">
        <v>20</v>
      </c>
      <c r="C8" s="1" t="s">
        <v>55</v>
      </c>
      <c r="D8" s="40">
        <v>4.125</v>
      </c>
      <c r="E8" s="40">
        <v>1</v>
      </c>
      <c r="F8" s="40">
        <v>4.1310000000000002</v>
      </c>
      <c r="G8" s="40">
        <v>2200</v>
      </c>
      <c r="H8" s="40">
        <v>750000</v>
      </c>
      <c r="I8" s="40"/>
      <c r="J8" s="40">
        <v>3.966305483037543</v>
      </c>
      <c r="K8" s="40">
        <v>1.0803465996762733</v>
      </c>
    </row>
    <row r="9" spans="1:11">
      <c r="A9" s="1" t="s">
        <v>215</v>
      </c>
      <c r="B9" s="1" t="s">
        <v>19</v>
      </c>
      <c r="C9" s="1" t="s">
        <v>52</v>
      </c>
      <c r="D9" s="40">
        <v>3.99</v>
      </c>
      <c r="E9" s="40">
        <v>1.875</v>
      </c>
      <c r="F9" s="40">
        <v>4.2320000000000002</v>
      </c>
      <c r="G9" s="40"/>
      <c r="H9" s="40"/>
      <c r="I9" s="40"/>
      <c r="J9" s="40">
        <v>4.455426331689484</v>
      </c>
      <c r="K9" s="40">
        <v>1.5694674483282143</v>
      </c>
    </row>
    <row r="10" spans="1:11">
      <c r="A10" s="1" t="s">
        <v>215</v>
      </c>
      <c r="B10" s="1" t="s">
        <v>19</v>
      </c>
      <c r="C10" s="1" t="s">
        <v>53</v>
      </c>
      <c r="D10" s="40">
        <v>3.5</v>
      </c>
      <c r="E10" s="40">
        <v>2.25</v>
      </c>
      <c r="F10" s="40">
        <v>4.4000000000000004</v>
      </c>
      <c r="G10" s="40"/>
      <c r="H10" s="40"/>
      <c r="I10" s="40"/>
      <c r="J10" s="40"/>
      <c r="K10" s="40"/>
    </row>
    <row r="11" spans="1:11">
      <c r="A11" s="1" t="s">
        <v>215</v>
      </c>
      <c r="B11" s="1" t="s">
        <v>17</v>
      </c>
      <c r="C11" s="1" t="s">
        <v>52</v>
      </c>
      <c r="D11" s="40">
        <v>4.125</v>
      </c>
      <c r="E11" s="40">
        <v>0.72299999999999998</v>
      </c>
      <c r="F11" s="40">
        <v>4.298</v>
      </c>
      <c r="G11" s="40"/>
      <c r="H11" s="40"/>
      <c r="I11" s="40"/>
      <c r="J11" s="40">
        <v>4.3855708043827342</v>
      </c>
      <c r="K11" s="40">
        <v>1.4996119210214647</v>
      </c>
    </row>
    <row r="12" spans="1:11">
      <c r="A12" s="1" t="s">
        <v>215</v>
      </c>
      <c r="B12" s="1" t="s">
        <v>18</v>
      </c>
      <c r="C12" s="1" t="s">
        <v>52</v>
      </c>
      <c r="D12" s="40">
        <v>4</v>
      </c>
      <c r="E12" s="40">
        <v>0.875</v>
      </c>
      <c r="F12" s="40">
        <v>4.0730000000000004</v>
      </c>
      <c r="G12" s="40"/>
      <c r="H12" s="40"/>
      <c r="I12" s="40"/>
      <c r="J12" s="40">
        <v>3.968948344733974</v>
      </c>
      <c r="K12" s="40">
        <v>1.082989461372704</v>
      </c>
    </row>
    <row r="28" spans="1:11" ht="19.5">
      <c r="A28" s="189" t="s">
        <v>66</v>
      </c>
      <c r="B28" s="189"/>
      <c r="C28" s="189"/>
      <c r="D28" s="189"/>
      <c r="E28" s="189"/>
      <c r="F28" s="189"/>
      <c r="G28" s="189"/>
      <c r="H28" s="189"/>
      <c r="I28" s="189"/>
      <c r="J28" s="189"/>
      <c r="K28" s="189"/>
    </row>
    <row r="29" spans="1:11">
      <c r="A29" s="39" t="s">
        <v>56</v>
      </c>
      <c r="D29" s="39" t="s">
        <v>47</v>
      </c>
    </row>
    <row r="30" spans="1:11">
      <c r="A30" s="39" t="s">
        <v>49</v>
      </c>
      <c r="B30" s="39" t="s">
        <v>45</v>
      </c>
      <c r="C30" s="39" t="s">
        <v>46</v>
      </c>
      <c r="D30" s="42" t="s">
        <v>25</v>
      </c>
      <c r="E30" s="42" t="s">
        <v>7</v>
      </c>
      <c r="F30" s="42" t="s">
        <v>0</v>
      </c>
      <c r="G30" s="42" t="s">
        <v>40</v>
      </c>
      <c r="H30" s="42" t="s">
        <v>1</v>
      </c>
      <c r="I30" s="42" t="s">
        <v>41</v>
      </c>
      <c r="J30" s="42" t="s">
        <v>72</v>
      </c>
      <c r="K30" s="42" t="s">
        <v>28</v>
      </c>
    </row>
    <row r="31" spans="1:11">
      <c r="A31" s="1" t="s">
        <v>125</v>
      </c>
      <c r="B31" s="1" t="s">
        <v>20</v>
      </c>
      <c r="C31" s="1" t="s">
        <v>52</v>
      </c>
      <c r="D31" s="40">
        <v>4.25</v>
      </c>
      <c r="E31" s="40">
        <v>1</v>
      </c>
      <c r="F31" s="40">
        <v>4.2720000000000002</v>
      </c>
      <c r="G31" s="40">
        <v>2028</v>
      </c>
      <c r="H31" s="40">
        <v>200000</v>
      </c>
      <c r="I31" s="40"/>
      <c r="J31" s="40">
        <v>4.3188244659487021</v>
      </c>
      <c r="K31" s="40">
        <v>1.4033163399863324</v>
      </c>
    </row>
    <row r="32" spans="1:11">
      <c r="A32" s="1" t="s">
        <v>125</v>
      </c>
      <c r="B32" s="1" t="s">
        <v>20</v>
      </c>
      <c r="C32" s="1" t="s">
        <v>53</v>
      </c>
      <c r="D32" s="40">
        <v>4</v>
      </c>
      <c r="E32" s="40">
        <v>1</v>
      </c>
      <c r="F32" s="40">
        <v>5.0430000000000001</v>
      </c>
      <c r="G32" s="40">
        <v>6804</v>
      </c>
      <c r="H32" s="40">
        <v>200000</v>
      </c>
      <c r="I32" s="40">
        <v>3500</v>
      </c>
      <c r="J32" s="40">
        <v>4.1630000000000003</v>
      </c>
      <c r="K32" s="40">
        <v>1.4191504327559101</v>
      </c>
    </row>
    <row r="33" spans="1:11">
      <c r="A33" s="1" t="s">
        <v>125</v>
      </c>
      <c r="B33" s="1" t="s">
        <v>20</v>
      </c>
      <c r="C33" s="1" t="s">
        <v>54</v>
      </c>
      <c r="D33" s="40">
        <v>4.25</v>
      </c>
      <c r="E33" s="40">
        <v>1</v>
      </c>
      <c r="F33" s="40">
        <v>4.2569999999999997</v>
      </c>
      <c r="G33" s="40">
        <v>1127</v>
      </c>
      <c r="H33" s="40">
        <v>500000</v>
      </c>
      <c r="I33" s="40"/>
      <c r="J33" s="40">
        <v>4.0771627490827687</v>
      </c>
      <c r="K33" s="40">
        <v>1.1616546231203992</v>
      </c>
    </row>
    <row r="34" spans="1:11">
      <c r="A34" s="1" t="s">
        <v>125</v>
      </c>
      <c r="B34" s="1" t="s">
        <v>20</v>
      </c>
      <c r="C34" s="1" t="s">
        <v>55</v>
      </c>
      <c r="D34" s="40">
        <v>4.125</v>
      </c>
      <c r="E34" s="40">
        <v>1</v>
      </c>
      <c r="F34" s="40">
        <v>4.1310000000000002</v>
      </c>
      <c r="G34" s="40">
        <v>2200</v>
      </c>
      <c r="H34" s="40">
        <v>750000</v>
      </c>
      <c r="I34" s="40"/>
      <c r="J34" s="40">
        <v>3.966305483037543</v>
      </c>
      <c r="K34" s="40">
        <v>1.0507973570751734</v>
      </c>
    </row>
    <row r="35" spans="1:11">
      <c r="A35" s="1" t="s">
        <v>125</v>
      </c>
      <c r="B35" s="1" t="s">
        <v>19</v>
      </c>
      <c r="C35" s="1" t="s">
        <v>52</v>
      </c>
      <c r="D35" s="40">
        <v>3.99</v>
      </c>
      <c r="E35" s="40">
        <v>2</v>
      </c>
      <c r="F35" s="40">
        <v>4.2469999999999999</v>
      </c>
      <c r="G35" s="40"/>
      <c r="H35" s="40"/>
      <c r="I35" s="40"/>
      <c r="J35" s="40">
        <v>4.4987637218053917</v>
      </c>
      <c r="K35" s="40">
        <v>1.5832555958430223</v>
      </c>
    </row>
    <row r="36" spans="1:11">
      <c r="A36" s="1" t="s">
        <v>125</v>
      </c>
      <c r="B36" s="1" t="s">
        <v>19</v>
      </c>
      <c r="C36" s="1" t="s">
        <v>53</v>
      </c>
      <c r="D36" s="40">
        <v>3.625</v>
      </c>
      <c r="E36" s="40">
        <v>1.875</v>
      </c>
      <c r="F36" s="40">
        <v>4.4950000000000001</v>
      </c>
      <c r="G36" s="40"/>
      <c r="H36" s="40"/>
      <c r="I36" s="40"/>
      <c r="J36" s="40"/>
      <c r="K36" s="40"/>
    </row>
    <row r="37" spans="1:11">
      <c r="A37" s="1" t="s">
        <v>125</v>
      </c>
      <c r="B37" s="1" t="s">
        <v>17</v>
      </c>
      <c r="C37" s="1" t="s">
        <v>52</v>
      </c>
      <c r="D37" s="40">
        <v>4.125</v>
      </c>
      <c r="E37" s="40">
        <v>0.84399999999999997</v>
      </c>
      <c r="F37" s="40">
        <v>4.2939999999999996</v>
      </c>
      <c r="G37" s="40"/>
      <c r="H37" s="40"/>
      <c r="I37" s="40"/>
      <c r="J37" s="40">
        <v>4.3739421106982554</v>
      </c>
      <c r="K37" s="40">
        <v>1.4584339847358858</v>
      </c>
    </row>
    <row r="38" spans="1:11">
      <c r="A38" s="1" t="s">
        <v>125</v>
      </c>
      <c r="B38" s="1" t="s">
        <v>18</v>
      </c>
      <c r="C38" s="1" t="s">
        <v>52</v>
      </c>
      <c r="D38" s="40">
        <v>4</v>
      </c>
      <c r="E38" s="40">
        <v>0.875</v>
      </c>
      <c r="F38" s="40">
        <v>4.0730000000000004</v>
      </c>
      <c r="G38" s="40"/>
      <c r="H38" s="40"/>
      <c r="I38" s="40"/>
      <c r="J38" s="40">
        <v>3.968948344733974</v>
      </c>
      <c r="K38" s="40">
        <v>1.0534402187716043</v>
      </c>
    </row>
    <row r="56" spans="1:11" ht="19.5">
      <c r="A56" s="189" t="s">
        <v>67</v>
      </c>
      <c r="B56" s="189"/>
      <c r="C56" s="189"/>
      <c r="D56" s="189"/>
      <c r="E56" s="189"/>
      <c r="F56" s="189"/>
      <c r="G56" s="189"/>
      <c r="H56" s="189"/>
      <c r="I56" s="189"/>
      <c r="J56" s="189"/>
      <c r="K56" s="189"/>
    </row>
    <row r="57" spans="1:11">
      <c r="A57" s="39" t="s">
        <v>56</v>
      </c>
      <c r="D57" s="39" t="s">
        <v>47</v>
      </c>
    </row>
    <row r="58" spans="1:11">
      <c r="A58" s="39" t="s">
        <v>49</v>
      </c>
      <c r="B58" s="39" t="s">
        <v>45</v>
      </c>
      <c r="C58" s="39" t="s">
        <v>46</v>
      </c>
      <c r="D58" s="42" t="s">
        <v>25</v>
      </c>
      <c r="E58" s="42" t="s">
        <v>7</v>
      </c>
      <c r="F58" s="42" t="s">
        <v>0</v>
      </c>
      <c r="G58" s="42" t="s">
        <v>40</v>
      </c>
      <c r="H58" s="42" t="s">
        <v>1</v>
      </c>
      <c r="I58" s="42" t="s">
        <v>41</v>
      </c>
      <c r="J58" s="42" t="s">
        <v>72</v>
      </c>
      <c r="K58" s="42" t="s">
        <v>28</v>
      </c>
    </row>
    <row r="59" spans="1:11">
      <c r="A59" s="1" t="s">
        <v>127</v>
      </c>
      <c r="B59" s="1" t="s">
        <v>20</v>
      </c>
      <c r="C59" s="1" t="s">
        <v>52</v>
      </c>
      <c r="D59" s="40">
        <v>4.25</v>
      </c>
      <c r="E59" s="40">
        <v>1</v>
      </c>
      <c r="F59" s="40">
        <v>4.2880000000000003</v>
      </c>
      <c r="G59" s="40">
        <v>2528</v>
      </c>
      <c r="H59" s="40">
        <v>200000</v>
      </c>
      <c r="I59" s="40"/>
      <c r="J59" s="40">
        <v>4.4286731677951829</v>
      </c>
      <c r="K59" s="40">
        <v>1.4517911864446933</v>
      </c>
    </row>
    <row r="60" spans="1:11">
      <c r="A60" s="1" t="s">
        <v>127</v>
      </c>
      <c r="B60" s="1" t="s">
        <v>20</v>
      </c>
      <c r="C60" s="1" t="s">
        <v>53</v>
      </c>
      <c r="D60" s="40">
        <v>4.125</v>
      </c>
      <c r="E60" s="40">
        <v>1</v>
      </c>
      <c r="F60" s="40">
        <v>5.1580000000000004</v>
      </c>
      <c r="G60" s="40">
        <v>6571</v>
      </c>
      <c r="H60" s="40">
        <v>200000</v>
      </c>
      <c r="I60" s="40">
        <v>3500</v>
      </c>
      <c r="J60" s="40">
        <v>4.2588749999999997</v>
      </c>
      <c r="K60" s="40">
        <v>1.4482824952560904</v>
      </c>
    </row>
    <row r="61" spans="1:11">
      <c r="A61" s="1" t="s">
        <v>127</v>
      </c>
      <c r="B61" s="1" t="s">
        <v>20</v>
      </c>
      <c r="C61" s="1" t="s">
        <v>54</v>
      </c>
      <c r="D61" s="40">
        <v>4.25</v>
      </c>
      <c r="E61" s="40">
        <v>1</v>
      </c>
      <c r="F61" s="40">
        <v>4.2590000000000003</v>
      </c>
      <c r="G61" s="40">
        <v>2377</v>
      </c>
      <c r="H61" s="40">
        <v>500000</v>
      </c>
      <c r="I61" s="40"/>
      <c r="J61" s="40">
        <v>4.145604497342033</v>
      </c>
      <c r="K61" s="40">
        <v>1.1687225159915431</v>
      </c>
    </row>
    <row r="62" spans="1:11">
      <c r="A62" s="1" t="s">
        <v>127</v>
      </c>
      <c r="B62" s="1" t="s">
        <v>20</v>
      </c>
      <c r="C62" s="1" t="s">
        <v>55</v>
      </c>
      <c r="D62" s="40">
        <v>4.125</v>
      </c>
      <c r="E62" s="40">
        <v>1</v>
      </c>
      <c r="F62" s="40">
        <v>4.1399999999999997</v>
      </c>
      <c r="G62" s="40">
        <v>4075</v>
      </c>
      <c r="H62" s="40">
        <v>750000</v>
      </c>
      <c r="I62" s="40"/>
      <c r="J62" s="40">
        <v>4.0557276764206129</v>
      </c>
      <c r="K62" s="40">
        <v>1.0788456950701228</v>
      </c>
    </row>
    <row r="63" spans="1:11">
      <c r="A63" s="1" t="s">
        <v>127</v>
      </c>
      <c r="B63" s="1" t="s">
        <v>19</v>
      </c>
      <c r="C63" s="1" t="s">
        <v>52</v>
      </c>
      <c r="D63" s="40">
        <v>3.99</v>
      </c>
      <c r="E63" s="40">
        <v>2.125</v>
      </c>
      <c r="F63" s="40">
        <v>4.2610000000000001</v>
      </c>
      <c r="G63" s="40"/>
      <c r="H63" s="40"/>
      <c r="I63" s="40"/>
      <c r="J63" s="40">
        <v>4.5391078806773386</v>
      </c>
      <c r="K63" s="40">
        <v>1.5622258993268487</v>
      </c>
    </row>
    <row r="64" spans="1:11">
      <c r="A64" s="1" t="s">
        <v>127</v>
      </c>
      <c r="B64" s="1" t="s">
        <v>19</v>
      </c>
      <c r="C64" s="1" t="s">
        <v>53</v>
      </c>
      <c r="D64" s="40">
        <v>3.625</v>
      </c>
      <c r="E64" s="40">
        <v>2.125</v>
      </c>
      <c r="F64" s="40">
        <v>4.5179999999999998</v>
      </c>
      <c r="G64" s="40"/>
      <c r="H64" s="40"/>
      <c r="I64" s="40"/>
      <c r="J64" s="40"/>
      <c r="K64" s="40"/>
    </row>
    <row r="65" spans="1:15">
      <c r="A65" s="1" t="s">
        <v>127</v>
      </c>
      <c r="B65" s="1" t="s">
        <v>17</v>
      </c>
      <c r="C65" s="1" t="s">
        <v>52</v>
      </c>
      <c r="D65" s="40">
        <v>4.125</v>
      </c>
      <c r="E65" s="40">
        <v>1.113</v>
      </c>
      <c r="F65" s="40">
        <v>4.3170000000000002</v>
      </c>
      <c r="G65" s="40"/>
      <c r="H65" s="40"/>
      <c r="I65" s="40"/>
      <c r="J65" s="40">
        <v>4.4406945858636773</v>
      </c>
      <c r="K65" s="40">
        <v>1.4638126045131872</v>
      </c>
    </row>
    <row r="66" spans="1:15">
      <c r="A66" s="1" t="s">
        <v>127</v>
      </c>
      <c r="B66" s="1" t="s">
        <v>18</v>
      </c>
      <c r="C66" s="1" t="s">
        <v>52</v>
      </c>
      <c r="D66" s="40">
        <v>4</v>
      </c>
      <c r="E66" s="40">
        <v>1.25</v>
      </c>
      <c r="F66" s="40">
        <v>4.1040000000000001</v>
      </c>
      <c r="G66" s="40"/>
      <c r="H66" s="40"/>
      <c r="I66" s="40"/>
      <c r="J66" s="40">
        <v>4.0610656170015185</v>
      </c>
      <c r="K66" s="40">
        <v>1.0841836356510286</v>
      </c>
    </row>
    <row r="77" spans="1:15" ht="19.5">
      <c r="A77" s="189" t="s">
        <v>77</v>
      </c>
      <c r="B77" s="189"/>
      <c r="C77" s="189"/>
      <c r="D77" s="189"/>
      <c r="E77" s="189"/>
      <c r="M77" s="189" t="s">
        <v>89</v>
      </c>
      <c r="N77" s="189"/>
      <c r="O77" s="189"/>
    </row>
    <row r="78" spans="1:15">
      <c r="A78" s="39" t="s">
        <v>78</v>
      </c>
      <c r="M78" s="39" t="s">
        <v>78</v>
      </c>
    </row>
    <row r="79" spans="1:15">
      <c r="B79" s="1" t="s">
        <v>79</v>
      </c>
      <c r="C79" s="1" t="s">
        <v>80</v>
      </c>
      <c r="D79" s="1" t="s">
        <v>81</v>
      </c>
      <c r="E79" s="1" t="s">
        <v>82</v>
      </c>
      <c r="N79" s="1" t="s">
        <v>91</v>
      </c>
      <c r="O79" s="1" t="s">
        <v>90</v>
      </c>
    </row>
    <row r="80" spans="1:15">
      <c r="A80" s="117" t="s">
        <v>130</v>
      </c>
      <c r="B80" s="40">
        <v>4.2109722530911462</v>
      </c>
      <c r="C80" s="40">
        <v>4.0036250000000004</v>
      </c>
      <c r="D80" s="40">
        <v>4.123888942161555</v>
      </c>
      <c r="E80" s="40">
        <v>3.9170666666666665</v>
      </c>
      <c r="M80" s="117" t="s">
        <v>130</v>
      </c>
      <c r="N80" s="40">
        <v>2.8341999400292899</v>
      </c>
      <c r="O80" s="40">
        <v>1.3767723130618554</v>
      </c>
    </row>
    <row r="81" spans="1:15">
      <c r="A81" s="117" t="s">
        <v>131</v>
      </c>
      <c r="B81" s="40">
        <v>4.2092383259139474</v>
      </c>
      <c r="C81" s="40">
        <v>4.0036250000000004</v>
      </c>
      <c r="D81" s="40">
        <v>4.123888942161555</v>
      </c>
      <c r="E81" s="40">
        <v>3.9170666666666665</v>
      </c>
      <c r="M81" s="117" t="s">
        <v>131</v>
      </c>
      <c r="N81" s="40">
        <v>2.8241837227534399</v>
      </c>
      <c r="O81" s="40">
        <v>1.3850546031605075</v>
      </c>
    </row>
    <row r="82" spans="1:15">
      <c r="A82" s="117" t="s">
        <v>132</v>
      </c>
      <c r="B82" s="40">
        <v>4.1848202800158329</v>
      </c>
      <c r="C82" s="40">
        <v>3.9717500000000001</v>
      </c>
      <c r="D82" s="40">
        <v>4.123888942161555</v>
      </c>
      <c r="E82" s="40">
        <v>3.9170666666666665</v>
      </c>
      <c r="M82" s="117" t="s">
        <v>132</v>
      </c>
      <c r="N82" s="40">
        <v>2.81556157497667</v>
      </c>
      <c r="O82" s="40">
        <v>1.3692587050391631</v>
      </c>
    </row>
    <row r="83" spans="1:15">
      <c r="A83" s="117" t="s">
        <v>133</v>
      </c>
      <c r="B83" s="40">
        <v>4.2793845467200686</v>
      </c>
      <c r="C83" s="40">
        <v>4.0676249999999996</v>
      </c>
      <c r="D83" s="40">
        <v>4.145604497342033</v>
      </c>
      <c r="E83" s="40">
        <v>3.9975388163708763</v>
      </c>
      <c r="M83" s="117" t="s">
        <v>133</v>
      </c>
      <c r="N83" s="40">
        <v>2.9303170109018999</v>
      </c>
      <c r="O83" s="40">
        <v>1.3490675358181696</v>
      </c>
    </row>
    <row r="84" spans="1:15">
      <c r="A84" s="117" t="s">
        <v>134</v>
      </c>
      <c r="B84" s="40">
        <v>4.2526168084086038</v>
      </c>
      <c r="C84" s="40">
        <v>4.0353750000000002</v>
      </c>
      <c r="D84" s="40">
        <v>4.0563500000000001</v>
      </c>
      <c r="E84" s="40">
        <v>3.9543261870321942</v>
      </c>
      <c r="M84" s="117" t="s">
        <v>134</v>
      </c>
      <c r="N84" s="40">
        <v>2.90222752352993</v>
      </c>
      <c r="O84" s="40">
        <v>1.350389284878674</v>
      </c>
    </row>
    <row r="85" spans="1:15">
      <c r="A85" s="117" t="s">
        <v>135</v>
      </c>
      <c r="B85" s="40">
        <v>4.1948574056984462</v>
      </c>
      <c r="C85" s="40">
        <v>4.0353750000000002</v>
      </c>
      <c r="D85" s="40">
        <v>4.0251000000000001</v>
      </c>
      <c r="E85" s="40">
        <v>3.929789796110164</v>
      </c>
      <c r="M85" s="117" t="s">
        <v>135</v>
      </c>
      <c r="N85" s="40">
        <v>2.84635033680676</v>
      </c>
      <c r="O85" s="40">
        <v>1.3485070688916867</v>
      </c>
    </row>
    <row r="86" spans="1:15">
      <c r="A86" s="117" t="s">
        <v>136</v>
      </c>
      <c r="B86" s="40">
        <v>4.183912785416835</v>
      </c>
      <c r="C86" s="40">
        <v>4.0036250000000004</v>
      </c>
      <c r="D86" s="40">
        <v>4.123888942161555</v>
      </c>
      <c r="E86" s="40">
        <v>3.929789796110164</v>
      </c>
      <c r="M86" s="117" t="s">
        <v>136</v>
      </c>
      <c r="N86" s="40">
        <v>2.8278353033181198</v>
      </c>
      <c r="O86" s="40">
        <v>1.3560774820987149</v>
      </c>
    </row>
    <row r="87" spans="1:15">
      <c r="A87" s="117" t="s">
        <v>137</v>
      </c>
      <c r="B87" s="40">
        <v>4.1580287281176718</v>
      </c>
      <c r="C87" s="40">
        <v>3.9717500000000001</v>
      </c>
      <c r="D87" s="40">
        <v>4.0195510152855149</v>
      </c>
      <c r="E87" s="40">
        <v>3.8281034376602534</v>
      </c>
      <c r="M87" s="117" t="s">
        <v>137</v>
      </c>
      <c r="N87" s="40">
        <v>2.8138191102539798</v>
      </c>
      <c r="O87" s="40">
        <v>1.344209617863692</v>
      </c>
    </row>
    <row r="88" spans="1:15">
      <c r="A88" s="117" t="s">
        <v>138</v>
      </c>
      <c r="B88" s="40">
        <v>4.1711206525116253</v>
      </c>
      <c r="C88" s="40">
        <v>4.0036250000000004</v>
      </c>
      <c r="D88" s="40">
        <v>4.123888942161555</v>
      </c>
      <c r="E88" s="40">
        <v>3.8714038285041039</v>
      </c>
      <c r="M88" s="117" t="s">
        <v>138</v>
      </c>
      <c r="N88" s="40">
        <v>2.8315057491425</v>
      </c>
      <c r="O88" s="40">
        <v>1.3396149033691263</v>
      </c>
    </row>
    <row r="89" spans="1:15" ht="15.75" customHeight="1">
      <c r="A89" s="117" t="s">
        <v>139</v>
      </c>
      <c r="B89" s="40">
        <v>4.1349192739455276</v>
      </c>
      <c r="C89" s="40">
        <v>3.9717500000000001</v>
      </c>
      <c r="D89" s="40">
        <v>3.9301000000000004</v>
      </c>
      <c r="E89" s="40">
        <v>3.8281034376602534</v>
      </c>
      <c r="M89" s="117" t="s">
        <v>139</v>
      </c>
      <c r="N89" s="40">
        <v>2.8241768518279202</v>
      </c>
      <c r="O89" s="40">
        <v>1.3107424221176069</v>
      </c>
    </row>
    <row r="90" spans="1:15">
      <c r="A90" s="117" t="s">
        <v>140</v>
      </c>
      <c r="B90" s="40">
        <v>4.1195438104816251</v>
      </c>
      <c r="C90" s="40">
        <v>3.9717500000000001</v>
      </c>
      <c r="D90" s="40">
        <v>3.8988500000000004</v>
      </c>
      <c r="E90" s="40">
        <v>3.7907999999999999</v>
      </c>
      <c r="M90" s="117" t="s">
        <v>140</v>
      </c>
      <c r="N90" s="40">
        <v>2.79584100930466</v>
      </c>
      <c r="O90" s="40">
        <v>1.3237028011769647</v>
      </c>
    </row>
    <row r="91" spans="1:15">
      <c r="A91" s="117" t="s">
        <v>141</v>
      </c>
      <c r="B91" s="40">
        <v>4.0625796613669598</v>
      </c>
      <c r="C91" s="40">
        <v>3.8759999999999994</v>
      </c>
      <c r="D91" s="40">
        <v>3.9367503938171491</v>
      </c>
      <c r="E91" s="40">
        <v>3.7452361066975079</v>
      </c>
      <c r="M91" s="117" t="s">
        <v>141</v>
      </c>
      <c r="N91" s="40">
        <v>2.6928489030954199</v>
      </c>
      <c r="O91" s="40">
        <v>1.3697307582715406</v>
      </c>
    </row>
    <row r="92" spans="1:15">
      <c r="A92" s="117" t="s">
        <v>142</v>
      </c>
      <c r="B92" s="40">
        <v>4.0272197213430534</v>
      </c>
      <c r="C92" s="40">
        <v>3.8441249999999996</v>
      </c>
      <c r="D92" s="40">
        <v>3.872298391426404</v>
      </c>
      <c r="E92" s="40">
        <v>3.701847554934004</v>
      </c>
      <c r="M92" s="117" t="s">
        <v>142</v>
      </c>
      <c r="N92" s="40">
        <v>2.70955656376128</v>
      </c>
      <c r="O92" s="40">
        <v>1.3176631575817741</v>
      </c>
    </row>
    <row r="93" spans="1:15">
      <c r="A93" s="117" t="s">
        <v>143</v>
      </c>
      <c r="B93" s="40">
        <v>4.0522074267600177</v>
      </c>
      <c r="C93" s="40">
        <v>3.9077500000000001</v>
      </c>
      <c r="D93" s="40">
        <v>3.9367503938171491</v>
      </c>
      <c r="E93" s="40">
        <v>3.7452361066975079</v>
      </c>
      <c r="M93" s="117" t="s">
        <v>143</v>
      </c>
      <c r="N93" s="40">
        <v>2.6717729385436999</v>
      </c>
      <c r="O93" s="40">
        <v>1.380434488216318</v>
      </c>
    </row>
    <row r="94" spans="1:15">
      <c r="A94" s="117" t="s">
        <v>144</v>
      </c>
      <c r="B94" s="40">
        <v>4.0183878599642231</v>
      </c>
      <c r="C94" s="40">
        <v>3.8759999999999994</v>
      </c>
      <c r="D94" s="40">
        <v>3.872298391426404</v>
      </c>
      <c r="E94" s="40">
        <v>3.7452361066975079</v>
      </c>
      <c r="M94" s="117" t="s">
        <v>144</v>
      </c>
      <c r="N94" s="40">
        <v>2.6575094779916602</v>
      </c>
      <c r="O94" s="40">
        <v>1.3608783819725627</v>
      </c>
    </row>
    <row r="95" spans="1:15">
      <c r="A95" s="117" t="s">
        <v>145</v>
      </c>
      <c r="B95" s="40">
        <v>3.9852298964584785</v>
      </c>
      <c r="C95" s="40">
        <v>3.8441249999999996</v>
      </c>
      <c r="D95" s="40">
        <v>3.8107367176633482</v>
      </c>
      <c r="E95" s="40">
        <v>3.7907999999999999</v>
      </c>
      <c r="M95" s="117" t="s">
        <v>145</v>
      </c>
      <c r="N95" s="40">
        <v>2.60984671554638</v>
      </c>
      <c r="O95" s="40">
        <v>1.3753831809120984</v>
      </c>
    </row>
    <row r="96" spans="1:15">
      <c r="A96" s="117" t="s">
        <v>146</v>
      </c>
      <c r="B96" s="40">
        <v>4.0086704188015165</v>
      </c>
      <c r="C96" s="40">
        <v>3.8441249999999996</v>
      </c>
      <c r="D96" s="40">
        <v>3.872298391426404</v>
      </c>
      <c r="E96" s="40">
        <v>3.8281034376602534</v>
      </c>
      <c r="M96" s="117" t="s">
        <v>146</v>
      </c>
      <c r="N96" s="40">
        <v>2.6641693960453199</v>
      </c>
      <c r="O96" s="40">
        <v>1.3445010227561975</v>
      </c>
    </row>
    <row r="97" spans="1:15">
      <c r="A97" s="117" t="s">
        <v>147</v>
      </c>
      <c r="B97" s="40">
        <v>4.133340061547397</v>
      </c>
      <c r="C97" s="40">
        <v>3.9077500000000001</v>
      </c>
      <c r="D97" s="40">
        <v>3.9367503938171491</v>
      </c>
      <c r="E97" s="40">
        <v>3.8714038285041039</v>
      </c>
      <c r="M97" s="117" t="s">
        <v>147</v>
      </c>
      <c r="N97" s="40">
        <v>2.7519990602785001</v>
      </c>
      <c r="O97" s="40">
        <v>1.3813410012688965</v>
      </c>
    </row>
    <row r="98" spans="1:15">
      <c r="A98" s="117" t="s">
        <v>148</v>
      </c>
      <c r="B98" s="40">
        <v>4.1023271797597225</v>
      </c>
      <c r="C98" s="40">
        <v>3.9077500000000001</v>
      </c>
      <c r="D98" s="40">
        <v>3.9980925223663326</v>
      </c>
      <c r="E98" s="40">
        <v>3.8714038285041039</v>
      </c>
      <c r="M98" s="117" t="s">
        <v>148</v>
      </c>
      <c r="N98" s="40">
        <v>2.6934832462996599</v>
      </c>
      <c r="O98" s="40">
        <v>1.4088439334600631</v>
      </c>
    </row>
    <row r="99" spans="1:15">
      <c r="A99" s="117" t="s">
        <v>149</v>
      </c>
      <c r="B99" s="40">
        <v>4.0736179989078529</v>
      </c>
      <c r="C99" s="40">
        <v>3.9077500000000001</v>
      </c>
      <c r="D99" s="40">
        <v>3.9367503938171491</v>
      </c>
      <c r="E99" s="40">
        <v>3.8714038285041039</v>
      </c>
      <c r="M99" s="117" t="s">
        <v>149</v>
      </c>
      <c r="N99" s="40">
        <v>2.6906214304432701</v>
      </c>
      <c r="O99" s="40">
        <v>1.3829965684645829</v>
      </c>
    </row>
    <row r="100" spans="1:15">
      <c r="A100" s="117" t="s">
        <v>150</v>
      </c>
      <c r="B100" s="40">
        <v>4.0714417710088808</v>
      </c>
      <c r="C100" s="40">
        <v>3.8759999999999994</v>
      </c>
      <c r="D100" s="40">
        <v>3.872298391426404</v>
      </c>
      <c r="E100" s="40">
        <v>3.8714038285041039</v>
      </c>
      <c r="M100" s="117" t="s">
        <v>150</v>
      </c>
      <c r="N100" s="40">
        <v>2.66103516127894</v>
      </c>
      <c r="O100" s="40">
        <v>1.4104066097299408</v>
      </c>
    </row>
    <row r="101" spans="1:15">
      <c r="A101" s="117" t="s">
        <v>151</v>
      </c>
      <c r="B101" s="40">
        <v>4.0407390738732358</v>
      </c>
      <c r="C101" s="40">
        <v>3.8123749999999998</v>
      </c>
      <c r="D101" s="40">
        <v>3.7673467858228435</v>
      </c>
      <c r="E101" s="40">
        <v>3.7907999999999999</v>
      </c>
      <c r="M101" s="117" t="s">
        <v>151</v>
      </c>
      <c r="N101" s="40">
        <v>2.5992657753902901</v>
      </c>
      <c r="O101" s="40">
        <v>1.4414732984829457</v>
      </c>
    </row>
    <row r="102" spans="1:15">
      <c r="A102" s="117" t="s">
        <v>152</v>
      </c>
      <c r="B102" s="40">
        <v>4.0497476246961881</v>
      </c>
      <c r="C102" s="40">
        <v>3.7805</v>
      </c>
      <c r="D102" s="40">
        <v>3.7673467858228435</v>
      </c>
      <c r="E102" s="40">
        <v>3.7907999999999999</v>
      </c>
      <c r="M102" s="117" t="s">
        <v>152</v>
      </c>
      <c r="N102" s="40">
        <v>2.6512826680006101</v>
      </c>
      <c r="O102" s="40">
        <v>1.3984649566955778</v>
      </c>
    </row>
    <row r="103" spans="1:15">
      <c r="A103" s="117" t="s">
        <v>153</v>
      </c>
      <c r="B103" s="40">
        <v>4.0184302716039797</v>
      </c>
      <c r="C103" s="40">
        <v>3.7805</v>
      </c>
      <c r="D103" s="40">
        <v>3.7178705124641254</v>
      </c>
      <c r="E103" s="40">
        <v>3.8038200779030156</v>
      </c>
      <c r="M103" s="117" t="s">
        <v>153</v>
      </c>
      <c r="N103" s="40">
        <v>2.5908884215358099</v>
      </c>
      <c r="O103" s="40">
        <v>1.4275418500681698</v>
      </c>
    </row>
    <row r="104" spans="1:15">
      <c r="A104" s="117" t="s">
        <v>154</v>
      </c>
      <c r="B104" s="40">
        <v>4.0686879947021506</v>
      </c>
      <c r="C104" s="40">
        <v>3.964</v>
      </c>
      <c r="D104" s="40">
        <v>3.8662066882918835</v>
      </c>
      <c r="E104" s="40">
        <v>3.6708585343811904</v>
      </c>
      <c r="M104" s="117" t="s">
        <v>154</v>
      </c>
      <c r="N104" s="40">
        <v>2.63391710374052</v>
      </c>
      <c r="O104" s="40">
        <v>1.4347708909616306</v>
      </c>
    </row>
    <row r="105" spans="1:15">
      <c r="A105" s="117" t="s">
        <v>155</v>
      </c>
      <c r="B105" s="40">
        <v>4.0832773999934098</v>
      </c>
      <c r="C105" s="40">
        <v>3.964</v>
      </c>
      <c r="D105" s="40">
        <v>3.8662066882918835</v>
      </c>
      <c r="E105" s="40">
        <v>3.6708585343811904</v>
      </c>
      <c r="M105" s="117" t="s">
        <v>155</v>
      </c>
      <c r="N105" s="40">
        <v>2.6287824588785198</v>
      </c>
      <c r="O105" s="40">
        <v>1.45449494111489</v>
      </c>
    </row>
    <row r="106" spans="1:15">
      <c r="A106" s="117" t="s">
        <v>156</v>
      </c>
      <c r="B106" s="40">
        <v>4.0487453173162224</v>
      </c>
      <c r="C106" s="40">
        <v>4.0271249999999998</v>
      </c>
      <c r="D106" s="40">
        <v>3.804430007719005</v>
      </c>
      <c r="E106" s="40">
        <v>3.6708585343811904</v>
      </c>
      <c r="M106" s="117" t="s">
        <v>156</v>
      </c>
      <c r="N106" s="40">
        <v>2.62032151165119</v>
      </c>
      <c r="O106" s="40">
        <v>1.4284238056650325</v>
      </c>
    </row>
    <row r="107" spans="1:15">
      <c r="A107" s="117" t="s">
        <v>157</v>
      </c>
      <c r="B107" s="40">
        <v>4.081627655506578</v>
      </c>
      <c r="C107" s="40">
        <v>3.9634999999999998</v>
      </c>
      <c r="D107" s="40">
        <v>3.7609539039308504</v>
      </c>
      <c r="E107" s="40">
        <v>3.6708585343811904</v>
      </c>
      <c r="M107" s="117" t="s">
        <v>157</v>
      </c>
      <c r="N107" s="40">
        <v>2.6476582784281</v>
      </c>
      <c r="O107" s="40">
        <v>1.4339693770784783</v>
      </c>
    </row>
    <row r="108" spans="1:15">
      <c r="A108" s="117" t="s">
        <v>158</v>
      </c>
      <c r="B108" s="40">
        <v>4.0659316584268881</v>
      </c>
      <c r="C108" s="40">
        <v>4.0271249999999998</v>
      </c>
      <c r="D108" s="40">
        <v>3.8662066882918835</v>
      </c>
      <c r="E108" s="40">
        <v>3.6708585343811904</v>
      </c>
      <c r="M108" s="117" t="s">
        <v>158</v>
      </c>
      <c r="N108" s="40">
        <v>2.6673945625319102</v>
      </c>
      <c r="O108" s="40">
        <v>1.3985370958949779</v>
      </c>
    </row>
    <row r="109" spans="1:15">
      <c r="A109" s="117" t="s">
        <v>159</v>
      </c>
      <c r="B109" s="40">
        <v>4.0555237007239207</v>
      </c>
      <c r="C109" s="40">
        <v>4.0271249999999998</v>
      </c>
      <c r="D109" s="40">
        <v>3.8662066882918835</v>
      </c>
      <c r="E109" s="40">
        <v>3.7143356375412493</v>
      </c>
      <c r="M109" s="117" t="s">
        <v>159</v>
      </c>
      <c r="N109" s="40">
        <v>2.64134045041691</v>
      </c>
      <c r="O109" s="40">
        <v>1.4141832503070106</v>
      </c>
    </row>
    <row r="110" spans="1:15">
      <c r="A110" s="117" t="s">
        <v>160</v>
      </c>
      <c r="B110" s="40">
        <v>4.0368826735599121</v>
      </c>
      <c r="C110" s="40">
        <v>3.8995000000000002</v>
      </c>
      <c r="D110" s="40">
        <v>3.7113481910264978</v>
      </c>
      <c r="E110" s="40">
        <v>3.6334666666666666</v>
      </c>
      <c r="M110" s="117" t="s">
        <v>160</v>
      </c>
      <c r="N110" s="40">
        <v>2.5968587672613901</v>
      </c>
      <c r="O110" s="40">
        <v>1.4400239062985229</v>
      </c>
    </row>
    <row r="111" spans="1:15">
      <c r="A111" s="117" t="s">
        <v>161</v>
      </c>
      <c r="B111" s="40">
        <v>4.0612395217521149</v>
      </c>
      <c r="C111" s="40">
        <v>3.8995000000000002</v>
      </c>
      <c r="D111" s="40">
        <v>3.804430007719005</v>
      </c>
      <c r="E111" s="40">
        <v>3.6334666666666666</v>
      </c>
      <c r="M111" s="117" t="s">
        <v>161</v>
      </c>
      <c r="N111" s="40">
        <v>2.58469358456979</v>
      </c>
      <c r="O111" s="40">
        <v>1.4765459371823244</v>
      </c>
    </row>
    <row r="112" spans="1:15">
      <c r="A112" s="117" t="s">
        <v>162</v>
      </c>
      <c r="B112" s="40">
        <v>4.0575599907953466</v>
      </c>
      <c r="C112" s="40">
        <v>3.9634999999999998</v>
      </c>
      <c r="D112" s="40">
        <v>3.804430007719005</v>
      </c>
      <c r="E112" s="40">
        <v>3.6334666666666666</v>
      </c>
      <c r="M112" s="117" t="s">
        <v>162</v>
      </c>
      <c r="N112" s="40">
        <v>2.5759029417987498</v>
      </c>
      <c r="O112" s="40">
        <v>1.4816570489965968</v>
      </c>
    </row>
    <row r="113" spans="1:15">
      <c r="A113" s="117" t="s">
        <v>163</v>
      </c>
      <c r="B113" s="40">
        <v>4.0225179325894045</v>
      </c>
      <c r="C113" s="40">
        <v>3.9634999999999998</v>
      </c>
      <c r="D113" s="40">
        <v>3.8662066882918835</v>
      </c>
      <c r="E113" s="40">
        <v>3.6334666666666666</v>
      </c>
      <c r="M113" s="117" t="s">
        <v>163</v>
      </c>
      <c r="N113" s="40">
        <v>2.56712042045777</v>
      </c>
      <c r="O113" s="40">
        <v>1.4553975121316345</v>
      </c>
    </row>
    <row r="114" spans="1:15">
      <c r="A114" s="117" t="s">
        <v>164</v>
      </c>
      <c r="B114" s="40">
        <v>4.047073769815273</v>
      </c>
      <c r="C114" s="40">
        <v>3.8995000000000002</v>
      </c>
      <c r="D114" s="40">
        <v>3.804430007719005</v>
      </c>
      <c r="E114" s="40">
        <v>3.6334666666666666</v>
      </c>
      <c r="M114" s="117" t="s">
        <v>164</v>
      </c>
      <c r="N114" s="40">
        <v>2.59858921707026</v>
      </c>
      <c r="O114" s="40">
        <v>1.4484845527450128</v>
      </c>
    </row>
    <row r="115" spans="1:15">
      <c r="A115" s="117" t="s">
        <v>165</v>
      </c>
      <c r="B115" s="40">
        <v>4.0415040358882131</v>
      </c>
      <c r="C115" s="40">
        <v>3.9634999999999998</v>
      </c>
      <c r="D115" s="40">
        <v>3.8662066882918835</v>
      </c>
      <c r="E115" s="40">
        <v>3.6334666666666666</v>
      </c>
      <c r="M115" s="117" t="s">
        <v>165</v>
      </c>
      <c r="N115" s="40">
        <v>2.62252108008507</v>
      </c>
      <c r="O115" s="40">
        <v>1.4189829558031428</v>
      </c>
    </row>
    <row r="116" spans="1:15">
      <c r="A116" s="117" t="s">
        <v>166</v>
      </c>
      <c r="B116" s="40">
        <v>4.0709250025615749</v>
      </c>
      <c r="C116" s="40">
        <v>4.0271249999999998</v>
      </c>
      <c r="D116" s="40">
        <v>3.8375095901912939</v>
      </c>
      <c r="E116" s="40">
        <v>3.7597333333333331</v>
      </c>
      <c r="M116" s="117" t="s">
        <v>166</v>
      </c>
      <c r="N116" s="40">
        <v>2.6753264137467299</v>
      </c>
      <c r="O116" s="40">
        <v>1.3955985888148446</v>
      </c>
    </row>
    <row r="117" spans="1:15">
      <c r="A117" s="117" t="s">
        <v>167</v>
      </c>
      <c r="B117" s="40">
        <v>4.0590200464742132</v>
      </c>
      <c r="C117" s="40">
        <v>4.0271249999999998</v>
      </c>
      <c r="D117" s="40">
        <v>3.8869825871584012</v>
      </c>
      <c r="E117" s="40">
        <v>3.7597333333333331</v>
      </c>
      <c r="M117" s="117" t="s">
        <v>167</v>
      </c>
      <c r="N117" s="40">
        <v>2.6562875815293401</v>
      </c>
      <c r="O117" s="40">
        <v>1.4027324649448731</v>
      </c>
    </row>
    <row r="118" spans="1:15">
      <c r="A118" s="117" t="s">
        <v>168</v>
      </c>
      <c r="B118" s="40">
        <v>4.0582853232102964</v>
      </c>
      <c r="C118" s="40">
        <v>3.9953749999999997</v>
      </c>
      <c r="D118" s="40">
        <v>3.8375095901912939</v>
      </c>
      <c r="E118" s="40">
        <v>3.7143356375412493</v>
      </c>
      <c r="M118" s="117" t="s">
        <v>168</v>
      </c>
      <c r="N118" s="40">
        <v>2.62955921776924</v>
      </c>
      <c r="O118" s="40">
        <v>1.4287261054410563</v>
      </c>
    </row>
    <row r="119" spans="1:15">
      <c r="A119" s="117" t="s">
        <v>169</v>
      </c>
      <c r="B119" s="40">
        <v>4.0433720320738056</v>
      </c>
      <c r="C119" s="40">
        <v>4.0271249999999998</v>
      </c>
      <c r="D119" s="40">
        <v>3.8375095901912939</v>
      </c>
      <c r="E119" s="40">
        <v>3.7143356375412493</v>
      </c>
      <c r="M119" s="117" t="s">
        <v>169</v>
      </c>
      <c r="N119" s="40">
        <v>2.6437338504186898</v>
      </c>
      <c r="O119" s="40">
        <v>1.399638181655116</v>
      </c>
    </row>
    <row r="120" spans="1:15">
      <c r="A120" s="117" t="s">
        <v>170</v>
      </c>
      <c r="B120" s="40">
        <v>4.095665958992865</v>
      </c>
      <c r="C120" s="40">
        <v>3.9321250000000001</v>
      </c>
      <c r="D120" s="40">
        <v>3.9303703370483709</v>
      </c>
      <c r="E120" s="40">
        <v>3.7143356375412493</v>
      </c>
      <c r="M120" s="117" t="s">
        <v>170</v>
      </c>
      <c r="N120" s="40">
        <v>2.6991414546305501</v>
      </c>
      <c r="O120" s="40">
        <v>1.3965245043623147</v>
      </c>
    </row>
    <row r="121" spans="1:15">
      <c r="A121" s="117" t="s">
        <v>171</v>
      </c>
      <c r="B121" s="40">
        <v>4.1518717849292841</v>
      </c>
      <c r="C121" s="40">
        <v>4.0274999999999999</v>
      </c>
      <c r="D121" s="40">
        <v>4.117698774030444</v>
      </c>
      <c r="E121" s="40">
        <v>3.7970808882673373</v>
      </c>
      <c r="M121" s="117" t="s">
        <v>171</v>
      </c>
      <c r="N121" s="40">
        <v>2.7467458715573199</v>
      </c>
      <c r="O121" s="40">
        <v>1.4051259133719631</v>
      </c>
    </row>
    <row r="122" spans="1:15">
      <c r="A122" s="117" t="s">
        <v>172</v>
      </c>
      <c r="B122" s="40">
        <v>4.1403416826452109</v>
      </c>
      <c r="C122" s="40">
        <v>3.9957500000000001</v>
      </c>
      <c r="D122" s="40">
        <v>4.0563620311709938</v>
      </c>
      <c r="E122" s="40">
        <v>3.7970808882673373</v>
      </c>
      <c r="M122" s="117" t="s">
        <v>172</v>
      </c>
      <c r="N122" s="40">
        <v>2.7480147229669498</v>
      </c>
      <c r="O122" s="40">
        <v>1.392326959678261</v>
      </c>
    </row>
    <row r="123" spans="1:15">
      <c r="A123" s="117" t="s">
        <v>173</v>
      </c>
      <c r="B123" s="40">
        <v>4.1440136116171136</v>
      </c>
      <c r="C123" s="40">
        <v>3.9957500000000001</v>
      </c>
      <c r="D123" s="40">
        <v>4.0563620311709938</v>
      </c>
      <c r="E123" s="40">
        <v>3.7970808882673373</v>
      </c>
      <c r="M123" s="117" t="s">
        <v>173</v>
      </c>
      <c r="N123" s="40">
        <v>2.8064099070641602</v>
      </c>
      <c r="O123" s="40">
        <v>1.3376037045529532</v>
      </c>
    </row>
    <row r="124" spans="1:15">
      <c r="A124" s="117" t="s">
        <v>174</v>
      </c>
      <c r="B124" s="40">
        <v>4.1799628612746957</v>
      </c>
      <c r="C124" s="40">
        <v>4.0593750000000002</v>
      </c>
      <c r="D124" s="40">
        <v>4.117698774030444</v>
      </c>
      <c r="E124" s="40">
        <v>3.7970808882673373</v>
      </c>
      <c r="M124" s="117" t="s">
        <v>174</v>
      </c>
      <c r="N124" s="40">
        <v>2.8416760056146502</v>
      </c>
      <c r="O124" s="40">
        <v>1.3382868556600449</v>
      </c>
    </row>
    <row r="125" spans="1:15">
      <c r="A125" s="117" t="s">
        <v>175</v>
      </c>
      <c r="B125" s="40">
        <v>4.2347543125726199</v>
      </c>
      <c r="C125" s="40">
        <v>4.0911249999999999</v>
      </c>
      <c r="D125" s="40">
        <v>4.0154500000000004</v>
      </c>
      <c r="E125" s="40">
        <v>3.8404694400308417</v>
      </c>
      <c r="M125" s="117" t="s">
        <v>175</v>
      </c>
      <c r="N125" s="40">
        <v>2.8756484754346898</v>
      </c>
      <c r="O125" s="40">
        <v>1.3591058371379292</v>
      </c>
    </row>
    <row r="126" spans="1:15">
      <c r="A126" s="117" t="s">
        <v>176</v>
      </c>
      <c r="B126" s="40">
        <v>4.2681737145446403</v>
      </c>
      <c r="C126" s="40">
        <v>4.1547499999999999</v>
      </c>
      <c r="D126" s="40">
        <v>4.0899335699667727</v>
      </c>
      <c r="E126" s="40">
        <v>3.9020859403395352</v>
      </c>
      <c r="M126" s="117" t="s">
        <v>176</v>
      </c>
      <c r="N126" s="40">
        <v>2.91930519695658</v>
      </c>
      <c r="O126" s="40">
        <v>1.3488685175880604</v>
      </c>
    </row>
    <row r="127" spans="1:15">
      <c r="A127" s="117" t="s">
        <v>177</v>
      </c>
      <c r="B127" s="40">
        <v>4.2810922266017739</v>
      </c>
      <c r="C127" s="40">
        <v>4.1547499999999999</v>
      </c>
      <c r="D127" s="40">
        <v>4.1391429031887403</v>
      </c>
      <c r="E127" s="40">
        <v>3.9020859403395352</v>
      </c>
      <c r="M127" s="117" t="s">
        <v>177</v>
      </c>
      <c r="N127" s="40">
        <v>2.86177796804412</v>
      </c>
      <c r="O127" s="40">
        <v>1.4193142585576541</v>
      </c>
    </row>
    <row r="128" spans="1:15">
      <c r="A128" s="117" t="s">
        <v>178</v>
      </c>
      <c r="B128" s="40">
        <v>4.1649795879680038</v>
      </c>
      <c r="C128" s="40">
        <v>4.0274999999999999</v>
      </c>
      <c r="D128" s="40">
        <v>4.117698774030444</v>
      </c>
      <c r="E128" s="40">
        <v>3.7970808882673373</v>
      </c>
      <c r="M128" s="117" t="s">
        <v>178</v>
      </c>
      <c r="N128" s="40">
        <v>2.8101076932532698</v>
      </c>
      <c r="O128" s="40">
        <v>1.3548718947147338</v>
      </c>
    </row>
    <row r="129" spans="1:15">
      <c r="A129" s="117" t="s">
        <v>179</v>
      </c>
      <c r="B129" s="40">
        <v>4.2379897525498276</v>
      </c>
      <c r="C129" s="40">
        <v>4.1229999999999993</v>
      </c>
      <c r="D129" s="40">
        <v>4.0899335699667727</v>
      </c>
      <c r="E129" s="40">
        <v>3.8860333333333337</v>
      </c>
      <c r="M129" s="117" t="s">
        <v>179</v>
      </c>
      <c r="N129" s="40">
        <v>2.9199815904284798</v>
      </c>
      <c r="O129" s="40">
        <v>1.3180081621213482</v>
      </c>
    </row>
    <row r="130" spans="1:15">
      <c r="A130" s="117" t="s">
        <v>180</v>
      </c>
      <c r="B130" s="40">
        <v>4.2264521189694744</v>
      </c>
      <c r="C130" s="40">
        <v>4.1229999999999993</v>
      </c>
      <c r="D130" s="40">
        <v>4.1823551213488175</v>
      </c>
      <c r="E130" s="40">
        <v>3.9233367709935867</v>
      </c>
      <c r="M130" s="117" t="s">
        <v>180</v>
      </c>
      <c r="N130" s="40">
        <v>2.9362897451124002</v>
      </c>
      <c r="O130" s="40">
        <v>1.2901623738570742</v>
      </c>
    </row>
    <row r="131" spans="1:15">
      <c r="A131" s="117" t="s">
        <v>181</v>
      </c>
      <c r="B131" s="40">
        <v>4.2344098452321184</v>
      </c>
      <c r="C131" s="40">
        <v>4.1547499999999999</v>
      </c>
      <c r="D131" s="40">
        <v>4.1823551213488175</v>
      </c>
      <c r="E131" s="40">
        <v>3.9233367709935867</v>
      </c>
      <c r="M131" s="117" t="s">
        <v>181</v>
      </c>
      <c r="N131" s="40">
        <v>2.9586092652733198</v>
      </c>
      <c r="O131" s="40">
        <v>1.2758005799587988</v>
      </c>
    </row>
    <row r="132" spans="1:15">
      <c r="A132" s="117" t="s">
        <v>182</v>
      </c>
      <c r="B132" s="40">
        <v>4.2346857860149951</v>
      </c>
      <c r="C132" s="40">
        <v>4.1547499999999999</v>
      </c>
      <c r="D132" s="40">
        <v>4.1823551213488175</v>
      </c>
      <c r="E132" s="40">
        <v>3.8860333333333337</v>
      </c>
      <c r="M132" s="117" t="s">
        <v>182</v>
      </c>
      <c r="N132" s="40">
        <v>2.9068905487933598</v>
      </c>
      <c r="O132" s="40">
        <v>1.3277952372216348</v>
      </c>
    </row>
    <row r="133" spans="1:15">
      <c r="A133" s="117" t="s">
        <v>183</v>
      </c>
      <c r="B133" s="40">
        <v>4.2323574962017467</v>
      </c>
      <c r="C133" s="40">
        <v>4.0593750000000002</v>
      </c>
      <c r="D133" s="40">
        <v>4.0154500000000004</v>
      </c>
      <c r="E133" s="40">
        <v>3.8404694400308417</v>
      </c>
      <c r="M133" s="117" t="s">
        <v>183</v>
      </c>
      <c r="N133" s="40">
        <v>2.82631669904023</v>
      </c>
      <c r="O133" s="40">
        <v>1.4060407971615168</v>
      </c>
    </row>
    <row r="134" spans="1:15">
      <c r="A134" s="117" t="s">
        <v>184</v>
      </c>
      <c r="B134" s="40">
        <v>4.2147472340123695</v>
      </c>
      <c r="C134" s="40">
        <v>4.0911249999999999</v>
      </c>
      <c r="D134" s="40">
        <v>4.0154500000000004</v>
      </c>
      <c r="E134" s="40">
        <v>3.8404694400308417</v>
      </c>
      <c r="M134" s="117" t="s">
        <v>184</v>
      </c>
      <c r="N134" s="40">
        <v>2.8896799307946499</v>
      </c>
      <c r="O134" s="40">
        <v>1.3250673032177192</v>
      </c>
    </row>
    <row r="135" spans="1:15">
      <c r="A135" s="117" t="s">
        <v>185</v>
      </c>
      <c r="B135" s="40">
        <v>4.3068583158312457</v>
      </c>
      <c r="C135" s="40">
        <v>4.1547499999999999</v>
      </c>
      <c r="D135" s="40">
        <v>4.1391429031887403</v>
      </c>
      <c r="E135" s="40">
        <v>3.9041371618374376</v>
      </c>
      <c r="M135" s="117" t="s">
        <v>185</v>
      </c>
      <c r="N135" s="40">
        <v>2.9214483553786899</v>
      </c>
      <c r="O135" s="40">
        <v>1.3854099604525558</v>
      </c>
    </row>
    <row r="136" spans="1:15">
      <c r="A136" s="117" t="s">
        <v>186</v>
      </c>
      <c r="B136" s="40">
        <v>4.295933915293987</v>
      </c>
      <c r="C136" s="40">
        <v>4.1547499999999999</v>
      </c>
      <c r="D136" s="40">
        <v>4.1078929031887403</v>
      </c>
      <c r="E136" s="40">
        <v>3.9041371618374376</v>
      </c>
      <c r="M136" s="117" t="s">
        <v>186</v>
      </c>
      <c r="N136" s="40">
        <v>2.9102623265110599</v>
      </c>
      <c r="O136" s="40">
        <v>1.3856715887829274</v>
      </c>
    </row>
    <row r="137" spans="1:15">
      <c r="A137" s="117" t="s">
        <v>187</v>
      </c>
      <c r="B137" s="40">
        <v>4.2663749732293477</v>
      </c>
      <c r="C137" s="40">
        <v>4.1547499999999999</v>
      </c>
      <c r="D137" s="40">
        <v>4.1078929031887403</v>
      </c>
      <c r="E137" s="40">
        <v>3.9041371618374376</v>
      </c>
      <c r="M137" s="117" t="s">
        <v>187</v>
      </c>
      <c r="N137" s="40">
        <v>2.8599760435846102</v>
      </c>
      <c r="O137" s="40">
        <v>1.4063989296447374</v>
      </c>
    </row>
    <row r="138" spans="1:15">
      <c r="A138" s="117" t="s">
        <v>188</v>
      </c>
      <c r="B138" s="40">
        <v>4.294547379243582</v>
      </c>
      <c r="C138" s="40">
        <v>4.1547499999999999</v>
      </c>
      <c r="D138" s="40">
        <v>3.9529500000000004</v>
      </c>
      <c r="E138" s="40">
        <v>3.7749314548968891</v>
      </c>
      <c r="M138" s="117" t="s">
        <v>188</v>
      </c>
      <c r="N138" s="40">
        <v>2.8915210158303699</v>
      </c>
      <c r="O138" s="40">
        <v>1.4030263634132119</v>
      </c>
    </row>
    <row r="139" spans="1:15">
      <c r="A139" s="117" t="s">
        <v>189</v>
      </c>
      <c r="B139" s="40">
        <v>4.2920571022905696</v>
      </c>
      <c r="C139" s="40">
        <v>4.155125</v>
      </c>
      <c r="D139" s="40">
        <v>3.9842000000000004</v>
      </c>
      <c r="E139" s="40">
        <v>3.7749314548968891</v>
      </c>
      <c r="M139" s="117" t="s">
        <v>189</v>
      </c>
      <c r="N139" s="40">
        <v>2.8500704386135798</v>
      </c>
      <c r="O139" s="40">
        <v>1.44198666367699</v>
      </c>
    </row>
    <row r="140" spans="1:15">
      <c r="A140" s="117" t="s">
        <v>190</v>
      </c>
      <c r="B140" s="40">
        <v>4.2379068843211822</v>
      </c>
      <c r="C140" s="40">
        <v>4.1547499999999999</v>
      </c>
      <c r="D140" s="40">
        <v>3.9529500000000004</v>
      </c>
      <c r="E140" s="40">
        <v>3.7749314548968891</v>
      </c>
      <c r="M140" s="117" t="s">
        <v>190</v>
      </c>
      <c r="N140" s="40">
        <v>2.8460665334928898</v>
      </c>
      <c r="O140" s="40">
        <v>1.3918403508282922</v>
      </c>
    </row>
    <row r="141" spans="1:15">
      <c r="A141" s="117" t="s">
        <v>191</v>
      </c>
      <c r="B141" s="40">
        <v>4.2233209218479928</v>
      </c>
      <c r="C141" s="40">
        <v>4.1229999999999993</v>
      </c>
      <c r="D141" s="40">
        <v>4.117698774030444</v>
      </c>
      <c r="E141" s="40">
        <v>3.7761730843118855</v>
      </c>
      <c r="M141" s="117" t="s">
        <v>191</v>
      </c>
      <c r="N141" s="40">
        <v>2.8413672152174398</v>
      </c>
      <c r="O141" s="40">
        <v>1.3819537066305525</v>
      </c>
    </row>
    <row r="142" spans="1:15">
      <c r="A142" s="117" t="s">
        <v>192</v>
      </c>
      <c r="B142" s="40">
        <v>4.172073309877991</v>
      </c>
      <c r="C142" s="40">
        <v>4.0911249999999999</v>
      </c>
      <c r="D142" s="40">
        <v>4.0563620311709938</v>
      </c>
      <c r="E142" s="40">
        <v>3.7761730843118855</v>
      </c>
      <c r="M142" s="117" t="s">
        <v>192</v>
      </c>
      <c r="N142" s="40">
        <v>2.8125589424365498</v>
      </c>
      <c r="O142" s="40">
        <v>1.3595143674414412</v>
      </c>
    </row>
    <row r="143" spans="1:15">
      <c r="A143" s="117" t="s">
        <v>193</v>
      </c>
      <c r="B143" s="40">
        <v>4.2772299202203019</v>
      </c>
      <c r="C143" s="40">
        <v>4.0993750000000002</v>
      </c>
      <c r="D143" s="40">
        <v>4.114354497342033</v>
      </c>
      <c r="E143" s="40">
        <v>4.0557276764206129</v>
      </c>
      <c r="M143" s="117" t="s">
        <v>193</v>
      </c>
      <c r="N143" s="40">
        <v>2.8873082715202201</v>
      </c>
      <c r="O143" s="40">
        <v>1.3899216487000827</v>
      </c>
    </row>
    <row r="144" spans="1:15">
      <c r="A144" s="117" t="s">
        <v>194</v>
      </c>
      <c r="B144" s="40">
        <v>4.2772299202203019</v>
      </c>
      <c r="C144" s="40">
        <v>4.0993750000000002</v>
      </c>
      <c r="D144" s="40">
        <v>4.114354497342033</v>
      </c>
      <c r="E144" s="40">
        <v>4.0557276764206129</v>
      </c>
      <c r="M144" s="117" t="s">
        <v>194</v>
      </c>
      <c r="N144" s="40">
        <v>2.96123512742628</v>
      </c>
      <c r="O144" s="40">
        <v>1.3159947927940223</v>
      </c>
    </row>
    <row r="145" spans="1:15">
      <c r="A145" s="117" t="s">
        <v>195</v>
      </c>
      <c r="B145" s="40">
        <v>4.3923720218044648</v>
      </c>
      <c r="C145" s="40">
        <v>4.2910000000000004</v>
      </c>
      <c r="D145" s="40">
        <v>4.2717089165741537</v>
      </c>
      <c r="E145" s="40">
        <v>4.1817004181546098</v>
      </c>
      <c r="M145" s="117" t="s">
        <v>195</v>
      </c>
      <c r="N145" s="40">
        <v>3.0744144315737501</v>
      </c>
      <c r="O145" s="40">
        <v>1.3179575902307146</v>
      </c>
    </row>
    <row r="146" spans="1:15">
      <c r="A146" s="117" t="s">
        <v>196</v>
      </c>
      <c r="B146" s="40">
        <v>4.4021158998488241</v>
      </c>
      <c r="C146" s="40">
        <v>4.2588749999999997</v>
      </c>
      <c r="D146" s="40">
        <v>4.2404589165741537</v>
      </c>
      <c r="E146" s="40">
        <v>4.1237077500397357</v>
      </c>
      <c r="M146" s="117" t="s">
        <v>196</v>
      </c>
      <c r="N146" s="40">
        <v>3.0256748636149999</v>
      </c>
      <c r="O146" s="40">
        <v>1.3764410362338237</v>
      </c>
    </row>
    <row r="147" spans="1:15">
      <c r="A147" s="117" t="s">
        <v>197</v>
      </c>
      <c r="B147" s="40">
        <v>4.4471212470221824</v>
      </c>
      <c r="C147" s="40">
        <v>4.2592500000000006</v>
      </c>
      <c r="D147" s="40">
        <v>4.3147493145490214</v>
      </c>
      <c r="E147" s="40">
        <v>4.2186106422383469</v>
      </c>
      <c r="M147" s="117" t="s">
        <v>197</v>
      </c>
      <c r="N147" s="40">
        <v>3.1185389251118698</v>
      </c>
      <c r="O147" s="40">
        <v>1.328582321910313</v>
      </c>
    </row>
    <row r="148" spans="1:15">
      <c r="A148" s="117" t="s">
        <v>198</v>
      </c>
      <c r="B148" s="40">
        <v>4.4217882161894426</v>
      </c>
      <c r="C148" s="40">
        <v>4.2275</v>
      </c>
      <c r="D148" s="40">
        <v>4.2717089165741537</v>
      </c>
      <c r="E148" s="40">
        <v>4.1873439755716797</v>
      </c>
      <c r="M148" s="117" t="s">
        <v>198</v>
      </c>
      <c r="N148" s="40">
        <v>3.0852280715370801</v>
      </c>
      <c r="O148" s="40">
        <v>1.3365601446523632</v>
      </c>
    </row>
    <row r="149" spans="1:15">
      <c r="A149" s="117" t="s">
        <v>199</v>
      </c>
      <c r="B149" s="40">
        <v>4.4633281546176118</v>
      </c>
      <c r="C149" s="40">
        <v>4.1956249999999997</v>
      </c>
      <c r="D149" s="40">
        <v>4.2717089165741537</v>
      </c>
      <c r="E149" s="40">
        <v>4.1873439755716797</v>
      </c>
      <c r="M149" s="117" t="s">
        <v>199</v>
      </c>
      <c r="N149" s="40">
        <v>3.1292995796246399</v>
      </c>
      <c r="O149" s="40">
        <v>1.3340285749929719</v>
      </c>
    </row>
    <row r="150" spans="1:15">
      <c r="A150" s="117" t="s">
        <v>200</v>
      </c>
      <c r="B150" s="40">
        <v>4.5405932501440986</v>
      </c>
      <c r="C150" s="40">
        <v>4.2275</v>
      </c>
      <c r="D150" s="40">
        <v>4.5041620075276256</v>
      </c>
      <c r="E150" s="40">
        <v>4.310586640999877</v>
      </c>
      <c r="M150" s="117" t="s">
        <v>200</v>
      </c>
      <c r="N150" s="40">
        <v>3.1773446759928401</v>
      </c>
      <c r="O150" s="40">
        <v>1.363248574151259</v>
      </c>
    </row>
    <row r="151" spans="1:15">
      <c r="A151" s="117" t="s">
        <v>201</v>
      </c>
      <c r="B151" s="40">
        <v>4.4488627715372981</v>
      </c>
      <c r="C151" s="40">
        <v>4.1956249999999997</v>
      </c>
      <c r="D151" s="40">
        <v>4.2717089165741537</v>
      </c>
      <c r="E151" s="40">
        <v>4.2186106422383469</v>
      </c>
      <c r="M151" s="117" t="s">
        <v>201</v>
      </c>
      <c r="N151" s="40">
        <v>3.0761153132050598</v>
      </c>
      <c r="O151" s="40">
        <v>1.3727474583322374</v>
      </c>
    </row>
    <row r="152" spans="1:15">
      <c r="A152" s="117" t="s">
        <v>202</v>
      </c>
      <c r="B152" s="40">
        <v>4.4439837591100426</v>
      </c>
      <c r="C152" s="40">
        <v>4.2906250000000004</v>
      </c>
      <c r="D152" s="40">
        <v>4.2404589165741537</v>
      </c>
      <c r="E152" s="40">
        <v>4.2186106422383469</v>
      </c>
      <c r="M152" s="117" t="s">
        <v>202</v>
      </c>
      <c r="N152" s="40">
        <v>3.0919401279735599</v>
      </c>
      <c r="O152" s="40">
        <v>1.3520436311364827</v>
      </c>
    </row>
    <row r="153" spans="1:15">
      <c r="A153" s="117" t="s">
        <v>203</v>
      </c>
      <c r="B153" s="40">
        <v>4.4098494468306768</v>
      </c>
      <c r="C153" s="40">
        <v>4.2906250000000004</v>
      </c>
      <c r="D153" s="40">
        <v>4.2033105887459152</v>
      </c>
      <c r="E153" s="40">
        <v>4.1817004181546098</v>
      </c>
      <c r="M153" s="117" t="s">
        <v>203</v>
      </c>
      <c r="N153" s="40">
        <v>3.0848485059502999</v>
      </c>
      <c r="O153" s="40">
        <v>1.3250009408803773</v>
      </c>
    </row>
    <row r="154" spans="1:15">
      <c r="A154" s="117" t="s">
        <v>204</v>
      </c>
      <c r="B154" s="40">
        <v>4.4083993376568298</v>
      </c>
      <c r="C154" s="40">
        <v>4.2275</v>
      </c>
      <c r="D154" s="40">
        <v>4.2033105887459152</v>
      </c>
      <c r="E154" s="40">
        <v>4.1817004181546098</v>
      </c>
      <c r="M154" s="117" t="s">
        <v>204</v>
      </c>
      <c r="N154" s="40">
        <v>3.0537402902567599</v>
      </c>
      <c r="O154" s="40">
        <v>1.3546590474000695</v>
      </c>
    </row>
    <row r="155" spans="1:15">
      <c r="A155" s="117" t="s">
        <v>205</v>
      </c>
      <c r="B155" s="40">
        <v>4.4105641199278889</v>
      </c>
      <c r="C155" s="40">
        <v>4.2275</v>
      </c>
      <c r="D155" s="40">
        <v>4.2033105887459152</v>
      </c>
      <c r="E155" s="40">
        <v>4.1873439755716797</v>
      </c>
      <c r="M155" s="117" t="s">
        <v>205</v>
      </c>
      <c r="N155" s="40">
        <v>3.03216152423493</v>
      </c>
      <c r="O155" s="40">
        <v>1.3784025956929589</v>
      </c>
    </row>
    <row r="156" spans="1:15">
      <c r="A156" s="117" t="s">
        <v>206</v>
      </c>
      <c r="B156" s="40">
        <v>4.4094136727874513</v>
      </c>
      <c r="C156" s="40">
        <v>4.2588749999999997</v>
      </c>
      <c r="D156" s="40">
        <v>4.2496377008409834</v>
      </c>
      <c r="E156" s="40">
        <v>4.1873439755716797</v>
      </c>
      <c r="M156" s="117" t="s">
        <v>206</v>
      </c>
      <c r="N156" s="40">
        <v>3.0468019127231698</v>
      </c>
      <c r="O156" s="40">
        <v>1.3626117600642815</v>
      </c>
    </row>
    <row r="157" spans="1:15">
      <c r="A157" s="117" t="s">
        <v>207</v>
      </c>
      <c r="B157" s="40">
        <v>4.3215201199074498</v>
      </c>
      <c r="C157" s="40">
        <v>4.2270000000000003</v>
      </c>
      <c r="D157" s="40">
        <v>4.114354497342033</v>
      </c>
      <c r="E157" s="40">
        <v>4.1817004181546098</v>
      </c>
      <c r="M157" s="117" t="s">
        <v>207</v>
      </c>
      <c r="N157" s="40">
        <v>2.9822174038917302</v>
      </c>
      <c r="O157" s="40">
        <v>1.3393027160157196</v>
      </c>
    </row>
    <row r="158" spans="1:15">
      <c r="A158" s="117" t="s">
        <v>208</v>
      </c>
      <c r="B158" s="40">
        <v>4.4009763614890982</v>
      </c>
      <c r="C158" s="40">
        <v>4.2906250000000004</v>
      </c>
      <c r="D158" s="40">
        <v>4.1887316643249344</v>
      </c>
      <c r="E158" s="40">
        <v>4.1873439755716797</v>
      </c>
      <c r="M158" s="117" t="s">
        <v>208</v>
      </c>
      <c r="N158" s="40">
        <v>3.0761568887156101</v>
      </c>
      <c r="O158" s="40">
        <v>1.3248194727734872</v>
      </c>
    </row>
    <row r="159" spans="1:15">
      <c r="A159" s="117" t="s">
        <v>209</v>
      </c>
      <c r="B159" s="40">
        <v>4.4392183160681951</v>
      </c>
      <c r="C159" s="40">
        <v>4.3228750000000007</v>
      </c>
      <c r="D159" s="40">
        <v>4.2717089165741537</v>
      </c>
      <c r="E159" s="40">
        <v>4.2186106422383469</v>
      </c>
      <c r="M159" s="117" t="s">
        <v>209</v>
      </c>
      <c r="N159" s="40">
        <v>3.1219045210798799</v>
      </c>
      <c r="O159" s="40">
        <v>1.3173137949883147</v>
      </c>
    </row>
    <row r="160" spans="1:15">
      <c r="A160" s="117" t="s">
        <v>210</v>
      </c>
      <c r="B160" s="40">
        <v>4.4453796157833887</v>
      </c>
      <c r="C160" s="40">
        <v>4.2910000000000004</v>
      </c>
      <c r="D160" s="40">
        <v>4.2717089165741537</v>
      </c>
      <c r="E160" s="40">
        <v>4.2186106422383469</v>
      </c>
      <c r="M160" s="117" t="s">
        <v>210</v>
      </c>
      <c r="N160" s="40">
        <v>3.0912606104251101</v>
      </c>
      <c r="O160" s="40">
        <v>1.3541190053582786</v>
      </c>
    </row>
    <row r="161" spans="1:15">
      <c r="A161" s="117" t="s">
        <v>211</v>
      </c>
      <c r="B161" s="40">
        <v>4.4482669586560188</v>
      </c>
      <c r="C161" s="40">
        <v>4.2910000000000004</v>
      </c>
      <c r="D161" s="40">
        <v>4.375438847121214</v>
      </c>
      <c r="E161" s="40">
        <v>4.2186106422383469</v>
      </c>
      <c r="M161" s="117" t="s">
        <v>211</v>
      </c>
      <c r="N161" s="40">
        <v>3.1158923075545402</v>
      </c>
      <c r="O161" s="40">
        <v>1.3323746511014782</v>
      </c>
    </row>
    <row r="162" spans="1:15">
      <c r="A162" s="117" t="s">
        <v>212</v>
      </c>
      <c r="B162" s="40">
        <v>4.4711318074263238</v>
      </c>
      <c r="C162" s="40">
        <v>4.3546250000000004</v>
      </c>
      <c r="D162" s="40">
        <v>4.3773</v>
      </c>
      <c r="E162" s="40">
        <v>4.310586640999877</v>
      </c>
      <c r="M162" s="117" t="s">
        <v>212</v>
      </c>
      <c r="N162" s="40">
        <v>3.2022687944333499</v>
      </c>
      <c r="O162" s="40">
        <v>1.2688630129929737</v>
      </c>
    </row>
    <row r="163" spans="1:15">
      <c r="A163" s="117" t="s">
        <v>213</v>
      </c>
      <c r="B163" s="40">
        <v>4.4665872716104538</v>
      </c>
      <c r="C163" s="40">
        <v>4.2910000000000004</v>
      </c>
      <c r="D163" s="40">
        <v>4.5041620075276256</v>
      </c>
      <c r="E163" s="40">
        <v>4.2186106422383469</v>
      </c>
      <c r="M163" s="117" t="s">
        <v>213</v>
      </c>
      <c r="N163" s="40">
        <v>3.0851869199683102</v>
      </c>
      <c r="O163" s="40">
        <v>1.381400351642144</v>
      </c>
    </row>
    <row r="164" spans="1:15">
      <c r="A164" s="117" t="s">
        <v>98</v>
      </c>
      <c r="B164" s="40">
        <v>4.4146762877484873</v>
      </c>
      <c r="C164" s="40">
        <v>4.2592500000000006</v>
      </c>
      <c r="D164" s="40">
        <v>4.2717089165741537</v>
      </c>
      <c r="E164" s="40">
        <v>4.1873439755716797</v>
      </c>
      <c r="M164" s="117" t="s">
        <v>98</v>
      </c>
      <c r="N164" s="40">
        <v>3.0732804432921599</v>
      </c>
      <c r="O164" s="40">
        <v>1.341395844456327</v>
      </c>
    </row>
    <row r="165" spans="1:15">
      <c r="A165" s="117" t="s">
        <v>96</v>
      </c>
      <c r="B165" s="40">
        <v>4.5207040024477276</v>
      </c>
      <c r="C165" s="40">
        <v>4.3228750000000007</v>
      </c>
      <c r="D165" s="40">
        <v>4.3773</v>
      </c>
      <c r="E165" s="40">
        <v>4.2186106422383469</v>
      </c>
      <c r="M165" s="117" t="s">
        <v>96</v>
      </c>
      <c r="N165" s="40">
        <v>3.16276525236256</v>
      </c>
      <c r="O165" s="40">
        <v>1.3579387500851681</v>
      </c>
    </row>
    <row r="166" spans="1:15">
      <c r="A166" s="117" t="s">
        <v>97</v>
      </c>
      <c r="B166" s="40">
        <v>4.464829651284651</v>
      </c>
      <c r="C166" s="40">
        <v>4.2910000000000004</v>
      </c>
      <c r="D166" s="40">
        <v>4.375438847121214</v>
      </c>
      <c r="E166" s="40">
        <v>4.2186106422383469</v>
      </c>
      <c r="M166" s="117" t="s">
        <v>97</v>
      </c>
      <c r="N166" s="40">
        <v>3.1329453977786899</v>
      </c>
      <c r="O166" s="40">
        <v>1.3318842535059612</v>
      </c>
    </row>
    <row r="167" spans="1:15">
      <c r="A167" s="117" t="s">
        <v>101</v>
      </c>
      <c r="B167" s="40">
        <v>4.4440509154403669</v>
      </c>
      <c r="C167" s="40">
        <v>4.2592500000000006</v>
      </c>
      <c r="D167" s="40">
        <v>4.2033105887459152</v>
      </c>
      <c r="E167" s="40">
        <v>4.1237077500397357</v>
      </c>
      <c r="M167" s="117" t="s">
        <v>101</v>
      </c>
      <c r="N167" s="40">
        <v>3.0409627195865201</v>
      </c>
      <c r="O167" s="40">
        <v>1.403088195853847</v>
      </c>
    </row>
    <row r="168" spans="1:15">
      <c r="A168" s="117" t="s">
        <v>102</v>
      </c>
      <c r="B168" s="40">
        <v>4.3983780593055251</v>
      </c>
      <c r="C168" s="40">
        <v>4.2906250000000004</v>
      </c>
      <c r="D168" s="40">
        <v>4.1887316643249344</v>
      </c>
      <c r="E168" s="40">
        <v>4.0612077500397348</v>
      </c>
      <c r="M168" s="117" t="s">
        <v>102</v>
      </c>
      <c r="N168" s="40">
        <v>3.00985191194196</v>
      </c>
      <c r="O168" s="40">
        <v>1.3885261473635655</v>
      </c>
    </row>
    <row r="169" spans="1:15">
      <c r="A169" s="117" t="s">
        <v>103</v>
      </c>
      <c r="B169" s="40">
        <v>4.425564979941222</v>
      </c>
      <c r="C169" s="40">
        <v>4.2910000000000004</v>
      </c>
      <c r="D169" s="40">
        <v>4.2496377008409834</v>
      </c>
      <c r="E169" s="40">
        <v>4.092474416706402</v>
      </c>
      <c r="M169" s="117" t="s">
        <v>103</v>
      </c>
      <c r="N169" s="40">
        <v>2.9791453962399599</v>
      </c>
      <c r="O169" s="40">
        <v>1.4464195837012623</v>
      </c>
    </row>
    <row r="170" spans="1:15">
      <c r="A170" s="117" t="s">
        <v>104</v>
      </c>
      <c r="B170" s="40">
        <v>4.4311762126347389</v>
      </c>
      <c r="C170" s="40">
        <v>4.2592500000000006</v>
      </c>
      <c r="D170" s="40">
        <v>4.2496377008409834</v>
      </c>
      <c r="E170" s="40">
        <v>4.092474416706402</v>
      </c>
      <c r="M170" s="117" t="s">
        <v>104</v>
      </c>
      <c r="N170" s="40">
        <v>3.0519928057207899</v>
      </c>
      <c r="O170" s="40">
        <v>1.3791834069139486</v>
      </c>
    </row>
    <row r="171" spans="1:15">
      <c r="A171" s="117" t="s">
        <v>105</v>
      </c>
      <c r="B171" s="40">
        <v>4.5092366228623613</v>
      </c>
      <c r="C171" s="40">
        <v>4.3228750000000007</v>
      </c>
      <c r="D171" s="40">
        <v>4.4407683440906052</v>
      </c>
      <c r="E171" s="40">
        <v>4.1873439755716797</v>
      </c>
      <c r="M171" s="117" t="s">
        <v>105</v>
      </c>
      <c r="N171" s="40">
        <v>3.1469144966257199</v>
      </c>
      <c r="O171" s="40">
        <v>1.3623221262366418</v>
      </c>
    </row>
    <row r="172" spans="1:15">
      <c r="A172" s="117" t="s">
        <v>106</v>
      </c>
      <c r="B172" s="40">
        <v>4.4900516049545001</v>
      </c>
      <c r="C172" s="40">
        <v>4.3864999999999998</v>
      </c>
      <c r="D172" s="40">
        <v>4.5041620075276256</v>
      </c>
      <c r="E172" s="40">
        <v>4.2498439755716797</v>
      </c>
      <c r="M172" s="117" t="s">
        <v>106</v>
      </c>
      <c r="N172" s="40">
        <v>3.1440801611331</v>
      </c>
      <c r="O172" s="40">
        <v>1.3459714438214008</v>
      </c>
    </row>
    <row r="173" spans="1:15">
      <c r="A173" s="117" t="s">
        <v>107</v>
      </c>
      <c r="B173" s="40">
        <v>4.4632421539572196</v>
      </c>
      <c r="C173" s="40">
        <v>4.2910000000000004</v>
      </c>
      <c r="D173" s="40">
        <v>4.3147493145490214</v>
      </c>
      <c r="E173" s="40">
        <v>4.1873439755716797</v>
      </c>
      <c r="M173" s="117" t="s">
        <v>107</v>
      </c>
      <c r="N173" s="40">
        <v>3.1081065530197201</v>
      </c>
      <c r="O173" s="40">
        <v>1.3551356009374995</v>
      </c>
    </row>
    <row r="174" spans="1:15">
      <c r="A174" s="117" t="s">
        <v>108</v>
      </c>
      <c r="B174" s="40">
        <v>4.4514544365653475</v>
      </c>
      <c r="C174" s="40">
        <v>4.2592500000000006</v>
      </c>
      <c r="D174" s="40">
        <v>4.2717089165741537</v>
      </c>
      <c r="E174" s="40">
        <v>4.1237077500397357</v>
      </c>
      <c r="M174" s="117" t="s">
        <v>108</v>
      </c>
      <c r="N174" s="40">
        <v>3.0651881254767099</v>
      </c>
      <c r="O174" s="40">
        <v>1.3862663110886373</v>
      </c>
    </row>
    <row r="175" spans="1:15">
      <c r="A175" s="117" t="s">
        <v>100</v>
      </c>
      <c r="B175" s="40">
        <v>4.4290275255907448</v>
      </c>
      <c r="C175" s="40">
        <v>4.2592500000000006</v>
      </c>
      <c r="D175" s="40">
        <v>4.3147493145490214</v>
      </c>
      <c r="E175" s="40">
        <v>4.1817004181546098</v>
      </c>
      <c r="M175" s="117" t="s">
        <v>100</v>
      </c>
      <c r="N175" s="40">
        <v>3.0642370952529001</v>
      </c>
      <c r="O175" s="40">
        <v>1.3647904303378449</v>
      </c>
    </row>
    <row r="176" spans="1:15">
      <c r="A176" s="117" t="s">
        <v>109</v>
      </c>
      <c r="B176" s="40">
        <v>4.3810187767133026</v>
      </c>
      <c r="C176" s="40">
        <v>4.2592500000000006</v>
      </c>
      <c r="D176" s="40">
        <v>4.2717089165741537</v>
      </c>
      <c r="E176" s="40">
        <v>4.1237077500397357</v>
      </c>
      <c r="M176" s="117" t="s">
        <v>109</v>
      </c>
      <c r="N176" s="40">
        <v>3.0508649511892498</v>
      </c>
      <c r="O176" s="40">
        <v>1.3301538255240535</v>
      </c>
    </row>
    <row r="177" spans="1:15">
      <c r="A177" s="117" t="s">
        <v>110</v>
      </c>
      <c r="B177" s="40">
        <v>4.4078248196462049</v>
      </c>
      <c r="C177" s="40">
        <v>4.2910000000000004</v>
      </c>
      <c r="D177" s="40">
        <v>4.2717089165741537</v>
      </c>
      <c r="E177" s="40">
        <v>4.1817004181546098</v>
      </c>
      <c r="M177" s="117" t="s">
        <v>110</v>
      </c>
      <c r="N177" s="40">
        <v>3.07026860246684</v>
      </c>
      <c r="O177" s="40">
        <v>1.337556217179366</v>
      </c>
    </row>
    <row r="178" spans="1:15">
      <c r="A178" s="117" t="s">
        <v>111</v>
      </c>
      <c r="B178" s="40">
        <v>4.4364625323187852</v>
      </c>
      <c r="C178" s="40">
        <v>4.2906250000000004</v>
      </c>
      <c r="D178" s="40">
        <v>4.2033105887459152</v>
      </c>
      <c r="E178" s="40">
        <v>4.1237077500397357</v>
      </c>
      <c r="M178" s="117" t="s">
        <v>111</v>
      </c>
      <c r="N178" s="40">
        <v>3.04099858929172</v>
      </c>
      <c r="O178" s="40">
        <v>1.3954639430270657</v>
      </c>
    </row>
    <row r="179" spans="1:15">
      <c r="A179" s="117" t="s">
        <v>99</v>
      </c>
      <c r="B179" s="40">
        <v>4.426843113943276</v>
      </c>
      <c r="C179" s="40">
        <v>4.2906250000000004</v>
      </c>
      <c r="D179" s="40">
        <v>4.2496377008409834</v>
      </c>
      <c r="E179" s="40">
        <v>4.1237077500397357</v>
      </c>
      <c r="M179" s="117" t="s">
        <v>99</v>
      </c>
      <c r="N179" s="40">
        <v>3.0272722743659699</v>
      </c>
      <c r="O179" s="40">
        <v>1.3995708395773065</v>
      </c>
    </row>
    <row r="180" spans="1:15">
      <c r="A180" s="117" t="s">
        <v>126</v>
      </c>
      <c r="B180" s="40">
        <v>4.4426873504270654</v>
      </c>
      <c r="C180" s="40">
        <v>4.2592500000000006</v>
      </c>
      <c r="D180" s="40">
        <v>4.2404589165741537</v>
      </c>
      <c r="E180" s="40">
        <v>4.1237077500397357</v>
      </c>
      <c r="M180" s="117" t="s">
        <v>126</v>
      </c>
      <c r="N180" s="40">
        <v>3.00152435884748</v>
      </c>
      <c r="O180" s="40">
        <v>1.4411629915795856</v>
      </c>
    </row>
    <row r="181" spans="1:15">
      <c r="A181" s="117" t="s">
        <v>124</v>
      </c>
      <c r="B181" s="40">
        <v>4.3703983083468625</v>
      </c>
      <c r="C181" s="40">
        <v>4.2588749999999997</v>
      </c>
      <c r="D181" s="40">
        <v>4.1887316643249344</v>
      </c>
      <c r="E181" s="40">
        <v>4.0612077500397348</v>
      </c>
      <c r="M181" s="117" t="s">
        <v>124</v>
      </c>
      <c r="N181" s="40">
        <v>3.00880742941581</v>
      </c>
      <c r="O181" s="40">
        <v>1.3615908789310525</v>
      </c>
    </row>
    <row r="182" spans="1:15">
      <c r="A182" s="117" t="s">
        <v>127</v>
      </c>
      <c r="B182" s="40">
        <v>4.3673853128344291</v>
      </c>
      <c r="C182" s="40">
        <v>4.2588749999999997</v>
      </c>
      <c r="D182" s="40">
        <v>4.145604497342033</v>
      </c>
      <c r="E182" s="40">
        <v>4.0557276764206129</v>
      </c>
      <c r="M182" s="117" t="s">
        <v>127</v>
      </c>
      <c r="N182" s="40">
        <v>2.9768819813504899</v>
      </c>
      <c r="O182" s="40">
        <v>1.3905033314839395</v>
      </c>
    </row>
    <row r="183" spans="1:15">
      <c r="A183" s="117" t="s">
        <v>128</v>
      </c>
      <c r="B183" s="40">
        <v>4.3769220970021951</v>
      </c>
      <c r="C183" s="40">
        <v>4.2906250000000004</v>
      </c>
      <c r="D183" s="40">
        <v>4.1887316643249344</v>
      </c>
      <c r="E183" s="40">
        <v>4.0557276764206129</v>
      </c>
      <c r="M183" s="117" t="s">
        <v>128</v>
      </c>
      <c r="N183" s="40">
        <v>2.9700273705701301</v>
      </c>
      <c r="O183" s="40">
        <v>1.406894726432065</v>
      </c>
    </row>
    <row r="184" spans="1:15">
      <c r="A184" s="117" t="s">
        <v>129</v>
      </c>
      <c r="B184" s="40">
        <v>4.3942897588062166</v>
      </c>
      <c r="C184" s="40">
        <v>4.2906250000000004</v>
      </c>
      <c r="D184" s="40">
        <v>4.1887316643249344</v>
      </c>
      <c r="E184" s="40">
        <v>4.0557276764206129</v>
      </c>
      <c r="M184" s="117" t="s">
        <v>129</v>
      </c>
      <c r="N184" s="40">
        <v>2.9952166878972601</v>
      </c>
      <c r="O184" s="40">
        <v>1.3990730709089572</v>
      </c>
    </row>
    <row r="185" spans="1:15">
      <c r="A185" s="117" t="s">
        <v>123</v>
      </c>
      <c r="B185" s="40">
        <v>4.4087078229261731</v>
      </c>
      <c r="C185" s="40">
        <v>4.2906250000000004</v>
      </c>
      <c r="D185" s="40">
        <v>4.2496377008409834</v>
      </c>
      <c r="E185" s="40">
        <v>4.0557276764206129</v>
      </c>
      <c r="M185" s="117" t="s">
        <v>123</v>
      </c>
      <c r="N185" s="40">
        <v>2.9944455468035298</v>
      </c>
      <c r="O185" s="40">
        <v>1.4142622761226427</v>
      </c>
    </row>
    <row r="186" spans="1:15">
      <c r="A186" s="117" t="s">
        <v>125</v>
      </c>
      <c r="B186" s="40">
        <v>4.2901196607965808</v>
      </c>
      <c r="C186" s="40">
        <v>4.1630000000000003</v>
      </c>
      <c r="D186" s="40">
        <v>4.0771627490827687</v>
      </c>
      <c r="E186" s="40">
        <v>3.966305483037543</v>
      </c>
      <c r="M186" s="117" t="s">
        <v>125</v>
      </c>
      <c r="N186" s="40">
        <v>2.9155081259623699</v>
      </c>
      <c r="O186" s="40">
        <v>1.3746115348342114</v>
      </c>
    </row>
    <row r="187" spans="1:15">
      <c r="A187" s="117" t="s">
        <v>215</v>
      </c>
      <c r="B187" s="40">
        <v>4.2743799866887233</v>
      </c>
      <c r="C187" s="40">
        <v>4.1312500000000005</v>
      </c>
      <c r="D187" s="40">
        <v>4.0771627490827687</v>
      </c>
      <c r="E187" s="40">
        <v>3.966305483037543</v>
      </c>
      <c r="M187" s="117" t="s">
        <v>215</v>
      </c>
      <c r="N187" s="40">
        <v>2.8859588833612699</v>
      </c>
      <c r="O187" s="40">
        <v>1.3884211033274538</v>
      </c>
    </row>
  </sheetData>
  <mergeCells count="5">
    <mergeCell ref="A28:K28"/>
    <mergeCell ref="A1:K1"/>
    <mergeCell ref="A56:K56"/>
    <mergeCell ref="A77:E77"/>
    <mergeCell ref="M77:O77"/>
  </mergeCells>
  <pageMargins left="0.7" right="0.7" top="0.75" bottom="0.75" header="0.3" footer="0.3"/>
  <pageSetup orientation="portrait" horizontalDpi="300" verticalDpi="300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E30"/>
  <sheetViews>
    <sheetView tabSelected="1" workbookViewId="0">
      <selection activeCell="J22" sqref="J22"/>
    </sheetView>
  </sheetViews>
  <sheetFormatPr defaultRowHeight="15"/>
  <cols>
    <col min="2" max="2" width="24.5703125" bestFit="1" customWidth="1"/>
    <col min="3" max="3" width="13.85546875" bestFit="1" customWidth="1"/>
    <col min="4" max="4" width="14.140625" bestFit="1" customWidth="1"/>
    <col min="5" max="5" width="16.5703125" customWidth="1"/>
    <col min="7" max="7" width="14.140625" bestFit="1" customWidth="1"/>
  </cols>
  <sheetData>
    <row r="1" spans="2:5">
      <c r="B1" s="103" t="s">
        <v>46</v>
      </c>
      <c r="C1" s="104" t="s">
        <v>45</v>
      </c>
      <c r="D1" s="105" t="s">
        <v>47</v>
      </c>
      <c r="E1" s="106" t="s">
        <v>50</v>
      </c>
    </row>
    <row r="2" spans="2:5">
      <c r="B2" s="107" t="s">
        <v>52</v>
      </c>
      <c r="C2" s="108" t="s">
        <v>17</v>
      </c>
      <c r="D2" s="109" t="s">
        <v>72</v>
      </c>
      <c r="E2" s="110">
        <f>Report!N10*100</f>
        <v>4.3855708043827342</v>
      </c>
    </row>
    <row r="3" spans="2:5">
      <c r="B3" s="95" t="s">
        <v>52</v>
      </c>
      <c r="C3" s="89" t="s">
        <v>17</v>
      </c>
      <c r="D3" s="90" t="s">
        <v>28</v>
      </c>
      <c r="E3" s="96">
        <f>Report!O10*100</f>
        <v>1.4996119210214647</v>
      </c>
    </row>
    <row r="4" spans="2:5">
      <c r="B4" s="95" t="s">
        <v>52</v>
      </c>
      <c r="C4" s="89" t="s">
        <v>18</v>
      </c>
      <c r="D4" s="90" t="s">
        <v>72</v>
      </c>
      <c r="E4" s="96">
        <f>Report!N11*100</f>
        <v>3.968948344733974</v>
      </c>
    </row>
    <row r="5" spans="2:5">
      <c r="B5" s="95" t="s">
        <v>52</v>
      </c>
      <c r="C5" s="89" t="s">
        <v>18</v>
      </c>
      <c r="D5" s="90" t="s">
        <v>28</v>
      </c>
      <c r="E5" s="96">
        <f>Report!O11*100</f>
        <v>1.082989461372704</v>
      </c>
    </row>
    <row r="6" spans="2:5">
      <c r="B6" s="95" t="s">
        <v>52</v>
      </c>
      <c r="C6" s="89" t="s">
        <v>19</v>
      </c>
      <c r="D6" s="90" t="s">
        <v>72</v>
      </c>
      <c r="E6" s="96">
        <f>Report!N12*100</f>
        <v>4.455426331689484</v>
      </c>
    </row>
    <row r="7" spans="2:5">
      <c r="B7" s="95" t="s">
        <v>52</v>
      </c>
      <c r="C7" s="89" t="s">
        <v>19</v>
      </c>
      <c r="D7" s="90" t="s">
        <v>28</v>
      </c>
      <c r="E7" s="96">
        <f>Report!O12*100</f>
        <v>1.5694674483282143</v>
      </c>
    </row>
    <row r="8" spans="2:5">
      <c r="B8" s="95" t="s">
        <v>52</v>
      </c>
      <c r="C8" s="89" t="s">
        <v>20</v>
      </c>
      <c r="D8" s="90" t="s">
        <v>72</v>
      </c>
      <c r="E8" s="96">
        <f>Report!N13*100</f>
        <v>4.2875744659487021</v>
      </c>
    </row>
    <row r="9" spans="2:5">
      <c r="B9" s="95" t="s">
        <v>52</v>
      </c>
      <c r="C9" s="89" t="s">
        <v>20</v>
      </c>
      <c r="D9" s="90" t="s">
        <v>28</v>
      </c>
      <c r="E9" s="96">
        <f>Report!O13*100</f>
        <v>1.4016155825874324</v>
      </c>
    </row>
    <row r="10" spans="2:5">
      <c r="B10" s="95" t="s">
        <v>53</v>
      </c>
      <c r="C10" s="89" t="s">
        <v>20</v>
      </c>
      <c r="D10" s="90" t="s">
        <v>72</v>
      </c>
      <c r="E10" s="96">
        <f>Report!N20*100</f>
        <v>4.1312500000000005</v>
      </c>
    </row>
    <row r="11" spans="2:5">
      <c r="B11" s="95" t="s">
        <v>53</v>
      </c>
      <c r="C11" s="89" t="s">
        <v>20</v>
      </c>
      <c r="D11" s="90" t="s">
        <v>28</v>
      </c>
      <c r="E11" s="96">
        <f>Report!O20*100</f>
        <v>1.4157159766750402</v>
      </c>
    </row>
    <row r="12" spans="2:5">
      <c r="B12" s="95" t="s">
        <v>54</v>
      </c>
      <c r="C12" s="89" t="s">
        <v>20</v>
      </c>
      <c r="D12" s="90" t="s">
        <v>72</v>
      </c>
      <c r="E12" s="96">
        <f>Report!N16*100</f>
        <v>4.0771627490827687</v>
      </c>
    </row>
    <row r="13" spans="2:5">
      <c r="B13" s="95" t="s">
        <v>54</v>
      </c>
      <c r="C13" s="89" t="s">
        <v>20</v>
      </c>
      <c r="D13" s="90" t="s">
        <v>28</v>
      </c>
      <c r="E13" s="96">
        <f>Report!O16*100</f>
        <v>1.1912038657214992</v>
      </c>
    </row>
    <row r="14" spans="2:5">
      <c r="B14" s="95" t="s">
        <v>55</v>
      </c>
      <c r="C14" s="89" t="s">
        <v>20</v>
      </c>
      <c r="D14" s="90" t="s">
        <v>72</v>
      </c>
      <c r="E14" s="96">
        <f>Report!N18*100</f>
        <v>3.966305483037543</v>
      </c>
    </row>
    <row r="15" spans="2:5">
      <c r="B15" s="95" t="s">
        <v>55</v>
      </c>
      <c r="C15" s="89" t="s">
        <v>20</v>
      </c>
      <c r="D15" s="90" t="s">
        <v>28</v>
      </c>
      <c r="E15" s="96">
        <f>Report!O18*100</f>
        <v>1.0803465996762733</v>
      </c>
    </row>
    <row r="16" spans="2:5">
      <c r="B16" s="97"/>
      <c r="C16" s="98"/>
      <c r="D16" s="98"/>
      <c r="E16" s="99"/>
    </row>
    <row r="17" spans="2:5">
      <c r="B17" s="97"/>
      <c r="C17" s="98"/>
      <c r="D17" s="98"/>
      <c r="E17" s="99"/>
    </row>
    <row r="18" spans="2:5">
      <c r="B18" s="97"/>
      <c r="C18" s="98"/>
      <c r="D18" s="98"/>
      <c r="E18" s="99"/>
    </row>
    <row r="19" spans="2:5">
      <c r="B19" s="97"/>
      <c r="C19" s="98"/>
      <c r="D19" s="98"/>
      <c r="E19" s="99"/>
    </row>
    <row r="20" spans="2:5">
      <c r="B20" s="97"/>
      <c r="C20" s="98"/>
      <c r="D20" s="98"/>
      <c r="E20" s="99"/>
    </row>
    <row r="21" spans="2:5">
      <c r="B21" s="97"/>
      <c r="C21" s="98"/>
      <c r="D21" s="98"/>
      <c r="E21" s="99"/>
    </row>
    <row r="22" spans="2:5">
      <c r="B22" s="97"/>
      <c r="C22" s="98"/>
      <c r="D22" s="98"/>
      <c r="E22" s="99"/>
    </row>
    <row r="23" spans="2:5">
      <c r="B23" s="97"/>
      <c r="C23" s="98"/>
      <c r="D23" s="98"/>
      <c r="E23" s="99"/>
    </row>
    <row r="24" spans="2:5">
      <c r="B24" s="97"/>
      <c r="C24" s="98"/>
      <c r="D24" s="98"/>
      <c r="E24" s="99"/>
    </row>
    <row r="25" spans="2:5">
      <c r="B25" s="97"/>
      <c r="C25" s="98"/>
      <c r="D25" s="98"/>
      <c r="E25" s="99"/>
    </row>
    <row r="26" spans="2:5">
      <c r="B26" s="97"/>
      <c r="C26" s="98"/>
      <c r="D26" s="98"/>
      <c r="E26" s="99"/>
    </row>
    <row r="27" spans="2:5">
      <c r="B27" s="97"/>
      <c r="C27" s="98"/>
      <c r="D27" s="98"/>
      <c r="E27" s="99"/>
    </row>
    <row r="28" spans="2:5">
      <c r="B28" s="97"/>
      <c r="C28" s="98"/>
      <c r="D28" s="98"/>
      <c r="E28" s="99"/>
    </row>
    <row r="29" spans="2:5">
      <c r="B29" s="97"/>
      <c r="C29" s="98"/>
      <c r="D29" s="98"/>
      <c r="E29" s="99"/>
    </row>
    <row r="30" spans="2:5">
      <c r="B30" s="100"/>
      <c r="C30" s="101"/>
      <c r="D30" s="101"/>
      <c r="E30" s="102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1:P9"/>
  <sheetViews>
    <sheetView workbookViewId="0">
      <selection activeCell="K41" sqref="K41:L41"/>
    </sheetView>
  </sheetViews>
  <sheetFormatPr defaultRowHeight="15"/>
  <cols>
    <col min="3" max="3" width="15.7109375" bestFit="1" customWidth="1"/>
    <col min="4" max="4" width="31.42578125" bestFit="1" customWidth="1"/>
    <col min="8" max="8" width="11.7109375" bestFit="1" customWidth="1"/>
    <col min="9" max="9" width="12.7109375" bestFit="1" customWidth="1"/>
    <col min="10" max="10" width="11.7109375" bestFit="1" customWidth="1"/>
    <col min="15" max="15" width="13.85546875" bestFit="1" customWidth="1"/>
  </cols>
  <sheetData>
    <row r="1" spans="2:16">
      <c r="B1" s="1" t="s">
        <v>36</v>
      </c>
      <c r="C1" s="1" t="s">
        <v>37</v>
      </c>
      <c r="D1" s="1" t="s">
        <v>38</v>
      </c>
      <c r="E1" s="28" t="s">
        <v>25</v>
      </c>
      <c r="F1" s="28" t="s">
        <v>39</v>
      </c>
      <c r="G1" s="1" t="s">
        <v>0</v>
      </c>
      <c r="H1" s="1" t="s">
        <v>40</v>
      </c>
      <c r="I1" s="1" t="s">
        <v>1</v>
      </c>
      <c r="J1" s="1" t="s">
        <v>41</v>
      </c>
    </row>
    <row r="2" spans="2:16">
      <c r="B2" s="1">
        <v>20150304</v>
      </c>
      <c r="C2" s="1" t="s">
        <v>20</v>
      </c>
      <c r="D2" s="1" t="s">
        <v>53</v>
      </c>
      <c r="E2" s="1">
        <v>3.875</v>
      </c>
      <c r="F2" s="1">
        <f>1</f>
        <v>1</v>
      </c>
      <c r="G2" s="1">
        <v>4.9050000000000002</v>
      </c>
      <c r="H2" s="29">
        <v>6529</v>
      </c>
      <c r="I2" s="29">
        <v>200000</v>
      </c>
      <c r="J2" s="30">
        <v>3500</v>
      </c>
      <c r="O2" t="s">
        <v>26</v>
      </c>
      <c r="P2">
        <v>2.8341999400292899</v>
      </c>
    </row>
    <row r="3" spans="2:16">
      <c r="B3" s="1">
        <v>20150304</v>
      </c>
      <c r="C3" s="1" t="s">
        <v>20</v>
      </c>
      <c r="D3" s="1" t="s">
        <v>52</v>
      </c>
      <c r="E3" s="1">
        <v>4.125</v>
      </c>
      <c r="F3" s="1">
        <f>1</f>
        <v>1</v>
      </c>
      <c r="G3" s="1">
        <v>4.1470000000000002</v>
      </c>
      <c r="H3" s="29">
        <v>1768</v>
      </c>
      <c r="I3" s="29">
        <v>200000</v>
      </c>
      <c r="J3" s="1"/>
      <c r="O3" t="s">
        <v>27</v>
      </c>
      <c r="P3">
        <v>2.7074000366412498</v>
      </c>
    </row>
    <row r="4" spans="2:16">
      <c r="B4" s="1">
        <v>20150304</v>
      </c>
      <c r="C4" s="1" t="s">
        <v>20</v>
      </c>
      <c r="D4" s="1" t="s">
        <v>69</v>
      </c>
      <c r="E4" s="1">
        <v>4.125</v>
      </c>
      <c r="F4" s="1">
        <f>1</f>
        <v>1</v>
      </c>
      <c r="G4" s="1">
        <v>4.1479999999999997</v>
      </c>
      <c r="H4" s="29">
        <v>3602</v>
      </c>
      <c r="I4" s="29">
        <v>500000</v>
      </c>
      <c r="J4" s="1"/>
    </row>
    <row r="5" spans="2:16">
      <c r="B5" s="1">
        <v>20150304</v>
      </c>
      <c r="C5" s="1" t="s">
        <v>20</v>
      </c>
      <c r="D5" s="1" t="s">
        <v>55</v>
      </c>
      <c r="E5" s="1">
        <v>4.125</v>
      </c>
      <c r="F5" s="1">
        <f>1</f>
        <v>1</v>
      </c>
      <c r="G5" s="1">
        <v>4.125</v>
      </c>
      <c r="H5" s="29">
        <v>1262</v>
      </c>
      <c r="I5" s="29">
        <v>750000</v>
      </c>
      <c r="J5" s="1"/>
    </row>
    <row r="6" spans="2:16">
      <c r="B6" s="1">
        <v>20150304</v>
      </c>
      <c r="C6" s="1" t="s">
        <v>19</v>
      </c>
      <c r="D6" s="1" t="s">
        <v>53</v>
      </c>
      <c r="E6" s="1">
        <v>3.375</v>
      </c>
      <c r="F6" s="1" t="s">
        <v>70</v>
      </c>
      <c r="G6" s="1">
        <v>4.2699999999999996</v>
      </c>
      <c r="H6" s="1"/>
      <c r="I6" s="1"/>
      <c r="J6" s="1"/>
    </row>
    <row r="7" spans="2:16">
      <c r="B7" s="1">
        <v>20150304</v>
      </c>
      <c r="C7" s="1" t="s">
        <v>19</v>
      </c>
      <c r="D7" s="1" t="s">
        <v>52</v>
      </c>
      <c r="E7" s="1">
        <v>3.875</v>
      </c>
      <c r="F7" s="1">
        <v>1.75</v>
      </c>
      <c r="G7" s="1">
        <v>4.0919999999999996</v>
      </c>
      <c r="H7" s="1"/>
      <c r="I7" s="1"/>
      <c r="J7" s="1"/>
    </row>
    <row r="8" spans="2:16">
      <c r="B8" s="1">
        <v>20150304</v>
      </c>
      <c r="C8" s="1" t="s">
        <v>17</v>
      </c>
      <c r="D8" s="1" t="s">
        <v>52</v>
      </c>
      <c r="E8" s="1">
        <v>3.875</v>
      </c>
      <c r="F8" s="1">
        <v>1.3129999999999999</v>
      </c>
      <c r="G8" s="1">
        <v>4.0940000000000003</v>
      </c>
      <c r="H8" s="1"/>
      <c r="I8" s="1"/>
      <c r="J8" s="1"/>
    </row>
    <row r="9" spans="2:16">
      <c r="B9" s="1">
        <v>20150304</v>
      </c>
      <c r="C9" s="1" t="s">
        <v>18</v>
      </c>
      <c r="D9" s="1" t="s">
        <v>52</v>
      </c>
      <c r="E9" s="1">
        <v>4.125</v>
      </c>
      <c r="F9" s="1">
        <v>1</v>
      </c>
      <c r="G9" s="1">
        <v>4.2089999999999996</v>
      </c>
      <c r="H9" s="1"/>
      <c r="I9" s="1"/>
      <c r="J9" s="1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3:L32"/>
  <sheetViews>
    <sheetView workbookViewId="0">
      <selection activeCell="M26" sqref="M26"/>
    </sheetView>
  </sheetViews>
  <sheetFormatPr defaultRowHeight="15"/>
  <cols>
    <col min="2" max="2" width="27.85546875" bestFit="1" customWidth="1"/>
    <col min="3" max="3" width="10.7109375" bestFit="1" customWidth="1"/>
    <col min="4" max="4" width="15.42578125" style="1" customWidth="1"/>
    <col min="5" max="5" width="13.28515625" style="1" customWidth="1"/>
    <col min="6" max="6" width="16" customWidth="1"/>
    <col min="7" max="8" width="12.42578125" customWidth="1"/>
  </cols>
  <sheetData>
    <row r="3" spans="2:8">
      <c r="C3" s="190" t="s">
        <v>43</v>
      </c>
      <c r="D3" s="190"/>
      <c r="E3" s="190" t="s">
        <v>44</v>
      </c>
      <c r="F3" s="190"/>
      <c r="G3" s="190" t="s">
        <v>119</v>
      </c>
      <c r="H3" s="190"/>
    </row>
    <row r="4" spans="2:8">
      <c r="B4" s="111" t="s">
        <v>52</v>
      </c>
      <c r="C4" s="111" t="s">
        <v>72</v>
      </c>
      <c r="D4" s="111" t="s">
        <v>28</v>
      </c>
      <c r="E4" s="111" t="s">
        <v>72</v>
      </c>
      <c r="F4" s="111" t="s">
        <v>28</v>
      </c>
      <c r="G4" s="111" t="s">
        <v>72</v>
      </c>
      <c r="H4" s="111" t="s">
        <v>28</v>
      </c>
    </row>
    <row r="5" spans="2:8">
      <c r="B5" s="112" t="s">
        <v>17</v>
      </c>
      <c r="C5" s="113">
        <f t="array" ref="C5">VLOOKUP($B$4&amp;B5&amp;$C$4,IF({1,0},OneDayMtgRatesDataTable[TickerName]&amp;OneDayMtgRatesDataTable[Source]&amp;OneDayMtgRatesDataTable[SeriesType],OneDayMtgRatesDataTable[SeriesNumValue]),2,0)/100</f>
        <v>4.3739421106982555E-2</v>
      </c>
      <c r="D5" s="113">
        <f t="array" ref="D5">VLOOKUP($B$4&amp;$B5&amp;$D$4,IF({1,0},OneDayMtgRatesDataTable[TickerName]&amp;OneDayMtgRatesDataTable[Source]&amp;OneDayMtgRatesDataTable[SeriesType],OneDayMtgRatesDataTable[SeriesNumValue]),2,0)/100</f>
        <v>1.4584339847358858E-2</v>
      </c>
      <c r="E5" s="113">
        <f t="array" ref="E5">VLOOKUP(B4&amp;B5&amp;E4,IF({1,0},OneWeekMtgRatesDataTable[TickerName]&amp;OneWeekMtgRatesDataTable[Source]&amp;OneWeekMtgRatesDataTable[SeriesType],OneWeekMtgRatesDataTable[SeriesNumValue]),2,0)/100</f>
        <v>4.4406945858636776E-2</v>
      </c>
      <c r="F5" s="113">
        <f t="array" ref="F5">VLOOKUP($B$4&amp;$B5&amp;$F$4,IF({1,0},OneWeekMtgRatesDataTable[TickerName]&amp;OneWeekMtgRatesDataTable[Source]&amp;OneWeekMtgRatesDataTable[SeriesType],OneWeekMtgRatesDataTable[SeriesNumValue]),2,0)/100</f>
        <v>1.4638126045131872E-2</v>
      </c>
      <c r="G5" s="113">
        <f t="array" ref="G5">VLOOKUP(B4&amp;B5&amp;E4,IF({1,0},OneWeekMtgRatesDataTable8[TickerName]&amp;OneWeekMtgRatesDataTable8[Source]&amp;OneWeekMtgRatesDataTable8[SeriesType],OneWeekMtgRatesDataTable8[SeriesNumValue]),2,0)/100</f>
        <v>4.6333392501361675E-2</v>
      </c>
      <c r="H5" s="113">
        <f t="array" ref="H5">VLOOKUP(B4&amp;B5&amp;F4,IF({1,0},OneWeekMtgRatesDataTable8[TickerName]&amp;OneWeekMtgRatesDataTable8[Source]&amp;OneWeekMtgRatesDataTable8[SeriesType],OneWeekMtgRatesDataTable8[SeriesNumValue]),2,0)/100</f>
        <v>1.4705739977736068E-2</v>
      </c>
    </row>
    <row r="6" spans="2:8">
      <c r="B6" s="112" t="s">
        <v>18</v>
      </c>
      <c r="C6" s="113">
        <f t="array" ref="C6">VLOOKUP($B$4&amp;B6&amp;$C$4,IF({1,0},OneDayMtgRatesDataTable[TickerName]&amp;OneDayMtgRatesDataTable[Source]&amp;OneDayMtgRatesDataTable[SeriesType],OneDayMtgRatesDataTable[SeriesNumValue]),2,0)/100</f>
        <v>3.9689483447339739E-2</v>
      </c>
      <c r="D6" s="113">
        <f t="array" ref="D6">VLOOKUP($B$4&amp;$B6&amp;$D$4,IF({1,0},OneDayMtgRatesDataTable[TickerName]&amp;OneDayMtgRatesDataTable[Source]&amp;OneDayMtgRatesDataTable[SeriesType],OneDayMtgRatesDataTable[SeriesNumValue]),2,0)/100</f>
        <v>1.0534402187716042E-2</v>
      </c>
      <c r="E6" s="113">
        <f t="array" ref="E6">VLOOKUP($B$4&amp;$B6&amp;$E$4,IF({1,0},OneWeekMtgRatesDataTable[TickerName]&amp;OneWeekMtgRatesDataTable[Source]&amp;OneWeekMtgRatesDataTable[SeriesType],OneWeekMtgRatesDataTable[SeriesNumValue]),2,0)/100</f>
        <v>4.0610656170015184E-2</v>
      </c>
      <c r="F6" s="113">
        <f t="array" ref="F6">VLOOKUP($B$4&amp;$B6&amp;$F$4,IF({1,0},OneWeekMtgRatesDataTable[TickerName]&amp;OneWeekMtgRatesDataTable[Source]&amp;OneWeekMtgRatesDataTable[SeriesType],OneWeekMtgRatesDataTable[SeriesNumValue]),2,0)/100</f>
        <v>1.0841836356510285E-2</v>
      </c>
      <c r="G6" s="113">
        <f t="array" ref="G6">VLOOKUP(B4&amp;B6&amp;E4,IF({1,0},OneWeekMtgRatesDataTable8[TickerName]&amp;OneWeekMtgRatesDataTable8[Source]&amp;OneWeekMtgRatesDataTable8[SeriesType],OneWeekMtgRatesDataTable8[SeriesNumValue]),2,0)/100</f>
        <v>4.1863869638007631E-2</v>
      </c>
      <c r="H6" s="113">
        <f t="array" ref="H6">VLOOKUP(B4&amp;B6&amp;F4,IF({1,0},OneWeekMtgRatesDataTable8[TickerName]&amp;OneWeekMtgRatesDataTable8[Source]&amp;OneWeekMtgRatesDataTable8[SeriesType],OneWeekMtgRatesDataTable8[SeriesNumValue]),2,0)/100</f>
        <v>1.0236217114382037E-2</v>
      </c>
    </row>
    <row r="7" spans="2:8">
      <c r="B7" s="112" t="s">
        <v>19</v>
      </c>
      <c r="C7" s="113">
        <f t="array" ref="C7">VLOOKUP($B$4&amp;B7&amp;$C$4,IF({1,0},OneDayMtgRatesDataTable[TickerName]&amp;OneDayMtgRatesDataTable[Source]&amp;OneDayMtgRatesDataTable[SeriesType],OneDayMtgRatesDataTable[SeriesNumValue]),2,0)/100</f>
        <v>4.4987637218053919E-2</v>
      </c>
      <c r="D7" s="113">
        <f t="array" ref="D7">VLOOKUP($B$4&amp;$B7&amp;$D$4,IF({1,0},OneDayMtgRatesDataTable[TickerName]&amp;OneDayMtgRatesDataTable[Source]&amp;OneDayMtgRatesDataTable[SeriesType],OneDayMtgRatesDataTable[SeriesNumValue]),2,0)/100</f>
        <v>1.5832555958430222E-2</v>
      </c>
      <c r="E7" s="113">
        <f t="array" ref="E7">VLOOKUP($B$4&amp;$B7&amp;$E$4,IF({1,0},OneWeekMtgRatesDataTable[TickerName]&amp;OneWeekMtgRatesDataTable[Source]&amp;OneWeekMtgRatesDataTable[SeriesType],OneWeekMtgRatesDataTable[SeriesNumValue]),2,0)/100</f>
        <v>4.5391078806773386E-2</v>
      </c>
      <c r="F7" s="113">
        <f t="array" ref="F7">VLOOKUP($B$4&amp;$B7&amp;$F$4,IF({1,0},OneWeekMtgRatesDataTable[TickerName]&amp;OneWeekMtgRatesDataTable[Source]&amp;OneWeekMtgRatesDataTable[SeriesType],OneWeekMtgRatesDataTable[SeriesNumValue]),2,0)/100</f>
        <v>1.5622258993268488E-2</v>
      </c>
      <c r="G7" s="113">
        <f t="array" ref="G7">VLOOKUP(B4&amp;B7&amp;E4,IF({1,0},OneWeekMtgRatesDataTable8[TickerName]&amp;OneWeekMtgRatesDataTable8[Source]&amp;OneWeekMtgRatesDataTable8[SeriesType],OneWeekMtgRatesDataTable8[SeriesNumValue]),2,0)/100</f>
        <v>4.5848734261641197E-2</v>
      </c>
      <c r="H7" s="113">
        <f t="array" ref="H7">VLOOKUP(B4&amp;B7&amp;F4,IF({1,0},OneWeekMtgRatesDataTable8[TickerName]&amp;OneWeekMtgRatesDataTable8[Source]&amp;OneWeekMtgRatesDataTable8[SeriesType],OneWeekMtgRatesDataTable8[SeriesNumValue]),2,0)/100</f>
        <v>1.4221081738015603E-2</v>
      </c>
    </row>
    <row r="8" spans="2:8">
      <c r="B8" s="112" t="s">
        <v>20</v>
      </c>
      <c r="C8" s="113">
        <f t="array" ref="C8">VLOOKUP($B$4&amp;B8&amp;$C$4,IF({1,0},OneDayMtgRatesDataTable[TickerName]&amp;OneDayMtgRatesDataTable[Source]&amp;OneDayMtgRatesDataTable[SeriesType],OneDayMtgRatesDataTable[SeriesNumValue]),2,0)/100</f>
        <v>4.3188244659487021E-2</v>
      </c>
      <c r="D8" s="113">
        <f t="array" ref="D8">VLOOKUP($B$4&amp;$B8&amp;$D$4,IF({1,0},OneDayMtgRatesDataTable[TickerName]&amp;OneDayMtgRatesDataTable[Source]&amp;OneDayMtgRatesDataTable[SeriesType],OneDayMtgRatesDataTable[SeriesNumValue]),2,0)/100</f>
        <v>1.4033163399863324E-2</v>
      </c>
      <c r="E8" s="113">
        <f t="array" ref="E8">VLOOKUP($B$4&amp;$B8&amp;$E$4,IF({1,0},OneWeekMtgRatesDataTable[TickerName]&amp;OneWeekMtgRatesDataTable[Source]&amp;OneWeekMtgRatesDataTable[SeriesType],OneWeekMtgRatesDataTable[SeriesNumValue]),2,0)/100</f>
        <v>4.4286731677951829E-2</v>
      </c>
      <c r="F8" s="113">
        <f t="array" ref="F8">VLOOKUP($B$4&amp;$B8&amp;$F$4,IF({1,0},OneWeekMtgRatesDataTable[TickerName]&amp;OneWeekMtgRatesDataTable[Source]&amp;OneWeekMtgRatesDataTable[SeriesType],OneWeekMtgRatesDataTable[SeriesNumValue]),2,0)/100</f>
        <v>1.4517911864446932E-2</v>
      </c>
      <c r="G8" s="113">
        <f t="array" ref="G8">VLOOKUP(B4&amp;B8&amp;E4,IF({1,0},OneWeekMtgRatesDataTable8[TickerName]&amp;OneWeekMtgRatesDataTable8[Source]&amp;OneWeekMtgRatesDataTable8[SeriesType],OneWeekMtgRatesDataTable8[SeriesNumValue]),2,0)/100</f>
        <v>4.678216369689861E-2</v>
      </c>
      <c r="H8" s="113">
        <f t="array" ref="H8">VLOOKUP(B4&amp;B8&amp;F4,IF({1,0},OneWeekMtgRatesDataTable8[TickerName]&amp;OneWeekMtgRatesDataTable8[Source]&amp;OneWeekMtgRatesDataTable8[SeriesType],OneWeekMtgRatesDataTable8[SeriesNumValue]),2,0)/100</f>
        <v>1.515451117327301E-2</v>
      </c>
    </row>
    <row r="9" spans="2:8">
      <c r="B9" s="111" t="s">
        <v>54</v>
      </c>
      <c r="C9" s="114"/>
      <c r="D9" s="114"/>
      <c r="E9" s="114"/>
      <c r="F9" s="114"/>
      <c r="G9" s="114"/>
      <c r="H9" s="114"/>
    </row>
    <row r="10" spans="2:8">
      <c r="B10" s="112" t="s">
        <v>20</v>
      </c>
      <c r="C10" s="113">
        <f t="array" ref="C10">VLOOKUP($B$9&amp;B10&amp;$C$4,IF({1,0},OneDayMtgRatesDataTable[TickerName]&amp;OneDayMtgRatesDataTable[Source]&amp;OneDayMtgRatesDataTable[SeriesType],OneDayMtgRatesDataTable[SeriesNumValue]),2,0)/100</f>
        <v>4.0771627490827689E-2</v>
      </c>
      <c r="D10" s="113">
        <f t="array" ref="D10">VLOOKUP($B$9&amp;$B10&amp;$D$4,IF({1,0},OneDayMtgRatesDataTable[TickerName]&amp;OneDayMtgRatesDataTable[Source]&amp;OneDayMtgRatesDataTable[SeriesType],OneDayMtgRatesDataTable[SeriesNumValue]),2,0)/100</f>
        <v>1.1616546231203992E-2</v>
      </c>
      <c r="E10" s="113">
        <f t="array" ref="E10">VLOOKUP($B$9&amp;$B10&amp;$E$4,IF({1,0},OneWeekMtgRatesDataTable[TickerName]&amp;OneWeekMtgRatesDataTable[Source]&amp;OneWeekMtgRatesDataTable[SeriesType],OneWeekMtgRatesDataTable[SeriesNumValue]),2,0)/100</f>
        <v>4.1456044973420328E-2</v>
      </c>
      <c r="F10" s="113">
        <f t="array" ref="F10">VLOOKUP($B$9&amp;$B10&amp;$F$4,IF({1,0},OneWeekMtgRatesDataTable[TickerName]&amp;OneWeekMtgRatesDataTable[Source]&amp;OneWeekMtgRatesDataTable[SeriesType],OneWeekMtgRatesDataTable[SeriesNumValue]),2,0)/100</f>
        <v>1.1687225159915431E-2</v>
      </c>
      <c r="G10" s="113">
        <f t="array" ref="G10">VLOOKUP(B9&amp;B10&amp;E4,IF({1,0},OneWeekMtgRatesDataTable8[TickerName]&amp;OneWeekMtgRatesDataTable8[Source]&amp;OneWeekMtgRatesDataTable8[SeriesType],OneWeekMtgRatesDataTable8[SeriesNumValue]),2,0)/100</f>
        <v>4.3772999999999999E-2</v>
      </c>
      <c r="H10" s="113">
        <f t="array" ref="H10">VLOOKUP($B$9&amp;$B10&amp;$F$4,IF({1,0},OneWeekMtgRatesDataTable8[TickerName]&amp;OneWeekMtgRatesDataTable8[Source]&amp;OneWeekMtgRatesDataTable8[SeriesType],OneWeekMtgRatesDataTable8[SeriesNumValue]),2,0)/100</f>
        <v>1.2145347476374399E-2</v>
      </c>
    </row>
    <row r="11" spans="2:8">
      <c r="B11" s="111" t="s">
        <v>55</v>
      </c>
      <c r="C11" s="114"/>
      <c r="D11" s="114"/>
      <c r="E11" s="114"/>
      <c r="F11" s="114"/>
      <c r="G11" s="114"/>
      <c r="H11" s="114"/>
    </row>
    <row r="12" spans="2:8">
      <c r="B12" s="112" t="s">
        <v>20</v>
      </c>
      <c r="C12" s="113">
        <f t="array" ref="C12">VLOOKUP($B$11&amp;B12&amp;$C$4,IF({1,0},OneDayMtgRatesDataTable[TickerName]&amp;OneDayMtgRatesDataTable[Source]&amp;OneDayMtgRatesDataTable[SeriesType],OneDayMtgRatesDataTable[SeriesNumValue]),2,0)/100</f>
        <v>3.9663054830375431E-2</v>
      </c>
      <c r="D12" s="113">
        <f t="array" ref="D12">VLOOKUP($B$11&amp;$B12&amp;$D$4,IF({1,0},OneDayMtgRatesDataTable[TickerName]&amp;OneDayMtgRatesDataTable[Source]&amp;OneDayMtgRatesDataTable[SeriesType],OneDayMtgRatesDataTable[SeriesNumValue]),2,0)/100</f>
        <v>1.0507973570751734E-2</v>
      </c>
      <c r="E12" s="113">
        <f t="array" ref="E12">VLOOKUP($B$11&amp;$B12&amp;$E$4,IF({1,0},OneWeekMtgRatesDataTable[TickerName]&amp;OneWeekMtgRatesDataTable[Source]&amp;OneWeekMtgRatesDataTable[SeriesType],OneWeekMtgRatesDataTable[SeriesNumValue]),2,0)/100</f>
        <v>4.0557276764206132E-2</v>
      </c>
      <c r="F12" s="113">
        <f t="array" ref="F12">VLOOKUP($B$11&amp;$B12&amp;$F$4,IF({1,0},OneWeekMtgRatesDataTable[TickerName]&amp;OneWeekMtgRatesDataTable[Source]&amp;OneWeekMtgRatesDataTable[SeriesType],OneWeekMtgRatesDataTable[SeriesNumValue]),2,0)/100</f>
        <v>1.0788456950701228E-2</v>
      </c>
      <c r="G12" s="113">
        <f t="array" ref="G12">VLOOKUP($B$11&amp;$B12&amp;$E$4,IF({1,0},OneWeekMtgRatesDataTable8[TickerName]&amp;OneWeekMtgRatesDataTable8[Source]&amp;OneWeekMtgRatesDataTable8[SeriesType],OneWeekMtgRatesDataTable8[SeriesNumValue]),2,0)/100</f>
        <v>4.2186106422383469E-2</v>
      </c>
      <c r="H12" s="113">
        <f t="array" ref="H12">VLOOKUP($B$11&amp;$B12&amp;$F$4,IF({1,0},OneWeekMtgRatesDataTable8[TickerName]&amp;OneWeekMtgRatesDataTable8[Source]&amp;OneWeekMtgRatesDataTable8[SeriesType],OneWeekMtgRatesDataTable8[SeriesNumValue]),2,0)/100</f>
        <v>1.0558453898757869E-2</v>
      </c>
    </row>
    <row r="13" spans="2:8">
      <c r="B13" s="111" t="s">
        <v>53</v>
      </c>
      <c r="C13" s="114"/>
      <c r="D13" s="114"/>
      <c r="E13" s="114"/>
      <c r="F13" s="114"/>
      <c r="G13" s="114"/>
      <c r="H13" s="114"/>
    </row>
    <row r="14" spans="2:8">
      <c r="B14" s="112" t="s">
        <v>20</v>
      </c>
      <c r="C14" s="113">
        <f t="array" ref="C14">VLOOKUP($B$13&amp;B14&amp;$C$4,IF({1,0},OneDayMtgRatesDataTable[TickerName]&amp;OneDayMtgRatesDataTable[Source]&amp;OneDayMtgRatesDataTable[SeriesType],OneDayMtgRatesDataTable[SeriesNumValue]),2,0)/100</f>
        <v>4.163E-2</v>
      </c>
      <c r="D14" s="113">
        <f t="array" ref="D14">VLOOKUP($B$13&amp;$B14&amp;$D$4,IF({1,0},OneDayMtgRatesDataTable[TickerName]&amp;OneDayMtgRatesDataTable[Source]&amp;OneDayMtgRatesDataTable[SeriesType],OneDayMtgRatesDataTable[SeriesNumValue]),2,0)/100</f>
        <v>1.4191504327559102E-2</v>
      </c>
      <c r="E14" s="113">
        <f t="array" ref="E14">VLOOKUP($B$13&amp;$B14&amp;$E$4,IF({1,0},OneWeekMtgRatesDataTable[TickerName]&amp;OneWeekMtgRatesDataTable[Source]&amp;OneWeekMtgRatesDataTable[SeriesType],OneWeekMtgRatesDataTable[SeriesNumValue]),2,0)/100</f>
        <v>4.2588749999999995E-2</v>
      </c>
      <c r="F14" s="113">
        <f t="array" ref="F14">VLOOKUP($B$13&amp;$B14&amp;$F$4,IF({1,0},OneWeekMtgRatesDataTable[TickerName]&amp;OneWeekMtgRatesDataTable[Source]&amp;OneWeekMtgRatesDataTable[SeriesType],OneWeekMtgRatesDataTable[SeriesNumValue]),2,0)/100</f>
        <v>1.4482824952560903E-2</v>
      </c>
      <c r="G14" s="113">
        <f t="array" ref="G14">VLOOKUP($B$13&amp;$B14&amp;$E$4,IF({1,0},OneWeekMtgRatesDataTable8[TickerName]&amp;OneWeekMtgRatesDataTable8[Source]&amp;OneWeekMtgRatesDataTable8[SeriesType],OneWeekMtgRatesDataTable8[SeriesNumValue]),2,0)/100</f>
        <v>4.322875000000001E-2</v>
      </c>
      <c r="H14" s="113">
        <f t="array" ref="H14">VLOOKUP($B$13&amp;$B14&amp;$F$4,IF({1,0},OneWeekMtgRatesDataTable8[TickerName]&amp;OneWeekMtgRatesDataTable8[Source]&amp;OneWeekMtgRatesDataTable8[SeriesType],OneWeekMtgRatesDataTable8[SeriesNumValue]),2,0)/100</f>
        <v>1.3622393232741802E-2</v>
      </c>
    </row>
    <row r="23" spans="2:12">
      <c r="B23" s="1"/>
      <c r="C23" s="1"/>
      <c r="F23" s="1"/>
      <c r="G23" s="1"/>
      <c r="H23" s="1"/>
      <c r="I23" s="1"/>
      <c r="J23" s="1"/>
      <c r="K23" s="1"/>
      <c r="L23" s="1"/>
    </row>
    <row r="24" spans="2:12">
      <c r="B24" s="1"/>
      <c r="C24" s="1"/>
      <c r="E24" s="42"/>
      <c r="F24" s="42"/>
      <c r="G24" s="42"/>
      <c r="H24" s="42"/>
      <c r="I24" s="42"/>
      <c r="J24" s="42"/>
      <c r="K24" s="42"/>
      <c r="L24" s="42"/>
    </row>
    <row r="25" spans="2:12">
      <c r="B25" s="1"/>
      <c r="C25" s="1"/>
      <c r="E25" s="40"/>
      <c r="F25" s="40"/>
      <c r="G25" s="40"/>
      <c r="H25" s="40"/>
      <c r="I25" s="40"/>
      <c r="J25" s="40"/>
      <c r="K25" s="40"/>
      <c r="L25" s="40"/>
    </row>
    <row r="26" spans="2:12">
      <c r="B26" s="1"/>
      <c r="C26" s="1"/>
      <c r="E26" s="40"/>
      <c r="F26" s="40"/>
      <c r="G26" s="40"/>
      <c r="H26" s="40"/>
      <c r="I26" s="40"/>
      <c r="J26" s="40"/>
      <c r="K26" s="40"/>
      <c r="L26" s="40"/>
    </row>
    <row r="27" spans="2:12">
      <c r="B27" s="1"/>
      <c r="C27" s="1"/>
      <c r="E27" s="40"/>
      <c r="F27" s="40"/>
      <c r="G27" s="40"/>
      <c r="H27" s="40"/>
      <c r="I27" s="40"/>
      <c r="J27" s="40"/>
      <c r="K27" s="40"/>
      <c r="L27" s="40"/>
    </row>
    <row r="28" spans="2:12">
      <c r="B28" s="1"/>
      <c r="C28" s="1"/>
      <c r="E28" s="40"/>
      <c r="F28" s="40"/>
      <c r="G28" s="40"/>
      <c r="H28" s="40"/>
      <c r="I28" s="40"/>
      <c r="J28" s="40"/>
      <c r="K28" s="40"/>
      <c r="L28" s="40"/>
    </row>
    <row r="29" spans="2:12">
      <c r="B29" s="1"/>
      <c r="C29" s="1"/>
      <c r="E29" s="40"/>
      <c r="F29" s="40"/>
      <c r="G29" s="40"/>
      <c r="H29" s="40"/>
      <c r="I29" s="40"/>
      <c r="J29" s="40"/>
      <c r="K29" s="40"/>
      <c r="L29" s="40"/>
    </row>
    <row r="30" spans="2:12">
      <c r="B30" s="1"/>
      <c r="C30" s="1"/>
      <c r="E30" s="40"/>
      <c r="F30" s="40"/>
      <c r="G30" s="40"/>
      <c r="H30" s="40"/>
      <c r="I30" s="40"/>
      <c r="J30" s="40"/>
      <c r="K30" s="40"/>
      <c r="L30" s="40"/>
    </row>
    <row r="31" spans="2:12">
      <c r="B31" s="1"/>
      <c r="C31" s="1"/>
      <c r="E31" s="40"/>
      <c r="F31" s="40"/>
      <c r="G31" s="40"/>
      <c r="H31" s="40"/>
      <c r="I31" s="40"/>
      <c r="J31" s="40"/>
      <c r="K31" s="40"/>
      <c r="L31" s="40"/>
    </row>
    <row r="32" spans="2:12">
      <c r="B32" s="1"/>
      <c r="C32" s="1"/>
      <c r="E32" s="40"/>
      <c r="F32" s="40"/>
      <c r="G32" s="40"/>
      <c r="H32" s="40"/>
      <c r="I32" s="40"/>
      <c r="J32" s="40"/>
      <c r="K32" s="40"/>
      <c r="L32" s="40"/>
    </row>
  </sheetData>
  <mergeCells count="3">
    <mergeCell ref="C3:D3"/>
    <mergeCell ref="E3:F3"/>
    <mergeCell ref="G3:H3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3"/>
  <sheetViews>
    <sheetView workbookViewId="0">
      <selection activeCell="M32" sqref="M32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11" ht="15">
      <c r="B1" s="1" t="s">
        <v>17</v>
      </c>
      <c r="C1" s="2" t="s">
        <v>52</v>
      </c>
    </row>
    <row r="2" spans="2:11">
      <c r="B2" s="191" t="s">
        <v>3</v>
      </c>
      <c r="C2" s="191"/>
      <c r="D2" s="4"/>
      <c r="E2" s="191" t="s">
        <v>5</v>
      </c>
      <c r="F2" s="191"/>
      <c r="H2" s="191" t="s">
        <v>12</v>
      </c>
      <c r="I2" s="191"/>
    </row>
    <row r="4" spans="2:11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5" t="s">
        <v>8</v>
      </c>
      <c r="F4" s="13">
        <f>1-((C4/12*(1+C4/12)^360)/((1+C4/12)^360-1)*((1+C5/12)^360-1)/(C5/12*(1+C5/12)^360))</f>
        <v>2.042283217530938E-2</v>
      </c>
      <c r="H4" s="8" t="s">
        <v>11</v>
      </c>
      <c r="I4" s="9">
        <f>C4-(1%-F7)/4</f>
        <v>4.3855708043827345E-2</v>
      </c>
      <c r="K4" s="2" t="str">
        <f t="array" ref="K4">IF({1,0},CurrentMtgRatesDataTable[Source]&amp;CurrentMtgRatesDataTable[TickerName]&amp;CurrentMtgRatesDataTable[SeriesType],CurrentMtgRatesDataTable[SeriesNumValue])</f>
        <v>Bank of America30YrConformingConventional1Point Rate</v>
      </c>
    </row>
    <row r="5" spans="2:11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4.2979999999999997E-2</v>
      </c>
      <c r="D5" s="5"/>
      <c r="E5" s="6" t="s">
        <v>14</v>
      </c>
      <c r="F5" s="17">
        <f>C8</f>
        <v>7.2299999999999994E-3</v>
      </c>
      <c r="K5" s="2">
        <f t="array" ref="K5">VLOOKUP(B1&amp;C1&amp;B4, IF({1,0},CurrentMtgRatesDataTable[Source]&amp;CurrentMtgRatesDataTable[TickerName]&amp;CurrentMtgRatesDataTable[SeriesType],CurrentMtgRatesDataTable[SeriesNumValue]),2,0)</f>
        <v>4.125</v>
      </c>
    </row>
    <row r="6" spans="2:11">
      <c r="B6" s="2" t="s">
        <v>1</v>
      </c>
      <c r="C6" s="7">
        <v>200000</v>
      </c>
      <c r="E6" s="6" t="s">
        <v>9</v>
      </c>
      <c r="F6" s="11">
        <f>F4-C8</f>
        <v>1.319283217530938E-2</v>
      </c>
      <c r="H6" s="2" t="s">
        <v>22</v>
      </c>
      <c r="I6" s="13">
        <f>C4-(0.01-(1-((C4/12*(1+C4/12)^360)/((1+C4/12)^360-1)*((1+C5/12)^360-1)/(C5/12*(1+C5/12)^360))))/4</f>
        <v>4.3855708043827345E-2</v>
      </c>
    </row>
    <row r="7" spans="2:11">
      <c r="B7" s="2" t="s">
        <v>4</v>
      </c>
      <c r="C7" s="18" t="s">
        <v>2</v>
      </c>
      <c r="D7" s="12"/>
      <c r="E7" s="2" t="s">
        <v>10</v>
      </c>
      <c r="F7" s="16">
        <f>F5+F6</f>
        <v>2.042283217530938E-2</v>
      </c>
    </row>
    <row r="8" spans="2:11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7.2299999999999994E-3</v>
      </c>
      <c r="D8" s="15"/>
    </row>
    <row r="13" spans="2:11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3"/>
  <sheetViews>
    <sheetView workbookViewId="0">
      <selection activeCell="I22" sqref="I22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 ht="15">
      <c r="B1" s="1" t="s">
        <v>18</v>
      </c>
      <c r="C1" s="2" t="s">
        <v>52</v>
      </c>
    </row>
    <row r="2" spans="2:9">
      <c r="B2" s="191" t="s">
        <v>3</v>
      </c>
      <c r="C2" s="191"/>
      <c r="D2" s="4"/>
      <c r="E2" s="191" t="s">
        <v>5</v>
      </c>
      <c r="F2" s="191"/>
      <c r="H2" s="191" t="s">
        <v>12</v>
      </c>
      <c r="I2" s="191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8.7579337893589626E-3</v>
      </c>
      <c r="H4" s="8" t="s">
        <v>11</v>
      </c>
      <c r="I4" s="9">
        <f>C4-(1%-F7)/4</f>
        <v>3.9689483447339739E-2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4.0730000000000002E-2</v>
      </c>
      <c r="D5" s="5"/>
      <c r="E5" s="6" t="s">
        <v>14</v>
      </c>
      <c r="F5" s="17">
        <f>C8</f>
        <v>8.7500000000000008E-3</v>
      </c>
    </row>
    <row r="6" spans="2:9">
      <c r="B6" s="2" t="s">
        <v>1</v>
      </c>
      <c r="C6" s="7">
        <v>215000</v>
      </c>
      <c r="E6" s="6" t="s">
        <v>9</v>
      </c>
      <c r="F6" s="11">
        <f>F4-C8</f>
        <v>7.9337893589617736E-6</v>
      </c>
      <c r="H6" s="2" t="s">
        <v>22</v>
      </c>
      <c r="I6" s="13">
        <f>C4-(0.01-(1-((C4/12*(1+C4/12)^360)/((1+C4/12)^360-1)*((1+C5/12)^360-1)/(C5/12*(1+C5/12)^360))))/4</f>
        <v>3.9689483447339739E-2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8.7579337893589626E-3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8.7500000000000008E-3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workbookViewId="0">
      <selection activeCell="I4" sqref="I4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89" t="s">
        <v>19</v>
      </c>
      <c r="C1" s="90" t="s">
        <v>52</v>
      </c>
    </row>
    <row r="2" spans="2:9">
      <c r="B2" s="191" t="s">
        <v>3</v>
      </c>
      <c r="C2" s="191"/>
      <c r="D2" s="4"/>
      <c r="E2" s="191" t="s">
        <v>5</v>
      </c>
      <c r="F2" s="191"/>
      <c r="H2" s="191" t="s">
        <v>12</v>
      </c>
      <c r="I2" s="191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3.9900000000000005E-2</v>
      </c>
      <c r="D4" s="5"/>
      <c r="E4" s="5" t="s">
        <v>8</v>
      </c>
      <c r="F4" s="13">
        <f>1-((C4/12*(1+C4/12)^360)/((1+C4/12)^360-1)*((1+C5/12)^360-1)/(C5/12*(1+C5/12)^360))</f>
        <v>2.8617053267579351E-2</v>
      </c>
      <c r="H4" s="8" t="s">
        <v>11</v>
      </c>
      <c r="I4" s="124">
        <f>C4-(1%-F7)/4</f>
        <v>4.455426331689484E-2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4.2320000000000003E-2</v>
      </c>
      <c r="D5" s="5"/>
      <c r="E5" s="6" t="s">
        <v>14</v>
      </c>
      <c r="F5" s="17">
        <f>C8</f>
        <v>1.8749999999999999E-2</v>
      </c>
    </row>
    <row r="6" spans="2:9">
      <c r="B6" s="2" t="s">
        <v>1</v>
      </c>
      <c r="C6" s="7">
        <v>200000</v>
      </c>
      <c r="E6" s="6" t="s">
        <v>9</v>
      </c>
      <c r="F6" s="11">
        <f>F4-C8</f>
        <v>9.8670532675793517E-3</v>
      </c>
      <c r="H6" s="2" t="s">
        <v>22</v>
      </c>
      <c r="I6" s="13">
        <f>C4-(0.01-(1-((C4/12*(1+C4/12)^360)/((1+C4/12)^360-1)*((1+C5/12)^360-1)/(C5/12*(1+C5/12)^360))))/4</f>
        <v>4.455426331689484E-2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2.8617053267579351E-2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1.8749999999999999E-2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3"/>
  <sheetViews>
    <sheetView workbookViewId="0">
      <selection activeCell="I4" sqref="I4"/>
    </sheetView>
  </sheetViews>
  <sheetFormatPr defaultRowHeight="15"/>
  <cols>
    <col min="2" max="3" width="15.7109375" customWidth="1"/>
    <col min="4" max="4" width="2.140625" style="1" customWidth="1"/>
    <col min="5" max="5" width="23.140625" bestFit="1" customWidth="1"/>
    <col min="6" max="6" width="15.7109375" customWidth="1"/>
    <col min="7" max="7" width="2.7109375" customWidth="1"/>
    <col min="8" max="9" width="15.7109375" customWidth="1"/>
  </cols>
  <sheetData>
    <row r="1" spans="2:9">
      <c r="B1" s="1" t="s">
        <v>20</v>
      </c>
      <c r="C1" s="1" t="s">
        <v>52</v>
      </c>
    </row>
    <row r="2" spans="2:9">
      <c r="B2" s="191" t="s">
        <v>3</v>
      </c>
      <c r="C2" s="191"/>
      <c r="D2" s="4"/>
      <c r="E2" s="191" t="s">
        <v>5</v>
      </c>
      <c r="F2" s="191"/>
      <c r="G2" s="2"/>
      <c r="H2" s="191" t="s">
        <v>12</v>
      </c>
      <c r="I2" s="191"/>
    </row>
    <row r="3" spans="2:9">
      <c r="B3" s="2"/>
      <c r="C3" s="2"/>
      <c r="D3" s="2"/>
      <c r="E3" s="2"/>
      <c r="F3" s="2"/>
      <c r="G3" s="2"/>
      <c r="H3" s="2"/>
      <c r="I3" s="2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4.2500000000000003E-2</v>
      </c>
      <c r="D4" s="5"/>
      <c r="E4" s="6" t="s">
        <v>6</v>
      </c>
      <c r="F4" s="7">
        <f>((CIR/12*(1+CIR/12)^360)/((1+CIR/12)^360-1)*((1+CAPR/12)^360-1)/(CAPR/12*(1+CAPR/12)^360))*CP</f>
        <v>199477.40427241038</v>
      </c>
      <c r="G4" s="2"/>
      <c r="H4" s="8" t="s">
        <v>11</v>
      </c>
      <c r="I4" s="124">
        <f>CIR-(1%-F9)/4</f>
        <v>4.2875744659487021E-2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4.2720000000000001E-2</v>
      </c>
      <c r="D5" s="5"/>
      <c r="E5" s="10" t="s">
        <v>8</v>
      </c>
      <c r="F5" s="11">
        <f>1-F4/CP</f>
        <v>2.6129786379480713E-3</v>
      </c>
      <c r="G5" s="2"/>
      <c r="H5" s="2"/>
      <c r="I5" s="2"/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D6" s="2"/>
      <c r="E6" s="5" t="s">
        <v>15</v>
      </c>
      <c r="F6" s="13">
        <f>1-((CIR/12*(1+CIR/12)^360)/((1+CIR/12)^360-1)*((1+CAPR/12)^360-1)/(CAPR/12*(1+CAPR/12)^360))</f>
        <v>2.6129786379480713E-3</v>
      </c>
      <c r="G6" s="2"/>
      <c r="H6" s="2" t="s">
        <v>22</v>
      </c>
      <c r="I6" s="13">
        <f>CIR-(0.01-(1-((CIR/12*(1+CIR/12)^360)/((1+CIR/12)^360-1)*((1+CAPR/12)^360-1)/(CAPR/12*(1+CAPR/12)^360)) + C7/CP))/4</f>
        <v>4.2875744659487021E-2</v>
      </c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1778</v>
      </c>
      <c r="D7" s="12"/>
      <c r="E7" s="2"/>
      <c r="F7" s="2"/>
      <c r="G7" s="2"/>
      <c r="H7" s="2"/>
      <c r="I7" s="2"/>
    </row>
    <row r="8" spans="2:9">
      <c r="B8" s="6" t="s">
        <v>7</v>
      </c>
      <c r="C8" s="14" t="s">
        <v>2</v>
      </c>
      <c r="D8" s="15"/>
      <c r="E8" s="2" t="s">
        <v>9</v>
      </c>
      <c r="F8" s="13">
        <f>C7/CP</f>
        <v>8.8900000000000003E-3</v>
      </c>
      <c r="G8" s="2"/>
      <c r="H8" s="2"/>
      <c r="I8" s="2"/>
    </row>
    <row r="9" spans="2:9">
      <c r="B9" s="2"/>
      <c r="C9" s="2"/>
      <c r="D9" s="2"/>
      <c r="E9" s="2" t="s">
        <v>10</v>
      </c>
      <c r="F9" s="16">
        <f>F6+F8</f>
        <v>1.1502978637948072E-2</v>
      </c>
      <c r="G9" s="2"/>
      <c r="H9" s="2"/>
      <c r="I9" s="2"/>
    </row>
    <row r="10" spans="2:9">
      <c r="B10" s="2"/>
      <c r="C10" s="2"/>
      <c r="D10" s="2"/>
      <c r="E10" s="2"/>
      <c r="F10" s="2"/>
      <c r="G10" s="2"/>
      <c r="H10" s="2"/>
      <c r="I10" s="2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2"/>
      <c r="E12" s="2"/>
      <c r="F12" s="2"/>
      <c r="G12" s="2"/>
      <c r="H12" s="2"/>
      <c r="I12" s="2"/>
    </row>
    <row r="13" spans="2:9">
      <c r="B13" s="2" t="s">
        <v>13</v>
      </c>
      <c r="C13" s="2"/>
      <c r="D13" s="2"/>
      <c r="E13" s="2"/>
      <c r="F13" s="2"/>
      <c r="G13" s="2"/>
      <c r="H13" s="2"/>
      <c r="I13" s="2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42"/>
  <sheetViews>
    <sheetView workbookViewId="0">
      <selection activeCell="F15" sqref="F15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89" t="s">
        <v>20</v>
      </c>
      <c r="C1" s="90" t="s">
        <v>54</v>
      </c>
    </row>
    <row r="2" spans="2:9">
      <c r="B2" s="191" t="s">
        <v>3</v>
      </c>
      <c r="C2" s="191"/>
      <c r="D2" s="20"/>
      <c r="E2" s="191" t="s">
        <v>5</v>
      </c>
      <c r="F2" s="191"/>
      <c r="H2" s="191" t="s">
        <v>12</v>
      </c>
      <c r="I2" s="191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4.2500000000000003E-2</v>
      </c>
      <c r="D4" s="5"/>
      <c r="E4" s="5" t="s">
        <v>8</v>
      </c>
      <c r="F4" s="13">
        <f>1-((C4/12*(1+C4/12)^360)/((1+C4/12)^360-1)*((1+C5/12)^360-1)/(C5/12*(1+C5/12)^360))</f>
        <v>8.3250996331074578E-4</v>
      </c>
      <c r="H4" s="8" t="s">
        <v>11</v>
      </c>
      <c r="I4" s="9">
        <f>C4-(1%-F7)/4</f>
        <v>4.0771627490827689E-2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4.2569999999999997E-2</v>
      </c>
      <c r="D5" s="5"/>
      <c r="E5" s="6" t="s">
        <v>14</v>
      </c>
      <c r="F5" s="17">
        <f>F4</f>
        <v>8.3250996331074578E-4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500000</v>
      </c>
      <c r="E6" s="6" t="s">
        <v>9</v>
      </c>
      <c r="F6" s="11">
        <f>C7/C6</f>
        <v>2.2539999999999999E-3</v>
      </c>
      <c r="H6" s="2" t="s">
        <v>22</v>
      </c>
      <c r="I6" s="13">
        <f>C4-(0.01-(1-((C4/12*(1+C4/12)^360)/((1+C4/12)^360-1)*((1+C5/12)^360-1)/(C5/12*(1+C5/12)^360)) + C7/C6))/4</f>
        <v>4.0771627490827689E-2</v>
      </c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1127</v>
      </c>
      <c r="D7" s="12"/>
      <c r="E7" s="2" t="s">
        <v>10</v>
      </c>
      <c r="F7" s="16">
        <f>F5+F6</f>
        <v>3.0865099633107457E-3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17" spans="2:6" ht="15">
      <c r="B17" s="1"/>
      <c r="C17" s="22"/>
      <c r="D17" s="1"/>
      <c r="E17" s="1"/>
      <c r="F17" s="22"/>
    </row>
    <row r="18" spans="2:6" ht="15">
      <c r="B18" s="1"/>
      <c r="C18" s="23"/>
      <c r="D18" s="1"/>
      <c r="E18" s="1"/>
      <c r="F18" s="23"/>
    </row>
    <row r="19" spans="2:6" ht="15">
      <c r="B19" s="1"/>
      <c r="C19" s="24"/>
      <c r="D19" s="1"/>
      <c r="E19" s="1"/>
      <c r="F19" s="24"/>
    </row>
    <row r="20" spans="2:6" ht="15">
      <c r="B20" s="1"/>
      <c r="C20" s="25"/>
      <c r="D20" s="1"/>
      <c r="E20" s="1"/>
      <c r="F20" s="23"/>
    </row>
    <row r="21" spans="2:6" ht="15">
      <c r="B21" s="1"/>
      <c r="C21" s="1"/>
      <c r="D21" s="1"/>
      <c r="E21" s="1"/>
      <c r="F21" s="1"/>
    </row>
    <row r="22" spans="2:6" ht="15">
      <c r="B22" s="1"/>
      <c r="C22" s="26"/>
      <c r="D22" s="1"/>
      <c r="E22" s="1"/>
      <c r="F22" s="19"/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42"/>
  <sheetViews>
    <sheetView workbookViewId="0">
      <selection activeCell="M43" sqref="M43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2" t="s">
        <v>20</v>
      </c>
      <c r="C1" s="2" t="s">
        <v>55</v>
      </c>
    </row>
    <row r="2" spans="2:9">
      <c r="B2" s="191" t="s">
        <v>3</v>
      </c>
      <c r="C2" s="191"/>
      <c r="D2" s="20"/>
      <c r="E2" s="191" t="s">
        <v>5</v>
      </c>
      <c r="F2" s="191"/>
      <c r="H2" s="191" t="s">
        <v>12</v>
      </c>
      <c r="I2" s="191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5" t="s">
        <v>8</v>
      </c>
      <c r="F4" s="13">
        <f>1-((C4/12*(1+C4/12)^360)/((1+C4/12)^360-1)*((1+C5/12)^360-1)/(C5/12*(1+C5/12)^360))</f>
        <v>7.1888598816838289E-4</v>
      </c>
      <c r="H4" s="8" t="s">
        <v>11</v>
      </c>
      <c r="I4" s="9">
        <f>C4-(1%-F7)/4</f>
        <v>3.9663054830375431E-2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4.1309999999999999E-2</v>
      </c>
      <c r="D5" s="5"/>
      <c r="E5" s="6" t="s">
        <v>14</v>
      </c>
      <c r="F5" s="17">
        <f>F4</f>
        <v>7.1888598816838289E-4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750000</v>
      </c>
      <c r="E6" s="6" t="s">
        <v>9</v>
      </c>
      <c r="F6" s="11">
        <f>C7/C6</f>
        <v>2.9333333333333334E-3</v>
      </c>
      <c r="H6" s="2" t="s">
        <v>22</v>
      </c>
      <c r="I6" s="13">
        <f>C4-(0.01-(1-((C4/12*(1+C4/12)^360)/((1+C4/12)^360-1)*((1+C5/12)^360-1)/(C5/12*(1+C5/12)^360)) + C7/C6))/4</f>
        <v>3.9663054830375431E-2</v>
      </c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2200</v>
      </c>
      <c r="D7" s="12"/>
      <c r="E7" s="2" t="s">
        <v>10</v>
      </c>
      <c r="F7" s="16">
        <f>F5+F6</f>
        <v>3.6522193215017163E-3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3"/>
  <sheetViews>
    <sheetView workbookViewId="0">
      <selection activeCell="I10" sqref="I10"/>
    </sheetView>
  </sheetViews>
  <sheetFormatPr defaultRowHeight="12.75"/>
  <cols>
    <col min="1" max="1" width="9.140625" style="2"/>
    <col min="2" max="2" width="38" style="2" bestFit="1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89" t="s">
        <v>20</v>
      </c>
      <c r="C1" s="90" t="s">
        <v>53</v>
      </c>
    </row>
    <row r="2" spans="2:9">
      <c r="B2" s="191" t="s">
        <v>3</v>
      </c>
      <c r="C2" s="191"/>
      <c r="D2" s="21"/>
      <c r="E2" s="191" t="s">
        <v>5</v>
      </c>
      <c r="F2" s="191"/>
      <c r="H2" s="191" t="s">
        <v>12</v>
      </c>
      <c r="I2" s="191"/>
    </row>
    <row r="4" spans="2:9">
      <c r="B4" s="76" t="s">
        <v>25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34</v>
      </c>
      <c r="F4" s="13">
        <f>C9/C6</f>
        <v>1.7500000000000002E-2</v>
      </c>
      <c r="H4" s="8" t="s">
        <v>11</v>
      </c>
      <c r="I4" s="9">
        <f>C4-(1%-F7)/4</f>
        <v>4.1312500000000002E-2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5.0320000000000004E-2</v>
      </c>
      <c r="D5" s="5"/>
      <c r="E5" s="32" t="s">
        <v>14</v>
      </c>
      <c r="F5" s="33">
        <f>C8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32" t="s">
        <v>9</v>
      </c>
      <c r="F6" s="34">
        <f>C7/C6-F4</f>
        <v>1.525E-2</v>
      </c>
      <c r="I6" s="13"/>
    </row>
    <row r="7" spans="2:9">
      <c r="B7" s="76" t="s">
        <v>71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6550</v>
      </c>
      <c r="D7" s="12"/>
      <c r="E7" s="2" t="s">
        <v>10</v>
      </c>
      <c r="F7" s="16">
        <f>F5+F6</f>
        <v>1.525E-2</v>
      </c>
    </row>
    <row r="8" spans="2:9">
      <c r="B8" s="2" t="s">
        <v>7</v>
      </c>
      <c r="C8" s="34">
        <v>0</v>
      </c>
      <c r="D8" s="15"/>
    </row>
    <row r="9" spans="2:9">
      <c r="B9" s="76" t="s">
        <v>41</v>
      </c>
      <c r="C9" s="31">
        <f t="array" ref="C9">VLOOKUP($B$1&amp;$C$1&amp;B9,IF({1,0},CurrentMtgRatesDataTable[Source]&amp;CurrentMtgRatesDataTable[TickerName]&amp;CurrentMtgRatesDataTable[SeriesType],CurrentMtgRatesDataTable[SeriesNumValue]),2,0)</f>
        <v>3500</v>
      </c>
      <c r="E9" s="35" t="s">
        <v>42</v>
      </c>
      <c r="F9" s="13">
        <f>C7/C6</f>
        <v>3.2750000000000001E-2</v>
      </c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24</vt:i4>
      </vt:variant>
    </vt:vector>
  </HeadingPairs>
  <TitlesOfParts>
    <vt:vector size="37" baseType="lpstr">
      <vt:lpstr>Report</vt:lpstr>
      <vt:lpstr>Time Series Query</vt:lpstr>
      <vt:lpstr>Rates Summary</vt:lpstr>
      <vt:lpstr>Upload Result</vt:lpstr>
      <vt:lpstr>Input Data</vt:lpstr>
      <vt:lpstr>Historic Result</vt:lpstr>
      <vt:lpstr>BoA - Conventional</vt:lpstr>
      <vt:lpstr>Chase - Conventional</vt:lpstr>
      <vt:lpstr>Quicken - Conventional</vt:lpstr>
      <vt:lpstr>Wells - Conventional</vt:lpstr>
      <vt:lpstr>Wells - Jumbo conformin</vt:lpstr>
      <vt:lpstr>Wells - Jumbo Non-conforming</vt:lpstr>
      <vt:lpstr>Wells - FHA</vt:lpstr>
      <vt:lpstr>'Wells - Jumbo conformin'!AIR</vt:lpstr>
      <vt:lpstr>'Wells - Jumbo Non-conforming'!AIR</vt:lpstr>
      <vt:lpstr>AIR</vt:lpstr>
      <vt:lpstr>'Wells - Jumbo conformin'!BOAIR</vt:lpstr>
      <vt:lpstr>'Wells - Jumbo Non-conforming'!BOAIR</vt:lpstr>
      <vt:lpstr>BOAIR</vt:lpstr>
      <vt:lpstr>CAPR</vt:lpstr>
      <vt:lpstr>CIR</vt:lpstr>
      <vt:lpstr>CP</vt:lpstr>
      <vt:lpstr>CurrentCloseDate</vt:lpstr>
      <vt:lpstr>DatabaseEnv</vt:lpstr>
      <vt:lpstr>HistoricalMtgRatesDataTable</vt:lpstr>
      <vt:lpstr>HistoricStartDate</vt:lpstr>
      <vt:lpstr>OneDayBusDate</vt:lpstr>
      <vt:lpstr>OneMonthBusDate</vt:lpstr>
      <vt:lpstr>OneMonthMtgRatesDataTable</vt:lpstr>
      <vt:lpstr>OneMonthMtgRatesDataTable1</vt:lpstr>
      <vt:lpstr>OneWeekBusDate</vt:lpstr>
      <vt:lpstr>PDFReportDir</vt:lpstr>
      <vt:lpstr>PDFReportName</vt:lpstr>
      <vt:lpstr>Report!Print_Area</vt:lpstr>
      <vt:lpstr>RatesList</vt:lpstr>
      <vt:lpstr>SaveRatesToDB</vt:lpstr>
      <vt:lpstr>WIR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2015-08-04T14:57:35Z</cp:lastPrinted>
  <dcterms:created xsi:type="dcterms:W3CDTF">2015-02-26T13:52:04Z</dcterms:created>
  <dcterms:modified xsi:type="dcterms:W3CDTF">2015-08-04T14:58:14Z</dcterms:modified>
</cp:coreProperties>
</file>