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60" windowWidth="31635" windowHeight="17175"/>
  </bookViews>
  <sheets>
    <sheet name="Result" sheetId="6" r:id="rId1"/>
    <sheet name="BoA - Conventional" sheetId="3" r:id="rId2"/>
    <sheet name="Chase - Conventional" sheetId="4" r:id="rId3"/>
    <sheet name="Quicken - Conventional" sheetId="5" r:id="rId4"/>
    <sheet name="Wells - Conventional" sheetId="2" r:id="rId5"/>
    <sheet name="Wells - Jumbo conformin" sheetId="13" r:id="rId6"/>
    <sheet name="Wells - Jumbo Non-conforming" sheetId="12" r:id="rId7"/>
    <sheet name="Wells - FHA" sheetId="15" r:id="rId8"/>
    <sheet name="Input Data" sheetId="14" r:id="rId9"/>
    <sheet name="Historic Result" sheetId="16" r:id="rId10"/>
  </sheets>
  <definedNames>
    <definedName name="AIR" localSheetId="7">#REF!</definedName>
    <definedName name="AIR" localSheetId="5">'Wells - Jumbo conformin'!$AIR$4</definedName>
    <definedName name="AIR" localSheetId="6">'Wells - Jumbo Non-conforming'!$AIR$4</definedName>
    <definedName name="AIR">'BoA - Conventional'!$AIR$4</definedName>
    <definedName name="BOAIR" localSheetId="7">#REF!</definedName>
    <definedName name="BOAIR" localSheetId="5">'Wells - Jumbo conformin'!$AIR$4</definedName>
    <definedName name="BOAIR" localSheetId="6">'Wells - Jumbo Non-conforming'!$AIR$4</definedName>
    <definedName name="BOAIR">'BoA - Conventional'!$AIR$4</definedName>
    <definedName name="CAPR" localSheetId="7">#REF!</definedName>
    <definedName name="CAPR">'Wells - Conventional'!$C$5</definedName>
    <definedName name="CIR" localSheetId="7">#REF!</definedName>
    <definedName name="CIR">'Wells - Conventional'!$C$4</definedName>
    <definedName name="CP" localSheetId="7">#REF!</definedName>
    <definedName name="CP">'Wells - Conventional'!$C$6</definedName>
    <definedName name="IR" localSheetId="7">#REF!</definedName>
    <definedName name="IR" localSheetId="5">#REF!</definedName>
    <definedName name="IR" localSheetId="6">#REF!</definedName>
    <definedName name="IR">#REF!</definedName>
    <definedName name="WIR" localSheetId="7">#REF!</definedName>
    <definedName name="WIR">'Wells - Conventional'!$C$4</definedName>
  </definedNames>
  <calcPr calcId="145621"/>
</workbook>
</file>

<file path=xl/calcChain.xml><?xml version="1.0" encoding="utf-8"?>
<calcChain xmlns="http://schemas.openxmlformats.org/spreadsheetml/2006/main">
  <c r="F5" i="14" l="1"/>
  <c r="F4" i="14"/>
  <c r="F3" i="14"/>
  <c r="F2" i="14"/>
  <c r="Q18" i="6" l="1"/>
  <c r="D25" i="6"/>
  <c r="N18" i="6" s="1"/>
  <c r="R18" i="6" s="1"/>
  <c r="D24" i="6"/>
  <c r="P18" i="6" l="1"/>
  <c r="O18" i="6" l="1"/>
  <c r="C4" i="15"/>
  <c r="C7" i="15"/>
  <c r="C6" i="15"/>
  <c r="C5" i="15"/>
  <c r="C5" i="12"/>
  <c r="C4" i="12"/>
  <c r="C7" i="12"/>
  <c r="C6" i="12"/>
  <c r="C5" i="13"/>
  <c r="C4" i="13"/>
  <c r="C7" i="13"/>
  <c r="C6" i="13"/>
  <c r="C5" i="2"/>
  <c r="C4" i="2"/>
  <c r="C7" i="2"/>
  <c r="C6" i="2"/>
  <c r="C8" i="5" l="1"/>
  <c r="C5" i="5"/>
  <c r="C4" i="5"/>
  <c r="C5" i="4" l="1"/>
  <c r="C4" i="4"/>
  <c r="C8" i="4"/>
  <c r="F9" i="15"/>
  <c r="F5" i="15"/>
  <c r="F4" i="15"/>
  <c r="F6" i="15" s="1"/>
  <c r="C8" i="3"/>
  <c r="C5" i="3"/>
  <c r="C4" i="3"/>
  <c r="F7" i="15" l="1"/>
  <c r="I4" i="15" s="1"/>
  <c r="G16" i="6"/>
  <c r="D16" i="6"/>
  <c r="G14" i="6"/>
  <c r="D14" i="6"/>
  <c r="I6" i="12" l="1"/>
  <c r="I6" i="13"/>
  <c r="F6" i="13" l="1"/>
  <c r="K14" i="6" s="1"/>
  <c r="F4" i="13"/>
  <c r="F5" i="13" s="1"/>
  <c r="F6" i="12"/>
  <c r="K16" i="6" s="1"/>
  <c r="F4" i="12"/>
  <c r="F5" i="12" s="1"/>
  <c r="J16" i="6" s="1"/>
  <c r="F7" i="13" l="1"/>
  <c r="J14" i="6"/>
  <c r="F7" i="12"/>
  <c r="I4" i="12" l="1"/>
  <c r="M16" i="6" s="1"/>
  <c r="L16" i="6"/>
  <c r="I4" i="13"/>
  <c r="M14" i="6" s="1"/>
  <c r="L14" i="6"/>
  <c r="Q14" i="6" l="1"/>
  <c r="O14" i="6"/>
  <c r="O16" i="6"/>
  <c r="Q16" i="6"/>
  <c r="N14" i="6"/>
  <c r="N16" i="6"/>
  <c r="P16" i="6" l="1"/>
  <c r="R16" i="6"/>
  <c r="P14" i="6"/>
  <c r="R14" i="6"/>
  <c r="I6" i="5"/>
  <c r="I6" i="4"/>
  <c r="I6" i="3"/>
  <c r="I6" i="2"/>
  <c r="G11" i="6"/>
  <c r="G10" i="6"/>
  <c r="G9" i="6"/>
  <c r="G8" i="6"/>
  <c r="G12" i="6" l="1"/>
  <c r="D11" i="6"/>
  <c r="D10" i="6"/>
  <c r="D9" i="6"/>
  <c r="D8" i="6"/>
  <c r="F5" i="5"/>
  <c r="J10" i="6" s="1"/>
  <c r="F4" i="5"/>
  <c r="F6" i="5" s="1"/>
  <c r="K10" i="6" s="1"/>
  <c r="F5" i="4"/>
  <c r="F4" i="4"/>
  <c r="F6" i="4" s="1"/>
  <c r="F5" i="3"/>
  <c r="J8" i="6" s="1"/>
  <c r="F4" i="3"/>
  <c r="F6" i="3" s="1"/>
  <c r="K8" i="6" s="1"/>
  <c r="F8" i="2"/>
  <c r="K11" i="6" s="1"/>
  <c r="F6" i="2"/>
  <c r="F4" i="2"/>
  <c r="F5" i="2" s="1"/>
  <c r="K12" i="6" l="1"/>
  <c r="F9" i="2"/>
  <c r="I4" i="2" s="1"/>
  <c r="M11" i="6" s="1"/>
  <c r="J11" i="6"/>
  <c r="J12" i="6" s="1"/>
  <c r="D12" i="6"/>
  <c r="F7" i="3"/>
  <c r="L8" i="6" s="1"/>
  <c r="F7" i="5"/>
  <c r="I4" i="5" s="1"/>
  <c r="F7" i="4"/>
  <c r="O11" i="6" l="1"/>
  <c r="Q11" i="6"/>
  <c r="L11" i="6"/>
  <c r="N11" i="6"/>
  <c r="I4" i="4"/>
  <c r="M9" i="6" s="1"/>
  <c r="L9" i="6"/>
  <c r="I4" i="3"/>
  <c r="M8" i="6" s="1"/>
  <c r="M10" i="6"/>
  <c r="L10" i="6"/>
  <c r="O10" i="6" l="1"/>
  <c r="Q10" i="6"/>
  <c r="O8" i="6"/>
  <c r="Q8" i="6"/>
  <c r="Q9" i="6"/>
  <c r="O9" i="6"/>
  <c r="R11" i="6"/>
  <c r="P11" i="6"/>
  <c r="O12" i="6"/>
  <c r="N9" i="6"/>
  <c r="N8" i="6"/>
  <c r="L12" i="6"/>
  <c r="N10" i="6"/>
  <c r="M12" i="6"/>
  <c r="Q12" i="6" l="1"/>
  <c r="P8" i="6"/>
  <c r="R8" i="6"/>
  <c r="P10" i="6"/>
  <c r="R10" i="6"/>
  <c r="R9" i="6"/>
  <c r="P9" i="6"/>
  <c r="N12" i="6"/>
  <c r="P12" i="6" l="1"/>
  <c r="R12" i="6"/>
</calcChain>
</file>

<file path=xl/sharedStrings.xml><?xml version="1.0" encoding="utf-8"?>
<sst xmlns="http://schemas.openxmlformats.org/spreadsheetml/2006/main" count="206" uniqueCount="58">
  <si>
    <t>Interest Rates</t>
  </si>
  <si>
    <t>APR</t>
  </si>
  <si>
    <t>Loan Amount</t>
  </si>
  <si>
    <t>n/a</t>
  </si>
  <si>
    <t>Input</t>
  </si>
  <si>
    <t>Closing costs</t>
  </si>
  <si>
    <t>Intermediate Calculation</t>
  </si>
  <si>
    <t>Loan Amount for APR</t>
  </si>
  <si>
    <t>Points</t>
  </si>
  <si>
    <t>Points for APR</t>
  </si>
  <si>
    <t>Origination Points</t>
  </si>
  <si>
    <t>Total Points</t>
  </si>
  <si>
    <t>1-point rate</t>
  </si>
  <si>
    <t>Result</t>
  </si>
  <si>
    <t>No need to calculate numbers in the gray area</t>
  </si>
  <si>
    <t>Discount Point</t>
  </si>
  <si>
    <t>Points for APR(as Discount Points)</t>
  </si>
  <si>
    <t>30-year Conforming Conventional</t>
  </si>
  <si>
    <t>Bank of America</t>
  </si>
  <si>
    <t>Chase</t>
  </si>
  <si>
    <t>Quicken</t>
  </si>
  <si>
    <t>Wells Fargo</t>
  </si>
  <si>
    <t>Interest Rate</t>
  </si>
  <si>
    <t>1-Point Rate</t>
  </si>
  <si>
    <t>Average</t>
  </si>
  <si>
    <t>One formula for AA Software</t>
  </si>
  <si>
    <t>Current Coupon</t>
  </si>
  <si>
    <t>Type</t>
  </si>
  <si>
    <t>Rate</t>
  </si>
  <si>
    <t>FNMA 30-Year</t>
  </si>
  <si>
    <t>GNMA 30-Year</t>
  </si>
  <si>
    <t>Servicing Spread</t>
  </si>
  <si>
    <t>Discount Points</t>
  </si>
  <si>
    <t>1D Chg (bps)</t>
  </si>
  <si>
    <t>Base Rate</t>
  </si>
  <si>
    <t>30-year Jumbo Conforming</t>
  </si>
  <si>
    <t>30-year Jumbo Non-Conforming</t>
  </si>
  <si>
    <t>30-year FHA</t>
  </si>
  <si>
    <t>UFMIP</t>
  </si>
  <si>
    <t>Ann. MIP</t>
  </si>
  <si>
    <t>Date</t>
  </si>
  <si>
    <t>OriginatorNAme</t>
  </si>
  <si>
    <t>RateType</t>
  </si>
  <si>
    <t xml:space="preserve">Points </t>
  </si>
  <si>
    <t>Closing Cost</t>
  </si>
  <si>
    <t>Upfront MIP</t>
  </si>
  <si>
    <t>Upfront Mortgage Insurance Premium</t>
  </si>
  <si>
    <t>Closing Costs</t>
  </si>
  <si>
    <t>1D</t>
  </si>
  <si>
    <t>1W</t>
  </si>
  <si>
    <t>1D Rate Chg (bps)</t>
  </si>
  <si>
    <t>1D SS Chg (bps)</t>
  </si>
  <si>
    <t>1wk Rate Chg (bps)</t>
  </si>
  <si>
    <t>1wk SS Chg (bps)</t>
  </si>
  <si>
    <t>30YrConformingFHA</t>
  </si>
  <si>
    <t>30YrConformingConventional</t>
  </si>
  <si>
    <t xml:space="preserve"> 30YrJumboConforming</t>
  </si>
  <si>
    <t>30YrJumboNonConforming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</si>
</sst>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8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00%"/>
    <numFmt numFmtId="166" formatCode="0.000"/>
    <numFmt numFmtId="167" formatCode="0.0"/>
    <numFmt numFmtId="168" formatCode="\£\ #,##0_);[Red]\(\£\ #,##0\)"/>
    <numFmt numFmtId="169" formatCode="\¥\ #,##0_);[Red]\(\¥\ #,##0\)"/>
    <numFmt numFmtId="170" formatCode="\•\ \ @"/>
    <numFmt numFmtId="171" formatCode="_(&quot;$&quot;* #,##0_);_(&quot;$&quot;* \(#,##0.0\);_(&quot;$&quot;* &quot;-&quot;??_);_(@_)"/>
    <numFmt numFmtId="172" formatCode="&quot;$&quot;#,##0.000"/>
    <numFmt numFmtId="173" formatCode="&quot;$&quot;#,##0.000000_);\(&quot;$&quot;#,##0.000000\)"/>
    <numFmt numFmtId="174" formatCode="#,##0.0_);[Red]\(&quot;$&quot;#,##0.0\)"/>
    <numFmt numFmtId="175" formatCode="0.000_)"/>
    <numFmt numFmtId="176" formatCode="\ \ _•\–\ \ \ \ @"/>
    <numFmt numFmtId="177" formatCode="0.00&quot;%&quot;"/>
    <numFmt numFmtId="178" formatCode="0&quot;%&quot;"/>
    <numFmt numFmtId="179" formatCode="mmmm\ d\,\ yyyy"/>
    <numFmt numFmtId="180" formatCode="0.0000000"/>
    <numFmt numFmtId="181" formatCode="_([$€-2]* #,##0.00_);_([$€-2]* \(#,##0.00\);_([$€-2]* &quot;-&quot;??_)"/>
    <numFmt numFmtId="182" formatCode="dd\-mmm\-yy\ hh:mm:ss"/>
    <numFmt numFmtId="183" formatCode="0.00_)"/>
    <numFmt numFmtId="184" formatCode="0.0#\%;\-0.0#\%"/>
    <numFmt numFmtId="185" formatCode="#,##0.0\ ;\(#,##0.0\)"/>
    <numFmt numFmtId="186" formatCode="#,##0\ \ \ ;\(#,##0\)\ \ "/>
    <numFmt numFmtId="187" formatCode="0.0000_)"/>
    <numFmt numFmtId="188" formatCode="0.000;\-0.000"/>
    <numFmt numFmtId="189" formatCode="0.00;\-0.00"/>
    <numFmt numFmtId="190" formatCode="#,##0.0_);\(#,##0.0\)"/>
    <numFmt numFmtId="191" formatCode="mm/dd/yy"/>
    <numFmt numFmtId="192" formatCode="#,###\ &quot;Months&quot;"/>
    <numFmt numFmtId="193" formatCode="##########.###"/>
    <numFmt numFmtId="194" formatCode="0.0#%"/>
    <numFmt numFmtId="195" formatCode="0.0;\-0.0"/>
    <numFmt numFmtId="196" formatCode="0.0%"/>
    <numFmt numFmtId="197" formatCode="_(* #,##0.000_);_(* \(#,##0.000\);_(* &quot;-&quot;??_);_(@_)"/>
  </numFmts>
  <fonts count="1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0"/>
      <color theme="6" tint="-0.24994659260841701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1"/>
      <color theme="5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222222"/>
      <name val="Arial"/>
      <family val="2"/>
    </font>
    <font>
      <b/>
      <sz val="11"/>
      <color theme="5" tint="-0.249977111117893"/>
      <name val="Calibri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F9FC"/>
        <bgColor indexed="64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FEBE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0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2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EBE4"/>
        <bgColor rgb="FF000000"/>
      </patternFill>
    </fill>
    <fill>
      <patternFill patternType="solid">
        <fgColor rgb="FFEBF1DE"/>
        <bgColor rgb="FF000000"/>
      </patternFill>
    </fill>
  </fills>
  <borders count="4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2E398B"/>
      </right>
      <top style="thin">
        <color indexed="64"/>
      </top>
      <bottom style="thin">
        <color indexed="64"/>
      </bottom>
      <diagonal/>
    </border>
    <border>
      <left style="thin">
        <color rgb="FF2E398B"/>
      </left>
      <right/>
      <top style="thin">
        <color indexed="64"/>
      </top>
      <bottom style="thin">
        <color indexed="64"/>
      </bottom>
      <diagonal/>
    </border>
  </borders>
  <cellStyleXfs count="528">
    <xf numFmtId="0" fontId="0" fillId="0" borderId="0"/>
    <xf numFmtId="9" fontId="1" fillId="0" borderId="0" applyFont="0" applyFill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5" fillId="6" borderId="3" applyNumberFormat="0"/>
    <xf numFmtId="0" fontId="6" fillId="7" borderId="4" applyNumberFormat="0"/>
    <xf numFmtId="14" fontId="7" fillId="6" borderId="5" applyNumberFormat="0" applyAlignment="0"/>
    <xf numFmtId="0" fontId="1" fillId="0" borderId="0"/>
    <xf numFmtId="0" fontId="1" fillId="0" borderId="0"/>
    <xf numFmtId="0" fontId="5" fillId="6" borderId="0"/>
    <xf numFmtId="0" fontId="5" fillId="3" borderId="2" applyNumberFormat="0" applyFont="0" applyAlignment="0" applyProtection="0"/>
    <xf numFmtId="0" fontId="5" fillId="8" borderId="6" applyBorder="0">
      <alignment horizontal="center" wrapText="1"/>
    </xf>
    <xf numFmtId="0" fontId="5" fillId="9" borderId="7" applyBorder="0">
      <alignment horizontal="center" wrapText="1"/>
    </xf>
    <xf numFmtId="0" fontId="4" fillId="10" borderId="7" applyBorder="0">
      <alignment horizontal="center" wrapText="1"/>
    </xf>
    <xf numFmtId="1" fontId="8" fillId="6" borderId="5"/>
    <xf numFmtId="0" fontId="9" fillId="6" borderId="4" applyNumberFormat="0" applyAlignment="0"/>
    <xf numFmtId="0" fontId="10" fillId="11" borderId="4" applyNumberFormat="0" applyAlignment="0"/>
    <xf numFmtId="166" fontId="11" fillId="11" borderId="5" applyNumberFormat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14" fillId="13" borderId="7" applyBorder="0">
      <alignment horizontal="center" wrapText="1"/>
    </xf>
    <xf numFmtId="0" fontId="5" fillId="14" borderId="3" applyNumberFormat="0"/>
    <xf numFmtId="0" fontId="6" fillId="7" borderId="4" applyNumberFormat="0" applyBorder="0"/>
    <xf numFmtId="0" fontId="6" fillId="7" borderId="4" applyNumberFormat="0"/>
    <xf numFmtId="0" fontId="1" fillId="0" borderId="0"/>
    <xf numFmtId="0" fontId="1" fillId="0" borderId="0"/>
    <xf numFmtId="0" fontId="15" fillId="0" borderId="0"/>
    <xf numFmtId="0" fontId="14" fillId="15" borderId="7" applyBorder="0">
      <alignment horizontal="center" wrapText="1"/>
    </xf>
    <xf numFmtId="0" fontId="14" fillId="15" borderId="7" applyBorder="0">
      <alignment horizontal="center" wrapText="1"/>
    </xf>
    <xf numFmtId="0" fontId="4" fillId="10" borderId="7" applyBorder="0">
      <alignment horizontal="center" wrapText="1"/>
    </xf>
    <xf numFmtId="0" fontId="4" fillId="10" borderId="7" applyBorder="0">
      <alignment horizontal="center" wrapText="1"/>
    </xf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6" fillId="0" borderId="0" applyNumberFormat="0" applyFill="0" applyBorder="0" applyAlignment="0" applyProtection="0">
      <alignment horizontal="left" wrapText="1"/>
    </xf>
    <xf numFmtId="0" fontId="16" fillId="0" borderId="0" applyNumberFormat="0" applyFill="0" applyBorder="0" applyAlignment="0" applyProtection="0">
      <alignment horizontal="left" wrapText="1"/>
    </xf>
    <xf numFmtId="0" fontId="16" fillId="0" borderId="0" applyNumberFormat="0" applyFill="0" applyBorder="0" applyAlignment="0" applyProtection="0">
      <alignment horizontal="left" wrapText="1"/>
    </xf>
    <xf numFmtId="0" fontId="16" fillId="0" borderId="0" applyNumberFormat="0" applyFill="0" applyBorder="0" applyAlignment="0" applyProtection="0">
      <alignment horizontal="left" wrapText="1"/>
    </xf>
    <xf numFmtId="168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/>
    <xf numFmtId="0" fontId="20" fillId="17" borderId="0" applyNumberFormat="0" applyBorder="0" applyAlignment="0" applyProtection="0"/>
    <xf numFmtId="0" fontId="18" fillId="18" borderId="0" applyNumberFormat="0" applyBorder="0" applyAlignment="0" applyProtection="0"/>
    <xf numFmtId="0" fontId="19" fillId="18" borderId="0" applyNumberFormat="0" applyBorder="0" applyAlignment="0" applyProtection="0"/>
    <xf numFmtId="0" fontId="20" fillId="19" borderId="0" applyNumberFormat="0" applyBorder="0" applyAlignment="0" applyProtection="0"/>
    <xf numFmtId="0" fontId="18" fillId="20" borderId="0" applyNumberFormat="0" applyBorder="0" applyAlignment="0" applyProtection="0"/>
    <xf numFmtId="0" fontId="19" fillId="19" borderId="0" applyNumberFormat="0" applyBorder="0" applyAlignment="0" applyProtection="0"/>
    <xf numFmtId="0" fontId="20" fillId="21" borderId="0" applyNumberFormat="0" applyBorder="0" applyAlignment="0" applyProtection="0"/>
    <xf numFmtId="0" fontId="18" fillId="22" borderId="0" applyNumberFormat="0" applyBorder="0" applyAlignment="0" applyProtection="0"/>
    <xf numFmtId="0" fontId="19" fillId="23" borderId="0" applyNumberFormat="0" applyBorder="0" applyAlignment="0" applyProtection="0"/>
    <xf numFmtId="0" fontId="20" fillId="22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/>
    <xf numFmtId="0" fontId="20" fillId="16" borderId="0" applyNumberFormat="0" applyBorder="0" applyAlignment="0" applyProtection="0"/>
    <xf numFmtId="0" fontId="18" fillId="24" borderId="0" applyNumberFormat="0" applyBorder="0" applyAlignment="0" applyProtection="0"/>
    <xf numFmtId="0" fontId="19" fillId="25" borderId="0" applyNumberFormat="0" applyBorder="0" applyAlignment="0" applyProtection="0"/>
    <xf numFmtId="0" fontId="20" fillId="26" borderId="0" applyNumberFormat="0" applyBorder="0" applyAlignment="0" applyProtection="0"/>
    <xf numFmtId="0" fontId="18" fillId="27" borderId="0" applyNumberFormat="0" applyBorder="0" applyAlignment="0" applyProtection="0"/>
    <xf numFmtId="0" fontId="19" fillId="27" borderId="0" applyNumberFormat="0" applyBorder="0" applyAlignment="0" applyProtection="0"/>
    <xf numFmtId="0" fontId="20" fillId="27" borderId="0" applyNumberFormat="0" applyBorder="0" applyAlignment="0" applyProtection="0"/>
    <xf numFmtId="0" fontId="18" fillId="18" borderId="0" applyNumberFormat="0" applyBorder="0" applyAlignment="0" applyProtection="0"/>
    <xf numFmtId="0" fontId="19" fillId="21" borderId="0" applyNumberFormat="0" applyBorder="0" applyAlignment="0" applyProtection="0"/>
    <xf numFmtId="0" fontId="20" fillId="28" borderId="0" applyNumberFormat="0" applyBorder="0" applyAlignment="0" applyProtection="0"/>
    <xf numFmtId="0" fontId="18" fillId="24" borderId="0" applyNumberFormat="0" applyBorder="0" applyAlignment="0" applyProtection="0"/>
    <xf numFmtId="0" fontId="19" fillId="29" borderId="0" applyNumberFormat="0" applyBorder="0" applyAlignment="0" applyProtection="0"/>
    <xf numFmtId="0" fontId="20" fillId="21" borderId="0" applyNumberFormat="0" applyBorder="0" applyAlignment="0" applyProtection="0"/>
    <xf numFmtId="0" fontId="18" fillId="26" borderId="0" applyNumberFormat="0" applyBorder="0" applyAlignment="0" applyProtection="0"/>
    <xf numFmtId="0" fontId="19" fillId="23" borderId="0" applyNumberFormat="0" applyBorder="0" applyAlignment="0" applyProtection="0"/>
    <xf numFmtId="0" fontId="20" fillId="2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/>
    <xf numFmtId="0" fontId="20" fillId="30" borderId="0" applyNumberFormat="0" applyBorder="0" applyAlignment="0" applyProtection="0"/>
    <xf numFmtId="0" fontId="21" fillId="31" borderId="0" applyNumberFormat="0" applyBorder="0" applyAlignment="0" applyProtection="0"/>
    <xf numFmtId="0" fontId="22" fillId="32" borderId="0" applyNumberFormat="0" applyBorder="0" applyAlignment="0" applyProtection="0"/>
    <xf numFmtId="0" fontId="23" fillId="33" borderId="0" applyNumberFormat="0" applyBorder="0" applyAlignment="0" applyProtection="0"/>
    <xf numFmtId="0" fontId="21" fillId="27" borderId="0" applyNumberFormat="0" applyBorder="0" applyAlignment="0" applyProtection="0"/>
    <xf numFmtId="0" fontId="22" fillId="27" borderId="0" applyNumberFormat="0" applyBorder="0" applyAlignment="0" applyProtection="0"/>
    <xf numFmtId="0" fontId="23" fillId="27" borderId="0" applyNumberFormat="0" applyBorder="0" applyAlignment="0" applyProtection="0"/>
    <xf numFmtId="0" fontId="21" fillId="18" borderId="0" applyNumberFormat="0" applyBorder="0" applyAlignment="0" applyProtection="0"/>
    <xf numFmtId="0" fontId="22" fillId="21" borderId="0" applyNumberFormat="0" applyBorder="0" applyAlignment="0" applyProtection="0"/>
    <xf numFmtId="0" fontId="23" fillId="28" borderId="0" applyNumberFormat="0" applyBorder="0" applyAlignment="0" applyProtection="0"/>
    <xf numFmtId="0" fontId="21" fillId="24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1" fillId="31" borderId="0" applyNumberFormat="0" applyBorder="0" applyAlignment="0" applyProtection="0"/>
    <xf numFmtId="0" fontId="22" fillId="32" borderId="0" applyNumberFormat="0" applyBorder="0" applyAlignment="0" applyProtection="0"/>
    <xf numFmtId="0" fontId="23" fillId="31" borderId="0" applyNumberFormat="0" applyBorder="0" applyAlignment="0" applyProtection="0"/>
    <xf numFmtId="0" fontId="21" fillId="16" borderId="0" applyNumberFormat="0" applyBorder="0" applyAlignment="0" applyProtection="0"/>
    <xf numFmtId="0" fontId="22" fillId="16" borderId="0" applyNumberFormat="0" applyBorder="0" applyAlignment="0" applyProtection="0"/>
    <xf numFmtId="0" fontId="23" fillId="36" borderId="0" applyNumberFormat="0" applyBorder="0" applyAlignment="0" applyProtection="0"/>
    <xf numFmtId="0" fontId="21" fillId="31" borderId="0" applyNumberFormat="0" applyBorder="0" applyAlignment="0" applyProtection="0"/>
    <xf numFmtId="0" fontId="22" fillId="37" borderId="0" applyNumberFormat="0" applyBorder="0" applyAlignment="0" applyProtection="0"/>
    <xf numFmtId="0" fontId="23" fillId="38" borderId="0" applyNumberFormat="0" applyBorder="0" applyAlignment="0" applyProtection="0"/>
    <xf numFmtId="0" fontId="21" fillId="39" borderId="0" applyNumberFormat="0" applyBorder="0" applyAlignment="0" applyProtection="0"/>
    <xf numFmtId="0" fontId="22" fillId="40" borderId="0" applyNumberFormat="0" applyBorder="0" applyAlignment="0" applyProtection="0"/>
    <xf numFmtId="0" fontId="23" fillId="39" borderId="0" applyNumberFormat="0" applyBorder="0" applyAlignment="0" applyProtection="0"/>
    <xf numFmtId="0" fontId="21" fillId="41" borderId="0" applyNumberFormat="0" applyBorder="0" applyAlignment="0" applyProtection="0"/>
    <xf numFmtId="0" fontId="22" fillId="40" borderId="0" applyNumberFormat="0" applyBorder="0" applyAlignment="0" applyProtection="0"/>
    <xf numFmtId="0" fontId="23" fillId="41" borderId="0" applyNumberFormat="0" applyBorder="0" applyAlignment="0" applyProtection="0"/>
    <xf numFmtId="0" fontId="21" fillId="37" borderId="0" applyNumberFormat="0" applyBorder="0" applyAlignment="0" applyProtection="0"/>
    <xf numFmtId="0" fontId="22" fillId="37" borderId="0" applyNumberFormat="0" applyBorder="0" applyAlignment="0" applyProtection="0"/>
    <xf numFmtId="0" fontId="23" fillId="35" borderId="0" applyNumberFormat="0" applyBorder="0" applyAlignment="0" applyProtection="0"/>
    <xf numFmtId="0" fontId="21" fillId="31" borderId="0" applyNumberFormat="0" applyBorder="0" applyAlignment="0" applyProtection="0"/>
    <xf numFmtId="0" fontId="22" fillId="41" borderId="0" applyNumberFormat="0" applyBorder="0" applyAlignment="0" applyProtection="0"/>
    <xf numFmtId="0" fontId="23" fillId="31" borderId="0" applyNumberFormat="0" applyBorder="0" applyAlignment="0" applyProtection="0"/>
    <xf numFmtId="0" fontId="21" fillId="42" borderId="0" applyNumberFormat="0" applyBorder="0" applyAlignment="0" applyProtection="0"/>
    <xf numFmtId="0" fontId="22" fillId="42" borderId="0" applyNumberFormat="0" applyBorder="0" applyAlignment="0" applyProtection="0"/>
    <xf numFmtId="0" fontId="23" fillId="42" borderId="0" applyNumberFormat="0" applyBorder="0" applyAlignment="0" applyProtection="0"/>
    <xf numFmtId="0" fontId="16" fillId="0" borderId="0"/>
    <xf numFmtId="17" fontId="16" fillId="0" borderId="0" applyFont="0" applyFill="0" applyBorder="0" applyProtection="0">
      <alignment horizontal="left"/>
    </xf>
    <xf numFmtId="0" fontId="16" fillId="0" borderId="0" applyFont="0" applyFill="0" applyBorder="0" applyProtection="0">
      <alignment horizontal="left"/>
    </xf>
    <xf numFmtId="0" fontId="24" fillId="17" borderId="0" applyNumberFormat="0" applyBorder="0" applyAlignment="0" applyProtection="0"/>
    <xf numFmtId="0" fontId="25" fillId="17" borderId="0" applyNumberFormat="0" applyBorder="0" applyAlignment="0" applyProtection="0"/>
    <xf numFmtId="0" fontId="26" fillId="17" borderId="0" applyNumberFormat="0" applyBorder="0" applyAlignment="0" applyProtection="0"/>
    <xf numFmtId="38" fontId="27" fillId="20" borderId="0"/>
    <xf numFmtId="0" fontId="28" fillId="0" borderId="0" applyNumberFormat="0" applyFill="0" applyBorder="0" applyAlignment="0" applyProtection="0"/>
    <xf numFmtId="0" fontId="29" fillId="43" borderId="0">
      <alignment horizontal="left"/>
    </xf>
    <xf numFmtId="2" fontId="30" fillId="44" borderId="8" applyProtection="0">
      <alignment horizontal="left"/>
      <protection locked="0"/>
    </xf>
    <xf numFmtId="0" fontId="31" fillId="0" borderId="0" applyNumberFormat="0" applyFill="0" applyBorder="0" applyAlignment="0" applyProtection="0"/>
    <xf numFmtId="0" fontId="32" fillId="0" borderId="9" applyNumberFormat="0" applyFill="0" applyAlignment="0" applyProtection="0"/>
    <xf numFmtId="0" fontId="16" fillId="45" borderId="0"/>
    <xf numFmtId="170" fontId="17" fillId="0" borderId="0" applyFont="0" applyFill="0" applyBorder="0" applyAlignment="0" applyProtection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16" fillId="0" borderId="0" applyFill="0" applyBorder="0" applyAlignment="0"/>
    <xf numFmtId="173" fontId="16" fillId="0" borderId="0" applyFill="0" applyBorder="0" applyAlignment="0"/>
    <xf numFmtId="0" fontId="16" fillId="0" borderId="0" applyFill="0" applyBorder="0" applyAlignment="0"/>
    <xf numFmtId="171" fontId="34" fillId="0" borderId="0" applyFill="0" applyBorder="0" applyAlignment="0"/>
    <xf numFmtId="0" fontId="16" fillId="0" borderId="0" applyFill="0" applyBorder="0" applyAlignment="0"/>
    <xf numFmtId="174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35" fillId="20" borderId="10" applyNumberFormat="0" applyAlignment="0" applyProtection="0"/>
    <xf numFmtId="0" fontId="36" fillId="22" borderId="10" applyNumberFormat="0" applyAlignment="0" applyProtection="0"/>
    <xf numFmtId="0" fontId="37" fillId="24" borderId="10" applyNumberFormat="0" applyAlignment="0" applyProtection="0"/>
    <xf numFmtId="0" fontId="38" fillId="14" borderId="3" applyNumberFormat="0"/>
    <xf numFmtId="0" fontId="14" fillId="46" borderId="7" applyBorder="0">
      <alignment horizontal="center" wrapText="1"/>
    </xf>
    <xf numFmtId="0" fontId="12" fillId="11" borderId="3" applyNumberFormat="0"/>
    <xf numFmtId="0" fontId="3" fillId="11" borderId="3" applyNumberFormat="0"/>
    <xf numFmtId="0" fontId="5" fillId="6" borderId="3" applyNumberFormat="0"/>
    <xf numFmtId="0" fontId="12" fillId="6" borderId="3" applyNumberFormat="0"/>
    <xf numFmtId="0" fontId="38" fillId="14" borderId="3" applyNumberFormat="0"/>
    <xf numFmtId="0" fontId="6" fillId="7" borderId="4" applyNumberFormat="0" applyBorder="0"/>
    <xf numFmtId="0" fontId="6" fillId="7" borderId="4" applyNumberFormat="0" applyBorder="0"/>
    <xf numFmtId="14" fontId="7" fillId="11" borderId="5" applyNumberFormat="0" applyAlignment="0"/>
    <xf numFmtId="14" fontId="39" fillId="11" borderId="5" applyNumberFormat="0" applyAlignment="0"/>
    <xf numFmtId="0" fontId="40" fillId="47" borderId="11" applyNumberFormat="0" applyAlignment="0" applyProtection="0"/>
    <xf numFmtId="0" fontId="41" fillId="47" borderId="11" applyNumberFormat="0" applyAlignment="0" applyProtection="0"/>
    <xf numFmtId="0" fontId="42" fillId="47" borderId="11" applyNumberFormat="0" applyAlignment="0" applyProtection="0"/>
    <xf numFmtId="0" fontId="43" fillId="0" borderId="0" applyNumberFormat="0" applyFill="0" applyBorder="0" applyAlignment="0" applyProtection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0" fontId="33" fillId="0" borderId="0" applyFont="0" applyFill="0" applyBorder="0" applyAlignment="0" applyProtection="0"/>
    <xf numFmtId="17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3" fontId="16" fillId="0" borderId="0" applyFill="0" applyBorder="0" applyAlignment="0" applyProtection="0"/>
    <xf numFmtId="0" fontId="46" fillId="0" borderId="0"/>
    <xf numFmtId="0" fontId="47" fillId="0" borderId="0" applyNumberFormat="0" applyAlignment="0">
      <alignment horizontal="left"/>
    </xf>
    <xf numFmtId="0" fontId="48" fillId="0" borderId="0">
      <alignment horizontal="center"/>
    </xf>
    <xf numFmtId="0" fontId="46" fillId="0" borderId="0"/>
    <xf numFmtId="0" fontId="33" fillId="0" borderId="0" applyFont="0" applyFill="0" applyBorder="0" applyAlignment="0" applyProtection="0"/>
    <xf numFmtId="172" fontId="16" fillId="0" borderId="0" applyFont="0" applyFill="0" applyBorder="0" applyAlignment="0" applyProtection="0"/>
    <xf numFmtId="8" fontId="49" fillId="0" borderId="12">
      <protection locked="0"/>
    </xf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5" fontId="16" fillId="0" borderId="0" applyFill="0" applyBorder="0" applyAlignment="0" applyProtection="0"/>
    <xf numFmtId="176" fontId="17" fillId="0" borderId="0" applyFont="0" applyFill="0" applyBorder="0" applyAlignment="0" applyProtection="0"/>
    <xf numFmtId="10" fontId="16" fillId="0" borderId="0" applyFont="0" applyFill="0" applyBorder="0" applyProtection="0">
      <alignment horizontal="center"/>
    </xf>
    <xf numFmtId="177" fontId="16" fillId="0" borderId="0" applyFont="0" applyFill="0" applyBorder="0" applyProtection="0"/>
    <xf numFmtId="178" fontId="16" fillId="0" borderId="0" applyFont="0" applyFill="0" applyBorder="0" applyProtection="0"/>
    <xf numFmtId="15" fontId="50" fillId="0" borderId="0" applyFont="0" applyFill="0" applyBorder="0" applyAlignment="0" applyProtection="0"/>
    <xf numFmtId="0" fontId="46" fillId="0" borderId="0"/>
    <xf numFmtId="179" fontId="16" fillId="0" borderId="0" applyFill="0" applyBorder="0" applyAlignment="0" applyProtection="0"/>
    <xf numFmtId="179" fontId="16" fillId="0" borderId="0" applyFill="0" applyBorder="0" applyAlignment="0" applyProtection="0"/>
    <xf numFmtId="179" fontId="16" fillId="0" borderId="0" applyFill="0" applyBorder="0" applyAlignment="0" applyProtection="0"/>
    <xf numFmtId="179" fontId="16" fillId="0" borderId="0" applyFill="0" applyBorder="0" applyAlignment="0" applyProtection="0"/>
    <xf numFmtId="179" fontId="16" fillId="0" borderId="0" applyFill="0" applyBorder="0" applyAlignment="0" applyProtection="0"/>
    <xf numFmtId="15" fontId="19" fillId="20" borderId="0"/>
    <xf numFmtId="14" fontId="19" fillId="0" borderId="0" applyFill="0" applyBorder="0" applyAlignment="0"/>
    <xf numFmtId="0" fontId="48" fillId="44" borderId="0">
      <alignment horizontal="left"/>
    </xf>
    <xf numFmtId="179" fontId="16" fillId="0" borderId="0" applyFill="0" applyBorder="0" applyAlignment="0" applyProtection="0"/>
    <xf numFmtId="14" fontId="16" fillId="0" borderId="0"/>
    <xf numFmtId="0" fontId="51" fillId="27" borderId="0">
      <alignment horizontal="left"/>
    </xf>
    <xf numFmtId="0" fontId="52" fillId="0" borderId="0">
      <alignment horizontal="left"/>
    </xf>
    <xf numFmtId="38" fontId="53" fillId="0" borderId="13">
      <alignment vertical="center"/>
    </xf>
    <xf numFmtId="166" fontId="16" fillId="0" borderId="0">
      <alignment horizontal="right"/>
    </xf>
    <xf numFmtId="1" fontId="16" fillId="0" borderId="0">
      <alignment horizontal="right"/>
    </xf>
    <xf numFmtId="1" fontId="16" fillId="0" borderId="0">
      <alignment horizontal="right"/>
    </xf>
    <xf numFmtId="180" fontId="16" fillId="0" borderId="0">
      <alignment horizontal="right"/>
    </xf>
    <xf numFmtId="49" fontId="16" fillId="0" borderId="0">
      <alignment horizontal="left"/>
    </xf>
    <xf numFmtId="49" fontId="16" fillId="0" borderId="0">
      <alignment horizontal="left"/>
    </xf>
    <xf numFmtId="49" fontId="16" fillId="0" borderId="0">
      <alignment horizontal="right"/>
    </xf>
    <xf numFmtId="14" fontId="16" fillId="0" borderId="0">
      <alignment horizontal="left"/>
    </xf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54" fillId="0" borderId="0" applyNumberFormat="0" applyAlignment="0">
      <alignment horizontal="left"/>
    </xf>
    <xf numFmtId="9" fontId="55" fillId="0" borderId="14" applyNumberFormat="0" applyBorder="0" applyAlignment="0">
      <protection locked="0"/>
    </xf>
    <xf numFmtId="181" fontId="16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2" fontId="16" fillId="0" borderId="0" applyFill="0" applyBorder="0" applyAlignment="0" applyProtection="0"/>
    <xf numFmtId="182" fontId="16" fillId="0" borderId="0" applyFont="0" applyFill="0" applyBorder="0" applyAlignment="0" applyProtection="0"/>
    <xf numFmtId="0" fontId="19" fillId="20" borderId="0"/>
    <xf numFmtId="0" fontId="59" fillId="19" borderId="0" applyNumberFormat="0" applyBorder="0" applyAlignment="0" applyProtection="0"/>
    <xf numFmtId="0" fontId="60" fillId="23" borderId="0" applyNumberFormat="0" applyBorder="0" applyAlignment="0" applyProtection="0"/>
    <xf numFmtId="0" fontId="61" fillId="19" borderId="0" applyNumberFormat="0" applyBorder="0" applyAlignment="0" applyProtection="0"/>
    <xf numFmtId="2" fontId="62" fillId="44" borderId="8" applyProtection="0">
      <alignment horizontal="left"/>
      <protection locked="0"/>
    </xf>
    <xf numFmtId="38" fontId="43" fillId="48" borderId="0" applyNumberFormat="0" applyBorder="0" applyAlignment="0" applyProtection="0"/>
    <xf numFmtId="0" fontId="63" fillId="0" borderId="15" applyNumberFormat="0" applyAlignment="0" applyProtection="0">
      <alignment horizontal="left" vertical="center"/>
    </xf>
    <xf numFmtId="0" fontId="63" fillId="0" borderId="16">
      <alignment horizontal="left" vertical="center"/>
    </xf>
    <xf numFmtId="0" fontId="64" fillId="24" borderId="14">
      <alignment horizontal="centerContinuous"/>
    </xf>
    <xf numFmtId="0" fontId="65" fillId="0" borderId="17" applyNumberFormat="0" applyFill="0" applyAlignment="0" applyProtection="0"/>
    <xf numFmtId="0" fontId="66" fillId="0" borderId="18" applyNumberFormat="0" applyFill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19" applyNumberFormat="0" applyFill="0" applyAlignment="0" applyProtection="0"/>
    <xf numFmtId="0" fontId="70" fillId="0" borderId="20" applyNumberFormat="0" applyFill="0" applyAlignment="0" applyProtection="0"/>
    <xf numFmtId="0" fontId="71" fillId="0" borderId="21" applyNumberFormat="0" applyFill="0" applyAlignment="0" applyProtection="0"/>
    <xf numFmtId="0" fontId="5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72" fillId="0" borderId="20" applyNumberFormat="0" applyFill="0" applyAlignment="0" applyProtection="0"/>
    <xf numFmtId="0" fontId="73" fillId="0" borderId="22" applyNumberFormat="0" applyFill="0" applyAlignment="0" applyProtection="0"/>
    <xf numFmtId="0" fontId="74" fillId="0" borderId="23" applyNumberFormat="0" applyFill="0" applyAlignment="0" applyProtection="0"/>
    <xf numFmtId="0" fontId="75" fillId="0" borderId="24" applyNumberFormat="0" applyFill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20" borderId="0"/>
    <xf numFmtId="0" fontId="6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10" fontId="43" fillId="49" borderId="14" applyNumberFormat="0" applyBorder="0" applyAlignment="0" applyProtection="0"/>
    <xf numFmtId="2" fontId="78" fillId="0" borderId="25" applyNumberFormat="0" applyFill="0" applyBorder="0" applyAlignment="0">
      <alignment horizontal="center"/>
      <protection locked="0"/>
    </xf>
    <xf numFmtId="2" fontId="78" fillId="0" borderId="25" applyNumberFormat="0" applyFill="0" applyBorder="0" applyAlignment="0">
      <alignment horizontal="center"/>
      <protection locked="0"/>
    </xf>
    <xf numFmtId="0" fontId="2" fillId="2" borderId="1" applyNumberFormat="0" applyAlignment="0" applyProtection="0"/>
    <xf numFmtId="0" fontId="79" fillId="16" borderId="10" applyNumberFormat="0" applyAlignment="0" applyProtection="0"/>
    <xf numFmtId="0" fontId="79" fillId="16" borderId="10" applyNumberFormat="0" applyAlignment="0" applyProtection="0"/>
    <xf numFmtId="0" fontId="79" fillId="16" borderId="10" applyNumberFormat="0" applyAlignment="0" applyProtection="0"/>
    <xf numFmtId="0" fontId="79" fillId="16" borderId="10" applyNumberFormat="0" applyAlignment="0" applyProtection="0"/>
    <xf numFmtId="37" fontId="80" fillId="0" borderId="0" applyNumberFormat="0" applyAlignment="0">
      <protection locked="0"/>
    </xf>
    <xf numFmtId="0" fontId="81" fillId="0" borderId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82" fillId="0" borderId="26" applyNumberFormat="0" applyFill="0" applyAlignment="0" applyProtection="0"/>
    <xf numFmtId="0" fontId="83" fillId="0" borderId="26" applyNumberFormat="0" applyFill="0" applyAlignment="0" applyProtection="0"/>
    <xf numFmtId="0" fontId="84" fillId="0" borderId="26" applyNumberFormat="0" applyFill="0" applyAlignment="0" applyProtection="0"/>
    <xf numFmtId="0" fontId="16" fillId="48" borderId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38" fontId="19" fillId="20" borderId="0"/>
    <xf numFmtId="0" fontId="85" fillId="16" borderId="0" applyNumberFormat="0" applyBorder="0" applyAlignment="0" applyProtection="0"/>
    <xf numFmtId="0" fontId="86" fillId="21" borderId="0" applyNumberFormat="0" applyBorder="0" applyAlignment="0" applyProtection="0"/>
    <xf numFmtId="0" fontId="87" fillId="45" borderId="0" applyNumberFormat="0" applyBorder="0" applyAlignment="0" applyProtection="0"/>
    <xf numFmtId="37" fontId="88" fillId="0" borderId="0"/>
    <xf numFmtId="0" fontId="51" fillId="20" borderId="0" applyNumberFormat="0" applyFont="0" applyFill="0" applyBorder="0" applyAlignment="0"/>
    <xf numFmtId="10" fontId="19" fillId="20" borderId="0"/>
    <xf numFmtId="183" fontId="8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6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1" borderId="0"/>
    <xf numFmtId="0" fontId="16" fillId="11" borderId="0"/>
    <xf numFmtId="0" fontId="16" fillId="0" borderId="0"/>
    <xf numFmtId="0" fontId="16" fillId="0" borderId="0"/>
    <xf numFmtId="0" fontId="5" fillId="6" borderId="0"/>
    <xf numFmtId="0" fontId="5" fillId="6" borderId="0"/>
    <xf numFmtId="0" fontId="5" fillId="6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5" fillId="6" borderId="0"/>
    <xf numFmtId="0" fontId="1" fillId="0" borderId="0"/>
    <xf numFmtId="0" fontId="1" fillId="0" borderId="0"/>
    <xf numFmtId="0" fontId="16" fillId="0" borderId="0">
      <alignment vertical="top"/>
    </xf>
    <xf numFmtId="0" fontId="16" fillId="0" borderId="0">
      <alignment vertical="top"/>
    </xf>
    <xf numFmtId="0" fontId="2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18" borderId="27" applyNumberFormat="0" applyFont="0" applyAlignment="0" applyProtection="0"/>
    <xf numFmtId="0" fontId="90" fillId="18" borderId="27" applyNumberFormat="0" applyFont="0" applyAlignment="0" applyProtection="0"/>
    <xf numFmtId="0" fontId="5" fillId="3" borderId="2" applyNumberFormat="0" applyFont="0" applyAlignment="0" applyProtection="0"/>
    <xf numFmtId="0" fontId="91" fillId="0" borderId="0"/>
    <xf numFmtId="0" fontId="20" fillId="18" borderId="27" applyNumberFormat="0" applyFont="0" applyAlignment="0" applyProtection="0"/>
    <xf numFmtId="0" fontId="5" fillId="3" borderId="2" applyNumberFormat="0" applyFont="0" applyAlignment="0" applyProtection="0"/>
    <xf numFmtId="0" fontId="5" fillId="3" borderId="2" applyNumberFormat="0" applyFont="0" applyAlignment="0" applyProtection="0"/>
    <xf numFmtId="0" fontId="1" fillId="3" borderId="2" applyNumberFormat="0" applyFont="0" applyAlignment="0" applyProtection="0"/>
    <xf numFmtId="0" fontId="1" fillId="3" borderId="2" applyNumberFormat="0" applyFont="0" applyAlignment="0" applyProtection="0"/>
    <xf numFmtId="0" fontId="1" fillId="3" borderId="2" applyNumberFormat="0" applyFont="0" applyAlignment="0" applyProtection="0"/>
    <xf numFmtId="184" fontId="33" fillId="0" borderId="0">
      <alignment horizontal="center"/>
    </xf>
    <xf numFmtId="37" fontId="16" fillId="0" borderId="0"/>
    <xf numFmtId="185" fontId="43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186" fontId="92" fillId="0" borderId="0" applyNumberFormat="0" applyFill="0" applyBorder="0" applyAlignment="0" applyProtection="0"/>
    <xf numFmtId="167" fontId="33" fillId="0" borderId="0">
      <alignment horizontal="center"/>
    </xf>
    <xf numFmtId="0" fontId="5" fillId="12" borderId="0" applyNumberFormat="0" applyFont="0" applyBorder="0" applyAlignment="0" applyProtection="0"/>
    <xf numFmtId="0" fontId="92" fillId="0" borderId="28"/>
    <xf numFmtId="2" fontId="93" fillId="44" borderId="8">
      <alignment horizontal="left"/>
    </xf>
    <xf numFmtId="0" fontId="94" fillId="20" borderId="29" applyNumberFormat="0" applyAlignment="0" applyProtection="0"/>
    <xf numFmtId="0" fontId="95" fillId="22" borderId="29" applyNumberFormat="0" applyAlignment="0" applyProtection="0"/>
    <xf numFmtId="0" fontId="96" fillId="24" borderId="29" applyNumberFormat="0" applyAlignment="0" applyProtection="0"/>
    <xf numFmtId="40" fontId="19" fillId="44" borderId="0">
      <alignment horizontal="right"/>
    </xf>
    <xf numFmtId="0" fontId="97" fillId="49" borderId="0">
      <alignment horizontal="center"/>
    </xf>
    <xf numFmtId="0" fontId="41" fillId="50" borderId="8"/>
    <xf numFmtId="0" fontId="98" fillId="0" borderId="0" applyBorder="0">
      <alignment horizontal="centerContinuous"/>
    </xf>
    <xf numFmtId="0" fontId="99" fillId="0" borderId="0" applyBorder="0">
      <alignment horizontal="centerContinuous"/>
    </xf>
    <xf numFmtId="0" fontId="63" fillId="0" borderId="0"/>
    <xf numFmtId="0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0" fontId="100" fillId="0" borderId="0" applyFont="0" applyFill="0" applyBorder="0" applyAlignment="0" applyProtection="0"/>
    <xf numFmtId="187" fontId="34" fillId="0" borderId="0" applyFont="0" applyFill="0" applyBorder="0" applyAlignment="0" applyProtection="0"/>
    <xf numFmtId="10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2" fillId="0" borderId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188" fontId="33" fillId="0" borderId="0">
      <alignment horizontal="center"/>
    </xf>
    <xf numFmtId="189" fontId="33" fillId="0" borderId="14">
      <alignment horizontal="center"/>
    </xf>
    <xf numFmtId="0" fontId="101" fillId="0" borderId="30" applyAlignment="0">
      <alignment horizontal="center"/>
    </xf>
    <xf numFmtId="0" fontId="102" fillId="48" borderId="0"/>
    <xf numFmtId="0" fontId="53" fillId="0" borderId="0" applyNumberFormat="0" applyFont="0" applyFill="0" applyBorder="0" applyAlignment="0" applyProtection="0">
      <alignment horizontal="left"/>
    </xf>
    <xf numFmtId="0" fontId="103" fillId="0" borderId="31">
      <alignment horizontal="center"/>
    </xf>
    <xf numFmtId="0" fontId="50" fillId="0" borderId="0">
      <alignment vertical="top"/>
    </xf>
    <xf numFmtId="190" fontId="50" fillId="0" borderId="0">
      <alignment vertical="top"/>
    </xf>
    <xf numFmtId="0" fontId="101" fillId="0" borderId="0">
      <alignment horizontal="left"/>
    </xf>
    <xf numFmtId="0" fontId="101" fillId="0" borderId="0">
      <alignment horizontal="right"/>
    </xf>
    <xf numFmtId="0" fontId="19" fillId="0" borderId="8" applyNumberFormat="0" applyBorder="0" applyAlignment="0"/>
    <xf numFmtId="191" fontId="104" fillId="0" borderId="0" applyNumberFormat="0" applyFill="0" applyBorder="0" applyAlignment="0" applyProtection="0">
      <alignment horizontal="left"/>
    </xf>
    <xf numFmtId="0" fontId="51" fillId="41" borderId="0">
      <alignment horizontal="left"/>
    </xf>
    <xf numFmtId="0" fontId="105" fillId="0" borderId="32"/>
    <xf numFmtId="189" fontId="30" fillId="18" borderId="0">
      <alignment horizontal="center"/>
    </xf>
    <xf numFmtId="189" fontId="106" fillId="18" borderId="0">
      <alignment horizontal="center"/>
    </xf>
    <xf numFmtId="189" fontId="30" fillId="19" borderId="0">
      <alignment horizontal="center"/>
    </xf>
    <xf numFmtId="0" fontId="30" fillId="18" borderId="0">
      <alignment horizontal="left"/>
    </xf>
    <xf numFmtId="0" fontId="107" fillId="0" borderId="0" applyFont="0" applyFill="0" applyBorder="0" applyAlignment="0" applyProtection="0"/>
    <xf numFmtId="192" fontId="34" fillId="0" borderId="0" applyFont="0" applyFill="0" applyBorder="0" applyAlignment="0" applyProtection="0"/>
    <xf numFmtId="193" fontId="16" fillId="0" borderId="0"/>
    <xf numFmtId="0" fontId="16" fillId="0" borderId="0"/>
    <xf numFmtId="0" fontId="16" fillId="0" borderId="0">
      <alignment horizontal="left" wrapText="1"/>
    </xf>
    <xf numFmtId="0" fontId="30" fillId="18" borderId="0">
      <alignment horizontal="center"/>
    </xf>
    <xf numFmtId="0" fontId="101" fillId="0" borderId="0"/>
    <xf numFmtId="0" fontId="108" fillId="0" borderId="0"/>
    <xf numFmtId="40" fontId="109" fillId="0" borderId="0" applyBorder="0">
      <alignment horizontal="right"/>
    </xf>
    <xf numFmtId="0" fontId="16" fillId="44" borderId="27"/>
    <xf numFmtId="0" fontId="33" fillId="0" borderId="0">
      <alignment horizontal="center"/>
    </xf>
    <xf numFmtId="15" fontId="33" fillId="0" borderId="0">
      <alignment horizontal="center"/>
    </xf>
    <xf numFmtId="0" fontId="110" fillId="0" borderId="0">
      <alignment horizontal="center"/>
    </xf>
    <xf numFmtId="3" fontId="33" fillId="0" borderId="0">
      <alignment horizontal="center"/>
    </xf>
    <xf numFmtId="194" fontId="33" fillId="0" borderId="0">
      <alignment horizontal="center"/>
    </xf>
    <xf numFmtId="189" fontId="33" fillId="0" borderId="0">
      <alignment horizontal="center"/>
    </xf>
    <xf numFmtId="0" fontId="111" fillId="51" borderId="0"/>
    <xf numFmtId="195" fontId="33" fillId="0" borderId="0">
      <alignment horizontal="center"/>
    </xf>
    <xf numFmtId="195" fontId="33" fillId="0" borderId="33">
      <alignment horizontal="center"/>
    </xf>
    <xf numFmtId="0" fontId="33" fillId="0" borderId="0">
      <alignment horizontal="left"/>
    </xf>
    <xf numFmtId="0" fontId="112" fillId="0" borderId="0">
      <alignment horizontal="center"/>
    </xf>
    <xf numFmtId="0" fontId="113" fillId="0" borderId="0" applyNumberFormat="0" applyFill="0" applyBorder="0"/>
    <xf numFmtId="0" fontId="19" fillId="20" borderId="0"/>
    <xf numFmtId="49" fontId="19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16" fillId="0" borderId="0" applyFill="0" applyBorder="0" applyAlignment="0"/>
    <xf numFmtId="174" fontId="16" fillId="0" borderId="0" applyFill="0" applyBorder="0" applyAlignment="0"/>
    <xf numFmtId="49" fontId="16" fillId="0" borderId="0"/>
    <xf numFmtId="0" fontId="114" fillId="0" borderId="0">
      <alignment horizontal="right"/>
    </xf>
    <xf numFmtId="0" fontId="115" fillId="0" borderId="0">
      <alignment horizontal="right"/>
      <protection locked="0"/>
    </xf>
    <xf numFmtId="0" fontId="116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27" fillId="20" borderId="0"/>
    <xf numFmtId="0" fontId="14" fillId="13" borderId="7" applyBorder="0">
      <alignment horizontal="center" wrapText="1"/>
    </xf>
    <xf numFmtId="0" fontId="14" fillId="46" borderId="7" applyBorder="0">
      <alignment horizontal="center" wrapText="1"/>
    </xf>
    <xf numFmtId="0" fontId="4" fillId="10" borderId="7" applyBorder="0">
      <alignment horizontal="center" wrapText="1"/>
    </xf>
    <xf numFmtId="0" fontId="4" fillId="10" borderId="7" applyBorder="0">
      <alignment horizontal="center" wrapText="1"/>
    </xf>
    <xf numFmtId="0" fontId="101" fillId="0" borderId="0" applyNumberFormat="0" applyFill="0" applyBorder="0" applyAlignment="0" applyProtection="0"/>
    <xf numFmtId="0" fontId="119" fillId="0" borderId="34" applyNumberFormat="0" applyFill="0" applyAlignment="0" applyProtection="0"/>
    <xf numFmtId="0" fontId="27" fillId="0" borderId="35" applyNumberFormat="0" applyFill="0" applyAlignment="0" applyProtection="0"/>
    <xf numFmtId="0" fontId="16" fillId="0" borderId="36" applyNumberFormat="0" applyFill="0" applyAlignment="0" applyProtection="0"/>
    <xf numFmtId="0" fontId="120" fillId="0" borderId="37" applyNumberFormat="0" applyFill="0" applyAlignment="0" applyProtection="0"/>
    <xf numFmtId="0" fontId="121" fillId="20" borderId="0"/>
    <xf numFmtId="0" fontId="122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1" fontId="8" fillId="11" borderId="5"/>
    <xf numFmtId="2" fontId="125" fillId="11" borderId="5"/>
    <xf numFmtId="1" fontId="126" fillId="11" borderId="5" applyNumberFormat="0"/>
    <xf numFmtId="0" fontId="16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0">
    <xf numFmtId="0" fontId="0" fillId="0" borderId="0" xfId="0"/>
    <xf numFmtId="0" fontId="0" fillId="0" borderId="0" xfId="0"/>
    <xf numFmtId="0" fontId="13" fillId="0" borderId="14" xfId="0" applyFont="1" applyFill="1" applyBorder="1" applyAlignment="1">
      <alignment horizontal="right" indent="1"/>
    </xf>
    <xf numFmtId="0" fontId="13" fillId="13" borderId="38" xfId="0" applyFont="1" applyFill="1" applyBorder="1" applyAlignment="1">
      <alignment horizontal="center"/>
    </xf>
    <xf numFmtId="0" fontId="13" fillId="13" borderId="16" xfId="0" applyFont="1" applyFill="1" applyBorder="1" applyAlignment="1">
      <alignment horizontal="center"/>
    </xf>
    <xf numFmtId="0" fontId="13" fillId="13" borderId="14" xfId="0" applyFont="1" applyFill="1" applyBorder="1" applyAlignment="1">
      <alignment horizontal="left"/>
    </xf>
    <xf numFmtId="0" fontId="4" fillId="0" borderId="41" xfId="0" applyFont="1" applyBorder="1" applyAlignment="1">
      <alignment horizontal="right" indent="1"/>
    </xf>
    <xf numFmtId="0" fontId="4" fillId="0" borderId="40" xfId="0" applyFont="1" applyBorder="1" applyAlignment="1">
      <alignment horizontal="right" indent="1"/>
    </xf>
    <xf numFmtId="0" fontId="4" fillId="0" borderId="0" xfId="0" applyFont="1"/>
    <xf numFmtId="0" fontId="127" fillId="0" borderId="0" xfId="0" applyFont="1" applyFill="1" applyBorder="1"/>
    <xf numFmtId="165" fontId="4" fillId="0" borderId="0" xfId="1" applyNumberFormat="1" applyFont="1" applyBorder="1" applyAlignment="1">
      <alignment horizontal="center"/>
    </xf>
    <xf numFmtId="165" fontId="4" fillId="0" borderId="8" xfId="1" applyNumberFormat="1" applyFont="1" applyBorder="1" applyAlignment="1">
      <alignment horizontal="center"/>
    </xf>
    <xf numFmtId="165" fontId="4" fillId="0" borderId="9" xfId="1" applyNumberFormat="1" applyFont="1" applyBorder="1" applyAlignment="1">
      <alignment horizontal="center"/>
    </xf>
    <xf numFmtId="165" fontId="4" fillId="0" borderId="39" xfId="1" applyNumberFormat="1" applyFont="1" applyBorder="1" applyAlignment="1">
      <alignment horizontal="center"/>
    </xf>
    <xf numFmtId="165" fontId="13" fillId="0" borderId="16" xfId="0" applyNumberFormat="1" applyFont="1" applyBorder="1" applyAlignment="1">
      <alignment horizontal="center"/>
    </xf>
    <xf numFmtId="165" fontId="13" fillId="0" borderId="38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10" fontId="4" fillId="0" borderId="0" xfId="1" applyNumberFormat="1" applyFont="1"/>
    <xf numFmtId="0" fontId="4" fillId="5" borderId="0" xfId="0" applyFont="1" applyFill="1"/>
    <xf numFmtId="164" fontId="4" fillId="5" borderId="0" xfId="0" applyNumberFormat="1" applyFont="1" applyFill="1"/>
    <xf numFmtId="0" fontId="13" fillId="0" borderId="0" xfId="0" applyFont="1"/>
    <xf numFmtId="165" fontId="13" fillId="0" borderId="0" xfId="0" applyNumberFormat="1" applyFont="1"/>
    <xf numFmtId="10" fontId="4" fillId="5" borderId="0" xfId="1" applyNumberFormat="1" applyFont="1" applyFill="1"/>
    <xf numFmtId="165" fontId="4" fillId="5" borderId="0" xfId="1" applyNumberFormat="1" applyFont="1" applyFill="1"/>
    <xf numFmtId="164" fontId="4" fillId="0" borderId="0" xfId="0" applyNumberFormat="1" applyFont="1"/>
    <xf numFmtId="165" fontId="4" fillId="0" borderId="0" xfId="1" applyNumberFormat="1" applyFont="1"/>
    <xf numFmtId="0" fontId="4" fillId="5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165" fontId="4" fillId="0" borderId="0" xfId="0" applyNumberFormat="1" applyFont="1"/>
    <xf numFmtId="165" fontId="4" fillId="5" borderId="0" xfId="0" applyNumberFormat="1" applyFont="1" applyFill="1"/>
    <xf numFmtId="164" fontId="4" fillId="5" borderId="0" xfId="0" applyNumberFormat="1" applyFont="1" applyFill="1" applyAlignment="1">
      <alignment horizontal="right"/>
    </xf>
    <xf numFmtId="165" fontId="0" fillId="0" borderId="0" xfId="0" applyNumberFormat="1"/>
    <xf numFmtId="0" fontId="13" fillId="13" borderId="6" xfId="0" applyFont="1" applyFill="1" applyBorder="1" applyAlignment="1">
      <alignment horizontal="center"/>
    </xf>
    <xf numFmtId="165" fontId="4" fillId="0" borderId="42" xfId="1" applyNumberFormat="1" applyFont="1" applyBorder="1" applyAlignment="1">
      <alignment horizontal="center"/>
    </xf>
    <xf numFmtId="165" fontId="4" fillId="0" borderId="43" xfId="1" applyNumberFormat="1" applyFont="1" applyBorder="1" applyAlignment="1">
      <alignment horizontal="center"/>
    </xf>
    <xf numFmtId="165" fontId="127" fillId="0" borderId="39" xfId="1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28" fillId="0" borderId="38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44" fontId="0" fillId="0" borderId="0" xfId="526" applyFont="1" applyAlignment="1">
      <alignment horizontal="left" indent="1"/>
    </xf>
    <xf numFmtId="165" fontId="0" fillId="0" borderId="0" xfId="1" applyNumberFormat="1" applyFont="1"/>
    <xf numFmtId="165" fontId="0" fillId="0" borderId="0" xfId="1" applyNumberFormat="1" applyFont="1" applyAlignment="1">
      <alignment horizontal="right"/>
    </xf>
    <xf numFmtId="196" fontId="0" fillId="0" borderId="0" xfId="1" applyNumberFormat="1" applyFont="1" applyAlignment="1">
      <alignment horizontal="right"/>
    </xf>
    <xf numFmtId="44" fontId="0" fillId="0" borderId="0" xfId="526" applyFont="1"/>
    <xf numFmtId="165" fontId="13" fillId="0" borderId="0" xfId="1" applyNumberFormat="1" applyFont="1" applyBorder="1" applyAlignment="1">
      <alignment horizontal="center"/>
    </xf>
    <xf numFmtId="165" fontId="13" fillId="0" borderId="9" xfId="1" applyNumberFormat="1" applyFont="1" applyBorder="1" applyAlignment="1">
      <alignment horizontal="center"/>
    </xf>
    <xf numFmtId="164" fontId="4" fillId="0" borderId="0" xfId="0" applyNumberFormat="1" applyFont="1" applyFill="1"/>
    <xf numFmtId="164" fontId="4" fillId="0" borderId="0" xfId="0" applyNumberFormat="1" applyFont="1" applyFill="1" applyAlignment="1">
      <alignment horizontal="right"/>
    </xf>
    <xf numFmtId="0" fontId="128" fillId="53" borderId="14" xfId="0" applyFont="1" applyFill="1" applyBorder="1" applyAlignment="1">
      <alignment horizontal="left"/>
    </xf>
    <xf numFmtId="0" fontId="128" fillId="53" borderId="6" xfId="0" applyFont="1" applyFill="1" applyBorder="1" applyAlignment="1">
      <alignment horizontal="center"/>
    </xf>
    <xf numFmtId="0" fontId="128" fillId="53" borderId="16" xfId="0" applyFont="1" applyFill="1" applyBorder="1" applyAlignment="1">
      <alignment horizontal="center"/>
    </xf>
    <xf numFmtId="0" fontId="128" fillId="53" borderId="38" xfId="0" applyFont="1" applyFill="1" applyBorder="1" applyAlignment="1">
      <alignment horizontal="center"/>
    </xf>
    <xf numFmtId="0" fontId="127" fillId="0" borderId="41" xfId="0" applyFont="1" applyFill="1" applyBorder="1" applyAlignment="1">
      <alignment horizontal="right" indent="1"/>
    </xf>
    <xf numFmtId="165" fontId="127" fillId="0" borderId="43" xfId="1" applyNumberFormat="1" applyFont="1" applyFill="1" applyBorder="1" applyAlignment="1">
      <alignment horizontal="center"/>
    </xf>
    <xf numFmtId="165" fontId="127" fillId="0" borderId="9" xfId="1" applyNumberFormat="1" applyFont="1" applyFill="1" applyBorder="1" applyAlignment="1">
      <alignment horizontal="center"/>
    </xf>
    <xf numFmtId="165" fontId="128" fillId="0" borderId="9" xfId="1" applyNumberFormat="1" applyFont="1" applyFill="1" applyBorder="1" applyAlignment="1">
      <alignment horizontal="center"/>
    </xf>
    <xf numFmtId="165" fontId="127" fillId="0" borderId="0" xfId="1" applyNumberFormat="1" applyFont="1" applyFill="1" applyBorder="1" applyAlignment="1">
      <alignment horizontal="center"/>
    </xf>
    <xf numFmtId="0" fontId="128" fillId="52" borderId="47" xfId="0" applyFont="1" applyFill="1" applyBorder="1" applyAlignment="1">
      <alignment horizontal="center"/>
    </xf>
    <xf numFmtId="0" fontId="128" fillId="53" borderId="16" xfId="0" applyFont="1" applyFill="1" applyBorder="1" applyAlignment="1">
      <alignment horizontal="center"/>
    </xf>
    <xf numFmtId="165" fontId="127" fillId="0" borderId="8" xfId="1" applyNumberFormat="1" applyFont="1" applyFill="1" applyBorder="1" applyAlignment="1">
      <alignment horizontal="center"/>
    </xf>
    <xf numFmtId="165" fontId="127" fillId="0" borderId="39" xfId="1" applyNumberFormat="1" applyFont="1" applyFill="1" applyBorder="1" applyAlignment="1">
      <alignment horizontal="center"/>
    </xf>
    <xf numFmtId="0" fontId="13" fillId="13" borderId="6" xfId="0" applyFont="1" applyFill="1" applyBorder="1" applyAlignment="1">
      <alignment horizontal="center"/>
    </xf>
    <xf numFmtId="0" fontId="13" fillId="13" borderId="16" xfId="0" applyFont="1" applyFill="1" applyBorder="1" applyAlignment="1">
      <alignment horizontal="center"/>
    </xf>
    <xf numFmtId="0" fontId="13" fillId="13" borderId="38" xfId="0" applyFont="1" applyFill="1" applyBorder="1" applyAlignment="1">
      <alignment horizontal="center"/>
    </xf>
    <xf numFmtId="197" fontId="0" fillId="0" borderId="0" xfId="527" applyNumberFormat="1" applyFont="1"/>
    <xf numFmtId="3" fontId="0" fillId="0" borderId="0" xfId="0" applyNumberFormat="1"/>
    <xf numFmtId="4" fontId="0" fillId="0" borderId="0" xfId="0" applyNumberFormat="1"/>
    <xf numFmtId="44" fontId="4" fillId="0" borderId="0" xfId="526" applyFont="1"/>
    <xf numFmtId="0" fontId="4" fillId="0" borderId="0" xfId="0" applyFont="1" applyFill="1"/>
    <xf numFmtId="165" fontId="4" fillId="0" borderId="0" xfId="0" applyNumberFormat="1" applyFont="1" applyFill="1"/>
    <xf numFmtId="44" fontId="4" fillId="0" borderId="0" xfId="526" applyFont="1" applyFill="1"/>
    <xf numFmtId="165" fontId="4" fillId="0" borderId="0" xfId="1" applyNumberFormat="1" applyFont="1" applyFill="1"/>
    <xf numFmtId="0" fontId="129" fillId="0" borderId="0" xfId="0" applyFont="1"/>
    <xf numFmtId="165" fontId="128" fillId="0" borderId="0" xfId="1" applyNumberFormat="1" applyFont="1" applyFill="1" applyBorder="1" applyAlignment="1">
      <alignment horizontal="center"/>
    </xf>
    <xf numFmtId="165" fontId="128" fillId="0" borderId="16" xfId="0" applyNumberFormat="1" applyFont="1" applyFill="1" applyBorder="1" applyAlignment="1">
      <alignment horizontal="center"/>
    </xf>
    <xf numFmtId="0" fontId="127" fillId="0" borderId="42" xfId="0" applyFont="1" applyFill="1" applyBorder="1" applyAlignment="1">
      <alignment horizontal="left"/>
    </xf>
    <xf numFmtId="0" fontId="127" fillId="0" borderId="43" xfId="0" applyFont="1" applyFill="1" applyBorder="1" applyAlignment="1">
      <alignment horizontal="left"/>
    </xf>
    <xf numFmtId="167" fontId="4" fillId="0" borderId="42" xfId="1" applyNumberFormat="1" applyFont="1" applyBorder="1" applyAlignment="1">
      <alignment horizontal="center"/>
    </xf>
    <xf numFmtId="167" fontId="13" fillId="0" borderId="6" xfId="0" applyNumberFormat="1" applyFont="1" applyBorder="1" applyAlignment="1">
      <alignment horizontal="center"/>
    </xf>
    <xf numFmtId="167" fontId="13" fillId="13" borderId="6" xfId="0" applyNumberFormat="1" applyFont="1" applyFill="1" applyBorder="1" applyAlignment="1">
      <alignment horizontal="center"/>
    </xf>
    <xf numFmtId="167" fontId="128" fillId="53" borderId="6" xfId="0" applyNumberFormat="1" applyFont="1" applyFill="1" applyBorder="1" applyAlignment="1">
      <alignment horizontal="center"/>
    </xf>
    <xf numFmtId="167" fontId="4" fillId="0" borderId="43" xfId="1" applyNumberFormat="1" applyFont="1" applyBorder="1" applyAlignment="1">
      <alignment horizontal="center"/>
    </xf>
    <xf numFmtId="167" fontId="4" fillId="0" borderId="0" xfId="1" applyNumberFormat="1" applyFont="1" applyBorder="1" applyAlignment="1">
      <alignment horizontal="center"/>
    </xf>
    <xf numFmtId="167" fontId="4" fillId="0" borderId="8" xfId="1" applyNumberFormat="1" applyFont="1" applyBorder="1" applyAlignment="1">
      <alignment horizontal="center"/>
    </xf>
    <xf numFmtId="167" fontId="13" fillId="0" borderId="16" xfId="0" applyNumberFormat="1" applyFont="1" applyBorder="1" applyAlignment="1">
      <alignment horizontal="center"/>
    </xf>
    <xf numFmtId="167" fontId="13" fillId="0" borderId="38" xfId="0" applyNumberFormat="1" applyFont="1" applyBorder="1" applyAlignment="1">
      <alignment horizontal="center"/>
    </xf>
    <xf numFmtId="167" fontId="13" fillId="13" borderId="16" xfId="0" applyNumberFormat="1" applyFont="1" applyFill="1" applyBorder="1" applyAlignment="1">
      <alignment horizontal="center"/>
    </xf>
    <xf numFmtId="167" fontId="13" fillId="13" borderId="38" xfId="0" applyNumberFormat="1" applyFont="1" applyFill="1" applyBorder="1" applyAlignment="1">
      <alignment horizontal="center"/>
    </xf>
    <xf numFmtId="167" fontId="128" fillId="53" borderId="16" xfId="0" applyNumberFormat="1" applyFont="1" applyFill="1" applyBorder="1" applyAlignment="1">
      <alignment horizontal="center"/>
    </xf>
    <xf numFmtId="167" fontId="128" fillId="53" borderId="38" xfId="0" applyNumberFormat="1" applyFont="1" applyFill="1" applyBorder="1" applyAlignment="1">
      <alignment horizontal="center"/>
    </xf>
    <xf numFmtId="167" fontId="4" fillId="0" borderId="9" xfId="1" applyNumberFormat="1" applyFont="1" applyBorder="1" applyAlignment="1">
      <alignment horizontal="center"/>
    </xf>
    <xf numFmtId="167" fontId="4" fillId="0" borderId="39" xfId="1" applyNumberFormat="1" applyFont="1" applyBorder="1" applyAlignment="1">
      <alignment horizontal="center"/>
    </xf>
    <xf numFmtId="0" fontId="130" fillId="0" borderId="0" xfId="0" applyFont="1"/>
    <xf numFmtId="0" fontId="128" fillId="52" borderId="48" xfId="0" applyFont="1" applyFill="1" applyBorder="1" applyAlignment="1">
      <alignment horizontal="center"/>
    </xf>
    <xf numFmtId="0" fontId="128" fillId="52" borderId="16" xfId="0" applyFont="1" applyFill="1" applyBorder="1" applyAlignment="1">
      <alignment horizontal="center"/>
    </xf>
    <xf numFmtId="0" fontId="128" fillId="52" borderId="38" xfId="0" applyFont="1" applyFill="1" applyBorder="1" applyAlignment="1">
      <alignment horizontal="center"/>
    </xf>
    <xf numFmtId="165" fontId="127" fillId="0" borderId="44" xfId="1" applyNumberFormat="1" applyFont="1" applyFill="1" applyBorder="1" applyAlignment="1">
      <alignment horizontal="center"/>
    </xf>
    <xf numFmtId="165" fontId="127" fillId="0" borderId="45" xfId="1" applyNumberFormat="1" applyFont="1" applyFill="1" applyBorder="1" applyAlignment="1">
      <alignment horizontal="center"/>
    </xf>
    <xf numFmtId="165" fontId="127" fillId="0" borderId="46" xfId="1" applyNumberFormat="1" applyFont="1" applyFill="1" applyBorder="1" applyAlignment="1">
      <alignment horizontal="center"/>
    </xf>
    <xf numFmtId="165" fontId="127" fillId="0" borderId="43" xfId="1" applyNumberFormat="1" applyFont="1" applyFill="1" applyBorder="1" applyAlignment="1">
      <alignment horizontal="center"/>
    </xf>
    <xf numFmtId="165" fontId="127" fillId="0" borderId="9" xfId="1" applyNumberFormat="1" applyFont="1" applyFill="1" applyBorder="1" applyAlignment="1">
      <alignment horizontal="center"/>
    </xf>
    <xf numFmtId="165" fontId="127" fillId="0" borderId="39" xfId="1" applyNumberFormat="1" applyFont="1" applyFill="1" applyBorder="1" applyAlignment="1">
      <alignment horizontal="center"/>
    </xf>
    <xf numFmtId="165" fontId="127" fillId="0" borderId="6" xfId="1" applyNumberFormat="1" applyFont="1" applyFill="1" applyBorder="1" applyAlignment="1">
      <alignment horizontal="center"/>
    </xf>
    <xf numFmtId="165" fontId="127" fillId="0" borderId="16" xfId="1" applyNumberFormat="1" applyFont="1" applyFill="1" applyBorder="1" applyAlignment="1">
      <alignment horizontal="center"/>
    </xf>
    <xf numFmtId="0" fontId="13" fillId="13" borderId="6" xfId="0" applyFont="1" applyFill="1" applyBorder="1" applyAlignment="1">
      <alignment horizontal="center"/>
    </xf>
    <xf numFmtId="0" fontId="13" fillId="13" borderId="16" xfId="0" applyFont="1" applyFill="1" applyBorder="1" applyAlignment="1">
      <alignment horizontal="center"/>
    </xf>
    <xf numFmtId="165" fontId="4" fillId="0" borderId="6" xfId="1" applyNumberFormat="1" applyFont="1" applyBorder="1" applyAlignment="1">
      <alignment horizontal="center"/>
    </xf>
    <xf numFmtId="165" fontId="4" fillId="0" borderId="16" xfId="1" applyNumberFormat="1" applyFont="1" applyBorder="1" applyAlignment="1">
      <alignment horizontal="center"/>
    </xf>
    <xf numFmtId="0" fontId="13" fillId="13" borderId="38" xfId="0" applyFont="1" applyFill="1" applyBorder="1" applyAlignment="1">
      <alignment horizontal="center"/>
    </xf>
    <xf numFmtId="165" fontId="4" fillId="0" borderId="38" xfId="1" applyNumberFormat="1" applyFont="1" applyBorder="1" applyAlignment="1">
      <alignment horizontal="center"/>
    </xf>
    <xf numFmtId="0" fontId="128" fillId="53" borderId="16" xfId="0" quotePrefix="1" applyFont="1" applyFill="1" applyBorder="1" applyAlignment="1">
      <alignment horizontal="center"/>
    </xf>
    <xf numFmtId="0" fontId="128" fillId="53" borderId="38" xfId="0" quotePrefix="1" applyFont="1" applyFill="1" applyBorder="1" applyAlignment="1">
      <alignment horizontal="center"/>
    </xf>
    <xf numFmtId="0" fontId="128" fillId="53" borderId="6" xfId="0" applyFont="1" applyFill="1" applyBorder="1" applyAlignment="1">
      <alignment horizontal="center"/>
    </xf>
    <xf numFmtId="0" fontId="128" fillId="53" borderId="16" xfId="0" applyFont="1" applyFill="1" applyBorder="1" applyAlignment="1">
      <alignment horizontal="center"/>
    </xf>
    <xf numFmtId="165" fontId="127" fillId="0" borderId="38" xfId="1" applyNumberFormat="1" applyFont="1" applyFill="1" applyBorder="1" applyAlignment="1">
      <alignment horizontal="center"/>
    </xf>
    <xf numFmtId="165" fontId="13" fillId="0" borderId="16" xfId="0" applyNumberFormat="1" applyFont="1" applyBorder="1" applyAlignment="1">
      <alignment horizontal="center"/>
    </xf>
    <xf numFmtId="165" fontId="13" fillId="0" borderId="38" xfId="0" applyNumberFormat="1" applyFont="1" applyBorder="1" applyAlignment="1">
      <alignment horizontal="center"/>
    </xf>
    <xf numFmtId="165" fontId="4" fillId="0" borderId="44" xfId="1" applyNumberFormat="1" applyFont="1" applyBorder="1" applyAlignment="1">
      <alignment horizontal="center"/>
    </xf>
    <xf numFmtId="165" fontId="4" fillId="0" borderId="45" xfId="1" applyNumberFormat="1" applyFont="1" applyBorder="1" applyAlignment="1">
      <alignment horizontal="center"/>
    </xf>
    <xf numFmtId="165" fontId="4" fillId="0" borderId="42" xfId="1" applyNumberFormat="1" applyFont="1" applyBorder="1" applyAlignment="1">
      <alignment horizontal="center"/>
    </xf>
    <xf numFmtId="165" fontId="4" fillId="0" borderId="0" xfId="1" applyNumberFormat="1" applyFont="1" applyBorder="1" applyAlignment="1">
      <alignment horizontal="center"/>
    </xf>
    <xf numFmtId="165" fontId="4" fillId="0" borderId="43" xfId="1" applyNumberFormat="1" applyFont="1" applyBorder="1" applyAlignment="1">
      <alignment horizontal="center"/>
    </xf>
    <xf numFmtId="165" fontId="4" fillId="0" borderId="9" xfId="1" applyNumberFormat="1" applyFont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4" fillId="0" borderId="46" xfId="1" applyNumberFormat="1" applyFont="1" applyBorder="1" applyAlignment="1">
      <alignment horizontal="center"/>
    </xf>
    <xf numFmtId="165" fontId="4" fillId="0" borderId="8" xfId="1" applyNumberFormat="1" applyFont="1" applyBorder="1" applyAlignment="1">
      <alignment horizontal="center"/>
    </xf>
    <xf numFmtId="165" fontId="4" fillId="0" borderId="39" xfId="1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0" fillId="0" borderId="9" xfId="0" applyFont="1" applyBorder="1" applyAlignment="1">
      <alignment horizontal="center"/>
    </xf>
  </cellXfs>
  <cellStyles count="528">
    <cellStyle name="_Bonds" xfId="37"/>
    <cellStyle name="_Bonds 2" xfId="38"/>
    <cellStyle name="_Offering" xfId="39"/>
    <cellStyle name="_Offering 2" xfId="40"/>
    <cellStyle name="£ BP" xfId="41"/>
    <cellStyle name="¥ JY" xfId="42"/>
    <cellStyle name="20% - Accent1 2" xfId="2"/>
    <cellStyle name="20% - Accent1 2 2" xfId="18"/>
    <cellStyle name="20% - Accent1 2 3" xfId="19"/>
    <cellStyle name="20% - Accent1 3" xfId="3"/>
    <cellStyle name="20% - Accent1 3 2" xfId="20"/>
    <cellStyle name="20% - Accent1 3 3" xfId="21"/>
    <cellStyle name="20% - Accent1 4" xfId="22"/>
    <cellStyle name="20% - Accent1 5" xfId="23"/>
    <cellStyle name="20% - Accent2 2" xfId="43"/>
    <cellStyle name="20% - Accent2 3" xfId="44"/>
    <cellStyle name="20% - Accent2 4" xfId="45"/>
    <cellStyle name="20% - Accent3 2" xfId="46"/>
    <cellStyle name="20% - Accent3 3" xfId="47"/>
    <cellStyle name="20% - Accent3 4" xfId="48"/>
    <cellStyle name="20% - Accent4 2" xfId="49"/>
    <cellStyle name="20% - Accent4 3" xfId="50"/>
    <cellStyle name="20% - Accent4 4" xfId="51"/>
    <cellStyle name="20% - Accent5 2" xfId="52"/>
    <cellStyle name="20% - Accent5 3" xfId="53"/>
    <cellStyle name="20% - Accent5 4" xfId="54"/>
    <cellStyle name="20% - Accent6 2" xfId="55"/>
    <cellStyle name="20% - Accent6 3" xfId="56"/>
    <cellStyle name="20% - Accent6 4" xfId="57"/>
    <cellStyle name="40% - Accent1 2" xfId="58"/>
    <cellStyle name="40% - Accent1 3" xfId="59"/>
    <cellStyle name="40% - Accent1 4" xfId="60"/>
    <cellStyle name="40% - Accent2 2" xfId="61"/>
    <cellStyle name="40% - Accent2 3" xfId="62"/>
    <cellStyle name="40% - Accent2 4" xfId="63"/>
    <cellStyle name="40% - Accent3 2" xfId="64"/>
    <cellStyle name="40% - Accent3 3" xfId="65"/>
    <cellStyle name="40% - Accent3 4" xfId="66"/>
    <cellStyle name="40% - Accent4 2" xfId="67"/>
    <cellStyle name="40% - Accent4 3" xfId="68"/>
    <cellStyle name="40% - Accent4 4" xfId="69"/>
    <cellStyle name="40% - Accent5 2" xfId="70"/>
    <cellStyle name="40% - Accent5 3" xfId="71"/>
    <cellStyle name="40% - Accent5 4" xfId="72"/>
    <cellStyle name="40% - Accent6 2" xfId="73"/>
    <cellStyle name="40% - Accent6 3" xfId="74"/>
    <cellStyle name="40% - Accent6 4" xfId="75"/>
    <cellStyle name="60% - Accent1 2" xfId="76"/>
    <cellStyle name="60% - Accent1 3" xfId="77"/>
    <cellStyle name="60% - Accent1 4" xfId="78"/>
    <cellStyle name="60% - Accent2 2" xfId="79"/>
    <cellStyle name="60% - Accent2 3" xfId="80"/>
    <cellStyle name="60% - Accent2 4" xfId="81"/>
    <cellStyle name="60% - Accent3 2" xfId="82"/>
    <cellStyle name="60% - Accent3 3" xfId="83"/>
    <cellStyle name="60% - Accent3 4" xfId="84"/>
    <cellStyle name="60% - Accent4 2" xfId="85"/>
    <cellStyle name="60% - Accent4 3" xfId="86"/>
    <cellStyle name="60% - Accent4 4" xfId="87"/>
    <cellStyle name="60% - Accent5 2" xfId="88"/>
    <cellStyle name="60% - Accent5 3" xfId="89"/>
    <cellStyle name="60% - Accent5 4" xfId="90"/>
    <cellStyle name="60% - Accent6 2" xfId="91"/>
    <cellStyle name="60% - Accent6 3" xfId="92"/>
    <cellStyle name="60% - Accent6 4" xfId="93"/>
    <cellStyle name="Accent1 2" xfId="94"/>
    <cellStyle name="Accent1 3" xfId="95"/>
    <cellStyle name="Accent1 4" xfId="96"/>
    <cellStyle name="Accent2 2" xfId="97"/>
    <cellStyle name="Accent2 3" xfId="98"/>
    <cellStyle name="Accent2 4" xfId="99"/>
    <cellStyle name="Accent3 2" xfId="100"/>
    <cellStyle name="Accent3 3" xfId="101"/>
    <cellStyle name="Accent3 4" xfId="102"/>
    <cellStyle name="Accent4 2" xfId="103"/>
    <cellStyle name="Accent4 3" xfId="104"/>
    <cellStyle name="Accent4 4" xfId="105"/>
    <cellStyle name="Accent5 2" xfId="106"/>
    <cellStyle name="Accent5 3" xfId="107"/>
    <cellStyle name="Accent5 4" xfId="108"/>
    <cellStyle name="Accent6 2" xfId="109"/>
    <cellStyle name="Accent6 3" xfId="110"/>
    <cellStyle name="Accent6 4" xfId="111"/>
    <cellStyle name="Auto_OpenAuto_CloseExtractD_Sheet1" xfId="112"/>
    <cellStyle name="Axis.EffectiveDate" xfId="113"/>
    <cellStyle name="Axis.Seasoning" xfId="114"/>
    <cellStyle name="Bad 2" xfId="115"/>
    <cellStyle name="Bad 3" xfId="116"/>
    <cellStyle name="Bad 4" xfId="117"/>
    <cellStyle name="Big Money" xfId="118"/>
    <cellStyle name="Blue" xfId="119"/>
    <cellStyle name="blue axis cells" xfId="120"/>
    <cellStyle name="blue text cells" xfId="121"/>
    <cellStyle name="Body" xfId="122"/>
    <cellStyle name="Bold/Border" xfId="123"/>
    <cellStyle name="Border" xfId="124"/>
    <cellStyle name="Bullet" xfId="125"/>
    <cellStyle name="Calc Currency (0)" xfId="126"/>
    <cellStyle name="Calc Currency (0) 2" xfId="127"/>
    <cellStyle name="Calc Currency (2)" xfId="128"/>
    <cellStyle name="Calc Currency (2) 2" xfId="129"/>
    <cellStyle name="Calc Percent (0)" xfId="130"/>
    <cellStyle name="Calc Percent (0) 2" xfId="131"/>
    <cellStyle name="Calc Percent (1)" xfId="132"/>
    <cellStyle name="Calc Percent (1) 2" xfId="133"/>
    <cellStyle name="Calc Percent (2)" xfId="134"/>
    <cellStyle name="Calc Percent (2) 2" xfId="135"/>
    <cellStyle name="Calc Units (0)" xfId="136"/>
    <cellStyle name="Calc Units (0) 2" xfId="137"/>
    <cellStyle name="Calc Units (1)" xfId="138"/>
    <cellStyle name="Calc Units (1) 2" xfId="139"/>
    <cellStyle name="Calc Units (2)" xfId="140"/>
    <cellStyle name="Calc Units (2) 2" xfId="141"/>
    <cellStyle name="Calculation 2" xfId="142"/>
    <cellStyle name="Calculation 3" xfId="143"/>
    <cellStyle name="Calculation 4" xfId="144"/>
    <cellStyle name="CCM Input" xfId="145"/>
    <cellStyle name="CCM Title Calculations" xfId="24"/>
    <cellStyle name="CCM Title Indicative" xfId="146"/>
    <cellStyle name="Cello Calculation" xfId="4"/>
    <cellStyle name="Cello Calculation 2" xfId="147"/>
    <cellStyle name="Cello Calculation 2 2" xfId="148"/>
    <cellStyle name="Cello Calculation 3" xfId="149"/>
    <cellStyle name="Cello Calculation 4" xfId="150"/>
    <cellStyle name="Cello Input" xfId="5"/>
    <cellStyle name="Cello Input 2" xfId="25"/>
    <cellStyle name="Cello Input 2 2" xfId="151"/>
    <cellStyle name="Cello Input 2 3" xfId="152"/>
    <cellStyle name="Cello Input 2 5" xfId="26"/>
    <cellStyle name="Cello Input 3" xfId="27"/>
    <cellStyle name="Cello Input 4" xfId="153"/>
    <cellStyle name="Cello Linked Cell" xfId="6"/>
    <cellStyle name="Cello Linked Cell 2" xfId="154"/>
    <cellStyle name="Cello Linked Cell 2 2" xfId="155"/>
    <cellStyle name="Check Cell 2" xfId="156"/>
    <cellStyle name="Check Cell 3" xfId="157"/>
    <cellStyle name="Check Cell 4" xfId="158"/>
    <cellStyle name="Co. Names" xfId="159"/>
    <cellStyle name="Comma" xfId="527" builtinId="3"/>
    <cellStyle name="Comma  - Style1" xfId="160"/>
    <cellStyle name="Comma  - Style1 2" xfId="161"/>
    <cellStyle name="Comma  - Style2" xfId="162"/>
    <cellStyle name="Comma  - Style2 2" xfId="163"/>
    <cellStyle name="Comma  - Style3" xfId="164"/>
    <cellStyle name="Comma  - Style3 2" xfId="165"/>
    <cellStyle name="Comma  - Style4" xfId="166"/>
    <cellStyle name="Comma  - Style4 2" xfId="167"/>
    <cellStyle name="Comma  - Style5" xfId="168"/>
    <cellStyle name="Comma  - Style5 2" xfId="169"/>
    <cellStyle name="Comma  - Style6" xfId="170"/>
    <cellStyle name="Comma  - Style6 2" xfId="171"/>
    <cellStyle name="Comma  - Style7" xfId="172"/>
    <cellStyle name="Comma  - Style7 2" xfId="173"/>
    <cellStyle name="Comma  - Style8" xfId="174"/>
    <cellStyle name="Comma  - Style8 2" xfId="175"/>
    <cellStyle name="Comma [00]" xfId="176"/>
    <cellStyle name="Comma [00] 2" xfId="177"/>
    <cellStyle name="Comma 10" xfId="178"/>
    <cellStyle name="Comma 11" xfId="179"/>
    <cellStyle name="Comma 12" xfId="180"/>
    <cellStyle name="Comma 13" xfId="181"/>
    <cellStyle name="Comma 14" xfId="182"/>
    <cellStyle name="Comma 15" xfId="183"/>
    <cellStyle name="Comma 16" xfId="184"/>
    <cellStyle name="Comma 16 2" xfId="185"/>
    <cellStyle name="Comma 17" xfId="186"/>
    <cellStyle name="Comma 18" xfId="187"/>
    <cellStyle name="Comma 19" xfId="188"/>
    <cellStyle name="Comma 2" xfId="35"/>
    <cellStyle name="Comma 20" xfId="189"/>
    <cellStyle name="Comma 21" xfId="190"/>
    <cellStyle name="Comma 22" xfId="191"/>
    <cellStyle name="Comma 23" xfId="192"/>
    <cellStyle name="Comma 24" xfId="193"/>
    <cellStyle name="Comma 25" xfId="194"/>
    <cellStyle name="Comma 26" xfId="195"/>
    <cellStyle name="Comma 27" xfId="196"/>
    <cellStyle name="Comma 28" xfId="197"/>
    <cellStyle name="Comma 29" xfId="198"/>
    <cellStyle name="Comma 29 2" xfId="199"/>
    <cellStyle name="Comma 3" xfId="200"/>
    <cellStyle name="Comma 30" xfId="201"/>
    <cellStyle name="Comma 4" xfId="202"/>
    <cellStyle name="Comma 4 2" xfId="203"/>
    <cellStyle name="Comma 5" xfId="204"/>
    <cellStyle name="Comma 6" xfId="205"/>
    <cellStyle name="Comma 7" xfId="206"/>
    <cellStyle name="Comma 8" xfId="207"/>
    <cellStyle name="Comma 9" xfId="208"/>
    <cellStyle name="Comma0" xfId="209"/>
    <cellStyle name="Comma1 - Style1" xfId="210"/>
    <cellStyle name="Copied" xfId="211"/>
    <cellStyle name="CTDSwitchAnalysisHeader" xfId="212"/>
    <cellStyle name="Curren - Style2" xfId="213"/>
    <cellStyle name="Currency" xfId="526" builtinId="4"/>
    <cellStyle name="Currency [00]" xfId="214"/>
    <cellStyle name="Currency [00] 2" xfId="215"/>
    <cellStyle name="Currency [2]" xfId="216"/>
    <cellStyle name="Currency 10" xfId="217"/>
    <cellStyle name="Currency 11" xfId="218"/>
    <cellStyle name="Currency 12" xfId="219"/>
    <cellStyle name="Currency 13" xfId="220"/>
    <cellStyle name="Currency 14" xfId="221"/>
    <cellStyle name="Currency 15" xfId="222"/>
    <cellStyle name="Currency 2" xfId="223"/>
    <cellStyle name="Currency 3" xfId="224"/>
    <cellStyle name="Currency 4" xfId="225"/>
    <cellStyle name="Currency 5" xfId="226"/>
    <cellStyle name="Currency 6" xfId="227"/>
    <cellStyle name="Currency 7" xfId="228"/>
    <cellStyle name="Currency 8" xfId="229"/>
    <cellStyle name="Currency 9" xfId="230"/>
    <cellStyle name="Currency0" xfId="231"/>
    <cellStyle name="Dash" xfId="232"/>
    <cellStyle name="Data.LongPercent" xfId="233"/>
    <cellStyle name="Data.NumPercent" xfId="234"/>
    <cellStyle name="Data.NumShortPercent" xfId="235"/>
    <cellStyle name="date" xfId="236"/>
    <cellStyle name="Date - Style3" xfId="237"/>
    <cellStyle name="Date 2" xfId="238"/>
    <cellStyle name="Date 3" xfId="239"/>
    <cellStyle name="Date 4" xfId="240"/>
    <cellStyle name="Date 5" xfId="241"/>
    <cellStyle name="Date 6" xfId="242"/>
    <cellStyle name="Date 7" xfId="243"/>
    <cellStyle name="Date Short" xfId="244"/>
    <cellStyle name="date title" xfId="245"/>
    <cellStyle name="Date_DV01" xfId="246"/>
    <cellStyle name="DateFormat" xfId="247"/>
    <cellStyle name="DBAHandle" xfId="248"/>
    <cellStyle name="DBAParameter" xfId="249"/>
    <cellStyle name="DELTA" xfId="250"/>
    <cellStyle name="DS 0" xfId="251"/>
    <cellStyle name="DS 1" xfId="252"/>
    <cellStyle name="DS 2" xfId="253"/>
    <cellStyle name="DS 3" xfId="254"/>
    <cellStyle name="DS 4" xfId="255"/>
    <cellStyle name="DS 5" xfId="256"/>
    <cellStyle name="DS 5 2" xfId="257"/>
    <cellStyle name="DS 6" xfId="258"/>
    <cellStyle name="Enter Currency (0)" xfId="259"/>
    <cellStyle name="Enter Currency (0) 2" xfId="260"/>
    <cellStyle name="Enter Currency (2)" xfId="261"/>
    <cellStyle name="Enter Currency (2) 2" xfId="262"/>
    <cellStyle name="Enter Units (0)" xfId="263"/>
    <cellStyle name="Enter Units (0) 2" xfId="264"/>
    <cellStyle name="Enter Units (1)" xfId="265"/>
    <cellStyle name="Enter Units (1) 2" xfId="266"/>
    <cellStyle name="Enter Units (2)" xfId="267"/>
    <cellStyle name="Enter Units (2) 2" xfId="268"/>
    <cellStyle name="Entered" xfId="269"/>
    <cellStyle name="Entries" xfId="270"/>
    <cellStyle name="Euro" xfId="271"/>
    <cellStyle name="Explanatory Text 2" xfId="272"/>
    <cellStyle name="Explanatory Text 3" xfId="273"/>
    <cellStyle name="Explanatory Text 4" xfId="274"/>
    <cellStyle name="Fixed" xfId="275"/>
    <cellStyle name="FullTime" xfId="276"/>
    <cellStyle name="General" xfId="277"/>
    <cellStyle name="Good 2" xfId="278"/>
    <cellStyle name="Good 3" xfId="279"/>
    <cellStyle name="Good 4" xfId="280"/>
    <cellStyle name="gray text cells" xfId="281"/>
    <cellStyle name="Grey" xfId="282"/>
    <cellStyle name="Header1" xfId="283"/>
    <cellStyle name="Header2" xfId="284"/>
    <cellStyle name="Heading" xfId="285"/>
    <cellStyle name="Heading 1 2" xfId="286"/>
    <cellStyle name="Heading 1 2 2" xfId="287"/>
    <cellStyle name="Heading 1 3" xfId="288"/>
    <cellStyle name="Heading 1 4" xfId="289"/>
    <cellStyle name="Heading 1 5" xfId="290"/>
    <cellStyle name="Heading 2 2" xfId="291"/>
    <cellStyle name="Heading 2 2 2" xfId="292"/>
    <cellStyle name="Heading 2 3" xfId="293"/>
    <cellStyle name="Heading 2 4" xfId="294"/>
    <cellStyle name="Heading 2 5" xfId="295"/>
    <cellStyle name="Heading 3 2" xfId="296"/>
    <cellStyle name="Heading 3 3" xfId="297"/>
    <cellStyle name="Heading 3 4" xfId="298"/>
    <cellStyle name="Heading 4 2" xfId="299"/>
    <cellStyle name="Heading 4 3" xfId="300"/>
    <cellStyle name="Heading 4 4" xfId="301"/>
    <cellStyle name="Heading 5" xfId="302"/>
    <cellStyle name="HEADING1" xfId="303"/>
    <cellStyle name="HEADING2" xfId="304"/>
    <cellStyle name="Hyperlink 2" xfId="305"/>
    <cellStyle name="Input [yellow]" xfId="306"/>
    <cellStyle name="Input 2" xfId="307"/>
    <cellStyle name="Input 2 2" xfId="308"/>
    <cellStyle name="Input 2 3" xfId="309"/>
    <cellStyle name="Input 3" xfId="310"/>
    <cellStyle name="Input 4" xfId="311"/>
    <cellStyle name="Input 5" xfId="312"/>
    <cellStyle name="Input 6" xfId="313"/>
    <cellStyle name="Input 7" xfId="314"/>
    <cellStyle name="Item" xfId="315"/>
    <cellStyle name="Link Currency (0)" xfId="316"/>
    <cellStyle name="Link Currency (0) 2" xfId="317"/>
    <cellStyle name="Link Currency (2)" xfId="318"/>
    <cellStyle name="Link Currency (2) 2" xfId="319"/>
    <cellStyle name="Link Units (0)" xfId="320"/>
    <cellStyle name="Link Units (0) 2" xfId="321"/>
    <cellStyle name="Link Units (1)" xfId="322"/>
    <cellStyle name="Link Units (1) 2" xfId="323"/>
    <cellStyle name="Link Units (2)" xfId="324"/>
    <cellStyle name="Link Units (2) 2" xfId="325"/>
    <cellStyle name="Linked Cell 2" xfId="326"/>
    <cellStyle name="Linked Cell 3" xfId="327"/>
    <cellStyle name="Linked Cell 4" xfId="328"/>
    <cellStyle name="Lookup" xfId="329"/>
    <cellStyle name="Milliers [0]_Basis" xfId="330"/>
    <cellStyle name="Milliers_Basis" xfId="331"/>
    <cellStyle name="Monétaire [0]_Basis" xfId="332"/>
    <cellStyle name="Monétaire_Basis" xfId="333"/>
    <cellStyle name="Money" xfId="334"/>
    <cellStyle name="Neutral 2" xfId="335"/>
    <cellStyle name="Neutral 3" xfId="336"/>
    <cellStyle name="Neutral 4" xfId="337"/>
    <cellStyle name="no dec" xfId="338"/>
    <cellStyle name="NoChange" xfId="339"/>
    <cellStyle name="Non Zero" xfId="340"/>
    <cellStyle name="Normal" xfId="0" builtinId="0"/>
    <cellStyle name="Normal - Style1" xfId="341"/>
    <cellStyle name="Normal 10" xfId="342"/>
    <cellStyle name="Normal 10 2" xfId="343"/>
    <cellStyle name="Normal 107" xfId="28"/>
    <cellStyle name="Normal 11" xfId="344"/>
    <cellStyle name="Normal 11 2" xfId="345"/>
    <cellStyle name="Normal 12" xfId="346"/>
    <cellStyle name="Normal 13" xfId="347"/>
    <cellStyle name="Normal 14" xfId="348"/>
    <cellStyle name="Normal 15" xfId="349"/>
    <cellStyle name="Normal 16" xfId="350"/>
    <cellStyle name="Normal 17" xfId="351"/>
    <cellStyle name="Normal 18" xfId="352"/>
    <cellStyle name="Normal 19" xfId="353"/>
    <cellStyle name="Normal 2" xfId="7"/>
    <cellStyle name="Normal 2 2" xfId="354"/>
    <cellStyle name="Normal 2 2 2" xfId="355"/>
    <cellStyle name="Normal 2 3" xfId="356"/>
    <cellStyle name="Normal 2 3 2" xfId="29"/>
    <cellStyle name="Normal 2 3 2 2" xfId="357"/>
    <cellStyle name="Normal 2 3 3" xfId="358"/>
    <cellStyle name="Normal 2 4" xfId="359"/>
    <cellStyle name="Normal 2 4 2" xfId="360"/>
    <cellStyle name="Normal 2 4 2 2" xfId="361"/>
    <cellStyle name="Normal 2 4 3" xfId="362"/>
    <cellStyle name="Normal 2 5" xfId="363"/>
    <cellStyle name="Normal 2 5 2" xfId="364"/>
    <cellStyle name="Normal 2 6" xfId="365"/>
    <cellStyle name="Normal 2 7" xfId="366"/>
    <cellStyle name="Normal 20" xfId="367"/>
    <cellStyle name="Normal 21" xfId="368"/>
    <cellStyle name="Normal 22" xfId="369"/>
    <cellStyle name="Normal 23" xfId="370"/>
    <cellStyle name="Normal 24" xfId="371"/>
    <cellStyle name="Normal 25" xfId="372"/>
    <cellStyle name="Normal 26" xfId="373"/>
    <cellStyle name="Normal 27" xfId="374"/>
    <cellStyle name="Normal 28" xfId="375"/>
    <cellStyle name="Normal 28 2" xfId="376"/>
    <cellStyle name="Normal 29" xfId="377"/>
    <cellStyle name="Normal 3" xfId="8"/>
    <cellStyle name="Normal 3 2" xfId="378"/>
    <cellStyle name="Normal 30" xfId="379"/>
    <cellStyle name="Normal 31" xfId="380"/>
    <cellStyle name="Normal 32" xfId="381"/>
    <cellStyle name="Normal 33" xfId="382"/>
    <cellStyle name="Normal 34" xfId="383"/>
    <cellStyle name="Normal 35" xfId="384"/>
    <cellStyle name="Normal 36" xfId="385"/>
    <cellStyle name="Normal 37" xfId="386"/>
    <cellStyle name="Normal 38" xfId="387"/>
    <cellStyle name="Normal 38 2" xfId="388"/>
    <cellStyle name="Normal 38 2 2" xfId="389"/>
    <cellStyle name="Normal 38 3" xfId="390"/>
    <cellStyle name="Normal 39" xfId="391"/>
    <cellStyle name="Normal 4" xfId="9"/>
    <cellStyle name="Normal 4 2" xfId="392"/>
    <cellStyle name="Normal 4 3" xfId="393"/>
    <cellStyle name="Normal 4 4" xfId="394"/>
    <cellStyle name="Normal 40" xfId="395"/>
    <cellStyle name="Normal 41" xfId="396"/>
    <cellStyle name="Normal 42" xfId="397"/>
    <cellStyle name="Normal 42 2" xfId="398"/>
    <cellStyle name="Normal 5" xfId="399"/>
    <cellStyle name="Normal 6" xfId="400"/>
    <cellStyle name="Normal 6 2" xfId="401"/>
    <cellStyle name="Normal 7" xfId="402"/>
    <cellStyle name="Normal 7 2" xfId="403"/>
    <cellStyle name="Normal 8" xfId="404"/>
    <cellStyle name="Normal 88" xfId="30"/>
    <cellStyle name="Normal 9" xfId="405"/>
    <cellStyle name="Normal 9 2" xfId="406"/>
    <cellStyle name="Note 2" xfId="10"/>
    <cellStyle name="Note 2 2" xfId="407"/>
    <cellStyle name="Note 2 3" xfId="408"/>
    <cellStyle name="Note 2 4" xfId="409"/>
    <cellStyle name="Note 3" xfId="410"/>
    <cellStyle name="Note 4" xfId="411"/>
    <cellStyle name="Note 5" xfId="412"/>
    <cellStyle name="Note 6" xfId="413"/>
    <cellStyle name="Note 7" xfId="414"/>
    <cellStyle name="Note 7 2" xfId="415"/>
    <cellStyle name="Note 8" xfId="416"/>
    <cellStyle name="NumberAsPercent" xfId="417"/>
    <cellStyle name="NumberFormat" xfId="418"/>
    <cellStyle name="Numbers" xfId="419"/>
    <cellStyle name="Numbers - Bold" xfId="420"/>
    <cellStyle name="Numbers_increm pf" xfId="421"/>
    <cellStyle name="NumberTo1DecPlace" xfId="422"/>
    <cellStyle name="OffWhite" xfId="423"/>
    <cellStyle name="Option" xfId="424"/>
    <cellStyle name="orange text cell" xfId="425"/>
    <cellStyle name="Output 2" xfId="426"/>
    <cellStyle name="Output 3" xfId="427"/>
    <cellStyle name="Output 4" xfId="428"/>
    <cellStyle name="Output Amounts" xfId="429"/>
    <cellStyle name="Output Column Headings" xfId="430"/>
    <cellStyle name="Output Line Items" xfId="431"/>
    <cellStyle name="Output Report Heading" xfId="432"/>
    <cellStyle name="Output Report Title" xfId="433"/>
    <cellStyle name="Pageheading" xfId="434"/>
    <cellStyle name="Percent" xfId="1" builtinId="5"/>
    <cellStyle name="Percent [0]" xfId="435"/>
    <cellStyle name="Percent [0] 2" xfId="436"/>
    <cellStyle name="Percent [00]" xfId="437"/>
    <cellStyle name="Percent [00] 2" xfId="438"/>
    <cellStyle name="Percent [2]" xfId="439"/>
    <cellStyle name="Percent 2" xfId="36"/>
    <cellStyle name="Percent 2 2" xfId="440"/>
    <cellStyle name="Percent 3" xfId="441"/>
    <cellStyle name="Percentage" xfId="442"/>
    <cellStyle name="PrePop Currency (0)" xfId="443"/>
    <cellStyle name="PrePop Currency (0) 2" xfId="444"/>
    <cellStyle name="PrePop Currency (2)" xfId="445"/>
    <cellStyle name="PrePop Currency (2) 2" xfId="446"/>
    <cellStyle name="PrePop Units (0)" xfId="447"/>
    <cellStyle name="PrePop Units (0) 2" xfId="448"/>
    <cellStyle name="PrePop Units (1)" xfId="449"/>
    <cellStyle name="PrePop Units (1) 2" xfId="450"/>
    <cellStyle name="PrePop Units (2)" xfId="451"/>
    <cellStyle name="PrePop Units (2) 2" xfId="452"/>
    <cellStyle name="PriceTo3DecPlaces" xfId="453"/>
    <cellStyle name="PriceWithBorderAround" xfId="454"/>
    <cellStyle name="PRICING" xfId="455"/>
    <cellStyle name="Product Header" xfId="456"/>
    <cellStyle name="PSChar" xfId="457"/>
    <cellStyle name="PSHeading" xfId="458"/>
    <cellStyle name="r" xfId="459"/>
    <cellStyle name="r_pldt" xfId="460"/>
    <cellStyle name="ReportLeftHeader" xfId="461"/>
    <cellStyle name="ReportRightHeader" xfId="462"/>
    <cellStyle name="results" xfId="463"/>
    <cellStyle name="RevList" xfId="464"/>
    <cellStyle name="RVRQueryHandle" xfId="465"/>
    <cellStyle name="Section" xfId="466"/>
    <cellStyle name="SecuritiesPricingTable" xfId="467"/>
    <cellStyle name="SecuritiesPricingTableFinalData" xfId="468"/>
    <cellStyle name="SecuritiesPricingTableManualData" xfId="469"/>
    <cellStyle name="SecuritiesPricingTableText" xfId="470"/>
    <cellStyle name="Short $" xfId="471"/>
    <cellStyle name="Short $ 2" xfId="472"/>
    <cellStyle name="SIZE" xfId="473"/>
    <cellStyle name="Standard_Swaps-Bonds-Blending" xfId="474"/>
    <cellStyle name="Style 1" xfId="475"/>
    <cellStyle name="StyleSecuritiesPricingTableInteger" xfId="476"/>
    <cellStyle name="Subheading" xfId="477"/>
    <cellStyle name="subtitle" xfId="478"/>
    <cellStyle name="Subtotal" xfId="479"/>
    <cellStyle name="Table" xfId="480"/>
    <cellStyle name="Tablebody" xfId="481"/>
    <cellStyle name="TablebodyDate" xfId="482"/>
    <cellStyle name="TablebodyHeading" xfId="483"/>
    <cellStyle name="TablebodyOutstandingAmount" xfId="484"/>
    <cellStyle name="TablebodyPercent" xfId="485"/>
    <cellStyle name="TablebodyPrice" xfId="486"/>
    <cellStyle name="TablebodyReverse" xfId="487"/>
    <cellStyle name="TablebodySpread" xfId="488"/>
    <cellStyle name="TablebodySpreadBorder" xfId="489"/>
    <cellStyle name="TablebodyText" xfId="490"/>
    <cellStyle name="Tableheading" xfId="491"/>
    <cellStyle name="Text" xfId="492"/>
    <cellStyle name="Text 2" xfId="493"/>
    <cellStyle name="Text Indent A" xfId="494"/>
    <cellStyle name="Text Indent B" xfId="495"/>
    <cellStyle name="Text Indent B 2" xfId="496"/>
    <cellStyle name="Text Indent C" xfId="497"/>
    <cellStyle name="Text Indent C 2" xfId="498"/>
    <cellStyle name="TextStyle" xfId="499"/>
    <cellStyle name="tic display" xfId="500"/>
    <cellStyle name="tic input" xfId="501"/>
    <cellStyle name="Title - Underline" xfId="502"/>
    <cellStyle name="Title 2" xfId="503"/>
    <cellStyle name="Title 3" xfId="504"/>
    <cellStyle name="Title 4" xfId="505"/>
    <cellStyle name="Title 5" xfId="506"/>
    <cellStyle name="Title 6" xfId="507"/>
    <cellStyle name="Title 7" xfId="508"/>
    <cellStyle name="Title Calculations" xfId="11"/>
    <cellStyle name="Title Calculations 2" xfId="509"/>
    <cellStyle name="Title Indicative" xfId="12"/>
    <cellStyle name="Title Indicative 2" xfId="510"/>
    <cellStyle name="Title Pricing Assumptions" xfId="13"/>
    <cellStyle name="Title Pricing Assumptions 2" xfId="31"/>
    <cellStyle name="Title Pricing Assumptions 2 2" xfId="32"/>
    <cellStyle name="Title Pricing Assumptions 2 3" xfId="511"/>
    <cellStyle name="Title Pricing Assumptions 3" xfId="512"/>
    <cellStyle name="Title Pricing Assumptions 3 12 8" xfId="33"/>
    <cellStyle name="Title Pricing Assumptions 3 6 4 2 8" xfId="34"/>
    <cellStyle name="Titles - Other" xfId="513"/>
    <cellStyle name="Total 2" xfId="514"/>
    <cellStyle name="Total 2 2" xfId="515"/>
    <cellStyle name="Total 3" xfId="516"/>
    <cellStyle name="Total 4" xfId="517"/>
    <cellStyle name="Warning" xfId="518"/>
    <cellStyle name="Warning Text 2" xfId="519"/>
    <cellStyle name="Warning Text 3" xfId="520"/>
    <cellStyle name="Warning Text 4" xfId="521"/>
    <cellStyle name="YB Calculations" xfId="14"/>
    <cellStyle name="YB Calculations 2" xfId="522"/>
    <cellStyle name="YB Curve" xfId="523"/>
    <cellStyle name="YB Indicative" xfId="15"/>
    <cellStyle name="YBINDIC" xfId="16"/>
    <cellStyle name="YBIOPOBE" xfId="524"/>
    <cellStyle name="YBPRICE" xfId="17"/>
    <cellStyle name="一般_原始檔案" xfId="525"/>
  </cellStyles>
  <dxfs count="4">
    <dxf>
      <border>
        <top style="thin">
          <color rgb="FF2E398B"/>
        </top>
        <bottom style="thin">
          <color rgb="FF2E398B"/>
        </bottom>
      </border>
    </dxf>
    <dxf>
      <border>
        <right style="thin">
          <color rgb="FF2E398A"/>
        </right>
      </border>
    </dxf>
    <dxf>
      <font>
        <b/>
        <color theme="1"/>
      </font>
      <fill>
        <patternFill>
          <bgColor rgb="FFEFEBE4"/>
        </patternFill>
      </fill>
      <border diagonalUp="0" diagonalDown="0">
        <left style="thin">
          <color rgb="FF2E398A"/>
        </left>
        <right style="thin">
          <color rgb="FF2E398A"/>
        </right>
        <top/>
        <bottom style="thin">
          <color rgb="FF2E398A"/>
        </bottom>
        <vertical/>
        <horizontal/>
      </border>
    </dxf>
    <dxf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</dxfs>
  <tableStyles count="1" defaultTableStyle="TableStyleMedium2" defaultPivotStyle="PivotStyleLight16">
    <tableStyle name="Report Style" table="0" count="4">
      <tableStyleElement type="wholeTable" dxfId="3"/>
      <tableStyleElement type="headerRow" dxfId="2"/>
      <tableStyleElement type="firstColumn" dxfId="1"/>
      <tableStyleElement type="firstSubtotal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B0F0"/>
  </sheetPr>
  <dimension ref="C7:R25"/>
  <sheetViews>
    <sheetView tabSelected="1" view="pageBreakPreview" zoomScale="60" zoomScaleNormal="100" workbookViewId="0">
      <selection activeCell="C27" sqref="C27"/>
    </sheetView>
  </sheetViews>
  <sheetFormatPr defaultRowHeight="15"/>
  <cols>
    <col min="3" max="3" width="31.42578125" bestFit="1" customWidth="1"/>
    <col min="4" max="4" width="5.28515625" customWidth="1"/>
    <col min="5" max="9" width="5.28515625" style="1" customWidth="1"/>
    <col min="10" max="10" width="13.140625" style="1" bestFit="1" customWidth="1"/>
    <col min="11" max="11" width="15.140625" style="1" bestFit="1" customWidth="1"/>
    <col min="12" max="12" width="14.85546875" bestFit="1" customWidth="1"/>
    <col min="13" max="13" width="12.5703125" bestFit="1" customWidth="1"/>
    <col min="14" max="14" width="14" bestFit="1" customWidth="1"/>
    <col min="15" max="15" width="13.7109375" bestFit="1" customWidth="1"/>
    <col min="16" max="16" width="13.7109375" style="1" customWidth="1"/>
    <col min="17" max="17" width="16" style="1" bestFit="1" customWidth="1"/>
    <col min="18" max="18" width="14.140625" style="1" bestFit="1" customWidth="1"/>
    <col min="19" max="19" width="13.42578125" customWidth="1"/>
  </cols>
  <sheetData>
    <row r="7" spans="3:18">
      <c r="C7" s="5" t="s">
        <v>17</v>
      </c>
      <c r="D7" s="105" t="s">
        <v>22</v>
      </c>
      <c r="E7" s="106"/>
      <c r="F7" s="106"/>
      <c r="G7" s="106" t="s">
        <v>1</v>
      </c>
      <c r="H7" s="106"/>
      <c r="I7" s="109"/>
      <c r="J7" s="32" t="s">
        <v>32</v>
      </c>
      <c r="K7" s="4" t="s">
        <v>10</v>
      </c>
      <c r="L7" s="3" t="s">
        <v>11</v>
      </c>
      <c r="M7" s="4" t="s">
        <v>23</v>
      </c>
      <c r="N7" s="3" t="s">
        <v>31</v>
      </c>
      <c r="O7" s="62" t="s">
        <v>50</v>
      </c>
      <c r="P7" s="63" t="s">
        <v>51</v>
      </c>
      <c r="Q7" s="63" t="s">
        <v>52</v>
      </c>
      <c r="R7" s="64" t="s">
        <v>53</v>
      </c>
    </row>
    <row r="8" spans="3:18">
      <c r="C8" s="7" t="s">
        <v>18</v>
      </c>
      <c r="D8" s="118">
        <f>'BoA - Conventional'!C4</f>
        <v>0.04</v>
      </c>
      <c r="E8" s="119"/>
      <c r="F8" s="119"/>
      <c r="G8" s="119">
        <f>'BoA - Conventional'!C5</f>
        <v>4.1700000000000001E-2</v>
      </c>
      <c r="H8" s="119"/>
      <c r="I8" s="125"/>
      <c r="J8" s="33">
        <f>'BoA - Conventional'!F5</f>
        <v>7.1300000000000001E-3</v>
      </c>
      <c r="K8" s="10">
        <f>'BoA - Conventional'!F6</f>
        <v>1.3089890731860145E-2</v>
      </c>
      <c r="L8" s="11">
        <f>'BoA - Conventional'!F7</f>
        <v>2.0219890731860146E-2</v>
      </c>
      <c r="M8" s="45">
        <f>'BoA - Conventional'!I4</f>
        <v>4.2554972682965035E-2</v>
      </c>
      <c r="N8" s="11">
        <f>M8-D$24</f>
        <v>1.4212973282672136E-2</v>
      </c>
      <c r="O8" s="78">
        <f>(M8-'Historic Result'!C5)*100*100</f>
        <v>8.5978170329450982</v>
      </c>
      <c r="P8" s="83">
        <f>(N8-'Historic Result'!D5)*100*100</f>
        <v>1.5972192568971046</v>
      </c>
      <c r="Q8" s="83">
        <f>(M8-'Historic Result'!E5)*100*100</f>
        <v>8.5978170329450982</v>
      </c>
      <c r="R8" s="84">
        <f>(N8-'Historic Result'!F5)*100*100</f>
        <v>1.5972192568971046</v>
      </c>
    </row>
    <row r="9" spans="3:18">
      <c r="C9" s="7" t="s">
        <v>19</v>
      </c>
      <c r="D9" s="120">
        <f>'Chase - Conventional'!C4</f>
        <v>4.1250000000000002E-2</v>
      </c>
      <c r="E9" s="121"/>
      <c r="F9" s="121"/>
      <c r="G9" s="121">
        <f>'Chase - Conventional'!C5</f>
        <v>4.2190000000000005E-2</v>
      </c>
      <c r="H9" s="121"/>
      <c r="I9" s="126"/>
      <c r="J9" s="33" t="s">
        <v>3</v>
      </c>
      <c r="K9" s="10" t="s">
        <v>3</v>
      </c>
      <c r="L9" s="11">
        <f>'Chase - Conventional'!F7</f>
        <v>1.1174723642776496E-2</v>
      </c>
      <c r="M9" s="45">
        <f>'Chase - Conventional'!I4</f>
        <v>4.1543680910694124E-2</v>
      </c>
      <c r="N9" s="11">
        <f>M9-D$24</f>
        <v>1.3201681510401225E-2</v>
      </c>
      <c r="O9" s="78">
        <f>(M9-'Historic Result'!C6)*100*100</f>
        <v>-3.2018872731356951</v>
      </c>
      <c r="P9" s="83">
        <f>(N9-'Historic Result'!D6)*100*100</f>
        <v>-10.202485049183689</v>
      </c>
      <c r="Q9" s="83">
        <f>(M9-'Historic Result'!E6)*100*100</f>
        <v>-3.2018872731356951</v>
      </c>
      <c r="R9" s="84">
        <f>(N9-'Historic Result'!F6)*100*100</f>
        <v>-10.202485049183689</v>
      </c>
    </row>
    <row r="10" spans="3:18">
      <c r="C10" s="7" t="s">
        <v>20</v>
      </c>
      <c r="D10" s="120">
        <f>'Quicken - Conventional'!C4</f>
        <v>3.7499999999999999E-2</v>
      </c>
      <c r="E10" s="121"/>
      <c r="F10" s="121"/>
      <c r="G10" s="121">
        <f>'Quicken - Conventional'!C5</f>
        <v>4.0079999999999998E-2</v>
      </c>
      <c r="H10" s="121"/>
      <c r="I10" s="126"/>
      <c r="J10" s="33">
        <f>'Quicken - Conventional'!F5</f>
        <v>2.2499999999999999E-2</v>
      </c>
      <c r="K10" s="10">
        <f>'Quicken - Conventional'!F6</f>
        <v>8.3887869019498504E-3</v>
      </c>
      <c r="L10" s="11">
        <f>'Quicken - Conventional'!F7</f>
        <v>3.088878690194985E-2</v>
      </c>
      <c r="M10" s="45">
        <f>'Quicken - Conventional'!I4</f>
        <v>4.2722196725487459E-2</v>
      </c>
      <c r="N10" s="11">
        <f>M10-D$24</f>
        <v>1.438019732519456E-2</v>
      </c>
      <c r="O10" s="78">
        <f>(M10-'Historic Result'!C7)*100*100</f>
        <v>6.1526131741926342</v>
      </c>
      <c r="P10" s="83">
        <f>(N10-'Historic Result'!D7)*100*100</f>
        <v>-0.84798460185536029</v>
      </c>
      <c r="Q10" s="83">
        <f>(M10-'Historic Result'!E7)*100*100</f>
        <v>6.1526131741926342</v>
      </c>
      <c r="R10" s="84">
        <f>(N10-'Historic Result'!F7)*100*100</f>
        <v>-0.84798460185536029</v>
      </c>
    </row>
    <row r="11" spans="3:18">
      <c r="C11" s="6" t="s">
        <v>21</v>
      </c>
      <c r="D11" s="122">
        <f>CIR</f>
        <v>4.1250000000000002E-2</v>
      </c>
      <c r="E11" s="123"/>
      <c r="F11" s="123"/>
      <c r="G11" s="123">
        <f>CAPR</f>
        <v>4.147E-2</v>
      </c>
      <c r="H11" s="123"/>
      <c r="I11" s="127"/>
      <c r="J11" s="34">
        <f>'Wells - Conventional'!F6</f>
        <v>2.6321592179967546E-3</v>
      </c>
      <c r="K11" s="12">
        <f>'Wells - Conventional'!F8</f>
        <v>8.8400000000000006E-3</v>
      </c>
      <c r="L11" s="13">
        <f>'Wells - Conventional'!F9</f>
        <v>1.1472159217996755E-2</v>
      </c>
      <c r="M11" s="46">
        <f>'Wells - Conventional'!I4</f>
        <v>4.1618039804499192E-2</v>
      </c>
      <c r="N11" s="13">
        <f>M11-D$24</f>
        <v>1.3276040404206293E-2</v>
      </c>
      <c r="O11" s="78">
        <f>(M11-'Historic Result'!C8)*100*100</f>
        <v>-13.838801568194226</v>
      </c>
      <c r="P11" s="83">
        <f>(N11-'Historic Result'!D8)*100*100</f>
        <v>-20.839399344242221</v>
      </c>
      <c r="Q11" s="83">
        <f>(M11-'Historic Result'!E8)*100*100</f>
        <v>-13.838801568194226</v>
      </c>
      <c r="R11" s="84">
        <f>(N11-'Historic Result'!F8)*100*100</f>
        <v>-20.839399344242221</v>
      </c>
    </row>
    <row r="12" spans="3:18">
      <c r="C12" s="2" t="s">
        <v>24</v>
      </c>
      <c r="D12" s="124">
        <f>AVERAGE(D8:D11)</f>
        <v>0.04</v>
      </c>
      <c r="E12" s="116"/>
      <c r="F12" s="116"/>
      <c r="G12" s="116">
        <f>AVERAGE(G8:I11)</f>
        <v>4.1360000000000001E-2</v>
      </c>
      <c r="H12" s="116"/>
      <c r="I12" s="117"/>
      <c r="J12" s="36">
        <f t="shared" ref="J12:K12" si="0">AVERAGE(J8:J11)</f>
        <v>1.0754053072665587E-2</v>
      </c>
      <c r="K12" s="14">
        <f t="shared" si="0"/>
        <v>1.0106225877936666E-2</v>
      </c>
      <c r="L12" s="15">
        <f t="shared" ref="L12:M12" si="1">AVERAGE(L8:L11)</f>
        <v>1.8438890123645812E-2</v>
      </c>
      <c r="M12" s="14">
        <f t="shared" si="1"/>
        <v>4.2109722530911449E-2</v>
      </c>
      <c r="N12" s="15">
        <f>M12-D$24</f>
        <v>1.376772313061855E-2</v>
      </c>
      <c r="O12" s="79">
        <f>AVERAGE(O8:O11)</f>
        <v>-0.57256465854804706</v>
      </c>
      <c r="P12" s="85">
        <f>AVERAGE(P8:P11)</f>
        <v>-7.5731624345960409</v>
      </c>
      <c r="Q12" s="85">
        <f t="shared" ref="Q12:R12" si="2">AVERAGE(Q8:Q11)</f>
        <v>-0.57256465854804706</v>
      </c>
      <c r="R12" s="86">
        <f t="shared" si="2"/>
        <v>-7.5731624345960409</v>
      </c>
    </row>
    <row r="13" spans="3:18">
      <c r="C13" s="5" t="s">
        <v>35</v>
      </c>
      <c r="D13" s="105" t="s">
        <v>22</v>
      </c>
      <c r="E13" s="106"/>
      <c r="F13" s="106"/>
      <c r="G13" s="106" t="s">
        <v>1</v>
      </c>
      <c r="H13" s="106"/>
      <c r="I13" s="109"/>
      <c r="J13" s="32"/>
      <c r="K13" s="4"/>
      <c r="L13" s="3"/>
      <c r="M13" s="4"/>
      <c r="N13" s="3"/>
      <c r="O13" s="80"/>
      <c r="P13" s="87"/>
      <c r="Q13" s="87"/>
      <c r="R13" s="88"/>
    </row>
    <row r="14" spans="3:18">
      <c r="C14" s="6" t="s">
        <v>21</v>
      </c>
      <c r="D14" s="107">
        <f>'Wells - Jumbo conformin'!C4</f>
        <v>4.1250000000000002E-2</v>
      </c>
      <c r="E14" s="108"/>
      <c r="F14" s="108"/>
      <c r="G14" s="108">
        <f>'Wells - Jumbo conformin'!C5</f>
        <v>4.1479999999999996E-2</v>
      </c>
      <c r="H14" s="108"/>
      <c r="I14" s="110"/>
      <c r="J14" s="33">
        <f>'Wells - Jumbo conformin'!F5</f>
        <v>2.7515576864621805E-3</v>
      </c>
      <c r="K14" s="10">
        <f>'Wells - Jumbo conformin'!F6</f>
        <v>7.2040000000000003E-3</v>
      </c>
      <c r="L14" s="11">
        <f>'Wells - Jumbo conformin'!F7</f>
        <v>9.9555576864621808E-3</v>
      </c>
      <c r="M14" s="45">
        <f>'Wells - Jumbo conformin'!I4</f>
        <v>4.1238889421615549E-2</v>
      </c>
      <c r="N14" s="11">
        <f>M14-D$24</f>
        <v>1.289689002132265E-2</v>
      </c>
      <c r="O14" s="78">
        <f>(M14-'Historic Result'!C11)*100*100</f>
        <v>10.435171072985527</v>
      </c>
      <c r="P14" s="83">
        <f>(N14-'Historic Result'!D11)*100*100</f>
        <v>3.4345732969375335</v>
      </c>
      <c r="Q14" s="83">
        <f>(M14-'Historic Result'!E11)*100*100</f>
        <v>10.435171072985527</v>
      </c>
      <c r="R14" s="84">
        <f>(N14-'Historic Result'!F11)*100*100</f>
        <v>3.4345732969375335</v>
      </c>
    </row>
    <row r="15" spans="3:18">
      <c r="C15" s="5" t="s">
        <v>36</v>
      </c>
      <c r="D15" s="105" t="s">
        <v>22</v>
      </c>
      <c r="E15" s="106"/>
      <c r="F15" s="106"/>
      <c r="G15" s="106" t="s">
        <v>1</v>
      </c>
      <c r="H15" s="106"/>
      <c r="I15" s="109"/>
      <c r="J15" s="32"/>
      <c r="K15" s="4"/>
      <c r="L15" s="3"/>
      <c r="M15" s="4"/>
      <c r="N15" s="3"/>
      <c r="O15" s="80"/>
      <c r="P15" s="87"/>
      <c r="Q15" s="87"/>
      <c r="R15" s="88"/>
    </row>
    <row r="16" spans="3:18">
      <c r="C16" s="6" t="s">
        <v>21</v>
      </c>
      <c r="D16" s="107">
        <f>'Wells - Jumbo Non-conforming'!C4</f>
        <v>4.1250000000000002E-2</v>
      </c>
      <c r="E16" s="108"/>
      <c r="F16" s="108"/>
      <c r="G16" s="108">
        <f>'Wells - Jumbo Non-conforming'!C5</f>
        <v>4.1250000000000002E-2</v>
      </c>
      <c r="H16" s="108"/>
      <c r="I16" s="110"/>
      <c r="J16" s="34">
        <f>'Wells - Jumbo Non-conforming'!F5</f>
        <v>0</v>
      </c>
      <c r="K16" s="12">
        <f>'Wells - Jumbo Non-conforming'!F6</f>
        <v>1.6826666666666667E-3</v>
      </c>
      <c r="L16" s="13">
        <f>'Wells - Jumbo Non-conforming'!F7</f>
        <v>1.6826666666666667E-3</v>
      </c>
      <c r="M16" s="46">
        <f>'Wells - Jumbo Non-conforming'!I4</f>
        <v>3.9170666666666666E-2</v>
      </c>
      <c r="N16" s="13">
        <f>M16-D$24</f>
        <v>1.0828667266373767E-2</v>
      </c>
      <c r="O16" s="78">
        <f>(M16-'Historic Result'!C13)*100*100</f>
        <v>0.24190298132199806</v>
      </c>
      <c r="P16" s="83">
        <f>(N16-'Historic Result'!D13)*100*100</f>
        <v>-6.7586947947259963</v>
      </c>
      <c r="Q16" s="83">
        <f>(M16-'Historic Result'!E13)*100*100</f>
        <v>0.24190298132199806</v>
      </c>
      <c r="R16" s="84">
        <f>(N16-'Historic Result'!F13)*100*100</f>
        <v>-6.7586947947259963</v>
      </c>
    </row>
    <row r="17" spans="3:18">
      <c r="C17" s="49" t="s">
        <v>37</v>
      </c>
      <c r="D17" s="113" t="s">
        <v>34</v>
      </c>
      <c r="E17" s="114"/>
      <c r="F17" s="111" t="s">
        <v>38</v>
      </c>
      <c r="G17" s="111"/>
      <c r="H17" s="111" t="s">
        <v>39</v>
      </c>
      <c r="I17" s="112"/>
      <c r="J17" s="50"/>
      <c r="K17" s="51"/>
      <c r="L17" s="52"/>
      <c r="M17" s="51"/>
      <c r="N17" s="52"/>
      <c r="O17" s="81"/>
      <c r="P17" s="89"/>
      <c r="Q17" s="89"/>
      <c r="R17" s="90"/>
    </row>
    <row r="18" spans="3:18">
      <c r="C18" s="53" t="s">
        <v>21</v>
      </c>
      <c r="D18" s="103">
        <v>3.875E-2</v>
      </c>
      <c r="E18" s="104"/>
      <c r="F18" s="104">
        <v>1.7500000000000002E-2</v>
      </c>
      <c r="G18" s="104"/>
      <c r="H18" s="104">
        <v>8.5000000000000006E-3</v>
      </c>
      <c r="I18" s="115"/>
      <c r="J18" s="54">
        <v>0</v>
      </c>
      <c r="K18" s="55">
        <v>1.387E-2</v>
      </c>
      <c r="L18" s="35">
        <v>1.387E-2</v>
      </c>
      <c r="M18" s="56">
        <v>3.9717500000000003E-2</v>
      </c>
      <c r="N18" s="35">
        <f>M18-D25</f>
        <v>1.2643499633587504E-2</v>
      </c>
      <c r="O18" s="82">
        <f>(M18-'Historic Result'!C15)*100*100</f>
        <v>0</v>
      </c>
      <c r="P18" s="91">
        <f>(N18-'Historic Result'!D15)*100*100</f>
        <v>-3.2742455279639868</v>
      </c>
      <c r="Q18" s="91">
        <f>(M18-'Historic Result'!E15)*100*100</f>
        <v>0</v>
      </c>
      <c r="R18" s="92">
        <f>(N18-'Historic Result'!F15)*100*100</f>
        <v>-3.2742455279639868</v>
      </c>
    </row>
    <row r="20" spans="3:18">
      <c r="I20"/>
      <c r="J20"/>
      <c r="K20"/>
      <c r="O20" s="1"/>
    </row>
    <row r="21" spans="3:18">
      <c r="I21"/>
      <c r="J21"/>
      <c r="K21"/>
      <c r="O21" s="1"/>
    </row>
    <row r="22" spans="3:18">
      <c r="C22" s="93" t="s">
        <v>26</v>
      </c>
      <c r="D22" s="9"/>
      <c r="E22" s="9"/>
      <c r="F22" s="9"/>
      <c r="G22" s="9"/>
      <c r="H22" s="9"/>
      <c r="I22"/>
      <c r="J22"/>
      <c r="K22"/>
      <c r="O22" s="1"/>
    </row>
    <row r="23" spans="3:18">
      <c r="C23" s="58" t="s">
        <v>27</v>
      </c>
      <c r="D23" s="94" t="s">
        <v>28</v>
      </c>
      <c r="E23" s="95"/>
      <c r="F23" s="96"/>
      <c r="G23"/>
      <c r="H23"/>
      <c r="O23" s="1"/>
    </row>
    <row r="24" spans="3:18">
      <c r="C24" s="76" t="s">
        <v>29</v>
      </c>
      <c r="D24" s="97">
        <f>'Input Data'!P2/100</f>
        <v>2.8341999400292899E-2</v>
      </c>
      <c r="E24" s="98"/>
      <c r="F24" s="99"/>
      <c r="G24" s="57"/>
      <c r="H24" s="57"/>
      <c r="O24" s="1"/>
    </row>
    <row r="25" spans="3:18">
      <c r="C25" s="77" t="s">
        <v>30</v>
      </c>
      <c r="D25" s="100">
        <f>'Input Data'!P3/100</f>
        <v>2.7074000366412498E-2</v>
      </c>
      <c r="E25" s="101"/>
      <c r="F25" s="102"/>
      <c r="G25" s="57"/>
      <c r="H25" s="57"/>
      <c r="O25" s="1"/>
    </row>
  </sheetData>
  <mergeCells count="29">
    <mergeCell ref="G7:I7"/>
    <mergeCell ref="G8:I8"/>
    <mergeCell ref="G9:I9"/>
    <mergeCell ref="G10:I10"/>
    <mergeCell ref="G11:I11"/>
    <mergeCell ref="D7:F7"/>
    <mergeCell ref="D8:F8"/>
    <mergeCell ref="D9:F9"/>
    <mergeCell ref="D10:F10"/>
    <mergeCell ref="D11:F11"/>
    <mergeCell ref="H17:I17"/>
    <mergeCell ref="F17:G17"/>
    <mergeCell ref="D17:E17"/>
    <mergeCell ref="H18:I18"/>
    <mergeCell ref="G12:I12"/>
    <mergeCell ref="D12:F12"/>
    <mergeCell ref="D13:F13"/>
    <mergeCell ref="D14:F14"/>
    <mergeCell ref="D15:F15"/>
    <mergeCell ref="D16:F16"/>
    <mergeCell ref="G13:I13"/>
    <mergeCell ref="G14:I14"/>
    <mergeCell ref="G15:I15"/>
    <mergeCell ref="G16:I16"/>
    <mergeCell ref="D23:F23"/>
    <mergeCell ref="D24:F24"/>
    <mergeCell ref="D25:F25"/>
    <mergeCell ref="D18:E18"/>
    <mergeCell ref="F18:G18"/>
  </mergeCells>
  <pageMargins left="0.7" right="0.7" top="0.75" bottom="0.75" header="0.3" footer="0.3"/>
  <pageSetup scale="59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I13"/>
  <sheetViews>
    <sheetView workbookViewId="0">
      <selection activeCell="C9" sqref="C9"/>
    </sheetView>
  </sheetViews>
  <sheetFormatPr defaultRowHeight="12.75"/>
  <cols>
    <col min="1" max="1" width="9.140625" style="8"/>
    <col min="2" max="2" width="15.7109375" style="8" customWidth="1"/>
    <col min="3" max="3" width="16.85546875" style="8" customWidth="1"/>
    <col min="4" max="4" width="2.140625" style="8" customWidth="1"/>
    <col min="5" max="5" width="23.140625" style="8" bestFit="1" customWidth="1"/>
    <col min="6" max="6" width="15.7109375" style="8" customWidth="1"/>
    <col min="7" max="7" width="2.7109375" style="8" customWidth="1"/>
    <col min="8" max="8" width="15.7109375" style="8" customWidth="1"/>
    <col min="9" max="9" width="16.140625" style="8" customWidth="1"/>
    <col min="10" max="16384" width="9.140625" style="8"/>
  </cols>
  <sheetData>
    <row r="2" spans="2:9">
      <c r="B2" s="128" t="s">
        <v>4</v>
      </c>
      <c r="C2" s="128"/>
      <c r="D2" s="16"/>
      <c r="E2" s="128" t="s">
        <v>6</v>
      </c>
      <c r="F2" s="128"/>
      <c r="H2" s="128" t="s">
        <v>13</v>
      </c>
      <c r="I2" s="128"/>
    </row>
    <row r="4" spans="2:9">
      <c r="B4" s="8" t="s">
        <v>0</v>
      </c>
      <c r="C4" s="25">
        <f>'Input Data'!E8/100</f>
        <v>0.04</v>
      </c>
      <c r="D4" s="17"/>
      <c r="E4" s="17" t="s">
        <v>9</v>
      </c>
      <c r="F4" s="25">
        <f>1-((C4/12*(1+C4/12)^360)/((1+C4/12)^360-1)*((1+C5/12)^360-1)/(C5/12*(1+C5/12)^360))</f>
        <v>2.0219890731860146E-2</v>
      </c>
      <c r="H4" s="20" t="s">
        <v>12</v>
      </c>
      <c r="I4" s="21">
        <f>C4-(1%-F7)/4</f>
        <v>4.2554972682965035E-2</v>
      </c>
    </row>
    <row r="5" spans="2:9">
      <c r="B5" s="8" t="s">
        <v>1</v>
      </c>
      <c r="C5" s="25">
        <f>'Input Data'!G8/100</f>
        <v>4.1700000000000001E-2</v>
      </c>
      <c r="D5" s="17"/>
      <c r="E5" s="18" t="s">
        <v>15</v>
      </c>
      <c r="F5" s="29">
        <f>C8</f>
        <v>7.1300000000000001E-3</v>
      </c>
    </row>
    <row r="6" spans="2:9">
      <c r="B6" s="8" t="s">
        <v>2</v>
      </c>
      <c r="C6" s="19">
        <v>200000</v>
      </c>
      <c r="E6" s="18" t="s">
        <v>10</v>
      </c>
      <c r="F6" s="23">
        <f>F4-C8</f>
        <v>1.3089890731860145E-2</v>
      </c>
      <c r="H6" s="8" t="s">
        <v>25</v>
      </c>
      <c r="I6" s="25">
        <f>C4-(0.01-(1-((C4/12*(1+C4/12)^360)/((1+C4/12)^360-1)*((1+C5/12)^360-1)/(C5/12*(1+C5/12)^360))))/4</f>
        <v>4.2554972682965035E-2</v>
      </c>
    </row>
    <row r="7" spans="2:9">
      <c r="B7" s="8" t="s">
        <v>5</v>
      </c>
      <c r="C7" s="30" t="s">
        <v>3</v>
      </c>
      <c r="D7" s="24"/>
      <c r="E7" s="8" t="s">
        <v>11</v>
      </c>
      <c r="F7" s="28">
        <f>F5+F6</f>
        <v>2.0219890731860146E-2</v>
      </c>
    </row>
    <row r="8" spans="2:9">
      <c r="B8" s="8" t="s">
        <v>8</v>
      </c>
      <c r="C8" s="23">
        <f>'Input Data'!F8/100</f>
        <v>7.1300000000000001E-3</v>
      </c>
      <c r="D8" s="27"/>
    </row>
    <row r="13" spans="2:9">
      <c r="B13" s="8" t="s">
        <v>14</v>
      </c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:I13"/>
  <sheetViews>
    <sheetView workbookViewId="0">
      <selection activeCell="C8" sqref="C8"/>
    </sheetView>
  </sheetViews>
  <sheetFormatPr defaultRowHeight="12.75"/>
  <cols>
    <col min="1" max="1" width="9.140625" style="8"/>
    <col min="2" max="2" width="15.7109375" style="8" customWidth="1"/>
    <col min="3" max="3" width="16.85546875" style="8" customWidth="1"/>
    <col min="4" max="4" width="2.140625" style="8" customWidth="1"/>
    <col min="5" max="5" width="23.140625" style="8" bestFit="1" customWidth="1"/>
    <col min="6" max="6" width="15.7109375" style="8" customWidth="1"/>
    <col min="7" max="7" width="2.7109375" style="8" customWidth="1"/>
    <col min="8" max="8" width="15.7109375" style="8" customWidth="1"/>
    <col min="9" max="9" width="16.140625" style="8" customWidth="1"/>
    <col min="10" max="16384" width="9.140625" style="8"/>
  </cols>
  <sheetData>
    <row r="2" spans="2:9">
      <c r="B2" s="128" t="s">
        <v>4</v>
      </c>
      <c r="C2" s="128"/>
      <c r="D2" s="16"/>
      <c r="E2" s="128" t="s">
        <v>6</v>
      </c>
      <c r="F2" s="128"/>
      <c r="H2" s="128" t="s">
        <v>13</v>
      </c>
      <c r="I2" s="128"/>
    </row>
    <row r="4" spans="2:9">
      <c r="B4" s="8" t="s">
        <v>0</v>
      </c>
      <c r="C4" s="25">
        <f>'Input Data'!E9/100</f>
        <v>4.1250000000000002E-2</v>
      </c>
      <c r="D4" s="17"/>
      <c r="E4" s="17" t="s">
        <v>9</v>
      </c>
      <c r="F4" s="25">
        <f>1-((C4/12*(1+C4/12)^360)/((1+C4/12)^360-1)*((1+C5/12)^360-1)/(C5/12*(1+C5/12)^360))</f>
        <v>1.1174723642776496E-2</v>
      </c>
      <c r="H4" s="20" t="s">
        <v>12</v>
      </c>
      <c r="I4" s="21">
        <f>C4-(1%-F7)/4</f>
        <v>4.1543680910694124E-2</v>
      </c>
    </row>
    <row r="5" spans="2:9">
      <c r="B5" s="8" t="s">
        <v>1</v>
      </c>
      <c r="C5" s="25">
        <f>'Input Data'!G9/100</f>
        <v>4.2190000000000005E-2</v>
      </c>
      <c r="D5" s="17"/>
      <c r="E5" s="18" t="s">
        <v>15</v>
      </c>
      <c r="F5" s="29">
        <f>C8</f>
        <v>1.125E-2</v>
      </c>
    </row>
    <row r="6" spans="2:9">
      <c r="B6" s="8" t="s">
        <v>2</v>
      </c>
      <c r="C6" s="19">
        <v>215000</v>
      </c>
      <c r="E6" s="18" t="s">
        <v>10</v>
      </c>
      <c r="F6" s="23">
        <f>F4-C8</f>
        <v>-7.5276357223503371E-5</v>
      </c>
      <c r="H6" s="8" t="s">
        <v>25</v>
      </c>
      <c r="I6" s="25">
        <f>C4-(0.01-(1-((C4/12*(1+C4/12)^360)/((1+C4/12)^360-1)*((1+C5/12)^360-1)/(C5/12*(1+C5/12)^360))))/4</f>
        <v>4.1543680910694124E-2</v>
      </c>
    </row>
    <row r="7" spans="2:9">
      <c r="B7" s="8" t="s">
        <v>5</v>
      </c>
      <c r="C7" s="30" t="s">
        <v>3</v>
      </c>
      <c r="D7" s="24"/>
      <c r="E7" s="8" t="s">
        <v>11</v>
      </c>
      <c r="F7" s="28">
        <f>F5+F6</f>
        <v>1.1174723642776496E-2</v>
      </c>
    </row>
    <row r="8" spans="2:9">
      <c r="B8" s="8" t="s">
        <v>8</v>
      </c>
      <c r="C8" s="23">
        <f>'Input Data'!F9/100</f>
        <v>1.125E-2</v>
      </c>
      <c r="D8" s="27"/>
    </row>
    <row r="13" spans="2:9">
      <c r="B13" s="8" t="s">
        <v>14</v>
      </c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I13"/>
  <sheetViews>
    <sheetView workbookViewId="0">
      <selection activeCell="C9" sqref="C9"/>
    </sheetView>
  </sheetViews>
  <sheetFormatPr defaultRowHeight="12.75"/>
  <cols>
    <col min="1" max="1" width="9.140625" style="8"/>
    <col min="2" max="2" width="15.7109375" style="8" customWidth="1"/>
    <col min="3" max="3" width="16.85546875" style="8" customWidth="1"/>
    <col min="4" max="4" width="2.140625" style="8" customWidth="1"/>
    <col min="5" max="5" width="23.140625" style="8" bestFit="1" customWidth="1"/>
    <col min="6" max="6" width="15.7109375" style="8" customWidth="1"/>
    <col min="7" max="7" width="2.7109375" style="8" customWidth="1"/>
    <col min="8" max="8" width="15.7109375" style="8" customWidth="1"/>
    <col min="9" max="9" width="20" style="8" bestFit="1" customWidth="1"/>
    <col min="10" max="16384" width="9.140625" style="8"/>
  </cols>
  <sheetData>
    <row r="2" spans="2:9">
      <c r="B2" s="128" t="s">
        <v>4</v>
      </c>
      <c r="C2" s="128"/>
      <c r="D2" s="16"/>
      <c r="E2" s="128" t="s">
        <v>6</v>
      </c>
      <c r="F2" s="128"/>
      <c r="H2" s="128" t="s">
        <v>13</v>
      </c>
      <c r="I2" s="128"/>
    </row>
    <row r="4" spans="2:9">
      <c r="B4" s="8" t="s">
        <v>0</v>
      </c>
      <c r="C4" s="25">
        <f>'Input Data'!E7/100</f>
        <v>3.7499999999999999E-2</v>
      </c>
      <c r="D4" s="17"/>
      <c r="E4" s="17" t="s">
        <v>9</v>
      </c>
      <c r="F4" s="25">
        <f>1-((C4/12*(1+C4/12)^360)/((1+C4/12)^360-1)*((1+C5/12)^360-1)/(C5/12*(1+C5/12)^360))</f>
        <v>3.088878690194985E-2</v>
      </c>
      <c r="H4" s="20" t="s">
        <v>12</v>
      </c>
      <c r="I4" s="21">
        <f>C4-(1%-F7)/4</f>
        <v>4.2722196725487459E-2</v>
      </c>
    </row>
    <row r="5" spans="2:9">
      <c r="B5" s="8" t="s">
        <v>1</v>
      </c>
      <c r="C5" s="25">
        <f>'Input Data'!G7/100</f>
        <v>4.0079999999999998E-2</v>
      </c>
      <c r="D5" s="17"/>
      <c r="E5" s="18" t="s">
        <v>15</v>
      </c>
      <c r="F5" s="29">
        <f>C8</f>
        <v>2.2499999999999999E-2</v>
      </c>
    </row>
    <row r="6" spans="2:9">
      <c r="B6" s="8" t="s">
        <v>2</v>
      </c>
      <c r="C6" s="19">
        <v>200000</v>
      </c>
      <c r="E6" s="18" t="s">
        <v>10</v>
      </c>
      <c r="F6" s="23">
        <f>F4-C8</f>
        <v>8.3887869019498504E-3</v>
      </c>
      <c r="H6" s="8" t="s">
        <v>25</v>
      </c>
      <c r="I6" s="25">
        <f>C4-(0.01-(1-((C4/12*(1+C4/12)^360)/((1+C4/12)^360-1)*((1+C5/12)^360-1)/(C5/12*(1+C5/12)^360))))/4</f>
        <v>4.2722196725487459E-2</v>
      </c>
    </row>
    <row r="7" spans="2:9">
      <c r="B7" s="8" t="s">
        <v>5</v>
      </c>
      <c r="C7" s="30" t="s">
        <v>3</v>
      </c>
      <c r="D7" s="24"/>
      <c r="E7" s="8" t="s">
        <v>11</v>
      </c>
      <c r="F7" s="28">
        <f>F5+F6</f>
        <v>3.088878690194985E-2</v>
      </c>
    </row>
    <row r="8" spans="2:9">
      <c r="B8" s="8" t="s">
        <v>8</v>
      </c>
      <c r="C8" s="23">
        <f>'Input Data'!F7/100</f>
        <v>2.2499999999999999E-2</v>
      </c>
      <c r="D8" s="27"/>
    </row>
    <row r="13" spans="2:9">
      <c r="B13" s="8" t="s">
        <v>14</v>
      </c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2:I13"/>
  <sheetViews>
    <sheetView workbookViewId="0">
      <selection activeCell="C6" sqref="C6"/>
    </sheetView>
  </sheetViews>
  <sheetFormatPr defaultRowHeight="15"/>
  <cols>
    <col min="2" max="3" width="15.7109375" customWidth="1"/>
    <col min="4" max="4" width="2.140625" style="1" customWidth="1"/>
    <col min="5" max="5" width="23.140625" bestFit="1" customWidth="1"/>
    <col min="6" max="6" width="15.7109375" customWidth="1"/>
    <col min="7" max="7" width="2.7109375" customWidth="1"/>
    <col min="8" max="9" width="15.7109375" customWidth="1"/>
  </cols>
  <sheetData>
    <row r="2" spans="2:9">
      <c r="B2" s="128" t="s">
        <v>4</v>
      </c>
      <c r="C2" s="128"/>
      <c r="D2" s="16"/>
      <c r="E2" s="128" t="s">
        <v>6</v>
      </c>
      <c r="F2" s="128"/>
      <c r="G2" s="8"/>
      <c r="H2" s="128" t="s">
        <v>13</v>
      </c>
      <c r="I2" s="128"/>
    </row>
    <row r="3" spans="2:9">
      <c r="B3" s="8"/>
      <c r="C3" s="8"/>
      <c r="D3" s="8"/>
      <c r="E3" s="8"/>
      <c r="F3" s="8"/>
      <c r="G3" s="8"/>
      <c r="H3" s="8"/>
      <c r="I3" s="8"/>
    </row>
    <row r="4" spans="2:9">
      <c r="B4" s="8" t="s">
        <v>0</v>
      </c>
      <c r="C4" s="17">
        <f>'Input Data'!E3/100</f>
        <v>4.1250000000000002E-2</v>
      </c>
      <c r="D4" s="17"/>
      <c r="E4" s="18" t="s">
        <v>7</v>
      </c>
      <c r="F4" s="19">
        <f>((CIR/12*(1+CIR/12)^360)/((1+CIR/12)^360-1)*((1+CAPR/12)^360-1)/(CAPR/12*(1+CAPR/12)^360))*CP</f>
        <v>199473.56815640064</v>
      </c>
      <c r="G4" s="8"/>
      <c r="H4" s="20" t="s">
        <v>12</v>
      </c>
      <c r="I4" s="21">
        <f>CIR-(1%-F9)/4</f>
        <v>4.1618039804499192E-2</v>
      </c>
    </row>
    <row r="5" spans="2:9">
      <c r="B5" s="8" t="s">
        <v>1</v>
      </c>
      <c r="C5" s="17">
        <f>'Input Data'!G3/100</f>
        <v>4.147E-2</v>
      </c>
      <c r="D5" s="17"/>
      <c r="E5" s="22" t="s">
        <v>9</v>
      </c>
      <c r="F5" s="23">
        <f>1-F4/CP</f>
        <v>2.6321592179968656E-3</v>
      </c>
      <c r="G5" s="8"/>
      <c r="H5" s="8"/>
      <c r="I5" s="8"/>
    </row>
    <row r="6" spans="2:9">
      <c r="B6" s="8" t="s">
        <v>2</v>
      </c>
      <c r="C6" s="24">
        <f>'Input Data'!I3</f>
        <v>200000</v>
      </c>
      <c r="D6" s="8"/>
      <c r="E6" s="17" t="s">
        <v>16</v>
      </c>
      <c r="F6" s="25">
        <f>1-((CIR/12*(1+CIR/12)^360)/((1+CIR/12)^360-1)*((1+CAPR/12)^360-1)/(CAPR/12*(1+CAPR/12)^360))</f>
        <v>2.6321592179967546E-3</v>
      </c>
      <c r="G6" s="8"/>
      <c r="H6" s="8" t="s">
        <v>25</v>
      </c>
      <c r="I6" s="25">
        <f>CIR-(0.01-(1-((CIR/12*(1+CIR/12)^360)/((1+CIR/12)^360-1)*((1+CAPR/12)^360-1)/(CAPR/12*(1+CAPR/12)^360)) + C7/CP))/4</f>
        <v>4.1618039804499192E-2</v>
      </c>
    </row>
    <row r="7" spans="2:9">
      <c r="B7" s="8" t="s">
        <v>5</v>
      </c>
      <c r="C7" s="24">
        <f>'Input Data'!H3</f>
        <v>1768</v>
      </c>
      <c r="D7" s="24"/>
      <c r="E7" s="8"/>
      <c r="F7" s="8"/>
      <c r="G7" s="8"/>
      <c r="H7" s="8"/>
      <c r="I7" s="8"/>
    </row>
    <row r="8" spans="2:9">
      <c r="B8" s="18" t="s">
        <v>8</v>
      </c>
      <c r="C8" s="26" t="s">
        <v>3</v>
      </c>
      <c r="D8" s="27"/>
      <c r="E8" s="8" t="s">
        <v>10</v>
      </c>
      <c r="F8" s="25">
        <f>C7/CP</f>
        <v>8.8400000000000006E-3</v>
      </c>
      <c r="G8" s="8"/>
      <c r="H8" s="8"/>
      <c r="I8" s="8"/>
    </row>
    <row r="9" spans="2:9">
      <c r="B9" s="8"/>
      <c r="C9" s="8"/>
      <c r="D9" s="8"/>
      <c r="E9" s="8" t="s">
        <v>11</v>
      </c>
      <c r="F9" s="28">
        <f>F6+F8</f>
        <v>1.1472159217996755E-2</v>
      </c>
      <c r="G9" s="8"/>
      <c r="H9" s="8"/>
      <c r="I9" s="8"/>
    </row>
    <row r="10" spans="2:9">
      <c r="B10" s="8"/>
      <c r="C10" s="8"/>
      <c r="D10" s="8"/>
      <c r="E10" s="8"/>
      <c r="F10" s="8"/>
      <c r="G10" s="8"/>
      <c r="H10" s="8"/>
      <c r="I10" s="8"/>
    </row>
    <row r="11" spans="2:9">
      <c r="B11" s="8"/>
      <c r="C11" s="8"/>
      <c r="D11" s="8"/>
      <c r="E11" s="8"/>
      <c r="F11" s="8"/>
      <c r="G11" s="8"/>
      <c r="H11" s="8"/>
      <c r="I11" s="8"/>
    </row>
    <row r="12" spans="2:9">
      <c r="B12" s="8"/>
      <c r="C12" s="8"/>
      <c r="D12" s="8"/>
      <c r="E12" s="8"/>
      <c r="F12" s="8"/>
      <c r="G12" s="8"/>
      <c r="H12" s="8"/>
      <c r="I12" s="8"/>
    </row>
    <row r="13" spans="2:9">
      <c r="B13" s="8" t="s">
        <v>14</v>
      </c>
      <c r="C13" s="8"/>
      <c r="D13" s="8"/>
      <c r="E13" s="8"/>
      <c r="F13" s="8"/>
      <c r="G13" s="8"/>
      <c r="H13" s="8"/>
      <c r="I13" s="8"/>
    </row>
  </sheetData>
  <mergeCells count="3">
    <mergeCell ref="B2:C2"/>
    <mergeCell ref="E2:F2"/>
    <mergeCell ref="H2:I2"/>
  </mergeCell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B2:I42"/>
  <sheetViews>
    <sheetView workbookViewId="0">
      <selection activeCell="C6" sqref="C6"/>
    </sheetView>
  </sheetViews>
  <sheetFormatPr defaultRowHeight="12.75"/>
  <cols>
    <col min="1" max="1" width="9.140625" style="8"/>
    <col min="2" max="2" width="15.7109375" style="8" customWidth="1"/>
    <col min="3" max="3" width="16.85546875" style="8" customWidth="1"/>
    <col min="4" max="4" width="2.140625" style="8" customWidth="1"/>
    <col min="5" max="5" width="23.140625" style="8" bestFit="1" customWidth="1"/>
    <col min="6" max="6" width="15.7109375" style="8" customWidth="1"/>
    <col min="7" max="7" width="2.7109375" style="8" customWidth="1"/>
    <col min="8" max="8" width="15.7109375" style="8" customWidth="1"/>
    <col min="9" max="9" width="16.140625" style="8" customWidth="1"/>
    <col min="10" max="16384" width="9.140625" style="8"/>
  </cols>
  <sheetData>
    <row r="2" spans="2:9">
      <c r="B2" s="128" t="s">
        <v>4</v>
      </c>
      <c r="C2" s="128"/>
      <c r="D2" s="38"/>
      <c r="E2" s="128" t="s">
        <v>6</v>
      </c>
      <c r="F2" s="128"/>
      <c r="H2" s="128" t="s">
        <v>13</v>
      </c>
      <c r="I2" s="128"/>
    </row>
    <row r="4" spans="2:9" ht="15">
      <c r="B4" s="8" t="s">
        <v>0</v>
      </c>
      <c r="C4" s="41">
        <f>'Input Data'!E4/100</f>
        <v>4.1250000000000002E-2</v>
      </c>
      <c r="D4" s="17"/>
      <c r="E4" s="17" t="s">
        <v>9</v>
      </c>
      <c r="F4" s="25">
        <f>1-((C4/12*(1+C4/12)^360)/((1+C4/12)^360-1)*((1+C5/12)^360-1)/(C5/12*(1+C5/12)^360))</f>
        <v>2.7515576864621805E-3</v>
      </c>
      <c r="H4" s="20" t="s">
        <v>12</v>
      </c>
      <c r="I4" s="21">
        <f>C4-(1%-F7)/4</f>
        <v>4.1238889421615549E-2</v>
      </c>
    </row>
    <row r="5" spans="2:9" ht="15">
      <c r="B5" s="8" t="s">
        <v>1</v>
      </c>
      <c r="C5" s="41">
        <f>'Input Data'!G4/100</f>
        <v>4.1479999999999996E-2</v>
      </c>
      <c r="D5" s="17"/>
      <c r="E5" s="18" t="s">
        <v>15</v>
      </c>
      <c r="F5" s="29">
        <f>F4</f>
        <v>2.7515576864621805E-3</v>
      </c>
    </row>
    <row r="6" spans="2:9">
      <c r="B6" s="8" t="s">
        <v>2</v>
      </c>
      <c r="C6" s="47">
        <f>'Input Data'!I4</f>
        <v>500000</v>
      </c>
      <c r="E6" s="18" t="s">
        <v>10</v>
      </c>
      <c r="F6" s="23">
        <f>C7/C6</f>
        <v>7.2040000000000003E-3</v>
      </c>
      <c r="H6" s="8" t="s">
        <v>25</v>
      </c>
      <c r="I6" s="25">
        <f>C4-(0.01-(1-((C4/12*(1+C4/12)^360)/((1+C4/12)^360-1)*((1+C5/12)^360-1)/(C5/12*(1+C5/12)^360)) + C7/C6))/4</f>
        <v>4.1238889421615549E-2</v>
      </c>
    </row>
    <row r="7" spans="2:9">
      <c r="B7" s="8" t="s">
        <v>5</v>
      </c>
      <c r="C7" s="48">
        <f>'Input Data'!H4</f>
        <v>3602</v>
      </c>
      <c r="D7" s="24"/>
      <c r="E7" s="8" t="s">
        <v>11</v>
      </c>
      <c r="F7" s="28">
        <f>F5+F6</f>
        <v>9.9555576864621808E-3</v>
      </c>
    </row>
    <row r="8" spans="2:9">
      <c r="B8" s="8" t="s">
        <v>8</v>
      </c>
      <c r="C8" s="23" t="s">
        <v>3</v>
      </c>
      <c r="D8" s="27"/>
    </row>
    <row r="13" spans="2:9">
      <c r="B13" s="8" t="s">
        <v>14</v>
      </c>
    </row>
    <row r="17" spans="2:6" ht="15">
      <c r="B17" s="1"/>
      <c r="C17" s="40"/>
      <c r="D17" s="1"/>
      <c r="E17" s="1"/>
      <c r="F17" s="40"/>
    </row>
    <row r="18" spans="2:6" ht="15">
      <c r="B18" s="1"/>
      <c r="C18" s="41"/>
      <c r="D18" s="1"/>
      <c r="E18" s="1"/>
      <c r="F18" s="41"/>
    </row>
    <row r="19" spans="2:6" ht="15">
      <c r="B19" s="1"/>
      <c r="C19" s="42"/>
      <c r="D19" s="1"/>
      <c r="E19" s="1"/>
      <c r="F19" s="42"/>
    </row>
    <row r="20" spans="2:6" ht="15">
      <c r="B20" s="1"/>
      <c r="C20" s="43"/>
      <c r="D20" s="1"/>
      <c r="E20" s="1"/>
      <c r="F20" s="41"/>
    </row>
    <row r="21" spans="2:6" ht="15">
      <c r="B21" s="1"/>
      <c r="C21" s="1"/>
      <c r="D21" s="1"/>
      <c r="E21" s="1"/>
      <c r="F21" s="1"/>
    </row>
    <row r="22" spans="2:6" ht="15">
      <c r="B22" s="1"/>
      <c r="C22" s="44"/>
      <c r="D22" s="1"/>
      <c r="E22" s="1"/>
      <c r="F22" s="31"/>
    </row>
    <row r="37" spans="2:6" ht="15">
      <c r="B37" s="1"/>
      <c r="C37" s="40"/>
      <c r="D37" s="1"/>
      <c r="E37" s="1"/>
      <c r="F37" s="40"/>
    </row>
    <row r="38" spans="2:6" ht="15">
      <c r="B38" s="1"/>
      <c r="C38" s="41"/>
      <c r="D38" s="1"/>
      <c r="E38" s="1"/>
      <c r="F38" s="41"/>
    </row>
    <row r="39" spans="2:6" ht="15">
      <c r="B39" s="1"/>
      <c r="C39" s="42"/>
      <c r="D39" s="1"/>
      <c r="E39" s="1"/>
      <c r="F39" s="42"/>
    </row>
    <row r="40" spans="2:6" ht="15">
      <c r="B40" s="1"/>
      <c r="C40" s="43"/>
      <c r="D40" s="1"/>
      <c r="E40" s="1"/>
      <c r="F40" s="41"/>
    </row>
    <row r="41" spans="2:6" ht="15">
      <c r="B41" s="1"/>
      <c r="C41" s="1"/>
      <c r="D41" s="1"/>
      <c r="E41" s="1"/>
      <c r="F41" s="1"/>
    </row>
    <row r="42" spans="2:6" ht="15">
      <c r="B42" s="1"/>
      <c r="C42" s="44"/>
      <c r="D42" s="1"/>
      <c r="E42" s="1"/>
      <c r="F42" s="31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2:I42"/>
  <sheetViews>
    <sheetView workbookViewId="0">
      <selection activeCell="C6" sqref="C6"/>
    </sheetView>
  </sheetViews>
  <sheetFormatPr defaultRowHeight="12.75"/>
  <cols>
    <col min="1" max="1" width="9.140625" style="8"/>
    <col min="2" max="2" width="15.7109375" style="8" customWidth="1"/>
    <col min="3" max="3" width="16.85546875" style="8" customWidth="1"/>
    <col min="4" max="4" width="2.140625" style="8" customWidth="1"/>
    <col min="5" max="5" width="23.140625" style="8" bestFit="1" customWidth="1"/>
    <col min="6" max="6" width="15.7109375" style="8" customWidth="1"/>
    <col min="7" max="7" width="2.7109375" style="8" customWidth="1"/>
    <col min="8" max="8" width="15.7109375" style="8" customWidth="1"/>
    <col min="9" max="9" width="16.140625" style="8" customWidth="1"/>
    <col min="10" max="16384" width="9.140625" style="8"/>
  </cols>
  <sheetData>
    <row r="2" spans="2:9">
      <c r="B2" s="128" t="s">
        <v>4</v>
      </c>
      <c r="C2" s="128"/>
      <c r="D2" s="38"/>
      <c r="E2" s="128" t="s">
        <v>6</v>
      </c>
      <c r="F2" s="128"/>
      <c r="H2" s="128" t="s">
        <v>13</v>
      </c>
      <c r="I2" s="128"/>
    </row>
    <row r="4" spans="2:9" ht="15">
      <c r="B4" s="8" t="s">
        <v>0</v>
      </c>
      <c r="C4" s="41">
        <f>'Input Data'!E5/100</f>
        <v>4.1250000000000002E-2</v>
      </c>
      <c r="D4" s="17"/>
      <c r="E4" s="17" t="s">
        <v>9</v>
      </c>
      <c r="F4" s="25">
        <f>1-((C4/12*(1+C4/12)^360)/((1+C4/12)^360-1)*((1+C5/12)^360-1)/(C5/12*(1+C5/12)^360))</f>
        <v>0</v>
      </c>
      <c r="H4" s="20" t="s">
        <v>12</v>
      </c>
      <c r="I4" s="21">
        <f>C4-(1%-F7)/4</f>
        <v>3.9170666666666666E-2</v>
      </c>
    </row>
    <row r="5" spans="2:9" ht="15">
      <c r="B5" s="8" t="s">
        <v>1</v>
      </c>
      <c r="C5" s="41">
        <f>'Input Data'!G5/100</f>
        <v>4.1250000000000002E-2</v>
      </c>
      <c r="D5" s="17"/>
      <c r="E5" s="18" t="s">
        <v>15</v>
      </c>
      <c r="F5" s="29">
        <f>F4</f>
        <v>0</v>
      </c>
    </row>
    <row r="6" spans="2:9">
      <c r="B6" s="8" t="s">
        <v>2</v>
      </c>
      <c r="C6" s="47">
        <f>'Input Data'!I5</f>
        <v>750000</v>
      </c>
      <c r="E6" s="18" t="s">
        <v>10</v>
      </c>
      <c r="F6" s="23">
        <f>C7/C6</f>
        <v>1.6826666666666667E-3</v>
      </c>
      <c r="H6" s="8" t="s">
        <v>25</v>
      </c>
      <c r="I6" s="25">
        <f>C4-(0.01-(1-((C4/12*(1+C4/12)^360)/((1+C4/12)^360-1)*((1+C5/12)^360-1)/(C5/12*(1+C5/12)^360)) + C7/C6))/4</f>
        <v>3.9170666666666666E-2</v>
      </c>
    </row>
    <row r="7" spans="2:9">
      <c r="B7" s="8" t="s">
        <v>5</v>
      </c>
      <c r="C7" s="48">
        <f>'Input Data'!H5</f>
        <v>1262</v>
      </c>
      <c r="D7" s="24"/>
      <c r="E7" s="8" t="s">
        <v>11</v>
      </c>
      <c r="F7" s="28">
        <f>F5+F6</f>
        <v>1.6826666666666667E-3</v>
      </c>
    </row>
    <row r="8" spans="2:9">
      <c r="B8" s="8" t="s">
        <v>8</v>
      </c>
      <c r="C8" s="23" t="s">
        <v>3</v>
      </c>
      <c r="D8" s="27"/>
    </row>
    <row r="13" spans="2:9">
      <c r="B13" s="8" t="s">
        <v>14</v>
      </c>
    </row>
    <row r="37" spans="2:6" ht="15">
      <c r="B37" s="1"/>
      <c r="C37" s="40"/>
      <c r="D37" s="1"/>
      <c r="E37" s="1"/>
      <c r="F37" s="40"/>
    </row>
    <row r="38" spans="2:6" ht="15">
      <c r="B38" s="1"/>
      <c r="C38" s="41"/>
      <c r="D38" s="1"/>
      <c r="E38" s="1"/>
      <c r="F38" s="41"/>
    </row>
    <row r="39" spans="2:6" ht="15">
      <c r="B39" s="1"/>
      <c r="C39" s="42"/>
      <c r="D39" s="1"/>
      <c r="E39" s="1"/>
      <c r="F39" s="42"/>
    </row>
    <row r="40" spans="2:6" ht="15">
      <c r="B40" s="1"/>
      <c r="C40" s="43"/>
      <c r="D40" s="1"/>
      <c r="E40" s="1"/>
      <c r="F40" s="41"/>
    </row>
    <row r="41" spans="2:6" ht="15">
      <c r="B41" s="1"/>
      <c r="C41" s="1"/>
      <c r="D41" s="1"/>
      <c r="E41" s="1"/>
      <c r="F41" s="1"/>
    </row>
    <row r="42" spans="2:6" ht="15">
      <c r="B42" s="1"/>
      <c r="C42" s="44"/>
      <c r="D42" s="1"/>
      <c r="E42" s="1"/>
      <c r="F42" s="31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I13"/>
  <sheetViews>
    <sheetView workbookViewId="0">
      <selection activeCell="C5" sqref="C5"/>
    </sheetView>
  </sheetViews>
  <sheetFormatPr defaultRowHeight="12.75"/>
  <cols>
    <col min="1" max="1" width="9.140625" style="8"/>
    <col min="2" max="2" width="38" style="8" bestFit="1" customWidth="1"/>
    <col min="3" max="3" width="16.85546875" style="8" customWidth="1"/>
    <col min="4" max="4" width="2.140625" style="8" customWidth="1"/>
    <col min="5" max="5" width="23.140625" style="8" bestFit="1" customWidth="1"/>
    <col min="6" max="6" width="15.7109375" style="8" customWidth="1"/>
    <col min="7" max="7" width="2.7109375" style="8" customWidth="1"/>
    <col min="8" max="8" width="15.7109375" style="8" customWidth="1"/>
    <col min="9" max="9" width="20" style="8" bestFit="1" customWidth="1"/>
    <col min="10" max="16384" width="9.140625" style="8"/>
  </cols>
  <sheetData>
    <row r="2" spans="2:9">
      <c r="B2" s="128" t="s">
        <v>4</v>
      </c>
      <c r="C2" s="128"/>
      <c r="D2" s="39"/>
      <c r="E2" s="128" t="s">
        <v>6</v>
      </c>
      <c r="F2" s="128"/>
      <c r="H2" s="128" t="s">
        <v>13</v>
      </c>
      <c r="I2" s="128"/>
    </row>
    <row r="4" spans="2:9">
      <c r="B4" s="8" t="s">
        <v>0</v>
      </c>
      <c r="C4" s="25">
        <f>'Input Data'!E2/100</f>
        <v>3.875E-2</v>
      </c>
      <c r="D4" s="17"/>
      <c r="E4" s="17" t="s">
        <v>38</v>
      </c>
      <c r="F4" s="25">
        <f>C5/C6</f>
        <v>1.7500000000000002E-2</v>
      </c>
      <c r="H4" s="20" t="s">
        <v>12</v>
      </c>
      <c r="I4" s="21">
        <f>C4-(1%-F7)/4</f>
        <v>4.0036250000000002E-2</v>
      </c>
    </row>
    <row r="5" spans="2:9">
      <c r="B5" s="8" t="s">
        <v>46</v>
      </c>
      <c r="C5" s="68">
        <f>'Input Data'!J2</f>
        <v>3500</v>
      </c>
      <c r="D5" s="17"/>
      <c r="E5" s="69" t="s">
        <v>15</v>
      </c>
      <c r="F5" s="70">
        <f>C8</f>
        <v>0</v>
      </c>
    </row>
    <row r="6" spans="2:9">
      <c r="B6" s="8" t="s">
        <v>2</v>
      </c>
      <c r="C6" s="71">
        <f>'Input Data'!I2</f>
        <v>200000</v>
      </c>
      <c r="E6" s="69" t="s">
        <v>10</v>
      </c>
      <c r="F6" s="72">
        <f>C7/C6-F4</f>
        <v>1.5144999999999999E-2</v>
      </c>
      <c r="I6" s="25"/>
    </row>
    <row r="7" spans="2:9">
      <c r="B7" s="8" t="s">
        <v>5</v>
      </c>
      <c r="C7" s="48">
        <f>'Input Data'!H2</f>
        <v>6529</v>
      </c>
      <c r="D7" s="24"/>
      <c r="E7" s="8" t="s">
        <v>11</v>
      </c>
      <c r="F7" s="28">
        <f>F5+F6</f>
        <v>1.5144999999999999E-2</v>
      </c>
    </row>
    <row r="8" spans="2:9">
      <c r="B8" s="8" t="s">
        <v>8</v>
      </c>
      <c r="C8" s="72">
        <v>0</v>
      </c>
      <c r="D8" s="27"/>
    </row>
    <row r="9" spans="2:9">
      <c r="E9" s="73" t="s">
        <v>47</v>
      </c>
      <c r="F9" s="25">
        <f>C7/C6</f>
        <v>3.2645E-2</v>
      </c>
    </row>
    <row r="13" spans="2:9">
      <c r="B13" s="8" t="s">
        <v>14</v>
      </c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92D050"/>
  </sheetPr>
  <dimension ref="B1:P9"/>
  <sheetViews>
    <sheetView workbookViewId="0">
      <selection activeCell="P16" sqref="P16"/>
    </sheetView>
  </sheetViews>
  <sheetFormatPr defaultRowHeight="15"/>
  <cols>
    <col min="3" max="3" width="15.7109375" bestFit="1" customWidth="1"/>
    <col min="4" max="4" width="31.42578125" bestFit="1" customWidth="1"/>
    <col min="15" max="15" width="12.28515625" bestFit="1" customWidth="1"/>
  </cols>
  <sheetData>
    <row r="1" spans="2:16">
      <c r="B1" s="1" t="s">
        <v>40</v>
      </c>
      <c r="C1" s="1" t="s">
        <v>41</v>
      </c>
      <c r="D1" s="1" t="s">
        <v>42</v>
      </c>
      <c r="E1" s="65" t="s">
        <v>28</v>
      </c>
      <c r="F1" s="65" t="s">
        <v>43</v>
      </c>
      <c r="G1" s="1" t="s">
        <v>1</v>
      </c>
      <c r="H1" s="1" t="s">
        <v>44</v>
      </c>
      <c r="I1" s="1" t="s">
        <v>2</v>
      </c>
      <c r="J1" s="1" t="s">
        <v>45</v>
      </c>
    </row>
    <row r="2" spans="2:16">
      <c r="B2" s="1">
        <v>20150303</v>
      </c>
      <c r="C2" s="1" t="s">
        <v>21</v>
      </c>
      <c r="D2" s="1" t="s">
        <v>54</v>
      </c>
      <c r="E2" s="1">
        <v>3.875</v>
      </c>
      <c r="F2" s="1">
        <f>1</f>
        <v>1</v>
      </c>
      <c r="G2" s="1">
        <v>4.9050000000000002</v>
      </c>
      <c r="H2" s="66">
        <v>6529</v>
      </c>
      <c r="I2" s="66">
        <v>200000</v>
      </c>
      <c r="J2" s="67">
        <v>3500</v>
      </c>
      <c r="O2" t="s">
        <v>29</v>
      </c>
      <c r="P2">
        <v>2.8341999400292899</v>
      </c>
    </row>
    <row r="3" spans="2:16">
      <c r="B3" s="1">
        <v>20150303</v>
      </c>
      <c r="C3" s="1" t="s">
        <v>21</v>
      </c>
      <c r="D3" s="1" t="s">
        <v>55</v>
      </c>
      <c r="E3" s="1">
        <v>4.125</v>
      </c>
      <c r="F3" s="1">
        <f>1</f>
        <v>1</v>
      </c>
      <c r="G3" s="1">
        <v>4.1470000000000002</v>
      </c>
      <c r="H3" s="66">
        <v>1768</v>
      </c>
      <c r="I3" s="66">
        <v>200000</v>
      </c>
      <c r="J3" s="1"/>
      <c r="O3" t="s">
        <v>30</v>
      </c>
      <c r="P3">
        <v>2.7074000366412498</v>
      </c>
    </row>
    <row r="4" spans="2:16">
      <c r="B4" s="1">
        <v>20150303</v>
      </c>
      <c r="C4" s="1" t="s">
        <v>21</v>
      </c>
      <c r="D4" s="1" t="s">
        <v>56</v>
      </c>
      <c r="E4" s="1">
        <v>4.125</v>
      </c>
      <c r="F4" s="1">
        <f>1</f>
        <v>1</v>
      </c>
      <c r="G4" s="1">
        <v>4.1479999999999997</v>
      </c>
      <c r="H4" s="66">
        <v>3602</v>
      </c>
      <c r="I4" s="66">
        <v>500000</v>
      </c>
      <c r="J4" s="1"/>
    </row>
    <row r="5" spans="2:16">
      <c r="B5" s="1">
        <v>20150303</v>
      </c>
      <c r="C5" s="1" t="s">
        <v>21</v>
      </c>
      <c r="D5" s="1" t="s">
        <v>57</v>
      </c>
      <c r="E5" s="1">
        <v>4.125</v>
      </c>
      <c r="F5" s="1">
        <f>1</f>
        <v>1</v>
      </c>
      <c r="G5" s="1">
        <v>4.125</v>
      </c>
      <c r="H5" s="66">
        <v>1262</v>
      </c>
      <c r="I5" s="66">
        <v>750000</v>
      </c>
      <c r="J5" s="1"/>
    </row>
    <row r="6" spans="2:16">
      <c r="B6" s="1">
        <v>20150303</v>
      </c>
      <c r="C6" s="1" t="s">
        <v>20</v>
      </c>
      <c r="D6" s="1" t="s">
        <v>54</v>
      </c>
      <c r="E6" s="1">
        <v>3.375</v>
      </c>
      <c r="F6" s="1">
        <v>2.25</v>
      </c>
      <c r="G6" s="1">
        <v>4.2699999999999996</v>
      </c>
      <c r="H6" s="1"/>
      <c r="I6" s="1"/>
      <c r="J6" s="1"/>
    </row>
    <row r="7" spans="2:16">
      <c r="B7" s="1">
        <v>20150303</v>
      </c>
      <c r="C7" s="1" t="s">
        <v>20</v>
      </c>
      <c r="D7" s="1" t="s">
        <v>17</v>
      </c>
      <c r="E7" s="1">
        <v>3.75</v>
      </c>
      <c r="F7" s="1">
        <v>2.25</v>
      </c>
      <c r="G7" s="1">
        <v>4.008</v>
      </c>
      <c r="H7" s="1"/>
      <c r="I7" s="1"/>
      <c r="J7" s="1"/>
    </row>
    <row r="8" spans="2:16">
      <c r="B8" s="1">
        <v>20150303</v>
      </c>
      <c r="C8" s="1" t="s">
        <v>18</v>
      </c>
      <c r="D8" s="1" t="s">
        <v>55</v>
      </c>
      <c r="E8" s="1">
        <v>4</v>
      </c>
      <c r="F8" s="1">
        <v>0.71299999999999997</v>
      </c>
      <c r="G8" s="1">
        <v>4.17</v>
      </c>
      <c r="H8" s="1"/>
      <c r="I8" s="1"/>
      <c r="J8" s="1"/>
    </row>
    <row r="9" spans="2:16">
      <c r="B9" s="1">
        <v>20150303</v>
      </c>
      <c r="C9" s="1" t="s">
        <v>19</v>
      </c>
      <c r="D9" s="1" t="s">
        <v>55</v>
      </c>
      <c r="E9" s="1">
        <v>4.125</v>
      </c>
      <c r="F9" s="1">
        <v>1.125</v>
      </c>
      <c r="G9" s="1">
        <v>4.2190000000000003</v>
      </c>
      <c r="H9" s="1"/>
      <c r="I9" s="1"/>
      <c r="J9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92D050"/>
  </sheetPr>
  <dimension ref="B3:F15"/>
  <sheetViews>
    <sheetView workbookViewId="0">
      <selection activeCell="K24" sqref="K24"/>
    </sheetView>
  </sheetViews>
  <sheetFormatPr defaultRowHeight="15"/>
  <cols>
    <col min="2" max="2" width="27.85546875" bestFit="1" customWidth="1"/>
    <col min="3" max="3" width="10.7109375" bestFit="1" customWidth="1"/>
    <col min="4" max="5" width="10.7109375" style="1" customWidth="1"/>
    <col min="6" max="6" width="11.85546875" bestFit="1" customWidth="1"/>
  </cols>
  <sheetData>
    <row r="3" spans="2:6">
      <c r="C3" s="129" t="s">
        <v>48</v>
      </c>
      <c r="D3" s="129"/>
      <c r="E3" s="129" t="s">
        <v>49</v>
      </c>
      <c r="F3" s="129"/>
    </row>
    <row r="4" spans="2:6">
      <c r="B4" s="5" t="s">
        <v>17</v>
      </c>
      <c r="C4" s="59" t="s">
        <v>23</v>
      </c>
      <c r="D4" s="52" t="s">
        <v>31</v>
      </c>
      <c r="E4" s="59" t="s">
        <v>23</v>
      </c>
      <c r="F4" s="52" t="s">
        <v>31</v>
      </c>
    </row>
    <row r="5" spans="2:6">
      <c r="B5" s="7" t="s">
        <v>18</v>
      </c>
      <c r="C5" s="74">
        <v>4.1695190979670525E-2</v>
      </c>
      <c r="D5" s="60">
        <v>1.4053251356982426E-2</v>
      </c>
      <c r="E5" s="74">
        <v>4.1695190979670525E-2</v>
      </c>
      <c r="F5" s="60">
        <v>1.4053251356982426E-2</v>
      </c>
    </row>
    <row r="6" spans="2:6">
      <c r="B6" s="7" t="s">
        <v>19</v>
      </c>
      <c r="C6" s="74">
        <v>4.1863869638007693E-2</v>
      </c>
      <c r="D6" s="60">
        <v>1.4221930015319593E-2</v>
      </c>
      <c r="E6" s="74">
        <v>4.1863869638007693E-2</v>
      </c>
      <c r="F6" s="60">
        <v>1.4221930015319593E-2</v>
      </c>
    </row>
    <row r="7" spans="2:6">
      <c r="B7" s="7" t="s">
        <v>20</v>
      </c>
      <c r="C7" s="74">
        <v>4.2106935408068195E-2</v>
      </c>
      <c r="D7" s="60">
        <v>1.4464995785380096E-2</v>
      </c>
      <c r="E7" s="74">
        <v>4.2106935408068195E-2</v>
      </c>
      <c r="F7" s="60">
        <v>1.4464995785380096E-2</v>
      </c>
    </row>
    <row r="8" spans="2:6">
      <c r="B8" s="6" t="s">
        <v>21</v>
      </c>
      <c r="C8" s="56">
        <v>4.3001919961318615E-2</v>
      </c>
      <c r="D8" s="61">
        <v>1.5359980338630515E-2</v>
      </c>
      <c r="E8" s="56">
        <v>4.3001919961318615E-2</v>
      </c>
      <c r="F8" s="61">
        <v>1.5359980338630515E-2</v>
      </c>
    </row>
    <row r="9" spans="2:6">
      <c r="B9" s="2" t="s">
        <v>24</v>
      </c>
      <c r="C9" s="75">
        <v>4.2166978996766254E-2</v>
      </c>
      <c r="D9" s="37">
        <v>1.4525039374078154E-2</v>
      </c>
      <c r="E9" s="75">
        <v>4.2166978996766254E-2</v>
      </c>
      <c r="F9" s="37">
        <v>1.4525039374078154E-2</v>
      </c>
    </row>
    <row r="10" spans="2:6">
      <c r="B10" s="5" t="s">
        <v>35</v>
      </c>
      <c r="C10" s="59" t="s">
        <v>23</v>
      </c>
      <c r="D10" s="52" t="s">
        <v>31</v>
      </c>
      <c r="E10" s="59" t="s">
        <v>23</v>
      </c>
      <c r="F10" s="52" t="s">
        <v>31</v>
      </c>
    </row>
    <row r="11" spans="2:6">
      <c r="B11" s="6" t="s">
        <v>21</v>
      </c>
      <c r="C11" s="74">
        <v>4.0195372314316996E-2</v>
      </c>
      <c r="D11" s="60">
        <v>1.2553432691628896E-2</v>
      </c>
      <c r="E11" s="74">
        <v>4.0195372314316996E-2</v>
      </c>
      <c r="F11" s="60">
        <v>1.2553432691628896E-2</v>
      </c>
    </row>
    <row r="12" spans="2:6">
      <c r="B12" s="5" t="s">
        <v>36</v>
      </c>
      <c r="C12" s="59" t="s">
        <v>23</v>
      </c>
      <c r="D12" s="52" t="s">
        <v>31</v>
      </c>
      <c r="E12" s="59" t="s">
        <v>23</v>
      </c>
      <c r="F12" s="52" t="s">
        <v>31</v>
      </c>
    </row>
    <row r="13" spans="2:6">
      <c r="B13" s="6" t="s">
        <v>21</v>
      </c>
      <c r="C13" s="56">
        <v>3.9146476368534466E-2</v>
      </c>
      <c r="D13" s="61">
        <v>1.1504536745846367E-2</v>
      </c>
      <c r="E13" s="56">
        <v>3.9146476368534466E-2</v>
      </c>
      <c r="F13" s="61">
        <v>1.1504536745846367E-2</v>
      </c>
    </row>
    <row r="14" spans="2:6">
      <c r="B14" s="49" t="s">
        <v>37</v>
      </c>
      <c r="C14" s="59" t="s">
        <v>33</v>
      </c>
      <c r="D14" s="52" t="s">
        <v>31</v>
      </c>
      <c r="E14" s="59" t="s">
        <v>33</v>
      </c>
      <c r="F14" s="52" t="s">
        <v>31</v>
      </c>
    </row>
    <row r="15" spans="2:6">
      <c r="B15" s="53" t="s">
        <v>21</v>
      </c>
      <c r="C15" s="56">
        <v>3.9717500000000003E-2</v>
      </c>
      <c r="D15" s="61">
        <v>1.2970924186383903E-2</v>
      </c>
      <c r="E15" s="56">
        <v>3.9717500000000003E-2</v>
      </c>
      <c r="F15" s="61">
        <v>1.2970924186383903E-2</v>
      </c>
    </row>
  </sheetData>
  <mergeCells count="2">
    <mergeCell ref="C3:D3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Result</vt:lpstr>
      <vt:lpstr>BoA - Conventional</vt:lpstr>
      <vt:lpstr>Chase - Conventional</vt:lpstr>
      <vt:lpstr>Quicken - Conventional</vt:lpstr>
      <vt:lpstr>Wells - Conventional</vt:lpstr>
      <vt:lpstr>Wells - Jumbo conformin</vt:lpstr>
      <vt:lpstr>Wells - Jumbo Non-conforming</vt:lpstr>
      <vt:lpstr>Wells - FHA</vt:lpstr>
      <vt:lpstr>Input Data</vt:lpstr>
      <vt:lpstr>Historic Result</vt:lpstr>
      <vt:lpstr>'Wells - Jumbo conformin'!AIR</vt:lpstr>
      <vt:lpstr>'Wells - Jumbo Non-conforming'!AIR</vt:lpstr>
      <vt:lpstr>AIR</vt:lpstr>
      <vt:lpstr>'Wells - Jumbo conformin'!BOAIR</vt:lpstr>
      <vt:lpstr>'Wells - Jumbo Non-conforming'!BOAIR</vt:lpstr>
      <vt:lpstr>BOAIR</vt:lpstr>
      <vt:lpstr>CAPR</vt:lpstr>
      <vt:lpstr>CIR</vt:lpstr>
      <vt:lpstr>CP</vt:lpstr>
      <vt:lpstr>WIR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2015-03-05T16:13:59Z</cp:lastPrinted>
  <dcterms:created xsi:type="dcterms:W3CDTF">2015-02-26T13:52:04Z</dcterms:created>
  <dcterms:modified xsi:type="dcterms:W3CDTF">2015-03-05T16:14:02Z</dcterms:modified>
</cp:coreProperties>
</file>