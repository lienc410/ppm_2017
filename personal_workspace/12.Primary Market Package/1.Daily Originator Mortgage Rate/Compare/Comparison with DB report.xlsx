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30435" windowHeight="1740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CIR">'[1]Wells - Conventional'!$C$4</definedName>
  </definedNames>
  <calcPr calcId="145621"/>
</workbook>
</file>

<file path=xl/calcChain.xml><?xml version="1.0" encoding="utf-8"?>
<calcChain xmlns="http://schemas.openxmlformats.org/spreadsheetml/2006/main">
  <c r="K7" i="1" l="1"/>
  <c r="P31" i="1"/>
  <c r="P32" i="1"/>
  <c r="P33" i="1"/>
  <c r="P36" i="1"/>
  <c r="P37" i="1"/>
  <c r="P38" i="1"/>
  <c r="P27" i="1"/>
  <c r="P28" i="1"/>
  <c r="P26" i="1"/>
  <c r="K16" i="1"/>
  <c r="K12" i="1"/>
  <c r="K6" i="1"/>
  <c r="K8" i="1"/>
  <c r="K5" i="1"/>
  <c r="X36" i="1"/>
  <c r="AB36" i="1"/>
</calcChain>
</file>

<file path=xl/sharedStrings.xml><?xml version="1.0" encoding="utf-8"?>
<sst xmlns="http://schemas.openxmlformats.org/spreadsheetml/2006/main" count="96" uniqueCount="31">
  <si>
    <t>Chase</t>
  </si>
  <si>
    <t>Quicken</t>
  </si>
  <si>
    <t>Bank Of America</t>
  </si>
  <si>
    <t>Wells Fargo</t>
  </si>
  <si>
    <t>Current</t>
  </si>
  <si>
    <t>Prior</t>
  </si>
  <si>
    <t>30-year Jumbo</t>
  </si>
  <si>
    <t>Change</t>
  </si>
  <si>
    <t>30-year FHA</t>
  </si>
  <si>
    <t>Bank of America</t>
  </si>
  <si>
    <t>Rate</t>
  </si>
  <si>
    <t>APR</t>
  </si>
  <si>
    <t>Points</t>
  </si>
  <si>
    <t>Top 10</t>
  </si>
  <si>
    <t>Top 4</t>
  </si>
  <si>
    <t>Next 6</t>
  </si>
  <si>
    <t>Base Rate</t>
  </si>
  <si>
    <t>UFMIP</t>
  </si>
  <si>
    <t>Ann. MIP</t>
  </si>
  <si>
    <t>Sum</t>
  </si>
  <si>
    <t>Cuurent</t>
  </si>
  <si>
    <t>Cello</t>
  </si>
  <si>
    <t>Discount Points</t>
  </si>
  <si>
    <t>Origination Points</t>
  </si>
  <si>
    <t>Total Points</t>
  </si>
  <si>
    <t>30-year Conventional</t>
  </si>
  <si>
    <t>DB</t>
  </si>
  <si>
    <t>*Current: asof 06/03/2015</t>
  </si>
  <si>
    <t>*Prior: asof 05/27/2015</t>
  </si>
  <si>
    <t>Current*</t>
  </si>
  <si>
    <t>Prior*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</si>
</sst>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Border="1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2" fillId="0" borderId="0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/>
    <xf numFmtId="2" fontId="2" fillId="0" borderId="5" xfId="0" applyNumberFormat="1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/>
    <xf numFmtId="0" fontId="1" fillId="0" borderId="22" xfId="0" applyFont="1" applyBorder="1"/>
    <xf numFmtId="2" fontId="2" fillId="0" borderId="14" xfId="0" applyNumberFormat="1" applyFont="1" applyBorder="1"/>
    <xf numFmtId="0" fontId="1" fillId="0" borderId="23" xfId="0" applyFont="1" applyBorder="1"/>
    <xf numFmtId="2" fontId="2" fillId="0" borderId="16" xfId="0" applyNumberFormat="1" applyFont="1" applyBorder="1"/>
    <xf numFmtId="2" fontId="2" fillId="0" borderId="17" xfId="0" applyNumberFormat="1" applyFont="1" applyBorder="1"/>
    <xf numFmtId="2" fontId="2" fillId="0" borderId="19" xfId="0" applyNumberFormat="1" applyFont="1" applyBorder="1"/>
    <xf numFmtId="168" fontId="1" fillId="0" borderId="0" xfId="0" applyNumberFormat="1" applyFont="1" applyBorder="1" applyAlignment="1">
      <alignment horizontal="center"/>
    </xf>
    <xf numFmtId="168" fontId="1" fillId="0" borderId="12" xfId="0" applyNumberFormat="1" applyFont="1" applyBorder="1" applyAlignment="1">
      <alignment horizontal="center"/>
    </xf>
    <xf numFmtId="168" fontId="1" fillId="0" borderId="17" xfId="0" applyNumberFormat="1" applyFont="1" applyBorder="1" applyAlignment="1">
      <alignment horizontal="center"/>
    </xf>
    <xf numFmtId="168" fontId="1" fillId="0" borderId="19" xfId="0" applyNumberFormat="1" applyFont="1" applyBorder="1" applyAlignment="1">
      <alignment horizontal="center"/>
    </xf>
    <xf numFmtId="0" fontId="1" fillId="0" borderId="26" xfId="0" applyFont="1" applyBorder="1"/>
    <xf numFmtId="0" fontId="1" fillId="0" borderId="1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T\Production\Daily%20Reports\Primary%20Market\1.Originator%20Mortgage%20Rate%20Mas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Rates Summary"/>
      <sheetName val="Upload Result"/>
      <sheetName val="Input Data"/>
      <sheetName val="Historic Result"/>
      <sheetName val="BoA - Conventional"/>
      <sheetName val="Chase - Conventional"/>
      <sheetName val="Quicken - Conventional"/>
      <sheetName val="Wells - Conventional"/>
      <sheetName val="Wells - Jumbo conformin"/>
      <sheetName val="Wells - Jumbo Non-conforming"/>
      <sheetName val="Wells - F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4.1250000000000002E-2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39"/>
  <sheetViews>
    <sheetView tabSelected="1" workbookViewId="0">
      <selection activeCell="N13" sqref="N13"/>
    </sheetView>
  </sheetViews>
  <sheetFormatPr defaultRowHeight="12.75" x14ac:dyDescent="0.2"/>
  <cols>
    <col min="1" max="1" width="18.140625" style="2" bestFit="1" customWidth="1"/>
    <col min="2" max="7" width="9.140625" style="2"/>
    <col min="8" max="8" width="9" style="2" customWidth="1"/>
    <col min="9" max="9" width="9.140625" style="3"/>
    <col min="10" max="20" width="9.140625" style="2"/>
    <col min="21" max="21" width="14.85546875" style="2" customWidth="1"/>
    <col min="22" max="22" width="17.28515625" style="2" customWidth="1"/>
    <col min="23" max="23" width="11.42578125" style="2" customWidth="1"/>
    <col min="24" max="24" width="9.140625" style="2" customWidth="1"/>
    <col min="25" max="25" width="14.85546875" style="2" customWidth="1"/>
    <col min="26" max="26" width="17.28515625" style="2" customWidth="1"/>
    <col min="27" max="27" width="11.42578125" style="2" customWidth="1"/>
    <col min="28" max="28" width="9.140625" style="2" customWidth="1"/>
    <col min="29" max="16384" width="9.140625" style="2"/>
  </cols>
  <sheetData>
    <row r="2" spans="1:18" ht="13.5" thickBot="1" x14ac:dyDescent="0.25"/>
    <row r="3" spans="1:18" ht="15" customHeight="1" x14ac:dyDescent="0.2">
      <c r="A3" s="1" t="s">
        <v>25</v>
      </c>
      <c r="B3" s="55"/>
      <c r="C3" s="73" t="s">
        <v>26</v>
      </c>
      <c r="D3" s="73"/>
      <c r="E3" s="74"/>
      <c r="H3" s="55"/>
      <c r="I3" s="71" t="s">
        <v>21</v>
      </c>
      <c r="J3" s="71"/>
      <c r="K3" s="72"/>
    </row>
    <row r="4" spans="1:18" x14ac:dyDescent="0.2">
      <c r="B4" s="30"/>
      <c r="C4" s="17" t="s">
        <v>4</v>
      </c>
      <c r="D4" s="17" t="s">
        <v>5</v>
      </c>
      <c r="E4" s="31" t="s">
        <v>7</v>
      </c>
      <c r="F4" s="4"/>
      <c r="G4" s="4"/>
      <c r="H4" s="58"/>
      <c r="I4" s="17" t="s">
        <v>29</v>
      </c>
      <c r="J4" s="17" t="s">
        <v>30</v>
      </c>
      <c r="K4" s="31" t="s">
        <v>7</v>
      </c>
      <c r="M4" s="2" t="s">
        <v>27</v>
      </c>
    </row>
    <row r="5" spans="1:18" x14ac:dyDescent="0.2">
      <c r="B5" s="28" t="s">
        <v>3</v>
      </c>
      <c r="C5" s="51">
        <v>4.25</v>
      </c>
      <c r="D5" s="51">
        <v>4.125</v>
      </c>
      <c r="E5" s="52">
        <v>0.125</v>
      </c>
      <c r="F5" s="4"/>
      <c r="G5" s="4"/>
      <c r="H5" s="56" t="s">
        <v>3</v>
      </c>
      <c r="I5" s="51">
        <v>4.25</v>
      </c>
      <c r="J5" s="51">
        <v>4.125</v>
      </c>
      <c r="K5" s="52">
        <f>I5-J5</f>
        <v>0.125</v>
      </c>
      <c r="L5" s="6"/>
      <c r="M5" s="6" t="s">
        <v>28</v>
      </c>
      <c r="N5" s="6"/>
      <c r="O5" s="6"/>
      <c r="P5" s="6"/>
      <c r="Q5" s="6"/>
      <c r="R5" s="6"/>
    </row>
    <row r="6" spans="1:18" x14ac:dyDescent="0.2">
      <c r="B6" s="28" t="s">
        <v>0</v>
      </c>
      <c r="C6" s="51">
        <v>4</v>
      </c>
      <c r="D6" s="51">
        <v>3.875</v>
      </c>
      <c r="E6" s="52">
        <v>0.125</v>
      </c>
      <c r="F6" s="4"/>
      <c r="G6" s="4"/>
      <c r="H6" s="56" t="s">
        <v>0</v>
      </c>
      <c r="I6" s="51">
        <v>4.125</v>
      </c>
      <c r="J6" s="51">
        <v>4</v>
      </c>
      <c r="K6" s="52">
        <f>I6-J6</f>
        <v>0.125</v>
      </c>
      <c r="L6" s="6"/>
      <c r="M6" s="6"/>
      <c r="N6" s="6"/>
      <c r="O6" s="6"/>
      <c r="P6" s="6"/>
      <c r="Q6" s="6"/>
      <c r="R6" s="6"/>
    </row>
    <row r="7" spans="1:18" x14ac:dyDescent="0.2">
      <c r="B7" s="28" t="s">
        <v>2</v>
      </c>
      <c r="C7" s="51">
        <v>4.125</v>
      </c>
      <c r="D7" s="51">
        <v>4.125</v>
      </c>
      <c r="E7" s="52">
        <v>0</v>
      </c>
      <c r="F7" s="4"/>
      <c r="G7" s="4"/>
      <c r="H7" s="56" t="s">
        <v>9</v>
      </c>
      <c r="I7" s="51">
        <v>4.125</v>
      </c>
      <c r="J7" s="51">
        <v>4</v>
      </c>
      <c r="K7" s="52">
        <f t="shared" ref="K7" si="0">I7-J7</f>
        <v>0.125</v>
      </c>
      <c r="L7" s="6"/>
      <c r="M7" s="6"/>
      <c r="R7" s="6"/>
    </row>
    <row r="8" spans="1:18" x14ac:dyDescent="0.2">
      <c r="B8" s="28" t="s">
        <v>1</v>
      </c>
      <c r="C8" s="51">
        <v>4.125</v>
      </c>
      <c r="D8" s="51">
        <v>3.875</v>
      </c>
      <c r="E8" s="52">
        <v>0.25</v>
      </c>
      <c r="F8" s="4"/>
      <c r="G8" s="4"/>
      <c r="H8" s="56" t="s">
        <v>1</v>
      </c>
      <c r="I8" s="51">
        <v>4.125</v>
      </c>
      <c r="J8" s="51">
        <v>3.875</v>
      </c>
      <c r="K8" s="52">
        <f t="shared" ref="K8" si="1">I8-J8</f>
        <v>0.25</v>
      </c>
      <c r="L8" s="6"/>
      <c r="M8" s="6"/>
      <c r="N8" s="6"/>
      <c r="O8" s="6"/>
      <c r="P8" s="6"/>
      <c r="Q8" s="6"/>
      <c r="R8" s="6"/>
    </row>
    <row r="9" spans="1:18" x14ac:dyDescent="0.2">
      <c r="B9" s="28"/>
      <c r="C9" s="9"/>
      <c r="D9" s="9"/>
      <c r="E9" s="29"/>
      <c r="F9" s="4"/>
      <c r="G9" s="4"/>
      <c r="H9" s="56"/>
      <c r="I9" s="51"/>
      <c r="J9" s="51"/>
      <c r="K9" s="52"/>
      <c r="L9" s="6"/>
      <c r="M9" s="6"/>
      <c r="N9" s="6"/>
      <c r="O9" s="6"/>
      <c r="P9" s="6"/>
      <c r="Q9" s="6"/>
      <c r="R9" s="6"/>
    </row>
    <row r="10" spans="1:18" x14ac:dyDescent="0.2">
      <c r="A10" s="1" t="s">
        <v>6</v>
      </c>
      <c r="B10" s="28"/>
      <c r="C10" s="9"/>
      <c r="D10" s="9"/>
      <c r="E10" s="29"/>
      <c r="F10" s="4"/>
      <c r="G10" s="4"/>
      <c r="H10" s="56"/>
      <c r="I10" s="15"/>
      <c r="J10" s="9"/>
      <c r="K10" s="29"/>
    </row>
    <row r="11" spans="1:18" x14ac:dyDescent="0.2">
      <c r="B11" s="28"/>
      <c r="C11" s="9" t="s">
        <v>4</v>
      </c>
      <c r="D11" s="9" t="s">
        <v>5</v>
      </c>
      <c r="E11" s="29" t="s">
        <v>7</v>
      </c>
      <c r="F11" s="4"/>
      <c r="G11" s="4"/>
      <c r="H11" s="56"/>
      <c r="I11" s="9" t="s">
        <v>4</v>
      </c>
      <c r="J11" s="9" t="s">
        <v>5</v>
      </c>
      <c r="K11" s="29" t="s">
        <v>7</v>
      </c>
    </row>
    <row r="12" spans="1:18" x14ac:dyDescent="0.2">
      <c r="B12" s="28" t="s">
        <v>3</v>
      </c>
      <c r="C12" s="51">
        <v>4.25</v>
      </c>
      <c r="D12" s="51">
        <v>4.125</v>
      </c>
      <c r="E12" s="52">
        <v>0.125</v>
      </c>
      <c r="F12" s="5"/>
      <c r="G12" s="4"/>
      <c r="H12" s="56" t="s">
        <v>3</v>
      </c>
      <c r="I12" s="51">
        <v>4.375</v>
      </c>
      <c r="J12" s="51">
        <v>4.125</v>
      </c>
      <c r="K12" s="52">
        <f t="shared" ref="K12" si="2">I12-J12</f>
        <v>0.25</v>
      </c>
      <c r="L12" s="6"/>
      <c r="M12" s="6"/>
      <c r="N12" s="6"/>
      <c r="O12" s="6"/>
      <c r="P12" s="6"/>
      <c r="Q12" s="6"/>
      <c r="R12" s="6"/>
    </row>
    <row r="13" spans="1:18" x14ac:dyDescent="0.2">
      <c r="B13" s="28"/>
      <c r="C13" s="9"/>
      <c r="D13" s="9"/>
      <c r="E13" s="29"/>
      <c r="F13" s="4"/>
      <c r="G13" s="4"/>
      <c r="H13" s="56"/>
      <c r="I13" s="51"/>
      <c r="J13" s="51"/>
      <c r="K13" s="52"/>
      <c r="L13" s="6"/>
      <c r="M13" s="6"/>
      <c r="N13" s="6"/>
      <c r="O13" s="6"/>
      <c r="P13" s="6"/>
      <c r="Q13" s="6"/>
      <c r="R13" s="6"/>
    </row>
    <row r="14" spans="1:18" x14ac:dyDescent="0.2">
      <c r="A14" s="1" t="s">
        <v>8</v>
      </c>
      <c r="B14" s="28"/>
      <c r="C14" s="9"/>
      <c r="D14" s="9"/>
      <c r="E14" s="29"/>
      <c r="F14" s="4"/>
      <c r="G14" s="4"/>
      <c r="H14" s="56"/>
      <c r="I14" s="51"/>
      <c r="J14" s="51"/>
      <c r="K14" s="52"/>
      <c r="L14" s="6"/>
      <c r="M14" s="6"/>
      <c r="N14" s="6"/>
      <c r="O14" s="6"/>
      <c r="P14" s="6"/>
      <c r="Q14" s="6"/>
      <c r="R14" s="6"/>
    </row>
    <row r="15" spans="1:18" x14ac:dyDescent="0.2">
      <c r="B15" s="28"/>
      <c r="C15" s="9" t="s">
        <v>4</v>
      </c>
      <c r="D15" s="9" t="s">
        <v>5</v>
      </c>
      <c r="E15" s="29" t="s">
        <v>7</v>
      </c>
      <c r="F15" s="4"/>
      <c r="G15" s="4"/>
      <c r="H15" s="56"/>
      <c r="I15" s="9" t="s">
        <v>4</v>
      </c>
      <c r="J15" s="9" t="s">
        <v>5</v>
      </c>
      <c r="K15" s="29" t="s">
        <v>7</v>
      </c>
    </row>
    <row r="16" spans="1:18" ht="13.5" thickBot="1" x14ac:dyDescent="0.25">
      <c r="B16" s="32" t="s">
        <v>3</v>
      </c>
      <c r="C16" s="53">
        <v>4.125</v>
      </c>
      <c r="D16" s="53">
        <v>3.875</v>
      </c>
      <c r="E16" s="54">
        <v>0.25</v>
      </c>
      <c r="F16" s="4"/>
      <c r="G16" s="4"/>
      <c r="H16" s="57" t="s">
        <v>3</v>
      </c>
      <c r="I16" s="53">
        <v>4.25</v>
      </c>
      <c r="J16" s="53">
        <v>3.75</v>
      </c>
      <c r="K16" s="54">
        <f t="shared" ref="K16" si="3">I16-J16</f>
        <v>0.5</v>
      </c>
      <c r="L16" s="6"/>
      <c r="M16" s="6"/>
      <c r="N16" s="6"/>
      <c r="O16" s="6"/>
      <c r="P16" s="6"/>
      <c r="Q16" s="6"/>
      <c r="R16" s="6"/>
    </row>
    <row r="17" spans="1:27" x14ac:dyDescent="0.2">
      <c r="C17" s="5"/>
      <c r="D17" s="5"/>
      <c r="E17" s="5"/>
      <c r="F17" s="4"/>
      <c r="G17" s="4"/>
      <c r="H17" s="4"/>
      <c r="I17" s="7"/>
      <c r="J17" s="4"/>
      <c r="K17" s="4"/>
    </row>
    <row r="18" spans="1:27" x14ac:dyDescent="0.2">
      <c r="C18" s="4"/>
      <c r="D18" s="4"/>
      <c r="E18" s="4"/>
      <c r="F18" s="4"/>
      <c r="G18" s="4"/>
      <c r="H18" s="4"/>
      <c r="I18" s="7"/>
      <c r="J18" s="4"/>
      <c r="K18" s="4"/>
    </row>
    <row r="19" spans="1:27" x14ac:dyDescent="0.2">
      <c r="C19" s="4"/>
      <c r="D19" s="4"/>
      <c r="E19" s="4"/>
      <c r="F19" s="4"/>
      <c r="G19" s="4"/>
      <c r="H19" s="4"/>
      <c r="I19" s="7"/>
      <c r="J19" s="4"/>
      <c r="K19" s="4"/>
    </row>
    <row r="20" spans="1:27" x14ac:dyDescent="0.2">
      <c r="C20" s="4"/>
      <c r="D20" s="4"/>
      <c r="E20" s="4"/>
      <c r="F20" s="4"/>
      <c r="G20" s="4"/>
      <c r="H20" s="4"/>
      <c r="I20" s="7"/>
      <c r="J20" s="4"/>
      <c r="K20" s="4"/>
    </row>
    <row r="21" spans="1:27" x14ac:dyDescent="0.2">
      <c r="C21" s="4"/>
      <c r="D21" s="4"/>
      <c r="E21" s="4"/>
      <c r="F21" s="4"/>
      <c r="G21" s="4"/>
      <c r="H21" s="4"/>
      <c r="I21" s="7"/>
      <c r="J21" s="4"/>
      <c r="K21" s="4"/>
    </row>
    <row r="22" spans="1:27" x14ac:dyDescent="0.2">
      <c r="C22" s="4"/>
      <c r="D22" s="4"/>
      <c r="E22" s="4"/>
      <c r="F22" s="4"/>
      <c r="G22" s="4"/>
      <c r="H22" s="4"/>
      <c r="I22" s="7"/>
      <c r="J22" s="4"/>
      <c r="K22" s="4"/>
    </row>
    <row r="23" spans="1:27" ht="13.5" thickBot="1" x14ac:dyDescent="0.25">
      <c r="C23" s="4"/>
      <c r="D23" s="4"/>
      <c r="E23" s="4"/>
      <c r="F23" s="4"/>
      <c r="G23" s="4"/>
      <c r="H23" s="4"/>
      <c r="I23" s="7"/>
      <c r="J23" s="4"/>
      <c r="K23" s="4"/>
    </row>
    <row r="24" spans="1:27" x14ac:dyDescent="0.2">
      <c r="A24" s="1"/>
      <c r="B24" s="27"/>
      <c r="C24" s="59" t="s">
        <v>13</v>
      </c>
      <c r="D24" s="60"/>
      <c r="E24" s="61"/>
      <c r="F24" s="62" t="s">
        <v>14</v>
      </c>
      <c r="G24" s="63"/>
      <c r="H24" s="64"/>
      <c r="I24" s="65" t="s">
        <v>15</v>
      </c>
      <c r="J24" s="66"/>
      <c r="K24" s="67"/>
      <c r="L24" s="1"/>
      <c r="M24" s="41"/>
      <c r="N24" s="68" t="s">
        <v>21</v>
      </c>
      <c r="O24" s="69"/>
      <c r="P24" s="70"/>
      <c r="U24" s="2" t="s">
        <v>22</v>
      </c>
      <c r="V24" s="2" t="s">
        <v>23</v>
      </c>
      <c r="W24" s="2" t="s">
        <v>24</v>
      </c>
      <c r="Y24" s="2" t="s">
        <v>22</v>
      </c>
      <c r="Z24" s="2" t="s">
        <v>23</v>
      </c>
      <c r="AA24" s="2" t="s">
        <v>24</v>
      </c>
    </row>
    <row r="25" spans="1:27" x14ac:dyDescent="0.2">
      <c r="A25" s="1" t="s">
        <v>25</v>
      </c>
      <c r="B25" s="28"/>
      <c r="C25" s="9" t="s">
        <v>4</v>
      </c>
      <c r="D25" s="9" t="s">
        <v>5</v>
      </c>
      <c r="E25" s="10" t="s">
        <v>7</v>
      </c>
      <c r="F25" s="11" t="s">
        <v>4</v>
      </c>
      <c r="G25" s="13" t="s">
        <v>5</v>
      </c>
      <c r="H25" s="14" t="s">
        <v>7</v>
      </c>
      <c r="I25" s="15" t="s">
        <v>4</v>
      </c>
      <c r="J25" s="9" t="s">
        <v>5</v>
      </c>
      <c r="K25" s="29" t="s">
        <v>7</v>
      </c>
      <c r="L25" s="1"/>
      <c r="M25" s="42"/>
      <c r="N25" s="24" t="s">
        <v>4</v>
      </c>
      <c r="O25" s="13" t="s">
        <v>5</v>
      </c>
      <c r="P25" s="43" t="s">
        <v>7</v>
      </c>
      <c r="U25" s="2" t="s">
        <v>20</v>
      </c>
      <c r="Y25" s="2" t="s">
        <v>5</v>
      </c>
    </row>
    <row r="26" spans="1:27" x14ac:dyDescent="0.2">
      <c r="B26" s="28" t="s">
        <v>10</v>
      </c>
      <c r="C26" s="9">
        <v>4.13</v>
      </c>
      <c r="D26" s="9">
        <v>4.01</v>
      </c>
      <c r="E26" s="10">
        <v>0.12</v>
      </c>
      <c r="F26" s="11">
        <v>4.16</v>
      </c>
      <c r="G26" s="13">
        <v>4.05</v>
      </c>
      <c r="H26" s="14">
        <v>0.11</v>
      </c>
      <c r="I26" s="15">
        <v>4.04</v>
      </c>
      <c r="J26" s="9">
        <v>3.88</v>
      </c>
      <c r="K26" s="29">
        <v>0.16</v>
      </c>
      <c r="L26" s="1"/>
      <c r="M26" s="42" t="s">
        <v>10</v>
      </c>
      <c r="N26" s="25">
        <v>4.1879999999999997</v>
      </c>
      <c r="O26" s="16">
        <v>4</v>
      </c>
      <c r="P26" s="44">
        <f>N26-O26</f>
        <v>0.18799999999999972</v>
      </c>
      <c r="U26" s="3">
        <v>4.1879999999999997</v>
      </c>
      <c r="V26" s="3"/>
      <c r="W26" s="3"/>
      <c r="X26" s="3"/>
      <c r="Y26" s="3">
        <v>4</v>
      </c>
      <c r="Z26" s="3"/>
      <c r="AA26" s="3"/>
    </row>
    <row r="27" spans="1:27" x14ac:dyDescent="0.2">
      <c r="A27" s="1"/>
      <c r="B27" s="28" t="s">
        <v>12</v>
      </c>
      <c r="C27" s="9">
        <v>0.64</v>
      </c>
      <c r="D27" s="9">
        <v>0.53</v>
      </c>
      <c r="E27" s="10">
        <v>0.11</v>
      </c>
      <c r="F27" s="11">
        <v>0.55000000000000004</v>
      </c>
      <c r="G27" s="13">
        <v>0.41</v>
      </c>
      <c r="H27" s="14">
        <v>0.14000000000000001</v>
      </c>
      <c r="I27" s="15">
        <v>0.93</v>
      </c>
      <c r="J27" s="9">
        <v>0.94</v>
      </c>
      <c r="K27" s="29">
        <v>-0.01</v>
      </c>
      <c r="L27" s="1"/>
      <c r="M27" s="42" t="s">
        <v>12</v>
      </c>
      <c r="N27" s="25">
        <v>2.0928243558786508</v>
      </c>
      <c r="O27" s="16">
        <v>2.3142122907542033</v>
      </c>
      <c r="P27" s="44">
        <f t="shared" ref="P27:P38" si="4">N27-O27</f>
        <v>-0.22138793487555253</v>
      </c>
      <c r="U27" s="3">
        <v>1.0357963143265922</v>
      </c>
      <c r="V27" s="3">
        <v>1.0570280415520585</v>
      </c>
      <c r="W27" s="3">
        <v>2.0928243558786508</v>
      </c>
      <c r="X27" s="3"/>
      <c r="Y27" s="3">
        <v>1.2303634629375333</v>
      </c>
      <c r="Z27" s="3">
        <v>1.08384882781667</v>
      </c>
      <c r="AA27" s="3">
        <v>2.3142122907542033</v>
      </c>
    </row>
    <row r="28" spans="1:27" x14ac:dyDescent="0.2">
      <c r="A28" s="1"/>
      <c r="B28" s="30" t="s">
        <v>11</v>
      </c>
      <c r="C28" s="17">
        <v>4.2300000000000004</v>
      </c>
      <c r="D28" s="17">
        <v>4.1100000000000003</v>
      </c>
      <c r="E28" s="18">
        <v>0.12</v>
      </c>
      <c r="F28" s="19">
        <v>4.24</v>
      </c>
      <c r="G28" s="20">
        <v>4.13</v>
      </c>
      <c r="H28" s="21">
        <v>0.11</v>
      </c>
      <c r="I28" s="22">
        <v>4.2</v>
      </c>
      <c r="J28" s="17">
        <v>4.04</v>
      </c>
      <c r="K28" s="31">
        <v>0.16</v>
      </c>
      <c r="L28" s="1"/>
      <c r="M28" s="45" t="s">
        <v>11</v>
      </c>
      <c r="N28" s="26">
        <v>4.32</v>
      </c>
      <c r="O28" s="23">
        <v>4.1375000000000002</v>
      </c>
      <c r="P28" s="46">
        <f t="shared" si="4"/>
        <v>0.18250000000000011</v>
      </c>
      <c r="U28" s="3">
        <v>4.32</v>
      </c>
      <c r="V28" s="3"/>
      <c r="W28" s="3"/>
      <c r="X28" s="3"/>
      <c r="Y28" s="3">
        <v>4.1375000000000002</v>
      </c>
      <c r="Z28" s="3"/>
      <c r="AA28" s="3"/>
    </row>
    <row r="29" spans="1:27" x14ac:dyDescent="0.2">
      <c r="A29" s="1"/>
      <c r="B29" s="28"/>
      <c r="C29" s="9"/>
      <c r="D29" s="9"/>
      <c r="E29" s="10"/>
      <c r="F29" s="11"/>
      <c r="G29" s="13"/>
      <c r="H29" s="14"/>
      <c r="I29" s="15"/>
      <c r="J29" s="9"/>
      <c r="K29" s="29"/>
      <c r="L29" s="1"/>
      <c r="M29" s="42"/>
      <c r="N29" s="25"/>
      <c r="O29" s="16"/>
      <c r="P29" s="44"/>
    </row>
    <row r="30" spans="1:27" x14ac:dyDescent="0.2">
      <c r="A30" s="1" t="s">
        <v>6</v>
      </c>
      <c r="B30" s="28"/>
      <c r="C30" s="9"/>
      <c r="D30" s="9"/>
      <c r="E30" s="10"/>
      <c r="F30" s="11"/>
      <c r="G30" s="13"/>
      <c r="H30" s="14"/>
      <c r="I30" s="15"/>
      <c r="J30" s="9"/>
      <c r="K30" s="29"/>
      <c r="L30" s="1"/>
      <c r="M30" s="42"/>
      <c r="N30" s="25"/>
      <c r="O30" s="16"/>
      <c r="P30" s="44"/>
    </row>
    <row r="31" spans="1:27" x14ac:dyDescent="0.2">
      <c r="A31" s="1"/>
      <c r="B31" s="28" t="s">
        <v>10</v>
      </c>
      <c r="C31" s="9">
        <v>4.12</v>
      </c>
      <c r="D31" s="9">
        <v>3.99</v>
      </c>
      <c r="E31" s="10">
        <v>0.13</v>
      </c>
      <c r="F31" s="11">
        <v>4.1500000000000004</v>
      </c>
      <c r="G31" s="13">
        <v>3.99</v>
      </c>
      <c r="H31" s="14">
        <v>0.16</v>
      </c>
      <c r="I31" s="15">
        <v>4.0199999999999996</v>
      </c>
      <c r="J31" s="9">
        <v>4</v>
      </c>
      <c r="K31" s="29">
        <v>0.02</v>
      </c>
      <c r="L31" s="1"/>
      <c r="M31" s="42" t="s">
        <v>10</v>
      </c>
      <c r="N31" s="25">
        <v>4.375</v>
      </c>
      <c r="O31" s="16">
        <v>4.125</v>
      </c>
      <c r="P31" s="44">
        <f t="shared" si="4"/>
        <v>0.25</v>
      </c>
      <c r="U31" s="3">
        <v>4.375</v>
      </c>
      <c r="V31" s="3"/>
      <c r="W31" s="3"/>
      <c r="X31" s="3"/>
      <c r="Y31" s="2">
        <v>4.125</v>
      </c>
    </row>
    <row r="32" spans="1:27" x14ac:dyDescent="0.2">
      <c r="A32" s="1"/>
      <c r="B32" s="28" t="s">
        <v>12</v>
      </c>
      <c r="C32" s="9">
        <v>0.4</v>
      </c>
      <c r="D32" s="9">
        <v>0.39</v>
      </c>
      <c r="E32" s="10">
        <v>0.01</v>
      </c>
      <c r="F32" s="11">
        <v>0.04</v>
      </c>
      <c r="G32" s="13">
        <v>0.04</v>
      </c>
      <c r="H32" s="14">
        <v>0</v>
      </c>
      <c r="I32" s="15">
        <v>0.82</v>
      </c>
      <c r="J32" s="9">
        <v>0.8</v>
      </c>
      <c r="K32" s="29">
        <v>0.02</v>
      </c>
      <c r="L32" s="1"/>
      <c r="M32" s="42" t="s">
        <v>12</v>
      </c>
      <c r="N32" s="25">
        <v>0.58683566629661688</v>
      </c>
      <c r="O32" s="16">
        <v>0.31180000000000002</v>
      </c>
      <c r="P32" s="44">
        <f t="shared" si="4"/>
        <v>0.27503566629661685</v>
      </c>
      <c r="U32" s="3">
        <v>0.10623566629661685</v>
      </c>
      <c r="V32" s="3">
        <v>0.48060000000000003</v>
      </c>
      <c r="W32" s="3">
        <v>0.58683566629661688</v>
      </c>
      <c r="X32" s="3"/>
      <c r="Y32" s="2">
        <v>0</v>
      </c>
      <c r="Z32" s="2">
        <v>0.31180000000000002</v>
      </c>
      <c r="AA32" s="2">
        <v>0.31180000000000002</v>
      </c>
    </row>
    <row r="33" spans="1:28" x14ac:dyDescent="0.2">
      <c r="A33" s="1"/>
      <c r="B33" s="30" t="s">
        <v>11</v>
      </c>
      <c r="C33" s="17">
        <v>4.17</v>
      </c>
      <c r="D33" s="17">
        <v>4.04</v>
      </c>
      <c r="E33" s="18">
        <v>0.13</v>
      </c>
      <c r="F33" s="19">
        <v>4.2699999999999996</v>
      </c>
      <c r="G33" s="20">
        <v>4.13</v>
      </c>
      <c r="H33" s="21">
        <v>0.14000000000000001</v>
      </c>
      <c r="I33" s="22">
        <v>4.05</v>
      </c>
      <c r="J33" s="17">
        <v>3.94</v>
      </c>
      <c r="K33" s="31">
        <v>0.12</v>
      </c>
      <c r="L33" s="1"/>
      <c r="M33" s="45" t="s">
        <v>11</v>
      </c>
      <c r="N33" s="26">
        <v>4.3840000000000003</v>
      </c>
      <c r="O33" s="23">
        <v>4.125</v>
      </c>
      <c r="P33" s="46">
        <f t="shared" si="4"/>
        <v>0.25900000000000034</v>
      </c>
      <c r="U33" s="3">
        <v>4.3840000000000003</v>
      </c>
      <c r="V33" s="3"/>
      <c r="W33" s="3"/>
      <c r="X33" s="3"/>
      <c r="Y33" s="2">
        <v>4.125</v>
      </c>
    </row>
    <row r="34" spans="1:28" x14ac:dyDescent="0.2">
      <c r="A34" s="1"/>
      <c r="B34" s="28"/>
      <c r="C34" s="9"/>
      <c r="D34" s="9"/>
      <c r="E34" s="10"/>
      <c r="F34" s="11"/>
      <c r="G34" s="13"/>
      <c r="H34" s="14"/>
      <c r="I34" s="15"/>
      <c r="J34" s="9"/>
      <c r="K34" s="29"/>
      <c r="L34" s="1"/>
      <c r="M34" s="42"/>
      <c r="N34" s="25"/>
      <c r="O34" s="16"/>
      <c r="P34" s="44"/>
    </row>
    <row r="35" spans="1:28" x14ac:dyDescent="0.2">
      <c r="A35" s="1" t="s">
        <v>8</v>
      </c>
      <c r="B35" s="28"/>
      <c r="C35" s="9"/>
      <c r="D35" s="9"/>
      <c r="E35" s="10"/>
      <c r="F35" s="11"/>
      <c r="G35" s="13"/>
      <c r="H35" s="14"/>
      <c r="I35" s="15"/>
      <c r="J35" s="9"/>
      <c r="K35" s="29"/>
      <c r="L35" s="1"/>
      <c r="M35" s="42"/>
      <c r="N35" s="25"/>
      <c r="O35" s="16"/>
      <c r="P35" s="44"/>
      <c r="U35" s="2" t="s">
        <v>16</v>
      </c>
      <c r="V35" s="2" t="s">
        <v>17</v>
      </c>
      <c r="W35" s="2" t="s">
        <v>18</v>
      </c>
      <c r="X35" s="2" t="s">
        <v>19</v>
      </c>
      <c r="Y35" s="2" t="s">
        <v>16</v>
      </c>
      <c r="Z35" s="2" t="s">
        <v>17</v>
      </c>
      <c r="AA35" s="2" t="s">
        <v>18</v>
      </c>
      <c r="AB35" s="2" t="s">
        <v>19</v>
      </c>
    </row>
    <row r="36" spans="1:28" x14ac:dyDescent="0.2">
      <c r="A36" s="1"/>
      <c r="B36" s="28" t="s">
        <v>10</v>
      </c>
      <c r="C36" s="12"/>
      <c r="D36" s="1"/>
      <c r="E36" s="8"/>
      <c r="F36" s="13">
        <v>4.0599999999999996</v>
      </c>
      <c r="G36" s="13">
        <v>3.86</v>
      </c>
      <c r="H36" s="14">
        <v>0.2</v>
      </c>
      <c r="I36" s="15"/>
      <c r="J36" s="9"/>
      <c r="K36" s="29"/>
      <c r="L36" s="1"/>
      <c r="M36" s="42" t="s">
        <v>10</v>
      </c>
      <c r="N36" s="25">
        <v>4.25</v>
      </c>
      <c r="O36" s="16">
        <v>3.75</v>
      </c>
      <c r="P36" s="44">
        <f t="shared" si="4"/>
        <v>0.5</v>
      </c>
      <c r="U36" s="2">
        <v>4.25</v>
      </c>
      <c r="V36" s="2">
        <v>1.7500000000000002</v>
      </c>
      <c r="W36" s="2">
        <v>0.85000000000000009</v>
      </c>
      <c r="X36" s="2">
        <f>U36+V36/4+W36</f>
        <v>5.5374999999999996</v>
      </c>
      <c r="Y36" s="2">
        <v>3.75</v>
      </c>
      <c r="Z36" s="2">
        <v>1.7500000000000002</v>
      </c>
      <c r="AA36" s="2">
        <v>0.85000000000000009</v>
      </c>
      <c r="AB36" s="2">
        <f>Y36+Z36/4+AA36</f>
        <v>5.0374999999999996</v>
      </c>
    </row>
    <row r="37" spans="1:28" x14ac:dyDescent="0.2">
      <c r="A37" s="1"/>
      <c r="B37" s="28" t="s">
        <v>12</v>
      </c>
      <c r="C37" s="12"/>
      <c r="D37" s="1"/>
      <c r="E37" s="8"/>
      <c r="F37" s="13">
        <v>0.11</v>
      </c>
      <c r="G37" s="13">
        <v>0.08</v>
      </c>
      <c r="H37" s="14">
        <v>0.03</v>
      </c>
      <c r="I37" s="15"/>
      <c r="J37" s="9"/>
      <c r="K37" s="29"/>
      <c r="L37" s="1"/>
      <c r="M37" s="42" t="s">
        <v>12</v>
      </c>
      <c r="N37" s="25">
        <v>1.1639999999999997</v>
      </c>
      <c r="O37" s="16">
        <v>2.6189999999999998</v>
      </c>
      <c r="P37" s="44">
        <f t="shared" si="4"/>
        <v>-1.4550000000000001</v>
      </c>
      <c r="U37" s="2" t="s">
        <v>22</v>
      </c>
      <c r="V37" s="2" t="s">
        <v>23</v>
      </c>
      <c r="W37" s="2" t="s">
        <v>24</v>
      </c>
      <c r="Y37" s="2" t="s">
        <v>22</v>
      </c>
      <c r="Z37" s="2" t="s">
        <v>23</v>
      </c>
      <c r="AA37" s="2" t="s">
        <v>24</v>
      </c>
    </row>
    <row r="38" spans="1:28" ht="13.5" thickBot="1" x14ac:dyDescent="0.25">
      <c r="A38" s="1"/>
      <c r="B38" s="32" t="s">
        <v>11</v>
      </c>
      <c r="C38" s="33"/>
      <c r="D38" s="34"/>
      <c r="E38" s="35"/>
      <c r="F38" s="36">
        <v>5.23</v>
      </c>
      <c r="G38" s="36">
        <v>5.03</v>
      </c>
      <c r="H38" s="37">
        <v>0.2</v>
      </c>
      <c r="I38" s="38"/>
      <c r="J38" s="39"/>
      <c r="K38" s="40"/>
      <c r="L38" s="1"/>
      <c r="M38" s="47" t="s">
        <v>11</v>
      </c>
      <c r="N38" s="48">
        <v>5.5374999999999996</v>
      </c>
      <c r="O38" s="49">
        <v>5.0374999999999996</v>
      </c>
      <c r="P38" s="50">
        <f t="shared" si="4"/>
        <v>0.5</v>
      </c>
      <c r="U38" s="2">
        <v>0</v>
      </c>
      <c r="V38" s="2">
        <v>1.1639999999999997</v>
      </c>
      <c r="W38" s="2">
        <v>1.1639999999999997</v>
      </c>
      <c r="Y38" s="2">
        <v>0</v>
      </c>
      <c r="Z38" s="2">
        <v>2.6189999999999998</v>
      </c>
      <c r="AA38" s="2">
        <v>2.6189999999999998</v>
      </c>
    </row>
    <row r="39" spans="1:28" x14ac:dyDescent="0.2">
      <c r="L39" s="1"/>
    </row>
  </sheetData>
  <mergeCells count="6">
    <mergeCell ref="C24:E24"/>
    <mergeCell ref="F24:H24"/>
    <mergeCell ref="I24:K24"/>
    <mergeCell ref="N24:P24"/>
    <mergeCell ref="I3:K3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2015-06-03T20:12:02Z</dcterms:created>
  <dcterms:modified xsi:type="dcterms:W3CDTF">2015-06-03T21:18:04Z</dcterms:modified>
</cp:coreProperties>
</file>