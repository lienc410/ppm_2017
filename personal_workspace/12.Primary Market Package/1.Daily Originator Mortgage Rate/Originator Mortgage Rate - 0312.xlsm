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Report!$B$1:$S$47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Query'!$AC$6:$AH$69</definedName>
    <definedName name="Query_from_Agency_7" localSheetId="1" hidden="1">'Time Series Query'!$AB$1:$AB$2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398" r:id="rId15"/>
    <pivotCache cacheId="404" r:id="rId16"/>
    <pivotCache cacheId="408" r:id="rId17"/>
    <pivotCache cacheId="414" r:id="rId18"/>
  </pivotCaches>
</workbook>
</file>

<file path=xl/calcChain.xml><?xml version="1.0" encoding="utf-8"?>
<calcChain xmlns="http://schemas.openxmlformats.org/spreadsheetml/2006/main">
  <c r="F6" i="15" l="1"/>
  <c r="I4" i="5"/>
  <c r="I4" i="2"/>
  <c r="F4" i="15" l="1"/>
  <c r="C9" i="15" a="1"/>
  <c r="C9" i="15" s="1"/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8" i="6" s="1"/>
  <c r="Z12" i="18"/>
  <c r="D27" i="6" s="1"/>
  <c r="C7" i="15" l="1" a="1"/>
  <c r="C7" i="15" s="1"/>
  <c r="C6" i="15" a="1"/>
  <c r="C6" i="15" s="1"/>
  <c r="F22" i="6" s="1"/>
  <c r="C5" i="15" a="1"/>
  <c r="C5" i="15" s="1"/>
  <c r="C4" i="15" a="1"/>
  <c r="C4" i="15" s="1"/>
  <c r="D22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F9" i="15" l="1"/>
  <c r="F5" i="15"/>
  <c r="F7" i="15" l="1"/>
  <c r="I4" i="15" s="1"/>
  <c r="M22" i="6" s="1"/>
  <c r="N22" i="6" s="1"/>
  <c r="G20" i="6"/>
  <c r="D20" i="6"/>
  <c r="G18" i="6"/>
  <c r="D18" i="6"/>
  <c r="E10" i="20" l="1"/>
  <c r="Q22" i="6"/>
  <c r="O22" i="6"/>
  <c r="I6" i="12"/>
  <c r="I6" i="13"/>
  <c r="R22" i="6" l="1"/>
  <c r="E11" i="20"/>
  <c r="P22" i="6"/>
  <c r="F6" i="13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M15" i="6" s="1"/>
  <c r="E8" i="20" s="1"/>
  <c r="J15" i="6"/>
  <c r="J16" i="6" s="1"/>
  <c r="D16" i="6"/>
  <c r="F7" i="3"/>
  <c r="L12" i="6" s="1"/>
  <c r="F7" i="5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3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2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3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3' AND AsOfDate &gt;= '2015-02-10' order by TickerName,Source,SeriesType,AsOfDate"/>
  </connection>
  <connection id="5" name="1WeekBusDateQuery" type="1" refreshedVersion="4" savePassword="1" saveData="1">
    <dbPr connection="DSN=Cello SQL Server;UID=report;PWD=gm4SJDw4;APP=Microsoft Office 2010;WSID=CELLO-PC4;DATABASE=Cello" command="select dbo.GetNthBusinessDate('2015-03-13',-5)"/>
  </connection>
  <connection id="6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6' order by TickerName,Source,SeriesType,AsOfDate"/>
  </connection>
  <connection id="7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3' order by AsOfDate"/>
  </connection>
  <connection id="8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3' order by TickerName,Source,SeriesType,AsOfDate"/>
  </connection>
</connections>
</file>

<file path=xl/sharedStrings.xml><?xml version="1.0" encoding="utf-8"?>
<sst xmlns="http://schemas.openxmlformats.org/spreadsheetml/2006/main" count="1466" uniqueCount="104">
  <si>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</si>
  <si>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</si>
  <si>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</si>
  <si>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</si>
  <si>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</si>
  <si>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</si>
  <si>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</si>
  <si>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</si>
  <si>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</si>
  <si>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</si>
  <si>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</si>
  <si>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</si>
  <si>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</si>
  <si>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</si>
  <si>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</si>
  <si>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</si>
  <si>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</si>
  <si>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</si>
  <si>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</si>
  <si>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</si>
  <si>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</si>
  <si>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</si>
  <si>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</si>
  <si>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</si>
  <si>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</si>
  <si>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</si>
  <si>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</si>
  <si>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</si>
  <si>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</si>
  <si>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</si>
  <si>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</si>
  <si>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</si>
  <si>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</si>
  <si>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</si>
  <si>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</si>
  <si>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</si>
  <si>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</si>
  <si>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</si>
  <si>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</si>
  <si>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</si>
  <si>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</si>
  <si>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</si>
  <si>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</si>
  <si>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</si>
  <si>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</si>
  <si>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</si>
  <si>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</si>
  <si>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</si>
  <si>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</si>
  <si>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</si>
  <si>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</si>
  <si>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</si>
  <si>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</si>
  <si>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</si>
  <si>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</si>
  <si>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</si>
  <si>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</si>
  <si>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</si>
  <si>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</si>
  <si>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</si>
  <si>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</si>
  <si>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</si>
  <si>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</si>
  <si>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</si>
  <si>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</si>
  <si>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</si>
  <si>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</si>
  <si>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</si>
  <si>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</si>
  <si>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</si>
  <si>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</si>
  <si>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</si>
  <si>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</si>
  <si>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</si>
  <si>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</si>
  <si>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</si>
  <si>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</si>
  <si>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</si>
  <si>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</si>
  <si>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</si>
  <si>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</si>
  <si>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</si>
  <si>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</si>
  <si>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</si>
  <si>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</si>
  <si>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</si>
  <si>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</si>
  <si>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1 month historic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</si>
  <si>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</si>
  <si>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</si>
  <si>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</si>
  <si>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</si>
  <si>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</si>
  <si>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</si>
  <si>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</si>
  <si>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</si>
  <si>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</si>
  <si>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2015-03-11</t>
  </si>
  <si>
    <t>Source:</t>
  </si>
  <si>
    <t>Sources: Bank of Amarica; Chase; Quicken; Wells Fargo</t>
  </si>
  <si>
    <t>2015-03-12</t>
  </si>
  <si>
    <t>Yes</t>
  </si>
  <si>
    <t>2015-02-10</t>
  </si>
  <si>
    <t>2015-03-13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</si>
</sst>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200" formatCode="0.0000000000000000%"/>
  </numFmts>
  <fonts count="14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0" fontId="14" fillId="12" borderId="50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200" fontId="14" fillId="0" borderId="0" xfId="0" applyNumberFormat="1" applyFont="1"/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numFmt numFmtId="198" formatCode="m/d;@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44"/>
      <tableStyleElement type="headerRow" dxfId="43"/>
      <tableStyleElement type="firstColumn" dxfId="42"/>
      <tableStyleElement type="firstSubtotalRow" dxfId="41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Rate - 0312.xlsm]Rates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Summary'!$A$80:$A$88</c:f>
              <c:strCache>
                <c:ptCount val="9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</c:strCache>
            </c:strRef>
          </c:cat>
          <c:val>
            <c:numRef>
              <c:f>'Rates Summary'!$B$80:$B$88</c:f>
              <c:numCache>
                <c:formatCode>General</c:formatCode>
                <c:ptCount val="9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Summary'!$A$80:$A$88</c:f>
              <c:strCache>
                <c:ptCount val="9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</c:strCache>
            </c:strRef>
          </c:cat>
          <c:val>
            <c:numRef>
              <c:f>'Rates Summary'!$C$80:$C$88</c:f>
              <c:numCache>
                <c:formatCode>General</c:formatCode>
                <c:ptCount val="9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Summary'!$A$80:$A$88</c:f>
              <c:strCache>
                <c:ptCount val="9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</c:strCache>
            </c:strRef>
          </c:cat>
          <c:val>
            <c:numRef>
              <c:f>'Rates Summary'!$D$80:$D$88</c:f>
              <c:numCache>
                <c:formatCode>General</c:formatCode>
                <c:ptCount val="9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  <c:pt idx="8">
                  <c:v>4.123888942161555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Summary'!$A$80:$A$88</c:f>
              <c:strCache>
                <c:ptCount val="9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</c:strCache>
            </c:strRef>
          </c:cat>
          <c:val>
            <c:numRef>
              <c:f>'Rates Summary'!$E$80:$E$88</c:f>
              <c:numCache>
                <c:formatCode>General</c:formatCode>
                <c:ptCount val="9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6208256"/>
        <c:axId val="256230528"/>
      </c:lineChart>
      <c:catAx>
        <c:axId val="256208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56230528"/>
        <c:crosses val="autoZero"/>
        <c:auto val="1"/>
        <c:lblAlgn val="ctr"/>
        <c:lblOffset val="100"/>
        <c:noMultiLvlLbl val="0"/>
      </c:catAx>
      <c:valAx>
        <c:axId val="256230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256208256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349249</xdr:colOff>
      <xdr:row>30</xdr:row>
      <xdr:rowOff>111125</xdr:rowOff>
    </xdr:from>
    <xdr:to>
      <xdr:col>17</xdr:col>
      <xdr:colOff>298450</xdr:colOff>
      <xdr:row>43</xdr:row>
      <xdr:rowOff>60326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9.527091898148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11">
        <s v="2015-03-13"/>
        <m u="1"/>
        <s v="2015-03-04" u="1"/>
        <s v="2015-03-05" u="1"/>
        <s v="2015-03-06" u="1"/>
        <s v="2015-03-10" u="1"/>
        <s v="2015-03-09" u="1"/>
        <s v="2015-03-11" u="1"/>
        <s v="2015-03-12" u="1"/>
        <s v="2015-03-02" u="1"/>
        <s v="2015-03-03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9.527092013886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6">
        <s v="2015-03-06"/>
        <m u="1"/>
        <s v="2015-03-04" u="1"/>
        <s v="2015-03-05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9.527092245371" createdVersion="4" refreshedVersion="4" minRefreshableVersion="3" recordCount="63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9">
        <s v="2015-03-03"/>
        <s v="2015-03-04"/>
        <s v="2015-03-05"/>
        <s v="2015-03-06"/>
        <s v="2015-03-09"/>
        <s v="2015-03-10"/>
        <s v="2015-03-11"/>
        <s v="2015-03-12"/>
        <s v="2015-03-13"/>
      </sharedItems>
    </cacheField>
    <cacheField name="SeriesNumValue" numFmtId="0">
      <sharedItems containsSemiMixedTypes="0" containsString="0" containsNumber="1" minValue="3.8281034376602534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79.527105092595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9">
        <s v="2015-03-12"/>
        <s v="2015-03-04" u="1"/>
        <s v="2015-03-05" u="1"/>
        <s v="2015-03-06" u="1"/>
        <s v="2015-03-10" u="1"/>
        <s v="2015-03-09" u="1"/>
        <s v="2015-03-11" u="1"/>
        <s v="2015-03-02" u="1"/>
        <s v="2015-03-03" u="1"/>
      </sharedItems>
    </cacheField>
    <cacheField name="SeriesNumValue" numFmtId="0">
      <sharedItems containsSemiMixedTypes="0" containsString="0" containsNumber="1" minValue="0.951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517273654617371"/>
  </r>
  <r>
    <x v="0"/>
    <x v="0"/>
    <x v="1"/>
    <s v="MTG"/>
    <x v="0"/>
    <n v="4.085"/>
  </r>
  <r>
    <x v="0"/>
    <x v="0"/>
    <x v="2"/>
    <s v="MTG"/>
    <x v="0"/>
    <n v="1.214"/>
  </r>
  <r>
    <x v="0"/>
    <x v="0"/>
    <x v="3"/>
    <s v="MTG"/>
    <x v="0"/>
    <n v="3.875"/>
  </r>
  <r>
    <x v="0"/>
    <x v="0"/>
    <x v="4"/>
    <s v="MTG"/>
    <x v="0"/>
    <n v="1.4202216163192376"/>
  </r>
  <r>
    <x v="1"/>
    <x v="0"/>
    <x v="0"/>
    <s v="MTG"/>
    <x v="0"/>
    <n v="3.9353424338077225"/>
  </r>
  <r>
    <x v="1"/>
    <x v="0"/>
    <x v="1"/>
    <s v="MTG"/>
    <x v="0"/>
    <n v="3.9780000000000002"/>
  </r>
  <r>
    <x v="1"/>
    <x v="0"/>
    <x v="2"/>
    <s v="MTG"/>
    <x v="0"/>
    <n v="1.25"/>
  </r>
  <r>
    <x v="1"/>
    <x v="0"/>
    <x v="3"/>
    <s v="MTG"/>
    <x v="0"/>
    <n v="3.875"/>
  </r>
  <r>
    <x v="1"/>
    <x v="0"/>
    <x v="4"/>
    <s v="MTG"/>
    <x v="0"/>
    <n v="1.1038366846652226"/>
  </r>
  <r>
    <x v="2"/>
    <x v="0"/>
    <x v="0"/>
    <s v="MTG"/>
    <x v="0"/>
    <n v="4.3043588303271259"/>
  </r>
  <r>
    <x v="2"/>
    <x v="0"/>
    <x v="1"/>
    <s v="MTG"/>
    <x v="0"/>
    <n v="4.1029999999999998"/>
  </r>
  <r>
    <x v="2"/>
    <x v="0"/>
    <x v="2"/>
    <s v="MTG"/>
    <x v="0"/>
    <n v="1.875"/>
  </r>
  <r>
    <x v="2"/>
    <x v="0"/>
    <x v="3"/>
    <s v="MTG"/>
    <x v="0"/>
    <n v="3.875"/>
  </r>
  <r>
    <x v="2"/>
    <x v="0"/>
    <x v="4"/>
    <s v="MTG"/>
    <x v="0"/>
    <n v="1.4728530811846257"/>
  </r>
  <r>
    <x v="3"/>
    <x v="0"/>
    <x v="0"/>
    <s v="MTG"/>
    <x v="0"/>
    <n v="4.1930539804499194"/>
  </r>
  <r>
    <x v="3"/>
    <x v="0"/>
    <x v="1"/>
    <s v="MTG"/>
    <x v="0"/>
    <n v="4.1470000000000002"/>
  </r>
  <r>
    <x v="3"/>
    <x v="0"/>
    <x v="5"/>
    <s v="MTG"/>
    <x v="0"/>
    <n v="201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615482313074194"/>
  </r>
  <r>
    <x v="2"/>
    <x v="1"/>
    <x v="1"/>
    <s v="MTG"/>
    <x v="0"/>
    <n v="4.3879999999999999"/>
  </r>
  <r>
    <x v="2"/>
    <x v="1"/>
    <x v="2"/>
    <s v="MTG"/>
    <x v="0"/>
    <n v="2.125"/>
  </r>
  <r>
    <x v="2"/>
    <x v="1"/>
    <x v="3"/>
    <s v="MTG"/>
    <x v="0"/>
    <n v="3.5"/>
  </r>
  <r>
    <x v="3"/>
    <x v="1"/>
    <x v="0"/>
    <s v="MTG"/>
    <x v="0"/>
    <n v="4.0036250000000004"/>
  </r>
  <r>
    <x v="3"/>
    <x v="1"/>
    <x v="1"/>
    <s v="MTG"/>
    <x v="0"/>
    <n v="4.9050000000000002"/>
  </r>
  <r>
    <x v="3"/>
    <x v="1"/>
    <x v="5"/>
    <s v="MTG"/>
    <x v="0"/>
    <n v="6529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3060398010481804"/>
  </r>
  <r>
    <x v="3"/>
    <x v="1"/>
    <x v="7"/>
    <s v="MTG"/>
    <x v="0"/>
    <n v="3500"/>
  </r>
  <r>
    <x v="3"/>
    <x v="2"/>
    <x v="0"/>
    <s v="MTG"/>
    <x v="0"/>
    <n v="4.123888942161555"/>
  </r>
  <r>
    <x v="3"/>
    <x v="2"/>
    <x v="1"/>
    <s v="MTG"/>
    <x v="0"/>
    <n v="4.1479999999999997"/>
  </r>
  <r>
    <x v="3"/>
    <x v="2"/>
    <x v="5"/>
    <s v="MTG"/>
    <x v="0"/>
    <n v="3602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125"/>
  </r>
  <r>
    <x v="3"/>
    <x v="2"/>
    <x v="4"/>
    <s v="MTG"/>
    <x v="0"/>
    <n v="1.292383193019055"/>
  </r>
  <r>
    <x v="3"/>
    <x v="3"/>
    <x v="0"/>
    <s v="MTG"/>
    <x v="0"/>
    <n v="3.8714038285041039"/>
  </r>
  <r>
    <x v="3"/>
    <x v="3"/>
    <x v="1"/>
    <s v="MTG"/>
    <x v="0"/>
    <n v="4.0060000000000002"/>
  </r>
  <r>
    <x v="3"/>
    <x v="3"/>
    <x v="5"/>
    <s v="MTG"/>
    <x v="0"/>
    <n v="3099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39898079361603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664099742286595"/>
  </r>
  <r>
    <x v="0"/>
    <x v="0"/>
    <x v="1"/>
    <s v="MTG"/>
    <x v="0"/>
    <n v="4.2080000000000002"/>
  </r>
  <r>
    <x v="0"/>
    <x v="0"/>
    <x v="2"/>
    <s v="MTG"/>
    <x v="0"/>
    <n v="1.163"/>
  </r>
  <r>
    <x v="0"/>
    <x v="0"/>
    <x v="3"/>
    <s v="MTG"/>
    <x v="0"/>
    <n v="4"/>
  </r>
  <r>
    <x v="0"/>
    <x v="0"/>
    <x v="4"/>
    <s v="MTG"/>
    <x v="0"/>
    <n v="1.4360929633267601"/>
  </r>
  <r>
    <x v="0"/>
    <x v="1"/>
    <x v="0"/>
    <s v="MTG"/>
    <x v="0"/>
    <n v="4.0301218665618999"/>
  </r>
  <r>
    <x v="0"/>
    <x v="1"/>
    <x v="1"/>
    <s v="MTG"/>
    <x v="0"/>
    <n v="4.1769999999999996"/>
  </r>
  <r>
    <x v="0"/>
    <x v="1"/>
    <x v="2"/>
    <s v="MTG"/>
    <x v="0"/>
    <n v="0.625"/>
  </r>
  <r>
    <x v="0"/>
    <x v="1"/>
    <x v="3"/>
    <s v="MTG"/>
    <x v="0"/>
    <n v="4.125"/>
  </r>
  <r>
    <x v="0"/>
    <x v="1"/>
    <x v="4"/>
    <s v="MTG"/>
    <x v="0"/>
    <n v="1.09980485566"/>
  </r>
  <r>
    <x v="0"/>
    <x v="2"/>
    <x v="0"/>
    <s v="MTG"/>
    <x v="0"/>
    <n v="4.356765969784167"/>
  </r>
  <r>
    <x v="0"/>
    <x v="2"/>
    <x v="1"/>
    <s v="MTG"/>
    <x v="0"/>
    <n v="4.1980000000000004"/>
  </r>
  <r>
    <x v="0"/>
    <x v="2"/>
    <x v="2"/>
    <s v="MTG"/>
    <x v="0"/>
    <n v="1.625"/>
  </r>
  <r>
    <x v="0"/>
    <x v="2"/>
    <x v="3"/>
    <s v="MTG"/>
    <x v="0"/>
    <n v="3.99"/>
  </r>
  <r>
    <x v="0"/>
    <x v="2"/>
    <x v="4"/>
    <s v="MTG"/>
    <x v="0"/>
    <n v="1.4264489588822669"/>
  </r>
  <r>
    <x v="0"/>
    <x v="3"/>
    <x v="0"/>
    <s v="MTG"/>
    <x v="0"/>
    <n v="4.3642403763055508"/>
  </r>
  <r>
    <x v="0"/>
    <x v="3"/>
    <x v="1"/>
    <s v="MTG"/>
    <x v="0"/>
    <n v="4.173"/>
  </r>
  <r>
    <x v="0"/>
    <x v="3"/>
    <x v="5"/>
    <s v="MTG"/>
    <x v="0"/>
    <n v="2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4339233654036512"/>
  </r>
  <r>
    <x v="1"/>
    <x v="2"/>
    <x v="1"/>
    <s v="MTG"/>
    <x v="0"/>
    <n v="4.4000000000000004"/>
  </r>
  <r>
    <x v="1"/>
    <x v="2"/>
    <x v="2"/>
    <s v="MTG"/>
    <x v="0"/>
    <n v="2.25"/>
  </r>
  <r>
    <x v="1"/>
    <x v="2"/>
    <x v="3"/>
    <s v="MTG"/>
    <x v="0"/>
    <n v="3.5"/>
  </r>
  <r>
    <x v="1"/>
    <x v="3"/>
    <x v="0"/>
    <s v="MTG"/>
    <x v="0"/>
    <n v="4.0676249999999996"/>
  </r>
  <r>
    <x v="1"/>
    <x v="3"/>
    <x v="1"/>
    <s v="MTG"/>
    <x v="0"/>
    <n v="5.0090000000000003"/>
  </r>
  <r>
    <x v="1"/>
    <x v="3"/>
    <x v="5"/>
    <s v="MTG"/>
    <x v="0"/>
    <n v="6041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"/>
  </r>
  <r>
    <x v="1"/>
    <x v="3"/>
    <x v="4"/>
    <s v="MTG"/>
    <x v="0"/>
    <n v="1.2824072640026398"/>
  </r>
  <r>
    <x v="1"/>
    <x v="3"/>
    <x v="7"/>
    <s v="MTG"/>
    <x v="0"/>
    <n v="3500"/>
  </r>
  <r>
    <x v="2"/>
    <x v="3"/>
    <x v="0"/>
    <s v="MTG"/>
    <x v="0"/>
    <n v="4.145604497342033"/>
  </r>
  <r>
    <x v="2"/>
    <x v="3"/>
    <x v="1"/>
    <s v="MTG"/>
    <x v="0"/>
    <n v="4.2590000000000003"/>
  </r>
  <r>
    <x v="2"/>
    <x v="3"/>
    <x v="5"/>
    <s v="MTG"/>
    <x v="0"/>
    <n v="237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2152874864401328"/>
  </r>
  <r>
    <x v="3"/>
    <x v="3"/>
    <x v="0"/>
    <s v="MTG"/>
    <x v="0"/>
    <n v="3.9975388163708763"/>
  </r>
  <r>
    <x v="3"/>
    <x v="3"/>
    <x v="1"/>
    <s v="MTG"/>
    <x v="0"/>
    <n v="4.1310000000000002"/>
  </r>
  <r>
    <x v="3"/>
    <x v="3"/>
    <x v="5"/>
    <s v="MTG"/>
    <x v="0"/>
    <n v="31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67221805468976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3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1871698000587845"/>
  </r>
  <r>
    <x v="0"/>
    <x v="0"/>
    <x v="1"/>
    <s v="MTG"/>
    <x v="0"/>
    <n v="4.0629999999999997"/>
  </r>
  <r>
    <x v="0"/>
    <x v="0"/>
    <x v="2"/>
    <s v="MTG"/>
    <x v="0"/>
    <n v="0.95199999999999996"/>
  </r>
  <r>
    <x v="0"/>
    <x v="0"/>
    <x v="3"/>
    <s v="MTG"/>
    <x v="0"/>
    <n v="3.875"/>
  </r>
  <r>
    <x v="0"/>
    <x v="0"/>
    <x v="4"/>
    <s v="MTG"/>
    <x v="0"/>
    <n v="1.3733506898048042"/>
  </r>
  <r>
    <x v="0"/>
    <x v="1"/>
    <x v="0"/>
    <s v="MTG"/>
    <x v="0"/>
    <n v="3.8725334437312955"/>
  </r>
  <r>
    <x v="0"/>
    <x v="1"/>
    <x v="1"/>
    <s v="MTG"/>
    <x v="0"/>
    <n v="3.9569999999999999"/>
  </r>
  <r>
    <x v="0"/>
    <x v="1"/>
    <x v="2"/>
    <s v="MTG"/>
    <x v="0"/>
    <n v="1"/>
  </r>
  <r>
    <x v="0"/>
    <x v="1"/>
    <x v="3"/>
    <s v="MTG"/>
    <x v="0"/>
    <n v="3.875"/>
  </r>
  <r>
    <x v="0"/>
    <x v="1"/>
    <x v="4"/>
    <s v="MTG"/>
    <x v="0"/>
    <n v="1.0587143334773157"/>
  </r>
  <r>
    <x v="0"/>
    <x v="2"/>
    <x v="0"/>
    <s v="MTG"/>
    <x v="0"/>
    <n v="4.2722196725487462"/>
  </r>
  <r>
    <x v="0"/>
    <x v="2"/>
    <x v="1"/>
    <s v="MTG"/>
    <x v="0"/>
    <n v="4.008"/>
  </r>
  <r>
    <x v="0"/>
    <x v="2"/>
    <x v="2"/>
    <s v="MTG"/>
    <x v="0"/>
    <n v="2.25"/>
  </r>
  <r>
    <x v="0"/>
    <x v="2"/>
    <x v="3"/>
    <s v="MTG"/>
    <x v="0"/>
    <n v="3.75"/>
  </r>
  <r>
    <x v="0"/>
    <x v="2"/>
    <x v="4"/>
    <s v="MTG"/>
    <x v="0"/>
    <n v="1.458400562294766"/>
  </r>
  <r>
    <x v="0"/>
    <x v="3"/>
    <x v="0"/>
    <s v="MTG"/>
    <x v="0"/>
    <n v="4.3001919961318613"/>
  </r>
  <r>
    <x v="0"/>
    <x v="3"/>
    <x v="1"/>
    <s v="MTG"/>
    <x v="0"/>
    <n v="4.0579999999999998"/>
  </r>
  <r>
    <x v="0"/>
    <x v="3"/>
    <x v="5"/>
    <s v="MTG"/>
    <x v="0"/>
    <n v="300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"/>
  </r>
  <r>
    <x v="0"/>
    <x v="3"/>
    <x v="4"/>
    <s v="MTG"/>
    <x v="0"/>
    <n v="1.4863728858778815"/>
  </r>
  <r>
    <x v="1"/>
    <x v="2"/>
    <x v="1"/>
    <s v="MTG"/>
    <x v="0"/>
    <n v="4.2699999999999996"/>
  </r>
  <r>
    <x v="1"/>
    <x v="2"/>
    <x v="2"/>
    <s v="MTG"/>
    <x v="0"/>
    <n v="2.25"/>
  </r>
  <r>
    <x v="1"/>
    <x v="2"/>
    <x v="3"/>
    <s v="MTG"/>
    <x v="0"/>
    <n v="3.375"/>
  </r>
  <r>
    <x v="1"/>
    <x v="3"/>
    <x v="0"/>
    <s v="MTG"/>
    <x v="0"/>
    <n v="3.9717500000000001"/>
  </r>
  <r>
    <x v="1"/>
    <x v="3"/>
    <x v="1"/>
    <s v="MTG"/>
    <x v="0"/>
    <n v="4.8940000000000001"/>
  </r>
  <r>
    <x v="1"/>
    <x v="3"/>
    <x v="5"/>
    <s v="MTG"/>
    <x v="0"/>
    <n v="627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948323815262701"/>
  </r>
  <r>
    <x v="1"/>
    <x v="3"/>
    <x v="7"/>
    <s v="MTG"/>
    <x v="0"/>
    <n v="3500"/>
  </r>
  <r>
    <x v="2"/>
    <x v="3"/>
    <x v="0"/>
    <s v="MTG"/>
    <x v="0"/>
    <n v="4.0195510152855149"/>
  </r>
  <r>
    <x v="2"/>
    <x v="3"/>
    <x v="1"/>
    <s v="MTG"/>
    <x v="0"/>
    <n v="4.1340000000000003"/>
  </r>
  <r>
    <x v="2"/>
    <x v="3"/>
    <x v="5"/>
    <s v="MTG"/>
    <x v="0"/>
    <n v="235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057319050315349"/>
  </r>
  <r>
    <x v="3"/>
    <x v="3"/>
    <x v="0"/>
    <s v="MTG"/>
    <x v="0"/>
    <n v="3.8281034376602534"/>
  </r>
  <r>
    <x v="3"/>
    <x v="3"/>
    <x v="1"/>
    <s v="MTG"/>
    <x v="0"/>
    <n v="4.0019999999999998"/>
  </r>
  <r>
    <x v="3"/>
    <x v="3"/>
    <x v="5"/>
    <s v="MTG"/>
    <x v="0"/>
    <n v="21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142843274062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RatesSummaryTable" cacheId="398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11">
        <item m="1" x="9"/>
        <item m="1" x="10"/>
        <item m="1" x="2"/>
        <item m="1" x="1"/>
        <item m="1" x="3"/>
        <item m="1" x="4"/>
        <item m="1" x="6"/>
        <item m="1" x="5"/>
        <item m="1" x="7"/>
        <item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10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7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40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6">
        <item m="1" x="5"/>
        <item m="1" x="1"/>
        <item m="1" x="4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5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8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5" cacheId="408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4">
  <location ref="A78:E88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29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414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9">
        <item m="1" x="8"/>
        <item m="1" x="7"/>
        <item m="1" x="1"/>
        <item m="1" x="2"/>
        <item m="1" x="3"/>
        <item m="1" x="5"/>
        <item m="1" x="4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8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3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8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5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40" dataDxfId="39">
  <tableColumns count="6">
    <tableColumn id="3" uniqueName="3" name="Source" queryTableFieldId="44" dataDxfId="26" dataCellStyle="Normal 2 7"/>
    <tableColumn id="4" uniqueName="4" name="TickerName" queryTableFieldId="45" dataDxfId="25" dataCellStyle="Normal 2 7"/>
    <tableColumn id="5" uniqueName="5" name="SeriesType" queryTableFieldId="46" dataDxfId="24" dataCellStyle="Normal 2 7"/>
    <tableColumn id="6" uniqueName="6" name="Category" queryTableFieldId="47" dataDxfId="23" dataCellStyle="Normal 2 7"/>
    <tableColumn id="10" uniqueName="10" name="AsOfDate" queryTableFieldId="51" dataDxfId="22" dataCellStyle="Normal 2 7"/>
    <tableColumn id="11" uniqueName="11" name="SeriesNumValue" queryTableFieldId="52" dataDxfId="21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8" dataDxfId="37">
  <tableColumns count="6">
    <tableColumn id="2" uniqueName="2" name="TickerName" queryTableFieldId="57" dataDxfId="20"/>
    <tableColumn id="3" uniqueName="3" name="Source" queryTableFieldId="58" dataDxfId="19"/>
    <tableColumn id="4" uniqueName="4" name="SeriesType" queryTableFieldId="59" dataDxfId="18"/>
    <tableColumn id="5" uniqueName="5" name="Category" queryTableFieldId="60" dataDxfId="17"/>
    <tableColumn id="6" uniqueName="6" name="AsOfDate" queryTableFieldId="61" dataDxfId="16"/>
    <tableColumn id="7" uniqueName="7" name="SeriesNumValue" queryTableFieldId="62" dataDxfId="1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36" dataDxfId="35">
  <tableColumns count="6">
    <tableColumn id="2" uniqueName="2" name="TickerName" queryTableFieldId="57" dataDxfId="14" dataCellStyle="Normal 2 7"/>
    <tableColumn id="3" uniqueName="3" name="Source" queryTableFieldId="58" dataDxfId="13" dataCellStyle="Normal 2 7"/>
    <tableColumn id="4" uniqueName="4" name="SeriesType" queryTableFieldId="59" dataDxfId="12" dataCellStyle="Normal 2 7"/>
    <tableColumn id="5" uniqueName="5" name="Category" queryTableFieldId="60" dataDxfId="11" dataCellStyle="Normal 2 7"/>
    <tableColumn id="6" uniqueName="6" name="AsOfDate" queryTableFieldId="61" dataDxfId="10" dataCellStyle="Normal 2 7"/>
    <tableColumn id="7" uniqueName="7" name="SeriesNumValue" queryTableFieldId="62" dataDxfId="9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34" dataDxfId="33">
  <tableColumns count="3">
    <tableColumn id="2" uniqueName="2" name="TickerName" queryTableFieldId="57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69" tableType="queryTable" totalsRowShown="0" headerRowDxfId="32" dataDxfId="31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57"/>
  <sheetViews>
    <sheetView tabSelected="1" topLeftCell="C1" zoomScaleNormal="100" workbookViewId="0">
      <selection activeCell="T38" sqref="T38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101</v>
      </c>
    </row>
    <row r="2" spans="3:24">
      <c r="U2" s="86" t="s">
        <v>60</v>
      </c>
      <c r="V2" s="88">
        <v>42076</v>
      </c>
    </row>
    <row r="3" spans="3:24" s="1" customFormat="1">
      <c r="U3" s="86" t="s">
        <v>71</v>
      </c>
      <c r="V3" s="87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2015-03-13.pdf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43" t="s">
        <v>31</v>
      </c>
      <c r="E11" s="139"/>
      <c r="F11" s="139"/>
      <c r="G11" s="139" t="s">
        <v>0</v>
      </c>
      <c r="H11" s="139"/>
      <c r="I11" s="140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133" t="s">
        <v>17</v>
      </c>
      <c r="D12" s="144">
        <f>'BoA - Conventional'!C4</f>
        <v>3.875E-2</v>
      </c>
      <c r="E12" s="141"/>
      <c r="F12" s="141"/>
      <c r="G12" s="141">
        <f>'BoA - Conventional'!C5</f>
        <v>4.0849999999999997E-2</v>
      </c>
      <c r="H12" s="141"/>
      <c r="I12" s="142"/>
      <c r="J12" s="37">
        <f>'BoA - Conventional'!F5</f>
        <v>1.214E-2</v>
      </c>
      <c r="K12" s="37">
        <f>'BoA - Conventional'!F6</f>
        <v>1.2929094618469512E-2</v>
      </c>
      <c r="L12" s="37">
        <f>'BoA - Conventional'!F7</f>
        <v>2.5069094618469512E-2</v>
      </c>
      <c r="M12" s="47">
        <f>'BoA - Conventional'!I4</f>
        <v>4.2517273654617375E-2</v>
      </c>
      <c r="N12" s="48">
        <f>M12-D$27</f>
        <v>1.4202216163192376E-2</v>
      </c>
      <c r="O12" s="50">
        <f>(M12-'Historic Result'!C5)*100*100</f>
        <v>6.4557565402952735</v>
      </c>
      <c r="P12" s="36">
        <f>(N12-'Historic Result'!D5)*100*100</f>
        <v>4.6870926514433471</v>
      </c>
      <c r="Q12" s="36">
        <f>(M12-'Historic Result'!E5)*100*100</f>
        <v>-11.468260876692227</v>
      </c>
      <c r="R12" s="44">
        <f>(N12-'Historic Result'!F5)*100*100</f>
        <v>-1.5871347007522483</v>
      </c>
    </row>
    <row r="13" spans="3:24" s="99" customFormat="1" ht="18" customHeight="1">
      <c r="C13" s="133" t="s">
        <v>18</v>
      </c>
      <c r="D13" s="144">
        <f>'Chase - Conventional'!C4</f>
        <v>3.875E-2</v>
      </c>
      <c r="E13" s="141"/>
      <c r="F13" s="141"/>
      <c r="G13" s="141">
        <f>'Chase - Conventional'!C5</f>
        <v>3.9780000000000003E-2</v>
      </c>
      <c r="H13" s="141"/>
      <c r="I13" s="142"/>
      <c r="J13" s="37" t="s">
        <v>2</v>
      </c>
      <c r="K13" s="37" t="s">
        <v>2</v>
      </c>
      <c r="L13" s="37">
        <f>'Chase - Conventional'!F7</f>
        <v>1.2413697352308906E-2</v>
      </c>
      <c r="M13" s="47">
        <f>'Chase - Conventional'!I4</f>
        <v>3.9353424338077224E-2</v>
      </c>
      <c r="N13" s="48">
        <f>M13-D$27</f>
        <v>1.1038366846652225E-2</v>
      </c>
      <c r="O13" s="50">
        <f>(M13-'Historic Result'!C6)*100*100</f>
        <v>6.2808990076426703</v>
      </c>
      <c r="P13" s="36">
        <f>(N13-'Historic Result'!D6)*100*100</f>
        <v>4.5122351187906755</v>
      </c>
      <c r="Q13" s="36">
        <f>(M13-'Historic Result'!E6)*100*100</f>
        <v>-9.4779432754177328</v>
      </c>
      <c r="R13" s="44">
        <f>(N13-'Historic Result'!F6)*100*100</f>
        <v>0.40318290052224548</v>
      </c>
    </row>
    <row r="14" spans="3:24" s="99" customFormat="1" ht="18" customHeight="1">
      <c r="C14" s="133" t="s">
        <v>19</v>
      </c>
      <c r="D14" s="144">
        <f>'Quicken - Conventional'!C4</f>
        <v>3.875E-2</v>
      </c>
      <c r="E14" s="141"/>
      <c r="F14" s="141"/>
      <c r="G14" s="141">
        <f>'Quicken - Conventional'!C5</f>
        <v>4.1029999999999997E-2</v>
      </c>
      <c r="H14" s="141"/>
      <c r="I14" s="142"/>
      <c r="J14" s="37">
        <f>'Quicken - Conventional'!F5</f>
        <v>1.8749999999999999E-2</v>
      </c>
      <c r="K14" s="37">
        <f>'Quicken - Conventional'!F6</f>
        <v>8.4243532130850347E-3</v>
      </c>
      <c r="L14" s="37">
        <f>'Quicken - Conventional'!F7</f>
        <v>2.7174353213085034E-2</v>
      </c>
      <c r="M14" s="47">
        <f>'Quicken - Conventional'!I4</f>
        <v>4.3043588303271256E-2</v>
      </c>
      <c r="N14" s="48">
        <f>M14-D$27</f>
        <v>1.4728530811846257E-2</v>
      </c>
      <c r="O14" s="50">
        <f>(M14-'Historic Result'!C7)*100*100</f>
        <v>3.2139157778379031</v>
      </c>
      <c r="P14" s="36">
        <f>(N14-'Historic Result'!D7)*100*100</f>
        <v>1.4452518889859767</v>
      </c>
      <c r="Q14" s="36">
        <f>(M14-'Historic Result'!E7)*100*100</f>
        <v>-5.2407139457041199</v>
      </c>
      <c r="R14" s="44">
        <f>(N14-'Historic Result'!F7)*100*100</f>
        <v>4.6404122302358752</v>
      </c>
    </row>
    <row r="15" spans="3:24" s="99" customFormat="1" ht="18" customHeight="1">
      <c r="C15" s="98" t="s">
        <v>20</v>
      </c>
      <c r="D15" s="144">
        <f>CIR</f>
        <v>4.1250000000000002E-2</v>
      </c>
      <c r="E15" s="141"/>
      <c r="F15" s="141"/>
      <c r="G15" s="141">
        <f>CAPR</f>
        <v>4.147E-2</v>
      </c>
      <c r="H15" s="141"/>
      <c r="I15" s="142"/>
      <c r="J15" s="37">
        <f>'Wells - Conventional'!F6</f>
        <v>2.6321592179967546E-3</v>
      </c>
      <c r="K15" s="37">
        <f>'Wells - Conventional'!F8</f>
        <v>1.009E-2</v>
      </c>
      <c r="L15" s="37">
        <f>'Wells - Conventional'!F9</f>
        <v>1.2722159217996755E-2</v>
      </c>
      <c r="M15" s="47">
        <f>'Wells - Conventional'!I4</f>
        <v>4.1930539804499192E-2</v>
      </c>
      <c r="N15" s="48">
        <f>M15-D$27</f>
        <v>1.3615482313074193E-2</v>
      </c>
      <c r="O15" s="50">
        <f>(M15-'Historic Result'!C8)*100*100</f>
        <v>-10.713801568194222</v>
      </c>
      <c r="P15" s="36">
        <f>(N15-'Historic Result'!D8)*100*100</f>
        <v>-12.482465457046219</v>
      </c>
      <c r="Q15" s="36">
        <f>(M15-'Historic Result'!E8)*100*100</f>
        <v>-17.118639585563187</v>
      </c>
      <c r="R15" s="44">
        <f>(N15-'Historic Result'!F8)*100*100</f>
        <v>-7.2375134096231903</v>
      </c>
    </row>
    <row r="16" spans="3:24" s="99" customFormat="1" ht="18" customHeight="1">
      <c r="C16" s="100" t="s">
        <v>22</v>
      </c>
      <c r="D16" s="153">
        <f>AVERAGE(D12:D15)</f>
        <v>3.9375E-2</v>
      </c>
      <c r="E16" s="151"/>
      <c r="F16" s="151"/>
      <c r="G16" s="151">
        <f>AVERAGE(G12:I15)</f>
        <v>4.0782499999999999E-2</v>
      </c>
      <c r="H16" s="151"/>
      <c r="I16" s="152"/>
      <c r="J16" s="64">
        <f>AVERAGE(J12,J14:J15)</f>
        <v>1.1174053072665585E-2</v>
      </c>
      <c r="K16" s="64">
        <f>AVERAGE(K12,K14:K15)</f>
        <v>1.0481149277184848E-2</v>
      </c>
      <c r="L16" s="64">
        <f>AVERAGE(L12,L14:L15)</f>
        <v>2.1655202349850435E-2</v>
      </c>
      <c r="M16" s="65">
        <f t="shared" ref="M16" si="0">AVERAGE(M12:M15)</f>
        <v>4.1711206525116257E-2</v>
      </c>
      <c r="N16" s="66">
        <f>M16-D$27</f>
        <v>1.3396149033691258E-2</v>
      </c>
      <c r="O16" s="67">
        <f>AVERAGE(O12:O15)</f>
        <v>1.3091924393954057</v>
      </c>
      <c r="P16" s="68">
        <f>AVERAGE(P12:P15)</f>
        <v>-0.45947144945655483</v>
      </c>
      <c r="Q16" s="68">
        <f t="shared" ref="Q16:R16" si="1">AVERAGE(Q12:Q15)</f>
        <v>-10.826389420844317</v>
      </c>
      <c r="R16" s="69">
        <f t="shared" si="1"/>
        <v>-0.94526324490432945</v>
      </c>
    </row>
    <row r="17" spans="3:18" s="99" customFormat="1" ht="18" customHeight="1">
      <c r="C17" s="95" t="s">
        <v>32</v>
      </c>
      <c r="D17" s="154" t="s">
        <v>31</v>
      </c>
      <c r="E17" s="155"/>
      <c r="F17" s="155"/>
      <c r="G17" s="155" t="s">
        <v>0</v>
      </c>
      <c r="H17" s="155"/>
      <c r="I17" s="160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56">
        <f>'Wells - Jumbo conformin'!C4</f>
        <v>4.1250000000000002E-2</v>
      </c>
      <c r="E18" s="157"/>
      <c r="F18" s="157"/>
      <c r="G18" s="157">
        <f>'Wells - Jumbo conformin'!C5</f>
        <v>4.1479999999999996E-2</v>
      </c>
      <c r="H18" s="157"/>
      <c r="I18" s="161"/>
      <c r="J18" s="70">
        <f>'Wells - Jumbo conformin'!F5</f>
        <v>2.7515576864621805E-3</v>
      </c>
      <c r="K18" s="70">
        <f>'Wells - Jumbo conformin'!F6</f>
        <v>7.2040000000000003E-3</v>
      </c>
      <c r="L18" s="70">
        <f>'Wells - Jumbo conformin'!F7</f>
        <v>9.9555576864621808E-3</v>
      </c>
      <c r="M18" s="71">
        <f>'Wells - Jumbo conformin'!I4</f>
        <v>4.1238889421615549E-2</v>
      </c>
      <c r="N18" s="72">
        <f>M18-D$27</f>
        <v>1.292383193019055E-2</v>
      </c>
      <c r="O18" s="73">
        <f>(M18-'Historic Result'!C10)*100*100</f>
        <v>10.433792687603999</v>
      </c>
      <c r="P18" s="74">
        <f>(N18-'Historic Result'!D10)*100*100</f>
        <v>8.6651287987520025</v>
      </c>
      <c r="Q18" s="74">
        <f>(M18-'Historic Result'!E10)*100*100</f>
        <v>-2.171555518047791</v>
      </c>
      <c r="R18" s="75">
        <f>(N18-'Historic Result'!F10)*100*100</f>
        <v>7.709570657892205</v>
      </c>
    </row>
    <row r="19" spans="3:18" s="99" customFormat="1" ht="18" customHeight="1">
      <c r="C19" s="96" t="s">
        <v>33</v>
      </c>
      <c r="D19" s="158" t="s">
        <v>31</v>
      </c>
      <c r="E19" s="159"/>
      <c r="F19" s="159"/>
      <c r="G19" s="159" t="s">
        <v>0</v>
      </c>
      <c r="H19" s="159"/>
      <c r="I19" s="162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56">
        <f>'Wells - Jumbo Non-conforming'!C4</f>
        <v>0.04</v>
      </c>
      <c r="E20" s="157"/>
      <c r="F20" s="157"/>
      <c r="G20" s="157">
        <f>'Wells - Jumbo Non-conforming'!C5</f>
        <v>4.0060000000000005E-2</v>
      </c>
      <c r="H20" s="157"/>
      <c r="I20" s="161"/>
      <c r="J20" s="70">
        <f>'Wells - Jumbo Non-conforming'!F5</f>
        <v>7.2415314016416321E-4</v>
      </c>
      <c r="K20" s="70">
        <f>'Wells - Jumbo Non-conforming'!F6</f>
        <v>4.1320000000000003E-3</v>
      </c>
      <c r="L20" s="70">
        <f>'Wells - Jumbo Non-conforming'!F7</f>
        <v>4.8561531401641635E-3</v>
      </c>
      <c r="M20" s="71">
        <f>'Wells - Jumbo Non-conforming'!I4</f>
        <v>3.8714038285041039E-2</v>
      </c>
      <c r="N20" s="72">
        <f>M20-D$27</f>
        <v>1.039898079361604E-2</v>
      </c>
      <c r="O20" s="73">
        <f>(M20-'Historic Result'!C12)*100*100</f>
        <v>4.3300390843850618</v>
      </c>
      <c r="P20" s="74">
        <f>(N20-'Historic Result'!D12)*100*100</f>
        <v>2.5613751955330493</v>
      </c>
      <c r="Q20" s="74">
        <f>(M20-'Historic Result'!E12)*100*100</f>
        <v>-12.613498786677239</v>
      </c>
      <c r="R20" s="75">
        <f>(N20-'Historic Result'!F12)*100*100</f>
        <v>-2.7323726107372424</v>
      </c>
    </row>
    <row r="21" spans="3:18" s="99" customFormat="1" ht="18" customHeight="1">
      <c r="C21" s="97" t="s">
        <v>34</v>
      </c>
      <c r="D21" s="147" t="s">
        <v>31</v>
      </c>
      <c r="E21" s="148"/>
      <c r="F21" s="145" t="s">
        <v>35</v>
      </c>
      <c r="G21" s="145"/>
      <c r="H21" s="145" t="s">
        <v>36</v>
      </c>
      <c r="I21" s="146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72">
        <f>'Wells - FHA'!C4</f>
        <v>3.875E-2</v>
      </c>
      <c r="E22" s="149"/>
      <c r="F22" s="149">
        <f>'Wells - FHA'!F4</f>
        <v>1.7500000000000002E-2</v>
      </c>
      <c r="G22" s="149"/>
      <c r="H22" s="149">
        <v>8.5000000000000006E-3</v>
      </c>
      <c r="I22" s="150"/>
      <c r="J22" s="78">
        <v>0</v>
      </c>
      <c r="K22" s="78">
        <v>1.387E-2</v>
      </c>
      <c r="L22" s="78">
        <v>1.387E-2</v>
      </c>
      <c r="M22" s="49">
        <f>'Wells - FHA'!I4</f>
        <v>4.0036250000000002E-2</v>
      </c>
      <c r="N22" s="79">
        <f>M22-D28</f>
        <v>1.3060398010481804E-2</v>
      </c>
      <c r="O22" s="51">
        <f>(M22-'Historic Result'!C14)*100*100</f>
        <v>3.187499999999996</v>
      </c>
      <c r="P22" s="45">
        <f>(N22-'Historic Result'!D14)*100*100</f>
        <v>1.1207419521910325</v>
      </c>
      <c r="Q22" s="45">
        <f>(M22-'Historic Result'!E14)*100*100</f>
        <v>-6.3999999999999471</v>
      </c>
      <c r="R22" s="46">
        <f>(N22-'Historic Result'!F14)*100*100</f>
        <v>2.3632537045540496</v>
      </c>
    </row>
    <row r="23" spans="3:18" ht="13.5" customHeight="1">
      <c r="P23" s="138" t="s">
        <v>99</v>
      </c>
    </row>
    <row r="24" spans="3:18" ht="13.5" customHeight="1">
      <c r="I24"/>
      <c r="J24"/>
      <c r="K24"/>
      <c r="O24" s="1"/>
    </row>
    <row r="25" spans="3:18" ht="13.5" customHeight="1">
      <c r="C25" s="89" t="s">
        <v>24</v>
      </c>
      <c r="D25" s="3"/>
      <c r="E25" s="3"/>
      <c r="F25" s="3"/>
      <c r="G25" s="3"/>
      <c r="H25" s="3"/>
      <c r="I25"/>
      <c r="J25"/>
      <c r="K25"/>
      <c r="O25" s="1"/>
    </row>
    <row r="26" spans="3:18" ht="18" customHeight="1">
      <c r="C26" s="103" t="s">
        <v>25</v>
      </c>
      <c r="D26" s="163" t="s">
        <v>26</v>
      </c>
      <c r="E26" s="164"/>
      <c r="F26" s="165"/>
      <c r="G26"/>
      <c r="H26"/>
      <c r="O26" s="1"/>
    </row>
    <row r="27" spans="3:18" ht="18" customHeight="1">
      <c r="C27" s="76" t="s">
        <v>27</v>
      </c>
      <c r="D27" s="166">
        <f>VLOOKUP(C27,'Time Series Query'!X12:Z13,3,0)</f>
        <v>2.8315057491424999E-2</v>
      </c>
      <c r="E27" s="167"/>
      <c r="F27" s="168"/>
      <c r="G27" s="27"/>
      <c r="H27" s="27"/>
      <c r="O27" s="1"/>
    </row>
    <row r="28" spans="3:18" ht="18" customHeight="1">
      <c r="C28" s="77" t="s">
        <v>28</v>
      </c>
      <c r="D28" s="169">
        <f>VLOOKUP(C28,'Time Series Query'!X13:Z14,3,0)</f>
        <v>2.6975851989518199E-2</v>
      </c>
      <c r="E28" s="170"/>
      <c r="F28" s="171"/>
      <c r="G28" s="27"/>
      <c r="H28" s="27"/>
      <c r="O28" s="1"/>
    </row>
    <row r="54" spans="17:18">
      <c r="Q54" s="136" t="s">
        <v>98</v>
      </c>
      <c r="R54" s="135" t="s">
        <v>17</v>
      </c>
    </row>
    <row r="55" spans="17:18">
      <c r="Q55" s="134"/>
      <c r="R55" s="135" t="s">
        <v>18</v>
      </c>
    </row>
    <row r="56" spans="17:18">
      <c r="Q56" s="134"/>
      <c r="R56" s="135" t="s">
        <v>19</v>
      </c>
    </row>
    <row r="57" spans="17:18">
      <c r="Q57" s="134"/>
      <c r="R57" s="137" t="s">
        <v>20</v>
      </c>
    </row>
  </sheetData>
  <mergeCells count="29">
    <mergeCell ref="D26:F26"/>
    <mergeCell ref="D27:F27"/>
    <mergeCell ref="D28:F28"/>
    <mergeCell ref="D22:E22"/>
    <mergeCell ref="F22:G22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11:F11"/>
    <mergeCell ref="D12:F12"/>
    <mergeCell ref="D13:F13"/>
    <mergeCell ref="D14:F14"/>
    <mergeCell ref="D15:F15"/>
    <mergeCell ref="G11:I11"/>
    <mergeCell ref="G12:I12"/>
    <mergeCell ref="G13:I13"/>
    <mergeCell ref="G14:I14"/>
    <mergeCell ref="G15:I15"/>
  </mergeCells>
  <dataValidations disablePrompts="1"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hyperlinks>
    <hyperlink ref="R54" r:id="rId1" location="closeModal"/>
    <hyperlink ref="R55" r:id="rId2"/>
    <hyperlink ref="R57" r:id="rId3"/>
    <hyperlink ref="R56" r:id="rId4" location="key-benefits"/>
  </hyperlinks>
  <pageMargins left="0.25" right="0.25" top="0.255" bottom="0.25" header="0.1" footer="0.1"/>
  <pageSetup scale="70" orientation="landscape" horizontalDpi="1200" verticalDpi="1200" r:id="rId5"/>
  <headerFooter scaleWithDoc="0">
    <oddHeader>&amp;L&amp;G&amp;C&amp;"-,Bold"&amp;10&amp;K2E398A
&amp;15Daily Originator Mortgage Rates&amp;R&amp;"-,Bold"&amp;10&amp;K2E398A
As of 2015-03-13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H199"/>
  <sheetViews>
    <sheetView topLeftCell="N1" workbookViewId="0">
      <selection activeCell="AC7" sqref="AC7:AH62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36" width="12.5703125" style="38" bestFit="1" customWidth="1"/>
    <col min="37" max="38" width="12" style="38" bestFit="1" customWidth="1"/>
    <col min="39" max="39" width="12.28515625" style="38" bestFit="1" customWidth="1"/>
    <col min="40" max="40" width="12" style="38" bestFit="1" customWidth="1"/>
    <col min="41" max="41" width="8.5703125" style="38" bestFit="1" customWidth="1"/>
    <col min="42" max="46" width="12" style="38" bestFit="1" customWidth="1"/>
    <col min="47" max="47" width="8" style="38" bestFit="1" customWidth="1"/>
    <col min="48" max="48" width="12" style="38" bestFit="1" customWidth="1"/>
    <col min="49" max="49" width="5.7109375" style="38" bestFit="1" customWidth="1"/>
    <col min="50" max="51" width="12" style="38" bestFit="1" customWidth="1"/>
    <col min="52" max="52" width="17.5703125" style="38" bestFit="1" customWidth="1"/>
    <col min="53" max="53" width="8.85546875" style="38" bestFit="1" customWidth="1"/>
    <col min="54" max="55" width="16" style="38" bestFit="1" customWidth="1"/>
    <col min="56" max="56" width="14.7109375" style="38" bestFit="1" customWidth="1"/>
    <col min="57" max="57" width="16" style="38" bestFit="1" customWidth="1"/>
    <col min="58" max="58" width="17.5703125" style="38" bestFit="1" customWidth="1"/>
    <col min="59" max="59" width="12.140625" style="38" bestFit="1" customWidth="1"/>
    <col min="60" max="60" width="8.5703125" style="38" bestFit="1" customWidth="1"/>
    <col min="61" max="61" width="15.28515625" style="38" customWidth="1"/>
    <col min="62" max="62" width="11.7109375" style="38" bestFit="1" customWidth="1"/>
    <col min="63" max="63" width="10.28515625" style="38" bestFit="1" customWidth="1"/>
    <col min="64" max="64" width="12" style="38" bestFit="1" customWidth="1"/>
    <col min="65" max="65" width="14.42578125" style="38" customWidth="1"/>
    <col min="66" max="66" width="18.5703125" style="38" bestFit="1" customWidth="1"/>
    <col min="67" max="67" width="10.7109375" style="38" bestFit="1" customWidth="1"/>
    <col min="68" max="68" width="16.42578125" style="38" bestFit="1" customWidth="1"/>
    <col min="69" max="69" width="16.140625" style="38" bestFit="1" customWidth="1"/>
    <col min="70" max="70" width="14.42578125" style="38" customWidth="1"/>
    <col min="71" max="71" width="12.28515625" style="38" customWidth="1"/>
    <col min="72" max="16384" width="9.140625" style="38"/>
  </cols>
  <sheetData>
    <row r="1" spans="1:34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96</v>
      </c>
      <c r="AB1" s="38" t="s">
        <v>62</v>
      </c>
    </row>
    <row r="2" spans="1:34">
      <c r="H2" s="38" t="s">
        <v>100</v>
      </c>
      <c r="P2" s="38" t="s">
        <v>83</v>
      </c>
      <c r="AB2" s="38" t="s">
        <v>102</v>
      </c>
    </row>
    <row r="5" spans="1:34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87</v>
      </c>
      <c r="AF5" s="90"/>
    </row>
    <row r="6" spans="1:34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</row>
    <row r="7" spans="1:34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103</v>
      </c>
      <c r="F7" s="93">
        <v>4.2517273654617371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100</v>
      </c>
      <c r="N7" s="93">
        <v>4.1871698000587845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83</v>
      </c>
      <c r="V7" s="93">
        <v>4.3664099742286595</v>
      </c>
      <c r="X7" s="93" t="s">
        <v>80</v>
      </c>
      <c r="Y7" s="93" t="s">
        <v>103</v>
      </c>
      <c r="Z7" s="93">
        <v>2.8315057491425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</row>
    <row r="8" spans="1:34" s="93" customFormat="1">
      <c r="A8" s="93" t="s">
        <v>17</v>
      </c>
      <c r="B8" s="93" t="s">
        <v>54</v>
      </c>
      <c r="C8" s="93" t="s">
        <v>0</v>
      </c>
      <c r="D8" s="93" t="s">
        <v>53</v>
      </c>
      <c r="E8" s="94" t="s">
        <v>103</v>
      </c>
      <c r="F8" s="93">
        <v>4.085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100</v>
      </c>
      <c r="N8" s="91">
        <v>4.0629999999999997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83</v>
      </c>
      <c r="V8" s="93">
        <v>4.2080000000000002</v>
      </c>
      <c r="X8" s="93" t="s">
        <v>79</v>
      </c>
      <c r="Y8" s="93" t="s">
        <v>103</v>
      </c>
      <c r="Z8" s="93">
        <v>2.69758519895182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88</v>
      </c>
      <c r="AH8" s="93">
        <v>4.2780642423920208</v>
      </c>
    </row>
    <row r="9" spans="1:34" s="93" customFormat="1">
      <c r="A9" s="93" t="s">
        <v>17</v>
      </c>
      <c r="B9" s="93" t="s">
        <v>54</v>
      </c>
      <c r="C9" s="93" t="s">
        <v>7</v>
      </c>
      <c r="D9" s="93" t="s">
        <v>53</v>
      </c>
      <c r="E9" s="94" t="s">
        <v>103</v>
      </c>
      <c r="F9" s="93">
        <v>1.214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100</v>
      </c>
      <c r="N9" s="91">
        <v>0.95199999999999996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83</v>
      </c>
      <c r="V9" s="93">
        <v>1.163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89</v>
      </c>
      <c r="AH9" s="93">
        <v>4.2751400125465349</v>
      </c>
    </row>
    <row r="10" spans="1:34" s="93" customFormat="1">
      <c r="A10" s="93" t="s">
        <v>17</v>
      </c>
      <c r="B10" s="93" t="s">
        <v>54</v>
      </c>
      <c r="C10" s="93" t="s">
        <v>26</v>
      </c>
      <c r="D10" s="93" t="s">
        <v>53</v>
      </c>
      <c r="E10" s="94" t="s">
        <v>103</v>
      </c>
      <c r="F10" s="93">
        <v>3.875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100</v>
      </c>
      <c r="N10" s="91">
        <v>3.875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83</v>
      </c>
      <c r="V10" s="93">
        <v>4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</row>
    <row r="11" spans="1:34" s="93" customFormat="1">
      <c r="A11" s="93" t="s">
        <v>17</v>
      </c>
      <c r="B11" s="93" t="s">
        <v>54</v>
      </c>
      <c r="C11" s="93" t="s">
        <v>29</v>
      </c>
      <c r="D11" s="93" t="s">
        <v>53</v>
      </c>
      <c r="E11" s="94" t="s">
        <v>103</v>
      </c>
      <c r="F11" s="93">
        <v>1.4202216163192376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100</v>
      </c>
      <c r="N11" s="91">
        <v>1.3733506898048042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83</v>
      </c>
      <c r="V11" s="93">
        <v>1.4360929633267601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</row>
    <row r="12" spans="1:34" s="93" customFormat="1">
      <c r="A12" s="93" t="s">
        <v>18</v>
      </c>
      <c r="B12" s="93" t="s">
        <v>54</v>
      </c>
      <c r="C12" s="93" t="s">
        <v>78</v>
      </c>
      <c r="D12" s="93" t="s">
        <v>53</v>
      </c>
      <c r="E12" s="94" t="s">
        <v>103</v>
      </c>
      <c r="F12" s="93">
        <v>3.9353424338077225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100</v>
      </c>
      <c r="N12" s="91">
        <v>3.8725334437312955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83</v>
      </c>
      <c r="V12" s="93">
        <v>4.0301218665618999</v>
      </c>
      <c r="X12" s="107" t="s">
        <v>27</v>
      </c>
      <c r="Y12" s="108" t="s">
        <v>80</v>
      </c>
      <c r="Z12" s="108">
        <f>VLOOKUP(Y12,OneWeekMtgRatesDataTable7[],3,0)/100</f>
        <v>2.8315057491424999E-2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</row>
    <row r="13" spans="1:34" s="93" customFormat="1">
      <c r="A13" s="93" t="s">
        <v>18</v>
      </c>
      <c r="B13" s="93" t="s">
        <v>54</v>
      </c>
      <c r="C13" s="93" t="s">
        <v>0</v>
      </c>
      <c r="D13" s="93" t="s">
        <v>53</v>
      </c>
      <c r="E13" s="94" t="s">
        <v>103</v>
      </c>
      <c r="F13" s="93">
        <v>3.9780000000000002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100</v>
      </c>
      <c r="N13" s="91">
        <v>3.9569999999999999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83</v>
      </c>
      <c r="V13" s="93">
        <v>4.1769999999999996</v>
      </c>
      <c r="X13" s="107" t="s">
        <v>28</v>
      </c>
      <c r="Y13" s="109" t="s">
        <v>79</v>
      </c>
      <c r="Z13" s="108">
        <f>VLOOKUP(Y13,OneWeekMtgRatesDataTable7[],3,0)/100</f>
        <v>2.6975851989518199E-2</v>
      </c>
      <c r="AA13" s="131"/>
      <c r="AB13" s="106"/>
      <c r="AC13" s="93" t="s">
        <v>54</v>
      </c>
      <c r="AD13" s="93" t="s">
        <v>17</v>
      </c>
      <c r="AE13" s="93" t="s">
        <v>78</v>
      </c>
      <c r="AF13" s="93" t="s">
        <v>53</v>
      </c>
      <c r="AG13" s="93" t="s">
        <v>97</v>
      </c>
      <c r="AH13" s="93">
        <v>4.2692899861563207</v>
      </c>
    </row>
    <row r="14" spans="1:34" s="93" customFormat="1">
      <c r="A14" s="93" t="s">
        <v>18</v>
      </c>
      <c r="B14" s="93" t="s">
        <v>54</v>
      </c>
      <c r="C14" s="93" t="s">
        <v>7</v>
      </c>
      <c r="D14" s="93" t="s">
        <v>53</v>
      </c>
      <c r="E14" s="94" t="s">
        <v>103</v>
      </c>
      <c r="F14" s="93">
        <v>1.25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100</v>
      </c>
      <c r="N14" s="91">
        <v>1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83</v>
      </c>
      <c r="V14" s="93">
        <v>0.625</v>
      </c>
      <c r="AC14" s="93" t="s">
        <v>54</v>
      </c>
      <c r="AD14" s="93" t="s">
        <v>17</v>
      </c>
      <c r="AE14" s="93" t="s">
        <v>78</v>
      </c>
      <c r="AF14" s="93" t="s">
        <v>53</v>
      </c>
      <c r="AG14" s="93" t="s">
        <v>100</v>
      </c>
      <c r="AH14" s="93">
        <v>4.1871698000587845</v>
      </c>
    </row>
    <row r="15" spans="1:34" s="93" customFormat="1">
      <c r="A15" s="93" t="s">
        <v>18</v>
      </c>
      <c r="B15" s="93" t="s">
        <v>54</v>
      </c>
      <c r="C15" s="93" t="s">
        <v>26</v>
      </c>
      <c r="D15" s="93" t="s">
        <v>53</v>
      </c>
      <c r="E15" s="94" t="s">
        <v>103</v>
      </c>
      <c r="F15" s="93">
        <v>3.875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100</v>
      </c>
      <c r="N15" s="91">
        <v>3.875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83</v>
      </c>
      <c r="V15" s="93">
        <v>4.125</v>
      </c>
      <c r="AC15" s="93" t="s">
        <v>54</v>
      </c>
      <c r="AD15" s="93" t="s">
        <v>17</v>
      </c>
      <c r="AE15" s="93" t="s">
        <v>78</v>
      </c>
      <c r="AF15" s="93" t="s">
        <v>53</v>
      </c>
      <c r="AG15" s="93" t="s">
        <v>103</v>
      </c>
      <c r="AH15" s="93">
        <v>4.2517273654617371</v>
      </c>
    </row>
    <row r="16" spans="1:34" s="93" customFormat="1">
      <c r="A16" s="93" t="s">
        <v>18</v>
      </c>
      <c r="B16" s="93" t="s">
        <v>54</v>
      </c>
      <c r="C16" s="93" t="s">
        <v>29</v>
      </c>
      <c r="D16" s="93" t="s">
        <v>53</v>
      </c>
      <c r="E16" s="94" t="s">
        <v>103</v>
      </c>
      <c r="F16" s="93">
        <v>1.1038366846652226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100</v>
      </c>
      <c r="N16" s="91">
        <v>1.0587143334773157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83</v>
      </c>
      <c r="V16" s="93">
        <v>1.09980485566</v>
      </c>
      <c r="AC16" s="93" t="s">
        <v>54</v>
      </c>
      <c r="AD16" s="93" t="s">
        <v>18</v>
      </c>
      <c r="AE16" s="93" t="s">
        <v>78</v>
      </c>
      <c r="AF16" s="93" t="s">
        <v>53</v>
      </c>
      <c r="AG16" s="93" t="s">
        <v>86</v>
      </c>
      <c r="AH16" s="93">
        <v>4.1543680910694123</v>
      </c>
    </row>
    <row r="17" spans="1:34" s="93" customFormat="1">
      <c r="A17" s="93" t="s">
        <v>19</v>
      </c>
      <c r="B17" s="93" t="s">
        <v>54</v>
      </c>
      <c r="C17" s="93" t="s">
        <v>78</v>
      </c>
      <c r="D17" s="93" t="s">
        <v>53</v>
      </c>
      <c r="E17" s="94" t="s">
        <v>103</v>
      </c>
      <c r="F17" s="93">
        <v>4.3043588303271259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100</v>
      </c>
      <c r="N17" s="91">
        <v>4.2722196725487462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83</v>
      </c>
      <c r="V17" s="93">
        <v>4.356765969784167</v>
      </c>
      <c r="AC17" s="93" t="s">
        <v>54</v>
      </c>
      <c r="AD17" s="93" t="s">
        <v>18</v>
      </c>
      <c r="AE17" s="93" t="s">
        <v>78</v>
      </c>
      <c r="AF17" s="93" t="s">
        <v>53</v>
      </c>
      <c r="AG17" s="93" t="s">
        <v>88</v>
      </c>
      <c r="AH17" s="93">
        <v>4.1248698203088709</v>
      </c>
    </row>
    <row r="18" spans="1:34" s="93" customFormat="1">
      <c r="A18" s="93" t="s">
        <v>19</v>
      </c>
      <c r="B18" s="93" t="s">
        <v>54</v>
      </c>
      <c r="C18" s="93" t="s">
        <v>0</v>
      </c>
      <c r="D18" s="93" t="s">
        <v>53</v>
      </c>
      <c r="E18" s="94" t="s">
        <v>103</v>
      </c>
      <c r="F18" s="93">
        <v>4.1029999999999998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100</v>
      </c>
      <c r="N18" s="91">
        <v>4.008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83</v>
      </c>
      <c r="V18" s="93">
        <v>4.1980000000000004</v>
      </c>
      <c r="AC18" s="93" t="s">
        <v>54</v>
      </c>
      <c r="AD18" s="93" t="s">
        <v>18</v>
      </c>
      <c r="AE18" s="93" t="s">
        <v>78</v>
      </c>
      <c r="AF18" s="93" t="s">
        <v>53</v>
      </c>
      <c r="AG18" s="93" t="s">
        <v>89</v>
      </c>
      <c r="AH18" s="93">
        <v>4.0301218665618999</v>
      </c>
    </row>
    <row r="19" spans="1:34" s="93" customFormat="1">
      <c r="A19" s="93" t="s">
        <v>19</v>
      </c>
      <c r="B19" s="93" t="s">
        <v>54</v>
      </c>
      <c r="C19" s="93" t="s">
        <v>7</v>
      </c>
      <c r="D19" s="93" t="s">
        <v>53</v>
      </c>
      <c r="E19" s="94" t="s">
        <v>103</v>
      </c>
      <c r="F19" s="93">
        <v>1.875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100</v>
      </c>
      <c r="N19" s="91">
        <v>2.25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83</v>
      </c>
      <c r="V19" s="93">
        <v>1.625</v>
      </c>
      <c r="AC19" s="93" t="s">
        <v>54</v>
      </c>
      <c r="AD19" s="93" t="s">
        <v>18</v>
      </c>
      <c r="AE19" s="93" t="s">
        <v>78</v>
      </c>
      <c r="AF19" s="93" t="s">
        <v>53</v>
      </c>
      <c r="AG19" s="93" t="s">
        <v>83</v>
      </c>
      <c r="AH19" s="93">
        <v>4.0301218665618999</v>
      </c>
    </row>
    <row r="20" spans="1:34" s="93" customFormat="1">
      <c r="A20" s="93" t="s">
        <v>19</v>
      </c>
      <c r="B20" s="93" t="s">
        <v>54</v>
      </c>
      <c r="C20" s="93" t="s">
        <v>26</v>
      </c>
      <c r="D20" s="93" t="s">
        <v>53</v>
      </c>
      <c r="E20" s="94" t="s">
        <v>103</v>
      </c>
      <c r="F20" s="93">
        <v>3.875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100</v>
      </c>
      <c r="N20" s="91">
        <v>3.75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83</v>
      </c>
      <c r="V20" s="93">
        <v>3.99</v>
      </c>
      <c r="AC20" s="93" t="s">
        <v>54</v>
      </c>
      <c r="AD20" s="93" t="s">
        <v>18</v>
      </c>
      <c r="AE20" s="93" t="s">
        <v>78</v>
      </c>
      <c r="AF20" s="93" t="s">
        <v>53</v>
      </c>
      <c r="AG20" s="93" t="s">
        <v>84</v>
      </c>
      <c r="AH20" s="93">
        <v>3.9987193359155064</v>
      </c>
    </row>
    <row r="21" spans="1:34" s="93" customFormat="1">
      <c r="A21" s="93" t="s">
        <v>19</v>
      </c>
      <c r="B21" s="93" t="s">
        <v>54</v>
      </c>
      <c r="C21" s="93" t="s">
        <v>29</v>
      </c>
      <c r="D21" s="93" t="s">
        <v>53</v>
      </c>
      <c r="E21" s="94" t="s">
        <v>103</v>
      </c>
      <c r="F21" s="93">
        <v>1.4728530811846257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100</v>
      </c>
      <c r="N21" s="91">
        <v>1.458400562294766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83</v>
      </c>
      <c r="V21" s="93">
        <v>1.4264489588822669</v>
      </c>
      <c r="AC21" s="93" t="s">
        <v>54</v>
      </c>
      <c r="AD21" s="93" t="s">
        <v>18</v>
      </c>
      <c r="AE21" s="93" t="s">
        <v>78</v>
      </c>
      <c r="AF21" s="93" t="s">
        <v>53</v>
      </c>
      <c r="AG21" s="93" t="s">
        <v>85</v>
      </c>
      <c r="AH21" s="93">
        <v>3.968948344733974</v>
      </c>
    </row>
    <row r="22" spans="1:34" s="93" customFormat="1">
      <c r="A22" s="93" t="s">
        <v>20</v>
      </c>
      <c r="B22" s="93" t="s">
        <v>54</v>
      </c>
      <c r="C22" s="93" t="s">
        <v>78</v>
      </c>
      <c r="D22" s="93" t="s">
        <v>53</v>
      </c>
      <c r="E22" s="94" t="s">
        <v>103</v>
      </c>
      <c r="F22" s="93">
        <v>4.1930539804499194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100</v>
      </c>
      <c r="N22" s="91">
        <v>4.3001919961318613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83</v>
      </c>
      <c r="V22" s="93">
        <v>4.3642403763055508</v>
      </c>
      <c r="AC22" s="93" t="s">
        <v>54</v>
      </c>
      <c r="AD22" s="93" t="s">
        <v>18</v>
      </c>
      <c r="AE22" s="93" t="s">
        <v>78</v>
      </c>
      <c r="AF22" s="93" t="s">
        <v>53</v>
      </c>
      <c r="AG22" s="93" t="s">
        <v>97</v>
      </c>
      <c r="AH22" s="93">
        <v>3.968948344733974</v>
      </c>
    </row>
    <row r="23" spans="1:34" s="93" customFormat="1">
      <c r="A23" s="93" t="s">
        <v>20</v>
      </c>
      <c r="B23" s="93" t="s">
        <v>54</v>
      </c>
      <c r="C23" s="93" t="s">
        <v>0</v>
      </c>
      <c r="D23" s="93" t="s">
        <v>53</v>
      </c>
      <c r="E23" s="94" t="s">
        <v>103</v>
      </c>
      <c r="F23" s="93">
        <v>4.1470000000000002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100</v>
      </c>
      <c r="N23" s="91">
        <v>4.0579999999999998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83</v>
      </c>
      <c r="V23" s="93">
        <v>4.173</v>
      </c>
      <c r="AC23" s="93" t="s">
        <v>54</v>
      </c>
      <c r="AD23" s="93" t="s">
        <v>18</v>
      </c>
      <c r="AE23" s="93" t="s">
        <v>78</v>
      </c>
      <c r="AF23" s="93" t="s">
        <v>53</v>
      </c>
      <c r="AG23" s="93" t="s">
        <v>100</v>
      </c>
      <c r="AH23" s="93">
        <v>3.8725334437312955</v>
      </c>
    </row>
    <row r="24" spans="1:34" s="93" customFormat="1">
      <c r="A24" s="93" t="s">
        <v>20</v>
      </c>
      <c r="B24" s="93" t="s">
        <v>54</v>
      </c>
      <c r="C24" s="93" t="s">
        <v>41</v>
      </c>
      <c r="D24" s="93" t="s">
        <v>53</v>
      </c>
      <c r="E24" s="94" t="s">
        <v>103</v>
      </c>
      <c r="F24" s="93">
        <v>2018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100</v>
      </c>
      <c r="N24" s="91">
        <v>3008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83</v>
      </c>
      <c r="V24" s="93">
        <v>2768</v>
      </c>
      <c r="AC24" s="93" t="s">
        <v>54</v>
      </c>
      <c r="AD24" s="93" t="s">
        <v>18</v>
      </c>
      <c r="AE24" s="93" t="s">
        <v>78</v>
      </c>
      <c r="AF24" s="93" t="s">
        <v>53</v>
      </c>
      <c r="AG24" s="93" t="s">
        <v>103</v>
      </c>
      <c r="AH24" s="93">
        <v>3.9353424338077225</v>
      </c>
    </row>
    <row r="25" spans="1:34" s="93" customFormat="1">
      <c r="A25" s="93" t="s">
        <v>20</v>
      </c>
      <c r="B25" s="93" t="s">
        <v>54</v>
      </c>
      <c r="C25" s="93" t="s">
        <v>1</v>
      </c>
      <c r="D25" s="93" t="s">
        <v>53</v>
      </c>
      <c r="E25" s="94" t="s">
        <v>103</v>
      </c>
      <c r="F25" s="9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100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83</v>
      </c>
      <c r="V25" s="93">
        <v>200000</v>
      </c>
      <c r="AC25" s="93" t="s">
        <v>54</v>
      </c>
      <c r="AD25" s="93" t="s">
        <v>19</v>
      </c>
      <c r="AE25" s="93" t="s">
        <v>78</v>
      </c>
      <c r="AF25" s="93" t="s">
        <v>53</v>
      </c>
      <c r="AG25" s="93" t="s">
        <v>86</v>
      </c>
      <c r="AH25" s="93">
        <v>4.2722196725487462</v>
      </c>
    </row>
    <row r="26" spans="1:34" s="93" customFormat="1">
      <c r="A26" s="93" t="s">
        <v>20</v>
      </c>
      <c r="B26" s="93" t="s">
        <v>54</v>
      </c>
      <c r="C26" s="93" t="s">
        <v>7</v>
      </c>
      <c r="D26" s="93" t="s">
        <v>53</v>
      </c>
      <c r="E26" s="94" t="s">
        <v>103</v>
      </c>
      <c r="F26" s="9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100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83</v>
      </c>
      <c r="V26" s="93">
        <v>1</v>
      </c>
      <c r="AC26" s="93" t="s">
        <v>54</v>
      </c>
      <c r="AD26" s="93" t="s">
        <v>19</v>
      </c>
      <c r="AE26" s="93" t="s">
        <v>78</v>
      </c>
      <c r="AF26" s="93" t="s">
        <v>53</v>
      </c>
      <c r="AG26" s="93" t="s">
        <v>88</v>
      </c>
      <c r="AH26" s="93">
        <v>4.2722152605049795</v>
      </c>
    </row>
    <row r="27" spans="1:34" s="93" customFormat="1">
      <c r="A27" s="93" t="s">
        <v>20</v>
      </c>
      <c r="B27" s="93" t="s">
        <v>54</v>
      </c>
      <c r="C27" s="93" t="s">
        <v>26</v>
      </c>
      <c r="D27" s="93" t="s">
        <v>53</v>
      </c>
      <c r="E27" s="94" t="s">
        <v>103</v>
      </c>
      <c r="F27" s="93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100</v>
      </c>
      <c r="N27" s="91">
        <v>4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83</v>
      </c>
      <c r="V27" s="93">
        <v>4.125</v>
      </c>
      <c r="AC27" s="93" t="s">
        <v>54</v>
      </c>
      <c r="AD27" s="93" t="s">
        <v>19</v>
      </c>
      <c r="AE27" s="93" t="s">
        <v>78</v>
      </c>
      <c r="AF27" s="93" t="s">
        <v>53</v>
      </c>
      <c r="AG27" s="93" t="s">
        <v>89</v>
      </c>
      <c r="AH27" s="93">
        <v>4.2722152605049795</v>
      </c>
    </row>
    <row r="28" spans="1:34" s="93" customFormat="1">
      <c r="A28" s="93" t="s">
        <v>20</v>
      </c>
      <c r="B28" s="93" t="s">
        <v>54</v>
      </c>
      <c r="C28" s="93" t="s">
        <v>29</v>
      </c>
      <c r="D28" s="93" t="s">
        <v>53</v>
      </c>
      <c r="E28" s="94" t="s">
        <v>103</v>
      </c>
      <c r="F28" s="93">
        <v>1.3615482313074194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100</v>
      </c>
      <c r="N28" s="91">
        <v>1.4863728858778815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83</v>
      </c>
      <c r="V28" s="93">
        <v>1.4339233654036512</v>
      </c>
      <c r="AC28" s="93" t="s">
        <v>54</v>
      </c>
      <c r="AD28" s="93" t="s">
        <v>19</v>
      </c>
      <c r="AE28" s="93" t="s">
        <v>78</v>
      </c>
      <c r="AF28" s="93" t="s">
        <v>53</v>
      </c>
      <c r="AG28" s="93" t="s">
        <v>83</v>
      </c>
      <c r="AH28" s="93">
        <v>4.356765969784167</v>
      </c>
    </row>
    <row r="29" spans="1:34" s="93" customFormat="1">
      <c r="A29" s="93" t="s">
        <v>19</v>
      </c>
      <c r="B29" s="93" t="s">
        <v>55</v>
      </c>
      <c r="C29" s="93" t="s">
        <v>0</v>
      </c>
      <c r="D29" s="93" t="s">
        <v>53</v>
      </c>
      <c r="E29" s="94" t="s">
        <v>103</v>
      </c>
      <c r="F29" s="93">
        <v>4.3879999999999999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100</v>
      </c>
      <c r="N29" s="91">
        <v>4.2699999999999996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83</v>
      </c>
      <c r="V29" s="93">
        <v>4.4000000000000004</v>
      </c>
      <c r="AC29" s="93" t="s">
        <v>54</v>
      </c>
      <c r="AD29" s="93" t="s">
        <v>19</v>
      </c>
      <c r="AE29" s="93" t="s">
        <v>78</v>
      </c>
      <c r="AF29" s="93" t="s">
        <v>53</v>
      </c>
      <c r="AG29" s="93" t="s">
        <v>84</v>
      </c>
      <c r="AH29" s="93">
        <v>4.3975094107446839</v>
      </c>
    </row>
    <row r="30" spans="1:34" s="93" customFormat="1">
      <c r="A30" s="93" t="s">
        <v>19</v>
      </c>
      <c r="B30" s="93" t="s">
        <v>55</v>
      </c>
      <c r="C30" s="93" t="s">
        <v>7</v>
      </c>
      <c r="D30" s="93" t="s">
        <v>53</v>
      </c>
      <c r="E30" s="94" t="s">
        <v>103</v>
      </c>
      <c r="F30" s="93">
        <v>2.125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100</v>
      </c>
      <c r="N30" s="91">
        <v>2.25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83</v>
      </c>
      <c r="V30" s="93">
        <v>2.25</v>
      </c>
      <c r="AC30" s="93" t="s">
        <v>54</v>
      </c>
      <c r="AD30" s="93" t="s">
        <v>19</v>
      </c>
      <c r="AE30" s="93" t="s">
        <v>78</v>
      </c>
      <c r="AF30" s="93" t="s">
        <v>53</v>
      </c>
      <c r="AG30" s="93" t="s">
        <v>85</v>
      </c>
      <c r="AH30" s="93">
        <v>4.3364393474588088</v>
      </c>
    </row>
    <row r="31" spans="1:34" s="93" customFormat="1">
      <c r="A31" s="93" t="s">
        <v>19</v>
      </c>
      <c r="B31" s="93" t="s">
        <v>55</v>
      </c>
      <c r="C31" s="93" t="s">
        <v>26</v>
      </c>
      <c r="D31" s="93" t="s">
        <v>53</v>
      </c>
      <c r="E31" s="94" t="s">
        <v>103</v>
      </c>
      <c r="F31" s="93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100</v>
      </c>
      <c r="N31" s="91">
        <v>3.375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83</v>
      </c>
      <c r="V31" s="93">
        <v>3.5</v>
      </c>
      <c r="AC31" s="93" t="s">
        <v>54</v>
      </c>
      <c r="AD31" s="93" t="s">
        <v>19</v>
      </c>
      <c r="AE31" s="93" t="s">
        <v>78</v>
      </c>
      <c r="AF31" s="93" t="s">
        <v>53</v>
      </c>
      <c r="AG31" s="93" t="s">
        <v>97</v>
      </c>
      <c r="AH31" s="93">
        <v>4.3043588303271259</v>
      </c>
    </row>
    <row r="32" spans="1:34" s="93" customFormat="1">
      <c r="A32" s="93" t="s">
        <v>20</v>
      </c>
      <c r="B32" s="93" t="s">
        <v>55</v>
      </c>
      <c r="C32" s="93" t="s">
        <v>78</v>
      </c>
      <c r="D32" s="93" t="s">
        <v>53</v>
      </c>
      <c r="E32" s="94" t="s">
        <v>103</v>
      </c>
      <c r="F32" s="93">
        <v>4.0036250000000004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100</v>
      </c>
      <c r="N32" s="91">
        <v>3.9717500000000001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83</v>
      </c>
      <c r="V32" s="93">
        <v>4.0676249999999996</v>
      </c>
      <c r="AC32" s="93" t="s">
        <v>54</v>
      </c>
      <c r="AD32" s="93" t="s">
        <v>19</v>
      </c>
      <c r="AE32" s="93" t="s">
        <v>78</v>
      </c>
      <c r="AF32" s="93" t="s">
        <v>53</v>
      </c>
      <c r="AG32" s="93" t="s">
        <v>100</v>
      </c>
      <c r="AH32" s="93">
        <v>4.2722196725487462</v>
      </c>
    </row>
    <row r="33" spans="1:34" s="93" customFormat="1">
      <c r="A33" s="93" t="s">
        <v>20</v>
      </c>
      <c r="B33" s="93" t="s">
        <v>55</v>
      </c>
      <c r="C33" s="93" t="s">
        <v>0</v>
      </c>
      <c r="D33" s="93" t="s">
        <v>53</v>
      </c>
      <c r="E33" s="94" t="s">
        <v>103</v>
      </c>
      <c r="F33" s="93">
        <v>4.9050000000000002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100</v>
      </c>
      <c r="N33" s="91">
        <v>4.8940000000000001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83</v>
      </c>
      <c r="V33" s="93">
        <v>5.0090000000000003</v>
      </c>
      <c r="AC33" s="93" t="s">
        <v>54</v>
      </c>
      <c r="AD33" s="93" t="s">
        <v>19</v>
      </c>
      <c r="AE33" s="93" t="s">
        <v>78</v>
      </c>
      <c r="AF33" s="93" t="s">
        <v>53</v>
      </c>
      <c r="AG33" s="93" t="s">
        <v>103</v>
      </c>
      <c r="AH33" s="93">
        <v>4.3043588303271259</v>
      </c>
    </row>
    <row r="34" spans="1:34" s="93" customFormat="1">
      <c r="A34" s="93" t="s">
        <v>20</v>
      </c>
      <c r="B34" s="93" t="s">
        <v>55</v>
      </c>
      <c r="C34" s="93" t="s">
        <v>41</v>
      </c>
      <c r="D34" s="93" t="s">
        <v>53</v>
      </c>
      <c r="E34" s="94" t="s">
        <v>103</v>
      </c>
      <c r="F34" s="93">
        <v>6529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100</v>
      </c>
      <c r="N34" s="91">
        <v>6274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83</v>
      </c>
      <c r="V34" s="93">
        <v>6041</v>
      </c>
      <c r="AC34" s="93" t="s">
        <v>54</v>
      </c>
      <c r="AD34" s="93" t="s">
        <v>20</v>
      </c>
      <c r="AE34" s="93" t="s">
        <v>78</v>
      </c>
      <c r="AF34" s="93" t="s">
        <v>53</v>
      </c>
      <c r="AG34" s="93" t="s">
        <v>86</v>
      </c>
      <c r="AH34" s="93">
        <v>4.1618039804499194</v>
      </c>
    </row>
    <row r="35" spans="1:34" s="93" customFormat="1">
      <c r="A35" s="93" t="s">
        <v>20</v>
      </c>
      <c r="B35" s="93" t="s">
        <v>55</v>
      </c>
      <c r="C35" s="93" t="s">
        <v>1</v>
      </c>
      <c r="D35" s="93" t="s">
        <v>53</v>
      </c>
      <c r="E35" s="94" t="s">
        <v>103</v>
      </c>
      <c r="F35" s="9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100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83</v>
      </c>
      <c r="V35" s="93">
        <v>200000</v>
      </c>
      <c r="AC35" s="93" t="s">
        <v>54</v>
      </c>
      <c r="AD35" s="93" t="s">
        <v>20</v>
      </c>
      <c r="AE35" s="93" t="s">
        <v>78</v>
      </c>
      <c r="AF35" s="93" t="s">
        <v>53</v>
      </c>
      <c r="AG35" s="93" t="s">
        <v>88</v>
      </c>
      <c r="AH35" s="93">
        <v>4.1618039804499194</v>
      </c>
    </row>
    <row r="36" spans="1:34" s="93" customFormat="1">
      <c r="A36" s="93" t="s">
        <v>20</v>
      </c>
      <c r="B36" s="93" t="s">
        <v>55</v>
      </c>
      <c r="C36" s="93" t="s">
        <v>7</v>
      </c>
      <c r="D36" s="93" t="s">
        <v>53</v>
      </c>
      <c r="E36" s="94" t="s">
        <v>103</v>
      </c>
      <c r="F36" s="9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100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83</v>
      </c>
      <c r="V36" s="93">
        <v>1</v>
      </c>
      <c r="AC36" s="93" t="s">
        <v>54</v>
      </c>
      <c r="AD36" s="93" t="s">
        <v>20</v>
      </c>
      <c r="AE36" s="93" t="s">
        <v>78</v>
      </c>
      <c r="AF36" s="93" t="s">
        <v>53</v>
      </c>
      <c r="AG36" s="93" t="s">
        <v>89</v>
      </c>
      <c r="AH36" s="93">
        <v>4.1618039804499194</v>
      </c>
    </row>
    <row r="37" spans="1:34" s="93" customFormat="1">
      <c r="A37" s="93" t="s">
        <v>20</v>
      </c>
      <c r="B37" s="93" t="s">
        <v>55</v>
      </c>
      <c r="C37" s="93" t="s">
        <v>26</v>
      </c>
      <c r="D37" s="93" t="s">
        <v>53</v>
      </c>
      <c r="E37" s="94" t="s">
        <v>103</v>
      </c>
      <c r="F37" s="93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100</v>
      </c>
      <c r="N37" s="91">
        <v>3.875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83</v>
      </c>
      <c r="V37" s="93">
        <v>4</v>
      </c>
      <c r="AC37" s="93" t="s">
        <v>54</v>
      </c>
      <c r="AD37" s="93" t="s">
        <v>20</v>
      </c>
      <c r="AE37" s="93" t="s">
        <v>78</v>
      </c>
      <c r="AF37" s="93" t="s">
        <v>53</v>
      </c>
      <c r="AG37" s="93" t="s">
        <v>83</v>
      </c>
      <c r="AH37" s="93">
        <v>4.3642403763055508</v>
      </c>
    </row>
    <row r="38" spans="1:34" s="93" customFormat="1">
      <c r="A38" s="93" t="s">
        <v>20</v>
      </c>
      <c r="B38" s="93" t="s">
        <v>55</v>
      </c>
      <c r="C38" s="93" t="s">
        <v>29</v>
      </c>
      <c r="D38" s="93" t="s">
        <v>53</v>
      </c>
      <c r="E38" s="94" t="s">
        <v>103</v>
      </c>
      <c r="F38" s="93">
        <v>1.3060398010481804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100</v>
      </c>
      <c r="N38" s="91">
        <v>1.2948323815262701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83</v>
      </c>
      <c r="V38" s="93">
        <v>1.2824072640026398</v>
      </c>
      <c r="AC38" s="93" t="s">
        <v>54</v>
      </c>
      <c r="AD38" s="93" t="s">
        <v>20</v>
      </c>
      <c r="AE38" s="93" t="s">
        <v>78</v>
      </c>
      <c r="AF38" s="93" t="s">
        <v>53</v>
      </c>
      <c r="AG38" s="93" t="s">
        <v>84</v>
      </c>
      <c r="AH38" s="93">
        <v>4.3002725972031506</v>
      </c>
    </row>
    <row r="39" spans="1:34" s="93" customFormat="1">
      <c r="A39" s="93" t="s">
        <v>20</v>
      </c>
      <c r="B39" s="93" t="s">
        <v>55</v>
      </c>
      <c r="C39" s="93" t="s">
        <v>42</v>
      </c>
      <c r="D39" s="93" t="s">
        <v>53</v>
      </c>
      <c r="E39" s="94" t="s">
        <v>103</v>
      </c>
      <c r="F39" s="9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100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83</v>
      </c>
      <c r="V39" s="93">
        <v>3500</v>
      </c>
      <c r="AC39" s="93" t="s">
        <v>54</v>
      </c>
      <c r="AD39" s="93" t="s">
        <v>20</v>
      </c>
      <c r="AE39" s="93" t="s">
        <v>78</v>
      </c>
      <c r="AF39" s="93" t="s">
        <v>53</v>
      </c>
      <c r="AG39" s="93" t="s">
        <v>85</v>
      </c>
      <c r="AH39" s="93">
        <v>4.1930539804499194</v>
      </c>
    </row>
    <row r="40" spans="1:34" s="93" customFormat="1">
      <c r="A40" s="93" t="s">
        <v>20</v>
      </c>
      <c r="B40" s="93" t="s">
        <v>56</v>
      </c>
      <c r="C40" s="93" t="s">
        <v>78</v>
      </c>
      <c r="D40" s="93" t="s">
        <v>53</v>
      </c>
      <c r="E40" s="94" t="s">
        <v>103</v>
      </c>
      <c r="F40" s="93">
        <v>4.123888942161555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100</v>
      </c>
      <c r="N40" s="91">
        <v>4.0195510152855149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83</v>
      </c>
      <c r="V40" s="93">
        <v>4.145604497342033</v>
      </c>
      <c r="AC40" s="93" t="s">
        <v>54</v>
      </c>
      <c r="AD40" s="93" t="s">
        <v>20</v>
      </c>
      <c r="AE40" s="93" t="s">
        <v>78</v>
      </c>
      <c r="AF40" s="93" t="s">
        <v>53</v>
      </c>
      <c r="AG40" s="93" t="s">
        <v>97</v>
      </c>
      <c r="AH40" s="93">
        <v>4.1930539804499194</v>
      </c>
    </row>
    <row r="41" spans="1:34" s="93" customFormat="1">
      <c r="A41" s="93" t="s">
        <v>20</v>
      </c>
      <c r="B41" s="93" t="s">
        <v>56</v>
      </c>
      <c r="C41" s="93" t="s">
        <v>0</v>
      </c>
      <c r="D41" s="93" t="s">
        <v>53</v>
      </c>
      <c r="E41" s="94" t="s">
        <v>103</v>
      </c>
      <c r="F41" s="93">
        <v>4.1479999999999997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100</v>
      </c>
      <c r="N41" s="91">
        <v>4.1340000000000003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83</v>
      </c>
      <c r="V41" s="93">
        <v>4.2590000000000003</v>
      </c>
      <c r="AC41" s="93" t="s">
        <v>54</v>
      </c>
      <c r="AD41" s="93" t="s">
        <v>20</v>
      </c>
      <c r="AE41" s="93" t="s">
        <v>78</v>
      </c>
      <c r="AF41" s="93" t="s">
        <v>53</v>
      </c>
      <c r="AG41" s="93" t="s">
        <v>100</v>
      </c>
      <c r="AH41" s="93">
        <v>4.3001919961318613</v>
      </c>
    </row>
    <row r="42" spans="1:34" s="93" customFormat="1">
      <c r="A42" s="93" t="s">
        <v>20</v>
      </c>
      <c r="B42" s="93" t="s">
        <v>56</v>
      </c>
      <c r="C42" s="93" t="s">
        <v>41</v>
      </c>
      <c r="D42" s="93" t="s">
        <v>53</v>
      </c>
      <c r="E42" s="94" t="s">
        <v>103</v>
      </c>
      <c r="F42" s="93">
        <v>3602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100</v>
      </c>
      <c r="N42" s="91">
        <v>2352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83</v>
      </c>
      <c r="V42" s="93">
        <v>2377</v>
      </c>
      <c r="AC42" s="93" t="s">
        <v>54</v>
      </c>
      <c r="AD42" s="93" t="s">
        <v>20</v>
      </c>
      <c r="AE42" s="93" t="s">
        <v>78</v>
      </c>
      <c r="AF42" s="93" t="s">
        <v>53</v>
      </c>
      <c r="AG42" s="93" t="s">
        <v>103</v>
      </c>
      <c r="AH42" s="93">
        <v>4.1930539804499194</v>
      </c>
    </row>
    <row r="43" spans="1:34" s="93" customFormat="1">
      <c r="A43" s="93" t="s">
        <v>20</v>
      </c>
      <c r="B43" s="93" t="s">
        <v>56</v>
      </c>
      <c r="C43" s="93" t="s">
        <v>1</v>
      </c>
      <c r="D43" s="93" t="s">
        <v>53</v>
      </c>
      <c r="E43" s="94" t="s">
        <v>103</v>
      </c>
      <c r="F43" s="9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100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83</v>
      </c>
      <c r="V43" s="93">
        <v>500000</v>
      </c>
      <c r="AC43" s="93" t="s">
        <v>55</v>
      </c>
      <c r="AD43" s="93" t="s">
        <v>20</v>
      </c>
      <c r="AE43" s="93" t="s">
        <v>78</v>
      </c>
      <c r="AF43" s="93" t="s">
        <v>53</v>
      </c>
      <c r="AG43" s="93" t="s">
        <v>86</v>
      </c>
      <c r="AH43" s="93">
        <v>4.0036250000000004</v>
      </c>
    </row>
    <row r="44" spans="1:34" s="93" customFormat="1">
      <c r="A44" s="93" t="s">
        <v>20</v>
      </c>
      <c r="B44" s="93" t="s">
        <v>56</v>
      </c>
      <c r="C44" s="93" t="s">
        <v>7</v>
      </c>
      <c r="D44" s="93" t="s">
        <v>53</v>
      </c>
      <c r="E44" s="94" t="s">
        <v>103</v>
      </c>
      <c r="F44" s="9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100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83</v>
      </c>
      <c r="V44" s="93">
        <v>1</v>
      </c>
      <c r="AC44" s="93" t="s">
        <v>55</v>
      </c>
      <c r="AD44" s="93" t="s">
        <v>20</v>
      </c>
      <c r="AE44" s="93" t="s">
        <v>78</v>
      </c>
      <c r="AF44" s="93" t="s">
        <v>53</v>
      </c>
      <c r="AG44" s="93" t="s">
        <v>88</v>
      </c>
      <c r="AH44" s="93">
        <v>4.0036250000000004</v>
      </c>
    </row>
    <row r="45" spans="1:34" s="93" customFormat="1">
      <c r="A45" s="93" t="s">
        <v>20</v>
      </c>
      <c r="B45" s="93" t="s">
        <v>56</v>
      </c>
      <c r="C45" s="93" t="s">
        <v>26</v>
      </c>
      <c r="D45" s="93" t="s">
        <v>53</v>
      </c>
      <c r="E45" s="94" t="s">
        <v>103</v>
      </c>
      <c r="F45" s="93">
        <v>4.125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100</v>
      </c>
      <c r="N45" s="91">
        <v>4.125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83</v>
      </c>
      <c r="V45" s="93">
        <v>4.25</v>
      </c>
      <c r="AC45" s="93" t="s">
        <v>55</v>
      </c>
      <c r="AD45" s="93" t="s">
        <v>20</v>
      </c>
      <c r="AE45" s="93" t="s">
        <v>78</v>
      </c>
      <c r="AF45" s="93" t="s">
        <v>53</v>
      </c>
      <c r="AG45" s="93" t="s">
        <v>89</v>
      </c>
      <c r="AH45" s="93">
        <v>3.9717500000000001</v>
      </c>
    </row>
    <row r="46" spans="1:34" s="93" customFormat="1">
      <c r="A46" s="93" t="s">
        <v>20</v>
      </c>
      <c r="B46" s="93" t="s">
        <v>56</v>
      </c>
      <c r="C46" s="93" t="s">
        <v>29</v>
      </c>
      <c r="D46" s="93" t="s">
        <v>53</v>
      </c>
      <c r="E46" s="94" t="s">
        <v>103</v>
      </c>
      <c r="F46" s="93">
        <v>1.292383193019055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100</v>
      </c>
      <c r="N46" s="91">
        <v>1.2057319050315349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83</v>
      </c>
      <c r="V46" s="93">
        <v>1.2152874864401328</v>
      </c>
      <c r="AC46" s="93" t="s">
        <v>55</v>
      </c>
      <c r="AD46" s="93" t="s">
        <v>20</v>
      </c>
      <c r="AE46" s="93" t="s">
        <v>78</v>
      </c>
      <c r="AF46" s="93" t="s">
        <v>53</v>
      </c>
      <c r="AG46" s="93" t="s">
        <v>83</v>
      </c>
      <c r="AH46" s="93">
        <v>4.0676249999999996</v>
      </c>
    </row>
    <row r="47" spans="1:34" s="93" customFormat="1">
      <c r="A47" s="93" t="s">
        <v>20</v>
      </c>
      <c r="B47" s="93" t="s">
        <v>57</v>
      </c>
      <c r="C47" s="93" t="s">
        <v>78</v>
      </c>
      <c r="D47" s="93" t="s">
        <v>53</v>
      </c>
      <c r="E47" s="94" t="s">
        <v>103</v>
      </c>
      <c r="F47" s="93">
        <v>3.8714038285041039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100</v>
      </c>
      <c r="N47" s="91">
        <v>3.8281034376602534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83</v>
      </c>
      <c r="V47" s="93">
        <v>3.9975388163708763</v>
      </c>
      <c r="AC47" s="93" t="s">
        <v>55</v>
      </c>
      <c r="AD47" s="93" t="s">
        <v>20</v>
      </c>
      <c r="AE47" s="93" t="s">
        <v>78</v>
      </c>
      <c r="AF47" s="93" t="s">
        <v>53</v>
      </c>
      <c r="AG47" s="93" t="s">
        <v>84</v>
      </c>
      <c r="AH47" s="93">
        <v>4.0353750000000002</v>
      </c>
    </row>
    <row r="48" spans="1:34" s="93" customFormat="1">
      <c r="A48" s="93" t="s">
        <v>20</v>
      </c>
      <c r="B48" s="93" t="s">
        <v>57</v>
      </c>
      <c r="C48" s="93" t="s">
        <v>0</v>
      </c>
      <c r="D48" s="93" t="s">
        <v>53</v>
      </c>
      <c r="E48" s="94" t="s">
        <v>103</v>
      </c>
      <c r="F48" s="93">
        <v>4.0060000000000002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100</v>
      </c>
      <c r="N48" s="91">
        <v>4.0019999999999998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83</v>
      </c>
      <c r="V48" s="93">
        <v>4.1310000000000002</v>
      </c>
      <c r="AC48" s="93" t="s">
        <v>55</v>
      </c>
      <c r="AD48" s="93" t="s">
        <v>20</v>
      </c>
      <c r="AE48" s="93" t="s">
        <v>78</v>
      </c>
      <c r="AF48" s="93" t="s">
        <v>53</v>
      </c>
      <c r="AG48" s="93" t="s">
        <v>85</v>
      </c>
      <c r="AH48" s="93">
        <v>4.0353750000000002</v>
      </c>
    </row>
    <row r="49" spans="1:34" s="93" customFormat="1">
      <c r="A49" s="93" t="s">
        <v>20</v>
      </c>
      <c r="B49" s="93" t="s">
        <v>57</v>
      </c>
      <c r="C49" s="93" t="s">
        <v>41</v>
      </c>
      <c r="D49" s="93" t="s">
        <v>53</v>
      </c>
      <c r="E49" s="94" t="s">
        <v>103</v>
      </c>
      <c r="F49" s="93">
        <v>3099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100</v>
      </c>
      <c r="N49" s="91">
        <v>2162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83</v>
      </c>
      <c r="V49" s="93">
        <v>3137</v>
      </c>
      <c r="AC49" s="93" t="s">
        <v>55</v>
      </c>
      <c r="AD49" s="93" t="s">
        <v>20</v>
      </c>
      <c r="AE49" s="93" t="s">
        <v>78</v>
      </c>
      <c r="AF49" s="93" t="s">
        <v>53</v>
      </c>
      <c r="AG49" s="93" t="s">
        <v>97</v>
      </c>
      <c r="AH49" s="93">
        <v>4.0036250000000004</v>
      </c>
    </row>
    <row r="50" spans="1:34" s="93" customFormat="1">
      <c r="A50" s="93" t="s">
        <v>20</v>
      </c>
      <c r="B50" s="93" t="s">
        <v>57</v>
      </c>
      <c r="C50" s="93" t="s">
        <v>1</v>
      </c>
      <c r="D50" s="93" t="s">
        <v>53</v>
      </c>
      <c r="E50" s="94" t="s">
        <v>103</v>
      </c>
      <c r="F50" s="9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100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83</v>
      </c>
      <c r="V50" s="93">
        <v>750000</v>
      </c>
      <c r="AC50" s="93" t="s">
        <v>55</v>
      </c>
      <c r="AD50" s="93" t="s">
        <v>20</v>
      </c>
      <c r="AE50" s="93" t="s">
        <v>78</v>
      </c>
      <c r="AF50" s="93" t="s">
        <v>53</v>
      </c>
      <c r="AG50" s="93" t="s">
        <v>100</v>
      </c>
      <c r="AH50" s="93">
        <v>3.9717500000000001</v>
      </c>
    </row>
    <row r="51" spans="1:34" s="93" customFormat="1">
      <c r="A51" s="93" t="s">
        <v>20</v>
      </c>
      <c r="B51" s="93" t="s">
        <v>57</v>
      </c>
      <c r="C51" s="93" t="s">
        <v>7</v>
      </c>
      <c r="D51" s="93" t="s">
        <v>53</v>
      </c>
      <c r="E51" s="94" t="s">
        <v>103</v>
      </c>
      <c r="F51" s="9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100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83</v>
      </c>
      <c r="V51" s="93">
        <v>1</v>
      </c>
      <c r="AC51" s="93" t="s">
        <v>55</v>
      </c>
      <c r="AD51" s="93" t="s">
        <v>20</v>
      </c>
      <c r="AE51" s="93" t="s">
        <v>78</v>
      </c>
      <c r="AF51" s="93" t="s">
        <v>53</v>
      </c>
      <c r="AG51" s="93" t="s">
        <v>103</v>
      </c>
      <c r="AH51" s="93">
        <v>4.0036250000000004</v>
      </c>
    </row>
    <row r="52" spans="1:34" s="93" customFormat="1">
      <c r="A52" s="93" t="s">
        <v>20</v>
      </c>
      <c r="B52" s="93" t="s">
        <v>57</v>
      </c>
      <c r="C52" s="93" t="s">
        <v>26</v>
      </c>
      <c r="D52" s="93" t="s">
        <v>53</v>
      </c>
      <c r="E52" s="94" t="s">
        <v>103</v>
      </c>
      <c r="F52" s="93">
        <v>4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100</v>
      </c>
      <c r="N52" s="91">
        <v>4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83</v>
      </c>
      <c r="V52" s="93">
        <v>4.125</v>
      </c>
      <c r="AC52" s="93" t="s">
        <v>56</v>
      </c>
      <c r="AD52" s="93" t="s">
        <v>20</v>
      </c>
      <c r="AE52" s="93" t="s">
        <v>78</v>
      </c>
      <c r="AF52" s="93" t="s">
        <v>53</v>
      </c>
      <c r="AG52" s="93" t="s">
        <v>86</v>
      </c>
      <c r="AH52" s="93">
        <v>4.123888942161555</v>
      </c>
    </row>
    <row r="53" spans="1:34" s="93" customFormat="1">
      <c r="A53" s="93" t="s">
        <v>20</v>
      </c>
      <c r="B53" s="93" t="s">
        <v>57</v>
      </c>
      <c r="C53" s="93" t="s">
        <v>29</v>
      </c>
      <c r="D53" s="93" t="s">
        <v>53</v>
      </c>
      <c r="E53" s="94" t="s">
        <v>103</v>
      </c>
      <c r="F53" s="93">
        <v>1.0398980793616039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100</v>
      </c>
      <c r="N53" s="91">
        <v>1.0142843274062734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83</v>
      </c>
      <c r="V53" s="93">
        <v>1.0672218054689764</v>
      </c>
      <c r="AC53" s="93" t="s">
        <v>56</v>
      </c>
      <c r="AD53" s="93" t="s">
        <v>20</v>
      </c>
      <c r="AE53" s="93" t="s">
        <v>78</v>
      </c>
      <c r="AF53" s="93" t="s">
        <v>53</v>
      </c>
      <c r="AG53" s="93" t="s">
        <v>88</v>
      </c>
      <c r="AH53" s="93">
        <v>4.123888942161555</v>
      </c>
    </row>
    <row r="54" spans="1:34" s="93" customFormat="1">
      <c r="AC54" s="93" t="s">
        <v>56</v>
      </c>
      <c r="AD54" s="93" t="s">
        <v>20</v>
      </c>
      <c r="AE54" s="93" t="s">
        <v>78</v>
      </c>
      <c r="AF54" s="93" t="s">
        <v>53</v>
      </c>
      <c r="AG54" s="93" t="s">
        <v>89</v>
      </c>
      <c r="AH54" s="93">
        <v>4.123888942161555</v>
      </c>
    </row>
    <row r="55" spans="1:34" s="93" customFormat="1">
      <c r="AC55" s="93" t="s">
        <v>56</v>
      </c>
      <c r="AD55" s="93" t="s">
        <v>20</v>
      </c>
      <c r="AE55" s="93" t="s">
        <v>78</v>
      </c>
      <c r="AF55" s="93" t="s">
        <v>53</v>
      </c>
      <c r="AG55" s="93" t="s">
        <v>83</v>
      </c>
      <c r="AH55" s="93">
        <v>4.145604497342033</v>
      </c>
    </row>
    <row r="56" spans="1:34" s="93" customFormat="1">
      <c r="AC56" s="93" t="s">
        <v>56</v>
      </c>
      <c r="AD56" s="93" t="s">
        <v>20</v>
      </c>
      <c r="AE56" s="93" t="s">
        <v>78</v>
      </c>
      <c r="AF56" s="93" t="s">
        <v>53</v>
      </c>
      <c r="AG56" s="93" t="s">
        <v>84</v>
      </c>
      <c r="AH56" s="93">
        <v>4.0563500000000001</v>
      </c>
    </row>
    <row r="57" spans="1:34" s="93" customFormat="1">
      <c r="AC57" s="93" t="s">
        <v>56</v>
      </c>
      <c r="AD57" s="93" t="s">
        <v>20</v>
      </c>
      <c r="AE57" s="93" t="s">
        <v>78</v>
      </c>
      <c r="AF57" s="93" t="s">
        <v>53</v>
      </c>
      <c r="AG57" s="93" t="s">
        <v>85</v>
      </c>
      <c r="AH57" s="93">
        <v>4.0251000000000001</v>
      </c>
    </row>
    <row r="58" spans="1:34" s="93" customFormat="1">
      <c r="AC58" s="93" t="s">
        <v>56</v>
      </c>
      <c r="AD58" s="93" t="s">
        <v>20</v>
      </c>
      <c r="AE58" s="93" t="s">
        <v>78</v>
      </c>
      <c r="AF58" s="93" t="s">
        <v>53</v>
      </c>
      <c r="AG58" s="93" t="s">
        <v>97</v>
      </c>
      <c r="AH58" s="93">
        <v>4.123888942161555</v>
      </c>
    </row>
    <row r="59" spans="1:34" s="93" customFormat="1">
      <c r="AC59" s="93" t="s">
        <v>56</v>
      </c>
      <c r="AD59" s="93" t="s">
        <v>20</v>
      </c>
      <c r="AE59" s="93" t="s">
        <v>78</v>
      </c>
      <c r="AF59" s="93" t="s">
        <v>53</v>
      </c>
      <c r="AG59" s="93" t="s">
        <v>100</v>
      </c>
      <c r="AH59" s="93">
        <v>4.0195510152855149</v>
      </c>
    </row>
    <row r="60" spans="1:34" s="93" customFormat="1">
      <c r="AC60" s="93" t="s">
        <v>56</v>
      </c>
      <c r="AD60" s="93" t="s">
        <v>20</v>
      </c>
      <c r="AE60" s="93" t="s">
        <v>78</v>
      </c>
      <c r="AF60" s="93" t="s">
        <v>53</v>
      </c>
      <c r="AG60" s="93" t="s">
        <v>103</v>
      </c>
      <c r="AH60" s="93">
        <v>4.123888942161555</v>
      </c>
    </row>
    <row r="61" spans="1:34" s="93" customFormat="1">
      <c r="AC61" s="93" t="s">
        <v>57</v>
      </c>
      <c r="AD61" s="93" t="s">
        <v>20</v>
      </c>
      <c r="AE61" s="93" t="s">
        <v>78</v>
      </c>
      <c r="AF61" s="93" t="s">
        <v>53</v>
      </c>
      <c r="AG61" s="93" t="s">
        <v>86</v>
      </c>
      <c r="AH61" s="93">
        <v>3.9170666666666665</v>
      </c>
    </row>
    <row r="62" spans="1:34" s="93" customFormat="1">
      <c r="AC62" s="93" t="s">
        <v>57</v>
      </c>
      <c r="AD62" s="93" t="s">
        <v>20</v>
      </c>
      <c r="AE62" s="93" t="s">
        <v>78</v>
      </c>
      <c r="AF62" s="93" t="s">
        <v>53</v>
      </c>
      <c r="AG62" s="93" t="s">
        <v>88</v>
      </c>
      <c r="AH62" s="93">
        <v>3.9170666666666665</v>
      </c>
    </row>
    <row r="63" spans="1:34" s="93" customFormat="1">
      <c r="AC63" s="93" t="s">
        <v>57</v>
      </c>
      <c r="AD63" s="93" t="s">
        <v>20</v>
      </c>
      <c r="AE63" s="93" t="s">
        <v>78</v>
      </c>
      <c r="AF63" s="93" t="s">
        <v>53</v>
      </c>
      <c r="AG63" s="93" t="s">
        <v>89</v>
      </c>
      <c r="AH63" s="93">
        <v>3.9170666666666665</v>
      </c>
    </row>
    <row r="64" spans="1:34" s="93" customFormat="1">
      <c r="AC64" s="93" t="s">
        <v>57</v>
      </c>
      <c r="AD64" s="93" t="s">
        <v>20</v>
      </c>
      <c r="AE64" s="93" t="s">
        <v>78</v>
      </c>
      <c r="AF64" s="93" t="s">
        <v>53</v>
      </c>
      <c r="AG64" s="93" t="s">
        <v>83</v>
      </c>
      <c r="AH64" s="93">
        <v>3.9975388163708763</v>
      </c>
    </row>
    <row r="65" spans="29:34" s="93" customFormat="1">
      <c r="AC65" s="93" t="s">
        <v>57</v>
      </c>
      <c r="AD65" s="93" t="s">
        <v>20</v>
      </c>
      <c r="AE65" s="93" t="s">
        <v>78</v>
      </c>
      <c r="AF65" s="93" t="s">
        <v>53</v>
      </c>
      <c r="AG65" s="93" t="s">
        <v>84</v>
      </c>
      <c r="AH65" s="93">
        <v>3.9543261870321942</v>
      </c>
    </row>
    <row r="66" spans="29:34" s="93" customFormat="1">
      <c r="AC66" s="93" t="s">
        <v>57</v>
      </c>
      <c r="AD66" s="93" t="s">
        <v>20</v>
      </c>
      <c r="AE66" s="93" t="s">
        <v>78</v>
      </c>
      <c r="AF66" s="93" t="s">
        <v>53</v>
      </c>
      <c r="AG66" s="93" t="s">
        <v>85</v>
      </c>
      <c r="AH66" s="93">
        <v>3.929789796110164</v>
      </c>
    </row>
    <row r="67" spans="29:34" s="93" customFormat="1">
      <c r="AC67" s="93" t="s">
        <v>57</v>
      </c>
      <c r="AD67" s="93" t="s">
        <v>20</v>
      </c>
      <c r="AE67" s="93" t="s">
        <v>78</v>
      </c>
      <c r="AF67" s="93" t="s">
        <v>53</v>
      </c>
      <c r="AG67" s="93" t="s">
        <v>97</v>
      </c>
      <c r="AH67" s="93">
        <v>3.929789796110164</v>
      </c>
    </row>
    <row r="68" spans="29:34" s="93" customFormat="1">
      <c r="AC68" s="93" t="s">
        <v>57</v>
      </c>
      <c r="AD68" s="93" t="s">
        <v>20</v>
      </c>
      <c r="AE68" s="93" t="s">
        <v>78</v>
      </c>
      <c r="AF68" s="93" t="s">
        <v>53</v>
      </c>
      <c r="AG68" s="93" t="s">
        <v>100</v>
      </c>
      <c r="AH68" s="93">
        <v>3.8281034376602534</v>
      </c>
    </row>
    <row r="69" spans="29:34" s="93" customFormat="1">
      <c r="AC69" s="93" t="s">
        <v>57</v>
      </c>
      <c r="AD69" s="93" t="s">
        <v>20</v>
      </c>
      <c r="AE69" s="93" t="s">
        <v>78</v>
      </c>
      <c r="AF69" s="93" t="s">
        <v>53</v>
      </c>
      <c r="AG69" s="93" t="s">
        <v>103</v>
      </c>
      <c r="AH69" s="93">
        <v>3.8714038285041039</v>
      </c>
    </row>
    <row r="70" spans="29:34" s="93" customFormat="1"/>
    <row r="71" spans="29:34" s="93" customFormat="1"/>
    <row r="72" spans="29:34" s="93" customFormat="1"/>
    <row r="73" spans="29:34" s="93" customFormat="1"/>
    <row r="74" spans="29:34" s="93" customFormat="1"/>
    <row r="75" spans="29:34" s="93" customFormat="1"/>
    <row r="76" spans="29:34" s="93" customFormat="1"/>
    <row r="77" spans="29:34" s="93" customFormat="1"/>
    <row r="78" spans="29:34" s="93" customFormat="1"/>
    <row r="79" spans="29:34" s="93" customFormat="1"/>
    <row r="80" spans="29:34" s="93" customFormat="1"/>
    <row r="81" spans="1:34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  <c r="AC81" s="93"/>
      <c r="AD81" s="93"/>
      <c r="AE81" s="93"/>
      <c r="AF81" s="93"/>
      <c r="AG81" s="93"/>
      <c r="AH81" s="93"/>
    </row>
    <row r="82" spans="1:34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  <c r="AC82" s="93"/>
      <c r="AD82" s="93"/>
      <c r="AE82" s="93"/>
      <c r="AF82" s="93"/>
      <c r="AG82" s="93"/>
      <c r="AH82" s="93"/>
    </row>
    <row r="83" spans="1:34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  <c r="AC83" s="93"/>
      <c r="AD83" s="93"/>
      <c r="AE83" s="93"/>
      <c r="AF83" s="93"/>
      <c r="AG83" s="93"/>
      <c r="AH83" s="93"/>
    </row>
    <row r="84" spans="1:34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  <c r="AC84" s="93"/>
      <c r="AD84" s="93"/>
      <c r="AE84" s="93"/>
      <c r="AF84" s="93"/>
      <c r="AG84" s="93"/>
      <c r="AH84" s="93"/>
    </row>
    <row r="85" spans="1:34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  <c r="AC85" s="93"/>
      <c r="AD85" s="93"/>
      <c r="AE85" s="93"/>
      <c r="AF85" s="93"/>
      <c r="AG85" s="93"/>
      <c r="AH85" s="93"/>
    </row>
    <row r="86" spans="1:34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  <c r="AC86" s="93"/>
      <c r="AD86" s="93"/>
      <c r="AE86" s="93"/>
      <c r="AF86" s="93"/>
      <c r="AG86" s="93"/>
      <c r="AH86" s="93"/>
    </row>
    <row r="87" spans="1:34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  <c r="AC87" s="93"/>
      <c r="AD87" s="93"/>
      <c r="AE87" s="93"/>
      <c r="AF87" s="93"/>
      <c r="AG87" s="93"/>
      <c r="AH87" s="93"/>
    </row>
    <row r="88" spans="1:34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  <c r="AC88" s="93"/>
      <c r="AD88" s="93"/>
      <c r="AE88" s="93"/>
      <c r="AF88" s="93"/>
      <c r="AG88" s="93"/>
      <c r="AH88" s="93"/>
    </row>
    <row r="89" spans="1:34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  <c r="AC89" s="93"/>
      <c r="AD89" s="93"/>
      <c r="AE89" s="93"/>
      <c r="AF89" s="93"/>
      <c r="AG89" s="93"/>
      <c r="AH89" s="93"/>
    </row>
    <row r="90" spans="1:34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  <c r="AC90" s="93"/>
      <c r="AD90" s="93"/>
      <c r="AE90" s="93"/>
      <c r="AF90" s="93"/>
      <c r="AG90" s="93"/>
      <c r="AH90" s="93"/>
    </row>
    <row r="91" spans="1:34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  <c r="AC91" s="93"/>
      <c r="AD91" s="93"/>
      <c r="AE91" s="93"/>
      <c r="AF91" s="93"/>
      <c r="AG91" s="93"/>
      <c r="AH91" s="93"/>
    </row>
    <row r="92" spans="1:34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  <c r="AC92" s="93"/>
      <c r="AD92" s="93"/>
      <c r="AE92" s="93"/>
      <c r="AF92" s="93"/>
      <c r="AG92" s="93"/>
      <c r="AH92" s="93"/>
    </row>
    <row r="93" spans="1:34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  <c r="AC93" s="93"/>
      <c r="AD93" s="93"/>
      <c r="AE93" s="93"/>
      <c r="AF93" s="93"/>
      <c r="AG93" s="93"/>
      <c r="AH93" s="93"/>
    </row>
    <row r="94" spans="1:34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  <c r="AC94" s="93"/>
      <c r="AD94" s="93"/>
      <c r="AE94" s="93"/>
      <c r="AF94" s="93"/>
      <c r="AG94" s="93"/>
      <c r="AH94" s="93"/>
    </row>
    <row r="95" spans="1:34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  <c r="AC95" s="93"/>
      <c r="AD95" s="93"/>
      <c r="AE95" s="93"/>
      <c r="AF95" s="93"/>
      <c r="AG95" s="93"/>
      <c r="AH95" s="93"/>
    </row>
    <row r="96" spans="1:34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  <c r="AC96" s="93"/>
      <c r="AD96" s="93"/>
      <c r="AE96" s="93"/>
      <c r="AF96" s="93"/>
      <c r="AG96" s="93"/>
      <c r="AH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>
      <c r="Q107" s="93"/>
      <c r="R107" s="93"/>
      <c r="S107" s="93"/>
      <c r="T107" s="93"/>
      <c r="U107" s="93"/>
      <c r="V107" s="93"/>
    </row>
    <row r="108" spans="9:22" s="92" customFormat="1">
      <c r="Q108" s="93"/>
      <c r="R108" s="93"/>
      <c r="S108" s="93"/>
      <c r="T108" s="93"/>
      <c r="U108" s="93"/>
      <c r="V108" s="93"/>
    </row>
    <row r="109" spans="9:22" s="92" customFormat="1">
      <c r="Q109" s="93"/>
      <c r="R109" s="93"/>
      <c r="S109" s="93"/>
      <c r="T109" s="93"/>
      <c r="U109" s="93"/>
      <c r="V109" s="93"/>
    </row>
    <row r="110" spans="9:22" s="92" customFormat="1">
      <c r="Q110" s="93"/>
      <c r="R110" s="93"/>
      <c r="S110" s="93"/>
      <c r="T110" s="93"/>
      <c r="U110" s="93"/>
      <c r="V110" s="93"/>
    </row>
    <row r="111" spans="9:22" s="92" customFormat="1">
      <c r="Q111" s="93"/>
      <c r="R111" s="93"/>
      <c r="S111" s="93"/>
      <c r="T111" s="93"/>
      <c r="U111" s="93"/>
      <c r="V111" s="93"/>
    </row>
    <row r="112" spans="9:22" s="92" customFormat="1">
      <c r="Q112" s="93"/>
      <c r="R112" s="93"/>
      <c r="S112" s="93"/>
      <c r="T112" s="93"/>
      <c r="U112" s="93"/>
      <c r="V112" s="93"/>
    </row>
    <row r="113" spans="17:22" s="92" customFormat="1">
      <c r="Q113" s="93"/>
      <c r="R113" s="93"/>
      <c r="S113" s="93"/>
      <c r="T113" s="93"/>
      <c r="U113" s="93"/>
      <c r="V113" s="93"/>
    </row>
    <row r="114" spans="17:22" s="92" customFormat="1">
      <c r="Q114" s="93"/>
      <c r="R114" s="93"/>
      <c r="S114" s="93"/>
      <c r="T114" s="93"/>
      <c r="U114" s="93"/>
      <c r="V114" s="93"/>
    </row>
    <row r="115" spans="17:22" s="92" customFormat="1">
      <c r="Q115" s="93"/>
      <c r="R115" s="93"/>
      <c r="S115" s="93"/>
      <c r="T115" s="93"/>
      <c r="U115" s="93"/>
      <c r="V115" s="93"/>
    </row>
    <row r="116" spans="17:22" s="92" customFormat="1">
      <c r="Q116" s="93"/>
      <c r="R116" s="93"/>
      <c r="S116" s="93"/>
      <c r="T116" s="93"/>
      <c r="U116" s="93"/>
      <c r="V116" s="93"/>
    </row>
    <row r="117" spans="17:22" s="92" customFormat="1">
      <c r="Q117" s="93"/>
      <c r="R117" s="93"/>
      <c r="S117" s="93"/>
      <c r="T117" s="93"/>
      <c r="U117" s="93"/>
      <c r="V117" s="93"/>
    </row>
    <row r="118" spans="17:22" s="92" customFormat="1">
      <c r="Q118" s="93"/>
      <c r="R118" s="93"/>
      <c r="S118" s="93"/>
      <c r="T118" s="93"/>
      <c r="U118" s="93"/>
      <c r="V118" s="93"/>
    </row>
    <row r="119" spans="17:22" s="92" customFormat="1">
      <c r="Q119" s="93"/>
      <c r="R119" s="93"/>
      <c r="S119" s="93"/>
      <c r="T119" s="93"/>
      <c r="U119" s="93"/>
      <c r="V119" s="93"/>
    </row>
    <row r="120" spans="17:22" s="92" customFormat="1">
      <c r="Q120" s="93"/>
      <c r="R120" s="93"/>
      <c r="S120" s="93"/>
      <c r="T120" s="93"/>
      <c r="U120" s="93"/>
      <c r="V120" s="93"/>
    </row>
    <row r="121" spans="17:22" s="92" customFormat="1">
      <c r="Q121" s="93"/>
      <c r="R121" s="93"/>
      <c r="S121" s="93"/>
      <c r="T121" s="93"/>
      <c r="U121" s="93"/>
      <c r="V121" s="93"/>
    </row>
    <row r="122" spans="17:22" s="92" customFormat="1">
      <c r="Q122" s="93"/>
      <c r="R122" s="93"/>
      <c r="S122" s="93"/>
      <c r="T122" s="93"/>
      <c r="U122" s="93"/>
      <c r="V122" s="93"/>
    </row>
    <row r="123" spans="17:22" s="92" customFormat="1">
      <c r="Q123" s="93"/>
      <c r="R123" s="93"/>
      <c r="S123" s="93"/>
      <c r="T123" s="93"/>
      <c r="U123" s="93"/>
      <c r="V123" s="93"/>
    </row>
    <row r="124" spans="17:22" s="92" customFormat="1">
      <c r="Q124" s="93"/>
      <c r="R124" s="93"/>
      <c r="S124" s="93"/>
      <c r="T124" s="93"/>
      <c r="U124" s="93"/>
      <c r="V124" s="93"/>
    </row>
    <row r="125" spans="17:22" s="92" customFormat="1">
      <c r="Q125" s="93"/>
      <c r="R125" s="93"/>
      <c r="S125" s="93"/>
      <c r="T125" s="93"/>
      <c r="U125" s="93"/>
      <c r="V125" s="93"/>
    </row>
    <row r="126" spans="17:22" s="92" customFormat="1">
      <c r="Q126" s="93"/>
      <c r="R126" s="93"/>
      <c r="S126" s="93"/>
      <c r="T126" s="93"/>
      <c r="U126" s="93"/>
      <c r="V126" s="93"/>
    </row>
    <row r="127" spans="17:22" s="92" customFormat="1" ht="12"/>
    <row r="128" spans="17:22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34" s="92" customFormat="1" ht="12"/>
    <row r="146" spans="1:34" s="92" customFormat="1" ht="12"/>
    <row r="147" spans="1:34" s="92" customFormat="1" ht="12"/>
    <row r="148" spans="1:34" s="92" customFormat="1" ht="12"/>
    <row r="149" spans="1:34" s="92" customFormat="1" ht="12"/>
    <row r="150" spans="1:34" s="92" customFormat="1" ht="12"/>
    <row r="151" spans="1:34" s="92" customFormat="1" ht="12"/>
    <row r="152" spans="1:34" s="92" customFormat="1" ht="12"/>
    <row r="153" spans="1:34" s="92" customFormat="1" ht="12"/>
    <row r="154" spans="1:34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  <c r="AC154" s="92"/>
      <c r="AD154" s="92"/>
      <c r="AE154" s="92"/>
      <c r="AF154" s="92"/>
      <c r="AG154" s="92"/>
      <c r="AH154" s="92"/>
    </row>
    <row r="155" spans="1:34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  <c r="AC155" s="92"/>
      <c r="AD155" s="92"/>
      <c r="AE155" s="92"/>
      <c r="AF155" s="92"/>
      <c r="AG155" s="92"/>
      <c r="AH155" s="92"/>
    </row>
    <row r="156" spans="1:34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  <c r="AC156" s="92"/>
      <c r="AD156" s="92"/>
      <c r="AE156" s="92"/>
      <c r="AF156" s="92"/>
      <c r="AG156" s="92"/>
      <c r="AH156" s="92"/>
    </row>
    <row r="157" spans="1:34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  <c r="AC157" s="92"/>
      <c r="AD157" s="92"/>
      <c r="AE157" s="92"/>
      <c r="AF157" s="92"/>
      <c r="AG157" s="92"/>
      <c r="AH157" s="92"/>
    </row>
    <row r="158" spans="1:34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  <c r="AC158" s="92"/>
      <c r="AD158" s="92"/>
      <c r="AE158" s="92"/>
      <c r="AF158" s="92"/>
      <c r="AG158" s="92"/>
      <c r="AH158" s="92"/>
    </row>
    <row r="159" spans="1:34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  <c r="AC159" s="92"/>
      <c r="AD159" s="92"/>
      <c r="AE159" s="92"/>
      <c r="AF159" s="92"/>
      <c r="AG159" s="92"/>
      <c r="AH159" s="92"/>
    </row>
    <row r="160" spans="1:34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  <c r="AC160" s="92"/>
      <c r="AD160" s="92"/>
      <c r="AE160" s="92"/>
      <c r="AF160" s="92"/>
      <c r="AG160" s="92"/>
      <c r="AH160" s="92"/>
    </row>
    <row r="161" spans="1:34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  <c r="AC161" s="92"/>
      <c r="AD161" s="92"/>
      <c r="AE161" s="92"/>
      <c r="AF161" s="92"/>
      <c r="AG161" s="92"/>
      <c r="AH161" s="92"/>
    </row>
    <row r="162" spans="1:34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  <c r="AC162" s="92"/>
      <c r="AD162" s="92"/>
      <c r="AE162" s="92"/>
      <c r="AF162" s="92"/>
      <c r="AG162" s="92"/>
      <c r="AH162" s="92"/>
    </row>
    <row r="163" spans="1:34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  <c r="AC163" s="92"/>
      <c r="AD163" s="92"/>
      <c r="AE163" s="92"/>
      <c r="AF163" s="92"/>
      <c r="AG163" s="92"/>
      <c r="AH163" s="92"/>
    </row>
    <row r="164" spans="1:34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  <c r="AC164" s="92"/>
      <c r="AD164" s="92"/>
      <c r="AE164" s="92"/>
      <c r="AF164" s="92"/>
      <c r="AG164" s="92"/>
      <c r="AH164" s="92"/>
    </row>
    <row r="165" spans="1:34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  <c r="AC165" s="92"/>
      <c r="AD165" s="92"/>
      <c r="AE165" s="92"/>
      <c r="AF165" s="92"/>
      <c r="AG165" s="92"/>
      <c r="AH165" s="92"/>
    </row>
    <row r="166" spans="1:34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  <c r="AC166" s="92"/>
      <c r="AD166" s="92"/>
      <c r="AE166" s="92"/>
      <c r="AF166" s="92"/>
      <c r="AG166" s="92"/>
      <c r="AH166" s="92"/>
    </row>
    <row r="167" spans="1:34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  <c r="AC167" s="92"/>
      <c r="AD167" s="92"/>
      <c r="AE167" s="92"/>
      <c r="AF167" s="92"/>
      <c r="AG167" s="92"/>
      <c r="AH167" s="92"/>
    </row>
    <row r="168" spans="1:34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  <c r="AC168" s="92"/>
      <c r="AD168" s="92"/>
      <c r="AE168" s="92"/>
      <c r="AF168" s="92"/>
      <c r="AG168" s="92"/>
      <c r="AH168" s="92"/>
    </row>
    <row r="169" spans="1:34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  <c r="AC169" s="92"/>
      <c r="AD169" s="92"/>
      <c r="AE169" s="92"/>
      <c r="AF169" s="92"/>
      <c r="AG169" s="92"/>
      <c r="AH169" s="92"/>
    </row>
    <row r="170" spans="1:34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34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34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34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34">
      <c r="Q174" s="92"/>
      <c r="R174" s="92"/>
      <c r="S174" s="92"/>
      <c r="T174" s="92"/>
      <c r="U174" s="92"/>
      <c r="V174" s="92"/>
    </row>
    <row r="175" spans="1:34">
      <c r="Q175" s="92"/>
      <c r="R175" s="92"/>
      <c r="S175" s="92"/>
      <c r="T175" s="92"/>
      <c r="U175" s="92"/>
      <c r="V175" s="92"/>
    </row>
    <row r="176" spans="1:34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  <row r="180" spans="17:22">
      <c r="Q180" s="92"/>
      <c r="R180" s="92"/>
      <c r="S180" s="92"/>
      <c r="T180" s="92"/>
      <c r="U180" s="92"/>
      <c r="V180" s="92"/>
    </row>
    <row r="181" spans="17:22">
      <c r="Q181" s="92"/>
      <c r="R181" s="92"/>
      <c r="S181" s="92"/>
      <c r="T181" s="92"/>
      <c r="U181" s="92"/>
      <c r="V181" s="92"/>
    </row>
    <row r="182" spans="17:22">
      <c r="Q182" s="92"/>
      <c r="R182" s="92"/>
      <c r="S182" s="92"/>
      <c r="T182" s="92"/>
      <c r="U182" s="92"/>
      <c r="V182" s="92"/>
    </row>
    <row r="183" spans="17:22">
      <c r="Q183" s="92"/>
      <c r="R183" s="92"/>
      <c r="S183" s="92"/>
      <c r="T183" s="92"/>
      <c r="U183" s="92"/>
      <c r="V183" s="92"/>
    </row>
    <row r="184" spans="17:22">
      <c r="Q184" s="92"/>
      <c r="R184" s="92"/>
      <c r="S184" s="92"/>
      <c r="T184" s="92"/>
      <c r="U184" s="92"/>
      <c r="V184" s="92"/>
    </row>
    <row r="185" spans="17:22">
      <c r="Q185" s="92"/>
      <c r="R185" s="92"/>
      <c r="S185" s="92"/>
      <c r="T185" s="92"/>
      <c r="U185" s="92"/>
      <c r="V185" s="92"/>
    </row>
    <row r="186" spans="17:22">
      <c r="Q186" s="92"/>
      <c r="R186" s="92"/>
      <c r="S186" s="92"/>
      <c r="T186" s="92"/>
      <c r="U186" s="92"/>
      <c r="V186" s="92"/>
    </row>
    <row r="187" spans="17:22">
      <c r="Q187" s="92"/>
      <c r="R187" s="92"/>
      <c r="S187" s="92"/>
      <c r="T187" s="92"/>
      <c r="U187" s="92"/>
      <c r="V187" s="92"/>
    </row>
    <row r="188" spans="17:22">
      <c r="Q188" s="92"/>
      <c r="R188" s="92"/>
      <c r="S188" s="92"/>
      <c r="T188" s="92"/>
      <c r="U188" s="92"/>
      <c r="V188" s="92"/>
    </row>
    <row r="189" spans="17:22">
      <c r="Q189" s="92"/>
      <c r="R189" s="92"/>
      <c r="S189" s="92"/>
      <c r="T189" s="92"/>
      <c r="U189" s="92"/>
      <c r="V189" s="92"/>
    </row>
    <row r="190" spans="17:22">
      <c r="Q190" s="92"/>
      <c r="R190" s="92"/>
      <c r="S190" s="92"/>
      <c r="T190" s="92"/>
      <c r="U190" s="92"/>
      <c r="V190" s="92"/>
    </row>
    <row r="191" spans="17:22">
      <c r="Q191" s="92"/>
      <c r="R191" s="92"/>
      <c r="S191" s="92"/>
      <c r="T191" s="92"/>
      <c r="U191" s="92"/>
      <c r="V191" s="92"/>
    </row>
    <row r="192" spans="17:22">
      <c r="Q192" s="92"/>
      <c r="R192" s="92"/>
      <c r="S192" s="92"/>
      <c r="T192" s="92"/>
      <c r="U192" s="92"/>
      <c r="V192" s="92"/>
    </row>
    <row r="193" spans="17:22">
      <c r="Q193" s="92"/>
      <c r="R193" s="92"/>
      <c r="S193" s="92"/>
      <c r="T193" s="92"/>
      <c r="U193" s="92"/>
      <c r="V193" s="92"/>
    </row>
    <row r="194" spans="17:22">
      <c r="Q194" s="92"/>
      <c r="R194" s="92"/>
      <c r="S194" s="92"/>
      <c r="T194" s="92"/>
      <c r="U194" s="92"/>
      <c r="V194" s="92"/>
    </row>
    <row r="195" spans="17:22">
      <c r="Q195" s="92"/>
      <c r="R195" s="92"/>
      <c r="S195" s="92"/>
      <c r="T195" s="92"/>
      <c r="U195" s="92"/>
      <c r="V195" s="92"/>
    </row>
    <row r="196" spans="17:22">
      <c r="Q196" s="92"/>
      <c r="R196" s="92"/>
      <c r="S196" s="92"/>
      <c r="T196" s="92"/>
      <c r="U196" s="92"/>
      <c r="V196" s="92"/>
    </row>
    <row r="197" spans="17:22">
      <c r="Q197" s="92"/>
      <c r="R197" s="92"/>
      <c r="S197" s="92"/>
      <c r="T197" s="92"/>
      <c r="U197" s="92"/>
      <c r="V197" s="92"/>
    </row>
    <row r="198" spans="17:22">
      <c r="Q198" s="92"/>
      <c r="R198" s="92"/>
      <c r="S198" s="92"/>
      <c r="T198" s="92"/>
      <c r="U198" s="92"/>
      <c r="V198" s="92"/>
    </row>
    <row r="199" spans="17:22">
      <c r="Q199" s="92"/>
      <c r="R199" s="92"/>
      <c r="S199" s="92"/>
      <c r="T199" s="92"/>
      <c r="U199" s="92"/>
      <c r="V199" s="92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88"/>
  <sheetViews>
    <sheetView topLeftCell="A43" workbookViewId="0">
      <selection activeCell="A44" sqref="A44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32.7109375" customWidth="1"/>
    <col min="7" max="7" width="19.140625" customWidth="1"/>
    <col min="8" max="8" width="24.140625" customWidth="1"/>
    <col min="9" max="9" width="21.5703125" customWidth="1"/>
    <col min="10" max="10" width="26.5703125" bestFit="1" customWidth="1"/>
    <col min="11" max="11" width="25.28515625" customWidth="1"/>
    <col min="12" max="12" width="30.42578125" bestFit="1" customWidth="1"/>
    <col min="13" max="13" width="12" bestFit="1" customWidth="1"/>
  </cols>
  <sheetData>
    <row r="1" spans="1:11" ht="19.5">
      <c r="A1" s="173" t="s">
        <v>68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103</v>
      </c>
      <c r="B5" s="1" t="s">
        <v>20</v>
      </c>
      <c r="C5" s="1" t="s">
        <v>54</v>
      </c>
      <c r="D5" s="40">
        <v>4.125</v>
      </c>
      <c r="E5" s="40">
        <v>1</v>
      </c>
      <c r="F5" s="40">
        <v>4.1470000000000002</v>
      </c>
      <c r="G5" s="40">
        <v>2018</v>
      </c>
      <c r="H5" s="40">
        <v>200000</v>
      </c>
      <c r="I5" s="40"/>
      <c r="J5" s="40">
        <v>4.1930539804499194</v>
      </c>
      <c r="K5" s="40">
        <v>1.3615482313074194</v>
      </c>
    </row>
    <row r="6" spans="1:11">
      <c r="A6" s="1" t="s">
        <v>103</v>
      </c>
      <c r="B6" s="1" t="s">
        <v>20</v>
      </c>
      <c r="C6" s="1" t="s">
        <v>55</v>
      </c>
      <c r="D6" s="40">
        <v>3.875</v>
      </c>
      <c r="E6" s="40">
        <v>1</v>
      </c>
      <c r="F6" s="40">
        <v>4.9050000000000002</v>
      </c>
      <c r="G6" s="40">
        <v>6529</v>
      </c>
      <c r="H6" s="40">
        <v>200000</v>
      </c>
      <c r="I6" s="40">
        <v>3500</v>
      </c>
      <c r="J6" s="40">
        <v>4.0036250000000004</v>
      </c>
      <c r="K6" s="40">
        <v>1.3060398010481804</v>
      </c>
    </row>
    <row r="7" spans="1:11">
      <c r="A7" s="1" t="s">
        <v>103</v>
      </c>
      <c r="B7" s="1" t="s">
        <v>20</v>
      </c>
      <c r="C7" s="1" t="s">
        <v>56</v>
      </c>
      <c r="D7" s="40">
        <v>4.125</v>
      </c>
      <c r="E7" s="40">
        <v>1</v>
      </c>
      <c r="F7" s="40">
        <v>4.1479999999999997</v>
      </c>
      <c r="G7" s="40">
        <v>3602</v>
      </c>
      <c r="H7" s="40">
        <v>500000</v>
      </c>
      <c r="I7" s="40"/>
      <c r="J7" s="40">
        <v>4.123888942161555</v>
      </c>
      <c r="K7" s="40">
        <v>1.292383193019055</v>
      </c>
    </row>
    <row r="8" spans="1:11">
      <c r="A8" s="1" t="s">
        <v>103</v>
      </c>
      <c r="B8" s="1" t="s">
        <v>20</v>
      </c>
      <c r="C8" s="1" t="s">
        <v>57</v>
      </c>
      <c r="D8" s="40">
        <v>4</v>
      </c>
      <c r="E8" s="40">
        <v>1</v>
      </c>
      <c r="F8" s="40">
        <v>4.0060000000000002</v>
      </c>
      <c r="G8" s="40">
        <v>3099</v>
      </c>
      <c r="H8" s="40">
        <v>750000</v>
      </c>
      <c r="I8" s="40"/>
      <c r="J8" s="40">
        <v>3.8714038285041039</v>
      </c>
      <c r="K8" s="40">
        <v>1.0398980793616039</v>
      </c>
    </row>
    <row r="9" spans="1:11">
      <c r="A9" s="1" t="s">
        <v>103</v>
      </c>
      <c r="B9" s="1" t="s">
        <v>19</v>
      </c>
      <c r="C9" s="1" t="s">
        <v>54</v>
      </c>
      <c r="D9" s="40">
        <v>3.875</v>
      </c>
      <c r="E9" s="40">
        <v>1.875</v>
      </c>
      <c r="F9" s="40">
        <v>4.1029999999999998</v>
      </c>
      <c r="G9" s="40"/>
      <c r="H9" s="40"/>
      <c r="I9" s="40"/>
      <c r="J9" s="40">
        <v>4.3043588303271259</v>
      </c>
      <c r="K9" s="40">
        <v>1.4728530811846257</v>
      </c>
    </row>
    <row r="10" spans="1:11">
      <c r="A10" s="1" t="s">
        <v>103</v>
      </c>
      <c r="B10" s="1" t="s">
        <v>19</v>
      </c>
      <c r="C10" s="1" t="s">
        <v>55</v>
      </c>
      <c r="D10" s="40">
        <v>3.5</v>
      </c>
      <c r="E10" s="40">
        <v>2.125</v>
      </c>
      <c r="F10" s="40">
        <v>4.3879999999999999</v>
      </c>
      <c r="G10" s="40"/>
      <c r="H10" s="40"/>
      <c r="I10" s="40"/>
      <c r="J10" s="40"/>
      <c r="K10" s="40"/>
    </row>
    <row r="11" spans="1:11">
      <c r="A11" s="1" t="s">
        <v>103</v>
      </c>
      <c r="B11" s="1" t="s">
        <v>17</v>
      </c>
      <c r="C11" s="1" t="s">
        <v>54</v>
      </c>
      <c r="D11" s="40">
        <v>3.875</v>
      </c>
      <c r="E11" s="40">
        <v>1.214</v>
      </c>
      <c r="F11" s="40">
        <v>4.085</v>
      </c>
      <c r="G11" s="40"/>
      <c r="H11" s="40"/>
      <c r="I11" s="40"/>
      <c r="J11" s="40">
        <v>4.2517273654617371</v>
      </c>
      <c r="K11" s="40">
        <v>1.4202216163192376</v>
      </c>
    </row>
    <row r="12" spans="1:11">
      <c r="A12" s="1" t="s">
        <v>103</v>
      </c>
      <c r="B12" s="1" t="s">
        <v>18</v>
      </c>
      <c r="C12" s="1" t="s">
        <v>54</v>
      </c>
      <c r="D12" s="40">
        <v>3.875</v>
      </c>
      <c r="E12" s="40">
        <v>1.25</v>
      </c>
      <c r="F12" s="40">
        <v>3.9780000000000002</v>
      </c>
      <c r="G12" s="40"/>
      <c r="H12" s="40"/>
      <c r="I12" s="40"/>
      <c r="J12" s="40">
        <v>3.9353424338077225</v>
      </c>
      <c r="K12" s="40">
        <v>1.1038366846652226</v>
      </c>
    </row>
    <row r="28" spans="1:11" ht="19.5">
      <c r="A28" s="173" t="s">
        <v>69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100</v>
      </c>
      <c r="B31" s="1" t="s">
        <v>20</v>
      </c>
      <c r="C31" s="1" t="s">
        <v>54</v>
      </c>
      <c r="D31" s="40">
        <v>4</v>
      </c>
      <c r="E31" s="40">
        <v>1</v>
      </c>
      <c r="F31" s="40">
        <v>4.0579999999999998</v>
      </c>
      <c r="G31" s="40">
        <v>3008</v>
      </c>
      <c r="H31" s="40">
        <v>200000</v>
      </c>
      <c r="I31" s="40"/>
      <c r="J31" s="40">
        <v>4.3001919961318613</v>
      </c>
      <c r="K31" s="40">
        <v>1.4863728858778815</v>
      </c>
    </row>
    <row r="32" spans="1:11">
      <c r="A32" s="1" t="s">
        <v>100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4.8940000000000001</v>
      </c>
      <c r="G32" s="40">
        <v>6274</v>
      </c>
      <c r="H32" s="40">
        <v>200000</v>
      </c>
      <c r="I32" s="40">
        <v>3500</v>
      </c>
      <c r="J32" s="40">
        <v>3.9717500000000001</v>
      </c>
      <c r="K32" s="40">
        <v>1.2948323815262701</v>
      </c>
    </row>
    <row r="33" spans="1:11">
      <c r="A33" s="1" t="s">
        <v>100</v>
      </c>
      <c r="B33" s="1" t="s">
        <v>20</v>
      </c>
      <c r="C33" s="1" t="s">
        <v>56</v>
      </c>
      <c r="D33" s="40">
        <v>4.125</v>
      </c>
      <c r="E33" s="40">
        <v>1</v>
      </c>
      <c r="F33" s="40">
        <v>4.1340000000000003</v>
      </c>
      <c r="G33" s="40">
        <v>2352</v>
      </c>
      <c r="H33" s="40">
        <v>500000</v>
      </c>
      <c r="I33" s="40"/>
      <c r="J33" s="40">
        <v>4.0195510152855149</v>
      </c>
      <c r="K33" s="40">
        <v>1.2057319050315349</v>
      </c>
    </row>
    <row r="34" spans="1:11">
      <c r="A34" s="1" t="s">
        <v>100</v>
      </c>
      <c r="B34" s="1" t="s">
        <v>20</v>
      </c>
      <c r="C34" s="1" t="s">
        <v>57</v>
      </c>
      <c r="D34" s="40">
        <v>4</v>
      </c>
      <c r="E34" s="40">
        <v>1</v>
      </c>
      <c r="F34" s="40">
        <v>4.0019999999999998</v>
      </c>
      <c r="G34" s="40">
        <v>2162</v>
      </c>
      <c r="H34" s="40">
        <v>750000</v>
      </c>
      <c r="I34" s="40"/>
      <c r="J34" s="40">
        <v>3.8281034376602534</v>
      </c>
      <c r="K34" s="40">
        <v>1.0142843274062734</v>
      </c>
    </row>
    <row r="35" spans="1:11">
      <c r="A35" s="1" t="s">
        <v>100</v>
      </c>
      <c r="B35" s="1" t="s">
        <v>19</v>
      </c>
      <c r="C35" s="1" t="s">
        <v>54</v>
      </c>
      <c r="D35" s="40">
        <v>3.75</v>
      </c>
      <c r="E35" s="40">
        <v>2.25</v>
      </c>
      <c r="F35" s="40">
        <v>4.008</v>
      </c>
      <c r="G35" s="40"/>
      <c r="H35" s="40"/>
      <c r="I35" s="40"/>
      <c r="J35" s="40">
        <v>4.2722196725487462</v>
      </c>
      <c r="K35" s="40">
        <v>1.458400562294766</v>
      </c>
    </row>
    <row r="36" spans="1:11">
      <c r="A36" s="1" t="s">
        <v>100</v>
      </c>
      <c r="B36" s="1" t="s">
        <v>19</v>
      </c>
      <c r="C36" s="1" t="s">
        <v>55</v>
      </c>
      <c r="D36" s="40">
        <v>3.375</v>
      </c>
      <c r="E36" s="40">
        <v>2.25</v>
      </c>
      <c r="F36" s="40">
        <v>4.2699999999999996</v>
      </c>
      <c r="G36" s="40"/>
      <c r="H36" s="40"/>
      <c r="I36" s="40"/>
      <c r="J36" s="40"/>
      <c r="K36" s="40"/>
    </row>
    <row r="37" spans="1:11">
      <c r="A37" s="1" t="s">
        <v>100</v>
      </c>
      <c r="B37" s="1" t="s">
        <v>17</v>
      </c>
      <c r="C37" s="1" t="s">
        <v>54</v>
      </c>
      <c r="D37" s="40">
        <v>3.875</v>
      </c>
      <c r="E37" s="40">
        <v>0.95199999999999996</v>
      </c>
      <c r="F37" s="40">
        <v>4.0629999999999997</v>
      </c>
      <c r="G37" s="40"/>
      <c r="H37" s="40"/>
      <c r="I37" s="40"/>
      <c r="J37" s="40">
        <v>4.1871698000587845</v>
      </c>
      <c r="K37" s="40">
        <v>1.3733506898048042</v>
      </c>
    </row>
    <row r="38" spans="1:11">
      <c r="A38" s="1" t="s">
        <v>100</v>
      </c>
      <c r="B38" s="1" t="s">
        <v>18</v>
      </c>
      <c r="C38" s="1" t="s">
        <v>54</v>
      </c>
      <c r="D38" s="40">
        <v>3.875</v>
      </c>
      <c r="E38" s="40">
        <v>1</v>
      </c>
      <c r="F38" s="40">
        <v>3.9569999999999999</v>
      </c>
      <c r="G38" s="40"/>
      <c r="H38" s="40"/>
      <c r="I38" s="40"/>
      <c r="J38" s="40">
        <v>3.8725334437312955</v>
      </c>
      <c r="K38" s="40">
        <v>1.0587143334773157</v>
      </c>
    </row>
    <row r="56" spans="1:11" ht="19.5">
      <c r="A56" s="173" t="s">
        <v>70</v>
      </c>
      <c r="B56" s="173"/>
      <c r="C56" s="173"/>
      <c r="D56" s="173"/>
      <c r="E56" s="173"/>
      <c r="F56" s="173"/>
      <c r="G56" s="173"/>
      <c r="H56" s="173"/>
      <c r="I56" s="173"/>
      <c r="J56" s="173"/>
      <c r="K56" s="173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83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4.173</v>
      </c>
      <c r="G59" s="40">
        <v>2768</v>
      </c>
      <c r="H59" s="40">
        <v>200000</v>
      </c>
      <c r="I59" s="40"/>
      <c r="J59" s="40">
        <v>4.3642403763055508</v>
      </c>
      <c r="K59" s="40">
        <v>1.4339233654036512</v>
      </c>
    </row>
    <row r="60" spans="1:11">
      <c r="A60" s="1" t="s">
        <v>83</v>
      </c>
      <c r="B60" s="1" t="s">
        <v>20</v>
      </c>
      <c r="C60" s="1" t="s">
        <v>55</v>
      </c>
      <c r="D60" s="40">
        <v>4</v>
      </c>
      <c r="E60" s="40">
        <v>1</v>
      </c>
      <c r="F60" s="40">
        <v>5.0090000000000003</v>
      </c>
      <c r="G60" s="40">
        <v>6041</v>
      </c>
      <c r="H60" s="40">
        <v>200000</v>
      </c>
      <c r="I60" s="40">
        <v>3500</v>
      </c>
      <c r="J60" s="40">
        <v>4.0676249999999996</v>
      </c>
      <c r="K60" s="40">
        <v>1.2824072640026398</v>
      </c>
    </row>
    <row r="61" spans="1:11">
      <c r="A61" s="1" t="s">
        <v>83</v>
      </c>
      <c r="B61" s="1" t="s">
        <v>20</v>
      </c>
      <c r="C61" s="1" t="s">
        <v>56</v>
      </c>
      <c r="D61" s="40">
        <v>4.25</v>
      </c>
      <c r="E61" s="40">
        <v>1</v>
      </c>
      <c r="F61" s="40">
        <v>4.2590000000000003</v>
      </c>
      <c r="G61" s="40">
        <v>2377</v>
      </c>
      <c r="H61" s="40">
        <v>500000</v>
      </c>
      <c r="I61" s="40"/>
      <c r="J61" s="40">
        <v>4.145604497342033</v>
      </c>
      <c r="K61" s="40">
        <v>1.2152874864401328</v>
      </c>
    </row>
    <row r="62" spans="1:11">
      <c r="A62" s="1" t="s">
        <v>83</v>
      </c>
      <c r="B62" s="1" t="s">
        <v>20</v>
      </c>
      <c r="C62" s="1" t="s">
        <v>57</v>
      </c>
      <c r="D62" s="40">
        <v>4.125</v>
      </c>
      <c r="E62" s="40">
        <v>1</v>
      </c>
      <c r="F62" s="40">
        <v>4.1310000000000002</v>
      </c>
      <c r="G62" s="40">
        <v>3137</v>
      </c>
      <c r="H62" s="40">
        <v>750000</v>
      </c>
      <c r="I62" s="40"/>
      <c r="J62" s="40">
        <v>3.9975388163708763</v>
      </c>
      <c r="K62" s="40">
        <v>1.0672218054689764</v>
      </c>
    </row>
    <row r="63" spans="1:11">
      <c r="A63" s="1" t="s">
        <v>83</v>
      </c>
      <c r="B63" s="1" t="s">
        <v>19</v>
      </c>
      <c r="C63" s="1" t="s">
        <v>54</v>
      </c>
      <c r="D63" s="40">
        <v>3.99</v>
      </c>
      <c r="E63" s="40">
        <v>1.625</v>
      </c>
      <c r="F63" s="40">
        <v>4.1980000000000004</v>
      </c>
      <c r="G63" s="40"/>
      <c r="H63" s="40"/>
      <c r="I63" s="40"/>
      <c r="J63" s="40">
        <v>4.356765969784167</v>
      </c>
      <c r="K63" s="40">
        <v>1.4264489588822669</v>
      </c>
    </row>
    <row r="64" spans="1:11">
      <c r="A64" s="1" t="s">
        <v>83</v>
      </c>
      <c r="B64" s="1" t="s">
        <v>19</v>
      </c>
      <c r="C64" s="1" t="s">
        <v>55</v>
      </c>
      <c r="D64" s="40">
        <v>3.5</v>
      </c>
      <c r="E64" s="40">
        <v>2.25</v>
      </c>
      <c r="F64" s="40">
        <v>4.4000000000000004</v>
      </c>
      <c r="G64" s="40"/>
      <c r="H64" s="40"/>
      <c r="I64" s="40"/>
      <c r="J64" s="40"/>
      <c r="K64" s="40"/>
    </row>
    <row r="65" spans="1:11">
      <c r="A65" s="1" t="s">
        <v>83</v>
      </c>
      <c r="B65" s="1" t="s">
        <v>17</v>
      </c>
      <c r="C65" s="1" t="s">
        <v>54</v>
      </c>
      <c r="D65" s="40">
        <v>4</v>
      </c>
      <c r="E65" s="40">
        <v>1.163</v>
      </c>
      <c r="F65" s="40">
        <v>4.2080000000000002</v>
      </c>
      <c r="G65" s="40"/>
      <c r="H65" s="40"/>
      <c r="I65" s="40"/>
      <c r="J65" s="40">
        <v>4.3664099742286595</v>
      </c>
      <c r="K65" s="40">
        <v>1.4360929633267601</v>
      </c>
    </row>
    <row r="66" spans="1:11">
      <c r="A66" s="1" t="s">
        <v>83</v>
      </c>
      <c r="B66" s="1" t="s">
        <v>18</v>
      </c>
      <c r="C66" s="1" t="s">
        <v>54</v>
      </c>
      <c r="D66" s="40">
        <v>4.125</v>
      </c>
      <c r="E66" s="40">
        <v>0.625</v>
      </c>
      <c r="F66" s="40">
        <v>4.1769999999999996</v>
      </c>
      <c r="G66" s="40"/>
      <c r="H66" s="40"/>
      <c r="I66" s="40"/>
      <c r="J66" s="40">
        <v>4.0301218665618999</v>
      </c>
      <c r="K66" s="40">
        <v>1.09980485566</v>
      </c>
    </row>
    <row r="77" spans="1:11" ht="19.5">
      <c r="A77" s="173" t="s">
        <v>90</v>
      </c>
      <c r="B77" s="173"/>
      <c r="C77" s="173"/>
      <c r="D77" s="173"/>
      <c r="E77" s="173"/>
      <c r="F77" s="173"/>
      <c r="G77" s="173"/>
      <c r="H77" s="173"/>
      <c r="I77" s="173"/>
      <c r="J77" s="173"/>
      <c r="K77" s="173"/>
    </row>
    <row r="78" spans="1:11">
      <c r="A78" s="39" t="s">
        <v>91</v>
      </c>
    </row>
    <row r="79" spans="1:11">
      <c r="B79" s="1" t="s">
        <v>92</v>
      </c>
      <c r="C79" s="1" t="s">
        <v>93</v>
      </c>
      <c r="D79" s="1" t="s">
        <v>94</v>
      </c>
      <c r="E79" s="1" t="s">
        <v>95</v>
      </c>
    </row>
    <row r="80" spans="1:11">
      <c r="A80" s="132" t="s">
        <v>86</v>
      </c>
      <c r="B80" s="40">
        <v>4.2109722530911462</v>
      </c>
      <c r="C80" s="40">
        <v>4.0036250000000004</v>
      </c>
      <c r="D80" s="40">
        <v>4.123888942161555</v>
      </c>
      <c r="E80" s="40">
        <v>3.9170666666666665</v>
      </c>
    </row>
    <row r="81" spans="1:5">
      <c r="A81" s="132" t="s">
        <v>88</v>
      </c>
      <c r="B81" s="40">
        <v>4.2092383259139474</v>
      </c>
      <c r="C81" s="40">
        <v>4.0036250000000004</v>
      </c>
      <c r="D81" s="40">
        <v>4.123888942161555</v>
      </c>
      <c r="E81" s="40">
        <v>3.9170666666666665</v>
      </c>
    </row>
    <row r="82" spans="1:5">
      <c r="A82" s="132" t="s">
        <v>89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</row>
    <row r="83" spans="1:5">
      <c r="A83" s="132" t="s">
        <v>83</v>
      </c>
      <c r="B83" s="40">
        <v>4.2793845467200686</v>
      </c>
      <c r="C83" s="40">
        <v>4.0676249999999996</v>
      </c>
      <c r="D83" s="40">
        <v>4.145604497342033</v>
      </c>
      <c r="E83" s="40">
        <v>3.9975388163708763</v>
      </c>
    </row>
    <row r="84" spans="1:5">
      <c r="A84" s="132" t="s">
        <v>84</v>
      </c>
      <c r="B84" s="40">
        <v>4.2526168084086038</v>
      </c>
      <c r="C84" s="40">
        <v>4.0353750000000002</v>
      </c>
      <c r="D84" s="40">
        <v>4.0563500000000001</v>
      </c>
      <c r="E84" s="40">
        <v>3.9543261870321942</v>
      </c>
    </row>
    <row r="85" spans="1:5">
      <c r="A85" s="132" t="s">
        <v>85</v>
      </c>
      <c r="B85" s="40">
        <v>4.1948574056984462</v>
      </c>
      <c r="C85" s="40">
        <v>4.0353750000000002</v>
      </c>
      <c r="D85" s="40">
        <v>4.0251000000000001</v>
      </c>
      <c r="E85" s="40">
        <v>3.929789796110164</v>
      </c>
    </row>
    <row r="86" spans="1:5">
      <c r="A86" s="132" t="s">
        <v>97</v>
      </c>
      <c r="B86" s="40">
        <v>4.183912785416835</v>
      </c>
      <c r="C86" s="40">
        <v>4.0036250000000004</v>
      </c>
      <c r="D86" s="40">
        <v>4.123888942161555</v>
      </c>
      <c r="E86" s="40">
        <v>3.929789796110164</v>
      </c>
    </row>
    <row r="87" spans="1:5">
      <c r="A87" s="132" t="s">
        <v>100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</row>
    <row r="88" spans="1:5">
      <c r="A88" s="132" t="s">
        <v>103</v>
      </c>
      <c r="B88" s="40">
        <v>4.1711206525116253</v>
      </c>
      <c r="C88" s="40">
        <v>4.0036250000000004</v>
      </c>
      <c r="D88" s="40">
        <v>4.123888942161555</v>
      </c>
      <c r="E88" s="40">
        <v>3.8714038285041039</v>
      </c>
    </row>
  </sheetData>
  <mergeCells count="4">
    <mergeCell ref="A77:K77"/>
    <mergeCell ref="A28:K28"/>
    <mergeCell ref="A1:K1"/>
    <mergeCell ref="A56:K56"/>
  </mergeCell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J22" sqref="J22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4.2517273654617371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1.4202216163192376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3.9353424338077225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1.1038366846652226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4.3043588303271259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1.4728530811846257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4.1930539804499194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1.3615482313074194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4.0036250000000004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1.3060398010481804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4.123888942161555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1.292383193019055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3.8714038285041039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1.0398980793616039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4" t="s">
        <v>44</v>
      </c>
      <c r="D3" s="174"/>
      <c r="E3" s="174" t="s">
        <v>45</v>
      </c>
      <c r="F3" s="174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4.1871698000587848E-2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1.3733506898048042E-2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4.3664099742286598E-2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1.4360929633267601E-2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3.8725334437312957E-2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1.0587143334773157E-2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4.0301218665618997E-2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1.09980485566E-2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4.2722196725487466E-2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1.4584005622947659E-2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4.3567659697841668E-2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1.4264489588822669E-2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4.3001919961318615E-2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1.4863728858778815E-2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4.3642403763055511E-2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1.4339233654036512E-2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4.0195510152855149E-2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1.2057319050315349E-2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4.1456044973420328E-2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1.2152874864401329E-2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3.8281034376602532E-2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1.0142843274062735E-2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3.9975388163708762E-2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1.0672218054689764E-2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1.2948323815262701E-2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4.0676249999999997E-2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1.2824072640026399E-2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5" t="s">
        <v>3</v>
      </c>
      <c r="C2" s="175"/>
      <c r="D2" s="4"/>
      <c r="E2" s="175" t="s">
        <v>5</v>
      </c>
      <c r="F2" s="175"/>
      <c r="H2" s="175" t="s">
        <v>12</v>
      </c>
      <c r="I2" s="175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2.5069094618469512E-2</v>
      </c>
      <c r="H4" s="8" t="s">
        <v>11</v>
      </c>
      <c r="I4" s="9">
        <f>C4-(1%-F7)/4</f>
        <v>4.2517273654617375E-2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4.0849999999999997E-2</v>
      </c>
      <c r="D5" s="5"/>
      <c r="E5" s="6" t="s">
        <v>14</v>
      </c>
      <c r="F5" s="17">
        <f>C8</f>
        <v>1.214E-2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1.2929094618469512E-2</v>
      </c>
      <c r="H6" s="2" t="s">
        <v>23</v>
      </c>
      <c r="I6" s="13">
        <f>C4-(0.01-(1-((C4/12*(1+C4/12)^360)/((1+C4/12)^360-1)*((1+C5/12)^360-1)/(C5/12*(1+C5/12)^360))))/4</f>
        <v>4.2517273654617375E-2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2.5069094618469512E-2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1.214E-2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5" t="s">
        <v>3</v>
      </c>
      <c r="C2" s="175"/>
      <c r="D2" s="4"/>
      <c r="E2" s="175" t="s">
        <v>5</v>
      </c>
      <c r="F2" s="175"/>
      <c r="H2" s="175" t="s">
        <v>12</v>
      </c>
      <c r="I2" s="175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1.2413697352308906E-2</v>
      </c>
      <c r="H4" s="8" t="s">
        <v>11</v>
      </c>
      <c r="I4" s="9">
        <f>C4-(1%-F7)/4</f>
        <v>3.9353424338077224E-2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3.9780000000000003E-2</v>
      </c>
      <c r="D5" s="5"/>
      <c r="E5" s="6" t="s">
        <v>14</v>
      </c>
      <c r="F5" s="17">
        <f>C8</f>
        <v>1.2500000000000001E-2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-8.6302647691095108E-5</v>
      </c>
      <c r="H6" s="2" t="s">
        <v>23</v>
      </c>
      <c r="I6" s="13">
        <f>C4-(0.01-(1-((C4/12*(1+C4/12)^360)/((1+C4/12)^360-1)*((1+C5/12)^360-1)/(C5/12*(1+C5/12)^360))))/4</f>
        <v>3.9353424338077224E-2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1.2413697352308906E-2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1.2500000000000001E-2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5" t="s">
        <v>3</v>
      </c>
      <c r="C2" s="175"/>
      <c r="D2" s="4"/>
      <c r="E2" s="175" t="s">
        <v>5</v>
      </c>
      <c r="F2" s="175"/>
      <c r="H2" s="175" t="s">
        <v>12</v>
      </c>
      <c r="I2" s="175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2.7174353213085034E-2</v>
      </c>
      <c r="H4" s="8" t="s">
        <v>11</v>
      </c>
      <c r="I4" s="176">
        <f>C4-(1%-F7)/4</f>
        <v>4.3043588303271256E-2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4.1029999999999997E-2</v>
      </c>
      <c r="D5" s="5"/>
      <c r="E5" s="6" t="s">
        <v>14</v>
      </c>
      <c r="F5" s="17">
        <f>C8</f>
        <v>1.8749999999999999E-2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8.4243532130850347E-3</v>
      </c>
      <c r="H6" s="2" t="s">
        <v>23</v>
      </c>
      <c r="I6" s="13">
        <f>C4-(0.01-(1-((C4/12*(1+C4/12)^360)/((1+C4/12)^360-1)*((1+C5/12)^360-1)/(C5/12*(1+C5/12)^360))))/4</f>
        <v>4.3043588303271256E-2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2.7174353213085034E-2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1.8749999999999999E-2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5" t="s">
        <v>3</v>
      </c>
      <c r="C2" s="175"/>
      <c r="D2" s="4"/>
      <c r="E2" s="175" t="s">
        <v>5</v>
      </c>
      <c r="F2" s="175"/>
      <c r="G2" s="2"/>
      <c r="H2" s="175" t="s">
        <v>12</v>
      </c>
      <c r="I2" s="175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199473.56815640064</v>
      </c>
      <c r="G4" s="2"/>
      <c r="H4" s="8" t="s">
        <v>11</v>
      </c>
      <c r="I4" s="176">
        <f>CIR-(1%-F9)/4</f>
        <v>4.1930539804499192E-2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4.147E-2</v>
      </c>
      <c r="D5" s="5"/>
      <c r="E5" s="10" t="s">
        <v>8</v>
      </c>
      <c r="F5" s="11">
        <f>1-F4/CP</f>
        <v>2.6321592179968656E-3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2.6321592179967546E-3</v>
      </c>
      <c r="G6" s="2"/>
      <c r="H6" s="2" t="s">
        <v>23</v>
      </c>
      <c r="I6" s="13">
        <f>CIR-(0.01-(1-((CIR/12*(1+CIR/12)^360)/((1+CIR/12)^360-1)*((1+CAPR/12)^360-1)/(CAPR/12*(1+CAPR/12)^360)) + C7/CP))/4</f>
        <v>4.1930539804499192E-2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2018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1.009E-2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1.2722159217996755E-2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5" t="s">
        <v>3</v>
      </c>
      <c r="C2" s="175"/>
      <c r="D2" s="20"/>
      <c r="E2" s="175" t="s">
        <v>5</v>
      </c>
      <c r="F2" s="175"/>
      <c r="H2" s="175" t="s">
        <v>12</v>
      </c>
      <c r="I2" s="175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2.7515576864621805E-3</v>
      </c>
      <c r="H4" s="8" t="s">
        <v>11</v>
      </c>
      <c r="I4" s="9">
        <f>C4-(1%-F7)/4</f>
        <v>4.1238889421615549E-2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4.1479999999999996E-2</v>
      </c>
      <c r="D5" s="5"/>
      <c r="E5" s="6" t="s">
        <v>14</v>
      </c>
      <c r="F5" s="17">
        <f>F4</f>
        <v>2.7515576864621805E-3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7.2040000000000003E-3</v>
      </c>
      <c r="H6" s="2" t="s">
        <v>23</v>
      </c>
      <c r="I6" s="13">
        <f>C4-(0.01-(1-((C4/12*(1+C4/12)^360)/((1+C4/12)^360-1)*((1+C5/12)^360-1)/(C5/12*(1+C5/12)^360)) + C7/C6))/4</f>
        <v>4.1238889421615549E-2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3602</v>
      </c>
      <c r="D7" s="12"/>
      <c r="E7" s="2" t="s">
        <v>10</v>
      </c>
      <c r="F7" s="16">
        <f>F5+F6</f>
        <v>9.9555576864621808E-3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5" t="s">
        <v>3</v>
      </c>
      <c r="C2" s="175"/>
      <c r="D2" s="20"/>
      <c r="E2" s="175" t="s">
        <v>5</v>
      </c>
      <c r="F2" s="175"/>
      <c r="H2" s="175" t="s">
        <v>12</v>
      </c>
      <c r="I2" s="175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7.2415314016416321E-4</v>
      </c>
      <c r="H4" s="8" t="s">
        <v>11</v>
      </c>
      <c r="I4" s="9">
        <f>C4-(1%-F7)/4</f>
        <v>3.8714038285041039E-2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4.0060000000000005E-2</v>
      </c>
      <c r="D5" s="5"/>
      <c r="E5" s="6" t="s">
        <v>14</v>
      </c>
      <c r="F5" s="17">
        <f>F4</f>
        <v>7.2415314016416321E-4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4.1320000000000003E-3</v>
      </c>
      <c r="H6" s="2" t="s">
        <v>23</v>
      </c>
      <c r="I6" s="13">
        <f>C4-(0.01-(1-((C4/12*(1+C4/12)^360)/((1+C4/12)^360-1)*((1+C5/12)^360-1)/(C5/12*(1+C5/12)^360)) + C7/C6))/4</f>
        <v>3.8714038285041039E-2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3099</v>
      </c>
      <c r="D7" s="12"/>
      <c r="E7" s="2" t="s">
        <v>10</v>
      </c>
      <c r="F7" s="16">
        <f>F5+F6</f>
        <v>4.8561531401641635E-3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5" t="s">
        <v>3</v>
      </c>
      <c r="C2" s="175"/>
      <c r="D2" s="21"/>
      <c r="E2" s="175" t="s">
        <v>5</v>
      </c>
      <c r="F2" s="175"/>
      <c r="H2" s="175" t="s">
        <v>12</v>
      </c>
      <c r="I2" s="175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C9/C6</f>
        <v>1.7500000000000002E-2</v>
      </c>
      <c r="H4" s="8" t="s">
        <v>11</v>
      </c>
      <c r="I4" s="9">
        <f>C4-(1%-F7)/4</f>
        <v>4.0036250000000002E-2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4.9050000000000003E-2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1.5144999999999999E-2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6529</v>
      </c>
      <c r="D7" s="12"/>
      <c r="E7" s="2" t="s">
        <v>10</v>
      </c>
      <c r="F7" s="16">
        <f>F5+F6</f>
        <v>1.5144999999999999E-2</v>
      </c>
    </row>
    <row r="8" spans="2:9">
      <c r="B8" s="2" t="s">
        <v>7</v>
      </c>
      <c r="C8" s="34">
        <v>0</v>
      </c>
      <c r="D8" s="15"/>
    </row>
    <row r="9" spans="2:9">
      <c r="B9" s="91" t="s">
        <v>42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43</v>
      </c>
      <c r="F9" s="13">
        <f>C7/C6</f>
        <v>3.2645E-2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2015-03-16T16:39:02Z</cp:lastPrinted>
  <dcterms:created xsi:type="dcterms:W3CDTF">2015-02-26T13:52:04Z</dcterms:created>
  <dcterms:modified xsi:type="dcterms:W3CDTF">2015-03-16T17:53:26Z</dcterms:modified>
</cp:coreProperties>
</file>