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40" windowWidth="14355" windowHeight="7620" firstSheet="1" activeTab="4"/>
  </bookViews>
  <sheets>
    <sheet name="Wells - FHA" sheetId="13" r:id="rId1"/>
    <sheet name="Wells - Jumbo non-Conventional" sheetId="9" r:id="rId2"/>
    <sheet name="Wells - Jumbo Conventional" sheetId="8" r:id="rId3"/>
    <sheet name="SunTrust - Conventional" sheetId="10" r:id="rId4"/>
    <sheet name="Suntrust - FHA" sheetId="7" r:id="rId5"/>
    <sheet name="Bank of America - Conventional" sheetId="1" r:id="rId6"/>
    <sheet name="Chase - Conventional" sheetId="4" r:id="rId7"/>
    <sheet name="Wells - Conventional" sheetId="5" r:id="rId8"/>
    <sheet name="Quicken - Conventional" sheetId="6" r:id="rId9"/>
    <sheet name="Sheet2" sheetId="2" r:id="rId10"/>
    <sheet name="Sheet3" sheetId="3" r:id="rId11"/>
  </sheets>
  <definedNames>
    <definedName name="solver_adj" localSheetId="5" hidden="1">'Bank of America - Conventional'!$F$6</definedName>
    <definedName name="solver_adj" localSheetId="6" hidden="1">'Chase - Conventional'!$F$6</definedName>
    <definedName name="solver_adj" localSheetId="8" hidden="1">'Quicken - Conventional'!$F$6</definedName>
    <definedName name="solver_adj" localSheetId="3" hidden="1">'SunTrust - Conventional'!$F$6</definedName>
    <definedName name="solver_adj" localSheetId="4" hidden="1">'Suntrust - FHA'!#REF!</definedName>
    <definedName name="solver_adj" localSheetId="7" hidden="1">'Wells - Conventional'!$F$6</definedName>
    <definedName name="solver_adj" localSheetId="0" hidden="1">'Wells - FHA'!#REF!</definedName>
    <definedName name="solver_adj" localSheetId="2" hidden="1">'Wells - Jumbo Conventional'!$F$6</definedName>
    <definedName name="solver_adj" localSheetId="1" hidden="1">'Wells - Jumbo non-Conventional'!$F$6</definedName>
    <definedName name="solver_cvg" localSheetId="5" hidden="1">0.0001</definedName>
    <definedName name="solver_cvg" localSheetId="6" hidden="1">0.0001</definedName>
    <definedName name="solver_cvg" localSheetId="8" hidden="1">0.0001</definedName>
    <definedName name="solver_cvg" localSheetId="3" hidden="1">0.0001</definedName>
    <definedName name="solver_cvg" localSheetId="4" hidden="1">0.0001</definedName>
    <definedName name="solver_cvg" localSheetId="7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5" hidden="1">1</definedName>
    <definedName name="solver_drv" localSheetId="6" hidden="1">1</definedName>
    <definedName name="solver_drv" localSheetId="8" hidden="1">1</definedName>
    <definedName name="solver_drv" localSheetId="3" hidden="1">1</definedName>
    <definedName name="solver_drv" localSheetId="4" hidden="1">1</definedName>
    <definedName name="solver_drv" localSheetId="7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5" hidden="1">1</definedName>
    <definedName name="solver_eng" localSheetId="6" hidden="1">1</definedName>
    <definedName name="solver_eng" localSheetId="8" hidden="1">1</definedName>
    <definedName name="solver_eng" localSheetId="3" hidden="1">1</definedName>
    <definedName name="solver_eng" localSheetId="4" hidden="1">1</definedName>
    <definedName name="solver_eng" localSheetId="7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5" hidden="1">1</definedName>
    <definedName name="solver_est" localSheetId="6" hidden="1">1</definedName>
    <definedName name="solver_est" localSheetId="8" hidden="1">1</definedName>
    <definedName name="solver_est" localSheetId="3" hidden="1">1</definedName>
    <definedName name="solver_est" localSheetId="4" hidden="1">1</definedName>
    <definedName name="solver_est" localSheetId="7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5" hidden="1">2147483647</definedName>
    <definedName name="solver_itr" localSheetId="6" hidden="1">2147483647</definedName>
    <definedName name="solver_itr" localSheetId="8" hidden="1">2147483647</definedName>
    <definedName name="solver_itr" localSheetId="3" hidden="1">2147483647</definedName>
    <definedName name="solver_itr" localSheetId="4" hidden="1">2147483647</definedName>
    <definedName name="solver_itr" localSheetId="7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mip" localSheetId="5" hidden="1">2147483647</definedName>
    <definedName name="solver_mip" localSheetId="6" hidden="1">2147483647</definedName>
    <definedName name="solver_mip" localSheetId="8" hidden="1">2147483647</definedName>
    <definedName name="solver_mip" localSheetId="3" hidden="1">2147483647</definedName>
    <definedName name="solver_mip" localSheetId="4" hidden="1">2147483647</definedName>
    <definedName name="solver_mip" localSheetId="7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5" hidden="1">30</definedName>
    <definedName name="solver_mni" localSheetId="6" hidden="1">30</definedName>
    <definedName name="solver_mni" localSheetId="8" hidden="1">30</definedName>
    <definedName name="solver_mni" localSheetId="3" hidden="1">30</definedName>
    <definedName name="solver_mni" localSheetId="4" hidden="1">30</definedName>
    <definedName name="solver_mni" localSheetId="7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5" hidden="1">0.075</definedName>
    <definedName name="solver_mrt" localSheetId="6" hidden="1">0.075</definedName>
    <definedName name="solver_mrt" localSheetId="8" hidden="1">0.075</definedName>
    <definedName name="solver_mrt" localSheetId="3" hidden="1">0.075</definedName>
    <definedName name="solver_mrt" localSheetId="4" hidden="1">0.075</definedName>
    <definedName name="solver_mrt" localSheetId="7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5" hidden="1">2</definedName>
    <definedName name="solver_msl" localSheetId="6" hidden="1">2</definedName>
    <definedName name="solver_msl" localSheetId="8" hidden="1">2</definedName>
    <definedName name="solver_msl" localSheetId="3" hidden="1">2</definedName>
    <definedName name="solver_msl" localSheetId="4" hidden="1">2</definedName>
    <definedName name="solver_msl" localSheetId="7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5" hidden="1">1</definedName>
    <definedName name="solver_neg" localSheetId="6" hidden="1">1</definedName>
    <definedName name="solver_neg" localSheetId="8" hidden="1">1</definedName>
    <definedName name="solver_neg" localSheetId="3" hidden="1">1</definedName>
    <definedName name="solver_neg" localSheetId="4" hidden="1">2</definedName>
    <definedName name="solver_neg" localSheetId="7" hidden="1">1</definedName>
    <definedName name="solver_neg" localSheetId="0" hidden="1">2</definedName>
    <definedName name="solver_neg" localSheetId="2" hidden="1">1</definedName>
    <definedName name="solver_neg" localSheetId="1" hidden="1">1</definedName>
    <definedName name="solver_nod" localSheetId="5" hidden="1">2147483647</definedName>
    <definedName name="solver_nod" localSheetId="6" hidden="1">2147483647</definedName>
    <definedName name="solver_nod" localSheetId="8" hidden="1">2147483647</definedName>
    <definedName name="solver_nod" localSheetId="3" hidden="1">2147483647</definedName>
    <definedName name="solver_nod" localSheetId="4" hidden="1">2147483647</definedName>
    <definedName name="solver_nod" localSheetId="7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5" hidden="1">0</definedName>
    <definedName name="solver_num" localSheetId="6" hidden="1">0</definedName>
    <definedName name="solver_num" localSheetId="8" hidden="1">0</definedName>
    <definedName name="solver_num" localSheetId="3" hidden="1">0</definedName>
    <definedName name="solver_num" localSheetId="4" hidden="1">0</definedName>
    <definedName name="solver_num" localSheetId="7" hidden="1">0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nwt" localSheetId="5" hidden="1">1</definedName>
    <definedName name="solver_nwt" localSheetId="6" hidden="1">1</definedName>
    <definedName name="solver_nwt" localSheetId="8" hidden="1">1</definedName>
    <definedName name="solver_nwt" localSheetId="3" hidden="1">1</definedName>
    <definedName name="solver_nwt" localSheetId="4" hidden="1">1</definedName>
    <definedName name="solver_nwt" localSheetId="7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5" hidden="1">'Bank of America - Conventional'!$E$11</definedName>
    <definedName name="solver_opt" localSheetId="6" hidden="1">'Chase - Conventional'!$E$11</definedName>
    <definedName name="solver_opt" localSheetId="8" hidden="1">'Quicken - Conventional'!$E$11</definedName>
    <definedName name="solver_opt" localSheetId="3" hidden="1">'SunTrust - Conventional'!$E$11</definedName>
    <definedName name="solver_opt" localSheetId="4" hidden="1">'Suntrust - FHA'!#REF!</definedName>
    <definedName name="solver_opt" localSheetId="7" hidden="1">'Wells - Conventional'!$E$11</definedName>
    <definedName name="solver_opt" localSheetId="0" hidden="1">'Wells - FHA'!#REF!</definedName>
    <definedName name="solver_opt" localSheetId="2" hidden="1">'Wells - Jumbo Conventional'!$E$11</definedName>
    <definedName name="solver_opt" localSheetId="1" hidden="1">'Wells - Jumbo non-Conventional'!$E$11</definedName>
    <definedName name="solver_pre" localSheetId="5" hidden="1">0.000001</definedName>
    <definedName name="solver_pre" localSheetId="6" hidden="1">0.000001</definedName>
    <definedName name="solver_pre" localSheetId="8" hidden="1">0.000001</definedName>
    <definedName name="solver_pre" localSheetId="3" hidden="1">0.000001</definedName>
    <definedName name="solver_pre" localSheetId="4" hidden="1">0.000001</definedName>
    <definedName name="solver_pre" localSheetId="7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5" hidden="1">1</definedName>
    <definedName name="solver_rbv" localSheetId="6" hidden="1">1</definedName>
    <definedName name="solver_rbv" localSheetId="8" hidden="1">1</definedName>
    <definedName name="solver_rbv" localSheetId="3" hidden="1">1</definedName>
    <definedName name="solver_rbv" localSheetId="4" hidden="1">1</definedName>
    <definedName name="solver_rbv" localSheetId="7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lx" localSheetId="5" hidden="1">2</definedName>
    <definedName name="solver_rlx" localSheetId="6" hidden="1">2</definedName>
    <definedName name="solver_rlx" localSheetId="8" hidden="1">2</definedName>
    <definedName name="solver_rlx" localSheetId="3" hidden="1">2</definedName>
    <definedName name="solver_rlx" localSheetId="4" hidden="1">2</definedName>
    <definedName name="solver_rlx" localSheetId="7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5" hidden="1">0</definedName>
    <definedName name="solver_rsd" localSheetId="6" hidden="1">0</definedName>
    <definedName name="solver_rsd" localSheetId="8" hidden="1">0</definedName>
    <definedName name="solver_rsd" localSheetId="3" hidden="1">0</definedName>
    <definedName name="solver_rsd" localSheetId="4" hidden="1">0</definedName>
    <definedName name="solver_rsd" localSheetId="7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5" hidden="1">1</definedName>
    <definedName name="solver_scl" localSheetId="6" hidden="1">1</definedName>
    <definedName name="solver_scl" localSheetId="8" hidden="1">1</definedName>
    <definedName name="solver_scl" localSheetId="3" hidden="1">1</definedName>
    <definedName name="solver_scl" localSheetId="4" hidden="1">1</definedName>
    <definedName name="solver_scl" localSheetId="7" hidden="1">1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5" hidden="1">2</definedName>
    <definedName name="solver_sho" localSheetId="6" hidden="1">2</definedName>
    <definedName name="solver_sho" localSheetId="8" hidden="1">2</definedName>
    <definedName name="solver_sho" localSheetId="3" hidden="1">2</definedName>
    <definedName name="solver_sho" localSheetId="4" hidden="1">2</definedName>
    <definedName name="solver_sho" localSheetId="7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5" hidden="1">100</definedName>
    <definedName name="solver_ssz" localSheetId="6" hidden="1">100</definedName>
    <definedName name="solver_ssz" localSheetId="8" hidden="1">100</definedName>
    <definedName name="solver_ssz" localSheetId="3" hidden="1">100</definedName>
    <definedName name="solver_ssz" localSheetId="4" hidden="1">100</definedName>
    <definedName name="solver_ssz" localSheetId="7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5" hidden="1">2147483647</definedName>
    <definedName name="solver_tim" localSheetId="6" hidden="1">2147483647</definedName>
    <definedName name="solver_tim" localSheetId="8" hidden="1">2147483647</definedName>
    <definedName name="solver_tim" localSheetId="3" hidden="1">2147483647</definedName>
    <definedName name="solver_tim" localSheetId="4" hidden="1">2147483647</definedName>
    <definedName name="solver_tim" localSheetId="7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5" hidden="1">0.01</definedName>
    <definedName name="solver_tol" localSheetId="6" hidden="1">0.01</definedName>
    <definedName name="solver_tol" localSheetId="8" hidden="1">0.01</definedName>
    <definedName name="solver_tol" localSheetId="3" hidden="1">0.01</definedName>
    <definedName name="solver_tol" localSheetId="4" hidden="1">0.01</definedName>
    <definedName name="solver_tol" localSheetId="7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5" hidden="1">3</definedName>
    <definedName name="solver_typ" localSheetId="6" hidden="1">3</definedName>
    <definedName name="solver_typ" localSheetId="8" hidden="1">3</definedName>
    <definedName name="solver_typ" localSheetId="3" hidden="1">3</definedName>
    <definedName name="solver_typ" localSheetId="4" hidden="1">3</definedName>
    <definedName name="solver_typ" localSheetId="7" hidden="1">3</definedName>
    <definedName name="solver_typ" localSheetId="0" hidden="1">3</definedName>
    <definedName name="solver_typ" localSheetId="2" hidden="1">3</definedName>
    <definedName name="solver_typ" localSheetId="1" hidden="1">3</definedName>
    <definedName name="solver_val" localSheetId="5" hidden="1">940.37</definedName>
    <definedName name="solver_val" localSheetId="6" hidden="1">1042</definedName>
    <definedName name="solver_val" localSheetId="8" hidden="1">926.23</definedName>
    <definedName name="solver_val" localSheetId="3" hidden="1">940.47</definedName>
    <definedName name="solver_val" localSheetId="4" hidden="1">1082</definedName>
    <definedName name="solver_val" localSheetId="7" hidden="1">954.83</definedName>
    <definedName name="solver_val" localSheetId="0" hidden="1">1082</definedName>
    <definedName name="solver_val" localSheetId="2" hidden="1">2423.25</definedName>
    <definedName name="solver_val" localSheetId="1" hidden="1">3580.61</definedName>
    <definedName name="solver_ver" localSheetId="5" hidden="1">3</definedName>
    <definedName name="solver_ver" localSheetId="6" hidden="1">3</definedName>
    <definedName name="solver_ver" localSheetId="8" hidden="1">3</definedName>
    <definedName name="solver_ver" localSheetId="3" hidden="1">3</definedName>
    <definedName name="solver_ver" localSheetId="4" hidden="1">3</definedName>
    <definedName name="solver_ver" localSheetId="7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B16" i="13" l="1"/>
  <c r="B18" i="7"/>
  <c r="C4" i="7"/>
  <c r="C11" i="7" l="1"/>
  <c r="C13" i="13"/>
  <c r="C10" i="13"/>
  <c r="C11" i="13" s="1"/>
  <c r="C4" i="13" s="1"/>
  <c r="C9" i="13"/>
  <c r="G5" i="13" s="1"/>
  <c r="C8" i="13"/>
  <c r="C5" i="13"/>
  <c r="G3" i="13" s="1"/>
  <c r="G4" i="13"/>
  <c r="G6" i="13" s="1"/>
  <c r="C3" i="13"/>
  <c r="G8" i="13" l="1"/>
  <c r="G9" i="13" s="1"/>
  <c r="C6" i="13"/>
  <c r="J3" i="7" l="1"/>
  <c r="C9" i="7" l="1"/>
  <c r="C13" i="7"/>
  <c r="C3" i="10"/>
  <c r="F8" i="10"/>
  <c r="I5" i="10" s="1"/>
  <c r="F7" i="10"/>
  <c r="C7" i="10"/>
  <c r="F5" i="10"/>
  <c r="C5" i="10"/>
  <c r="I4" i="10"/>
  <c r="I3" i="10"/>
  <c r="F3" i="10"/>
  <c r="B11" i="10" l="1"/>
  <c r="E11" i="10"/>
  <c r="I6" i="10"/>
  <c r="I8" i="10" s="1"/>
  <c r="I9" i="10" s="1"/>
  <c r="C3" i="9"/>
  <c r="F3" i="9" s="1"/>
  <c r="F7" i="9"/>
  <c r="C7" i="9"/>
  <c r="F5" i="9"/>
  <c r="C5" i="9"/>
  <c r="I4" i="9"/>
  <c r="I3" i="9"/>
  <c r="F8" i="9"/>
  <c r="I5" i="9" s="1"/>
  <c r="C3" i="8"/>
  <c r="F8" i="8"/>
  <c r="I5" i="8" s="1"/>
  <c r="F7" i="8"/>
  <c r="C7" i="8"/>
  <c r="F5" i="8"/>
  <c r="C5" i="8"/>
  <c r="B11" i="8" s="1"/>
  <c r="I4" i="8"/>
  <c r="I3" i="8"/>
  <c r="F3" i="8"/>
  <c r="I8" i="6"/>
  <c r="B11" i="9" l="1"/>
  <c r="E11" i="9"/>
  <c r="I6" i="9"/>
  <c r="I8" i="9" s="1"/>
  <c r="I9" i="9" s="1"/>
  <c r="I6" i="8"/>
  <c r="I8" i="8" s="1"/>
  <c r="I9" i="8" s="1"/>
  <c r="E11" i="8"/>
  <c r="G4" i="7"/>
  <c r="C6" i="7" l="1"/>
  <c r="C8" i="7"/>
  <c r="I9" i="6"/>
  <c r="I9" i="5"/>
  <c r="I9" i="4"/>
  <c r="I9" i="1"/>
  <c r="F8" i="6"/>
  <c r="I5" i="6"/>
  <c r="I6" i="6" s="1"/>
  <c r="I4" i="6"/>
  <c r="I3" i="6"/>
  <c r="I4" i="5"/>
  <c r="I5" i="5"/>
  <c r="F8" i="5"/>
  <c r="I3" i="5"/>
  <c r="F8" i="4"/>
  <c r="I5" i="4"/>
  <c r="I6" i="4" s="1"/>
  <c r="I4" i="4"/>
  <c r="I3" i="4"/>
  <c r="I8" i="4" s="1"/>
  <c r="I8" i="1"/>
  <c r="I6" i="1"/>
  <c r="I5" i="1"/>
  <c r="I4" i="1"/>
  <c r="I3" i="1"/>
  <c r="F8" i="1"/>
  <c r="C6" i="6"/>
  <c r="F4" i="6"/>
  <c r="F5" i="6" s="1"/>
  <c r="C4" i="6"/>
  <c r="C5" i="6" s="1"/>
  <c r="B11" i="6" s="1"/>
  <c r="F7" i="6"/>
  <c r="C7" i="6"/>
  <c r="C3" i="6"/>
  <c r="F3" i="6" s="1"/>
  <c r="C8" i="5"/>
  <c r="F4" i="5"/>
  <c r="C4" i="5"/>
  <c r="C6" i="4"/>
  <c r="F4" i="4"/>
  <c r="F5" i="4" s="1"/>
  <c r="C4" i="4"/>
  <c r="C5" i="4" s="1"/>
  <c r="C3" i="4"/>
  <c r="C3" i="5"/>
  <c r="F3" i="5" s="1"/>
  <c r="F7" i="5"/>
  <c r="C7" i="5"/>
  <c r="F5" i="5"/>
  <c r="C5" i="5"/>
  <c r="B11" i="5" s="1"/>
  <c r="F3" i="4"/>
  <c r="C6" i="1"/>
  <c r="F7" i="4"/>
  <c r="C7" i="4"/>
  <c r="F3" i="1"/>
  <c r="F4" i="1"/>
  <c r="F5" i="1" s="1"/>
  <c r="F7" i="1"/>
  <c r="G3" i="7" l="1"/>
  <c r="I6" i="5"/>
  <c r="I8" i="5" s="1"/>
  <c r="E11" i="6"/>
  <c r="E11" i="5"/>
  <c r="E11" i="4"/>
  <c r="B11" i="4"/>
  <c r="C7" i="1"/>
  <c r="C5" i="1"/>
  <c r="B11" i="1" s="1"/>
  <c r="C4" i="1"/>
  <c r="C3" i="1"/>
  <c r="E11" i="1"/>
  <c r="C15" i="7" l="1"/>
  <c r="C10" i="7" s="1"/>
  <c r="G5" i="7" s="1"/>
  <c r="G6" i="7" l="1"/>
  <c r="G8" i="7" s="1"/>
  <c r="G9" i="7" s="1"/>
</calcChain>
</file>

<file path=xl/comments1.xml><?xml version="1.0" encoding="utf-8"?>
<comments xmlns="http://schemas.openxmlformats.org/spreadsheetml/2006/main">
  <authors>
    <author>Sharad Chaudhary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UFMIP is added to the loan amount in terms of calculating mortgage payment b/c WF appears to assume that it is financed.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0%. This is what is shown if you ask for a Refinance loan directly from the website.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this includes the UFMIP although this is not clearly stated.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The actual ann. MIP listed on the website is slightly lower than this amount because it's paid on an amortizing balance.</t>
        </r>
      </text>
    </comment>
  </commentList>
</comments>
</file>

<file path=xl/comments2.xml><?xml version="1.0" encoding="utf-8"?>
<comments xmlns="http://schemas.openxmlformats.org/spreadsheetml/2006/main">
  <authors>
    <author>Sharad Chaudhary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UFMIP is added to the loan amount in terms of calculating mortgage payment b/c WF appears to assume that it is financed.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0%. This is what is shown if you ask for a Refinance loan directly from the website.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this includes the UFMIP although this is not clearly stated.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The actual ann. MIP listed on the website is slightly lower than this amount because it's paid on an amortizing balance.</t>
        </r>
      </text>
    </comment>
  </commentList>
</comments>
</file>

<file path=xl/sharedStrings.xml><?xml version="1.0" encoding="utf-8"?>
<sst xmlns="http://schemas.openxmlformats.org/spreadsheetml/2006/main" count="236" uniqueCount="36">
  <si>
    <t>Loan Amount</t>
  </si>
  <si>
    <t>Points</t>
  </si>
  <si>
    <t>UFMIP</t>
  </si>
  <si>
    <t>Standard Calculation</t>
  </si>
  <si>
    <t>Annual Interest Rate</t>
  </si>
  <si>
    <t>Periodic Interest Rate</t>
  </si>
  <si>
    <t>Term (months)</t>
  </si>
  <si>
    <t>Monthly Payment</t>
  </si>
  <si>
    <t>APR Calculation</t>
  </si>
  <si>
    <t>Notes</t>
  </si>
  <si>
    <t>Points shown correspond to discount points</t>
  </si>
  <si>
    <t>APR calculation includes closing costs + discount points</t>
  </si>
  <si>
    <t>APR calculation includes points (origination or discount not specified)</t>
  </si>
  <si>
    <t>n/a</t>
  </si>
  <si>
    <t>Closing costs</t>
  </si>
  <si>
    <t>Points not shown</t>
  </si>
  <si>
    <t>APR calculation includes points (does not specify origination or discount)</t>
  </si>
  <si>
    <t>Points not specified as origination or discount</t>
  </si>
  <si>
    <t>Points not specified as discount or origination</t>
  </si>
  <si>
    <t>No discussion of what's included in APR</t>
  </si>
  <si>
    <t>No-point Rate</t>
  </si>
  <si>
    <t>Rate Calculation</t>
  </si>
  <si>
    <t>Base Rate</t>
  </si>
  <si>
    <t>Discount Points</t>
  </si>
  <si>
    <t>Origination Points</t>
  </si>
  <si>
    <t>Total Points</t>
  </si>
  <si>
    <t>1-point Rate</t>
  </si>
  <si>
    <t>Annual MIP (%)</t>
  </si>
  <si>
    <t>Monthly MIP ($)</t>
  </si>
  <si>
    <t>Loan payment includes an estimated mortgage insurance payment (UFMIP + Annual) added to monthly P&amp;I payment</t>
  </si>
  <si>
    <t>Unclear how APR calculation proceeds in this case: equate to payment with MIPs?</t>
  </si>
  <si>
    <t>UFMIP (%)</t>
  </si>
  <si>
    <t>Base Loan Amount</t>
  </si>
  <si>
    <t>Loan Amount w/ UFMIP</t>
  </si>
  <si>
    <t>Origination Fee</t>
  </si>
  <si>
    <t>Origination Fee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</si>
</sst>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%"/>
    <numFmt numFmtId="165" formatCode="0.0%"/>
    <numFmt numFmtId="166" formatCode="_(&quot;$&quot;* #,##0_);_(&quot;$&quot;* \(#,##0\);_(&quot;$&quot;* &quot;-&quot;??_);_(@_)"/>
    <numFmt numFmtId="167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left" indent="1"/>
    </xf>
    <xf numFmtId="165" fontId="0" fillId="0" borderId="0" xfId="2" applyNumberFormat="1" applyFont="1"/>
    <xf numFmtId="164" fontId="0" fillId="0" borderId="0" xfId="2" applyNumberFormat="1" applyFont="1" applyAlignment="1">
      <alignment horizontal="right"/>
    </xf>
    <xf numFmtId="0" fontId="2" fillId="0" borderId="0" xfId="0" applyFont="1"/>
    <xf numFmtId="165" fontId="0" fillId="0" borderId="0" xfId="2" applyNumberFormat="1" applyFont="1" applyAlignment="1">
      <alignment horizontal="right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/>
    <xf numFmtId="166" fontId="0" fillId="0" borderId="0" xfId="1" applyNumberFormat="1" applyFont="1" applyAlignment="1">
      <alignment horizontal="right"/>
    </xf>
    <xf numFmtId="44" fontId="0" fillId="0" borderId="0" xfId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2" applyNumberFormat="1" applyFont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4" fontId="1" fillId="0" borderId="0" xfId="1" applyFont="1" applyAlignment="1">
      <alignment horizontal="center"/>
    </xf>
    <xf numFmtId="10" fontId="0" fillId="0" borderId="0" xfId="2" applyNumberFormat="1" applyFont="1"/>
    <xf numFmtId="167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K20"/>
  <sheetViews>
    <sheetView workbookViewId="0">
      <selection activeCell="B16" sqref="B16"/>
    </sheetView>
  </sheetViews>
  <sheetFormatPr defaultRowHeight="15" x14ac:dyDescent="0.25"/>
  <cols>
    <col min="2" max="2" width="20.42578125" customWidth="1"/>
    <col min="3" max="3" width="14" bestFit="1" customWidth="1"/>
    <col min="4" max="5" width="2" customWidth="1"/>
    <col min="6" max="6" width="18.7109375" customWidth="1"/>
  </cols>
  <sheetData>
    <row r="2" spans="2:11" x14ac:dyDescent="0.25">
      <c r="B2" s="33" t="s">
        <v>3</v>
      </c>
      <c r="C2" s="33"/>
      <c r="F2" s="24" t="s">
        <v>21</v>
      </c>
      <c r="G2" s="25"/>
    </row>
    <row r="3" spans="2:11" x14ac:dyDescent="0.25">
      <c r="B3" s="26" t="s">
        <v>32</v>
      </c>
      <c r="C3" s="28">
        <f>200000</f>
        <v>200000</v>
      </c>
      <c r="F3" s="19" t="s">
        <v>22</v>
      </c>
      <c r="G3" s="15">
        <f>$C$5</f>
        <v>3.7499999999999999E-2</v>
      </c>
    </row>
    <row r="4" spans="2:11" x14ac:dyDescent="0.25">
      <c r="B4" s="27" t="s">
        <v>33</v>
      </c>
      <c r="C4" s="3">
        <f>200000+C11</f>
        <v>203500</v>
      </c>
      <c r="F4" s="9" t="s">
        <v>23</v>
      </c>
      <c r="G4" s="16">
        <f>C7</f>
        <v>0</v>
      </c>
    </row>
    <row r="5" spans="2:11" x14ac:dyDescent="0.25">
      <c r="B5" s="27" t="s">
        <v>4</v>
      </c>
      <c r="C5" s="1">
        <f>3.75%</f>
        <v>3.7499999999999999E-2</v>
      </c>
      <c r="F5" s="9" t="s">
        <v>24</v>
      </c>
      <c r="G5" s="30">
        <f>(C9/C3)-C10</f>
        <v>1.2599999999999997E-2</v>
      </c>
    </row>
    <row r="6" spans="2:11" x14ac:dyDescent="0.25">
      <c r="B6" s="27" t="s">
        <v>5</v>
      </c>
      <c r="C6" s="5">
        <f>C5/12</f>
        <v>3.1249999999999997E-3</v>
      </c>
      <c r="F6" s="19" t="s">
        <v>25</v>
      </c>
      <c r="G6" s="15">
        <f>G4+G5</f>
        <v>1.2599999999999997E-2</v>
      </c>
    </row>
    <row r="7" spans="2:11" x14ac:dyDescent="0.25">
      <c r="B7" s="27" t="s">
        <v>1</v>
      </c>
      <c r="C7" s="7">
        <v>0</v>
      </c>
      <c r="F7" s="20"/>
    </row>
    <row r="8" spans="2:11" x14ac:dyDescent="0.25">
      <c r="B8" s="27" t="s">
        <v>6</v>
      </c>
      <c r="C8">
        <f>360</f>
        <v>360</v>
      </c>
      <c r="F8" s="19" t="s">
        <v>20</v>
      </c>
      <c r="G8" s="18">
        <f>G3+(G6*0.25)</f>
        <v>4.0649999999999999E-2</v>
      </c>
    </row>
    <row r="9" spans="2:11" x14ac:dyDescent="0.25">
      <c r="B9" s="27" t="s">
        <v>14</v>
      </c>
      <c r="C9" s="8">
        <f>6020</f>
        <v>6020</v>
      </c>
      <c r="F9" s="6" t="s">
        <v>26</v>
      </c>
      <c r="G9" s="23">
        <f>G8-0.25%</f>
        <v>3.8149999999999996E-2</v>
      </c>
    </row>
    <row r="10" spans="2:11" x14ac:dyDescent="0.25">
      <c r="B10" s="27" t="s">
        <v>31</v>
      </c>
      <c r="C10" s="29">
        <f>1.75%</f>
        <v>1.7500000000000002E-2</v>
      </c>
      <c r="F10" s="6"/>
      <c r="G10" s="23"/>
    </row>
    <row r="11" spans="2:11" x14ac:dyDescent="0.25">
      <c r="B11" s="27" t="s">
        <v>2</v>
      </c>
      <c r="C11" s="8">
        <f>C3*C10</f>
        <v>3500.0000000000005</v>
      </c>
      <c r="K11" s="1"/>
    </row>
    <row r="12" spans="2:11" x14ac:dyDescent="0.25">
      <c r="B12" s="27" t="s">
        <v>27</v>
      </c>
      <c r="C12" s="13">
        <v>8.5000000000000006E-3</v>
      </c>
    </row>
    <row r="13" spans="2:11" x14ac:dyDescent="0.25">
      <c r="B13" s="27" t="s">
        <v>28</v>
      </c>
      <c r="C13" s="2">
        <f>C3*C12/12</f>
        <v>141.66666666666669</v>
      </c>
    </row>
    <row r="14" spans="2:11" x14ac:dyDescent="0.25">
      <c r="B14" s="27"/>
    </row>
    <row r="15" spans="2:11" x14ac:dyDescent="0.25">
      <c r="B15" s="27" t="s">
        <v>7</v>
      </c>
    </row>
    <row r="16" spans="2:11" x14ac:dyDescent="0.25">
      <c r="B16" s="2">
        <f>(C6*(1+C6)^(C8)*C4)/((1+C6)^C8-1)+C13</f>
        <v>1084.1068955159396</v>
      </c>
    </row>
    <row r="18" spans="2:2" x14ac:dyDescent="0.25">
      <c r="B18" s="6" t="s">
        <v>9</v>
      </c>
    </row>
    <row r="19" spans="2:2" x14ac:dyDescent="0.25">
      <c r="B19" s="10" t="s">
        <v>29</v>
      </c>
    </row>
    <row r="20" spans="2:2" x14ac:dyDescent="0.25">
      <c r="B20" s="10" t="s">
        <v>30</v>
      </c>
    </row>
  </sheetData>
  <mergeCells count="1">
    <mergeCell ref="B2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M16"/>
  <sheetViews>
    <sheetView workbookViewId="0">
      <selection activeCell="B11" sqref="B11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13" x14ac:dyDescent="0.25">
      <c r="B2" s="33" t="s">
        <v>3</v>
      </c>
      <c r="C2" s="33"/>
      <c r="E2" s="33" t="s">
        <v>8</v>
      </c>
      <c r="F2" s="33"/>
      <c r="H2" s="24" t="s">
        <v>21</v>
      </c>
      <c r="I2" s="25"/>
    </row>
    <row r="3" spans="2:13" x14ac:dyDescent="0.25">
      <c r="B3" t="s">
        <v>0</v>
      </c>
      <c r="C3" s="3">
        <f>750000</f>
        <v>750000</v>
      </c>
      <c r="E3" t="s">
        <v>0</v>
      </c>
      <c r="F3" s="3">
        <f>$C$3-($C$3*F6)</f>
        <v>748641.57089439663</v>
      </c>
      <c r="H3" s="19" t="s">
        <v>22</v>
      </c>
      <c r="I3" s="15">
        <f>$C$4</f>
        <v>0.04</v>
      </c>
    </row>
    <row r="4" spans="2:13" x14ac:dyDescent="0.25">
      <c r="B4" t="s">
        <v>4</v>
      </c>
      <c r="C4" s="1">
        <v>0.04</v>
      </c>
      <c r="E4" t="s">
        <v>4</v>
      </c>
      <c r="F4" s="1">
        <v>4.0149999999999998E-2</v>
      </c>
      <c r="H4" s="9" t="s">
        <v>23</v>
      </c>
      <c r="I4" s="16">
        <f>F6</f>
        <v>1.811238807471212E-3</v>
      </c>
    </row>
    <row r="5" spans="2:13" x14ac:dyDescent="0.25">
      <c r="B5" t="s">
        <v>5</v>
      </c>
      <c r="C5" s="5">
        <f>C4/12</f>
        <v>3.3333333333333335E-3</v>
      </c>
      <c r="E5" t="s">
        <v>5</v>
      </c>
      <c r="F5" s="5">
        <f>F4/12</f>
        <v>3.345833333333333E-3</v>
      </c>
      <c r="H5" s="9" t="s">
        <v>24</v>
      </c>
      <c r="I5" s="16">
        <f>F8</f>
        <v>4.7746666666666666E-3</v>
      </c>
    </row>
    <row r="6" spans="2:13" x14ac:dyDescent="0.25">
      <c r="B6" t="s">
        <v>1</v>
      </c>
      <c r="C6" s="7" t="s">
        <v>13</v>
      </c>
      <c r="E6" t="s">
        <v>1</v>
      </c>
      <c r="F6" s="1">
        <v>1.811238807471212E-3</v>
      </c>
      <c r="H6" s="19" t="s">
        <v>25</v>
      </c>
      <c r="I6" s="15">
        <f>I4+I5</f>
        <v>6.5859054741378787E-3</v>
      </c>
    </row>
    <row r="7" spans="2:13" x14ac:dyDescent="0.25">
      <c r="B7" t="s">
        <v>6</v>
      </c>
      <c r="C7">
        <f>360</f>
        <v>360</v>
      </c>
      <c r="E7" t="s">
        <v>6</v>
      </c>
      <c r="F7">
        <f>360</f>
        <v>360</v>
      </c>
      <c r="H7" s="20"/>
    </row>
    <row r="8" spans="2:13" x14ac:dyDescent="0.25">
      <c r="B8" t="s">
        <v>14</v>
      </c>
      <c r="C8" s="2">
        <v>3581</v>
      </c>
      <c r="E8" t="s">
        <v>14</v>
      </c>
      <c r="F8" s="31">
        <f>$C$8/$C$3</f>
        <v>4.7746666666666666E-3</v>
      </c>
      <c r="H8" s="19" t="s">
        <v>20</v>
      </c>
      <c r="I8" s="18">
        <f>I3+(I6*0.25)</f>
        <v>4.1646476368534469E-2</v>
      </c>
    </row>
    <row r="9" spans="2:13" x14ac:dyDescent="0.25">
      <c r="H9" s="6" t="s">
        <v>26</v>
      </c>
      <c r="I9" s="23">
        <f>I8-0.25%</f>
        <v>3.9146476368534466E-2</v>
      </c>
    </row>
    <row r="10" spans="2:13" x14ac:dyDescent="0.25">
      <c r="B10" t="s">
        <v>7</v>
      </c>
      <c r="E10" t="s">
        <v>7</v>
      </c>
      <c r="M10" s="1"/>
    </row>
    <row r="11" spans="2:13" x14ac:dyDescent="0.25">
      <c r="B11" s="2">
        <f>(C5*(1+C5)^(C7)*C3)/((1+C5)^C7-1)</f>
        <v>3580.6147159908965</v>
      </c>
      <c r="E11" s="2">
        <f>(F5*(1+F5)^(F7)*F3)/((1+F5)^F7-1)</f>
        <v>3580.6064167615486</v>
      </c>
    </row>
    <row r="14" spans="2:13" x14ac:dyDescent="0.25">
      <c r="B14" s="6" t="s">
        <v>9</v>
      </c>
    </row>
    <row r="15" spans="2:13" x14ac:dyDescent="0.25">
      <c r="B15" s="10" t="s">
        <v>15</v>
      </c>
    </row>
    <row r="16" spans="2:13" x14ac:dyDescent="0.25">
      <c r="B16" s="10" t="s">
        <v>12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M16"/>
  <sheetViews>
    <sheetView workbookViewId="0">
      <selection activeCell="B11" sqref="B11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13" x14ac:dyDescent="0.25">
      <c r="B2" s="33" t="s">
        <v>3</v>
      </c>
      <c r="C2" s="33"/>
      <c r="E2" s="33" t="s">
        <v>8</v>
      </c>
      <c r="F2" s="33"/>
      <c r="H2" s="24" t="s">
        <v>21</v>
      </c>
      <c r="I2" s="25"/>
    </row>
    <row r="3" spans="2:13" x14ac:dyDescent="0.25">
      <c r="B3" t="s">
        <v>0</v>
      </c>
      <c r="C3" s="3">
        <f>500000</f>
        <v>500000</v>
      </c>
      <c r="E3" t="s">
        <v>0</v>
      </c>
      <c r="F3" s="3">
        <f>$C$3-($C$3*F6)</f>
        <v>499461.25537136599</v>
      </c>
      <c r="H3" s="19" t="s">
        <v>22</v>
      </c>
      <c r="I3" s="15">
        <f>$C$4</f>
        <v>4.1250000000000002E-2</v>
      </c>
    </row>
    <row r="4" spans="2:13" x14ac:dyDescent="0.25">
      <c r="B4" t="s">
        <v>4</v>
      </c>
      <c r="C4" s="1">
        <v>4.1250000000000002E-2</v>
      </c>
      <c r="E4" t="s">
        <v>4</v>
      </c>
      <c r="F4" s="1">
        <v>4.1340000000000002E-2</v>
      </c>
      <c r="H4" s="9" t="s">
        <v>23</v>
      </c>
      <c r="I4" s="16">
        <f>F6</f>
        <v>1.0774892572679893E-3</v>
      </c>
    </row>
    <row r="5" spans="2:13" x14ac:dyDescent="0.25">
      <c r="B5" t="s">
        <v>5</v>
      </c>
      <c r="C5" s="5">
        <f>C4/12</f>
        <v>3.4375E-3</v>
      </c>
      <c r="E5" t="s">
        <v>5</v>
      </c>
      <c r="F5" s="5">
        <f>F4/12</f>
        <v>3.4450000000000001E-3</v>
      </c>
      <c r="H5" s="9" t="s">
        <v>24</v>
      </c>
      <c r="I5" s="16">
        <f>F8</f>
        <v>4.7039999999999998E-3</v>
      </c>
    </row>
    <row r="6" spans="2:13" x14ac:dyDescent="0.25">
      <c r="B6" t="s">
        <v>1</v>
      </c>
      <c r="C6" s="7" t="s">
        <v>13</v>
      </c>
      <c r="E6" t="s">
        <v>1</v>
      </c>
      <c r="F6" s="1">
        <v>1.0774892572679893E-3</v>
      </c>
      <c r="H6" s="19" t="s">
        <v>25</v>
      </c>
      <c r="I6" s="15">
        <f>I4+I5</f>
        <v>5.7814892572679889E-3</v>
      </c>
    </row>
    <row r="7" spans="2:13" x14ac:dyDescent="0.25">
      <c r="B7" t="s">
        <v>6</v>
      </c>
      <c r="C7">
        <f>360</f>
        <v>360</v>
      </c>
      <c r="E7" t="s">
        <v>6</v>
      </c>
      <c r="F7">
        <f>360</f>
        <v>360</v>
      </c>
      <c r="H7" s="20"/>
    </row>
    <row r="8" spans="2:13" x14ac:dyDescent="0.25">
      <c r="B8" t="s">
        <v>14</v>
      </c>
      <c r="C8" s="2">
        <v>2352</v>
      </c>
      <c r="E8" t="s">
        <v>14</v>
      </c>
      <c r="F8" s="31">
        <f>$C$8/$C$3</f>
        <v>4.7039999999999998E-3</v>
      </c>
      <c r="H8" s="19" t="s">
        <v>20</v>
      </c>
      <c r="I8" s="18">
        <f>I3+(I6*0.25)</f>
        <v>4.2695372314316998E-2</v>
      </c>
    </row>
    <row r="9" spans="2:13" x14ac:dyDescent="0.25">
      <c r="H9" s="6" t="s">
        <v>26</v>
      </c>
      <c r="I9" s="23">
        <f>I8-0.25%</f>
        <v>4.0195372314316996E-2</v>
      </c>
    </row>
    <row r="10" spans="2:13" x14ac:dyDescent="0.25">
      <c r="B10" t="s">
        <v>7</v>
      </c>
      <c r="E10" t="s">
        <v>7</v>
      </c>
      <c r="M10" s="1"/>
    </row>
    <row r="11" spans="2:13" x14ac:dyDescent="0.25">
      <c r="B11" s="2">
        <f>(C5*(1+C5)^(C7)*C3)/((1+C5)^C7-1)</f>
        <v>2423.2486624900366</v>
      </c>
      <c r="E11" s="2">
        <f>(F5*(1+F5)^(F7)*F3)/((1+F5)^F7-1)</f>
        <v>2423.2500000001396</v>
      </c>
    </row>
    <row r="14" spans="2:13" x14ac:dyDescent="0.25">
      <c r="B14" s="6" t="s">
        <v>9</v>
      </c>
    </row>
    <row r="15" spans="2:13" x14ac:dyDescent="0.25">
      <c r="B15" s="10" t="s">
        <v>15</v>
      </c>
    </row>
    <row r="16" spans="2:13" x14ac:dyDescent="0.25">
      <c r="B16" s="10" t="s">
        <v>12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I16"/>
  <sheetViews>
    <sheetView workbookViewId="0">
      <selection activeCell="F3" sqref="F3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9.7109375" customWidth="1"/>
  </cols>
  <sheetData>
    <row r="2" spans="2:9" x14ac:dyDescent="0.25">
      <c r="B2" s="33" t="s">
        <v>3</v>
      </c>
      <c r="C2" s="33"/>
      <c r="E2" s="33" t="s">
        <v>8</v>
      </c>
      <c r="F2" s="33"/>
      <c r="H2" s="33" t="s">
        <v>21</v>
      </c>
      <c r="I2" s="34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196157.49805885283</v>
      </c>
      <c r="H3" s="14" t="s">
        <v>22</v>
      </c>
      <c r="I3" s="15">
        <f>$C$4</f>
        <v>3.875E-2</v>
      </c>
    </row>
    <row r="4" spans="2:9" x14ac:dyDescent="0.25">
      <c r="B4" t="s">
        <v>4</v>
      </c>
      <c r="C4" s="1">
        <v>3.875E-2</v>
      </c>
      <c r="E4" t="s">
        <v>4</v>
      </c>
      <c r="F4" s="1">
        <v>4.0351999999999999E-2</v>
      </c>
      <c r="H4" s="9" t="s">
        <v>23</v>
      </c>
      <c r="I4" s="16">
        <f>C6</f>
        <v>6.0999999999999997E-4</v>
      </c>
    </row>
    <row r="5" spans="2:9" x14ac:dyDescent="0.25">
      <c r="B5" t="s">
        <v>5</v>
      </c>
      <c r="C5" s="5">
        <f>C4/12</f>
        <v>3.2291666666666666E-3</v>
      </c>
      <c r="E5" t="s">
        <v>5</v>
      </c>
      <c r="F5" s="5">
        <f>F4/12</f>
        <v>3.3626666666666666E-3</v>
      </c>
      <c r="H5" s="9" t="s">
        <v>24</v>
      </c>
      <c r="I5" s="17">
        <f>F8</f>
        <v>1.860250970573582E-2</v>
      </c>
    </row>
    <row r="6" spans="2:9" x14ac:dyDescent="0.25">
      <c r="B6" t="s">
        <v>1</v>
      </c>
      <c r="C6" s="35">
        <v>6.0999999999999997E-4</v>
      </c>
      <c r="E6" t="s">
        <v>1</v>
      </c>
      <c r="F6" s="4">
        <v>1.921250970573582E-2</v>
      </c>
      <c r="H6" s="6" t="s">
        <v>25</v>
      </c>
      <c r="I6" s="15">
        <f>I4+I5</f>
        <v>1.921250970573582E-2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11">
        <v>9.4E-2</v>
      </c>
      <c r="E8" t="s">
        <v>14</v>
      </c>
      <c r="F8" s="13">
        <f>F6-C6</f>
        <v>1.860250970573582E-2</v>
      </c>
      <c r="H8" s="6" t="s">
        <v>20</v>
      </c>
      <c r="I8" s="18">
        <f>I3+(I6*0.25)</f>
        <v>4.3553127426433955E-2</v>
      </c>
    </row>
    <row r="9" spans="2:9" x14ac:dyDescent="0.25">
      <c r="C9" s="8"/>
      <c r="H9" s="6" t="s">
        <v>26</v>
      </c>
      <c r="I9" s="23">
        <f>I8-0.25%</f>
        <v>4.1053127426433952E-2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940.47416773268344</v>
      </c>
      <c r="E11" s="2">
        <f>(F5*(1+F5)^(F7)*F3)/((1+F5)^F7-1)</f>
        <v>940.47094015060281</v>
      </c>
    </row>
    <row r="14" spans="2:9" x14ac:dyDescent="0.25">
      <c r="B14" s="6" t="s">
        <v>9</v>
      </c>
    </row>
    <row r="15" spans="2:9" x14ac:dyDescent="0.25">
      <c r="B15" s="10" t="s">
        <v>17</v>
      </c>
    </row>
    <row r="16" spans="2:9" x14ac:dyDescent="0.25">
      <c r="B16" s="10" t="s">
        <v>16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2:K22"/>
  <sheetViews>
    <sheetView tabSelected="1" workbookViewId="0">
      <selection activeCell="B18" sqref="B18"/>
    </sheetView>
  </sheetViews>
  <sheetFormatPr defaultRowHeight="15" x14ac:dyDescent="0.25"/>
  <cols>
    <col min="2" max="2" width="33.5703125" customWidth="1"/>
    <col min="3" max="3" width="14" bestFit="1" customWidth="1"/>
    <col min="4" max="5" width="2" customWidth="1"/>
    <col min="6" max="6" width="18.7109375" customWidth="1"/>
    <col min="7" max="7" width="9.85546875" bestFit="1" customWidth="1"/>
  </cols>
  <sheetData>
    <row r="2" spans="2:11" x14ac:dyDescent="0.25">
      <c r="B2" s="33" t="s">
        <v>3</v>
      </c>
      <c r="C2" s="33"/>
      <c r="F2" s="21" t="s">
        <v>21</v>
      </c>
      <c r="G2" s="22"/>
    </row>
    <row r="3" spans="2:11" x14ac:dyDescent="0.25">
      <c r="B3" s="26" t="s">
        <v>32</v>
      </c>
      <c r="C3" s="28">
        <v>160048</v>
      </c>
      <c r="F3" s="19" t="s">
        <v>22</v>
      </c>
      <c r="G3" s="15">
        <f>$C$5</f>
        <v>3.6249999999999998E-2</v>
      </c>
      <c r="J3" s="1">
        <f>(C4-C3)/C4</f>
        <v>1.8110429447852759E-2</v>
      </c>
    </row>
    <row r="4" spans="2:11" x14ac:dyDescent="0.25">
      <c r="B4" s="27" t="s">
        <v>33</v>
      </c>
      <c r="C4" s="3">
        <f>163000*1</f>
        <v>163000</v>
      </c>
      <c r="F4" s="9" t="s">
        <v>23</v>
      </c>
      <c r="G4" s="16">
        <f>C7</f>
        <v>2.7999999999999998E-4</v>
      </c>
    </row>
    <row r="5" spans="2:11" x14ac:dyDescent="0.25">
      <c r="B5" s="27" t="s">
        <v>4</v>
      </c>
      <c r="C5" s="1">
        <v>3.6249999999999998E-2</v>
      </c>
      <c r="F5" s="9" t="s">
        <v>24</v>
      </c>
      <c r="G5" s="30">
        <f>(C9/C4)-C10</f>
        <v>0</v>
      </c>
    </row>
    <row r="6" spans="2:11" x14ac:dyDescent="0.25">
      <c r="B6" s="27" t="s">
        <v>5</v>
      </c>
      <c r="C6" s="5">
        <f>C5/12</f>
        <v>3.0208333333333333E-3</v>
      </c>
      <c r="F6" s="19" t="s">
        <v>25</v>
      </c>
      <c r="G6" s="15">
        <f>G4+G5</f>
        <v>2.7999999999999998E-4</v>
      </c>
    </row>
    <row r="7" spans="2:11" x14ac:dyDescent="0.25">
      <c r="B7" s="27" t="s">
        <v>1</v>
      </c>
      <c r="C7" s="5">
        <v>2.7999999999999998E-4</v>
      </c>
      <c r="F7" s="20"/>
    </row>
    <row r="8" spans="2:11" x14ac:dyDescent="0.25">
      <c r="B8" s="27" t="s">
        <v>6</v>
      </c>
      <c r="C8">
        <f>360</f>
        <v>360</v>
      </c>
      <c r="F8" s="19" t="s">
        <v>20</v>
      </c>
      <c r="G8" s="18">
        <f>G3+(G6*0.25)</f>
        <v>3.6319999999999998E-2</v>
      </c>
    </row>
    <row r="9" spans="2:11" x14ac:dyDescent="0.25">
      <c r="B9" s="27" t="s">
        <v>14</v>
      </c>
      <c r="C9" s="8">
        <f>163000-160048</f>
        <v>2952</v>
      </c>
      <c r="F9" s="6" t="s">
        <v>26</v>
      </c>
      <c r="G9" s="15">
        <f>G8-0.25%</f>
        <v>3.3819999999999996E-2</v>
      </c>
    </row>
    <row r="10" spans="2:11" x14ac:dyDescent="0.25">
      <c r="B10" s="27" t="s">
        <v>31</v>
      </c>
      <c r="C10" s="29">
        <f>C11/C4</f>
        <v>1.8110429447852759E-2</v>
      </c>
      <c r="F10" s="6"/>
      <c r="G10" s="23"/>
    </row>
    <row r="11" spans="2:11" x14ac:dyDescent="0.25">
      <c r="B11" s="27" t="s">
        <v>2</v>
      </c>
      <c r="C11" s="8">
        <f>C4-C3</f>
        <v>2952</v>
      </c>
      <c r="K11" s="1"/>
    </row>
    <row r="12" spans="2:11" x14ac:dyDescent="0.25">
      <c r="B12" s="27" t="s">
        <v>27</v>
      </c>
      <c r="C12" s="13">
        <v>8.5000000000000006E-3</v>
      </c>
    </row>
    <row r="13" spans="2:11" x14ac:dyDescent="0.25">
      <c r="B13" s="27" t="s">
        <v>28</v>
      </c>
      <c r="C13" s="2">
        <f>C3*C12/12</f>
        <v>113.36733333333335</v>
      </c>
    </row>
    <row r="14" spans="2:11" x14ac:dyDescent="0.25">
      <c r="B14" s="27" t="s">
        <v>35</v>
      </c>
      <c r="C14" s="32">
        <v>0.01</v>
      </c>
    </row>
    <row r="15" spans="2:11" x14ac:dyDescent="0.25">
      <c r="B15" s="27" t="s">
        <v>34</v>
      </c>
      <c r="C15" s="2">
        <f>C4*C14</f>
        <v>1630</v>
      </c>
    </row>
    <row r="16" spans="2:11" x14ac:dyDescent="0.25">
      <c r="B16" s="27"/>
    </row>
    <row r="17" spans="2:2" x14ac:dyDescent="0.25">
      <c r="B17" s="27" t="s">
        <v>7</v>
      </c>
    </row>
    <row r="18" spans="2:2" x14ac:dyDescent="0.25">
      <c r="B18" s="2">
        <f>(C6*(1+C6)^(C8)*(C4))/((1+C6)^C8-1)</f>
        <v>743.36362229615168</v>
      </c>
    </row>
    <row r="20" spans="2:2" x14ac:dyDescent="0.25">
      <c r="B20" s="6" t="s">
        <v>9</v>
      </c>
    </row>
    <row r="21" spans="2:2" x14ac:dyDescent="0.25">
      <c r="B21" s="10" t="s">
        <v>29</v>
      </c>
    </row>
    <row r="22" spans="2:2" x14ac:dyDescent="0.25">
      <c r="B22" s="10" t="s">
        <v>30</v>
      </c>
    </row>
  </sheetData>
  <mergeCells count="1">
    <mergeCell ref="B2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I16"/>
  <sheetViews>
    <sheetView workbookViewId="0">
      <selection activeCell="C25" sqref="C25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20.42578125" bestFit="1" customWidth="1"/>
    <col min="7" max="7" width="2" customWidth="1"/>
    <col min="8" max="8" width="20.85546875" customWidth="1"/>
    <col min="9" max="9" width="13" customWidth="1"/>
  </cols>
  <sheetData>
    <row r="2" spans="2:9" x14ac:dyDescent="0.25">
      <c r="B2" s="33" t="s">
        <v>3</v>
      </c>
      <c r="C2" s="33"/>
      <c r="E2" s="33" t="s">
        <v>8</v>
      </c>
      <c r="F2" s="33"/>
      <c r="H2" s="33" t="s">
        <v>21</v>
      </c>
      <c r="I2" s="34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195928.60921222257</v>
      </c>
      <c r="H3" s="14" t="s">
        <v>22</v>
      </c>
      <c r="I3" s="15">
        <f>$C$4</f>
        <v>3.875E-2</v>
      </c>
    </row>
    <row r="4" spans="2:9" x14ac:dyDescent="0.25">
      <c r="B4" t="s">
        <v>4</v>
      </c>
      <c r="C4" s="1">
        <f>3.875%</f>
        <v>3.875E-2</v>
      </c>
      <c r="E4" t="s">
        <v>4</v>
      </c>
      <c r="F4" s="1">
        <f>4.044%</f>
        <v>4.0439999999999997E-2</v>
      </c>
      <c r="H4" s="9" t="s">
        <v>23</v>
      </c>
      <c r="I4" s="16">
        <f>C6</f>
        <v>8.9300000000000004E-3</v>
      </c>
    </row>
    <row r="5" spans="2:9" x14ac:dyDescent="0.25">
      <c r="B5" t="s">
        <v>5</v>
      </c>
      <c r="C5" s="5">
        <f>C4/12</f>
        <v>3.2291666666666666E-3</v>
      </c>
      <c r="E5" t="s">
        <v>5</v>
      </c>
      <c r="F5" s="5">
        <f>F4/12</f>
        <v>3.3699999999999997E-3</v>
      </c>
      <c r="H5" s="9" t="s">
        <v>24</v>
      </c>
      <c r="I5" s="17">
        <f>F8</f>
        <v>1.1426953938887159E-2</v>
      </c>
    </row>
    <row r="6" spans="2:9" x14ac:dyDescent="0.25">
      <c r="B6" t="s">
        <v>1</v>
      </c>
      <c r="C6" s="1">
        <f>0.893%</f>
        <v>8.9300000000000004E-3</v>
      </c>
      <c r="E6" t="s">
        <v>1</v>
      </c>
      <c r="F6" s="4">
        <v>2.035695393888716E-2</v>
      </c>
      <c r="H6" s="6" t="s">
        <v>25</v>
      </c>
      <c r="I6" s="15">
        <f>I4+I5</f>
        <v>2.035695393888716E-2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9" t="s">
        <v>13</v>
      </c>
      <c r="E8" t="s">
        <v>14</v>
      </c>
      <c r="F8" s="13">
        <f>F6-C6</f>
        <v>1.1426953938887159E-2</v>
      </c>
      <c r="H8" s="6" t="s">
        <v>20</v>
      </c>
      <c r="I8" s="18">
        <f>I3+(I6*0.25)</f>
        <v>4.3839238484721793E-2</v>
      </c>
    </row>
    <row r="9" spans="2:9" x14ac:dyDescent="0.25">
      <c r="H9" s="6" t="s">
        <v>26</v>
      </c>
      <c r="I9" s="23">
        <f>I8-0.25%</f>
        <v>4.1339238484721791E-2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940.47416773268344</v>
      </c>
      <c r="E11" s="2">
        <f>(F5*(1+F5)^(F7)*F3)/((1+F5)^F7-1)</f>
        <v>940.37000000000091</v>
      </c>
    </row>
    <row r="14" spans="2:9" x14ac:dyDescent="0.25">
      <c r="B14" s="6" t="s">
        <v>9</v>
      </c>
    </row>
    <row r="15" spans="2:9" x14ac:dyDescent="0.25">
      <c r="B15" s="10" t="s">
        <v>10</v>
      </c>
      <c r="C15" s="10"/>
      <c r="D15" s="10"/>
      <c r="E15" s="10"/>
      <c r="G15" s="10"/>
    </row>
    <row r="16" spans="2:9" x14ac:dyDescent="0.25">
      <c r="B16" s="10" t="s">
        <v>11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I16"/>
  <sheetViews>
    <sheetView workbookViewId="0">
      <selection activeCell="H9" sqref="H9:I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9.7109375" customWidth="1"/>
  </cols>
  <sheetData>
    <row r="2" spans="2:9" x14ac:dyDescent="0.25">
      <c r="B2" s="33" t="s">
        <v>3</v>
      </c>
      <c r="C2" s="33"/>
      <c r="E2" s="33" t="s">
        <v>8</v>
      </c>
      <c r="F2" s="33"/>
      <c r="H2" s="33" t="s">
        <v>21</v>
      </c>
      <c r="I2" s="34"/>
    </row>
    <row r="3" spans="2:9" x14ac:dyDescent="0.25">
      <c r="B3" t="s">
        <v>0</v>
      </c>
      <c r="C3" s="3">
        <f>215000</f>
        <v>215000</v>
      </c>
      <c r="E3" t="s">
        <v>0</v>
      </c>
      <c r="F3" s="3">
        <f>$C$3-($C$3*F6)</f>
        <v>212851.74770910939</v>
      </c>
      <c r="H3" s="14" t="s">
        <v>22</v>
      </c>
      <c r="I3" s="15">
        <f>$C$4</f>
        <v>4.1250000000000002E-2</v>
      </c>
    </row>
    <row r="4" spans="2:9" x14ac:dyDescent="0.25">
      <c r="B4" t="s">
        <v>4</v>
      </c>
      <c r="C4" s="1">
        <f>4.125%</f>
        <v>4.1250000000000002E-2</v>
      </c>
      <c r="E4" t="s">
        <v>4</v>
      </c>
      <c r="F4" s="1">
        <f>4.209%</f>
        <v>4.2089999999999995E-2</v>
      </c>
      <c r="H4" s="9" t="s">
        <v>23</v>
      </c>
      <c r="I4" s="16">
        <f>C6</f>
        <v>0.01</v>
      </c>
    </row>
    <row r="5" spans="2:9" x14ac:dyDescent="0.25">
      <c r="B5" t="s">
        <v>5</v>
      </c>
      <c r="C5" s="5">
        <f>C4/12</f>
        <v>3.4375E-3</v>
      </c>
      <c r="E5" t="s">
        <v>5</v>
      </c>
      <c r="F5" s="5">
        <f>F4/12</f>
        <v>3.5074999999999998E-3</v>
      </c>
      <c r="H5" s="9" t="s">
        <v>24</v>
      </c>
      <c r="I5" s="17">
        <f>F8</f>
        <v>-8.1288795785502271E-6</v>
      </c>
    </row>
    <row r="6" spans="2:9" x14ac:dyDescent="0.25">
      <c r="B6" t="s">
        <v>1</v>
      </c>
      <c r="C6" s="7">
        <f>1%</f>
        <v>0.01</v>
      </c>
      <c r="E6" t="s">
        <v>1</v>
      </c>
      <c r="F6" s="4">
        <v>9.99187112042145E-3</v>
      </c>
      <c r="H6" s="6" t="s">
        <v>25</v>
      </c>
      <c r="I6" s="15">
        <f>I4+I5</f>
        <v>9.99187112042145E-3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11" t="s">
        <v>13</v>
      </c>
      <c r="E8" t="s">
        <v>14</v>
      </c>
      <c r="F8" s="13">
        <f>F6-C6</f>
        <v>-8.1288795785502271E-6</v>
      </c>
      <c r="H8" s="6" t="s">
        <v>20</v>
      </c>
      <c r="I8" s="18">
        <f>I3+(I6*0.25)</f>
        <v>4.3747967780105368E-2</v>
      </c>
    </row>
    <row r="9" spans="2:9" x14ac:dyDescent="0.25">
      <c r="C9" s="8"/>
      <c r="H9" s="6" t="s">
        <v>26</v>
      </c>
      <c r="I9" s="23">
        <f>I8-0.25%</f>
        <v>4.1247967780105366E-2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1041.9969248707159</v>
      </c>
      <c r="E11" s="2">
        <f>(F5*(1+F5)^(F7)*F3)/((1+F5)^F7-1)</f>
        <v>1042.0000000000059</v>
      </c>
    </row>
    <row r="14" spans="2:9" x14ac:dyDescent="0.25">
      <c r="B14" s="6" t="s">
        <v>9</v>
      </c>
    </row>
    <row r="15" spans="2:9" x14ac:dyDescent="0.25">
      <c r="B15" s="10" t="s">
        <v>17</v>
      </c>
    </row>
    <row r="16" spans="2:9" x14ac:dyDescent="0.25">
      <c r="B16" s="10" t="s">
        <v>16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M16"/>
  <sheetViews>
    <sheetView workbookViewId="0">
      <selection activeCell="H29" sqref="H2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13" x14ac:dyDescent="0.25">
      <c r="B2" s="33" t="s">
        <v>3</v>
      </c>
      <c r="C2" s="33"/>
      <c r="E2" s="33" t="s">
        <v>8</v>
      </c>
      <c r="F2" s="33"/>
      <c r="H2" s="21" t="s">
        <v>21</v>
      </c>
      <c r="I2" s="22"/>
    </row>
    <row r="3" spans="2:13" x14ac:dyDescent="0.25">
      <c r="B3" t="s">
        <v>0</v>
      </c>
      <c r="C3" s="3">
        <f>200000</f>
        <v>200000</v>
      </c>
      <c r="E3" t="s">
        <v>0</v>
      </c>
      <c r="F3" s="3">
        <f>$C$3-($C$3*F6)</f>
        <v>198869.72036864379</v>
      </c>
      <c r="H3" s="19" t="s">
        <v>22</v>
      </c>
      <c r="I3" s="15">
        <f>$C$4</f>
        <v>0.04</v>
      </c>
    </row>
    <row r="4" spans="2:13" x14ac:dyDescent="0.25">
      <c r="B4" t="s">
        <v>4</v>
      </c>
      <c r="C4" s="1">
        <f>4%</f>
        <v>0.04</v>
      </c>
      <c r="E4" t="s">
        <v>4</v>
      </c>
      <c r="F4" s="1">
        <f>4.047%</f>
        <v>4.0469999999999999E-2</v>
      </c>
      <c r="H4" s="9" t="s">
        <v>23</v>
      </c>
      <c r="I4" s="16">
        <f>F6</f>
        <v>5.6513981567811221E-3</v>
      </c>
    </row>
    <row r="5" spans="2:13" x14ac:dyDescent="0.25">
      <c r="B5" t="s">
        <v>5</v>
      </c>
      <c r="C5" s="5">
        <f>C4/12</f>
        <v>3.3333333333333335E-3</v>
      </c>
      <c r="E5" t="s">
        <v>5</v>
      </c>
      <c r="F5" s="5">
        <f>F4/12</f>
        <v>3.3725000000000001E-3</v>
      </c>
      <c r="H5" s="9" t="s">
        <v>24</v>
      </c>
      <c r="I5" s="17">
        <f>F8</f>
        <v>1.379E-2</v>
      </c>
    </row>
    <row r="6" spans="2:13" x14ac:dyDescent="0.25">
      <c r="B6" t="s">
        <v>1</v>
      </c>
      <c r="C6" s="7" t="s">
        <v>13</v>
      </c>
      <c r="E6" t="s">
        <v>1</v>
      </c>
      <c r="F6" s="4">
        <v>5.6513981567811221E-3</v>
      </c>
      <c r="H6" s="19" t="s">
        <v>25</v>
      </c>
      <c r="I6" s="15">
        <f>I4+I5</f>
        <v>1.9441398156781121E-2</v>
      </c>
    </row>
    <row r="7" spans="2:13" x14ac:dyDescent="0.25">
      <c r="B7" t="s">
        <v>6</v>
      </c>
      <c r="C7">
        <f>360</f>
        <v>360</v>
      </c>
      <c r="E7" t="s">
        <v>6</v>
      </c>
      <c r="F7">
        <f>360</f>
        <v>360</v>
      </c>
      <c r="H7" s="20"/>
    </row>
    <row r="8" spans="2:13" x14ac:dyDescent="0.25">
      <c r="B8" t="s">
        <v>14</v>
      </c>
      <c r="C8" s="2">
        <f>2758</f>
        <v>2758</v>
      </c>
      <c r="E8" t="s">
        <v>14</v>
      </c>
      <c r="F8" s="13">
        <f>$C$8/$C$3</f>
        <v>1.379E-2</v>
      </c>
      <c r="H8" s="19" t="s">
        <v>20</v>
      </c>
      <c r="I8" s="18">
        <f>I3+(I6*0.25)</f>
        <v>4.4860349539195279E-2</v>
      </c>
    </row>
    <row r="9" spans="2:13" x14ac:dyDescent="0.25">
      <c r="H9" s="6" t="s">
        <v>26</v>
      </c>
      <c r="I9" s="23">
        <f>I8-0.25%</f>
        <v>4.2360349539195277E-2</v>
      </c>
    </row>
    <row r="10" spans="2:13" x14ac:dyDescent="0.25">
      <c r="B10" t="s">
        <v>7</v>
      </c>
      <c r="E10" t="s">
        <v>7</v>
      </c>
      <c r="M10" s="1"/>
    </row>
    <row r="11" spans="2:13" x14ac:dyDescent="0.25">
      <c r="B11" s="2">
        <f>(C5*(1+C5)^(C7)*C3)/((1+C5)^C7-1)</f>
        <v>954.83059093090571</v>
      </c>
      <c r="E11" s="2">
        <f>(F5*(1+F5)^(F7)*F3)/((1+F5)^F7-1)</f>
        <v>954.83095066391843</v>
      </c>
    </row>
    <row r="14" spans="2:13" x14ac:dyDescent="0.25">
      <c r="B14" s="6" t="s">
        <v>9</v>
      </c>
    </row>
    <row r="15" spans="2:13" x14ac:dyDescent="0.25">
      <c r="B15" s="10" t="s">
        <v>15</v>
      </c>
    </row>
    <row r="16" spans="2:13" x14ac:dyDescent="0.25">
      <c r="B16" s="10" t="s">
        <v>12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I16"/>
  <sheetViews>
    <sheetView workbookViewId="0">
      <selection activeCell="I9" sqref="I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9" x14ac:dyDescent="0.25">
      <c r="B2" s="33" t="s">
        <v>3</v>
      </c>
      <c r="C2" s="33"/>
      <c r="E2" s="33" t="s">
        <v>8</v>
      </c>
      <c r="F2" s="33"/>
      <c r="H2" s="33" t="s">
        <v>21</v>
      </c>
      <c r="I2" s="34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194572.76690383366</v>
      </c>
      <c r="H3" s="14" t="s">
        <v>22</v>
      </c>
      <c r="I3" s="15">
        <f>$C$4</f>
        <v>3.7499999999999999E-2</v>
      </c>
    </row>
    <row r="4" spans="2:9" x14ac:dyDescent="0.25">
      <c r="B4" t="s">
        <v>4</v>
      </c>
      <c r="C4" s="1">
        <f>3.75%</f>
        <v>3.7499999999999999E-2</v>
      </c>
      <c r="E4" t="s">
        <v>4</v>
      </c>
      <c r="F4" s="1">
        <f>3.976%</f>
        <v>3.9759999999999997E-2</v>
      </c>
      <c r="H4" s="9" t="s">
        <v>23</v>
      </c>
      <c r="I4" s="16">
        <f>C6</f>
        <v>1.8749999999999999E-2</v>
      </c>
    </row>
    <row r="5" spans="2:9" x14ac:dyDescent="0.25">
      <c r="B5" t="s">
        <v>5</v>
      </c>
      <c r="C5" s="5">
        <f>C4/12</f>
        <v>3.1249999999999997E-3</v>
      </c>
      <c r="E5" t="s">
        <v>5</v>
      </c>
      <c r="F5" s="5">
        <f>F4/12</f>
        <v>3.3133333333333331E-3</v>
      </c>
      <c r="H5" s="9" t="s">
        <v>24</v>
      </c>
      <c r="I5" s="17">
        <f>F8</f>
        <v>8.3861654808316602E-3</v>
      </c>
    </row>
    <row r="6" spans="2:9" x14ac:dyDescent="0.25">
      <c r="B6" t="s">
        <v>1</v>
      </c>
      <c r="C6" s="5">
        <f>1.875%</f>
        <v>1.8749999999999999E-2</v>
      </c>
      <c r="E6" t="s">
        <v>1</v>
      </c>
      <c r="F6" s="4">
        <v>2.7136165480831659E-2</v>
      </c>
      <c r="H6" s="6" t="s">
        <v>25</v>
      </c>
      <c r="I6" s="15">
        <f>I4+I5</f>
        <v>2.7136165480831659E-2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12" t="s">
        <v>13</v>
      </c>
      <c r="E8" t="s">
        <v>14</v>
      </c>
      <c r="F8" s="13">
        <f>F6-C6</f>
        <v>8.3861654808316602E-3</v>
      </c>
      <c r="H8" s="6" t="s">
        <v>20</v>
      </c>
      <c r="I8" s="18">
        <f>I3+(I6*0.25)</f>
        <v>4.4284041370207916E-2</v>
      </c>
    </row>
    <row r="9" spans="2:9" x14ac:dyDescent="0.25">
      <c r="H9" s="6" t="s">
        <v>26</v>
      </c>
      <c r="I9" s="23">
        <f>I8-0.25%</f>
        <v>4.1784041370207914E-2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926.23118314424869</v>
      </c>
      <c r="E11" s="2">
        <f>(F5*(1+F5)^(F7)*F3)/((1+F5)^F7-1)</f>
        <v>926.22999999999422</v>
      </c>
    </row>
    <row r="14" spans="2:9" x14ac:dyDescent="0.25">
      <c r="B14" s="6" t="s">
        <v>9</v>
      </c>
    </row>
    <row r="15" spans="2:9" x14ac:dyDescent="0.25">
      <c r="B15" s="10" t="s">
        <v>18</v>
      </c>
    </row>
    <row r="16" spans="2:9" x14ac:dyDescent="0.25">
      <c r="B16" s="10" t="s">
        <v>19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Wells - FHA</vt:lpstr>
      <vt:lpstr>Wells - Jumbo non-Conventional</vt:lpstr>
      <vt:lpstr>Wells - Jumbo Conventional</vt:lpstr>
      <vt:lpstr>SunTrust - Conventional</vt:lpstr>
      <vt:lpstr>Suntrust - FHA</vt:lpstr>
      <vt:lpstr>Bank of America - Conventional</vt:lpstr>
      <vt:lpstr>Chase - Conventional</vt:lpstr>
      <vt:lpstr>Wells - Conventional</vt:lpstr>
      <vt:lpstr>Quicken - Conventional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Lien Chen</cp:lastModifiedBy>
  <dcterms:created xsi:type="dcterms:W3CDTF">2015-02-24T20:51:16Z</dcterms:created>
  <dcterms:modified xsi:type="dcterms:W3CDTF">2015-03-04T23:36:34Z</dcterms:modified>
</cp:coreProperties>
</file>