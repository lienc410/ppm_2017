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WeekBusDate">TimeSeriesDataTable3[Column1]</definedName>
    <definedName name="PDFReportName">Report!$V$3</definedName>
    <definedName name="_xlnm.Print_Area" localSheetId="0">Report!$B$1:$S$36</definedName>
    <definedName name="Query_from_Agency" localSheetId="1" hidden="1">'Time Series Query'!$A$6:$F$39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Query'!$Q$6:$V$7</definedName>
    <definedName name="Query_from_Agency_5" localSheetId="1" hidden="1">'Time Series Query'!$X$6:$Z$8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632" r:id="rId15"/>
    <pivotCache cacheId="638" r:id="rId16"/>
    <pivotCache cacheId="644" r:id="rId17"/>
  </pivotCaches>
</workbook>
</file>

<file path=xl/calcChain.xml><?xml version="1.0" encoding="utf-8"?>
<calcChain xmlns="http://schemas.openxmlformats.org/spreadsheetml/2006/main">
  <c r="V3" i="6" l="1"/>
  <c r="F14" i="16" l="1" a="1"/>
  <c r="F14" i="16" s="1"/>
  <c r="F12" i="16" a="1"/>
  <c r="F12" i="16" s="1"/>
  <c r="F10" i="16" a="1"/>
  <c r="F10" i="16" s="1"/>
  <c r="F6" i="16" a="1"/>
  <c r="F6" i="16" s="1"/>
  <c r="F7" i="16" a="1"/>
  <c r="F7" i="16" s="1"/>
  <c r="F8" i="16" a="1"/>
  <c r="F8" i="16" s="1"/>
  <c r="F5" i="16" a="1"/>
  <c r="F5" i="16" s="1"/>
  <c r="E14" i="16" a="1"/>
  <c r="E14" i="16" s="1"/>
  <c r="E12" i="16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E6" i="16"/>
  <c r="E7" i="16"/>
  <c r="E8" i="16"/>
  <c r="E5" i="16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9" i="6" s="1"/>
  <c r="Z12" i="18"/>
  <c r="D28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05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4' order by TickerName,Source,SeriesType,AsOfDate"/>
  </connection>
  <connection id="3" name="1WeekBusDateQuery" type="1" refreshedVersion="4" savePassword="1" saveData="1">
    <dbPr connection="DSN=Cello SQL Server;UID=report;PWD=gm4SJDw4;APP=Microsoft Office 2010;WSID=CELLO-PC4;DATABASE=Cello" command="select dbo.GetNthBusinessDate('2015-03-05',-5)"/>
  </connection>
  <connection id="4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2-26' order by TickerName,Source,SeriesType,AsOfDate"/>
  </connection>
  <connection id="5" name="CurrentCouponQuery" type="1" refreshedVersion="4" savePassword="1" saveData="1">
    <dbPr connection="DSN=Cello SQL Server Dev;Description=Cello SQL Server Dev;UID=dev;PWD=ufmg71dkiw;APP=Microsoft Office 2010;WSID=CELLO-PC4;DATABASE=Cello0217" command="select d.AsOfDate, m.TickerName, d.SeriesNumValue_x000d__x000a_ from TimeSeriesMeta as m,TimeSeries as d_x000d__x000a_               where m.TimeSeriesMetaId = d.TimeSeriesMetaId_x000d__x000a_               and d.AsOfDate = '20150305'_x000d__x000a__x0009__x0009__x0009__x0009_and m.source = 'CELLO' _x000d__x000a__x0009__x0009__x0009__x0009_--and *m.TickerName like'GN_CMM_30%'_x000d__x000a__x0009__x0009__x0009__x0009_and m.category = 'MTG' _x000d__x000a__x0009__x0009__x0009__x0009_order by d.AsOfDate"/>
  </connection>
  <connection id="6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5' order by TickerName,Source,SeriesType,AsOfDate"/>
  </connection>
</connections>
</file>

<file path=xl/sharedStrings.xml><?xml version="1.0" encoding="utf-8"?>
<sst xmlns="http://schemas.openxmlformats.org/spreadsheetml/2006/main" count="784" uniqueCount="88">
  <si>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</si>
  <si>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</si>
  <si>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</si>
  <si>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</si>
  <si>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</si>
  <si>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</si>
  <si>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</si>
  <si>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</si>
  <si>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</si>
  <si>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</si>
  <si>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</si>
  <si>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</si>
  <si>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</si>
  <si>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</si>
  <si>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</si>
  <si>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</si>
  <si>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</si>
  <si>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</si>
  <si>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</si>
  <si>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</si>
  <si>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</si>
  <si>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</si>
  <si>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</si>
  <si>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</si>
  <si>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</si>
  <si>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</si>
  <si>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</si>
  <si>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</si>
  <si>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</si>
  <si>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</si>
  <si>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</si>
  <si>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</si>
  <si>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</si>
  <si>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</si>
  <si>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</si>
  <si>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</si>
  <si>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</si>
  <si>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</si>
  <si>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</si>
  <si>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</si>
  <si>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</si>
  <si>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</si>
  <si>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</si>
  <si>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</si>
  <si>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</si>
  <si>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</si>
  <si>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</si>
  <si>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</si>
  <si>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</si>
  <si>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</si>
  <si>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</si>
  <si>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</si>
  <si>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</si>
  <si>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</si>
  <si>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</si>
  <si>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</si>
  <si>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</si>
  <si>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</si>
  <si>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</si>
  <si>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</si>
  <si>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</si>
  <si>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</si>
  <si>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</si>
  <si>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</si>
  <si>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</si>
  <si>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</si>
  <si>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</si>
  <si>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</si>
  <si>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</si>
  <si>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</si>
  <si>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</si>
  <si>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</si>
  <si>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(blank)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</si>
  <si>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</si>
  <si>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</si>
  <si>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</si>
  <si>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</si>
  <si>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</si>
  <si>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</si>
  <si>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</si>
  <si>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2015-03-04</t>
  </si>
  <si>
    <t>GN_CMM_30Yr</t>
  </si>
  <si>
    <t>FN_CMM_30Yr</t>
  </si>
  <si>
    <t>Save Data to DB</t>
  </si>
  <si>
    <t>PROD</t>
  </si>
  <si>
    <t>Yes</t>
  </si>
  <si>
    <t>2015-03-05</t>
  </si>
  <si>
    <t>2015-02-26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</si>
</sst>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</numFmts>
  <fonts count="13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0" fontId="14" fillId="12" borderId="50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35"/>
      <tableStyleElement type="headerRow" dxfId="34"/>
      <tableStyleElement type="firstColumn" dxfId="33"/>
      <tableStyleElement type="firstSubtotalRow" dxfId="32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69.370211805559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3">
        <s v="2015-03-04"/>
        <s v="2015-03-02" u="1"/>
        <s v="2015-03-03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69.370211921298" createdVersion="5" refreshedVersion="4" minRefreshableVersion="3" recordCount="33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APR"/>
        <s v="Points"/>
        <s v="Rate"/>
        <s v="Closing Cost"/>
        <s v="Loan Amount"/>
        <s v="Upfront MIP"/>
        <m u="1"/>
        <s v="Servicing Spread" u="1"/>
        <s v="1Point Rate" u="1"/>
      </sharedItems>
    </cacheField>
    <cacheField name="Category" numFmtId="0">
      <sharedItems/>
    </cacheField>
    <cacheField name="AsOfDate" numFmtId="14">
      <sharedItems containsBlank="1" count="5">
        <s v="2015-03-05"/>
        <m u="1"/>
        <s v="2015-03-04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69.370211921298" createdVersion="5" refreshedVersion="4" minRefreshableVersion="3" recordCount="1">
  <cacheSource type="worksheet">
    <worksheetSource name="OneWeekMtgRatesDataTable"/>
  </cacheSource>
  <cacheFields count="6">
    <cacheField name="TickerName" numFmtId="0">
      <sharedItems containsNonDate="0" containsBlank="1" count="5">
        <m/>
        <s v="30YrJumboNonConforming" u="1"/>
        <s v="30YrConformingConventional" u="1"/>
        <s v="30YrConformingFHA" u="1"/>
        <s v="30YrJumboConforming" u="1"/>
      </sharedItems>
    </cacheField>
    <cacheField name="Source" numFmtId="0">
      <sharedItems containsNonDate="0" containsBlank="1" count="5">
        <m/>
        <s v="Bank of America" u="1"/>
        <s v="Wells Fargo" u="1"/>
        <s v="Quicken" u="1"/>
        <s v="Chase" u="1"/>
      </sharedItems>
    </cacheField>
    <cacheField name="SeriesType" numFmtId="0">
      <sharedItems containsNonDate="0" containsBlank="1" count="7">
        <m/>
        <s v="Rate" u="1"/>
        <s v="Upfront MIP" u="1"/>
        <s v="APR" u="1"/>
        <s v="Loan Amount" u="1"/>
        <s v="Points" u="1"/>
        <s v="Closing Cost" u="1"/>
      </sharedItems>
    </cacheField>
    <cacheField name="Category" numFmtId="0">
      <sharedItems containsNonDate="0" containsString="0" containsBlank="1"/>
    </cacheField>
    <cacheField name="AsOfDate" numFmtId="0">
      <sharedItems containsNonDate="0" containsBlank="1" count="2">
        <m/>
        <s v="2015-03-03" u="1"/>
      </sharedItems>
    </cacheField>
    <cacheField name="SeriesNum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780642423920208"/>
  </r>
  <r>
    <x v="0"/>
    <x v="0"/>
    <x v="1"/>
    <s v="MTG"/>
    <x v="0"/>
    <n v="4.0940000000000003"/>
  </r>
  <r>
    <x v="0"/>
    <x v="0"/>
    <x v="2"/>
    <s v="MTG"/>
    <x v="0"/>
    <n v="1.3129999999999999"/>
  </r>
  <r>
    <x v="0"/>
    <x v="0"/>
    <x v="3"/>
    <s v="MTG"/>
    <x v="0"/>
    <n v="3.875"/>
  </r>
  <r>
    <x v="0"/>
    <x v="0"/>
    <x v="4"/>
    <s v="MTG"/>
    <x v="0"/>
    <n v="1.4538805196385804"/>
  </r>
  <r>
    <x v="0"/>
    <x v="1"/>
    <x v="0"/>
    <s v="MTG"/>
    <x v="0"/>
    <n v="4.1248698203088709"/>
  </r>
  <r>
    <x v="0"/>
    <x v="1"/>
    <x v="1"/>
    <s v="MTG"/>
    <x v="0"/>
    <n v="4.2089999999999996"/>
  </r>
  <r>
    <x v="0"/>
    <x v="1"/>
    <x v="2"/>
    <s v="MTG"/>
    <x v="0"/>
    <n v="1"/>
  </r>
  <r>
    <x v="0"/>
    <x v="1"/>
    <x v="3"/>
    <s v="MTG"/>
    <x v="0"/>
    <n v="4.125"/>
  </r>
  <r>
    <x v="0"/>
    <x v="1"/>
    <x v="4"/>
    <s v="MTG"/>
    <x v="0"/>
    <n v="1.3006860975554306"/>
  </r>
  <r>
    <x v="0"/>
    <x v="2"/>
    <x v="0"/>
    <s v="MTG"/>
    <x v="0"/>
    <n v="4.2722152605049795"/>
  </r>
  <r>
    <x v="0"/>
    <x v="2"/>
    <x v="1"/>
    <s v="MTG"/>
    <x v="0"/>
    <n v="4.0919999999999996"/>
  </r>
  <r>
    <x v="0"/>
    <x v="2"/>
    <x v="2"/>
    <s v="MTG"/>
    <x v="0"/>
    <n v="1.75"/>
  </r>
  <r>
    <x v="0"/>
    <x v="2"/>
    <x v="3"/>
    <s v="MTG"/>
    <x v="0"/>
    <n v="3.875"/>
  </r>
  <r>
    <x v="0"/>
    <x v="2"/>
    <x v="4"/>
    <s v="MTG"/>
    <x v="0"/>
    <n v="1.4480315377515394"/>
  </r>
  <r>
    <x v="0"/>
    <x v="3"/>
    <x v="0"/>
    <s v="MTG"/>
    <x v="0"/>
    <n v="4.1618039804499194"/>
  </r>
  <r>
    <x v="0"/>
    <x v="3"/>
    <x v="1"/>
    <s v="MTG"/>
    <x v="0"/>
    <n v="4.1470000000000002"/>
  </r>
  <r>
    <x v="0"/>
    <x v="3"/>
    <x v="5"/>
    <s v="MTG"/>
    <x v="0"/>
    <n v="1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376202576964793"/>
  </r>
  <r>
    <x v="1"/>
    <x v="2"/>
    <x v="1"/>
    <s v="MTG"/>
    <x v="0"/>
    <n v="4.2699999999999996"/>
  </r>
  <r>
    <x v="1"/>
    <x v="2"/>
    <x v="2"/>
    <s v="MTG"/>
    <x v="0"/>
    <n v="2.25"/>
  </r>
  <r>
    <x v="1"/>
    <x v="2"/>
    <x v="3"/>
    <s v="MTG"/>
    <x v="0"/>
    <n v="3.375"/>
  </r>
  <r>
    <x v="1"/>
    <x v="3"/>
    <x v="0"/>
    <s v="MTG"/>
    <x v="0"/>
    <n v="3.9717500000000001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748971326932403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997052194081149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92882943913226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3">
  <r>
    <x v="0"/>
    <x v="0"/>
    <x v="0"/>
    <s v="MTG"/>
    <x v="0"/>
    <n v="4.093"/>
  </r>
  <r>
    <x v="0"/>
    <x v="0"/>
    <x v="1"/>
    <s v="MTG"/>
    <x v="0"/>
    <n v="1.2989999999999999"/>
  </r>
  <r>
    <x v="0"/>
    <x v="0"/>
    <x v="2"/>
    <s v="MTG"/>
    <x v="0"/>
    <n v="3.875"/>
  </r>
  <r>
    <x v="1"/>
    <x v="0"/>
    <x v="0"/>
    <s v="MTG"/>
    <x v="0"/>
    <n v="4.1769999999999996"/>
  </r>
  <r>
    <x v="1"/>
    <x v="0"/>
    <x v="1"/>
    <s v="MTG"/>
    <x v="0"/>
    <n v="0.625"/>
  </r>
  <r>
    <x v="1"/>
    <x v="0"/>
    <x v="2"/>
    <s v="MTG"/>
    <x v="0"/>
    <n v="4.125"/>
  </r>
  <r>
    <x v="2"/>
    <x v="0"/>
    <x v="0"/>
    <s v="MTG"/>
    <x v="0"/>
    <n v="4.0919999999999996"/>
  </r>
  <r>
    <x v="2"/>
    <x v="0"/>
    <x v="1"/>
    <s v="MTG"/>
    <x v="0"/>
    <n v="1.75"/>
  </r>
  <r>
    <x v="2"/>
    <x v="0"/>
    <x v="2"/>
    <s v="MTG"/>
    <x v="0"/>
    <n v="3.875"/>
  </r>
  <r>
    <x v="3"/>
    <x v="0"/>
    <x v="0"/>
    <s v="MTG"/>
    <x v="0"/>
    <n v="4.1470000000000002"/>
  </r>
  <r>
    <x v="3"/>
    <x v="0"/>
    <x v="3"/>
    <s v="MTG"/>
    <x v="0"/>
    <n v="1768"/>
  </r>
  <r>
    <x v="3"/>
    <x v="0"/>
    <x v="4"/>
    <s v="MTG"/>
    <x v="0"/>
    <n v="200000"/>
  </r>
  <r>
    <x v="3"/>
    <x v="0"/>
    <x v="1"/>
    <s v="MTG"/>
    <x v="0"/>
    <n v="1"/>
  </r>
  <r>
    <x v="3"/>
    <x v="0"/>
    <x v="2"/>
    <s v="MTG"/>
    <x v="0"/>
    <n v="4.125"/>
  </r>
  <r>
    <x v="2"/>
    <x v="1"/>
    <x v="0"/>
    <s v="MTG"/>
    <x v="0"/>
    <n v="4.3550000000000004"/>
  </r>
  <r>
    <x v="2"/>
    <x v="1"/>
    <x v="1"/>
    <s v="MTG"/>
    <x v="0"/>
    <n v="1.75"/>
  </r>
  <r>
    <x v="2"/>
    <x v="1"/>
    <x v="2"/>
    <s v="MTG"/>
    <x v="0"/>
    <n v="3.5"/>
  </r>
  <r>
    <x v="3"/>
    <x v="1"/>
    <x v="0"/>
    <s v="MTG"/>
    <x v="0"/>
    <n v="4.8940000000000001"/>
  </r>
  <r>
    <x v="3"/>
    <x v="1"/>
    <x v="3"/>
    <s v="MTG"/>
    <x v="0"/>
    <n v="6274"/>
  </r>
  <r>
    <x v="3"/>
    <x v="1"/>
    <x v="4"/>
    <s v="MTG"/>
    <x v="0"/>
    <n v="200000"/>
  </r>
  <r>
    <x v="3"/>
    <x v="1"/>
    <x v="1"/>
    <s v="MTG"/>
    <x v="0"/>
    <n v="1"/>
  </r>
  <r>
    <x v="3"/>
    <x v="1"/>
    <x v="2"/>
    <s v="MTG"/>
    <x v="0"/>
    <n v="3.875"/>
  </r>
  <r>
    <x v="3"/>
    <x v="1"/>
    <x v="5"/>
    <s v="MTG"/>
    <x v="0"/>
    <n v="3500"/>
  </r>
  <r>
    <x v="3"/>
    <x v="2"/>
    <x v="0"/>
    <s v="MTG"/>
    <x v="0"/>
    <n v="4.1479999999999997"/>
  </r>
  <r>
    <x v="3"/>
    <x v="2"/>
    <x v="3"/>
    <s v="MTG"/>
    <x v="0"/>
    <n v="3602"/>
  </r>
  <r>
    <x v="3"/>
    <x v="2"/>
    <x v="4"/>
    <s v="MTG"/>
    <x v="0"/>
    <n v="500000"/>
  </r>
  <r>
    <x v="3"/>
    <x v="2"/>
    <x v="1"/>
    <s v="MTG"/>
    <x v="0"/>
    <n v="1"/>
  </r>
  <r>
    <x v="3"/>
    <x v="2"/>
    <x v="2"/>
    <s v="MTG"/>
    <x v="0"/>
    <n v="4.125"/>
  </r>
  <r>
    <x v="3"/>
    <x v="3"/>
    <x v="0"/>
    <s v="MTG"/>
    <x v="0"/>
    <n v="4.125"/>
  </r>
  <r>
    <x v="3"/>
    <x v="3"/>
    <x v="3"/>
    <s v="MTG"/>
    <x v="0"/>
    <n v="1262"/>
  </r>
  <r>
    <x v="3"/>
    <x v="3"/>
    <x v="4"/>
    <s v="MTG"/>
    <x v="0"/>
    <n v="750000"/>
  </r>
  <r>
    <x v="3"/>
    <x v="3"/>
    <x v="1"/>
    <s v="MTG"/>
    <x v="0"/>
    <n v="1"/>
  </r>
  <r>
    <x v="3"/>
    <x v="3"/>
    <x v="2"/>
    <s v="MTG"/>
    <x v="0"/>
    <n v="4.1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63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2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atesSummaryTable" cacheId="63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I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2"/>
        <item x="1"/>
        <item x="0"/>
        <item x="3"/>
        <item x="4"/>
        <item x="5"/>
        <item m="1" x="6"/>
        <item m="1" x="8"/>
        <item m="1" x="7"/>
        <item t="default"/>
      </items>
    </pivotField>
    <pivotField compact="0" outline="0" showAll="0"/>
    <pivotField axis="axisRow" compact="0" outline="0" showAll="0" defaultSubtotal="0">
      <items count="5">
        <item m="1" x="3"/>
        <item m="1" x="4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4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22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64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D59" firstHeaderRow="1" firstDataRow="2" firstDataCol="3"/>
  <pivotFields count="6">
    <pivotField axis="axisRow" compact="0" outline="0" showAll="0" defaultSubtotal="0">
      <items count="5">
        <item m="1" x="2"/>
        <item m="1" x="3"/>
        <item m="1" x="4"/>
        <item m="1" x="1"/>
        <item x="0"/>
      </items>
    </pivotField>
    <pivotField axis="axisRow" compact="0" outline="0" showAll="0" defaultSubtotal="0">
      <items count="5">
        <item m="1" x="2"/>
        <item m="1" x="3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m="1" x="1"/>
        <item m="1" x="5"/>
        <item m="1" x="3"/>
        <item m="1" x="6"/>
        <item m="1" x="4"/>
        <item m="1" x="2"/>
        <item x="0"/>
        <item t="default"/>
      </items>
    </pivotField>
    <pivotField compact="0" outline="0" showAll="0"/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1">
    <i>
      <x v="1"/>
      <x v="4"/>
      <x v="4"/>
    </i>
  </rowItems>
  <colFields count="1">
    <field x="2"/>
  </colFields>
  <colItems count="1">
    <i>
      <x v="6"/>
    </i>
  </colItems>
  <dataFields count="1">
    <dataField name="Sum of SeriesNumValue" fld="5" baseField="0" baseItem="0"/>
  </dataFields>
  <formats count="1">
    <format dxfId="23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6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CurrentMtgRatesDataTable" displayName="CurrentMtgRatesDataTable" ref="A6:F39" tableType="queryTable" totalsRowShown="0" headerRowDxfId="31" dataDxfId="30">
  <tableColumns count="6">
    <tableColumn id="3" uniqueName="3" name="Source" queryTableFieldId="44" dataDxfId="17" dataCellStyle="Normal 2 7"/>
    <tableColumn id="4" uniqueName="4" name="TickerName" queryTableFieldId="45" dataDxfId="16" dataCellStyle="Normal 2 7"/>
    <tableColumn id="5" uniqueName="5" name="SeriesType" queryTableFieldId="46" dataDxfId="15" dataCellStyle="Normal 2 7"/>
    <tableColumn id="6" uniqueName="6" name="Category" queryTableFieldId="47" dataDxfId="14" dataCellStyle="Normal 2 7"/>
    <tableColumn id="10" uniqueName="10" name="AsOfDate" queryTableFieldId="51" dataDxfId="13" dataCellStyle="Normal 2 7"/>
    <tableColumn id="11" uniqueName="11" name="SeriesNumValue" queryTableFieldId="52" dataDxfId="12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29" dataDxfId="28">
  <tableColumns count="6">
    <tableColumn id="2" uniqueName="2" name="TickerName" queryTableFieldId="57" dataDxfId="11"/>
    <tableColumn id="3" uniqueName="3" name="Source" queryTableFieldId="58" dataDxfId="10"/>
    <tableColumn id="4" uniqueName="4" name="SeriesType" queryTableFieldId="59" dataDxfId="9"/>
    <tableColumn id="5" uniqueName="5" name="Category" queryTableFieldId="60" dataDxfId="8"/>
    <tableColumn id="6" uniqueName="6" name="AsOfDate" queryTableFieldId="61" dataDxfId="7"/>
    <tableColumn id="7" uniqueName="7" name="SeriesNumValue" queryTableFieldId="62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7" tableType="queryTable" insertRow="1" totalsRowShown="0" headerRowDxfId="27" dataDxfId="2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5" dataDxfId="24">
  <tableColumns count="3">
    <tableColumn id="2" uniqueName="2" name="TickerName" queryTableFieldId="57" dataDxfId="20" dataCellStyle="Normal 2 7"/>
    <tableColumn id="6" uniqueName="6" name="AsOfDate" queryTableFieldId="61" dataDxfId="19" dataCellStyle="Normal 2 7"/>
    <tableColumn id="7" uniqueName="7" name="SeriesNumValue" queryTableFieldId="62" dataDxfId="18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29"/>
  <sheetViews>
    <sheetView tabSelected="1" topLeftCell="B1" zoomScaleNormal="100" workbookViewId="0">
      <selection activeCell="U14" sqref="U14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84</v>
      </c>
      <c r="W1" t="s">
        <v>83</v>
      </c>
      <c r="X1" s="87" t="s">
        <v>85</v>
      </c>
    </row>
    <row r="2" spans="3:24">
      <c r="U2" s="86" t="s">
        <v>60</v>
      </c>
      <c r="V2" s="88">
        <v>42068</v>
      </c>
    </row>
    <row r="3" spans="3:24" s="1" customFormat="1">
      <c r="U3" s="86" t="s">
        <v>71</v>
      </c>
      <c r="V3" s="87" t="str">
        <f>"S:\Users\Lien\Daily Originator Mortgage Rete Report\Daily Originator Mortgage Rete Report " &amp; TEXT(CurrentCloseDate, "yyyy-mm-dd") &amp; ".pdf"</f>
        <v>S:\Users\Lien\Daily Originator Mortgage Rete Report\Daily Originator Mortgage Rete Report 2015-03-05.pdf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54" t="s">
        <v>31</v>
      </c>
      <c r="E11" s="155"/>
      <c r="F11" s="155"/>
      <c r="G11" s="155" t="s">
        <v>0</v>
      </c>
      <c r="H11" s="155"/>
      <c r="I11" s="158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75</v>
      </c>
      <c r="Q11" s="80" t="s">
        <v>73</v>
      </c>
      <c r="R11" s="82" t="s">
        <v>74</v>
      </c>
    </row>
    <row r="12" spans="3:24" s="99" customFormat="1" ht="18" customHeight="1">
      <c r="C12" s="98" t="s">
        <v>17</v>
      </c>
      <c r="D12" s="156">
        <f>'BoA - Conventional'!C4</f>
        <v>3.875E-2</v>
      </c>
      <c r="E12" s="157"/>
      <c r="F12" s="157"/>
      <c r="G12" s="157">
        <f>'BoA - Conventional'!C5</f>
        <v>4.0930000000000001E-2</v>
      </c>
      <c r="H12" s="157"/>
      <c r="I12" s="159"/>
      <c r="J12" s="37">
        <f>'BoA - Conventional'!F5</f>
        <v>1.299E-2</v>
      </c>
      <c r="K12" s="37">
        <f>'BoA - Conventional'!F6</f>
        <v>1.3015600501861404E-2</v>
      </c>
      <c r="L12" s="37">
        <f>'BoA - Conventional'!F7</f>
        <v>2.6005600501861403E-2</v>
      </c>
      <c r="M12" s="47">
        <f>'BoA - Conventional'!I4</f>
        <v>4.2751400125465348E-2</v>
      </c>
      <c r="N12" s="48">
        <f>M12-D$28</f>
        <v>1.4595784375698646E-2</v>
      </c>
      <c r="O12" s="50">
        <f>(M12-'Historic Result'!C5)*100*100</f>
        <v>-0.29242298454856819</v>
      </c>
      <c r="P12" s="36">
        <f>(N12-'Historic Result'!D5)*100*100</f>
        <v>0.56979179312841022</v>
      </c>
      <c r="Q12" s="36" t="e">
        <f>(M12-'Historic Result'!E5)*100*100</f>
        <v>#N/A</v>
      </c>
      <c r="R12" s="44" t="e">
        <f>(N12-'Historic Result'!F5)*100*100</f>
        <v>#N/A</v>
      </c>
    </row>
    <row r="13" spans="3:24" s="99" customFormat="1" ht="18" customHeight="1">
      <c r="C13" s="98" t="s">
        <v>18</v>
      </c>
      <c r="D13" s="156">
        <f>'Chase - Conventional'!C4</f>
        <v>4.1250000000000002E-2</v>
      </c>
      <c r="E13" s="157"/>
      <c r="F13" s="157"/>
      <c r="G13" s="157">
        <f>'Chase - Conventional'!C5</f>
        <v>4.1769999999999995E-2</v>
      </c>
      <c r="H13" s="157"/>
      <c r="I13" s="159"/>
      <c r="J13" s="37" t="s">
        <v>2</v>
      </c>
      <c r="K13" s="37" t="s">
        <v>2</v>
      </c>
      <c r="L13" s="37">
        <f>'Chase - Conventional'!F7</f>
        <v>6.2048746624759898E-3</v>
      </c>
      <c r="M13" s="47">
        <f>'Chase - Conventional'!I4</f>
        <v>4.0301218665618997E-2</v>
      </c>
      <c r="N13" s="48">
        <f>M13-D$28</f>
        <v>1.2145602915852295E-2</v>
      </c>
      <c r="O13" s="50">
        <f>(M13-'Historic Result'!C6)*100*100</f>
        <v>-9.4747953746971572</v>
      </c>
      <c r="P13" s="36">
        <f>(N13-'Historic Result'!D6)*100*100</f>
        <v>-8.6125805970201093</v>
      </c>
      <c r="Q13" s="36" t="e">
        <f>(M13-'Historic Result'!E6)*100*100</f>
        <v>#N/A</v>
      </c>
      <c r="R13" s="44" t="e">
        <f>(N13-'Historic Result'!F6)*100*100</f>
        <v>#N/A</v>
      </c>
    </row>
    <row r="14" spans="3:24" s="99" customFormat="1" ht="18" customHeight="1">
      <c r="C14" s="98" t="s">
        <v>19</v>
      </c>
      <c r="D14" s="156">
        <f>'Quicken - Conventional'!C4</f>
        <v>3.875E-2</v>
      </c>
      <c r="E14" s="157"/>
      <c r="F14" s="157"/>
      <c r="G14" s="157">
        <f>'Quicken - Conventional'!C5</f>
        <v>4.0919999999999998E-2</v>
      </c>
      <c r="H14" s="157"/>
      <c r="I14" s="159"/>
      <c r="J14" s="37">
        <f>'Quicken - Conventional'!F5</f>
        <v>1.7500000000000002E-2</v>
      </c>
      <c r="K14" s="37">
        <f>'Quicken - Conventional'!F6</f>
        <v>8.3886104201991857E-3</v>
      </c>
      <c r="L14" s="37">
        <f>'Quicken - Conventional'!F7</f>
        <v>2.5888610420199187E-2</v>
      </c>
      <c r="M14" s="47">
        <f>'Quicken - Conventional'!I4</f>
        <v>4.2722152605049794E-2</v>
      </c>
      <c r="N14" s="48">
        <f>M14-D$28</f>
        <v>1.4566536855283092E-2</v>
      </c>
      <c r="O14" s="50">
        <f>(M14-'Historic Result'!C7)*100*100</f>
        <v>0</v>
      </c>
      <c r="P14" s="36">
        <f>(N14-'Historic Result'!D7)*100*100</f>
        <v>0.86221477767697841</v>
      </c>
      <c r="Q14" s="36" t="e">
        <f>(M14-'Historic Result'!E7)*100*100</f>
        <v>#N/A</v>
      </c>
      <c r="R14" s="44" t="e">
        <f>(N14-'Historic Result'!F7)*100*100</f>
        <v>#N/A</v>
      </c>
    </row>
    <row r="15" spans="3:24" s="99" customFormat="1" ht="18" customHeight="1">
      <c r="C15" s="98" t="s">
        <v>20</v>
      </c>
      <c r="D15" s="156">
        <f>CIR</f>
        <v>4.1250000000000002E-2</v>
      </c>
      <c r="E15" s="157"/>
      <c r="F15" s="157"/>
      <c r="G15" s="157">
        <f>CAPR</f>
        <v>4.147E-2</v>
      </c>
      <c r="H15" s="157"/>
      <c r="I15" s="159"/>
      <c r="J15" s="37">
        <f>'Wells - Conventional'!F6</f>
        <v>2.6321592179967546E-3</v>
      </c>
      <c r="K15" s="37">
        <f>'Wells - Conventional'!F8</f>
        <v>8.8400000000000006E-3</v>
      </c>
      <c r="L15" s="37">
        <f>'Wells - Conventional'!F9</f>
        <v>1.1472159217996755E-2</v>
      </c>
      <c r="M15" s="47">
        <f>'Wells - Conventional'!I4</f>
        <v>4.1618039804499192E-2</v>
      </c>
      <c r="N15" s="48">
        <f>M15-D$28</f>
        <v>1.346242405473249E-2</v>
      </c>
      <c r="O15" s="50">
        <f>(M15-'Historic Result'!C8)*100*100</f>
        <v>0</v>
      </c>
      <c r="P15" s="36">
        <f>(N15-'Historic Result'!D8)*100*100</f>
        <v>0.86221477767697841</v>
      </c>
      <c r="Q15" s="36" t="e">
        <f>(M15-'Historic Result'!E8)*100*100</f>
        <v>#N/A</v>
      </c>
      <c r="R15" s="44" t="e">
        <f>(N15-'Historic Result'!F8)*100*100</f>
        <v>#N/A</v>
      </c>
    </row>
    <row r="16" spans="3:24" s="99" customFormat="1" ht="18" customHeight="1">
      <c r="C16" s="100" t="s">
        <v>22</v>
      </c>
      <c r="D16" s="144">
        <f>AVERAGE(D12:D15)</f>
        <v>0.04</v>
      </c>
      <c r="E16" s="142"/>
      <c r="F16" s="142"/>
      <c r="G16" s="142">
        <f>AVERAGE(G12:I15)</f>
        <v>4.1272499999999997E-2</v>
      </c>
      <c r="H16" s="142"/>
      <c r="I16" s="143"/>
      <c r="J16" s="64">
        <f>AVERAGE(J12,J14:J15)</f>
        <v>1.1040719739332253E-2</v>
      </c>
      <c r="K16" s="64">
        <f>AVERAGE(K12,K14:K15)</f>
        <v>1.0081403640686862E-2</v>
      </c>
      <c r="L16" s="64">
        <f>AVERAGE(L12,L14:L15)</f>
        <v>2.1122123380019116E-2</v>
      </c>
      <c r="M16" s="65">
        <f t="shared" ref="M16" si="0">AVERAGE(M12:M15)</f>
        <v>4.1848202800158329E-2</v>
      </c>
      <c r="N16" s="66">
        <f>M16-D$28</f>
        <v>1.3692587050391627E-2</v>
      </c>
      <c r="O16" s="67">
        <f>AVERAGE(O12:O15)</f>
        <v>-2.4418045898114311</v>
      </c>
      <c r="P16" s="68">
        <f>AVERAGE(P12:P15)</f>
        <v>-1.5795898121344356</v>
      </c>
      <c r="Q16" s="68" t="e">
        <f t="shared" ref="Q16:R16" si="1">AVERAGE(Q12:Q15)</f>
        <v>#N/A</v>
      </c>
      <c r="R16" s="69" t="e">
        <f t="shared" si="1"/>
        <v>#N/A</v>
      </c>
    </row>
    <row r="17" spans="3:18" s="99" customFormat="1" ht="18" customHeight="1">
      <c r="C17" s="95" t="s">
        <v>32</v>
      </c>
      <c r="D17" s="145" t="s">
        <v>31</v>
      </c>
      <c r="E17" s="146"/>
      <c r="F17" s="146"/>
      <c r="G17" s="146" t="s">
        <v>0</v>
      </c>
      <c r="H17" s="146"/>
      <c r="I17" s="151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47">
        <f>'Wells - Jumbo conformin'!C4</f>
        <v>4.1250000000000002E-2</v>
      </c>
      <c r="E18" s="148"/>
      <c r="F18" s="148"/>
      <c r="G18" s="148">
        <f>'Wells - Jumbo conformin'!C5</f>
        <v>4.1479999999999996E-2</v>
      </c>
      <c r="H18" s="148"/>
      <c r="I18" s="152"/>
      <c r="J18" s="70">
        <f>'Wells - Jumbo conformin'!F5</f>
        <v>2.7515576864621805E-3</v>
      </c>
      <c r="K18" s="70">
        <f>'Wells - Jumbo conformin'!F6</f>
        <v>7.2040000000000003E-3</v>
      </c>
      <c r="L18" s="70">
        <f>'Wells - Jumbo conformin'!F7</f>
        <v>9.9555576864621808E-3</v>
      </c>
      <c r="M18" s="71">
        <f>'Wells - Jumbo conformin'!I4</f>
        <v>4.1238889421615549E-2</v>
      </c>
      <c r="N18" s="72">
        <f>M18-D$28</f>
        <v>1.3083273671848847E-2</v>
      </c>
      <c r="O18" s="73">
        <f>(M18-'Historic Result'!C10)*100*100</f>
        <v>0</v>
      </c>
      <c r="P18" s="74">
        <f>(N18-'Historic Result'!D10)*100*100</f>
        <v>0.86221477767697841</v>
      </c>
      <c r="Q18" s="74" t="e">
        <f>(M18-'Historic Result'!E10)*100*100</f>
        <v>#N/A</v>
      </c>
      <c r="R18" s="75" t="e">
        <f>(N18-'Historic Result'!F10)*100*100</f>
        <v>#N/A</v>
      </c>
    </row>
    <row r="19" spans="3:18" s="99" customFormat="1" ht="18" customHeight="1">
      <c r="C19" s="96" t="s">
        <v>33</v>
      </c>
      <c r="D19" s="149" t="s">
        <v>31</v>
      </c>
      <c r="E19" s="150"/>
      <c r="F19" s="150"/>
      <c r="G19" s="150" t="s">
        <v>0</v>
      </c>
      <c r="H19" s="150"/>
      <c r="I19" s="153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47">
        <f>'Wells - Jumbo Non-conforming'!C4</f>
        <v>4.1250000000000002E-2</v>
      </c>
      <c r="E20" s="148"/>
      <c r="F20" s="148"/>
      <c r="G20" s="148">
        <f>'Wells - Jumbo Non-conforming'!C5</f>
        <v>4.1250000000000002E-2</v>
      </c>
      <c r="H20" s="148"/>
      <c r="I20" s="152"/>
      <c r="J20" s="70">
        <f>'Wells - Jumbo Non-conforming'!F5</f>
        <v>0</v>
      </c>
      <c r="K20" s="70">
        <f>'Wells - Jumbo Non-conforming'!F6</f>
        <v>1.6826666666666667E-3</v>
      </c>
      <c r="L20" s="70">
        <f>'Wells - Jumbo Non-conforming'!F7</f>
        <v>1.6826666666666667E-3</v>
      </c>
      <c r="M20" s="71">
        <f>'Wells - Jumbo Non-conforming'!I4</f>
        <v>3.9170666666666666E-2</v>
      </c>
      <c r="N20" s="72">
        <f>M20-D$28</f>
        <v>1.1015050916899964E-2</v>
      </c>
      <c r="O20" s="73">
        <f>(M20-'Historic Result'!C12)*100*100</f>
        <v>0</v>
      </c>
      <c r="P20" s="74">
        <f>(N20-'Historic Result'!D12)*100*100</f>
        <v>0.86221477767697841</v>
      </c>
      <c r="Q20" s="74" t="e">
        <f>(M20-'Historic Result'!E12)*100*100</f>
        <v>#N/A</v>
      </c>
      <c r="R20" s="75" t="e">
        <f>(N20-'Historic Result'!F12)*100*100</f>
        <v>#N/A</v>
      </c>
    </row>
    <row r="21" spans="3:18" s="99" customFormat="1" ht="18" customHeight="1">
      <c r="C21" s="97" t="s">
        <v>34</v>
      </c>
      <c r="D21" s="139" t="s">
        <v>31</v>
      </c>
      <c r="E21" s="140"/>
      <c r="F21" s="137" t="s">
        <v>35</v>
      </c>
      <c r="G21" s="137"/>
      <c r="H21" s="137" t="s">
        <v>36</v>
      </c>
      <c r="I21" s="138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35">
        <v>3.875E-2</v>
      </c>
      <c r="E22" s="136"/>
      <c r="F22" s="136">
        <v>1.7500000000000002E-2</v>
      </c>
      <c r="G22" s="136"/>
      <c r="H22" s="136">
        <v>8.5000000000000006E-3</v>
      </c>
      <c r="I22" s="141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M22-D29</f>
        <v>1.2824660521114802E-2</v>
      </c>
      <c r="O22" s="51">
        <f>(M22-'Historic Result'!C14)*100*100</f>
        <v>0</v>
      </c>
      <c r="P22" s="45">
        <f>(N22-'Historic Result'!D14)*100*100</f>
        <v>0.75689194182399633</v>
      </c>
      <c r="Q22" s="45" t="e">
        <f>(M22-'Historic Result'!E14)*100*100</f>
        <v>#N/A</v>
      </c>
      <c r="R22" s="46" t="e">
        <f>(N22-'Historic Result'!F14)*100*100</f>
        <v>#N/A</v>
      </c>
    </row>
    <row r="24" spans="3:18">
      <c r="I24"/>
      <c r="J24"/>
      <c r="K24"/>
      <c r="O24" s="1"/>
    </row>
    <row r="25" spans="3:18">
      <c r="I25"/>
      <c r="J25"/>
      <c r="K25"/>
      <c r="O25" s="1"/>
    </row>
    <row r="26" spans="3:18">
      <c r="C26" s="89" t="s">
        <v>24</v>
      </c>
      <c r="D26" s="3"/>
      <c r="E26" s="3"/>
      <c r="F26" s="3"/>
      <c r="G26" s="3"/>
      <c r="H26" s="3"/>
      <c r="I26"/>
      <c r="J26"/>
      <c r="K26"/>
      <c r="O26" s="1"/>
    </row>
    <row r="27" spans="3:18" ht="18" customHeight="1">
      <c r="C27" s="103" t="s">
        <v>25</v>
      </c>
      <c r="D27" s="126" t="s">
        <v>26</v>
      </c>
      <c r="E27" s="127"/>
      <c r="F27" s="128"/>
      <c r="G27"/>
      <c r="H27"/>
      <c r="O27" s="1"/>
    </row>
    <row r="28" spans="3:18" ht="18" customHeight="1">
      <c r="C28" s="76" t="s">
        <v>27</v>
      </c>
      <c r="D28" s="129">
        <f>VLOOKUP(C28,'Time Series Query'!X12:Z13,3,0)</f>
        <v>2.8155615749766702E-2</v>
      </c>
      <c r="E28" s="130"/>
      <c r="F28" s="131"/>
      <c r="G28" s="27"/>
      <c r="H28" s="27"/>
      <c r="O28" s="1"/>
    </row>
    <row r="29" spans="3:18" ht="18" customHeight="1">
      <c r="C29" s="77" t="s">
        <v>28</v>
      </c>
      <c r="D29" s="132">
        <f>VLOOKUP(C29,'Time Series Query'!X13:Z14,3,0)</f>
        <v>2.6892839478885201E-2</v>
      </c>
      <c r="E29" s="133"/>
      <c r="F29" s="134"/>
      <c r="G29" s="27"/>
      <c r="H29" s="27"/>
      <c r="O29" s="1"/>
    </row>
  </sheetData>
  <mergeCells count="29">
    <mergeCell ref="G11:I11"/>
    <mergeCell ref="G12:I12"/>
    <mergeCell ref="G13:I13"/>
    <mergeCell ref="G14:I14"/>
    <mergeCell ref="G15:I15"/>
    <mergeCell ref="D11:F11"/>
    <mergeCell ref="D12:F12"/>
    <mergeCell ref="D13:F13"/>
    <mergeCell ref="D14:F14"/>
    <mergeCell ref="D15:F15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27:F27"/>
    <mergeCell ref="D28:F28"/>
    <mergeCell ref="D29:F29"/>
    <mergeCell ref="D22:E22"/>
    <mergeCell ref="F22:G22"/>
  </mergeCells>
  <dataValidations disablePrompts="1"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3/5/2015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E173"/>
  <sheetViews>
    <sheetView workbookViewId="0">
      <selection activeCell="X8" sqref="X8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6" width="8" style="38" customWidth="1"/>
    <col min="27" max="27" width="10.140625" style="38" customWidth="1"/>
    <col min="28" max="28" width="14.140625" style="38" customWidth="1"/>
    <col min="29" max="29" width="12.28515625" style="38" customWidth="1"/>
    <col min="30" max="30" width="8.42578125" style="38" bestFit="1" customWidth="1"/>
    <col min="31" max="31" width="15.28515625" style="38" bestFit="1" customWidth="1"/>
    <col min="32" max="32" width="9.85546875" style="38" bestFit="1" customWidth="1"/>
    <col min="33" max="33" width="10.28515625" style="38" bestFit="1" customWidth="1"/>
    <col min="34" max="34" width="11.42578125" style="38" bestFit="1" customWidth="1"/>
    <col min="35" max="35" width="12.5703125" style="38" bestFit="1" customWidth="1"/>
    <col min="36" max="37" width="12" style="38" bestFit="1" customWidth="1"/>
    <col min="38" max="38" width="12.28515625" style="38" bestFit="1" customWidth="1"/>
    <col min="39" max="39" width="12" style="38" bestFit="1" customWidth="1"/>
    <col min="40" max="40" width="8.5703125" style="38" bestFit="1" customWidth="1"/>
    <col min="41" max="45" width="12" style="38" bestFit="1" customWidth="1"/>
    <col min="46" max="46" width="8" style="38" bestFit="1" customWidth="1"/>
    <col min="47" max="47" width="12" style="38" bestFit="1" customWidth="1"/>
    <col min="48" max="48" width="5.7109375" style="38" bestFit="1" customWidth="1"/>
    <col min="49" max="50" width="12" style="38" bestFit="1" customWidth="1"/>
    <col min="51" max="51" width="17.5703125" style="38" bestFit="1" customWidth="1"/>
    <col min="52" max="52" width="8.85546875" style="38" bestFit="1" customWidth="1"/>
    <col min="53" max="54" width="16" style="38" bestFit="1" customWidth="1"/>
    <col min="55" max="55" width="14.7109375" style="38" bestFit="1" customWidth="1"/>
    <col min="56" max="56" width="16" style="38" bestFit="1" customWidth="1"/>
    <col min="57" max="57" width="17.5703125" style="38" bestFit="1" customWidth="1"/>
    <col min="58" max="58" width="12.140625" style="38" bestFit="1" customWidth="1"/>
    <col min="59" max="59" width="8.5703125" style="38" bestFit="1" customWidth="1"/>
    <col min="60" max="60" width="15.28515625" style="38" customWidth="1"/>
    <col min="61" max="61" width="11.7109375" style="38" bestFit="1" customWidth="1"/>
    <col min="62" max="62" width="10.28515625" style="38" bestFit="1" customWidth="1"/>
    <col min="63" max="63" width="12" style="38" bestFit="1" customWidth="1"/>
    <col min="64" max="64" width="14.42578125" style="38" customWidth="1"/>
    <col min="65" max="65" width="18.5703125" style="38" bestFit="1" customWidth="1"/>
    <col min="66" max="66" width="10.7109375" style="38" bestFit="1" customWidth="1"/>
    <col min="67" max="67" width="16.42578125" style="38" bestFit="1" customWidth="1"/>
    <col min="68" max="68" width="16.140625" style="38" bestFit="1" customWidth="1"/>
    <col min="69" max="69" width="14.42578125" style="38" customWidth="1"/>
    <col min="70" max="70" width="12.28515625" style="38" customWidth="1"/>
    <col min="71" max="16384" width="9.140625" style="38"/>
  </cols>
  <sheetData>
    <row r="1" spans="1:31">
      <c r="G1" s="38" t="s">
        <v>65</v>
      </c>
      <c r="H1" s="38" t="s">
        <v>62</v>
      </c>
      <c r="O1" s="38" t="s">
        <v>64</v>
      </c>
      <c r="P1" s="38" t="s">
        <v>62</v>
      </c>
    </row>
    <row r="2" spans="1:31">
      <c r="H2" s="38" t="s">
        <v>80</v>
      </c>
      <c r="P2" s="38" t="s">
        <v>87</v>
      </c>
    </row>
    <row r="5" spans="1:31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E5" s="90"/>
    </row>
    <row r="6" spans="1:31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</row>
    <row r="7" spans="1:31" s="93" customFormat="1">
      <c r="A7" s="93" t="s">
        <v>17</v>
      </c>
      <c r="B7" s="93" t="s">
        <v>54</v>
      </c>
      <c r="C7" s="93" t="s">
        <v>0</v>
      </c>
      <c r="D7" s="93" t="s">
        <v>53</v>
      </c>
      <c r="E7" s="94" t="s">
        <v>86</v>
      </c>
      <c r="F7" s="93">
        <v>4.093</v>
      </c>
      <c r="I7" s="93" t="s">
        <v>54</v>
      </c>
      <c r="J7" s="93" t="s">
        <v>17</v>
      </c>
      <c r="K7" s="93" t="s">
        <v>79</v>
      </c>
      <c r="L7" s="93" t="s">
        <v>53</v>
      </c>
      <c r="M7" s="93" t="s">
        <v>80</v>
      </c>
      <c r="N7" s="93">
        <v>4.2780642423920208</v>
      </c>
      <c r="X7" s="93" t="s">
        <v>82</v>
      </c>
      <c r="Y7" s="93" t="s">
        <v>86</v>
      </c>
      <c r="Z7" s="93">
        <v>2.81556157497667</v>
      </c>
    </row>
    <row r="8" spans="1:31" s="93" customFormat="1">
      <c r="A8" s="93" t="s">
        <v>17</v>
      </c>
      <c r="B8" s="93" t="s">
        <v>54</v>
      </c>
      <c r="C8" s="93" t="s">
        <v>7</v>
      </c>
      <c r="D8" s="93" t="s">
        <v>53</v>
      </c>
      <c r="E8" s="94" t="s">
        <v>86</v>
      </c>
      <c r="F8" s="93">
        <v>1.2989999999999999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80</v>
      </c>
      <c r="N8" s="91">
        <v>4.0940000000000003</v>
      </c>
      <c r="X8" s="93" t="s">
        <v>81</v>
      </c>
      <c r="Y8" s="93" t="s">
        <v>86</v>
      </c>
      <c r="Z8" s="93">
        <v>2.6892839478885202</v>
      </c>
    </row>
    <row r="9" spans="1:31" s="93" customFormat="1">
      <c r="A9" s="93" t="s">
        <v>17</v>
      </c>
      <c r="B9" s="93" t="s">
        <v>54</v>
      </c>
      <c r="C9" s="93" t="s">
        <v>26</v>
      </c>
      <c r="D9" s="93" t="s">
        <v>53</v>
      </c>
      <c r="E9" s="94" t="s">
        <v>86</v>
      </c>
      <c r="F9" s="93">
        <v>3.875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80</v>
      </c>
      <c r="N9" s="91">
        <v>1.3129999999999999</v>
      </c>
    </row>
    <row r="10" spans="1:31" s="93" customFormat="1">
      <c r="A10" s="93" t="s">
        <v>18</v>
      </c>
      <c r="B10" s="93" t="s">
        <v>54</v>
      </c>
      <c r="C10" s="93" t="s">
        <v>0</v>
      </c>
      <c r="D10" s="93" t="s">
        <v>53</v>
      </c>
      <c r="E10" s="94" t="s">
        <v>86</v>
      </c>
      <c r="F10" s="93">
        <v>4.1769999999999996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80</v>
      </c>
      <c r="N10" s="91">
        <v>3.875</v>
      </c>
    </row>
    <row r="11" spans="1:31" s="93" customFormat="1">
      <c r="A11" s="93" t="s">
        <v>18</v>
      </c>
      <c r="B11" s="93" t="s">
        <v>54</v>
      </c>
      <c r="C11" s="93" t="s">
        <v>7</v>
      </c>
      <c r="D11" s="93" t="s">
        <v>53</v>
      </c>
      <c r="E11" s="94" t="s">
        <v>86</v>
      </c>
      <c r="F11" s="93">
        <v>0.625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80</v>
      </c>
      <c r="N11" s="91">
        <v>1.4538805196385804</v>
      </c>
    </row>
    <row r="12" spans="1:31" s="93" customFormat="1">
      <c r="A12" s="93" t="s">
        <v>18</v>
      </c>
      <c r="B12" s="93" t="s">
        <v>54</v>
      </c>
      <c r="C12" s="93" t="s">
        <v>26</v>
      </c>
      <c r="D12" s="93" t="s">
        <v>53</v>
      </c>
      <c r="E12" s="94" t="s">
        <v>86</v>
      </c>
      <c r="F12" s="93">
        <v>4.125</v>
      </c>
      <c r="I12" s="91" t="s">
        <v>54</v>
      </c>
      <c r="J12" s="91" t="s">
        <v>18</v>
      </c>
      <c r="K12" s="91" t="s">
        <v>79</v>
      </c>
      <c r="L12" s="91" t="s">
        <v>53</v>
      </c>
      <c r="M12" s="91" t="s">
        <v>80</v>
      </c>
      <c r="N12" s="91">
        <v>4.1248698203088709</v>
      </c>
      <c r="X12" s="107" t="s">
        <v>27</v>
      </c>
      <c r="Y12" s="108" t="s">
        <v>82</v>
      </c>
      <c r="Z12" s="108">
        <f>VLOOKUP(Y12,OneWeekMtgRatesDataTable7[],3,0)/100</f>
        <v>2.8155615749766702E-2</v>
      </c>
      <c r="AA12" s="106"/>
    </row>
    <row r="13" spans="1:31" s="93" customFormat="1">
      <c r="A13" s="93" t="s">
        <v>19</v>
      </c>
      <c r="B13" s="93" t="s">
        <v>54</v>
      </c>
      <c r="C13" s="93" t="s">
        <v>0</v>
      </c>
      <c r="D13" s="93" t="s">
        <v>53</v>
      </c>
      <c r="E13" s="94" t="s">
        <v>86</v>
      </c>
      <c r="F13" s="93">
        <v>4.0919999999999996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80</v>
      </c>
      <c r="N13" s="91">
        <v>4.2089999999999996</v>
      </c>
      <c r="X13" s="107" t="s">
        <v>28</v>
      </c>
      <c r="Y13" s="109" t="s">
        <v>81</v>
      </c>
      <c r="Z13" s="108">
        <f>VLOOKUP(Y13,OneWeekMtgRatesDataTable7[],3,0)/100</f>
        <v>2.6892839478885201E-2</v>
      </c>
      <c r="AA13" s="106"/>
    </row>
    <row r="14" spans="1:31" s="93" customFormat="1">
      <c r="A14" s="93" t="s">
        <v>19</v>
      </c>
      <c r="B14" s="93" t="s">
        <v>54</v>
      </c>
      <c r="C14" s="93" t="s">
        <v>7</v>
      </c>
      <c r="D14" s="93" t="s">
        <v>53</v>
      </c>
      <c r="E14" s="94" t="s">
        <v>86</v>
      </c>
      <c r="F14" s="93">
        <v>1.75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80</v>
      </c>
      <c r="N14" s="91">
        <v>1</v>
      </c>
    </row>
    <row r="15" spans="1:31" s="93" customFormat="1">
      <c r="A15" s="93" t="s">
        <v>19</v>
      </c>
      <c r="B15" s="93" t="s">
        <v>54</v>
      </c>
      <c r="C15" s="93" t="s">
        <v>26</v>
      </c>
      <c r="D15" s="93" t="s">
        <v>53</v>
      </c>
      <c r="E15" s="94" t="s">
        <v>86</v>
      </c>
      <c r="F15" s="93">
        <v>3.875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80</v>
      </c>
      <c r="N15" s="91">
        <v>4.125</v>
      </c>
    </row>
    <row r="16" spans="1:31" s="93" customFormat="1">
      <c r="A16" s="93" t="s">
        <v>20</v>
      </c>
      <c r="B16" s="93" t="s">
        <v>54</v>
      </c>
      <c r="C16" s="93" t="s">
        <v>0</v>
      </c>
      <c r="D16" s="93" t="s">
        <v>53</v>
      </c>
      <c r="E16" s="94" t="s">
        <v>86</v>
      </c>
      <c r="F16" s="93">
        <v>4.1470000000000002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80</v>
      </c>
      <c r="N16" s="91">
        <v>1.3006860975554306</v>
      </c>
    </row>
    <row r="17" spans="1:14" s="93" customFormat="1">
      <c r="A17" s="93" t="s">
        <v>20</v>
      </c>
      <c r="B17" s="93" t="s">
        <v>54</v>
      </c>
      <c r="C17" s="93" t="s">
        <v>41</v>
      </c>
      <c r="D17" s="93" t="s">
        <v>53</v>
      </c>
      <c r="E17" s="94" t="s">
        <v>86</v>
      </c>
      <c r="F17" s="93">
        <v>1768</v>
      </c>
      <c r="I17" s="91" t="s">
        <v>54</v>
      </c>
      <c r="J17" s="91" t="s">
        <v>19</v>
      </c>
      <c r="K17" s="91" t="s">
        <v>79</v>
      </c>
      <c r="L17" s="91" t="s">
        <v>53</v>
      </c>
      <c r="M17" s="91" t="s">
        <v>80</v>
      </c>
      <c r="N17" s="91">
        <v>4.2722152605049795</v>
      </c>
    </row>
    <row r="18" spans="1:14" s="93" customFormat="1">
      <c r="A18" s="93" t="s">
        <v>20</v>
      </c>
      <c r="B18" s="93" t="s">
        <v>54</v>
      </c>
      <c r="C18" s="93" t="s">
        <v>1</v>
      </c>
      <c r="D18" s="93" t="s">
        <v>53</v>
      </c>
      <c r="E18" s="94" t="s">
        <v>86</v>
      </c>
      <c r="F18" s="93">
        <v>200000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80</v>
      </c>
      <c r="N18" s="91">
        <v>4.0919999999999996</v>
      </c>
    </row>
    <row r="19" spans="1:14" s="93" customFormat="1">
      <c r="A19" s="93" t="s">
        <v>20</v>
      </c>
      <c r="B19" s="93" t="s">
        <v>54</v>
      </c>
      <c r="C19" s="93" t="s">
        <v>7</v>
      </c>
      <c r="D19" s="93" t="s">
        <v>53</v>
      </c>
      <c r="E19" s="94" t="s">
        <v>86</v>
      </c>
      <c r="F19" s="93">
        <v>1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80</v>
      </c>
      <c r="N19" s="91">
        <v>1.75</v>
      </c>
    </row>
    <row r="20" spans="1:14" s="93" customFormat="1">
      <c r="A20" s="93" t="s">
        <v>20</v>
      </c>
      <c r="B20" s="93" t="s">
        <v>54</v>
      </c>
      <c r="C20" s="93" t="s">
        <v>26</v>
      </c>
      <c r="D20" s="93" t="s">
        <v>53</v>
      </c>
      <c r="E20" s="94" t="s">
        <v>86</v>
      </c>
      <c r="F20" s="93">
        <v>4.125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80</v>
      </c>
      <c r="N20" s="91">
        <v>3.875</v>
      </c>
    </row>
    <row r="21" spans="1:14" s="93" customFormat="1">
      <c r="A21" s="93" t="s">
        <v>19</v>
      </c>
      <c r="B21" s="93" t="s">
        <v>55</v>
      </c>
      <c r="C21" s="93" t="s">
        <v>0</v>
      </c>
      <c r="D21" s="93" t="s">
        <v>53</v>
      </c>
      <c r="E21" s="94" t="s">
        <v>86</v>
      </c>
      <c r="F21" s="93">
        <v>4.3550000000000004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80</v>
      </c>
      <c r="N21" s="91">
        <v>1.4480315377515394</v>
      </c>
    </row>
    <row r="22" spans="1:14" s="93" customFormat="1">
      <c r="A22" s="93" t="s">
        <v>19</v>
      </c>
      <c r="B22" s="93" t="s">
        <v>55</v>
      </c>
      <c r="C22" s="93" t="s">
        <v>7</v>
      </c>
      <c r="D22" s="93" t="s">
        <v>53</v>
      </c>
      <c r="E22" s="94" t="s">
        <v>86</v>
      </c>
      <c r="F22" s="93">
        <v>1.75</v>
      </c>
      <c r="I22" s="91" t="s">
        <v>54</v>
      </c>
      <c r="J22" s="91" t="s">
        <v>20</v>
      </c>
      <c r="K22" s="91" t="s">
        <v>79</v>
      </c>
      <c r="L22" s="91" t="s">
        <v>53</v>
      </c>
      <c r="M22" s="91" t="s">
        <v>80</v>
      </c>
      <c r="N22" s="91">
        <v>4.1618039804499194</v>
      </c>
    </row>
    <row r="23" spans="1:14" s="93" customFormat="1">
      <c r="A23" s="93" t="s">
        <v>19</v>
      </c>
      <c r="B23" s="93" t="s">
        <v>55</v>
      </c>
      <c r="C23" s="93" t="s">
        <v>26</v>
      </c>
      <c r="D23" s="93" t="s">
        <v>53</v>
      </c>
      <c r="E23" s="94" t="s">
        <v>86</v>
      </c>
      <c r="F23" s="93">
        <v>3.5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80</v>
      </c>
      <c r="N23" s="91">
        <v>4.1470000000000002</v>
      </c>
    </row>
    <row r="24" spans="1:14" s="93" customFormat="1">
      <c r="A24" s="93" t="s">
        <v>20</v>
      </c>
      <c r="B24" s="93" t="s">
        <v>55</v>
      </c>
      <c r="C24" s="93" t="s">
        <v>0</v>
      </c>
      <c r="D24" s="93" t="s">
        <v>53</v>
      </c>
      <c r="E24" s="94" t="s">
        <v>86</v>
      </c>
      <c r="F24" s="93">
        <v>4.8940000000000001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80</v>
      </c>
      <c r="N24" s="91">
        <v>1768</v>
      </c>
    </row>
    <row r="25" spans="1:14" s="93" customFormat="1">
      <c r="A25" s="93" t="s">
        <v>20</v>
      </c>
      <c r="B25" s="93" t="s">
        <v>55</v>
      </c>
      <c r="C25" s="93" t="s">
        <v>41</v>
      </c>
      <c r="D25" s="93" t="s">
        <v>53</v>
      </c>
      <c r="E25" s="94" t="s">
        <v>86</v>
      </c>
      <c r="F25" s="93">
        <v>6274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80</v>
      </c>
      <c r="N25" s="91">
        <v>200000</v>
      </c>
    </row>
    <row r="26" spans="1:14" s="93" customFormat="1">
      <c r="A26" s="93" t="s">
        <v>20</v>
      </c>
      <c r="B26" s="93" t="s">
        <v>55</v>
      </c>
      <c r="C26" s="93" t="s">
        <v>1</v>
      </c>
      <c r="D26" s="93" t="s">
        <v>53</v>
      </c>
      <c r="E26" s="94" t="s">
        <v>86</v>
      </c>
      <c r="F26" s="93">
        <v>200000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80</v>
      </c>
      <c r="N26" s="91">
        <v>1</v>
      </c>
    </row>
    <row r="27" spans="1:14" s="93" customFormat="1">
      <c r="A27" s="93" t="s">
        <v>20</v>
      </c>
      <c r="B27" s="93" t="s">
        <v>55</v>
      </c>
      <c r="C27" s="93" t="s">
        <v>7</v>
      </c>
      <c r="D27" s="93" t="s">
        <v>53</v>
      </c>
      <c r="E27" s="94" t="s">
        <v>86</v>
      </c>
      <c r="F27" s="93">
        <v>1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80</v>
      </c>
      <c r="N27" s="91">
        <v>4.125</v>
      </c>
    </row>
    <row r="28" spans="1:14" s="93" customFormat="1">
      <c r="A28" s="93" t="s">
        <v>20</v>
      </c>
      <c r="B28" s="93" t="s">
        <v>55</v>
      </c>
      <c r="C28" s="93" t="s">
        <v>26</v>
      </c>
      <c r="D28" s="93" t="s">
        <v>53</v>
      </c>
      <c r="E28" s="94" t="s">
        <v>86</v>
      </c>
      <c r="F28" s="93">
        <v>3.875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80</v>
      </c>
      <c r="N28" s="91">
        <v>1.3376202576964793</v>
      </c>
    </row>
    <row r="29" spans="1:14" s="93" customFormat="1">
      <c r="A29" s="93" t="s">
        <v>20</v>
      </c>
      <c r="B29" s="93" t="s">
        <v>55</v>
      </c>
      <c r="C29" s="93" t="s">
        <v>42</v>
      </c>
      <c r="D29" s="93" t="s">
        <v>53</v>
      </c>
      <c r="E29" s="94" t="s">
        <v>86</v>
      </c>
      <c r="F29" s="93">
        <v>3500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80</v>
      </c>
      <c r="N29" s="91">
        <v>4.2699999999999996</v>
      </c>
    </row>
    <row r="30" spans="1:14" s="93" customFormat="1">
      <c r="A30" s="93" t="s">
        <v>20</v>
      </c>
      <c r="B30" s="93" t="s">
        <v>56</v>
      </c>
      <c r="C30" s="93" t="s">
        <v>0</v>
      </c>
      <c r="D30" s="93" t="s">
        <v>53</v>
      </c>
      <c r="E30" s="94" t="s">
        <v>86</v>
      </c>
      <c r="F30" s="93">
        <v>4.1479999999999997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80</v>
      </c>
      <c r="N30" s="91">
        <v>2.25</v>
      </c>
    </row>
    <row r="31" spans="1:14" s="93" customFormat="1">
      <c r="A31" s="93" t="s">
        <v>20</v>
      </c>
      <c r="B31" s="93" t="s">
        <v>56</v>
      </c>
      <c r="C31" s="93" t="s">
        <v>41</v>
      </c>
      <c r="D31" s="93" t="s">
        <v>53</v>
      </c>
      <c r="E31" s="94" t="s">
        <v>86</v>
      </c>
      <c r="F31" s="93">
        <v>3602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80</v>
      </c>
      <c r="N31" s="91">
        <v>3.375</v>
      </c>
    </row>
    <row r="32" spans="1:14" s="93" customFormat="1">
      <c r="A32" s="93" t="s">
        <v>20</v>
      </c>
      <c r="B32" s="93" t="s">
        <v>56</v>
      </c>
      <c r="C32" s="93" t="s">
        <v>1</v>
      </c>
      <c r="D32" s="93" t="s">
        <v>53</v>
      </c>
      <c r="E32" s="94" t="s">
        <v>86</v>
      </c>
      <c r="F32" s="93">
        <v>500000</v>
      </c>
      <c r="I32" s="91" t="s">
        <v>55</v>
      </c>
      <c r="J32" s="91" t="s">
        <v>20</v>
      </c>
      <c r="K32" s="91" t="s">
        <v>79</v>
      </c>
      <c r="L32" s="91" t="s">
        <v>53</v>
      </c>
      <c r="M32" s="91" t="s">
        <v>80</v>
      </c>
      <c r="N32" s="91">
        <v>3.9717500000000001</v>
      </c>
    </row>
    <row r="33" spans="1:14" s="93" customFormat="1">
      <c r="A33" s="93" t="s">
        <v>20</v>
      </c>
      <c r="B33" s="93" t="s">
        <v>56</v>
      </c>
      <c r="C33" s="93" t="s">
        <v>7</v>
      </c>
      <c r="D33" s="93" t="s">
        <v>53</v>
      </c>
      <c r="E33" s="94" t="s">
        <v>86</v>
      </c>
      <c r="F33" s="93">
        <v>1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80</v>
      </c>
      <c r="N33" s="91">
        <v>4.9050000000000002</v>
      </c>
    </row>
    <row r="34" spans="1:14" s="93" customFormat="1">
      <c r="A34" s="93" t="s">
        <v>20</v>
      </c>
      <c r="B34" s="93" t="s">
        <v>56</v>
      </c>
      <c r="C34" s="93" t="s">
        <v>26</v>
      </c>
      <c r="D34" s="93" t="s">
        <v>53</v>
      </c>
      <c r="E34" s="94" t="s">
        <v>86</v>
      </c>
      <c r="F34" s="93">
        <v>4.125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80</v>
      </c>
      <c r="N34" s="91">
        <v>6529</v>
      </c>
    </row>
    <row r="35" spans="1:14" s="93" customFormat="1">
      <c r="A35" s="93" t="s">
        <v>20</v>
      </c>
      <c r="B35" s="93" t="s">
        <v>57</v>
      </c>
      <c r="C35" s="93" t="s">
        <v>0</v>
      </c>
      <c r="D35" s="93" t="s">
        <v>53</v>
      </c>
      <c r="E35" s="94" t="s">
        <v>86</v>
      </c>
      <c r="F35" s="93">
        <v>4.125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80</v>
      </c>
      <c r="N35" s="91">
        <v>200000</v>
      </c>
    </row>
    <row r="36" spans="1:14" s="93" customFormat="1">
      <c r="A36" s="93" t="s">
        <v>20</v>
      </c>
      <c r="B36" s="93" t="s">
        <v>57</v>
      </c>
      <c r="C36" s="93" t="s">
        <v>41</v>
      </c>
      <c r="D36" s="93" t="s">
        <v>53</v>
      </c>
      <c r="E36" s="94" t="s">
        <v>86</v>
      </c>
      <c r="F36" s="93">
        <v>1262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80</v>
      </c>
      <c r="N36" s="91">
        <v>1</v>
      </c>
    </row>
    <row r="37" spans="1:14" s="93" customFormat="1">
      <c r="A37" s="93" t="s">
        <v>20</v>
      </c>
      <c r="B37" s="93" t="s">
        <v>57</v>
      </c>
      <c r="C37" s="93" t="s">
        <v>1</v>
      </c>
      <c r="D37" s="93" t="s">
        <v>53</v>
      </c>
      <c r="E37" s="94" t="s">
        <v>86</v>
      </c>
      <c r="F37" s="93">
        <v>750000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80</v>
      </c>
      <c r="N37" s="91">
        <v>3.875</v>
      </c>
    </row>
    <row r="38" spans="1:14" s="93" customFormat="1">
      <c r="A38" s="93" t="s">
        <v>20</v>
      </c>
      <c r="B38" s="93" t="s">
        <v>57</v>
      </c>
      <c r="C38" s="93" t="s">
        <v>7</v>
      </c>
      <c r="D38" s="93" t="s">
        <v>53</v>
      </c>
      <c r="E38" s="94" t="s">
        <v>86</v>
      </c>
      <c r="F38" s="93">
        <v>1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80</v>
      </c>
      <c r="N38" s="91">
        <v>1.2748971326932403</v>
      </c>
    </row>
    <row r="39" spans="1:14" s="93" customFormat="1">
      <c r="A39" s="93" t="s">
        <v>20</v>
      </c>
      <c r="B39" s="93" t="s">
        <v>57</v>
      </c>
      <c r="C39" s="93" t="s">
        <v>26</v>
      </c>
      <c r="D39" s="93" t="s">
        <v>53</v>
      </c>
      <c r="E39" s="94" t="s">
        <v>86</v>
      </c>
      <c r="F39" s="93">
        <v>4.125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80</v>
      </c>
      <c r="N39" s="91">
        <v>3500</v>
      </c>
    </row>
    <row r="40" spans="1:14" s="93" customFormat="1">
      <c r="I40" s="91" t="s">
        <v>56</v>
      </c>
      <c r="J40" s="91" t="s">
        <v>20</v>
      </c>
      <c r="K40" s="91" t="s">
        <v>79</v>
      </c>
      <c r="L40" s="91" t="s">
        <v>53</v>
      </c>
      <c r="M40" s="91" t="s">
        <v>80</v>
      </c>
      <c r="N40" s="91">
        <v>4.123888942161555</v>
      </c>
    </row>
    <row r="41" spans="1:14" s="93" customFormat="1"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80</v>
      </c>
      <c r="N41" s="91">
        <v>4.1479999999999997</v>
      </c>
    </row>
    <row r="42" spans="1:14" s="93" customFormat="1"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80</v>
      </c>
      <c r="N42" s="91">
        <v>3602</v>
      </c>
    </row>
    <row r="43" spans="1:14" s="93" customFormat="1"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80</v>
      </c>
      <c r="N43" s="91">
        <v>500000</v>
      </c>
    </row>
    <row r="44" spans="1:14" s="93" customFormat="1"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80</v>
      </c>
      <c r="N44" s="91">
        <v>1</v>
      </c>
    </row>
    <row r="45" spans="1:14" s="93" customFormat="1"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80</v>
      </c>
      <c r="N45" s="91">
        <v>4.125</v>
      </c>
    </row>
    <row r="46" spans="1:14" s="93" customFormat="1"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80</v>
      </c>
      <c r="N46" s="91">
        <v>1.2997052194081149</v>
      </c>
    </row>
    <row r="47" spans="1:14" s="93" customFormat="1">
      <c r="I47" s="91" t="s">
        <v>57</v>
      </c>
      <c r="J47" s="91" t="s">
        <v>20</v>
      </c>
      <c r="K47" s="91" t="s">
        <v>79</v>
      </c>
      <c r="L47" s="91" t="s">
        <v>53</v>
      </c>
      <c r="M47" s="91" t="s">
        <v>80</v>
      </c>
      <c r="N47" s="91">
        <v>3.9170666666666665</v>
      </c>
    </row>
    <row r="48" spans="1:14" s="93" customFormat="1"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80</v>
      </c>
      <c r="N48" s="91">
        <v>4.125</v>
      </c>
    </row>
    <row r="49" spans="9:14" s="93" customFormat="1"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80</v>
      </c>
      <c r="N49" s="91">
        <v>1262</v>
      </c>
    </row>
    <row r="50" spans="9:14" s="93" customFormat="1"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80</v>
      </c>
      <c r="N50" s="91">
        <v>750000</v>
      </c>
    </row>
    <row r="51" spans="9:14" s="93" customFormat="1"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80</v>
      </c>
      <c r="N51" s="91">
        <v>1</v>
      </c>
    </row>
    <row r="52" spans="9:14" s="93" customFormat="1"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80</v>
      </c>
      <c r="N52" s="91">
        <v>4.125</v>
      </c>
    </row>
    <row r="53" spans="9:14" s="93" customFormat="1"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80</v>
      </c>
      <c r="N53" s="91">
        <v>1.0928829439132266</v>
      </c>
    </row>
    <row r="54" spans="9:14" s="93" customFormat="1"/>
    <row r="55" spans="9:14" s="93" customFormat="1"/>
    <row r="56" spans="9:14" s="93" customFormat="1"/>
    <row r="57" spans="9:14" s="93" customFormat="1"/>
    <row r="58" spans="9:14" s="93" customFormat="1"/>
    <row r="59" spans="9:14" s="93" customFormat="1"/>
    <row r="60" spans="9:14" s="93" customFormat="1"/>
    <row r="61" spans="9:14" s="93" customFormat="1"/>
    <row r="62" spans="9:14" s="93" customFormat="1"/>
    <row r="63" spans="9:14" s="93" customFormat="1"/>
    <row r="64" spans="9:1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pans="9:26" s="92" customFormat="1">
      <c r="I81" s="93"/>
      <c r="J81" s="93"/>
      <c r="K81" s="93"/>
      <c r="L81" s="93"/>
      <c r="M81" s="93"/>
      <c r="N81" s="93"/>
      <c r="X81" s="93"/>
      <c r="Y81" s="93"/>
      <c r="Z81" s="93"/>
    </row>
    <row r="82" spans="9:26" s="92" customFormat="1">
      <c r="I82" s="93"/>
      <c r="J82" s="93"/>
      <c r="K82" s="93"/>
      <c r="L82" s="93"/>
      <c r="M82" s="93"/>
      <c r="N82" s="93"/>
    </row>
    <row r="83" spans="9:26" s="92" customFormat="1">
      <c r="I83" s="93"/>
      <c r="J83" s="93"/>
      <c r="K83" s="93"/>
      <c r="L83" s="93"/>
      <c r="M83" s="93"/>
      <c r="N83" s="93"/>
    </row>
    <row r="84" spans="9:26" s="92" customFormat="1">
      <c r="I84" s="93"/>
      <c r="J84" s="93"/>
      <c r="K84" s="93"/>
      <c r="L84" s="93"/>
      <c r="M84" s="93"/>
      <c r="N84" s="93"/>
    </row>
    <row r="85" spans="9:26" s="92" customFormat="1">
      <c r="I85" s="93"/>
      <c r="J85" s="93"/>
      <c r="K85" s="93"/>
      <c r="L85" s="93"/>
      <c r="M85" s="93"/>
      <c r="N85" s="93"/>
    </row>
    <row r="86" spans="9:26" s="92" customFormat="1">
      <c r="I86" s="93"/>
      <c r="J86" s="93"/>
      <c r="K86" s="93"/>
      <c r="L86" s="93"/>
      <c r="M86" s="93"/>
      <c r="N86" s="93"/>
    </row>
    <row r="87" spans="9:26" s="92" customFormat="1">
      <c r="I87" s="93"/>
      <c r="J87" s="93"/>
      <c r="K87" s="93"/>
      <c r="L87" s="93"/>
      <c r="M87" s="93"/>
      <c r="N87" s="93"/>
    </row>
    <row r="88" spans="9:26" s="92" customFormat="1">
      <c r="I88" s="93"/>
      <c r="J88" s="93"/>
      <c r="K88" s="93"/>
      <c r="L88" s="93"/>
      <c r="M88" s="93"/>
      <c r="N88" s="93"/>
    </row>
    <row r="89" spans="9:26" s="92" customFormat="1">
      <c r="I89" s="93"/>
      <c r="J89" s="93"/>
      <c r="K89" s="93"/>
      <c r="L89" s="93"/>
      <c r="M89" s="93"/>
      <c r="N89" s="93"/>
    </row>
    <row r="90" spans="9:26" s="92" customFormat="1">
      <c r="I90" s="93"/>
      <c r="J90" s="93"/>
      <c r="K90" s="93"/>
      <c r="L90" s="93"/>
      <c r="M90" s="93"/>
      <c r="N90" s="93"/>
    </row>
    <row r="91" spans="9:26" s="92" customFormat="1">
      <c r="I91" s="93"/>
      <c r="J91" s="93"/>
      <c r="K91" s="93"/>
      <c r="L91" s="93"/>
      <c r="M91" s="93"/>
      <c r="N91" s="93"/>
    </row>
    <row r="92" spans="9:26" s="92" customFormat="1">
      <c r="I92" s="93"/>
      <c r="J92" s="93"/>
      <c r="K92" s="93"/>
      <c r="L92" s="93"/>
      <c r="M92" s="93"/>
      <c r="N92" s="93"/>
    </row>
    <row r="93" spans="9:26" s="92" customFormat="1">
      <c r="I93" s="93"/>
      <c r="J93" s="93"/>
      <c r="K93" s="93"/>
      <c r="L93" s="93"/>
      <c r="M93" s="93"/>
      <c r="N93" s="93"/>
    </row>
    <row r="94" spans="9:26" s="92" customFormat="1">
      <c r="I94" s="93"/>
      <c r="J94" s="93"/>
      <c r="K94" s="93"/>
      <c r="L94" s="93"/>
      <c r="M94" s="93"/>
      <c r="N94" s="93"/>
    </row>
    <row r="95" spans="9:26" s="92" customFormat="1">
      <c r="I95" s="93"/>
      <c r="J95" s="93"/>
      <c r="K95" s="93"/>
      <c r="L95" s="93"/>
      <c r="M95" s="93"/>
      <c r="N95" s="93"/>
    </row>
    <row r="96" spans="9:26" s="92" customFormat="1">
      <c r="I96" s="93"/>
      <c r="J96" s="93"/>
      <c r="K96" s="93"/>
      <c r="L96" s="93"/>
      <c r="M96" s="93"/>
      <c r="N96" s="93"/>
    </row>
    <row r="97" spans="9:14" s="92" customFormat="1">
      <c r="I97" s="93"/>
      <c r="J97" s="93"/>
      <c r="K97" s="93"/>
      <c r="L97" s="93"/>
      <c r="M97" s="93"/>
      <c r="N97" s="93"/>
    </row>
    <row r="98" spans="9:14" s="92" customFormat="1">
      <c r="I98" s="93"/>
      <c r="J98" s="93"/>
      <c r="K98" s="93"/>
      <c r="L98" s="93"/>
      <c r="M98" s="93"/>
      <c r="N98" s="93"/>
    </row>
    <row r="99" spans="9:14" s="92" customFormat="1">
      <c r="I99" s="93"/>
      <c r="J99" s="93"/>
      <c r="K99" s="93"/>
      <c r="L99" s="93"/>
      <c r="M99" s="93"/>
      <c r="N99" s="93"/>
    </row>
    <row r="100" spans="9:14" s="92" customFormat="1">
      <c r="I100" s="93"/>
      <c r="J100" s="93"/>
      <c r="K100" s="93"/>
      <c r="L100" s="93"/>
      <c r="M100" s="93"/>
      <c r="N100" s="93"/>
    </row>
    <row r="101" spans="9:14" s="92" customFormat="1" ht="12"/>
    <row r="102" spans="9:14" s="92" customFormat="1" ht="12"/>
    <row r="103" spans="9:14" s="92" customFormat="1" ht="12"/>
    <row r="104" spans="9:14" s="92" customFormat="1" ht="12"/>
    <row r="105" spans="9:14" s="92" customFormat="1" ht="12"/>
    <row r="106" spans="9:14" s="92" customFormat="1" ht="12"/>
    <row r="107" spans="9:14" s="92" customFormat="1" ht="12"/>
    <row r="108" spans="9:14" s="92" customFormat="1" ht="12"/>
    <row r="109" spans="9:14" s="92" customFormat="1" ht="12"/>
    <row r="110" spans="9:14" s="92" customFormat="1" ht="12"/>
    <row r="111" spans="9:14" s="92" customFormat="1" ht="12"/>
    <row r="112" spans="9:14" s="92" customFormat="1" ht="12"/>
    <row r="113" s="92" customFormat="1" ht="12"/>
    <row r="114" s="92" customFormat="1" ht="12"/>
    <row r="115" s="92" customFormat="1" ht="12"/>
    <row r="116" s="92" customFormat="1" ht="12"/>
    <row r="117" s="92" customFormat="1" ht="12"/>
    <row r="118" s="92" customFormat="1" ht="12"/>
    <row r="119" s="92" customFormat="1" ht="12"/>
    <row r="120" s="92" customFormat="1" ht="12"/>
    <row r="121" s="92" customFormat="1" ht="12"/>
    <row r="122" s="92" customFormat="1" ht="12"/>
    <row r="123" s="92" customFormat="1" ht="12"/>
    <row r="124" s="92" customFormat="1" ht="12"/>
    <row r="125" s="92" customFormat="1" ht="12"/>
    <row r="126" s="92" customFormat="1" ht="12"/>
    <row r="127" s="92" customFormat="1" ht="12"/>
    <row r="128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9:26" s="92" customFormat="1" ht="12"/>
    <row r="146" spans="9:26" s="92" customFormat="1" ht="12"/>
    <row r="147" spans="9:26" s="92" customFormat="1" ht="12"/>
    <row r="148" spans="9:26" s="92" customFormat="1" ht="12"/>
    <row r="149" spans="9:26" s="92" customFormat="1" ht="12"/>
    <row r="150" spans="9:26" s="92" customFormat="1" ht="12"/>
    <row r="151" spans="9:26" s="92" customFormat="1" ht="12"/>
    <row r="152" spans="9:26" s="92" customFormat="1" ht="12"/>
    <row r="153" spans="9:26" s="92" customFormat="1" ht="12"/>
    <row r="154" spans="9:26">
      <c r="I154" s="92"/>
      <c r="J154" s="92"/>
      <c r="K154" s="92"/>
      <c r="L154" s="92"/>
      <c r="M154" s="92"/>
      <c r="N154" s="92"/>
      <c r="X154" s="92"/>
      <c r="Y154" s="92"/>
      <c r="Z154" s="92"/>
    </row>
    <row r="155" spans="9:26">
      <c r="I155" s="92"/>
      <c r="J155" s="92"/>
      <c r="K155" s="92"/>
      <c r="L155" s="92"/>
      <c r="M155" s="92"/>
      <c r="N155" s="92"/>
    </row>
    <row r="156" spans="9:26">
      <c r="I156" s="92"/>
      <c r="J156" s="92"/>
      <c r="K156" s="92"/>
      <c r="L156" s="92"/>
      <c r="M156" s="92"/>
      <c r="N156" s="92"/>
    </row>
    <row r="157" spans="9:26">
      <c r="I157" s="92"/>
      <c r="J157" s="92"/>
      <c r="K157" s="92"/>
      <c r="L157" s="92"/>
      <c r="M157" s="92"/>
      <c r="N157" s="92"/>
    </row>
    <row r="158" spans="9:26">
      <c r="I158" s="92"/>
      <c r="J158" s="92"/>
      <c r="K158" s="92"/>
      <c r="L158" s="92"/>
      <c r="M158" s="92"/>
      <c r="N158" s="92"/>
    </row>
    <row r="159" spans="9:26">
      <c r="I159" s="92"/>
      <c r="J159" s="92"/>
      <c r="K159" s="92"/>
      <c r="L159" s="92"/>
      <c r="M159" s="92"/>
      <c r="N159" s="92"/>
    </row>
    <row r="160" spans="9:26">
      <c r="I160" s="92"/>
      <c r="J160" s="92"/>
      <c r="K160" s="92"/>
      <c r="L160" s="92"/>
      <c r="M160" s="92"/>
      <c r="N160" s="92"/>
    </row>
    <row r="161" spans="9:14">
      <c r="I161" s="92"/>
      <c r="J161" s="92"/>
      <c r="K161" s="92"/>
      <c r="L161" s="92"/>
      <c r="M161" s="92"/>
      <c r="N161" s="92"/>
    </row>
    <row r="162" spans="9:14">
      <c r="I162" s="92"/>
      <c r="J162" s="92"/>
      <c r="K162" s="92"/>
      <c r="L162" s="92"/>
      <c r="M162" s="92"/>
      <c r="N162" s="92"/>
    </row>
    <row r="163" spans="9:14">
      <c r="I163" s="92"/>
      <c r="J163" s="92"/>
      <c r="K163" s="92"/>
      <c r="L163" s="92"/>
      <c r="M163" s="92"/>
      <c r="N163" s="92"/>
    </row>
    <row r="164" spans="9:14">
      <c r="I164" s="92"/>
      <c r="J164" s="92"/>
      <c r="K164" s="92"/>
      <c r="L164" s="92"/>
      <c r="M164" s="92"/>
      <c r="N164" s="92"/>
    </row>
    <row r="165" spans="9:14">
      <c r="I165" s="92"/>
      <c r="J165" s="92"/>
      <c r="K165" s="92"/>
      <c r="L165" s="92"/>
      <c r="M165" s="92"/>
      <c r="N165" s="92"/>
    </row>
    <row r="166" spans="9:14">
      <c r="I166" s="92"/>
      <c r="J166" s="92"/>
      <c r="K166" s="92"/>
      <c r="L166" s="92"/>
      <c r="M166" s="92"/>
      <c r="N166" s="92"/>
    </row>
    <row r="167" spans="9:14">
      <c r="I167" s="92"/>
      <c r="J167" s="92"/>
      <c r="K167" s="92"/>
      <c r="L167" s="92"/>
      <c r="M167" s="92"/>
      <c r="N167" s="92"/>
    </row>
    <row r="168" spans="9:14">
      <c r="I168" s="92"/>
      <c r="J168" s="92"/>
      <c r="K168" s="92"/>
      <c r="L168" s="92"/>
      <c r="M168" s="92"/>
      <c r="N168" s="92"/>
    </row>
    <row r="169" spans="9:14">
      <c r="I169" s="92"/>
      <c r="J169" s="92"/>
      <c r="K169" s="92"/>
      <c r="L169" s="92"/>
      <c r="M169" s="92"/>
      <c r="N169" s="92"/>
    </row>
    <row r="170" spans="9:14">
      <c r="I170" s="92"/>
      <c r="J170" s="92"/>
      <c r="K170" s="92"/>
      <c r="L170" s="92"/>
      <c r="M170" s="92"/>
      <c r="N170" s="92"/>
    </row>
    <row r="171" spans="9:14">
      <c r="I171" s="92"/>
      <c r="J171" s="92"/>
      <c r="K171" s="92"/>
      <c r="L171" s="92"/>
      <c r="M171" s="92"/>
      <c r="N171" s="92"/>
    </row>
    <row r="172" spans="9:14">
      <c r="I172" s="92"/>
      <c r="J172" s="92"/>
      <c r="K172" s="92"/>
      <c r="L172" s="92"/>
      <c r="M172" s="92"/>
      <c r="N172" s="92"/>
    </row>
    <row r="173" spans="9:14">
      <c r="I173" s="92"/>
      <c r="J173" s="92"/>
      <c r="K173" s="92"/>
      <c r="L173" s="92"/>
      <c r="M173" s="92"/>
      <c r="N173" s="92"/>
    </row>
  </sheetData>
  <pageMargins left="0.7" right="0.7" top="0.75" bottom="0.75" header="0.3" footer="0.3"/>
  <pageSetup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59"/>
  <sheetViews>
    <sheetView workbookViewId="0">
      <selection activeCell="B67" sqref="B67"/>
    </sheetView>
  </sheetViews>
  <sheetFormatPr defaultRowHeight="15"/>
  <cols>
    <col min="1" max="1" width="22.85546875" bestFit="1" customWidth="1"/>
    <col min="2" max="2" width="15.42578125" bestFit="1" customWidth="1"/>
    <col min="3" max="3" width="27.5703125" bestFit="1" customWidth="1"/>
    <col min="4" max="4" width="13.7109375" customWidth="1"/>
    <col min="5" max="5" width="10.85546875" customWidth="1"/>
    <col min="6" max="6" width="13.5703125" customWidth="1"/>
    <col min="7" max="7" width="14.140625" customWidth="1"/>
    <col min="8" max="8" width="18.140625" customWidth="1"/>
    <col min="9" max="9" width="12" bestFit="1" customWidth="1"/>
  </cols>
  <sheetData>
    <row r="1" spans="1:11" ht="19.5">
      <c r="A1" s="160" t="s">
        <v>68</v>
      </c>
      <c r="B1" s="160"/>
      <c r="C1" s="160"/>
      <c r="D1" s="160"/>
      <c r="E1" s="160"/>
      <c r="F1" s="160"/>
      <c r="G1" s="160"/>
      <c r="H1" s="160"/>
      <c r="I1" s="160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/>
      <c r="K4"/>
    </row>
    <row r="5" spans="1:11">
      <c r="A5" s="1" t="s">
        <v>86</v>
      </c>
      <c r="B5" s="1" t="s">
        <v>20</v>
      </c>
      <c r="C5" s="1" t="s">
        <v>54</v>
      </c>
      <c r="D5" s="40">
        <v>4.125</v>
      </c>
      <c r="E5" s="40">
        <v>1</v>
      </c>
      <c r="F5" s="40">
        <v>4.1470000000000002</v>
      </c>
      <c r="G5" s="40">
        <v>1768</v>
      </c>
      <c r="H5" s="40">
        <v>200000</v>
      </c>
      <c r="I5" s="40"/>
    </row>
    <row r="6" spans="1:11">
      <c r="A6" s="1" t="s">
        <v>86</v>
      </c>
      <c r="B6" s="1" t="s">
        <v>20</v>
      </c>
      <c r="C6" s="1" t="s">
        <v>55</v>
      </c>
      <c r="D6" s="40">
        <v>3.875</v>
      </c>
      <c r="E6" s="40">
        <v>1</v>
      </c>
      <c r="F6" s="40">
        <v>4.8940000000000001</v>
      </c>
      <c r="G6" s="40">
        <v>6274</v>
      </c>
      <c r="H6" s="40">
        <v>200000</v>
      </c>
      <c r="I6" s="40">
        <v>3500</v>
      </c>
    </row>
    <row r="7" spans="1:11">
      <c r="A7" s="1" t="s">
        <v>86</v>
      </c>
      <c r="B7" s="1" t="s">
        <v>20</v>
      </c>
      <c r="C7" s="1" t="s">
        <v>56</v>
      </c>
      <c r="D7" s="40">
        <v>4.125</v>
      </c>
      <c r="E7" s="40">
        <v>1</v>
      </c>
      <c r="F7" s="40">
        <v>4.1479999999999997</v>
      </c>
      <c r="G7" s="40">
        <v>3602</v>
      </c>
      <c r="H7" s="40">
        <v>500000</v>
      </c>
      <c r="I7" s="40"/>
    </row>
    <row r="8" spans="1:11">
      <c r="A8" s="1" t="s">
        <v>86</v>
      </c>
      <c r="B8" s="1" t="s">
        <v>20</v>
      </c>
      <c r="C8" s="1" t="s">
        <v>57</v>
      </c>
      <c r="D8" s="40">
        <v>4.125</v>
      </c>
      <c r="E8" s="40">
        <v>1</v>
      </c>
      <c r="F8" s="40">
        <v>4.125</v>
      </c>
      <c r="G8" s="40">
        <v>1262</v>
      </c>
      <c r="H8" s="40">
        <v>750000</v>
      </c>
      <c r="I8" s="40"/>
    </row>
    <row r="9" spans="1:11">
      <c r="A9" s="1" t="s">
        <v>86</v>
      </c>
      <c r="B9" s="1" t="s">
        <v>19</v>
      </c>
      <c r="C9" s="1" t="s">
        <v>54</v>
      </c>
      <c r="D9" s="40">
        <v>3.875</v>
      </c>
      <c r="E9" s="40">
        <v>1.75</v>
      </c>
      <c r="F9" s="40">
        <v>4.0919999999999996</v>
      </c>
      <c r="G9" s="40"/>
      <c r="H9" s="40"/>
      <c r="I9" s="40"/>
    </row>
    <row r="10" spans="1:11">
      <c r="A10" s="1" t="s">
        <v>86</v>
      </c>
      <c r="B10" s="1" t="s">
        <v>19</v>
      </c>
      <c r="C10" s="1" t="s">
        <v>55</v>
      </c>
      <c r="D10" s="40">
        <v>3.5</v>
      </c>
      <c r="E10" s="40">
        <v>1.75</v>
      </c>
      <c r="F10" s="40">
        <v>4.3550000000000004</v>
      </c>
      <c r="G10" s="40"/>
      <c r="H10" s="40"/>
      <c r="I10" s="40"/>
    </row>
    <row r="11" spans="1:11">
      <c r="A11" s="1" t="s">
        <v>86</v>
      </c>
      <c r="B11" s="1" t="s">
        <v>17</v>
      </c>
      <c r="C11" s="1" t="s">
        <v>54</v>
      </c>
      <c r="D11" s="40">
        <v>3.875</v>
      </c>
      <c r="E11" s="40">
        <v>1.2989999999999999</v>
      </c>
      <c r="F11" s="40">
        <v>4.093</v>
      </c>
      <c r="G11" s="40"/>
      <c r="H11" s="40"/>
      <c r="I11" s="40"/>
    </row>
    <row r="12" spans="1:11">
      <c r="A12" s="1" t="s">
        <v>86</v>
      </c>
      <c r="B12" s="1" t="s">
        <v>18</v>
      </c>
      <c r="C12" s="1" t="s">
        <v>54</v>
      </c>
      <c r="D12" s="40">
        <v>4.125</v>
      </c>
      <c r="E12" s="40">
        <v>0.625</v>
      </c>
      <c r="F12" s="40">
        <v>4.1769999999999996</v>
      </c>
      <c r="G12" s="40"/>
      <c r="H12" s="40"/>
      <c r="I12" s="40"/>
    </row>
    <row r="28" spans="1:11" ht="19.5">
      <c r="A28" s="160" t="s">
        <v>69</v>
      </c>
      <c r="B28" s="160"/>
      <c r="C28" s="160"/>
      <c r="D28" s="160"/>
      <c r="E28" s="160"/>
      <c r="F28" s="160"/>
      <c r="G28" s="160"/>
      <c r="H28" s="160"/>
      <c r="I28" s="160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79</v>
      </c>
      <c r="K30" s="42" t="s">
        <v>29</v>
      </c>
    </row>
    <row r="31" spans="1:11">
      <c r="A31" s="1" t="s">
        <v>80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4.1470000000000002</v>
      </c>
      <c r="G31" s="40">
        <v>1768</v>
      </c>
      <c r="H31" s="40">
        <v>200000</v>
      </c>
      <c r="I31" s="40"/>
      <c r="J31" s="40">
        <v>4.1618039804499194</v>
      </c>
      <c r="K31" s="40">
        <v>1.3376202576964793</v>
      </c>
    </row>
    <row r="32" spans="1:11">
      <c r="A32" s="1" t="s">
        <v>80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4.9050000000000002</v>
      </c>
      <c r="G32" s="40">
        <v>6529</v>
      </c>
      <c r="H32" s="40">
        <v>200000</v>
      </c>
      <c r="I32" s="40">
        <v>3500</v>
      </c>
      <c r="J32" s="40">
        <v>3.9717500000000001</v>
      </c>
      <c r="K32" s="40">
        <v>1.2748971326932403</v>
      </c>
    </row>
    <row r="33" spans="1:11">
      <c r="A33" s="1" t="s">
        <v>80</v>
      </c>
      <c r="B33" s="1" t="s">
        <v>20</v>
      </c>
      <c r="C33" s="1" t="s">
        <v>56</v>
      </c>
      <c r="D33" s="40">
        <v>4.125</v>
      </c>
      <c r="E33" s="40">
        <v>1</v>
      </c>
      <c r="F33" s="40">
        <v>4.1479999999999997</v>
      </c>
      <c r="G33" s="40">
        <v>3602</v>
      </c>
      <c r="H33" s="40">
        <v>500000</v>
      </c>
      <c r="I33" s="40"/>
      <c r="J33" s="40">
        <v>4.123888942161555</v>
      </c>
      <c r="K33" s="40">
        <v>1.2997052194081149</v>
      </c>
    </row>
    <row r="34" spans="1:11">
      <c r="A34" s="1" t="s">
        <v>80</v>
      </c>
      <c r="B34" s="1" t="s">
        <v>20</v>
      </c>
      <c r="C34" s="1" t="s">
        <v>57</v>
      </c>
      <c r="D34" s="40">
        <v>4.125</v>
      </c>
      <c r="E34" s="40">
        <v>1</v>
      </c>
      <c r="F34" s="40">
        <v>4.125</v>
      </c>
      <c r="G34" s="40">
        <v>1262</v>
      </c>
      <c r="H34" s="40">
        <v>750000</v>
      </c>
      <c r="I34" s="40"/>
      <c r="J34" s="40">
        <v>3.9170666666666665</v>
      </c>
      <c r="K34" s="40">
        <v>1.0928829439132266</v>
      </c>
    </row>
    <row r="35" spans="1:11">
      <c r="A35" s="1" t="s">
        <v>80</v>
      </c>
      <c r="B35" s="1" t="s">
        <v>19</v>
      </c>
      <c r="C35" s="1" t="s">
        <v>54</v>
      </c>
      <c r="D35" s="40">
        <v>3.875</v>
      </c>
      <c r="E35" s="40">
        <v>1.75</v>
      </c>
      <c r="F35" s="40">
        <v>4.0919999999999996</v>
      </c>
      <c r="G35" s="40"/>
      <c r="H35" s="40"/>
      <c r="I35" s="40"/>
      <c r="J35" s="40">
        <v>4.2722152605049795</v>
      </c>
      <c r="K35" s="40">
        <v>1.4480315377515394</v>
      </c>
    </row>
    <row r="36" spans="1:11">
      <c r="A36" s="1" t="s">
        <v>80</v>
      </c>
      <c r="B36" s="1" t="s">
        <v>19</v>
      </c>
      <c r="C36" s="1" t="s">
        <v>55</v>
      </c>
      <c r="D36" s="40">
        <v>3.375</v>
      </c>
      <c r="E36" s="40">
        <v>2.25</v>
      </c>
      <c r="F36" s="40">
        <v>4.2699999999999996</v>
      </c>
      <c r="G36" s="40"/>
      <c r="H36" s="40"/>
      <c r="I36" s="40"/>
      <c r="J36" s="40"/>
      <c r="K36" s="40"/>
    </row>
    <row r="37" spans="1:11">
      <c r="A37" s="1" t="s">
        <v>80</v>
      </c>
      <c r="B37" s="1" t="s">
        <v>17</v>
      </c>
      <c r="C37" s="1" t="s">
        <v>54</v>
      </c>
      <c r="D37" s="40">
        <v>3.875</v>
      </c>
      <c r="E37" s="40">
        <v>1.3129999999999999</v>
      </c>
      <c r="F37" s="40">
        <v>4.0940000000000003</v>
      </c>
      <c r="G37" s="40"/>
      <c r="H37" s="40"/>
      <c r="I37" s="40"/>
      <c r="J37" s="40">
        <v>4.2780642423920208</v>
      </c>
      <c r="K37" s="40">
        <v>1.4538805196385804</v>
      </c>
    </row>
    <row r="38" spans="1:11">
      <c r="A38" s="1" t="s">
        <v>80</v>
      </c>
      <c r="B38" s="1" t="s">
        <v>18</v>
      </c>
      <c r="C38" s="1" t="s">
        <v>54</v>
      </c>
      <c r="D38" s="40">
        <v>4.125</v>
      </c>
      <c r="E38" s="40">
        <v>1</v>
      </c>
      <c r="F38" s="40">
        <v>4.2089999999999996</v>
      </c>
      <c r="G38" s="40"/>
      <c r="H38" s="40"/>
      <c r="I38" s="40"/>
      <c r="J38" s="40">
        <v>4.1248698203088709</v>
      </c>
      <c r="K38" s="40">
        <v>1.3006860975554306</v>
      </c>
    </row>
    <row r="56" spans="1:9" ht="19.5">
      <c r="A56" s="160" t="s">
        <v>70</v>
      </c>
      <c r="B56" s="160"/>
      <c r="C56" s="160"/>
      <c r="D56" s="160"/>
      <c r="E56" s="160"/>
      <c r="F56" s="160"/>
      <c r="G56" s="160"/>
      <c r="H56" s="160"/>
      <c r="I56" s="160"/>
    </row>
    <row r="57" spans="1:9">
      <c r="A57" s="39" t="s">
        <v>58</v>
      </c>
      <c r="D57" s="39" t="s">
        <v>49</v>
      </c>
    </row>
    <row r="58" spans="1:9">
      <c r="A58" s="39" t="s">
        <v>51</v>
      </c>
      <c r="B58" s="39" t="s">
        <v>47</v>
      </c>
      <c r="C58" s="39" t="s">
        <v>48</v>
      </c>
      <c r="D58" s="42" t="s">
        <v>72</v>
      </c>
    </row>
    <row r="59" spans="1:9">
      <c r="A59" s="1" t="s">
        <v>72</v>
      </c>
      <c r="B59" s="1" t="s">
        <v>72</v>
      </c>
      <c r="C59" s="1" t="s">
        <v>72</v>
      </c>
      <c r="D59" s="40"/>
    </row>
  </sheetData>
  <mergeCells count="3">
    <mergeCell ref="A1:I1"/>
    <mergeCell ref="A28:I28"/>
    <mergeCell ref="A56:I56"/>
  </mergeCells>
  <pageMargins left="0.7" right="0.7" top="0.75" bottom="0.75" header="0.3" footer="0.3"/>
  <pageSetup orientation="portrait" horizontalDpi="300" verticalDpi="30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B1" sqref="B1:E5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79</v>
      </c>
      <c r="E2" s="125">
        <f>Report!M12*100</f>
        <v>4.2751400125465349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1.4595784375698646</v>
      </c>
    </row>
    <row r="4" spans="2:5">
      <c r="B4" s="110" t="s">
        <v>54</v>
      </c>
      <c r="C4" s="104" t="s">
        <v>18</v>
      </c>
      <c r="D4" s="105" t="s">
        <v>79</v>
      </c>
      <c r="E4" s="111">
        <f>Report!M13*100</f>
        <v>4.0301218665618999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1.2145602915852296</v>
      </c>
    </row>
    <row r="6" spans="2:5">
      <c r="B6" s="110" t="s">
        <v>54</v>
      </c>
      <c r="C6" s="104" t="s">
        <v>19</v>
      </c>
      <c r="D6" s="105" t="s">
        <v>79</v>
      </c>
      <c r="E6" s="111">
        <f>Report!M14*100</f>
        <v>4.2722152605049795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1.4566536855283092</v>
      </c>
    </row>
    <row r="8" spans="2:5">
      <c r="B8" s="110" t="s">
        <v>54</v>
      </c>
      <c r="C8" s="104" t="s">
        <v>20</v>
      </c>
      <c r="D8" s="105" t="s">
        <v>79</v>
      </c>
      <c r="E8" s="111">
        <f>Report!M15*100</f>
        <v>4.1618039804499194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1.3462424054732489</v>
      </c>
    </row>
    <row r="10" spans="2:5">
      <c r="B10" s="110" t="s">
        <v>55</v>
      </c>
      <c r="C10" s="104" t="s">
        <v>20</v>
      </c>
      <c r="D10" s="105" t="s">
        <v>79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1.2824660521114801</v>
      </c>
    </row>
    <row r="12" spans="2:5">
      <c r="B12" s="110" t="s">
        <v>56</v>
      </c>
      <c r="C12" s="104" t="s">
        <v>20</v>
      </c>
      <c r="D12" s="105" t="s">
        <v>79</v>
      </c>
      <c r="E12" s="111">
        <f>Report!M18*100</f>
        <v>4.123888942161555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1.3083273671848847</v>
      </c>
    </row>
    <row r="14" spans="2:5">
      <c r="B14" s="110" t="s">
        <v>57</v>
      </c>
      <c r="C14" s="104" t="s">
        <v>20</v>
      </c>
      <c r="D14" s="105" t="s">
        <v>79</v>
      </c>
      <c r="E14" s="111">
        <f>Report!M20*100</f>
        <v>3.9170666666666665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1.1015050916899964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76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77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F14"/>
  <sheetViews>
    <sheetView workbookViewId="0">
      <selection activeCell="M19" sqref="M19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61" t="s">
        <v>44</v>
      </c>
      <c r="D3" s="161"/>
      <c r="E3" s="161" t="s">
        <v>45</v>
      </c>
      <c r="F3" s="161"/>
    </row>
    <row r="4" spans="2:6">
      <c r="B4" s="163" t="s">
        <v>54</v>
      </c>
      <c r="C4" s="163" t="s">
        <v>79</v>
      </c>
      <c r="D4" s="163" t="s">
        <v>29</v>
      </c>
      <c r="E4" s="163" t="s">
        <v>79</v>
      </c>
      <c r="F4" s="163" t="s">
        <v>29</v>
      </c>
    </row>
    <row r="5" spans="2:6">
      <c r="B5" s="164" t="s">
        <v>17</v>
      </c>
      <c r="C5" s="165">
        <f t="array" ref="C5">VLOOKUP($B$4&amp;B5&amp;$C$4,IF({1,0},OneDayMtgRatesDataTable[TickerName]&amp;OneDayMtgRatesDataTable[Source]&amp;OneDayMtgRatesDataTable[SeriesType],OneDayMtgRatesDataTable[SeriesNumValue]),2,0)/100</f>
        <v>4.2780642423920205E-2</v>
      </c>
      <c r="D5" s="165">
        <f t="array" ref="D5">VLOOKUP($B$4&amp;$B5&amp;$D$4,IF({1,0},OneDayMtgRatesDataTable[TickerName]&amp;OneDayMtgRatesDataTable[Source]&amp;OneDayMtgRatesDataTable[SeriesType],OneDayMtgRatesDataTable[SeriesNumValue]),2,0)/100</f>
        <v>1.4538805196385805E-2</v>
      </c>
      <c r="E5" s="165" t="e">
        <f>VLOOKUP($B$4&amp;$B5&amp;$E$4,IF({1,0},OneWeekMtgRatesDataTable[TickerName]&amp;OneWeekMtgRatesDataTable[Source]&amp;OneWeekMtgRatesDataTable[SeriesType],OneWeekMtgRatesDataTable[SeriesNumValue]),2,0)/100</f>
        <v>#N/A</v>
      </c>
      <c r="F5" s="165" t="e">
        <f t="array" ref="F5">VLOOKUP($B$4&amp;$B5&amp;$F$4,IF({1,0},OneWeekMtgRatesDataTable[TickerName]&amp;OneWeekMtgRatesDataTable[Source]&amp;OneWeekMtgRatesDataTable[SeriesType],OneWeekMtgRatesDataTable[SeriesNumValue]),2,0)/100</f>
        <v>#N/A</v>
      </c>
    </row>
    <row r="6" spans="2:6">
      <c r="B6" s="164" t="s">
        <v>18</v>
      </c>
      <c r="C6" s="165">
        <f t="array" ref="C6">VLOOKUP($B$4&amp;B6&amp;$C$4,IF({1,0},OneDayMtgRatesDataTable[TickerName]&amp;OneDayMtgRatesDataTable[Source]&amp;OneDayMtgRatesDataTable[SeriesType],OneDayMtgRatesDataTable[SeriesNumValue]),2,0)/100</f>
        <v>4.1248698203088713E-2</v>
      </c>
      <c r="D6" s="165">
        <f t="array" ref="D6">VLOOKUP($B$4&amp;$B6&amp;$D$4,IF({1,0},OneDayMtgRatesDataTable[TickerName]&amp;OneDayMtgRatesDataTable[Source]&amp;OneDayMtgRatesDataTable[SeriesType],OneDayMtgRatesDataTable[SeriesNumValue]),2,0)/100</f>
        <v>1.3006860975554306E-2</v>
      </c>
      <c r="E6" s="165" t="e">
        <f>VLOOKUP($B$4&amp;$B6&amp;$E$4,IF({1,0},OneWeekMtgRatesDataTable[TickerName]&amp;OneWeekMtgRatesDataTable[Source]&amp;OneWeekMtgRatesDataTable[SeriesType],OneWeekMtgRatesDataTable[SeriesNumValue]),2,0)/100</f>
        <v>#N/A</v>
      </c>
      <c r="F6" s="165" t="e">
        <f t="array" ref="F6">VLOOKUP($B$4&amp;$B6&amp;$F$4,IF({1,0},OneWeekMtgRatesDataTable[TickerName]&amp;OneWeekMtgRatesDataTable[Source]&amp;OneWeekMtgRatesDataTable[SeriesType],OneWeekMtgRatesDataTable[SeriesNumValue]),2,0)/100</f>
        <v>#N/A</v>
      </c>
    </row>
    <row r="7" spans="2:6">
      <c r="B7" s="164" t="s">
        <v>19</v>
      </c>
      <c r="C7" s="165">
        <f t="array" ref="C7">VLOOKUP($B$4&amp;B7&amp;$C$4,IF({1,0},OneDayMtgRatesDataTable[TickerName]&amp;OneDayMtgRatesDataTable[Source]&amp;OneDayMtgRatesDataTable[SeriesType],OneDayMtgRatesDataTable[SeriesNumValue]),2,0)/100</f>
        <v>4.2722152605049794E-2</v>
      </c>
      <c r="D7" s="165">
        <f t="array" ref="D7">VLOOKUP($B$4&amp;$B7&amp;$D$4,IF({1,0},OneDayMtgRatesDataTable[TickerName]&amp;OneDayMtgRatesDataTable[Source]&amp;OneDayMtgRatesDataTable[SeriesType],OneDayMtgRatesDataTable[SeriesNumValue]),2,0)/100</f>
        <v>1.4480315377515394E-2</v>
      </c>
      <c r="E7" s="165" t="e">
        <f>VLOOKUP($B$4&amp;$B7&amp;$E$4,IF({1,0},OneWeekMtgRatesDataTable[TickerName]&amp;OneWeekMtgRatesDataTable[Source]&amp;OneWeekMtgRatesDataTable[SeriesType],OneWeekMtgRatesDataTable[SeriesNumValue]),2,0)/100</f>
        <v>#N/A</v>
      </c>
      <c r="F7" s="165" t="e">
        <f t="array" ref="F7">VLOOKUP($B$4&amp;$B7&amp;$F$4,IF({1,0},OneWeekMtgRatesDataTable[TickerName]&amp;OneWeekMtgRatesDataTable[Source]&amp;OneWeekMtgRatesDataTable[SeriesType],OneWeekMtgRatesDataTable[SeriesNumValue]),2,0)/100</f>
        <v>#N/A</v>
      </c>
    </row>
    <row r="8" spans="2:6">
      <c r="B8" s="164" t="s">
        <v>20</v>
      </c>
      <c r="C8" s="165">
        <f t="array" ref="C8">VLOOKUP($B$4&amp;B8&amp;$C$4,IF({1,0},OneDayMtgRatesDataTable[TickerName]&amp;OneDayMtgRatesDataTable[Source]&amp;OneDayMtgRatesDataTable[SeriesType],OneDayMtgRatesDataTable[SeriesNumValue]),2,0)/100</f>
        <v>4.1618039804499192E-2</v>
      </c>
      <c r="D8" s="165">
        <f t="array" ref="D8">VLOOKUP($B$4&amp;$B8&amp;$D$4,IF({1,0},OneDayMtgRatesDataTable[TickerName]&amp;OneDayMtgRatesDataTable[Source]&amp;OneDayMtgRatesDataTable[SeriesType],OneDayMtgRatesDataTable[SeriesNumValue]),2,0)/100</f>
        <v>1.3376202576964792E-2</v>
      </c>
      <c r="E8" s="165" t="e">
        <f>VLOOKUP($B$4&amp;$B8&amp;$E$4,IF({1,0},OneWeekMtgRatesDataTable[TickerName]&amp;OneWeekMtgRatesDataTable[Source]&amp;OneWeekMtgRatesDataTable[SeriesType],OneWeekMtgRatesDataTable[SeriesNumValue]),2,0)/100</f>
        <v>#N/A</v>
      </c>
      <c r="F8" s="165" t="e">
        <f t="array" ref="F8">VLOOKUP($B$4&amp;$B8&amp;$F$4,IF({1,0},OneWeekMtgRatesDataTable[TickerName]&amp;OneWeekMtgRatesDataTable[Source]&amp;OneWeekMtgRatesDataTable[SeriesType],OneWeekMtgRatesDataTable[SeriesNumValue]),2,0)/100</f>
        <v>#N/A</v>
      </c>
    </row>
    <row r="9" spans="2:6">
      <c r="B9" s="163" t="s">
        <v>56</v>
      </c>
      <c r="C9" s="166"/>
      <c r="D9" s="166"/>
      <c r="E9" s="166"/>
      <c r="F9" s="166"/>
    </row>
    <row r="10" spans="2:6">
      <c r="B10" s="164" t="s">
        <v>20</v>
      </c>
      <c r="C10" s="165">
        <f t="array" ref="C10">VLOOKUP($B$9&amp;B10&amp;$C$4,IF({1,0},OneDayMtgRatesDataTable[TickerName]&amp;OneDayMtgRatesDataTable[Source]&amp;OneDayMtgRatesDataTable[SeriesType],OneDayMtgRatesDataTable[SeriesNumValue]),2,0)/100</f>
        <v>4.1238889421615549E-2</v>
      </c>
      <c r="D10" s="165">
        <f t="array" ref="D10">VLOOKUP($B$9&amp;$B10&amp;$D$4,IF({1,0},OneDayMtgRatesDataTable[TickerName]&amp;OneDayMtgRatesDataTable[Source]&amp;OneDayMtgRatesDataTable[SeriesType],OneDayMtgRatesDataTable[SeriesNumValue]),2,0)/100</f>
        <v>1.2997052194081149E-2</v>
      </c>
      <c r="E10" s="165" t="e">
        <f t="array" ref="E10">VLOOKUP($B$9&amp;$B10&amp;$E$4,IF({1,0},OneWeekMtgRatesDataTable[TickerName]&amp;OneWeekMtgRatesDataTable[Source]&amp;OneWeekMtgRatesDataTable[SeriesType],OneWeekMtgRatesDataTable[SeriesNumValue]),2,0)/100</f>
        <v>#N/A</v>
      </c>
      <c r="F10" s="165" t="e">
        <f t="array" ref="F10">VLOOKUP($B$9&amp;$B10&amp;$F$4,IF({1,0},OneWeekMtgRatesDataTable[TickerName]&amp;OneWeekMtgRatesDataTable[Source]&amp;OneWeekMtgRatesDataTable[SeriesType],OneWeekMtgRatesDataTable[SeriesNumValue]),2,0)/100</f>
        <v>#N/A</v>
      </c>
    </row>
    <row r="11" spans="2:6">
      <c r="B11" s="163" t="s">
        <v>57</v>
      </c>
      <c r="C11" s="166"/>
      <c r="D11" s="166"/>
      <c r="E11" s="166"/>
      <c r="F11" s="166"/>
    </row>
    <row r="12" spans="2:6">
      <c r="B12" s="164" t="s">
        <v>20</v>
      </c>
      <c r="C12" s="165">
        <f t="array" ref="C12">VLOOKUP($B$11&amp;B12&amp;$C$4,IF({1,0},OneDayMtgRatesDataTable[TickerName]&amp;OneDayMtgRatesDataTable[Source]&amp;OneDayMtgRatesDataTable[SeriesType],OneDayMtgRatesDataTable[SeriesNumValue]),2,0)/100</f>
        <v>3.9170666666666666E-2</v>
      </c>
      <c r="D12" s="165">
        <f t="array" ref="D12">VLOOKUP($B$11&amp;$B12&amp;$D$4,IF({1,0},OneDayMtgRatesDataTable[TickerName]&amp;OneDayMtgRatesDataTable[Source]&amp;OneDayMtgRatesDataTable[SeriesType],OneDayMtgRatesDataTable[SeriesNumValue]),2,0)/100</f>
        <v>1.0928829439132266E-2</v>
      </c>
      <c r="E12" s="165" t="e">
        <f>VLOOKUP($B$11&amp;$B12&amp;$E$4,IF({1,0},OneWeekMtgRatesDataTable[TickerName]&amp;OneWeekMtgRatesDataTable[Source]&amp;OneWeekMtgRatesDataTable[SeriesType],OneWeekMtgRatesDataTable[SeriesNumValue]),2,0)/100</f>
        <v>#N/A</v>
      </c>
      <c r="F12" s="165" t="e">
        <f t="array" ref="F12">VLOOKUP($B$11&amp;$B12&amp;$F$4,IF({1,0},OneWeekMtgRatesDataTable[TickerName]&amp;OneWeekMtgRatesDataTable[Source]&amp;OneWeekMtgRatesDataTable[SeriesType],OneWeekMtgRatesDataTable[SeriesNumValue]),2,0)/100</f>
        <v>#N/A</v>
      </c>
    </row>
    <row r="13" spans="2:6">
      <c r="B13" s="163" t="s">
        <v>55</v>
      </c>
      <c r="C13" s="166"/>
      <c r="D13" s="166"/>
      <c r="E13" s="166"/>
      <c r="F13" s="166"/>
    </row>
    <row r="14" spans="2:6">
      <c r="B14" s="164" t="s">
        <v>20</v>
      </c>
      <c r="C14" s="165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65">
        <f t="array" ref="D14">VLOOKUP($B$13&amp;$B14&amp;$D$4,IF({1,0},OneDayMtgRatesDataTable[TickerName]&amp;OneDayMtgRatesDataTable[Source]&amp;OneDayMtgRatesDataTable[SeriesType],OneDayMtgRatesDataTable[SeriesNumValue]),2,0)/100</f>
        <v>1.2748971326932403E-2</v>
      </c>
      <c r="E14" s="165" t="e">
        <f t="array" ref="E14">VLOOKUP($B$13&amp;$B14&amp;$E$4,IF({1,0},OneWeekMtgRatesDataTable[TickerName]&amp;OneWeekMtgRatesDataTable[Source]&amp;OneWeekMtgRatesDataTable[SeriesType],OneWeekMtgRatesDataTable[SeriesNumValue]),2,0)/100</f>
        <v>#N/A</v>
      </c>
      <c r="F14" s="165" t="e">
        <f t="array" ref="F14">VLOOKUP($B$13&amp;$B14&amp;$F$4,IF({1,0},OneWeekMtgRatesDataTable[TickerName]&amp;OneWeekMtgRatesDataTable[Source]&amp;OneWeekMtgRatesDataTable[SeriesType],OneWeekMtgRatesDataTable[SeriesNumValue]),2,0)/100</f>
        <v>#N/A</v>
      </c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62" t="s">
        <v>3</v>
      </c>
      <c r="C2" s="162"/>
      <c r="D2" s="4"/>
      <c r="E2" s="162" t="s">
        <v>5</v>
      </c>
      <c r="F2" s="162"/>
      <c r="H2" s="162" t="s">
        <v>12</v>
      </c>
      <c r="I2" s="162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2.6005600501861403E-2</v>
      </c>
      <c r="H4" s="8" t="s">
        <v>11</v>
      </c>
      <c r="I4" s="9">
        <f>C4-(1%-F7)/4</f>
        <v>4.2751400125465348E-2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America30YrConformingConventionalAPR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4.0930000000000001E-2</v>
      </c>
      <c r="D5" s="5"/>
      <c r="E5" s="6" t="s">
        <v>14</v>
      </c>
      <c r="F5" s="17">
        <f>C8</f>
        <v>1.299E-2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1.3015600501861404E-2</v>
      </c>
      <c r="H6" s="2" t="s">
        <v>23</v>
      </c>
      <c r="I6" s="13">
        <f>C4-(0.01-(1-((C4/12*(1+C4/12)^360)/((1+C4/12)^360-1)*((1+C5/12)^360-1)/(C5/12*(1+C5/12)^360))))/4</f>
        <v>4.2751400125465348E-2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2.6005600501861403E-2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1.299E-2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62" t="s">
        <v>3</v>
      </c>
      <c r="C2" s="162"/>
      <c r="D2" s="4"/>
      <c r="E2" s="162" t="s">
        <v>5</v>
      </c>
      <c r="F2" s="162"/>
      <c r="H2" s="162" t="s">
        <v>12</v>
      </c>
      <c r="I2" s="16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6.2048746624759898E-3</v>
      </c>
      <c r="H4" s="8" t="s">
        <v>11</v>
      </c>
      <c r="I4" s="9">
        <f>C4-(1%-F7)/4</f>
        <v>4.0301218665618997E-2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4.1769999999999995E-2</v>
      </c>
      <c r="D5" s="5"/>
      <c r="E5" s="6" t="s">
        <v>14</v>
      </c>
      <c r="F5" s="17">
        <f>C8</f>
        <v>6.2500000000000003E-3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-4.5125337524010503E-5</v>
      </c>
      <c r="H6" s="2" t="s">
        <v>23</v>
      </c>
      <c r="I6" s="13">
        <f>C4-(0.01-(1-((C4/12*(1+C4/12)^360)/((1+C4/12)^360-1)*((1+C5/12)^360-1)/(C5/12*(1+C5/12)^360))))/4</f>
        <v>4.0301218665618997E-2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6.2048746624759898E-3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6.2500000000000003E-3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62" t="s">
        <v>3</v>
      </c>
      <c r="C2" s="162"/>
      <c r="D2" s="4"/>
      <c r="E2" s="162" t="s">
        <v>5</v>
      </c>
      <c r="F2" s="162"/>
      <c r="H2" s="162" t="s">
        <v>12</v>
      </c>
      <c r="I2" s="16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2.5888610420199187E-2</v>
      </c>
      <c r="H4" s="8" t="s">
        <v>11</v>
      </c>
      <c r="I4" s="9">
        <f>C4-(1%-F7)/4</f>
        <v>4.2722152605049794E-2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4.0919999999999998E-2</v>
      </c>
      <c r="D5" s="5"/>
      <c r="E5" s="6" t="s">
        <v>14</v>
      </c>
      <c r="F5" s="17">
        <f>C8</f>
        <v>1.7500000000000002E-2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8.3886104201991857E-3</v>
      </c>
      <c r="H6" s="2" t="s">
        <v>23</v>
      </c>
      <c r="I6" s="13">
        <f>C4-(0.01-(1-((C4/12*(1+C4/12)^360)/((1+C4/12)^360-1)*((1+C5/12)^360-1)/(C5/12*(1+C5/12)^360))))/4</f>
        <v>4.2722152605049794E-2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2.5888610420199187E-2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1.7500000000000002E-2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62" t="s">
        <v>3</v>
      </c>
      <c r="C2" s="162"/>
      <c r="D2" s="4"/>
      <c r="E2" s="162" t="s">
        <v>5</v>
      </c>
      <c r="F2" s="162"/>
      <c r="G2" s="2"/>
      <c r="H2" s="162" t="s">
        <v>12</v>
      </c>
      <c r="I2" s="162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199473.56815640064</v>
      </c>
      <c r="G4" s="2"/>
      <c r="H4" s="8" t="s">
        <v>11</v>
      </c>
      <c r="I4" s="9">
        <f>CIR-(1%-F9)/4</f>
        <v>4.1618039804499192E-2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4.147E-2</v>
      </c>
      <c r="D5" s="5"/>
      <c r="E5" s="10" t="s">
        <v>8</v>
      </c>
      <c r="F5" s="11">
        <f>1-F4/CP</f>
        <v>2.6321592179968656E-3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2.6321592179967546E-3</v>
      </c>
      <c r="G6" s="2"/>
      <c r="H6" s="2" t="s">
        <v>23</v>
      </c>
      <c r="I6" s="13">
        <f>CIR-(0.01-(1-((CIR/12*(1+CIR/12)^360)/((1+CIR/12)^360-1)*((1+CAPR/12)^360-1)/(CAPR/12*(1+CAPR/12)^360)) + C7/CP))/4</f>
        <v>4.1618039804499192E-2</v>
      </c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1768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8.8400000000000006E-3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1.1472159217996755E-2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62" t="s">
        <v>3</v>
      </c>
      <c r="C2" s="162"/>
      <c r="D2" s="20"/>
      <c r="E2" s="162" t="s">
        <v>5</v>
      </c>
      <c r="F2" s="162"/>
      <c r="H2" s="162" t="s">
        <v>12</v>
      </c>
      <c r="I2" s="16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2.7515576864621805E-3</v>
      </c>
      <c r="H4" s="8" t="s">
        <v>11</v>
      </c>
      <c r="I4" s="9">
        <f>C4-(1%-F7)/4</f>
        <v>4.1238889421615549E-2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4.1479999999999996E-2</v>
      </c>
      <c r="D5" s="5"/>
      <c r="E5" s="6" t="s">
        <v>14</v>
      </c>
      <c r="F5" s="17">
        <f>F4</f>
        <v>2.7515576864621805E-3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7.2040000000000003E-3</v>
      </c>
      <c r="H6" s="2" t="s">
        <v>23</v>
      </c>
      <c r="I6" s="13">
        <f>C4-(0.01-(1-((C4/12*(1+C4/12)^360)/((1+C4/12)^360-1)*((1+C5/12)^360-1)/(C5/12*(1+C5/12)^360)) + C7/C6))/4</f>
        <v>4.1238889421615549E-2</v>
      </c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3602</v>
      </c>
      <c r="D7" s="12"/>
      <c r="E7" s="2" t="s">
        <v>10</v>
      </c>
      <c r="F7" s="16">
        <f>F5+F6</f>
        <v>9.9555576864621808E-3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62" t="s">
        <v>3</v>
      </c>
      <c r="C2" s="162"/>
      <c r="D2" s="20"/>
      <c r="E2" s="162" t="s">
        <v>5</v>
      </c>
      <c r="F2" s="162"/>
      <c r="H2" s="162" t="s">
        <v>12</v>
      </c>
      <c r="I2" s="16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0</v>
      </c>
      <c r="H4" s="8" t="s">
        <v>11</v>
      </c>
      <c r="I4" s="9">
        <f>C4-(1%-F7)/4</f>
        <v>3.9170666666666666E-2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4.1250000000000002E-2</v>
      </c>
      <c r="D5" s="5"/>
      <c r="E5" s="6" t="s">
        <v>14</v>
      </c>
      <c r="F5" s="17">
        <f>F4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1.6826666666666667E-3</v>
      </c>
      <c r="H6" s="2" t="s">
        <v>23</v>
      </c>
      <c r="I6" s="13">
        <f>C4-(0.01-(1-((C4/12*(1+C4/12)^360)/((1+C4/12)^360-1)*((1+C5/12)^360-1)/(C5/12*(1+C5/12)^360)) + C7/C6))/4</f>
        <v>3.9170666666666666E-2</v>
      </c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1262</v>
      </c>
      <c r="D7" s="12"/>
      <c r="E7" s="2" t="s">
        <v>10</v>
      </c>
      <c r="F7" s="16">
        <f>F5+F6</f>
        <v>1.6826666666666667E-3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62" t="s">
        <v>3</v>
      </c>
      <c r="C2" s="162"/>
      <c r="D2" s="21"/>
      <c r="E2" s="162" t="s">
        <v>5</v>
      </c>
      <c r="F2" s="162"/>
      <c r="H2" s="162" t="s">
        <v>12</v>
      </c>
      <c r="I2" s="16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C5/C6</f>
        <v>2.4470000000000001E-7</v>
      </c>
      <c r="H4" s="8" t="s">
        <v>11</v>
      </c>
      <c r="I4" s="9">
        <f>C4-(1%-F7)/4</f>
        <v>4.4092438824999997E-2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4.8940000000000004E-2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3.1369755300000003E-2</v>
      </c>
      <c r="I6" s="13"/>
    </row>
    <row r="7" spans="2:9">
      <c r="B7" s="91" t="s">
        <v>78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6274</v>
      </c>
      <c r="D7" s="12"/>
      <c r="E7" s="2" t="s">
        <v>10</v>
      </c>
      <c r="F7" s="16">
        <f>F5+F6</f>
        <v>3.1369755300000003E-2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3.1370000000000002E-2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OneDayBusDate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2015-03-06T13:53:06Z</cp:lastPrinted>
  <dcterms:created xsi:type="dcterms:W3CDTF">2015-02-26T13:52:04Z</dcterms:created>
  <dcterms:modified xsi:type="dcterms:W3CDTF">2015-03-06T15:22:25Z</dcterms:modified>
</cp:coreProperties>
</file>