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Result-Combine" sheetId="11" r:id="rId1"/>
    <sheet name="Result-lag" sheetId="7" r:id="rId2"/>
    <sheet name="Result -equal" sheetId="10" r:id="rId3"/>
    <sheet name="Pivot - lag" sheetId="4" r:id="rId4"/>
    <sheet name="Input-lag" sheetId="1" r:id="rId5"/>
    <sheet name="Pivot-equal" sheetId="8" r:id="rId6"/>
    <sheet name="Input-equal" sheetId="9" r:id="rId7"/>
  </sheets>
  <definedNames>
    <definedName name="temp" localSheetId="6">'Input-equal'!$H$3:$I$102</definedName>
    <definedName name="temp" localSheetId="4">'Input-lag'!$H$3:$I$102</definedName>
    <definedName name="temp_1" localSheetId="3">'Pivot - lag'!#REF!</definedName>
    <definedName name="temp_1" localSheetId="5">'Pivot-equal'!#REF!</definedName>
    <definedName name="temp_11" localSheetId="6">'Input-equal'!$K$3:$L$102</definedName>
    <definedName name="temp_12" localSheetId="6">'Input-equal'!$N$3:$O$101</definedName>
    <definedName name="temp_6" localSheetId="4">'Input-lag'!$K$3:$L$102</definedName>
    <definedName name="temp_8" localSheetId="4">'Input-lag'!$N$3:$O$102</definedName>
    <definedName name="temp_9" localSheetId="6">'Input-equal'!$B$3:$E$1179</definedName>
    <definedName name="temp_9" localSheetId="4">'Input-lag'!$B$3:$E$1403</definedName>
  </definedNames>
  <calcPr calcId="145621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F31" i="11" l="1"/>
  <c r="G31" i="11"/>
  <c r="H31" i="11"/>
  <c r="I31" i="11"/>
  <c r="F32" i="11"/>
  <c r="G32" i="11"/>
  <c r="H32" i="11"/>
  <c r="I32" i="11"/>
  <c r="F33" i="11"/>
  <c r="G33" i="11"/>
  <c r="H33" i="11"/>
  <c r="I33" i="11"/>
  <c r="F34" i="11"/>
  <c r="G34" i="11"/>
  <c r="H34" i="11"/>
  <c r="I34" i="11"/>
  <c r="F35" i="11"/>
  <c r="G35" i="11"/>
  <c r="H35" i="11"/>
  <c r="I35" i="11"/>
  <c r="E32" i="11"/>
  <c r="E33" i="11"/>
  <c r="E34" i="11"/>
  <c r="E35" i="11"/>
  <c r="E31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I30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H30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G30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F30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E30" i="1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4" i="10"/>
  <c r="C5" i="10" l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4" i="10"/>
  <c r="K7" i="7"/>
  <c r="K11" i="7"/>
  <c r="K23" i="7"/>
  <c r="K27" i="7"/>
  <c r="K35" i="7"/>
  <c r="K39" i="7"/>
  <c r="K43" i="7"/>
  <c r="K55" i="7"/>
  <c r="K59" i="7"/>
  <c r="K71" i="7"/>
  <c r="K75" i="7"/>
  <c r="K87" i="7"/>
  <c r="K91" i="7"/>
  <c r="K4" i="7"/>
  <c r="C5" i="7"/>
  <c r="K5" i="7" s="1"/>
  <c r="C6" i="7"/>
  <c r="C7" i="7"/>
  <c r="C7" i="11" s="1"/>
  <c r="L7" i="11" s="1"/>
  <c r="C8" i="7"/>
  <c r="C8" i="11" s="1"/>
  <c r="L8" i="11" s="1"/>
  <c r="C9" i="7"/>
  <c r="C9" i="11" s="1"/>
  <c r="L9" i="11" s="1"/>
  <c r="C10" i="7"/>
  <c r="D10" i="7" s="1"/>
  <c r="C11" i="7"/>
  <c r="C12" i="7"/>
  <c r="C12" i="11" s="1"/>
  <c r="L12" i="11" s="1"/>
  <c r="C13" i="7"/>
  <c r="K13" i="7" s="1"/>
  <c r="C14" i="7"/>
  <c r="C15" i="7"/>
  <c r="C15" i="11" s="1"/>
  <c r="L15" i="11" s="1"/>
  <c r="C16" i="7"/>
  <c r="C16" i="11" s="1"/>
  <c r="L16" i="11" s="1"/>
  <c r="C17" i="7"/>
  <c r="C17" i="11" s="1"/>
  <c r="L17" i="11" s="1"/>
  <c r="C18" i="7"/>
  <c r="C18" i="11" s="1"/>
  <c r="L18" i="11" s="1"/>
  <c r="C19" i="7"/>
  <c r="K19" i="7" s="1"/>
  <c r="C20" i="7"/>
  <c r="C20" i="11" s="1"/>
  <c r="L20" i="11" s="1"/>
  <c r="C21" i="7"/>
  <c r="C21" i="11" s="1"/>
  <c r="L21" i="11" s="1"/>
  <c r="C22" i="7"/>
  <c r="C23" i="7"/>
  <c r="C23" i="11" s="1"/>
  <c r="L23" i="11" s="1"/>
  <c r="C24" i="7"/>
  <c r="C24" i="11" s="1"/>
  <c r="L24" i="11" s="1"/>
  <c r="C25" i="7"/>
  <c r="C25" i="11" s="1"/>
  <c r="L25" i="11" s="1"/>
  <c r="C26" i="7"/>
  <c r="C27" i="7"/>
  <c r="C27" i="11" s="1"/>
  <c r="L27" i="11" s="1"/>
  <c r="C28" i="7"/>
  <c r="C28" i="11" s="1"/>
  <c r="L28" i="11" s="1"/>
  <c r="C29" i="7"/>
  <c r="G29" i="7" s="1"/>
  <c r="C30" i="7"/>
  <c r="C31" i="7"/>
  <c r="C31" i="11" s="1"/>
  <c r="L31" i="11" s="1"/>
  <c r="C32" i="7"/>
  <c r="C32" i="11" s="1"/>
  <c r="L32" i="11" s="1"/>
  <c r="C33" i="7"/>
  <c r="C33" i="11" s="1"/>
  <c r="L33" i="11" s="1"/>
  <c r="C34" i="7"/>
  <c r="C35" i="7"/>
  <c r="C36" i="7"/>
  <c r="C36" i="11" s="1"/>
  <c r="L36" i="11" s="1"/>
  <c r="C37" i="7"/>
  <c r="K37" i="7" s="1"/>
  <c r="C38" i="7"/>
  <c r="C39" i="7"/>
  <c r="C39" i="11" s="1"/>
  <c r="L39" i="11" s="1"/>
  <c r="C40" i="7"/>
  <c r="C40" i="11" s="1"/>
  <c r="L40" i="11" s="1"/>
  <c r="C41" i="7"/>
  <c r="C41" i="11" s="1"/>
  <c r="L41" i="11" s="1"/>
  <c r="C42" i="7"/>
  <c r="C42" i="11" s="1"/>
  <c r="L42" i="11" s="1"/>
  <c r="C43" i="7"/>
  <c r="C44" i="7"/>
  <c r="C44" i="11" s="1"/>
  <c r="L44" i="11" s="1"/>
  <c r="C45" i="7"/>
  <c r="E45" i="7" s="1"/>
  <c r="C46" i="7"/>
  <c r="C47" i="7"/>
  <c r="C47" i="11" s="1"/>
  <c r="L47" i="11" s="1"/>
  <c r="C48" i="7"/>
  <c r="C48" i="11" s="1"/>
  <c r="L48" i="11" s="1"/>
  <c r="C49" i="7"/>
  <c r="C49" i="11" s="1"/>
  <c r="L49" i="11" s="1"/>
  <c r="C50" i="7"/>
  <c r="C51" i="7"/>
  <c r="K51" i="7" s="1"/>
  <c r="C52" i="7"/>
  <c r="C52" i="11" s="1"/>
  <c r="L52" i="11" s="1"/>
  <c r="C53" i="7"/>
  <c r="C53" i="11" s="1"/>
  <c r="L53" i="11" s="1"/>
  <c r="C54" i="7"/>
  <c r="C55" i="7"/>
  <c r="C55" i="11" s="1"/>
  <c r="L55" i="11" s="1"/>
  <c r="C56" i="7"/>
  <c r="C56" i="11" s="1"/>
  <c r="L56" i="11" s="1"/>
  <c r="C57" i="7"/>
  <c r="C57" i="11" s="1"/>
  <c r="L57" i="11" s="1"/>
  <c r="C58" i="7"/>
  <c r="F58" i="7" s="1"/>
  <c r="C59" i="7"/>
  <c r="C59" i="11" s="1"/>
  <c r="L59" i="11" s="1"/>
  <c r="C60" i="7"/>
  <c r="C60" i="11" s="1"/>
  <c r="L60" i="11" s="1"/>
  <c r="C61" i="7"/>
  <c r="G61" i="7" s="1"/>
  <c r="C62" i="7"/>
  <c r="C63" i="7"/>
  <c r="C63" i="11" s="1"/>
  <c r="L63" i="11" s="1"/>
  <c r="C64" i="7"/>
  <c r="C64" i="11" s="1"/>
  <c r="L64" i="11" s="1"/>
  <c r="C65" i="7"/>
  <c r="C65" i="11" s="1"/>
  <c r="L65" i="11" s="1"/>
  <c r="C66" i="7"/>
  <c r="C67" i="7"/>
  <c r="K67" i="7" s="1"/>
  <c r="C68" i="7"/>
  <c r="C68" i="11" s="1"/>
  <c r="L68" i="11" s="1"/>
  <c r="C69" i="7"/>
  <c r="K69" i="7" s="1"/>
  <c r="C70" i="7"/>
  <c r="C71" i="7"/>
  <c r="C71" i="11" s="1"/>
  <c r="L71" i="11" s="1"/>
  <c r="C72" i="7"/>
  <c r="C72" i="11" s="1"/>
  <c r="L72" i="11" s="1"/>
  <c r="C73" i="7"/>
  <c r="C73" i="11" s="1"/>
  <c r="L73" i="11" s="1"/>
  <c r="C74" i="7"/>
  <c r="C75" i="7"/>
  <c r="C76" i="7"/>
  <c r="C76" i="11" s="1"/>
  <c r="L76" i="11" s="1"/>
  <c r="C77" i="7"/>
  <c r="K77" i="7" s="1"/>
  <c r="C78" i="7"/>
  <c r="C79" i="7"/>
  <c r="C79" i="11" s="1"/>
  <c r="L79" i="11" s="1"/>
  <c r="C80" i="7"/>
  <c r="C80" i="11" s="1"/>
  <c r="L80" i="11" s="1"/>
  <c r="C81" i="7"/>
  <c r="C81" i="11" s="1"/>
  <c r="L81" i="11" s="1"/>
  <c r="C82" i="7"/>
  <c r="C82" i="11" s="1"/>
  <c r="L82" i="11" s="1"/>
  <c r="C83" i="7"/>
  <c r="K83" i="7" s="1"/>
  <c r="C84" i="7"/>
  <c r="C84" i="11" s="1"/>
  <c r="L84" i="11" s="1"/>
  <c r="C85" i="7"/>
  <c r="G85" i="7" s="1"/>
  <c r="C86" i="7"/>
  <c r="C87" i="7"/>
  <c r="C87" i="11" s="1"/>
  <c r="L87" i="11" s="1"/>
  <c r="C88" i="7"/>
  <c r="C88" i="11" s="1"/>
  <c r="L88" i="11" s="1"/>
  <c r="C89" i="7"/>
  <c r="C89" i="11" s="1"/>
  <c r="L89" i="11" s="1"/>
  <c r="C90" i="7"/>
  <c r="C91" i="7"/>
  <c r="C91" i="11" s="1"/>
  <c r="L91" i="11" s="1"/>
  <c r="C92" i="7"/>
  <c r="C92" i="11" s="1"/>
  <c r="L92" i="11" s="1"/>
  <c r="C93" i="7"/>
  <c r="G93" i="7" s="1"/>
  <c r="C94" i="7"/>
  <c r="C95" i="7"/>
  <c r="C95" i="11" s="1"/>
  <c r="L95" i="11" s="1"/>
  <c r="C96" i="7"/>
  <c r="C96" i="11" s="1"/>
  <c r="L96" i="11" s="1"/>
  <c r="C97" i="7"/>
  <c r="C97" i="11" s="1"/>
  <c r="L97" i="11" s="1"/>
  <c r="C98" i="7"/>
  <c r="C99" i="7"/>
  <c r="K99" i="7" s="1"/>
  <c r="C100" i="7"/>
  <c r="C100" i="11" s="1"/>
  <c r="L100" i="11" s="1"/>
  <c r="C101" i="7"/>
  <c r="H101" i="7" s="1"/>
  <c r="C102" i="7"/>
  <c r="C4" i="7"/>
  <c r="H4" i="7" s="1"/>
  <c r="G60" i="7"/>
  <c r="F16" i="7"/>
  <c r="F32" i="7"/>
  <c r="F46" i="7"/>
  <c r="F80" i="7"/>
  <c r="F81" i="7"/>
  <c r="F88" i="7"/>
  <c r="E15" i="7"/>
  <c r="E21" i="7"/>
  <c r="E31" i="7"/>
  <c r="E47" i="7"/>
  <c r="E54" i="7"/>
  <c r="E63" i="7"/>
  <c r="E69" i="7"/>
  <c r="E95" i="7"/>
  <c r="E97" i="7"/>
  <c r="F91" i="7"/>
  <c r="G81" i="7"/>
  <c r="F59" i="7"/>
  <c r="E57" i="7"/>
  <c r="F52" i="7"/>
  <c r="F27" i="7"/>
  <c r="F20" i="7"/>
  <c r="F12" i="7"/>
  <c r="F5" i="7"/>
  <c r="F53" i="7" l="1"/>
  <c r="H85" i="7"/>
  <c r="E53" i="7"/>
  <c r="G100" i="7"/>
  <c r="H37" i="7"/>
  <c r="F69" i="7"/>
  <c r="G76" i="7"/>
  <c r="K93" i="7"/>
  <c r="K61" i="7"/>
  <c r="K45" i="7"/>
  <c r="K29" i="7"/>
  <c r="E41" i="7"/>
  <c r="F76" i="7"/>
  <c r="E79" i="7"/>
  <c r="E29" i="7"/>
  <c r="F64" i="7"/>
  <c r="M64" i="7" s="1"/>
  <c r="K92" i="7"/>
  <c r="K76" i="7"/>
  <c r="K60" i="7"/>
  <c r="K44" i="7"/>
  <c r="K28" i="7"/>
  <c r="K12" i="7"/>
  <c r="D18" i="7"/>
  <c r="E5" i="7"/>
  <c r="K101" i="7"/>
  <c r="K85" i="7"/>
  <c r="K53" i="7"/>
  <c r="K21" i="7"/>
  <c r="K100" i="7"/>
  <c r="K84" i="7"/>
  <c r="K68" i="7"/>
  <c r="K52" i="7"/>
  <c r="K36" i="7"/>
  <c r="K20" i="7"/>
  <c r="F21" i="7"/>
  <c r="F60" i="7"/>
  <c r="F100" i="7"/>
  <c r="F82" i="7"/>
  <c r="G20" i="7"/>
  <c r="G53" i="7"/>
  <c r="G21" i="7"/>
  <c r="F68" i="7"/>
  <c r="G12" i="7"/>
  <c r="K95" i="7"/>
  <c r="K79" i="7"/>
  <c r="K63" i="7"/>
  <c r="K47" i="7"/>
  <c r="K31" i="7"/>
  <c r="K15" i="7"/>
  <c r="F66" i="7"/>
  <c r="C66" i="11"/>
  <c r="L66" i="11" s="1"/>
  <c r="F50" i="7"/>
  <c r="C50" i="11"/>
  <c r="L50" i="11" s="1"/>
  <c r="F26" i="7"/>
  <c r="M26" i="7" s="1"/>
  <c r="C26" i="11"/>
  <c r="L26" i="11" s="1"/>
  <c r="D82" i="7"/>
  <c r="F9" i="7"/>
  <c r="E49" i="7"/>
  <c r="D57" i="7"/>
  <c r="F97" i="7"/>
  <c r="G44" i="7"/>
  <c r="F102" i="7"/>
  <c r="C102" i="11"/>
  <c r="L102" i="11" s="1"/>
  <c r="E94" i="7"/>
  <c r="C94" i="11"/>
  <c r="L94" i="11" s="1"/>
  <c r="E86" i="7"/>
  <c r="C86" i="11"/>
  <c r="L86" i="11" s="1"/>
  <c r="G78" i="7"/>
  <c r="C78" i="11"/>
  <c r="L78" i="11" s="1"/>
  <c r="E70" i="7"/>
  <c r="C70" i="11"/>
  <c r="L70" i="11" s="1"/>
  <c r="E62" i="7"/>
  <c r="C62" i="11"/>
  <c r="L62" i="11" s="1"/>
  <c r="H54" i="7"/>
  <c r="C54" i="11"/>
  <c r="L54" i="11" s="1"/>
  <c r="H46" i="7"/>
  <c r="C46" i="11"/>
  <c r="L46" i="11" s="1"/>
  <c r="E38" i="7"/>
  <c r="C38" i="11"/>
  <c r="L38" i="11" s="1"/>
  <c r="F30" i="7"/>
  <c r="C30" i="11"/>
  <c r="L30" i="11" s="1"/>
  <c r="G22" i="7"/>
  <c r="C22" i="11"/>
  <c r="L22" i="11" s="1"/>
  <c r="H14" i="7"/>
  <c r="C14" i="11"/>
  <c r="L14" i="11" s="1"/>
  <c r="E6" i="7"/>
  <c r="C6" i="11"/>
  <c r="L6" i="11" s="1"/>
  <c r="K97" i="7"/>
  <c r="K89" i="7"/>
  <c r="K81" i="7"/>
  <c r="K73" i="7"/>
  <c r="K65" i="7"/>
  <c r="K57" i="7"/>
  <c r="K49" i="7"/>
  <c r="K41" i="7"/>
  <c r="K33" i="7"/>
  <c r="K25" i="7"/>
  <c r="K17" i="7"/>
  <c r="K9" i="7"/>
  <c r="F28" i="7"/>
  <c r="D50" i="7"/>
  <c r="M50" i="7" s="1"/>
  <c r="F89" i="7"/>
  <c r="D41" i="7"/>
  <c r="F96" i="7"/>
  <c r="F22" i="7"/>
  <c r="G84" i="7"/>
  <c r="G36" i="7"/>
  <c r="G101" i="7"/>
  <c r="C101" i="11"/>
  <c r="L101" i="11" s="1"/>
  <c r="E93" i="7"/>
  <c r="C93" i="11"/>
  <c r="L93" i="11" s="1"/>
  <c r="E85" i="7"/>
  <c r="C85" i="11"/>
  <c r="L85" i="11" s="1"/>
  <c r="F77" i="7"/>
  <c r="C77" i="11"/>
  <c r="L77" i="11" s="1"/>
  <c r="G69" i="7"/>
  <c r="C69" i="11"/>
  <c r="L69" i="11" s="1"/>
  <c r="E61" i="7"/>
  <c r="C61" i="11"/>
  <c r="L61" i="11" s="1"/>
  <c r="F45" i="7"/>
  <c r="C45" i="11"/>
  <c r="L45" i="11" s="1"/>
  <c r="G37" i="7"/>
  <c r="C37" i="11"/>
  <c r="L37" i="11" s="1"/>
  <c r="F29" i="7"/>
  <c r="C29" i="11"/>
  <c r="L29" i="11" s="1"/>
  <c r="E13" i="7"/>
  <c r="C13" i="11"/>
  <c r="L13" i="11" s="1"/>
  <c r="G5" i="7"/>
  <c r="C5" i="11"/>
  <c r="L5" i="11" s="1"/>
  <c r="K96" i="7"/>
  <c r="K88" i="7"/>
  <c r="K80" i="7"/>
  <c r="K72" i="7"/>
  <c r="K64" i="7"/>
  <c r="K56" i="7"/>
  <c r="K48" i="7"/>
  <c r="K40" i="7"/>
  <c r="K32" i="7"/>
  <c r="K24" i="7"/>
  <c r="K16" i="7"/>
  <c r="K8" i="7"/>
  <c r="D90" i="7"/>
  <c r="L90" i="7" s="1"/>
  <c r="C90" i="11"/>
  <c r="L90" i="11" s="1"/>
  <c r="F74" i="7"/>
  <c r="C74" i="11"/>
  <c r="L74" i="11" s="1"/>
  <c r="D58" i="7"/>
  <c r="C58" i="11"/>
  <c r="L58" i="11" s="1"/>
  <c r="D34" i="7"/>
  <c r="C34" i="11"/>
  <c r="L34" i="11" s="1"/>
  <c r="F42" i="7"/>
  <c r="M42" i="7" s="1"/>
  <c r="E33" i="7"/>
  <c r="F73" i="7"/>
  <c r="F49" i="7"/>
  <c r="F18" i="7"/>
  <c r="E17" i="7"/>
  <c r="F36" i="7"/>
  <c r="D74" i="7"/>
  <c r="F92" i="7"/>
  <c r="E30" i="7"/>
  <c r="F86" i="7"/>
  <c r="F48" i="7"/>
  <c r="F17" i="7"/>
  <c r="G68" i="7"/>
  <c r="G28" i="7"/>
  <c r="F99" i="7"/>
  <c r="C99" i="11"/>
  <c r="L99" i="11" s="1"/>
  <c r="F83" i="7"/>
  <c r="C83" i="11"/>
  <c r="L83" i="11" s="1"/>
  <c r="E75" i="7"/>
  <c r="C75" i="11"/>
  <c r="L75" i="11" s="1"/>
  <c r="F67" i="7"/>
  <c r="C67" i="11"/>
  <c r="L67" i="11" s="1"/>
  <c r="F51" i="7"/>
  <c r="C51" i="11"/>
  <c r="L51" i="11" s="1"/>
  <c r="F43" i="7"/>
  <c r="C43" i="11"/>
  <c r="L43" i="11" s="1"/>
  <c r="G35" i="7"/>
  <c r="C35" i="11"/>
  <c r="L35" i="11" s="1"/>
  <c r="F19" i="7"/>
  <c r="C19" i="11"/>
  <c r="L19" i="11" s="1"/>
  <c r="E11" i="7"/>
  <c r="C11" i="11"/>
  <c r="L11" i="11" s="1"/>
  <c r="K102" i="7"/>
  <c r="K94" i="7"/>
  <c r="K86" i="7"/>
  <c r="K78" i="7"/>
  <c r="K70" i="7"/>
  <c r="K62" i="7"/>
  <c r="K54" i="7"/>
  <c r="K46" i="7"/>
  <c r="K38" i="7"/>
  <c r="K30" i="7"/>
  <c r="K22" i="7"/>
  <c r="K14" i="7"/>
  <c r="K6" i="7"/>
  <c r="D98" i="7"/>
  <c r="C98" i="11"/>
  <c r="L98" i="11" s="1"/>
  <c r="F10" i="7"/>
  <c r="M10" i="7" s="1"/>
  <c r="C10" i="11"/>
  <c r="L10" i="11" s="1"/>
  <c r="D42" i="7"/>
  <c r="F34" i="7"/>
  <c r="M34" i="7" s="1"/>
  <c r="E25" i="7"/>
  <c r="F44" i="7"/>
  <c r="E65" i="7"/>
  <c r="F84" i="7"/>
  <c r="D65" i="7"/>
  <c r="L65" i="7" s="1"/>
  <c r="F65" i="7"/>
  <c r="F33" i="7"/>
  <c r="G92" i="7"/>
  <c r="G52" i="7"/>
  <c r="E4" i="7"/>
  <c r="C4" i="11"/>
  <c r="L4" i="11" s="1"/>
  <c r="K98" i="7"/>
  <c r="K90" i="7"/>
  <c r="K82" i="7"/>
  <c r="K74" i="7"/>
  <c r="K66" i="7"/>
  <c r="K58" i="7"/>
  <c r="K50" i="7"/>
  <c r="K42" i="7"/>
  <c r="K34" i="7"/>
  <c r="K26" i="7"/>
  <c r="K18" i="7"/>
  <c r="K10" i="7"/>
  <c r="I92" i="10"/>
  <c r="H92" i="10"/>
  <c r="E92" i="10"/>
  <c r="G92" i="10"/>
  <c r="K92" i="10"/>
  <c r="F92" i="10"/>
  <c r="I76" i="10"/>
  <c r="H76" i="10"/>
  <c r="G76" i="10"/>
  <c r="K76" i="10"/>
  <c r="F76" i="10"/>
  <c r="E76" i="10"/>
  <c r="I52" i="10"/>
  <c r="K52" i="10"/>
  <c r="G52" i="10"/>
  <c r="H52" i="10"/>
  <c r="F52" i="10"/>
  <c r="E52" i="10"/>
  <c r="K28" i="10"/>
  <c r="H28" i="10"/>
  <c r="L28" i="10"/>
  <c r="E28" i="10"/>
  <c r="G28" i="10"/>
  <c r="I28" i="10"/>
  <c r="F28" i="10"/>
  <c r="H99" i="10"/>
  <c r="G99" i="10"/>
  <c r="K99" i="10"/>
  <c r="I99" i="10"/>
  <c r="E99" i="10"/>
  <c r="F99" i="10"/>
  <c r="H75" i="10"/>
  <c r="I75" i="10"/>
  <c r="K75" i="10"/>
  <c r="P75" i="10"/>
  <c r="E75" i="10"/>
  <c r="F75" i="10"/>
  <c r="G75" i="10"/>
  <c r="H43" i="10"/>
  <c r="I43" i="10"/>
  <c r="M43" i="10"/>
  <c r="E43" i="10"/>
  <c r="K43" i="10"/>
  <c r="G43" i="10"/>
  <c r="F43" i="10"/>
  <c r="H19" i="10"/>
  <c r="I19" i="10"/>
  <c r="K19" i="10"/>
  <c r="E19" i="10"/>
  <c r="F19" i="10"/>
  <c r="G19" i="10"/>
  <c r="I98" i="10"/>
  <c r="H98" i="10"/>
  <c r="G98" i="10"/>
  <c r="K98" i="10"/>
  <c r="E98" i="10"/>
  <c r="P98" i="10"/>
  <c r="F98" i="10"/>
  <c r="I66" i="10"/>
  <c r="H66" i="10"/>
  <c r="G66" i="10"/>
  <c r="K66" i="10"/>
  <c r="E66" i="10"/>
  <c r="N66" i="10"/>
  <c r="F66" i="10"/>
  <c r="M66" i="10" s="1"/>
  <c r="I42" i="10"/>
  <c r="H42" i="10"/>
  <c r="E42" i="10"/>
  <c r="G42" i="10"/>
  <c r="F42" i="10"/>
  <c r="K42" i="10"/>
  <c r="I18" i="10"/>
  <c r="P18" i="10" s="1"/>
  <c r="H18" i="10"/>
  <c r="E18" i="10"/>
  <c r="K18" i="10"/>
  <c r="G18" i="10"/>
  <c r="F18" i="10"/>
  <c r="H81" i="10"/>
  <c r="I81" i="10"/>
  <c r="P81" i="10" s="1"/>
  <c r="G81" i="10"/>
  <c r="K81" i="10"/>
  <c r="F81" i="10"/>
  <c r="E81" i="10"/>
  <c r="K65" i="10"/>
  <c r="I65" i="10"/>
  <c r="H65" i="10"/>
  <c r="G65" i="10"/>
  <c r="P65" i="10"/>
  <c r="E65" i="10"/>
  <c r="F65" i="10"/>
  <c r="H49" i="10"/>
  <c r="I49" i="10"/>
  <c r="K49" i="10"/>
  <c r="F49" i="10"/>
  <c r="E49" i="10"/>
  <c r="O49" i="10"/>
  <c r="G49" i="10"/>
  <c r="H25" i="10"/>
  <c r="I25" i="10"/>
  <c r="G25" i="10"/>
  <c r="K25" i="10"/>
  <c r="E25" i="10"/>
  <c r="F25" i="10"/>
  <c r="O25" i="10"/>
  <c r="I88" i="10"/>
  <c r="G88" i="10"/>
  <c r="F88" i="10"/>
  <c r="H88" i="10"/>
  <c r="K88" i="10"/>
  <c r="E88" i="10"/>
  <c r="H80" i="10"/>
  <c r="O80" i="10" s="1"/>
  <c r="I80" i="10"/>
  <c r="F80" i="10"/>
  <c r="M80" i="10"/>
  <c r="E80" i="10"/>
  <c r="G80" i="10"/>
  <c r="K80" i="10"/>
  <c r="I64" i="10"/>
  <c r="H64" i="10"/>
  <c r="F64" i="10"/>
  <c r="E64" i="10"/>
  <c r="G64" i="10"/>
  <c r="K64" i="10"/>
  <c r="G56" i="10"/>
  <c r="K56" i="10"/>
  <c r="H56" i="10"/>
  <c r="O56" i="10" s="1"/>
  <c r="F56" i="10"/>
  <c r="E56" i="10"/>
  <c r="I56" i="10"/>
  <c r="I48" i="10"/>
  <c r="P48" i="10" s="1"/>
  <c r="K48" i="10"/>
  <c r="F48" i="10"/>
  <c r="M48" i="10" s="1"/>
  <c r="H48" i="10"/>
  <c r="O48" i="10" s="1"/>
  <c r="G48" i="10"/>
  <c r="E48" i="10"/>
  <c r="I40" i="10"/>
  <c r="F40" i="10"/>
  <c r="H40" i="10"/>
  <c r="G40" i="10"/>
  <c r="K40" i="10"/>
  <c r="E40" i="10"/>
  <c r="I24" i="10"/>
  <c r="H24" i="10"/>
  <c r="G24" i="10"/>
  <c r="F24" i="10"/>
  <c r="K24" i="10"/>
  <c r="L24" i="10"/>
  <c r="E24" i="10"/>
  <c r="H8" i="10"/>
  <c r="F8" i="10"/>
  <c r="I8" i="10"/>
  <c r="K8" i="10"/>
  <c r="E8" i="10"/>
  <c r="G8" i="10"/>
  <c r="P8" i="10"/>
  <c r="G4" i="10"/>
  <c r="F4" i="10"/>
  <c r="K4" i="10"/>
  <c r="H4" i="10"/>
  <c r="I4" i="10"/>
  <c r="E4" i="10"/>
  <c r="G95" i="10"/>
  <c r="F95" i="10"/>
  <c r="I95" i="10"/>
  <c r="E95" i="10"/>
  <c r="H95" i="10"/>
  <c r="K95" i="10"/>
  <c r="G87" i="10"/>
  <c r="I87" i="10"/>
  <c r="H87" i="10"/>
  <c r="F87" i="10"/>
  <c r="K87" i="10"/>
  <c r="E87" i="10"/>
  <c r="I79" i="10"/>
  <c r="G79" i="10"/>
  <c r="F79" i="10"/>
  <c r="H79" i="10"/>
  <c r="E79" i="10"/>
  <c r="K79" i="10"/>
  <c r="H71" i="10"/>
  <c r="O71" i="10" s="1"/>
  <c r="I71" i="10"/>
  <c r="G71" i="10"/>
  <c r="F71" i="10"/>
  <c r="K71" i="10"/>
  <c r="E71" i="10"/>
  <c r="H63" i="10"/>
  <c r="G63" i="10"/>
  <c r="I63" i="10"/>
  <c r="F63" i="10"/>
  <c r="K63" i="10"/>
  <c r="E63" i="10"/>
  <c r="G55" i="10"/>
  <c r="H55" i="10"/>
  <c r="F55" i="10"/>
  <c r="I55" i="10"/>
  <c r="E55" i="10"/>
  <c r="K55" i="10"/>
  <c r="G47" i="10"/>
  <c r="I47" i="10"/>
  <c r="K47" i="10"/>
  <c r="F47" i="10"/>
  <c r="E47" i="10"/>
  <c r="H47" i="10"/>
  <c r="I39" i="10"/>
  <c r="G39" i="10"/>
  <c r="H39" i="10"/>
  <c r="F39" i="10"/>
  <c r="K39" i="10"/>
  <c r="M39" i="10"/>
  <c r="E39" i="10"/>
  <c r="G31" i="10"/>
  <c r="F31" i="10"/>
  <c r="H31" i="10"/>
  <c r="E31" i="10"/>
  <c r="K31" i="10"/>
  <c r="I31" i="10"/>
  <c r="G23" i="10"/>
  <c r="I23" i="10"/>
  <c r="F23" i="10"/>
  <c r="K23" i="10"/>
  <c r="H23" i="10"/>
  <c r="E23" i="10"/>
  <c r="I15" i="10"/>
  <c r="P15" i="10" s="1"/>
  <c r="G15" i="10"/>
  <c r="N15" i="10" s="1"/>
  <c r="F15" i="10"/>
  <c r="M15" i="10" s="1"/>
  <c r="H15" i="10"/>
  <c r="K15" i="10"/>
  <c r="E15" i="10"/>
  <c r="L15" i="10" s="1"/>
  <c r="H7" i="10"/>
  <c r="O7" i="10" s="1"/>
  <c r="I7" i="10"/>
  <c r="P7" i="10" s="1"/>
  <c r="G7" i="10"/>
  <c r="N7" i="10" s="1"/>
  <c r="F7" i="10"/>
  <c r="M7" i="10" s="1"/>
  <c r="K7" i="10"/>
  <c r="E7" i="10"/>
  <c r="I100" i="10"/>
  <c r="P100" i="10"/>
  <c r="F100" i="10"/>
  <c r="G100" i="10"/>
  <c r="H100" i="10"/>
  <c r="K100" i="10"/>
  <c r="E100" i="10"/>
  <c r="K68" i="10"/>
  <c r="I68" i="10"/>
  <c r="P68" i="10" s="1"/>
  <c r="H68" i="10"/>
  <c r="O68" i="10" s="1"/>
  <c r="F68" i="10"/>
  <c r="M68" i="10" s="1"/>
  <c r="G68" i="10"/>
  <c r="N68" i="10" s="1"/>
  <c r="E68" i="10"/>
  <c r="H44" i="10"/>
  <c r="K44" i="10"/>
  <c r="G44" i="10"/>
  <c r="O44" i="10"/>
  <c r="I44" i="10"/>
  <c r="F44" i="10"/>
  <c r="E44" i="10"/>
  <c r="K12" i="10"/>
  <c r="G12" i="10"/>
  <c r="N12" i="10"/>
  <c r="I12" i="10"/>
  <c r="F12" i="10"/>
  <c r="H12" i="10"/>
  <c r="O12" i="10" s="1"/>
  <c r="E12" i="10"/>
  <c r="H83" i="10"/>
  <c r="K83" i="10"/>
  <c r="E83" i="10"/>
  <c r="G83" i="10"/>
  <c r="F83" i="10"/>
  <c r="I83" i="10"/>
  <c r="N83" i="10"/>
  <c r="H59" i="10"/>
  <c r="K59" i="10"/>
  <c r="F59" i="10"/>
  <c r="E59" i="10"/>
  <c r="I59" i="10"/>
  <c r="G59" i="10"/>
  <c r="H35" i="10"/>
  <c r="I35" i="10"/>
  <c r="G35" i="10"/>
  <c r="K35" i="10"/>
  <c r="E35" i="10"/>
  <c r="F35" i="10"/>
  <c r="H11" i="10"/>
  <c r="I11" i="10"/>
  <c r="K11" i="10"/>
  <c r="P11" i="10"/>
  <c r="E11" i="10"/>
  <c r="G11" i="10"/>
  <c r="F11" i="10"/>
  <c r="H90" i="10"/>
  <c r="I90" i="10"/>
  <c r="P90" i="10" s="1"/>
  <c r="K90" i="10"/>
  <c r="E90" i="10"/>
  <c r="F90" i="10"/>
  <c r="G90" i="10"/>
  <c r="H74" i="10"/>
  <c r="K74" i="10"/>
  <c r="E74" i="10"/>
  <c r="I74" i="10"/>
  <c r="L74" i="10"/>
  <c r="F74" i="10"/>
  <c r="G74" i="10"/>
  <c r="H50" i="10"/>
  <c r="E50" i="10"/>
  <c r="K50" i="10"/>
  <c r="I50" i="10"/>
  <c r="L50" i="10"/>
  <c r="G50" i="10"/>
  <c r="F50" i="10"/>
  <c r="H26" i="10"/>
  <c r="I26" i="10"/>
  <c r="E26" i="10"/>
  <c r="F26" i="10"/>
  <c r="G26" i="10"/>
  <c r="K26" i="10"/>
  <c r="M26" i="10"/>
  <c r="H89" i="10"/>
  <c r="I89" i="10"/>
  <c r="G89" i="10"/>
  <c r="K89" i="10"/>
  <c r="F89" i="10"/>
  <c r="E89" i="10"/>
  <c r="I57" i="10"/>
  <c r="G57" i="10"/>
  <c r="K57" i="10"/>
  <c r="F57" i="10"/>
  <c r="H57" i="10"/>
  <c r="E57" i="10"/>
  <c r="I33" i="10"/>
  <c r="O33" i="10"/>
  <c r="F33" i="10"/>
  <c r="E33" i="10"/>
  <c r="G33" i="10"/>
  <c r="H33" i="10"/>
  <c r="K33" i="10"/>
  <c r="I9" i="10"/>
  <c r="P9" i="10" s="1"/>
  <c r="K9" i="10"/>
  <c r="E9" i="10"/>
  <c r="G9" i="10"/>
  <c r="F9" i="10"/>
  <c r="H9" i="10"/>
  <c r="M9" i="10"/>
  <c r="I32" i="10"/>
  <c r="F32" i="10"/>
  <c r="E32" i="10"/>
  <c r="H32" i="10"/>
  <c r="G32" i="10"/>
  <c r="K32" i="10"/>
  <c r="I86" i="10"/>
  <c r="P86" i="10" s="1"/>
  <c r="G86" i="10"/>
  <c r="H86" i="10"/>
  <c r="K86" i="10"/>
  <c r="E86" i="10"/>
  <c r="F86" i="10"/>
  <c r="I70" i="10"/>
  <c r="G70" i="10"/>
  <c r="H70" i="10"/>
  <c r="K70" i="10"/>
  <c r="E70" i="10"/>
  <c r="F70" i="10"/>
  <c r="I54" i="10"/>
  <c r="G54" i="10"/>
  <c r="H54" i="10"/>
  <c r="F54" i="10"/>
  <c r="N54" i="10"/>
  <c r="E54" i="10"/>
  <c r="L54" i="10" s="1"/>
  <c r="K54" i="10"/>
  <c r="I38" i="10"/>
  <c r="G38" i="10"/>
  <c r="H38" i="10"/>
  <c r="K38" i="10"/>
  <c r="E38" i="10"/>
  <c r="L38" i="10"/>
  <c r="F38" i="10"/>
  <c r="I30" i="10"/>
  <c r="G30" i="10"/>
  <c r="N30" i="10" s="1"/>
  <c r="H30" i="10"/>
  <c r="K30" i="10"/>
  <c r="F30" i="10"/>
  <c r="M30" i="10" s="1"/>
  <c r="E30" i="10"/>
  <c r="L30" i="10" s="1"/>
  <c r="I22" i="10"/>
  <c r="G22" i="10"/>
  <c r="H22" i="10"/>
  <c r="E22" i="10"/>
  <c r="K22" i="10"/>
  <c r="F22" i="10"/>
  <c r="I6" i="10"/>
  <c r="G6" i="10"/>
  <c r="H6" i="10"/>
  <c r="K6" i="10"/>
  <c r="E6" i="10"/>
  <c r="F6" i="10"/>
  <c r="K84" i="10"/>
  <c r="E84" i="10"/>
  <c r="G84" i="10"/>
  <c r="F84" i="10"/>
  <c r="I84" i="10"/>
  <c r="H84" i="10"/>
  <c r="I60" i="10"/>
  <c r="K60" i="10"/>
  <c r="H60" i="10"/>
  <c r="E60" i="10"/>
  <c r="G60" i="10"/>
  <c r="F60" i="10"/>
  <c r="H36" i="10"/>
  <c r="K36" i="10"/>
  <c r="I36" i="10"/>
  <c r="F36" i="10"/>
  <c r="G36" i="10"/>
  <c r="E36" i="10"/>
  <c r="I20" i="10"/>
  <c r="K20" i="10"/>
  <c r="G20" i="10"/>
  <c r="H20" i="10"/>
  <c r="E20" i="10"/>
  <c r="L20" i="10" s="1"/>
  <c r="F20" i="10"/>
  <c r="M20" i="10" s="1"/>
  <c r="H91" i="10"/>
  <c r="K91" i="10"/>
  <c r="I91" i="10"/>
  <c r="F91" i="10"/>
  <c r="G91" i="10"/>
  <c r="E91" i="10"/>
  <c r="N91" i="10"/>
  <c r="H67" i="10"/>
  <c r="I67" i="10"/>
  <c r="G67" i="10"/>
  <c r="F67" i="10"/>
  <c r="K67" i="10"/>
  <c r="E67" i="10"/>
  <c r="N67" i="10"/>
  <c r="H51" i="10"/>
  <c r="I51" i="10"/>
  <c r="G51" i="10"/>
  <c r="N51" i="10" s="1"/>
  <c r="K51" i="10"/>
  <c r="F51" i="10"/>
  <c r="L51" i="10"/>
  <c r="E51" i="10"/>
  <c r="H27" i="10"/>
  <c r="O27" i="10" s="1"/>
  <c r="F27" i="10"/>
  <c r="M27" i="10" s="1"/>
  <c r="G27" i="10"/>
  <c r="N27" i="10" s="1"/>
  <c r="K27" i="10"/>
  <c r="I27" i="10"/>
  <c r="E27" i="10"/>
  <c r="K82" i="10"/>
  <c r="I82" i="10"/>
  <c r="E82" i="10"/>
  <c r="G82" i="10"/>
  <c r="H82" i="10"/>
  <c r="F82" i="10"/>
  <c r="E58" i="10"/>
  <c r="F58" i="10"/>
  <c r="G58" i="10"/>
  <c r="I58" i="10"/>
  <c r="H58" i="10"/>
  <c r="K58" i="10"/>
  <c r="H34" i="10"/>
  <c r="I34" i="10"/>
  <c r="G34" i="10"/>
  <c r="E34" i="10"/>
  <c r="K34" i="10"/>
  <c r="F34" i="10"/>
  <c r="G10" i="10"/>
  <c r="I10" i="10"/>
  <c r="K10" i="10"/>
  <c r="E10" i="10"/>
  <c r="H10" i="10"/>
  <c r="P10" i="10"/>
  <c r="F10" i="10"/>
  <c r="I97" i="10"/>
  <c r="H97" i="10"/>
  <c r="G97" i="10"/>
  <c r="F97" i="10"/>
  <c r="E97" i="10"/>
  <c r="L97" i="10" s="1"/>
  <c r="K97" i="10"/>
  <c r="E73" i="10"/>
  <c r="I73" i="10"/>
  <c r="K73" i="10"/>
  <c r="H73" i="10"/>
  <c r="F73" i="10"/>
  <c r="G73" i="10"/>
  <c r="H41" i="10"/>
  <c r="G41" i="10"/>
  <c r="I41" i="10"/>
  <c r="F41" i="10"/>
  <c r="K41" i="10"/>
  <c r="E41" i="10"/>
  <c r="H17" i="10"/>
  <c r="F17" i="10"/>
  <c r="I17" i="10"/>
  <c r="E17" i="10"/>
  <c r="G17" i="10"/>
  <c r="K17" i="10"/>
  <c r="F96" i="10"/>
  <c r="G96" i="10"/>
  <c r="I96" i="10"/>
  <c r="K96" i="10"/>
  <c r="L96" i="10"/>
  <c r="E96" i="10"/>
  <c r="H96" i="10"/>
  <c r="H72" i="10"/>
  <c r="F72" i="10"/>
  <c r="I72" i="10"/>
  <c r="K72" i="10"/>
  <c r="G72" i="10"/>
  <c r="N72" i="10"/>
  <c r="E72" i="10"/>
  <c r="H16" i="10"/>
  <c r="I16" i="10"/>
  <c r="F16" i="10"/>
  <c r="E16" i="10"/>
  <c r="G16" i="10"/>
  <c r="K16" i="10"/>
  <c r="I102" i="10"/>
  <c r="G102" i="10"/>
  <c r="H102" i="10"/>
  <c r="E102" i="10"/>
  <c r="K102" i="10"/>
  <c r="F102" i="10"/>
  <c r="I94" i="10"/>
  <c r="P94" i="10" s="1"/>
  <c r="G94" i="10"/>
  <c r="K94" i="10"/>
  <c r="H94" i="10"/>
  <c r="F94" i="10"/>
  <c r="M94" i="10" s="1"/>
  <c r="E94" i="10"/>
  <c r="I78" i="10"/>
  <c r="G78" i="10"/>
  <c r="H78" i="10"/>
  <c r="F78" i="10"/>
  <c r="K78" i="10"/>
  <c r="E78" i="10"/>
  <c r="L78" i="10" s="1"/>
  <c r="I62" i="10"/>
  <c r="H62" i="10"/>
  <c r="G62" i="10"/>
  <c r="K62" i="10"/>
  <c r="E62" i="10"/>
  <c r="F62" i="10"/>
  <c r="I46" i="10"/>
  <c r="P46" i="10" s="1"/>
  <c r="G46" i="10"/>
  <c r="K46" i="10"/>
  <c r="F46" i="10"/>
  <c r="M46" i="10" s="1"/>
  <c r="E46" i="10"/>
  <c r="H46" i="10"/>
  <c r="O46" i="10"/>
  <c r="I14" i="10"/>
  <c r="G14" i="10"/>
  <c r="H14" i="10"/>
  <c r="F14" i="10"/>
  <c r="K14" i="10"/>
  <c r="E14" i="10"/>
  <c r="I101" i="10"/>
  <c r="H101" i="10"/>
  <c r="E101" i="10"/>
  <c r="F101" i="10"/>
  <c r="G101" i="10"/>
  <c r="K101" i="10"/>
  <c r="I93" i="10"/>
  <c r="G93" i="10"/>
  <c r="K93" i="10"/>
  <c r="E93" i="10"/>
  <c r="H93" i="10"/>
  <c r="O93" i="10" s="1"/>
  <c r="F93" i="10"/>
  <c r="G85" i="10"/>
  <c r="F85" i="10"/>
  <c r="I85" i="10"/>
  <c r="H85" i="10"/>
  <c r="E85" i="10"/>
  <c r="K85" i="10"/>
  <c r="G77" i="10"/>
  <c r="N77" i="10" s="1"/>
  <c r="E77" i="10"/>
  <c r="I77" i="10"/>
  <c r="P77" i="10" s="1"/>
  <c r="H77" i="10"/>
  <c r="K77" i="10"/>
  <c r="F77" i="10"/>
  <c r="I69" i="10"/>
  <c r="P69" i="10"/>
  <c r="G69" i="10"/>
  <c r="H69" i="10"/>
  <c r="F69" i="10"/>
  <c r="K69" i="10"/>
  <c r="E69" i="10"/>
  <c r="I61" i="10"/>
  <c r="H61" i="10"/>
  <c r="M61" i="10"/>
  <c r="K61" i="10"/>
  <c r="F61" i="10"/>
  <c r="E61" i="10"/>
  <c r="G61" i="10"/>
  <c r="H53" i="10"/>
  <c r="I53" i="10"/>
  <c r="M53" i="10"/>
  <c r="G53" i="10"/>
  <c r="F53" i="10"/>
  <c r="E53" i="10"/>
  <c r="K53" i="10"/>
  <c r="H45" i="10"/>
  <c r="G45" i="10"/>
  <c r="I45" i="10"/>
  <c r="K45" i="10"/>
  <c r="F45" i="10"/>
  <c r="E45" i="10"/>
  <c r="I37" i="10"/>
  <c r="G37" i="10"/>
  <c r="E37" i="10"/>
  <c r="F37" i="10"/>
  <c r="K37" i="10"/>
  <c r="H37" i="10"/>
  <c r="I29" i="10"/>
  <c r="K29" i="10"/>
  <c r="E29" i="10"/>
  <c r="F29" i="10"/>
  <c r="H29" i="10"/>
  <c r="G29" i="10"/>
  <c r="K21" i="10"/>
  <c r="G21" i="10"/>
  <c r="H21" i="10"/>
  <c r="I21" i="10"/>
  <c r="F21" i="10"/>
  <c r="E21" i="10"/>
  <c r="L21" i="10" s="1"/>
  <c r="H13" i="10"/>
  <c r="G13" i="10"/>
  <c r="I13" i="10"/>
  <c r="K13" i="10"/>
  <c r="E13" i="10"/>
  <c r="F13" i="10"/>
  <c r="I5" i="10"/>
  <c r="P5" i="10" s="1"/>
  <c r="H5" i="10"/>
  <c r="G5" i="10"/>
  <c r="N5" i="10" s="1"/>
  <c r="F5" i="10"/>
  <c r="K5" i="10"/>
  <c r="E5" i="10"/>
  <c r="L5" i="10" s="1"/>
  <c r="N70" i="10"/>
  <c r="L62" i="10"/>
  <c r="M78" i="10"/>
  <c r="P27" i="10"/>
  <c r="G38" i="7"/>
  <c r="H70" i="7"/>
  <c r="G102" i="7"/>
  <c r="E102" i="7"/>
  <c r="E78" i="7"/>
  <c r="F61" i="7"/>
  <c r="F93" i="7"/>
  <c r="E101" i="7"/>
  <c r="E77" i="7"/>
  <c r="E22" i="7"/>
  <c r="F98" i="7"/>
  <c r="F62" i="7"/>
  <c r="F38" i="7"/>
  <c r="H30" i="7"/>
  <c r="O30" i="7" s="1"/>
  <c r="G62" i="7"/>
  <c r="F78" i="7"/>
  <c r="F54" i="7"/>
  <c r="F14" i="7"/>
  <c r="G54" i="7"/>
  <c r="D66" i="7"/>
  <c r="H86" i="7"/>
  <c r="E14" i="7"/>
  <c r="F94" i="7"/>
  <c r="G77" i="7"/>
  <c r="G45" i="7"/>
  <c r="G13" i="7"/>
  <c r="H6" i="7"/>
  <c r="F13" i="7"/>
  <c r="E37" i="7"/>
  <c r="F90" i="7"/>
  <c r="M90" i="7" s="1"/>
  <c r="F70" i="7"/>
  <c r="F6" i="7"/>
  <c r="H94" i="7"/>
  <c r="E46" i="7"/>
  <c r="D26" i="7"/>
  <c r="P20" i="10"/>
  <c r="G83" i="7"/>
  <c r="G51" i="7"/>
  <c r="G19" i="7"/>
  <c r="D9" i="7"/>
  <c r="E91" i="7"/>
  <c r="E59" i="7"/>
  <c r="E43" i="7"/>
  <c r="E27" i="7"/>
  <c r="G97" i="7"/>
  <c r="N97" i="7" s="1"/>
  <c r="G65" i="7"/>
  <c r="N65" i="7" s="1"/>
  <c r="G49" i="7"/>
  <c r="G33" i="7"/>
  <c r="G17" i="7"/>
  <c r="G7" i="7"/>
  <c r="F7" i="7"/>
  <c r="G15" i="7"/>
  <c r="F15" i="7"/>
  <c r="D15" i="7"/>
  <c r="D23" i="7"/>
  <c r="G23" i="7"/>
  <c r="F23" i="7"/>
  <c r="G31" i="7"/>
  <c r="F31" i="7"/>
  <c r="D39" i="7"/>
  <c r="G39" i="7"/>
  <c r="F39" i="7"/>
  <c r="D47" i="7"/>
  <c r="L47" i="7" s="1"/>
  <c r="G47" i="7"/>
  <c r="F47" i="7"/>
  <c r="M47" i="7" s="1"/>
  <c r="D55" i="7"/>
  <c r="G55" i="7"/>
  <c r="N55" i="7" s="1"/>
  <c r="F55" i="7"/>
  <c r="G63" i="7"/>
  <c r="F63" i="7"/>
  <c r="G71" i="7"/>
  <c r="F71" i="7"/>
  <c r="G79" i="7"/>
  <c r="F79" i="7"/>
  <c r="D87" i="7"/>
  <c r="G87" i="7"/>
  <c r="F87" i="7"/>
  <c r="G95" i="7"/>
  <c r="F95" i="7"/>
  <c r="E87" i="7"/>
  <c r="E71" i="7"/>
  <c r="E55" i="7"/>
  <c r="E39" i="7"/>
  <c r="L39" i="7" s="1"/>
  <c r="E23" i="7"/>
  <c r="E7" i="7"/>
  <c r="M54" i="10"/>
  <c r="G99" i="7"/>
  <c r="G67" i="7"/>
  <c r="D8" i="7"/>
  <c r="E8" i="7"/>
  <c r="G8" i="7"/>
  <c r="D16" i="7"/>
  <c r="M16" i="7" s="1"/>
  <c r="E16" i="7"/>
  <c r="G16" i="7"/>
  <c r="D24" i="7"/>
  <c r="E24" i="7"/>
  <c r="G24" i="7"/>
  <c r="E32" i="7"/>
  <c r="G32" i="7"/>
  <c r="D40" i="7"/>
  <c r="E40" i="7"/>
  <c r="L40" i="7" s="1"/>
  <c r="G40" i="7"/>
  <c r="E48" i="7"/>
  <c r="G48" i="7"/>
  <c r="E56" i="7"/>
  <c r="G56" i="7"/>
  <c r="D64" i="7"/>
  <c r="L64" i="7" s="1"/>
  <c r="E64" i="7"/>
  <c r="G64" i="7"/>
  <c r="D72" i="7"/>
  <c r="N72" i="7" s="1"/>
  <c r="E72" i="7"/>
  <c r="G72" i="7"/>
  <c r="E80" i="7"/>
  <c r="G80" i="7"/>
  <c r="D88" i="7"/>
  <c r="M88" i="7" s="1"/>
  <c r="E88" i="7"/>
  <c r="G88" i="7"/>
  <c r="E96" i="7"/>
  <c r="L96" i="7" s="1"/>
  <c r="G96" i="7"/>
  <c r="F57" i="7"/>
  <c r="M57" i="7" s="1"/>
  <c r="F41" i="7"/>
  <c r="M41" i="7" s="1"/>
  <c r="F25" i="7"/>
  <c r="L7" i="10"/>
  <c r="F35" i="7"/>
  <c r="H35" i="7"/>
  <c r="F75" i="7"/>
  <c r="H75" i="7"/>
  <c r="I9" i="7"/>
  <c r="E9" i="7"/>
  <c r="F72" i="7"/>
  <c r="F40" i="7"/>
  <c r="M40" i="7" s="1"/>
  <c r="F24" i="7"/>
  <c r="F8" i="7"/>
  <c r="M8" i="7" s="1"/>
  <c r="G91" i="7"/>
  <c r="G75" i="7"/>
  <c r="G59" i="7"/>
  <c r="G43" i="7"/>
  <c r="G27" i="7"/>
  <c r="F11" i="7"/>
  <c r="H11" i="7"/>
  <c r="E73" i="7"/>
  <c r="I73" i="7"/>
  <c r="D81" i="7"/>
  <c r="N81" i="7" s="1"/>
  <c r="E81" i="7"/>
  <c r="L81" i="7" s="1"/>
  <c r="E89" i="7"/>
  <c r="I89" i="7"/>
  <c r="F56" i="7"/>
  <c r="G11" i="7"/>
  <c r="E99" i="7"/>
  <c r="E83" i="7"/>
  <c r="E67" i="7"/>
  <c r="E51" i="7"/>
  <c r="E35" i="7"/>
  <c r="E19" i="7"/>
  <c r="G89" i="7"/>
  <c r="N89" i="7" s="1"/>
  <c r="G73" i="7"/>
  <c r="G57" i="7"/>
  <c r="N57" i="7" s="1"/>
  <c r="G41" i="7"/>
  <c r="G25" i="7"/>
  <c r="G9" i="7"/>
  <c r="N9" i="7" s="1"/>
  <c r="E100" i="7"/>
  <c r="E92" i="7"/>
  <c r="E84" i="7"/>
  <c r="E76" i="7"/>
  <c r="E68" i="7"/>
  <c r="E60" i="7"/>
  <c r="E52" i="7"/>
  <c r="E44" i="7"/>
  <c r="E36" i="7"/>
  <c r="E28" i="7"/>
  <c r="E20" i="7"/>
  <c r="E12" i="7"/>
  <c r="G98" i="7"/>
  <c r="G90" i="7"/>
  <c r="N90" i="7" s="1"/>
  <c r="G82" i="7"/>
  <c r="G74" i="7"/>
  <c r="G66" i="7"/>
  <c r="G58" i="7"/>
  <c r="N58" i="7" s="1"/>
  <c r="G50" i="7"/>
  <c r="G42" i="7"/>
  <c r="G34" i="7"/>
  <c r="N34" i="7" s="1"/>
  <c r="G26" i="7"/>
  <c r="N26" i="7" s="1"/>
  <c r="G18" i="7"/>
  <c r="N18" i="7" s="1"/>
  <c r="G10" i="7"/>
  <c r="N10" i="7" s="1"/>
  <c r="E98" i="7"/>
  <c r="E90" i="7"/>
  <c r="E82" i="7"/>
  <c r="L82" i="7" s="1"/>
  <c r="E74" i="7"/>
  <c r="E66" i="7"/>
  <c r="L66" i="7" s="1"/>
  <c r="E58" i="7"/>
  <c r="L58" i="7" s="1"/>
  <c r="E50" i="7"/>
  <c r="E42" i="7"/>
  <c r="L42" i="7" s="1"/>
  <c r="E34" i="7"/>
  <c r="E26" i="7"/>
  <c r="E18" i="7"/>
  <c r="L18" i="7" s="1"/>
  <c r="E10" i="7"/>
  <c r="F101" i="7"/>
  <c r="F85" i="7"/>
  <c r="M85" i="7" s="1"/>
  <c r="F37" i="7"/>
  <c r="F4" i="7"/>
  <c r="G4" i="7"/>
  <c r="L27" i="10"/>
  <c r="G94" i="7"/>
  <c r="G86" i="7"/>
  <c r="G70" i="7"/>
  <c r="G46" i="7"/>
  <c r="G30" i="7"/>
  <c r="G14" i="7"/>
  <c r="G6" i="7"/>
  <c r="L99" i="10"/>
  <c r="N59" i="10"/>
  <c r="O15" i="10"/>
  <c r="O30" i="10"/>
  <c r="N48" i="10"/>
  <c r="O9" i="10"/>
  <c r="M12" i="10"/>
  <c r="O21" i="10"/>
  <c r="M40" i="10"/>
  <c r="L68" i="10"/>
  <c r="L43" i="10"/>
  <c r="N52" i="10"/>
  <c r="L63" i="10"/>
  <c r="M82" i="10"/>
  <c r="H38" i="7"/>
  <c r="D63" i="7"/>
  <c r="L63" i="7" s="1"/>
  <c r="I90" i="7"/>
  <c r="D96" i="7"/>
  <c r="M96" i="7" s="1"/>
  <c r="I57" i="7"/>
  <c r="H102" i="7"/>
  <c r="D33" i="7"/>
  <c r="I41" i="7"/>
  <c r="P41" i="7" s="1"/>
  <c r="H99" i="7"/>
  <c r="D17" i="7"/>
  <c r="I25" i="7"/>
  <c r="I74" i="7"/>
  <c r="I26" i="7"/>
  <c r="H53" i="7"/>
  <c r="H52" i="7"/>
  <c r="D56" i="7"/>
  <c r="D32" i="7"/>
  <c r="L32" i="7" s="1"/>
  <c r="I100" i="7"/>
  <c r="I84" i="7"/>
  <c r="I68" i="7"/>
  <c r="I52" i="7"/>
  <c r="I36" i="7"/>
  <c r="I20" i="7"/>
  <c r="N66" i="7"/>
  <c r="H91" i="7"/>
  <c r="H69" i="7"/>
  <c r="H51" i="7"/>
  <c r="H27" i="7"/>
  <c r="H5" i="7"/>
  <c r="D80" i="7"/>
  <c r="L80" i="7" s="1"/>
  <c r="D25" i="7"/>
  <c r="M25" i="7" s="1"/>
  <c r="I99" i="7"/>
  <c r="I83" i="7"/>
  <c r="I67" i="7"/>
  <c r="I51" i="7"/>
  <c r="I35" i="7"/>
  <c r="I19" i="7"/>
  <c r="N42" i="7"/>
  <c r="H100" i="7"/>
  <c r="H76" i="7"/>
  <c r="H36" i="7"/>
  <c r="I58" i="7"/>
  <c r="H92" i="7"/>
  <c r="H28" i="7"/>
  <c r="H68" i="7"/>
  <c r="H44" i="7"/>
  <c r="H22" i="7"/>
  <c r="D4" i="7"/>
  <c r="L4" i="7" s="1"/>
  <c r="D79" i="7"/>
  <c r="D49" i="7"/>
  <c r="M49" i="7" s="1"/>
  <c r="I98" i="7"/>
  <c r="P98" i="7" s="1"/>
  <c r="I82" i="7"/>
  <c r="I66" i="7"/>
  <c r="P66" i="7" s="1"/>
  <c r="I50" i="7"/>
  <c r="P50" i="7" s="1"/>
  <c r="I34" i="7"/>
  <c r="P34" i="7" s="1"/>
  <c r="I18" i="7"/>
  <c r="P18" i="7" s="1"/>
  <c r="H12" i="7"/>
  <c r="I42" i="7"/>
  <c r="I10" i="7"/>
  <c r="P10" i="7" s="1"/>
  <c r="H67" i="7"/>
  <c r="H43" i="7"/>
  <c r="H21" i="7"/>
  <c r="D97" i="7"/>
  <c r="L97" i="7" s="1"/>
  <c r="D73" i="7"/>
  <c r="I97" i="7"/>
  <c r="I81" i="7"/>
  <c r="P81" i="7" s="1"/>
  <c r="I65" i="7"/>
  <c r="I49" i="7"/>
  <c r="I33" i="7"/>
  <c r="I17" i="7"/>
  <c r="H84" i="7"/>
  <c r="H60" i="7"/>
  <c r="H20" i="7"/>
  <c r="I92" i="7"/>
  <c r="I76" i="7"/>
  <c r="I60" i="7"/>
  <c r="I44" i="7"/>
  <c r="I28" i="7"/>
  <c r="I12" i="7"/>
  <c r="N98" i="7"/>
  <c r="H83" i="7"/>
  <c r="H59" i="7"/>
  <c r="H19" i="7"/>
  <c r="D89" i="7"/>
  <c r="P89" i="7" s="1"/>
  <c r="I91" i="7"/>
  <c r="I75" i="7"/>
  <c r="I59" i="7"/>
  <c r="I43" i="7"/>
  <c r="I27" i="7"/>
  <c r="I11" i="7"/>
  <c r="I29" i="7"/>
  <c r="D29" i="7"/>
  <c r="M29" i="7" s="1"/>
  <c r="I69" i="7"/>
  <c r="D69" i="7"/>
  <c r="I101" i="7"/>
  <c r="D101" i="7"/>
  <c r="N101" i="7" s="1"/>
  <c r="I21" i="7"/>
  <c r="D21" i="7"/>
  <c r="I53" i="7"/>
  <c r="D53" i="7"/>
  <c r="M53" i="7" s="1"/>
  <c r="I93" i="7"/>
  <c r="D93" i="7"/>
  <c r="L93" i="7" s="1"/>
  <c r="I13" i="7"/>
  <c r="D13" i="7"/>
  <c r="M13" i="7" s="1"/>
  <c r="I37" i="7"/>
  <c r="D37" i="7"/>
  <c r="I61" i="7"/>
  <c r="D61" i="7"/>
  <c r="I85" i="7"/>
  <c r="D85" i="7"/>
  <c r="O85" i="7" s="1"/>
  <c r="I6" i="7"/>
  <c r="D6" i="7"/>
  <c r="I22" i="7"/>
  <c r="D22" i="7"/>
  <c r="I38" i="7"/>
  <c r="D38" i="7"/>
  <c r="I54" i="7"/>
  <c r="D54" i="7"/>
  <c r="D70" i="7"/>
  <c r="I70" i="7"/>
  <c r="I86" i="7"/>
  <c r="D86" i="7"/>
  <c r="I102" i="7"/>
  <c r="D102" i="7"/>
  <c r="M102" i="7" s="1"/>
  <c r="H62" i="7"/>
  <c r="H7" i="7"/>
  <c r="I7" i="7"/>
  <c r="H15" i="7"/>
  <c r="I15" i="7"/>
  <c r="H23" i="7"/>
  <c r="I23" i="7"/>
  <c r="H31" i="7"/>
  <c r="I31" i="7"/>
  <c r="H39" i="7"/>
  <c r="I39" i="7"/>
  <c r="P39" i="7" s="1"/>
  <c r="H47" i="7"/>
  <c r="I47" i="7"/>
  <c r="H55" i="7"/>
  <c r="L55" i="7"/>
  <c r="I55" i="7"/>
  <c r="P55" i="7" s="1"/>
  <c r="H63" i="7"/>
  <c r="I63" i="7"/>
  <c r="H71" i="7"/>
  <c r="I71" i="7"/>
  <c r="H79" i="7"/>
  <c r="I79" i="7"/>
  <c r="H87" i="7"/>
  <c r="I87" i="7"/>
  <c r="H95" i="7"/>
  <c r="I95" i="7"/>
  <c r="H93" i="7"/>
  <c r="H77" i="7"/>
  <c r="H61" i="7"/>
  <c r="H45" i="7"/>
  <c r="H29" i="7"/>
  <c r="H13" i="7"/>
  <c r="D95" i="7"/>
  <c r="O95" i="7" s="1"/>
  <c r="D31" i="7"/>
  <c r="N31" i="7" s="1"/>
  <c r="I5" i="7"/>
  <c r="D5" i="7"/>
  <c r="I45" i="7"/>
  <c r="D45" i="7"/>
  <c r="I77" i="7"/>
  <c r="D77" i="7"/>
  <c r="N77" i="7" s="1"/>
  <c r="I14" i="7"/>
  <c r="D14" i="7"/>
  <c r="D30" i="7"/>
  <c r="I30" i="7"/>
  <c r="I46" i="7"/>
  <c r="D46" i="7"/>
  <c r="O46" i="7" s="1"/>
  <c r="I62" i="7"/>
  <c r="D62" i="7"/>
  <c r="L62" i="7" s="1"/>
  <c r="I78" i="7"/>
  <c r="D78" i="7"/>
  <c r="D94" i="7"/>
  <c r="I94" i="7"/>
  <c r="H78" i="7"/>
  <c r="H8" i="7"/>
  <c r="O8" i="7" s="1"/>
  <c r="I8" i="7"/>
  <c r="H16" i="7"/>
  <c r="I16" i="7"/>
  <c r="H24" i="7"/>
  <c r="I24" i="7"/>
  <c r="H32" i="7"/>
  <c r="I32" i="7"/>
  <c r="H40" i="7"/>
  <c r="I40" i="7"/>
  <c r="H48" i="7"/>
  <c r="I48" i="7"/>
  <c r="H56" i="7"/>
  <c r="I56" i="7"/>
  <c r="H64" i="7"/>
  <c r="I64" i="7"/>
  <c r="H72" i="7"/>
  <c r="I72" i="7"/>
  <c r="H80" i="7"/>
  <c r="I80" i="7"/>
  <c r="H88" i="7"/>
  <c r="I88" i="7"/>
  <c r="H96" i="7"/>
  <c r="I96" i="7"/>
  <c r="D71" i="7"/>
  <c r="D48" i="7"/>
  <c r="D7" i="7"/>
  <c r="M71" i="7"/>
  <c r="H98" i="7"/>
  <c r="O98" i="7" s="1"/>
  <c r="H90" i="7"/>
  <c r="H82" i="7"/>
  <c r="O82" i="7" s="1"/>
  <c r="H74" i="7"/>
  <c r="H66" i="7"/>
  <c r="O66" i="7" s="1"/>
  <c r="H58" i="7"/>
  <c r="O58" i="7" s="1"/>
  <c r="H50" i="7"/>
  <c r="H42" i="7"/>
  <c r="O42" i="7" s="1"/>
  <c r="H34" i="7"/>
  <c r="O34" i="7" s="1"/>
  <c r="H26" i="7"/>
  <c r="H18" i="7"/>
  <c r="O18" i="7" s="1"/>
  <c r="H10" i="7"/>
  <c r="O10" i="7" s="1"/>
  <c r="H97" i="7"/>
  <c r="H89" i="7"/>
  <c r="H81" i="7"/>
  <c r="O81" i="7" s="1"/>
  <c r="H73" i="7"/>
  <c r="H65" i="7"/>
  <c r="H57" i="7"/>
  <c r="H49" i="7"/>
  <c r="H41" i="7"/>
  <c r="H33" i="7"/>
  <c r="H25" i="7"/>
  <c r="H17" i="7"/>
  <c r="H9" i="7"/>
  <c r="D100" i="7"/>
  <c r="N100" i="7" s="1"/>
  <c r="D92" i="7"/>
  <c r="D84" i="7"/>
  <c r="D76" i="7"/>
  <c r="D68" i="7"/>
  <c r="P68" i="7" s="1"/>
  <c r="D60" i="7"/>
  <c r="D52" i="7"/>
  <c r="L52" i="7" s="1"/>
  <c r="D44" i="7"/>
  <c r="D36" i="7"/>
  <c r="D28" i="7"/>
  <c r="D20" i="7"/>
  <c r="N20" i="7" s="1"/>
  <c r="D12" i="7"/>
  <c r="P12" i="7" s="1"/>
  <c r="I4" i="7"/>
  <c r="M98" i="7"/>
  <c r="M82" i="7"/>
  <c r="M58" i="7"/>
  <c r="M18" i="7"/>
  <c r="D99" i="7"/>
  <c r="D91" i="7"/>
  <c r="D83" i="7"/>
  <c r="D75" i="7"/>
  <c r="D67" i="7"/>
  <c r="D59" i="7"/>
  <c r="D51" i="7"/>
  <c r="D43" i="7"/>
  <c r="D35" i="7"/>
  <c r="L35" i="7" s="1"/>
  <c r="D27" i="7"/>
  <c r="N27" i="7" s="1"/>
  <c r="D19" i="7"/>
  <c r="L19" i="7" s="1"/>
  <c r="D11" i="7"/>
  <c r="M17" i="7"/>
  <c r="P58" i="7"/>
  <c r="L21" i="7"/>
  <c r="L10" i="7"/>
  <c r="L34" i="7"/>
  <c r="M73" i="7"/>
  <c r="L98" i="7"/>
  <c r="M66" i="7"/>
  <c r="L74" i="7"/>
  <c r="M79" i="7"/>
  <c r="L41" i="7"/>
  <c r="L57" i="7"/>
  <c r="O62" i="7" l="1"/>
  <c r="O100" i="7"/>
  <c r="M56" i="7"/>
  <c r="L50" i="7"/>
  <c r="N82" i="7"/>
  <c r="N96" i="7"/>
  <c r="L72" i="7"/>
  <c r="N24" i="7"/>
  <c r="M23" i="7"/>
  <c r="M93" i="7"/>
  <c r="M65" i="7"/>
  <c r="M43" i="7"/>
  <c r="N74" i="7"/>
  <c r="O91" i="7"/>
  <c r="O74" i="7"/>
  <c r="O37" i="7"/>
  <c r="M21" i="7"/>
  <c r="P82" i="7"/>
  <c r="P26" i="7"/>
  <c r="P57" i="7"/>
  <c r="O53" i="7"/>
  <c r="O57" i="7"/>
  <c r="O26" i="7"/>
  <c r="H26" i="11" s="1"/>
  <c r="O90" i="7"/>
  <c r="O32" i="7"/>
  <c r="N5" i="7"/>
  <c r="O6" i="7"/>
  <c r="I6" i="11" s="1"/>
  <c r="P42" i="7"/>
  <c r="L26" i="7"/>
  <c r="M51" i="7"/>
  <c r="O65" i="7"/>
  <c r="O88" i="7"/>
  <c r="M30" i="7"/>
  <c r="L79" i="7"/>
  <c r="L17" i="7"/>
  <c r="L8" i="7"/>
  <c r="N17" i="7"/>
  <c r="M54" i="7"/>
  <c r="N93" i="7"/>
  <c r="P13" i="7"/>
  <c r="P65" i="7"/>
  <c r="L51" i="7"/>
  <c r="N23" i="7"/>
  <c r="M9" i="7"/>
  <c r="L23" i="7"/>
  <c r="O5" i="7"/>
  <c r="L33" i="7"/>
  <c r="M15" i="7"/>
  <c r="L95" i="7"/>
  <c r="O41" i="7"/>
  <c r="O50" i="7"/>
  <c r="N47" i="7"/>
  <c r="O23" i="7"/>
  <c r="P74" i="7"/>
  <c r="N73" i="7"/>
  <c r="L88" i="7"/>
  <c r="N15" i="7"/>
  <c r="N41" i="7"/>
  <c r="N68" i="7"/>
  <c r="N83" i="7"/>
  <c r="M74" i="7"/>
  <c r="M84" i="7"/>
  <c r="P72" i="7"/>
  <c r="N50" i="7"/>
  <c r="L84" i="7"/>
  <c r="N8" i="7"/>
  <c r="L87" i="7"/>
  <c r="M31" i="7"/>
  <c r="N99" i="7"/>
  <c r="M81" i="7"/>
  <c r="O33" i="7"/>
  <c r="D33" i="11" s="1"/>
  <c r="P47" i="7"/>
  <c r="P23" i="7"/>
  <c r="L73" i="7"/>
  <c r="N75" i="7"/>
  <c r="O28" i="7"/>
  <c r="M92" i="7"/>
  <c r="N71" i="7"/>
  <c r="P8" i="7"/>
  <c r="P95" i="7"/>
  <c r="P33" i="7"/>
  <c r="O43" i="7"/>
  <c r="P90" i="7"/>
  <c r="L28" i="7"/>
  <c r="M72" i="7"/>
  <c r="N7" i="7"/>
  <c r="O70" i="7"/>
  <c r="P43" i="10"/>
  <c r="L48" i="10"/>
  <c r="M88" i="10"/>
  <c r="O99" i="10"/>
  <c r="O26" i="10"/>
  <c r="O66" i="10"/>
  <c r="O61" i="10"/>
  <c r="N45" i="10"/>
  <c r="M96" i="10"/>
  <c r="O32" i="10"/>
  <c r="L69" i="10"/>
  <c r="M101" i="10"/>
  <c r="L34" i="10"/>
  <c r="N60" i="10"/>
  <c r="M70" i="10"/>
  <c r="N26" i="10"/>
  <c r="P59" i="10"/>
  <c r="N64" i="10"/>
  <c r="N80" i="10"/>
  <c r="N61" i="10"/>
  <c r="M37" i="10"/>
  <c r="O45" i="10"/>
  <c r="O77" i="10"/>
  <c r="M62" i="10"/>
  <c r="N94" i="10"/>
  <c r="L10" i="10"/>
  <c r="N34" i="10"/>
  <c r="P45" i="10"/>
  <c r="O69" i="10"/>
  <c r="O53" i="10"/>
  <c r="L61" i="10"/>
  <c r="N9" i="10"/>
  <c r="L13" i="10"/>
  <c r="O62" i="10"/>
  <c r="O91" i="10"/>
  <c r="M19" i="10"/>
  <c r="N16" i="10"/>
  <c r="M69" i="10"/>
  <c r="P21" i="10"/>
  <c r="L102" i="10"/>
  <c r="P70" i="10"/>
  <c r="O64" i="10"/>
  <c r="O42" i="10"/>
  <c r="P66" i="10"/>
  <c r="P76" i="10"/>
  <c r="O43" i="10"/>
  <c r="P80" i="10"/>
  <c r="L80" i="10"/>
  <c r="M67" i="10"/>
  <c r="M13" i="10"/>
  <c r="M21" i="10"/>
  <c r="M29" i="10"/>
  <c r="P53" i="10"/>
  <c r="P61" i="10"/>
  <c r="L93" i="10"/>
  <c r="O14" i="10"/>
  <c r="P62" i="10"/>
  <c r="L94" i="10"/>
  <c r="L16" i="10"/>
  <c r="O51" i="10"/>
  <c r="P67" i="10"/>
  <c r="O6" i="10"/>
  <c r="L70" i="10"/>
  <c r="L9" i="10"/>
  <c r="P57" i="10"/>
  <c r="L90" i="10"/>
  <c r="P35" i="10"/>
  <c r="O59" i="10"/>
  <c r="E59" i="11" s="1"/>
  <c r="L12" i="10"/>
  <c r="M44" i="10"/>
  <c r="L4" i="10"/>
  <c r="P64" i="10"/>
  <c r="N65" i="10"/>
  <c r="M16" i="10"/>
  <c r="L67" i="10"/>
  <c r="L91" i="10"/>
  <c r="N24" i="10"/>
  <c r="M64" i="10"/>
  <c r="P37" i="10"/>
  <c r="P16" i="10"/>
  <c r="P32" i="10"/>
  <c r="P12" i="10"/>
  <c r="N8" i="10"/>
  <c r="N21" i="10"/>
  <c r="O94" i="10"/>
  <c r="L66" i="10"/>
  <c r="M91" i="10"/>
  <c r="N53" i="10"/>
  <c r="N62" i="10"/>
  <c r="P97" i="10"/>
  <c r="P84" i="10"/>
  <c r="L22" i="10"/>
  <c r="I25" i="11"/>
  <c r="D6" i="11"/>
  <c r="G27" i="11"/>
  <c r="H27" i="11"/>
  <c r="D12" i="11"/>
  <c r="D46" i="11"/>
  <c r="E46" i="11"/>
  <c r="D42" i="11"/>
  <c r="E44" i="11"/>
  <c r="O10" i="10"/>
  <c r="M8" i="10"/>
  <c r="P83" i="10"/>
  <c r="M45" i="10"/>
  <c r="D30" i="11"/>
  <c r="N75" i="10"/>
  <c r="B33" i="10"/>
  <c r="O83" i="10"/>
  <c r="P91" i="10"/>
  <c r="O16" i="10"/>
  <c r="L53" i="10"/>
  <c r="O24" i="10"/>
  <c r="L83" i="10"/>
  <c r="L45" i="10"/>
  <c r="N10" i="10"/>
  <c r="N101" i="10"/>
  <c r="O70" i="10"/>
  <c r="N49" i="10"/>
  <c r="L59" i="10"/>
  <c r="N69" i="10"/>
  <c r="L26" i="10"/>
  <c r="M59" i="10"/>
  <c r="M10" i="10"/>
  <c r="P24" i="10"/>
  <c r="D62" i="11"/>
  <c r="E62" i="11"/>
  <c r="E66" i="11"/>
  <c r="L64" i="10"/>
  <c r="J26" i="11"/>
  <c r="P26" i="10"/>
  <c r="L8" i="10"/>
  <c r="M24" i="10"/>
  <c r="D43" i="11"/>
  <c r="O8" i="10"/>
  <c r="O67" i="10"/>
  <c r="N90" i="10"/>
  <c r="O19" i="10"/>
  <c r="L86" i="10"/>
  <c r="P22" i="10"/>
  <c r="P92" i="10"/>
  <c r="O90" i="10"/>
  <c r="P72" i="10"/>
  <c r="P30" i="10"/>
  <c r="P19" i="10"/>
  <c r="M72" i="10"/>
  <c r="O78" i="10"/>
  <c r="N29" i="10"/>
  <c r="N43" i="10"/>
  <c r="P78" i="10"/>
  <c r="N88" i="10"/>
  <c r="L6" i="10"/>
  <c r="M33" i="10"/>
  <c r="P52" i="10"/>
  <c r="P25" i="10"/>
  <c r="P88" i="10"/>
  <c r="L46" i="10"/>
  <c r="N50" i="10"/>
  <c r="M6" i="10"/>
  <c r="O65" i="10"/>
  <c r="L75" i="10"/>
  <c r="O35" i="10"/>
  <c r="L25" i="10"/>
  <c r="P13" i="10"/>
  <c r="L72" i="10"/>
  <c r="O85" i="10"/>
  <c r="L77" i="10"/>
  <c r="O50" i="10"/>
  <c r="N6" i="10"/>
  <c r="N98" i="10"/>
  <c r="O18" i="10"/>
  <c r="N38" i="10"/>
  <c r="N20" i="10"/>
  <c r="O75" i="10"/>
  <c r="N44" i="10"/>
  <c r="N25" i="10"/>
  <c r="N13" i="10"/>
  <c r="N78" i="10"/>
  <c r="M42" i="10"/>
  <c r="P6" i="10"/>
  <c r="L76" i="10"/>
  <c r="M81" i="10"/>
  <c r="M77" i="10"/>
  <c r="O34" i="10"/>
  <c r="O98" i="10"/>
  <c r="L42" i="10"/>
  <c r="O72" i="10"/>
  <c r="M25" i="10"/>
  <c r="O13" i="10"/>
  <c r="P63" i="7"/>
  <c r="M68" i="7"/>
  <c r="N40" i="7"/>
  <c r="N16" i="7"/>
  <c r="M77" i="7"/>
  <c r="L43" i="7"/>
  <c r="N56" i="7"/>
  <c r="N45" i="7"/>
  <c r="O47" i="7"/>
  <c r="O69" i="7"/>
  <c r="D69" i="11" s="1"/>
  <c r="N88" i="7"/>
  <c r="N64" i="7"/>
  <c r="N19" i="7"/>
  <c r="M80" i="7"/>
  <c r="P75" i="7"/>
  <c r="L100" i="7"/>
  <c r="N43" i="7"/>
  <c r="L9" i="7"/>
  <c r="O35" i="7"/>
  <c r="M63" i="7"/>
  <c r="M39" i="7"/>
  <c r="O15" i="7"/>
  <c r="I15" i="11" s="1"/>
  <c r="L91" i="7"/>
  <c r="O87" i="7"/>
  <c r="P61" i="7"/>
  <c r="P64" i="7"/>
  <c r="O61" i="7"/>
  <c r="O79" i="7"/>
  <c r="O55" i="7"/>
  <c r="P91" i="7"/>
  <c r="P100" i="7"/>
  <c r="L16" i="7"/>
  <c r="P9" i="7"/>
  <c r="M87" i="7"/>
  <c r="N63" i="7"/>
  <c r="N39" i="7"/>
  <c r="M101" i="7"/>
  <c r="N51" i="7"/>
  <c r="O63" i="7"/>
  <c r="P76" i="7"/>
  <c r="N35" i="7"/>
  <c r="O36" i="7"/>
  <c r="P88" i="7"/>
  <c r="O64" i="7"/>
  <c r="E64" i="11" s="1"/>
  <c r="N29" i="7"/>
  <c r="O77" i="7"/>
  <c r="N70" i="7"/>
  <c r="N13" i="7"/>
  <c r="M36" i="7"/>
  <c r="N30" i="7"/>
  <c r="N87" i="7"/>
  <c r="M55" i="7"/>
  <c r="P74" i="10"/>
  <c r="O96" i="7"/>
  <c r="N97" i="10"/>
  <c r="P96" i="10"/>
  <c r="L23" i="10"/>
  <c r="M62" i="7"/>
  <c r="M74" i="10"/>
  <c r="L100" i="10"/>
  <c r="P58" i="10"/>
  <c r="M99" i="10"/>
  <c r="O24" i="7"/>
  <c r="P93" i="10"/>
  <c r="O74" i="10"/>
  <c r="O28" i="10"/>
  <c r="N93" i="10"/>
  <c r="O23" i="10"/>
  <c r="M32" i="10"/>
  <c r="M93" i="10"/>
  <c r="L6" i="7"/>
  <c r="L24" i="7"/>
  <c r="P44" i="7"/>
  <c r="O9" i="7"/>
  <c r="I9" i="11" s="1"/>
  <c r="O73" i="7"/>
  <c r="O48" i="7"/>
  <c r="D48" i="11" s="1"/>
  <c r="P16" i="7"/>
  <c r="O39" i="7"/>
  <c r="L15" i="7"/>
  <c r="L102" i="7"/>
  <c r="M100" i="7"/>
  <c r="O63" i="10"/>
  <c r="P85" i="10"/>
  <c r="N100" i="10"/>
  <c r="M63" i="10"/>
  <c r="M86" i="10"/>
  <c r="P95" i="10"/>
  <c r="P87" i="10"/>
  <c r="P23" i="10"/>
  <c r="M73" i="10"/>
  <c r="P39" i="10"/>
  <c r="O4" i="10"/>
  <c r="P28" i="10"/>
  <c r="O58" i="10"/>
  <c r="M79" i="10"/>
  <c r="M17" i="10"/>
  <c r="O37" i="10"/>
  <c r="O41" i="10"/>
  <c r="O20" i="10"/>
  <c r="M83" i="10"/>
  <c r="M5" i="10"/>
  <c r="P44" i="10"/>
  <c r="L85" i="10"/>
  <c r="P54" i="10"/>
  <c r="M35" i="10"/>
  <c r="P79" i="7"/>
  <c r="M57" i="10"/>
  <c r="N25" i="7"/>
  <c r="L25" i="7"/>
  <c r="O101" i="10"/>
  <c r="N99" i="10"/>
  <c r="L83" i="7"/>
  <c r="M75" i="7"/>
  <c r="O72" i="7"/>
  <c r="M100" i="10"/>
  <c r="L35" i="10"/>
  <c r="N4" i="10"/>
  <c r="N23" i="10"/>
  <c r="P40" i="7"/>
  <c r="L31" i="7"/>
  <c r="P15" i="7"/>
  <c r="P92" i="7"/>
  <c r="P17" i="7"/>
  <c r="N36" i="7"/>
  <c r="N89" i="10"/>
  <c r="O97" i="10"/>
  <c r="M97" i="10"/>
  <c r="N63" i="10"/>
  <c r="N57" i="10"/>
  <c r="L31" i="10"/>
  <c r="L95" i="10"/>
  <c r="M87" i="10"/>
  <c r="L37" i="10"/>
  <c r="N73" i="10"/>
  <c r="P82" i="10"/>
  <c r="N39" i="10"/>
  <c r="P4" i="10"/>
  <c r="M50" i="10"/>
  <c r="L32" i="10"/>
  <c r="N28" i="10"/>
  <c r="N11" i="10"/>
  <c r="N79" i="10"/>
  <c r="P41" i="10"/>
  <c r="O5" i="10"/>
  <c r="N42" i="10"/>
  <c r="N86" i="10"/>
  <c r="O29" i="10"/>
  <c r="M51" i="10"/>
  <c r="N85" i="10"/>
  <c r="N96" i="10"/>
  <c r="O54" i="10"/>
  <c r="M24" i="7"/>
  <c r="N82" i="10"/>
  <c r="L73" i="10"/>
  <c r="P31" i="10"/>
  <c r="P24" i="7"/>
  <c r="O82" i="10"/>
  <c r="N74" i="10"/>
  <c r="O79" i="10"/>
  <c r="M41" i="10"/>
  <c r="M23" i="10"/>
  <c r="P77" i="7"/>
  <c r="P73" i="7"/>
  <c r="O57" i="10"/>
  <c r="P101" i="10"/>
  <c r="P79" i="10"/>
  <c r="O31" i="10"/>
  <c r="O31" i="7"/>
  <c r="P60" i="7"/>
  <c r="O16" i="7"/>
  <c r="P87" i="7"/>
  <c r="P31" i="7"/>
  <c r="N28" i="7"/>
  <c r="P43" i="7"/>
  <c r="O20" i="7"/>
  <c r="O102" i="7"/>
  <c r="L60" i="10"/>
  <c r="M49" i="10"/>
  <c r="M22" i="10"/>
  <c r="M95" i="10"/>
  <c r="O73" i="10"/>
  <c r="M65" i="10"/>
  <c r="P50" i="10"/>
  <c r="N32" i="10"/>
  <c r="L41" i="10"/>
  <c r="O96" i="10"/>
  <c r="N22" i="10"/>
  <c r="P42" i="10"/>
  <c r="P29" i="10"/>
  <c r="M75" i="10"/>
  <c r="M38" i="10"/>
  <c r="M85" i="10"/>
  <c r="O22" i="10"/>
  <c r="L44" i="10"/>
  <c r="P25" i="7"/>
  <c r="P99" i="10"/>
  <c r="L57" i="10"/>
  <c r="P38" i="10"/>
  <c r="M31" i="10"/>
  <c r="M4" i="10"/>
  <c r="M28" i="10"/>
  <c r="N31" i="10"/>
  <c r="M20" i="7"/>
  <c r="N37" i="10"/>
  <c r="O39" i="10"/>
  <c r="N58" i="10"/>
  <c r="N41" i="10"/>
  <c r="M90" i="10"/>
  <c r="P96" i="7"/>
  <c r="O80" i="7"/>
  <c r="D80" i="11" s="1"/>
  <c r="O40" i="7"/>
  <c r="N14" i="7"/>
  <c r="P5" i="7"/>
  <c r="P86" i="7"/>
  <c r="P93" i="7"/>
  <c r="L101" i="7"/>
  <c r="O67" i="7"/>
  <c r="M28" i="7"/>
  <c r="P84" i="7"/>
  <c r="L49" i="7"/>
  <c r="N95" i="10"/>
  <c r="P73" i="10"/>
  <c r="N19" i="10"/>
  <c r="L33" i="10"/>
  <c r="P51" i="10"/>
  <c r="O86" i="10"/>
  <c r="L29" i="10"/>
  <c r="O38" i="10"/>
  <c r="N35" i="10"/>
  <c r="P71" i="10"/>
  <c r="N87" i="10"/>
  <c r="P40" i="10"/>
  <c r="O40" i="10"/>
  <c r="O89" i="10"/>
  <c r="N47" i="10"/>
  <c r="M92" i="10"/>
  <c r="L81" i="10"/>
  <c r="L49" i="10"/>
  <c r="L101" i="10"/>
  <c r="O81" i="10"/>
  <c r="O95" i="10"/>
  <c r="P89" i="10"/>
  <c r="P63" i="10"/>
  <c r="P14" i="10"/>
  <c r="N18" i="10"/>
  <c r="L65" i="10"/>
  <c r="P34" i="10"/>
  <c r="M11" i="10"/>
  <c r="L40" i="10"/>
  <c r="L17" i="10"/>
  <c r="O55" i="10"/>
  <c r="N36" i="10"/>
  <c r="M89" i="10"/>
  <c r="P51" i="7"/>
  <c r="L89" i="10"/>
  <c r="N46" i="10"/>
  <c r="M76" i="10"/>
  <c r="L92" i="10"/>
  <c r="L18" i="10"/>
  <c r="L36" i="10"/>
  <c r="O92" i="10"/>
  <c r="N14" i="10"/>
  <c r="L55" i="10"/>
  <c r="P36" i="10"/>
  <c r="N92" i="10"/>
  <c r="M60" i="10"/>
  <c r="L56" i="10"/>
  <c r="N81" i="10"/>
  <c r="N84" i="10"/>
  <c r="O100" i="10"/>
  <c r="M56" i="10"/>
  <c r="P60" i="10"/>
  <c r="L71" i="10"/>
  <c r="M102" i="10"/>
  <c r="O88" i="10"/>
  <c r="L88" i="10"/>
  <c r="L39" i="10"/>
  <c r="M34" i="10"/>
  <c r="O11" i="10"/>
  <c r="L58" i="10"/>
  <c r="M18" i="10"/>
  <c r="N40" i="10"/>
  <c r="L79" i="10"/>
  <c r="N17" i="10"/>
  <c r="P55" i="10"/>
  <c r="M36" i="10"/>
  <c r="P33" i="10"/>
  <c r="L11" i="10"/>
  <c r="L14" i="10"/>
  <c r="N71" i="10"/>
  <c r="M47" i="10"/>
  <c r="O36" i="10"/>
  <c r="O84" i="10"/>
  <c r="N102" i="10"/>
  <c r="L84" i="10"/>
  <c r="L52" i="10"/>
  <c r="N56" i="10"/>
  <c r="L87" i="10"/>
  <c r="O60" i="10"/>
  <c r="L82" i="10"/>
  <c r="M58" i="10"/>
  <c r="L98" i="10"/>
  <c r="L47" i="10"/>
  <c r="N33" i="10"/>
  <c r="O17" i="10"/>
  <c r="M55" i="10"/>
  <c r="N76" i="10"/>
  <c r="M71" i="10"/>
  <c r="P47" i="10"/>
  <c r="M14" i="10"/>
  <c r="P102" i="10"/>
  <c r="O102" i="10"/>
  <c r="O52" i="10"/>
  <c r="M84" i="10"/>
  <c r="M52" i="10"/>
  <c r="P56" i="10"/>
  <c r="P49" i="10"/>
  <c r="O87" i="10"/>
  <c r="L19" i="10"/>
  <c r="M98" i="10"/>
  <c r="O47" i="10"/>
  <c r="P17" i="10"/>
  <c r="N55" i="10"/>
  <c r="O76" i="10"/>
  <c r="P99" i="7"/>
  <c r="P19" i="7"/>
  <c r="O93" i="7"/>
  <c r="N91" i="7"/>
  <c r="N54" i="7"/>
  <c r="M14" i="7"/>
  <c r="O101" i="7"/>
  <c r="P27" i="7"/>
  <c r="N84" i="7"/>
  <c r="L37" i="7"/>
  <c r="O83" i="7"/>
  <c r="M97" i="7"/>
  <c r="O56" i="7"/>
  <c r="N95" i="7"/>
  <c r="N85" i="7"/>
  <c r="O44" i="7"/>
  <c r="O51" i="7"/>
  <c r="D51" i="11" s="1"/>
  <c r="L92" i="7"/>
  <c r="L56" i="7"/>
  <c r="N92" i="7"/>
  <c r="M69" i="7"/>
  <c r="P36" i="7"/>
  <c r="O99" i="7"/>
  <c r="D99" i="11" s="1"/>
  <c r="M33" i="7"/>
  <c r="P59" i="7"/>
  <c r="O17" i="7"/>
  <c r="L70" i="7"/>
  <c r="P53" i="7"/>
  <c r="N12" i="7"/>
  <c r="L20" i="7"/>
  <c r="L27" i="7"/>
  <c r="P101" i="7"/>
  <c r="M95" i="7"/>
  <c r="L38" i="7"/>
  <c r="P37" i="7"/>
  <c r="O84" i="7"/>
  <c r="O92" i="7"/>
  <c r="N4" i="7"/>
  <c r="M67" i="7"/>
  <c r="O25" i="7"/>
  <c r="E25" i="11" s="1"/>
  <c r="O89" i="7"/>
  <c r="M27" i="7"/>
  <c r="M91" i="7"/>
  <c r="N37" i="7"/>
  <c r="P80" i="7"/>
  <c r="P32" i="7"/>
  <c r="P94" i="7"/>
  <c r="P62" i="7"/>
  <c r="P30" i="7"/>
  <c r="L77" i="7"/>
  <c r="O45" i="7"/>
  <c r="L71" i="7"/>
  <c r="P7" i="7"/>
  <c r="N102" i="7"/>
  <c r="N38" i="7"/>
  <c r="N6" i="7"/>
  <c r="P85" i="7"/>
  <c r="L13" i="7"/>
  <c r="P11" i="7"/>
  <c r="O59" i="7"/>
  <c r="M78" i="7"/>
  <c r="M37" i="7"/>
  <c r="P35" i="7"/>
  <c r="N33" i="7"/>
  <c r="O27" i="7"/>
  <c r="I27" i="11" s="1"/>
  <c r="M4" i="7"/>
  <c r="N44" i="7"/>
  <c r="M7" i="7"/>
  <c r="N79" i="7"/>
  <c r="M44" i="7"/>
  <c r="P28" i="7"/>
  <c r="P20" i="7"/>
  <c r="L36" i="7"/>
  <c r="L99" i="7"/>
  <c r="O38" i="7"/>
  <c r="O54" i="7"/>
  <c r="B33" i="7"/>
  <c r="O97" i="7"/>
  <c r="M35" i="7"/>
  <c r="M99" i="7"/>
  <c r="N53" i="7"/>
  <c r="N80" i="7"/>
  <c r="N32" i="7"/>
  <c r="N94" i="7"/>
  <c r="N62" i="7"/>
  <c r="P71" i="7"/>
  <c r="L7" i="7"/>
  <c r="L86" i="7"/>
  <c r="L54" i="7"/>
  <c r="L22" i="7"/>
  <c r="N61" i="7"/>
  <c r="O29" i="7"/>
  <c r="L89" i="7"/>
  <c r="M89" i="7"/>
  <c r="O19" i="7"/>
  <c r="O22" i="7"/>
  <c r="N22" i="7"/>
  <c r="M86" i="7"/>
  <c r="M6" i="7"/>
  <c r="M38" i="7"/>
  <c r="P29" i="7"/>
  <c r="P67" i="7"/>
  <c r="M48" i="7"/>
  <c r="M32" i="7"/>
  <c r="L78" i="7"/>
  <c r="L45" i="7"/>
  <c r="O71" i="7"/>
  <c r="O7" i="7"/>
  <c r="D7" i="11" s="1"/>
  <c r="P97" i="7"/>
  <c r="P4" i="7"/>
  <c r="O49" i="7"/>
  <c r="M61" i="7"/>
  <c r="L12" i="7"/>
  <c r="O86" i="7"/>
  <c r="O4" i="7"/>
  <c r="P56" i="7"/>
  <c r="M94" i="7"/>
  <c r="P78" i="7"/>
  <c r="P46" i="7"/>
  <c r="P14" i="7"/>
  <c r="P45" i="7"/>
  <c r="M11" i="7"/>
  <c r="L44" i="7"/>
  <c r="N86" i="7"/>
  <c r="N67" i="7"/>
  <c r="L75" i="7"/>
  <c r="L29" i="7"/>
  <c r="P54" i="7"/>
  <c r="O94" i="7"/>
  <c r="P83" i="7"/>
  <c r="N78" i="7"/>
  <c r="N46" i="7"/>
  <c r="L5" i="7"/>
  <c r="L60" i="7"/>
  <c r="P48" i="7"/>
  <c r="L94" i="7"/>
  <c r="L30" i="7"/>
  <c r="P49" i="7"/>
  <c r="O75" i="7"/>
  <c r="N59" i="7"/>
  <c r="N49" i="7"/>
  <c r="M19" i="7"/>
  <c r="M83" i="7"/>
  <c r="N21" i="7"/>
  <c r="P102" i="7"/>
  <c r="P38" i="7"/>
  <c r="P6" i="7"/>
  <c r="L85" i="7"/>
  <c r="O13" i="7"/>
  <c r="L53" i="7"/>
  <c r="M70" i="7"/>
  <c r="N60" i="7"/>
  <c r="O52" i="7"/>
  <c r="M52" i="7"/>
  <c r="L76" i="7"/>
  <c r="L48" i="7"/>
  <c r="M22" i="7"/>
  <c r="N52" i="7"/>
  <c r="M45" i="7"/>
  <c r="M5" i="7"/>
  <c r="L11" i="7"/>
  <c r="P21" i="7"/>
  <c r="P22" i="7"/>
  <c r="P52" i="7"/>
  <c r="O60" i="7"/>
  <c r="M60" i="7"/>
  <c r="L61" i="7"/>
  <c r="L67" i="7"/>
  <c r="M59" i="7"/>
  <c r="L59" i="7"/>
  <c r="O21" i="7"/>
  <c r="H21" i="11" s="1"/>
  <c r="O14" i="7"/>
  <c r="O68" i="7"/>
  <c r="O78" i="7"/>
  <c r="L69" i="7"/>
  <c r="L14" i="7"/>
  <c r="P69" i="7"/>
  <c r="M76" i="7"/>
  <c r="M12" i="7"/>
  <c r="L68" i="7"/>
  <c r="N48" i="7"/>
  <c r="M46" i="7"/>
  <c r="N76" i="7"/>
  <c r="O12" i="7"/>
  <c r="I12" i="11" s="1"/>
  <c r="O76" i="7"/>
  <c r="N69" i="7"/>
  <c r="L46" i="7"/>
  <c r="P70" i="7"/>
  <c r="N11" i="7"/>
  <c r="O11" i="7"/>
  <c r="I26" i="11" l="1"/>
  <c r="Q26" i="11" s="1"/>
  <c r="H9" i="11"/>
  <c r="M33" i="11"/>
  <c r="G6" i="11"/>
  <c r="D26" i="11"/>
  <c r="G9" i="11"/>
  <c r="D25" i="11"/>
  <c r="Q48" i="11"/>
  <c r="E26" i="11"/>
  <c r="H15" i="11"/>
  <c r="P15" i="11" s="1"/>
  <c r="N93" i="11"/>
  <c r="E9" i="11"/>
  <c r="J12" i="11"/>
  <c r="D27" i="11"/>
  <c r="O27" i="11" s="1"/>
  <c r="H25" i="11"/>
  <c r="E21" i="11"/>
  <c r="M21" i="11" s="1"/>
  <c r="J15" i="11"/>
  <c r="F9" i="11"/>
  <c r="E45" i="11"/>
  <c r="F15" i="11"/>
  <c r="F21" i="11"/>
  <c r="H12" i="11"/>
  <c r="P12" i="11" s="1"/>
  <c r="E27" i="11"/>
  <c r="M27" i="11" s="1"/>
  <c r="J25" i="11"/>
  <c r="D64" i="11"/>
  <c r="D21" i="11"/>
  <c r="P21" i="11" s="1"/>
  <c r="E99" i="11"/>
  <c r="M99" i="11" s="1"/>
  <c r="J7" i="11"/>
  <c r="E68" i="11"/>
  <c r="D49" i="11"/>
  <c r="O49" i="11" s="1"/>
  <c r="D56" i="11"/>
  <c r="G15" i="11"/>
  <c r="E93" i="11"/>
  <c r="G21" i="11"/>
  <c r="D9" i="11"/>
  <c r="M9" i="11" s="1"/>
  <c r="Q80" i="11"/>
  <c r="I7" i="11"/>
  <c r="E12" i="11"/>
  <c r="M12" i="11" s="1"/>
  <c r="F27" i="11"/>
  <c r="N27" i="11" s="1"/>
  <c r="Q56" i="11"/>
  <c r="E69" i="11"/>
  <c r="M69" i="11" s="1"/>
  <c r="D93" i="11"/>
  <c r="E15" i="11"/>
  <c r="M15" i="11" s="1"/>
  <c r="I21" i="11"/>
  <c r="J9" i="11"/>
  <c r="F7" i="11"/>
  <c r="D44" i="11"/>
  <c r="N44" i="11" s="1"/>
  <c r="G12" i="11"/>
  <c r="O12" i="11" s="1"/>
  <c r="J27" i="11"/>
  <c r="Q49" i="11"/>
  <c r="G25" i="11"/>
  <c r="N48" i="11"/>
  <c r="P56" i="11"/>
  <c r="H7" i="11"/>
  <c r="P7" i="11" s="1"/>
  <c r="E71" i="11"/>
  <c r="M71" i="11" s="1"/>
  <c r="D15" i="11"/>
  <c r="P93" i="11"/>
  <c r="J21" i="11"/>
  <c r="E80" i="11"/>
  <c r="M80" i="11" s="1"/>
  <c r="E7" i="11"/>
  <c r="M7" i="11" s="1"/>
  <c r="O44" i="11"/>
  <c r="D71" i="11"/>
  <c r="Q71" i="11" s="1"/>
  <c r="D68" i="11"/>
  <c r="F12" i="11"/>
  <c r="F25" i="11"/>
  <c r="E56" i="11"/>
  <c r="M56" i="11" s="1"/>
  <c r="E48" i="11"/>
  <c r="M48" i="11" s="1"/>
  <c r="I14" i="11"/>
  <c r="G7" i="11"/>
  <c r="O7" i="11" s="1"/>
  <c r="E49" i="11"/>
  <c r="O69" i="11"/>
  <c r="E61" i="11"/>
  <c r="G26" i="11"/>
  <c r="O26" i="11" s="1"/>
  <c r="P69" i="11"/>
  <c r="N62" i="11"/>
  <c r="N21" i="11"/>
  <c r="Q99" i="11"/>
  <c r="P64" i="11"/>
  <c r="N69" i="11"/>
  <c r="Q93" i="11"/>
  <c r="F26" i="11"/>
  <c r="N26" i="11" s="1"/>
  <c r="Q69" i="11"/>
  <c r="D53" i="11"/>
  <c r="H14" i="11"/>
  <c r="Q43" i="11"/>
  <c r="D66" i="11"/>
  <c r="M66" i="11" s="1"/>
  <c r="D91" i="11"/>
  <c r="F6" i="11"/>
  <c r="Q91" i="11"/>
  <c r="N43" i="11"/>
  <c r="D61" i="11"/>
  <c r="P61" i="11" s="1"/>
  <c r="D45" i="11"/>
  <c r="M45" i="11" s="1"/>
  <c r="D32" i="11"/>
  <c r="O32" i="11" s="1"/>
  <c r="E91" i="11"/>
  <c r="J6" i="11"/>
  <c r="H6" i="11"/>
  <c r="P6" i="11" s="1"/>
  <c r="Q33" i="11"/>
  <c r="N42" i="11"/>
  <c r="E42" i="11"/>
  <c r="M42" i="11" s="1"/>
  <c r="E53" i="11"/>
  <c r="G14" i="11"/>
  <c r="O14" i="11" s="1"/>
  <c r="E77" i="11"/>
  <c r="N51" i="11"/>
  <c r="E43" i="11"/>
  <c r="M43" i="11" s="1"/>
  <c r="Q30" i="11"/>
  <c r="P53" i="11"/>
  <c r="E6" i="11"/>
  <c r="M6" i="11" s="1"/>
  <c r="E14" i="11"/>
  <c r="P48" i="11"/>
  <c r="P30" i="11"/>
  <c r="Q59" i="11"/>
  <c r="D14" i="11"/>
  <c r="O99" i="11"/>
  <c r="Q7" i="11"/>
  <c r="Q42" i="11"/>
  <c r="Q46" i="11"/>
  <c r="M68" i="11"/>
  <c r="J14" i="11"/>
  <c r="F14" i="11"/>
  <c r="D77" i="11"/>
  <c r="E51" i="11"/>
  <c r="M51" i="11" s="1"/>
  <c r="N56" i="11"/>
  <c r="M30" i="11"/>
  <c r="M44" i="11"/>
  <c r="M49" i="11"/>
  <c r="Q62" i="11"/>
  <c r="M46" i="11"/>
  <c r="M26" i="11"/>
  <c r="P62" i="11"/>
  <c r="E94" i="11"/>
  <c r="N7" i="11"/>
  <c r="N12" i="11"/>
  <c r="Q51" i="11"/>
  <c r="O48" i="11"/>
  <c r="N59" i="11"/>
  <c r="Q64" i="11"/>
  <c r="D59" i="11"/>
  <c r="M59" i="11" s="1"/>
  <c r="P51" i="11"/>
  <c r="D94" i="11"/>
  <c r="M64" i="11"/>
  <c r="P26" i="11"/>
  <c r="P80" i="11"/>
  <c r="N30" i="11"/>
  <c r="P42" i="11"/>
  <c r="O68" i="11"/>
  <c r="Q27" i="11"/>
  <c r="P33" i="11"/>
  <c r="D102" i="11"/>
  <c r="E102" i="11"/>
  <c r="D81" i="11"/>
  <c r="E81" i="11"/>
  <c r="E60" i="11"/>
  <c r="D60" i="11"/>
  <c r="E88" i="11"/>
  <c r="D88" i="11"/>
  <c r="D55" i="11"/>
  <c r="E55" i="11"/>
  <c r="E29" i="11"/>
  <c r="F29" i="11"/>
  <c r="G29" i="11"/>
  <c r="I29" i="11"/>
  <c r="D29" i="11"/>
  <c r="H29" i="11"/>
  <c r="J29" i="11"/>
  <c r="D20" i="11"/>
  <c r="E20" i="11"/>
  <c r="J20" i="11"/>
  <c r="G20" i="11"/>
  <c r="H20" i="11"/>
  <c r="F20" i="11"/>
  <c r="I20" i="11"/>
  <c r="D34" i="11"/>
  <c r="Q34" i="11"/>
  <c r="D50" i="11"/>
  <c r="E50" i="11"/>
  <c r="D65" i="11"/>
  <c r="E65" i="11"/>
  <c r="D67" i="11"/>
  <c r="E67" i="11"/>
  <c r="D8" i="11"/>
  <c r="E8" i="11"/>
  <c r="G8" i="11"/>
  <c r="H8" i="11"/>
  <c r="I8" i="11"/>
  <c r="F8" i="11"/>
  <c r="J8" i="11"/>
  <c r="D89" i="11"/>
  <c r="E89" i="11"/>
  <c r="D86" i="11"/>
  <c r="E86" i="11"/>
  <c r="D96" i="11"/>
  <c r="E96" i="11"/>
  <c r="D41" i="11"/>
  <c r="E41" i="11"/>
  <c r="D63" i="11"/>
  <c r="E63" i="11"/>
  <c r="M63" i="11" s="1"/>
  <c r="D28" i="11"/>
  <c r="E28" i="11"/>
  <c r="F28" i="11"/>
  <c r="H28" i="11"/>
  <c r="I28" i="11"/>
  <c r="G28" i="11"/>
  <c r="J28" i="11"/>
  <c r="O9" i="11"/>
  <c r="E83" i="11"/>
  <c r="D83" i="11"/>
  <c r="Q83" i="11" s="1"/>
  <c r="N6" i="11"/>
  <c r="M25" i="11"/>
  <c r="E47" i="11"/>
  <c r="D47" i="11"/>
  <c r="D52" i="11"/>
  <c r="E52" i="11"/>
  <c r="J17" i="11"/>
  <c r="E17" i="11"/>
  <c r="F17" i="11"/>
  <c r="G17" i="11"/>
  <c r="D17" i="11"/>
  <c r="H17" i="11"/>
  <c r="P17" i="11" s="1"/>
  <c r="I17" i="11"/>
  <c r="D95" i="11"/>
  <c r="E95" i="11"/>
  <c r="E40" i="11"/>
  <c r="D40" i="11"/>
  <c r="G22" i="11"/>
  <c r="H22" i="11"/>
  <c r="I22" i="11"/>
  <c r="F22" i="11"/>
  <c r="D22" i="11"/>
  <c r="E22" i="11"/>
  <c r="J22" i="11"/>
  <c r="D37" i="11"/>
  <c r="E37" i="11"/>
  <c r="M37" i="11" s="1"/>
  <c r="D74" i="11"/>
  <c r="E74" i="11"/>
  <c r="D75" i="11"/>
  <c r="E75" i="11"/>
  <c r="D85" i="11"/>
  <c r="E85" i="11"/>
  <c r="O85" i="11"/>
  <c r="D90" i="11"/>
  <c r="E90" i="11"/>
  <c r="M93" i="11"/>
  <c r="O62" i="11"/>
  <c r="P99" i="11"/>
  <c r="O30" i="11"/>
  <c r="P46" i="11"/>
  <c r="N68" i="11"/>
  <c r="Q12" i="11"/>
  <c r="Q14" i="11"/>
  <c r="O56" i="11"/>
  <c r="E5" i="11"/>
  <c r="F5" i="11"/>
  <c r="G5" i="11"/>
  <c r="J5" i="11"/>
  <c r="H5" i="11"/>
  <c r="I5" i="11"/>
  <c r="D5" i="11"/>
  <c r="E13" i="11"/>
  <c r="F13" i="11"/>
  <c r="G13" i="11"/>
  <c r="D13" i="11"/>
  <c r="I13" i="11"/>
  <c r="H13" i="11"/>
  <c r="J13" i="11"/>
  <c r="I11" i="11"/>
  <c r="J11" i="11"/>
  <c r="D11" i="11"/>
  <c r="E11" i="11"/>
  <c r="F11" i="11"/>
  <c r="G11" i="11"/>
  <c r="H11" i="11"/>
  <c r="D79" i="11"/>
  <c r="E79" i="11"/>
  <c r="P43" i="11"/>
  <c r="D70" i="11"/>
  <c r="E70" i="11"/>
  <c r="N99" i="11"/>
  <c r="O46" i="11"/>
  <c r="Q6" i="11"/>
  <c r="E87" i="11"/>
  <c r="D87" i="11"/>
  <c r="D100" i="11"/>
  <c r="E100" i="11"/>
  <c r="D97" i="11"/>
  <c r="E97" i="11"/>
  <c r="D101" i="11"/>
  <c r="E101" i="11"/>
  <c r="D58" i="11"/>
  <c r="E58" i="11"/>
  <c r="D72" i="11"/>
  <c r="E72" i="11"/>
  <c r="G18" i="11"/>
  <c r="J18" i="11"/>
  <c r="H18" i="11"/>
  <c r="I18" i="11"/>
  <c r="D18" i="11"/>
  <c r="E18" i="11"/>
  <c r="F18" i="11"/>
  <c r="D78" i="11"/>
  <c r="E78" i="11"/>
  <c r="M62" i="11"/>
  <c r="D24" i="11"/>
  <c r="E24" i="11"/>
  <c r="F24" i="11"/>
  <c r="J24" i="11"/>
  <c r="G24" i="11"/>
  <c r="H24" i="11"/>
  <c r="I24" i="11"/>
  <c r="G10" i="11"/>
  <c r="J10" i="11"/>
  <c r="H10" i="11"/>
  <c r="I10" i="11"/>
  <c r="F10" i="11"/>
  <c r="D10" i="11"/>
  <c r="E10" i="11"/>
  <c r="O42" i="11"/>
  <c r="Q68" i="11"/>
  <c r="N33" i="11"/>
  <c r="Q25" i="11"/>
  <c r="D31" i="11"/>
  <c r="O51" i="11"/>
  <c r="E84" i="11"/>
  <c r="D84" i="11"/>
  <c r="E92" i="11"/>
  <c r="D92" i="11"/>
  <c r="P92" i="11"/>
  <c r="D39" i="11"/>
  <c r="E39" i="11"/>
  <c r="D73" i="11"/>
  <c r="E73" i="11"/>
  <c r="D82" i="11"/>
  <c r="E82" i="11"/>
  <c r="D35" i="11"/>
  <c r="I19" i="11"/>
  <c r="J19" i="11"/>
  <c r="E19" i="11"/>
  <c r="F19" i="11"/>
  <c r="G19" i="11"/>
  <c r="D19" i="11"/>
  <c r="H19" i="11"/>
  <c r="N15" i="11"/>
  <c r="O43" i="11"/>
  <c r="Q21" i="11"/>
  <c r="O80" i="11"/>
  <c r="N46" i="11"/>
  <c r="O6" i="11"/>
  <c r="P25" i="11"/>
  <c r="O64" i="11"/>
  <c r="D54" i="11"/>
  <c r="E54" i="11"/>
  <c r="Q54" i="11"/>
  <c r="D76" i="11"/>
  <c r="E76" i="11"/>
  <c r="M76" i="11" s="1"/>
  <c r="P36" i="11"/>
  <c r="D36" i="11"/>
  <c r="E36" i="11"/>
  <c r="D38" i="11"/>
  <c r="E38" i="11"/>
  <c r="D57" i="11"/>
  <c r="E57" i="11"/>
  <c r="G4" i="11"/>
  <c r="J4" i="11"/>
  <c r="E4" i="11"/>
  <c r="F4" i="11"/>
  <c r="N4" i="11" s="1"/>
  <c r="H4" i="11"/>
  <c r="I4" i="11"/>
  <c r="D4" i="11"/>
  <c r="I23" i="11"/>
  <c r="F23" i="11"/>
  <c r="G23" i="11"/>
  <c r="H23" i="11"/>
  <c r="D23" i="11"/>
  <c r="J23" i="11"/>
  <c r="E23" i="11"/>
  <c r="D98" i="11"/>
  <c r="E98" i="11"/>
  <c r="Q15" i="11"/>
  <c r="N94" i="11"/>
  <c r="N80" i="11"/>
  <c r="D16" i="11"/>
  <c r="E16" i="11"/>
  <c r="J16" i="11"/>
  <c r="I16" i="11"/>
  <c r="F16" i="11"/>
  <c r="H16" i="11"/>
  <c r="G16" i="11"/>
  <c r="O33" i="11"/>
  <c r="O25" i="11"/>
  <c r="N64" i="11"/>
  <c r="M61" i="11" l="1"/>
  <c r="O71" i="11"/>
  <c r="P27" i="11"/>
  <c r="O22" i="11"/>
  <c r="Q44" i="11"/>
  <c r="N14" i="11"/>
  <c r="M91" i="11"/>
  <c r="P68" i="11"/>
  <c r="N49" i="11"/>
  <c r="O21" i="11"/>
  <c r="P9" i="11"/>
  <c r="Q19" i="11"/>
  <c r="O92" i="11"/>
  <c r="P44" i="11"/>
  <c r="N25" i="11"/>
  <c r="O93" i="11"/>
  <c r="O15" i="11"/>
  <c r="N91" i="11"/>
  <c r="P71" i="11"/>
  <c r="Q61" i="11"/>
  <c r="P49" i="11"/>
  <c r="Q9" i="11"/>
  <c r="N9" i="11"/>
  <c r="Q20" i="11"/>
  <c r="M102" i="11"/>
  <c r="N39" i="11"/>
  <c r="O45" i="11"/>
  <c r="N71" i="11"/>
  <c r="O61" i="11"/>
  <c r="Q45" i="11"/>
  <c r="N85" i="11"/>
  <c r="O63" i="11"/>
  <c r="N45" i="11"/>
  <c r="O59" i="11"/>
  <c r="P45" i="11"/>
  <c r="N10" i="11"/>
  <c r="P24" i="11"/>
  <c r="O78" i="11"/>
  <c r="M18" i="11"/>
  <c r="P100" i="11"/>
  <c r="M13" i="11"/>
  <c r="M20" i="11"/>
  <c r="O53" i="11"/>
  <c r="Q32" i="11"/>
  <c r="N36" i="11"/>
  <c r="M53" i="11"/>
  <c r="P32" i="11"/>
  <c r="P59" i="11"/>
  <c r="Q53" i="11"/>
  <c r="N66" i="11"/>
  <c r="P66" i="11"/>
  <c r="N32" i="11"/>
  <c r="N53" i="11"/>
  <c r="O91" i="11"/>
  <c r="O66" i="11"/>
  <c r="Q82" i="11"/>
  <c r="M32" i="11"/>
  <c r="O90" i="11"/>
  <c r="P75" i="11"/>
  <c r="M74" i="11"/>
  <c r="M95" i="11"/>
  <c r="O52" i="11"/>
  <c r="M47" i="11"/>
  <c r="O41" i="11"/>
  <c r="N86" i="11"/>
  <c r="P65" i="11"/>
  <c r="P50" i="11"/>
  <c r="O20" i="11"/>
  <c r="N81" i="11"/>
  <c r="P102" i="11"/>
  <c r="Q76" i="11"/>
  <c r="Q95" i="11"/>
  <c r="M52" i="11"/>
  <c r="P47" i="11"/>
  <c r="O28" i="11"/>
  <c r="O84" i="11"/>
  <c r="N58" i="11"/>
  <c r="N70" i="11"/>
  <c r="Q77" i="11"/>
  <c r="Q66" i="11"/>
  <c r="O35" i="11"/>
  <c r="M82" i="11"/>
  <c r="O72" i="11"/>
  <c r="O101" i="11"/>
  <c r="M98" i="11"/>
  <c r="M4" i="11"/>
  <c r="N76" i="11"/>
  <c r="M35" i="11"/>
  <c r="Q92" i="11"/>
  <c r="N84" i="11"/>
  <c r="P31" i="11"/>
  <c r="O24" i="11"/>
  <c r="Q78" i="11"/>
  <c r="M72" i="11"/>
  <c r="O87" i="11"/>
  <c r="N61" i="11"/>
  <c r="O94" i="11"/>
  <c r="P91" i="11"/>
  <c r="M14" i="11"/>
  <c r="P77" i="11"/>
  <c r="N22" i="11"/>
  <c r="N95" i="11"/>
  <c r="Q4" i="11"/>
  <c r="O36" i="11"/>
  <c r="M54" i="11"/>
  <c r="N92" i="11"/>
  <c r="Q84" i="11"/>
  <c r="Q101" i="11"/>
  <c r="O70" i="11"/>
  <c r="Q85" i="11"/>
  <c r="Q22" i="11"/>
  <c r="O67" i="11"/>
  <c r="N20" i="11"/>
  <c r="O77" i="11"/>
  <c r="P14" i="11"/>
  <c r="M77" i="11"/>
  <c r="N60" i="11"/>
  <c r="O47" i="11"/>
  <c r="Q86" i="11"/>
  <c r="P4" i="11"/>
  <c r="Q36" i="11"/>
  <c r="M92" i="11"/>
  <c r="P85" i="11"/>
  <c r="P22" i="11"/>
  <c r="M8" i="11"/>
  <c r="N67" i="11"/>
  <c r="Q50" i="11"/>
  <c r="O34" i="11"/>
  <c r="P20" i="11"/>
  <c r="P55" i="11"/>
  <c r="Q88" i="11"/>
  <c r="P60" i="11"/>
  <c r="N77" i="11"/>
  <c r="Q94" i="11"/>
  <c r="P94" i="11"/>
  <c r="N54" i="11"/>
  <c r="N35" i="11"/>
  <c r="Q39" i="11"/>
  <c r="M84" i="11"/>
  <c r="N31" i="11"/>
  <c r="N24" i="11"/>
  <c r="P18" i="11"/>
  <c r="Q72" i="11"/>
  <c r="P58" i="11"/>
  <c r="Q100" i="11"/>
  <c r="P13" i="11"/>
  <c r="P5" i="11"/>
  <c r="M90" i="11"/>
  <c r="N75" i="11"/>
  <c r="O37" i="11"/>
  <c r="M40" i="11"/>
  <c r="P95" i="11"/>
  <c r="N17" i="11"/>
  <c r="Q52" i="11"/>
  <c r="N47" i="11"/>
  <c r="P28" i="11"/>
  <c r="P63" i="11"/>
  <c r="O65" i="11"/>
  <c r="N34" i="11"/>
  <c r="O60" i="11"/>
  <c r="P81" i="11"/>
  <c r="N102" i="11"/>
  <c r="O76" i="11"/>
  <c r="O82" i="11"/>
  <c r="M31" i="11"/>
  <c r="M24" i="11"/>
  <c r="P72" i="11"/>
  <c r="M101" i="11"/>
  <c r="P70" i="11"/>
  <c r="Q13" i="11"/>
  <c r="Q74" i="11"/>
  <c r="P52" i="11"/>
  <c r="M94" i="11"/>
  <c r="P76" i="11"/>
  <c r="Q35" i="11"/>
  <c r="P82" i="11"/>
  <c r="P39" i="11"/>
  <c r="P84" i="11"/>
  <c r="Q31" i="11"/>
  <c r="M78" i="11"/>
  <c r="N72" i="11"/>
  <c r="N101" i="11"/>
  <c r="O13" i="11"/>
  <c r="O74" i="11"/>
  <c r="N52" i="11"/>
  <c r="P86" i="11"/>
  <c r="M60" i="11"/>
  <c r="O23" i="11"/>
  <c r="Q57" i="11"/>
  <c r="M38" i="11"/>
  <c r="P54" i="11"/>
  <c r="P35" i="11"/>
  <c r="O73" i="11"/>
  <c r="M10" i="11"/>
  <c r="Q24" i="11"/>
  <c r="O58" i="11"/>
  <c r="P101" i="11"/>
  <c r="N87" i="11"/>
  <c r="Q70" i="11"/>
  <c r="O79" i="11"/>
  <c r="Q11" i="11"/>
  <c r="N13" i="11"/>
  <c r="M5" i="11"/>
  <c r="Q90" i="11"/>
  <c r="N74" i="11"/>
  <c r="N37" i="11"/>
  <c r="P40" i="11"/>
  <c r="Q17" i="11"/>
  <c r="Q47" i="11"/>
  <c r="Q63" i="11"/>
  <c r="P41" i="11"/>
  <c r="O96" i="11"/>
  <c r="O86" i="11"/>
  <c r="M89" i="11"/>
  <c r="O8" i="11"/>
  <c r="N88" i="11"/>
  <c r="Q60" i="11"/>
  <c r="Q29" i="11"/>
  <c r="O16" i="11"/>
  <c r="P98" i="11"/>
  <c r="N19" i="11"/>
  <c r="N18" i="11"/>
  <c r="M58" i="11"/>
  <c r="N41" i="11"/>
  <c r="N96" i="11"/>
  <c r="O29" i="11"/>
  <c r="P88" i="11"/>
  <c r="P16" i="11"/>
  <c r="O98" i="11"/>
  <c r="N23" i="11"/>
  <c r="O4" i="11"/>
  <c r="O38" i="11"/>
  <c r="M36" i="11"/>
  <c r="O54" i="11"/>
  <c r="M19" i="11"/>
  <c r="N82" i="11"/>
  <c r="O31" i="11"/>
  <c r="Q10" i="11"/>
  <c r="P78" i="11"/>
  <c r="Q18" i="11"/>
  <c r="N100" i="11"/>
  <c r="Q87" i="11"/>
  <c r="M70" i="11"/>
  <c r="N79" i="11"/>
  <c r="Q5" i="11"/>
  <c r="N90" i="11"/>
  <c r="M85" i="11"/>
  <c r="O75" i="11"/>
  <c r="P74" i="11"/>
  <c r="N40" i="11"/>
  <c r="O95" i="11"/>
  <c r="O17" i="11"/>
  <c r="M83" i="11"/>
  <c r="Q28" i="11"/>
  <c r="M41" i="11"/>
  <c r="P96" i="11"/>
  <c r="M86" i="11"/>
  <c r="M67" i="11"/>
  <c r="Q65" i="11"/>
  <c r="O50" i="11"/>
  <c r="P34" i="11"/>
  <c r="N29" i="11"/>
  <c r="N55" i="11"/>
  <c r="M81" i="11"/>
  <c r="Q102" i="11"/>
  <c r="Q97" i="11"/>
  <c r="P79" i="11"/>
  <c r="N16" i="11"/>
  <c r="Q23" i="11"/>
  <c r="N73" i="11"/>
  <c r="P10" i="11"/>
  <c r="P11" i="11"/>
  <c r="M29" i="11"/>
  <c r="Q16" i="11"/>
  <c r="N57" i="11"/>
  <c r="Q73" i="11"/>
  <c r="M39" i="11"/>
  <c r="N78" i="11"/>
  <c r="O97" i="11"/>
  <c r="O100" i="11"/>
  <c r="M87" i="11"/>
  <c r="Q79" i="11"/>
  <c r="O11" i="11"/>
  <c r="Q37" i="11"/>
  <c r="M22" i="11"/>
  <c r="M17" i="11"/>
  <c r="N28" i="11"/>
  <c r="O89" i="11"/>
  <c r="N8" i="11"/>
  <c r="Q67" i="11"/>
  <c r="N65" i="11"/>
  <c r="M50" i="11"/>
  <c r="M34" i="11"/>
  <c r="M55" i="11"/>
  <c r="O81" i="11"/>
  <c r="P23" i="11"/>
  <c r="O57" i="11"/>
  <c r="P97" i="11"/>
  <c r="N89" i="11"/>
  <c r="M23" i="11"/>
  <c r="M57" i="11"/>
  <c r="Q38" i="11"/>
  <c r="P73" i="11"/>
  <c r="O39" i="11"/>
  <c r="O10" i="11"/>
  <c r="O18" i="11"/>
  <c r="Q58" i="11"/>
  <c r="N97" i="11"/>
  <c r="M100" i="11"/>
  <c r="P87" i="11"/>
  <c r="N11" i="11"/>
  <c r="O5" i="11"/>
  <c r="P90" i="11"/>
  <c r="M75" i="11"/>
  <c r="P37" i="11"/>
  <c r="O40" i="11"/>
  <c r="O83" i="11"/>
  <c r="M28" i="11"/>
  <c r="N63" i="11"/>
  <c r="M96" i="11"/>
  <c r="Q89" i="11"/>
  <c r="Q8" i="11"/>
  <c r="P67" i="11"/>
  <c r="M65" i="11"/>
  <c r="Q55" i="11"/>
  <c r="O88" i="11"/>
  <c r="Q81" i="11"/>
  <c r="O102" i="11"/>
  <c r="O19" i="11"/>
  <c r="N98" i="11"/>
  <c r="P38" i="11"/>
  <c r="P83" i="11"/>
  <c r="M16" i="11"/>
  <c r="Q98" i="11"/>
  <c r="P57" i="11"/>
  <c r="N38" i="11"/>
  <c r="P19" i="11"/>
  <c r="M73" i="11"/>
  <c r="M97" i="11"/>
  <c r="M79" i="11"/>
  <c r="M11" i="11"/>
  <c r="N5" i="11"/>
  <c r="Q75" i="11"/>
  <c r="Q40" i="11"/>
  <c r="N83" i="11"/>
  <c r="Q41" i="11"/>
  <c r="Q96" i="11"/>
  <c r="P89" i="11"/>
  <c r="P8" i="11"/>
  <c r="N50" i="11"/>
  <c r="P29" i="11"/>
  <c r="O55" i="11"/>
  <c r="M88" i="1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txt" comma="1" qualifier="singleQuote">
      <textFields count="4">
        <textField/>
        <textField/>
        <textField/>
        <textField/>
      </textFields>
    </textPr>
  </connection>
  <connection id="2" name="temp1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3" name="temp11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4" name="temp111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5" name="temp2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6" name="temp3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7" name="temp4" type="6" refreshedVersion="4" background="1" saveData="1">
    <textPr codePage="437" sourceFile="C:\Users\lien.chen\Desktop\temp.txt" comma="1" qualifier="singleQuote">
      <textFields count="4">
        <textField/>
        <textField/>
        <textField/>
        <textField/>
      </textFields>
    </textPr>
  </connection>
  <connection id="8" name="temp5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9" name="temp6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10" name="temp7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<sst xmlns="http://schemas.openxmlformats.org/spreadsheetml/2006/main" count="2666" uniqueCount="104">
  <si>
    <t>servicerName</t>
  </si>
  <si>
    <t>asOf</t>
  </si>
  <si>
    <t>TotalBalance</t>
  </si>
  <si>
    <t>Rank</t>
  </si>
  <si>
    <t>CITI</t>
  </si>
  <si>
    <t>PHH</t>
  </si>
  <si>
    <t>BANK OF AMERICA</t>
  </si>
  <si>
    <t>CWB</t>
  </si>
  <si>
    <t>US BANK</t>
  </si>
  <si>
    <t>OHIO SAVINGS BANK</t>
  </si>
  <si>
    <t>CENTRAL MORTGAGE</t>
  </si>
  <si>
    <t>OPTEUM GROUP</t>
  </si>
  <si>
    <t>FLAGSTAR</t>
  </si>
  <si>
    <t>WELLS FARGO</t>
  </si>
  <si>
    <t>WACHOVIA</t>
  </si>
  <si>
    <t>NETBANK FUNDING SERVICES</t>
  </si>
  <si>
    <t>CHASE</t>
  </si>
  <si>
    <t>WAMU</t>
  </si>
  <si>
    <t>FIRST BANK OF TENNESSEE</t>
  </si>
  <si>
    <t>EVERBANK</t>
  </si>
  <si>
    <t>STANDARD MORTGAGE CORPORATION</t>
  </si>
  <si>
    <t>PNC</t>
  </si>
  <si>
    <t>USAA</t>
  </si>
  <si>
    <t>HIBERNIA NATIONAL BANK</t>
  </si>
  <si>
    <t>AMERICAN HOME MORTGAGE CORPORATION</t>
  </si>
  <si>
    <t>ALLY</t>
  </si>
  <si>
    <t>GUARANTY BANK F.S.B.</t>
  </si>
  <si>
    <t>M&amp;T MORTGAGE CORPORATION</t>
  </si>
  <si>
    <t>SALEM FIVE MORTGAGE COMPANY, LLC</t>
  </si>
  <si>
    <t>TRUSTCORP MORTGAGE COMPANY</t>
  </si>
  <si>
    <t>INDYMAC BANK, FSB</t>
  </si>
  <si>
    <t>ABM</t>
  </si>
  <si>
    <t>FREEDOM</t>
  </si>
  <si>
    <t>MORGAN STANLEY MORTGAGE CAPITAL</t>
  </si>
  <si>
    <t>REGIONS BANK</t>
  </si>
  <si>
    <t>IRWIN</t>
  </si>
  <si>
    <t>TRUSTMARK NATIONAL BANK</t>
  </si>
  <si>
    <t>HSBC</t>
  </si>
  <si>
    <t>GREYSTONE</t>
  </si>
  <si>
    <t>ENTERPRISE MORTGAGE INVESTMENTS INC.</t>
  </si>
  <si>
    <t>RED MORTGAGE CAPITAL, INC.</t>
  </si>
  <si>
    <t>AMERICAN PROPERTY FINANCING INC.</t>
  </si>
  <si>
    <t>ARBOR</t>
  </si>
  <si>
    <t>DB MORTGAGE SERVICES, LLC</t>
  </si>
  <si>
    <t>PRUDENTIAL MULTIFAMILY MORTGAGE INC.</t>
  </si>
  <si>
    <t>COLUMN GUARANTEED LLC</t>
  </si>
  <si>
    <t>GLASER FINANCIAL GROUP INC.</t>
  </si>
  <si>
    <t>ARCS COMMERCIAL MORTGAGE COMPANY, L.P.</t>
  </si>
  <si>
    <t>COLLATERAL MORTGAGE CAPITAL, LLC</t>
  </si>
  <si>
    <t>GREEN PARK FINANCIAL LIMITED PARTNERSHIP</t>
  </si>
  <si>
    <t>EAST WEST BANK</t>
  </si>
  <si>
    <t>CWCAPITAL</t>
  </si>
  <si>
    <t>CAPMARK FINANCE INC.</t>
  </si>
  <si>
    <t>INDEPENDENCE COMMUNITY BANK</t>
  </si>
  <si>
    <t>KEYCORP REAL ESTATE CAPITAL MARKETS, INC</t>
  </si>
  <si>
    <t>COLLATERAL REAL ESTATE CAPITAL, LLC</t>
  </si>
  <si>
    <t>SOVEREIGN</t>
  </si>
  <si>
    <t>SUNTRUST</t>
  </si>
  <si>
    <t>AMTRUST</t>
  </si>
  <si>
    <t>M &amp; T REALTY CAPITAL CORPORATION</t>
  </si>
  <si>
    <t>FIFTH THIRD</t>
  </si>
  <si>
    <t>RBS</t>
  </si>
  <si>
    <t>FANNIE MAE</t>
  </si>
  <si>
    <t>ASSOCIATED</t>
  </si>
  <si>
    <t>FREMONT BANK</t>
  </si>
  <si>
    <t>NY COMMUNITY</t>
  </si>
  <si>
    <t>WALKER&amp;DUNLOP</t>
  </si>
  <si>
    <t>THIRD FEDERAL</t>
  </si>
  <si>
    <t>TD BANK, N.A.</t>
  </si>
  <si>
    <t>QUICKEN</t>
  </si>
  <si>
    <t>BEECH STREET CAPITAL, LLC</t>
  </si>
  <si>
    <t>NYCB MORTGAGE COMPANY, LLC</t>
  </si>
  <si>
    <t>CHICAGO MORTGAGE SOLUTIONS DBA INTERBANK</t>
  </si>
  <si>
    <t>FRANKLIN AMERICAN MORTGAGE COMPANY</t>
  </si>
  <si>
    <t>NAVY FED</t>
  </si>
  <si>
    <t>PENNYMAC CORP.</t>
  </si>
  <si>
    <t>PROVIDENT FUNDING</t>
  </si>
  <si>
    <t>NATIONSTAR</t>
  </si>
  <si>
    <t>GREEN TREE SERVICING, LLC</t>
  </si>
  <si>
    <t>ROUNDPOINT MORTGAGE SERVICING CORPORATIO</t>
  </si>
  <si>
    <t>STEARNS LENDING, INC.</t>
  </si>
  <si>
    <t>PINGORA LOAN SERVICING, INC.</t>
  </si>
  <si>
    <t>Row Labels</t>
  </si>
  <si>
    <t>Grand Total</t>
  </si>
  <si>
    <t>Sum of TotalBalance</t>
  </si>
  <si>
    <t>Total</t>
  </si>
  <si>
    <t>Top Ten</t>
  </si>
  <si>
    <t>(Multiple Items)</t>
  </si>
  <si>
    <t>Top Five</t>
  </si>
  <si>
    <t>Top One</t>
  </si>
  <si>
    <t>Top 10</t>
  </si>
  <si>
    <t>Top 5</t>
  </si>
  <si>
    <t>Top 1</t>
  </si>
  <si>
    <t>N/A</t>
  </si>
  <si>
    <t>Remaining</t>
  </si>
  <si>
    <t>Total - 1 month lag</t>
  </si>
  <si>
    <t>N/A - 1 month lag</t>
  </si>
  <si>
    <t>Remaining - 1 month lag</t>
  </si>
  <si>
    <t>CHARTER ONE MORTGAGE CORP.</t>
  </si>
  <si>
    <t>METLIFE</t>
  </si>
  <si>
    <t>Total - no lag</t>
  </si>
  <si>
    <t>N/A - no lag</t>
  </si>
  <si>
    <t>Remaining - no lag</t>
  </si>
  <si>
    <t>Month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</si>
</sst>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2" applyFont="1"/>
    <xf numFmtId="164" fontId="0" fillId="0" borderId="0" xfId="1" applyNumberFormat="1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2" borderId="0" xfId="2" applyFont="1" applyFill="1"/>
    <xf numFmtId="164" fontId="0" fillId="0" borderId="0" xfId="0" applyNumberFormat="1"/>
    <xf numFmtId="14" fontId="0" fillId="3" borderId="0" xfId="0" applyNumberFormat="1" applyFill="1"/>
    <xf numFmtId="0" fontId="0" fillId="3" borderId="0" xfId="0" applyFill="1"/>
    <xf numFmtId="9" fontId="0" fillId="3" borderId="0" xfId="2" applyFont="1" applyFill="1"/>
    <xf numFmtId="9" fontId="2" fillId="3" borderId="0" xfId="2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'Result-Combine'!$M$3</c:f>
              <c:strCache>
                <c:ptCount val="1"/>
                <c:pt idx="0">
                  <c:v>Top 10</c:v>
                </c:pt>
              </c:strCache>
            </c:strRef>
          </c:tx>
          <c:marker>
            <c:symbol val="none"/>
          </c:marker>
          <c:cat>
            <c:numRef>
              <c:f>'Result-Combine'!$L$4:$L$102</c:f>
              <c:numCache>
                <c:formatCode>m/d/yyyy</c:formatCode>
                <c:ptCount val="97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40026</c:v>
                </c:pt>
                <c:pt idx="30">
                  <c:v>40057</c:v>
                </c:pt>
                <c:pt idx="31">
                  <c:v>40087</c:v>
                </c:pt>
                <c:pt idx="32">
                  <c:v>40118</c:v>
                </c:pt>
                <c:pt idx="33">
                  <c:v>40148</c:v>
                </c:pt>
                <c:pt idx="34">
                  <c:v>40179</c:v>
                </c:pt>
                <c:pt idx="35">
                  <c:v>40210</c:v>
                </c:pt>
                <c:pt idx="36">
                  <c:v>40238</c:v>
                </c:pt>
                <c:pt idx="37">
                  <c:v>40269</c:v>
                </c:pt>
                <c:pt idx="38">
                  <c:v>40299</c:v>
                </c:pt>
                <c:pt idx="39">
                  <c:v>40330</c:v>
                </c:pt>
                <c:pt idx="40">
                  <c:v>40360</c:v>
                </c:pt>
                <c:pt idx="41">
                  <c:v>40391</c:v>
                </c:pt>
                <c:pt idx="42">
                  <c:v>40422</c:v>
                </c:pt>
                <c:pt idx="43">
                  <c:v>40452</c:v>
                </c:pt>
                <c:pt idx="44">
                  <c:v>40483</c:v>
                </c:pt>
                <c:pt idx="45">
                  <c:v>40513</c:v>
                </c:pt>
                <c:pt idx="46">
                  <c:v>40544</c:v>
                </c:pt>
                <c:pt idx="47">
                  <c:v>40575</c:v>
                </c:pt>
                <c:pt idx="48">
                  <c:v>40603</c:v>
                </c:pt>
                <c:pt idx="49">
                  <c:v>40634</c:v>
                </c:pt>
                <c:pt idx="50">
                  <c:v>40664</c:v>
                </c:pt>
                <c:pt idx="51">
                  <c:v>40695</c:v>
                </c:pt>
                <c:pt idx="52">
                  <c:v>40725</c:v>
                </c:pt>
                <c:pt idx="53">
                  <c:v>40756</c:v>
                </c:pt>
                <c:pt idx="54">
                  <c:v>40787</c:v>
                </c:pt>
                <c:pt idx="55">
                  <c:v>40817</c:v>
                </c:pt>
                <c:pt idx="56">
                  <c:v>40848</c:v>
                </c:pt>
                <c:pt idx="57">
                  <c:v>40878</c:v>
                </c:pt>
                <c:pt idx="58">
                  <c:v>40909</c:v>
                </c:pt>
                <c:pt idx="59">
                  <c:v>40940</c:v>
                </c:pt>
                <c:pt idx="60">
                  <c:v>40969</c:v>
                </c:pt>
                <c:pt idx="61">
                  <c:v>41000</c:v>
                </c:pt>
                <c:pt idx="62">
                  <c:v>41030</c:v>
                </c:pt>
                <c:pt idx="63">
                  <c:v>41061</c:v>
                </c:pt>
                <c:pt idx="64">
                  <c:v>41091</c:v>
                </c:pt>
                <c:pt idx="65">
                  <c:v>41122</c:v>
                </c:pt>
                <c:pt idx="66">
                  <c:v>41153</c:v>
                </c:pt>
                <c:pt idx="67">
                  <c:v>41183</c:v>
                </c:pt>
                <c:pt idx="68">
                  <c:v>41214</c:v>
                </c:pt>
                <c:pt idx="69">
                  <c:v>41244</c:v>
                </c:pt>
                <c:pt idx="70">
                  <c:v>41275</c:v>
                </c:pt>
                <c:pt idx="71">
                  <c:v>41306</c:v>
                </c:pt>
                <c:pt idx="72">
                  <c:v>41334</c:v>
                </c:pt>
                <c:pt idx="73">
                  <c:v>41365</c:v>
                </c:pt>
                <c:pt idx="74">
                  <c:v>41395</c:v>
                </c:pt>
                <c:pt idx="75">
                  <c:v>41426</c:v>
                </c:pt>
                <c:pt idx="76">
                  <c:v>41456</c:v>
                </c:pt>
                <c:pt idx="77">
                  <c:v>41487</c:v>
                </c:pt>
                <c:pt idx="78">
                  <c:v>41518</c:v>
                </c:pt>
                <c:pt idx="79">
                  <c:v>41548</c:v>
                </c:pt>
                <c:pt idx="80">
                  <c:v>41579</c:v>
                </c:pt>
                <c:pt idx="81">
                  <c:v>41609</c:v>
                </c:pt>
                <c:pt idx="82">
                  <c:v>41640</c:v>
                </c:pt>
                <c:pt idx="83">
                  <c:v>41671</c:v>
                </c:pt>
                <c:pt idx="84">
                  <c:v>41699</c:v>
                </c:pt>
                <c:pt idx="85">
                  <c:v>41730</c:v>
                </c:pt>
                <c:pt idx="86">
                  <c:v>41760</c:v>
                </c:pt>
                <c:pt idx="87">
                  <c:v>41791</c:v>
                </c:pt>
                <c:pt idx="88">
                  <c:v>41821</c:v>
                </c:pt>
                <c:pt idx="89">
                  <c:v>41852</c:v>
                </c:pt>
                <c:pt idx="90">
                  <c:v>41883</c:v>
                </c:pt>
                <c:pt idx="91">
                  <c:v>41913</c:v>
                </c:pt>
                <c:pt idx="92">
                  <c:v>41944</c:v>
                </c:pt>
                <c:pt idx="93">
                  <c:v>41974</c:v>
                </c:pt>
                <c:pt idx="94">
                  <c:v>42005</c:v>
                </c:pt>
                <c:pt idx="95">
                  <c:v>42036</c:v>
                </c:pt>
                <c:pt idx="96">
                  <c:v>42064</c:v>
                </c:pt>
              </c:numCache>
            </c:numRef>
          </c:cat>
          <c:val>
            <c:numRef>
              <c:f>'Result-Combine'!$M$4:$M$102</c:f>
              <c:numCache>
                <c:formatCode>0%</c:formatCode>
                <c:ptCount val="97"/>
                <c:pt idx="0">
                  <c:v>0.82226979817186741</c:v>
                </c:pt>
                <c:pt idx="1">
                  <c:v>0.84759009584030343</c:v>
                </c:pt>
                <c:pt idx="2">
                  <c:v>0.83128848355068297</c:v>
                </c:pt>
                <c:pt idx="3">
                  <c:v>0.84909534807570508</c:v>
                </c:pt>
                <c:pt idx="4">
                  <c:v>0.82070296342721849</c:v>
                </c:pt>
                <c:pt idx="5">
                  <c:v>0.81128916874379287</c:v>
                </c:pt>
                <c:pt idx="6">
                  <c:v>0.82354532083684107</c:v>
                </c:pt>
                <c:pt idx="7">
                  <c:v>0.80902255709518578</c:v>
                </c:pt>
                <c:pt idx="8">
                  <c:v>0.82312204926633037</c:v>
                </c:pt>
                <c:pt idx="9">
                  <c:v>0.79633927432313689</c:v>
                </c:pt>
                <c:pt idx="10">
                  <c:v>0.83105304212478759</c:v>
                </c:pt>
                <c:pt idx="11">
                  <c:v>0.81340974207374728</c:v>
                </c:pt>
                <c:pt idx="12">
                  <c:v>0.84366917946716147</c:v>
                </c:pt>
                <c:pt idx="13">
                  <c:v>0.81832322247960332</c:v>
                </c:pt>
                <c:pt idx="14">
                  <c:v>0.87473858884312328</c:v>
                </c:pt>
                <c:pt idx="15">
                  <c:v>0.82670438751832354</c:v>
                </c:pt>
                <c:pt idx="16">
                  <c:v>0.83333097378651533</c:v>
                </c:pt>
                <c:pt idx="17">
                  <c:v>0.84894578515123986</c:v>
                </c:pt>
                <c:pt idx="18">
                  <c:v>0.81832029671621664</c:v>
                </c:pt>
                <c:pt idx="19">
                  <c:v>0.80813697680937824</c:v>
                </c:pt>
                <c:pt idx="20">
                  <c:v>0.81087076338181574</c:v>
                </c:pt>
                <c:pt idx="21">
                  <c:v>0.80451915645507011</c:v>
                </c:pt>
                <c:pt idx="22">
                  <c:v>0.82973930552847597</c:v>
                </c:pt>
                <c:pt idx="23">
                  <c:v>0.79373038543231456</c:v>
                </c:pt>
                <c:pt idx="24">
                  <c:v>0.82061980589110017</c:v>
                </c:pt>
                <c:pt idx="25">
                  <c:v>0.7038161100840955</c:v>
                </c:pt>
                <c:pt idx="26">
                  <c:v>0.72946759080252876</c:v>
                </c:pt>
                <c:pt idx="27">
                  <c:v>0.7677108961387592</c:v>
                </c:pt>
                <c:pt idx="28">
                  <c:v>0.64028607383387015</c:v>
                </c:pt>
                <c:pt idx="29">
                  <c:v>0.68540251907737237</c:v>
                </c:pt>
                <c:pt idx="30">
                  <c:v>0.66841729368308134</c:v>
                </c:pt>
                <c:pt idx="31">
                  <c:v>0.70607913097161878</c:v>
                </c:pt>
                <c:pt idx="32">
                  <c:v>0.72782691587093595</c:v>
                </c:pt>
                <c:pt idx="33">
                  <c:v>0.72465753151748546</c:v>
                </c:pt>
                <c:pt idx="34">
                  <c:v>0.7479507732683085</c:v>
                </c:pt>
                <c:pt idx="35">
                  <c:v>0.7216283163555367</c:v>
                </c:pt>
                <c:pt idx="36">
                  <c:v>0.77198987761874016</c:v>
                </c:pt>
                <c:pt idx="37">
                  <c:v>0.78950295541143867</c:v>
                </c:pt>
                <c:pt idx="38">
                  <c:v>0.76989769902918825</c:v>
                </c:pt>
                <c:pt idx="39">
                  <c:v>0.70018733082941975</c:v>
                </c:pt>
                <c:pt idx="40">
                  <c:v>0.69685309878974544</c:v>
                </c:pt>
                <c:pt idx="41">
                  <c:v>0.64342674052827942</c:v>
                </c:pt>
                <c:pt idx="42">
                  <c:v>0.72124251822583418</c:v>
                </c:pt>
                <c:pt idx="43">
                  <c:v>0.64058609164413993</c:v>
                </c:pt>
                <c:pt idx="44">
                  <c:v>0.62514953519319638</c:v>
                </c:pt>
                <c:pt idx="45">
                  <c:v>0.68212992105766324</c:v>
                </c:pt>
                <c:pt idx="46">
                  <c:v>0.69521610357481167</c:v>
                </c:pt>
                <c:pt idx="47">
                  <c:v>0.71553020211085294</c:v>
                </c:pt>
                <c:pt idx="48">
                  <c:v>0.72966961448058409</c:v>
                </c:pt>
                <c:pt idx="49">
                  <c:v>0.67549829521531435</c:v>
                </c:pt>
                <c:pt idx="50">
                  <c:v>0.66430945986175194</c:v>
                </c:pt>
                <c:pt idx="51">
                  <c:v>0.72273312249757371</c:v>
                </c:pt>
                <c:pt idx="52">
                  <c:v>0.65547424321869363</c:v>
                </c:pt>
                <c:pt idx="53">
                  <c:v>0.69800228682847743</c:v>
                </c:pt>
                <c:pt idx="54">
                  <c:v>0.70521895173025129</c:v>
                </c:pt>
                <c:pt idx="55">
                  <c:v>0.60462138868869142</c:v>
                </c:pt>
                <c:pt idx="56">
                  <c:v>0.63472480974716072</c:v>
                </c:pt>
                <c:pt idx="57">
                  <c:v>0.67983534149609459</c:v>
                </c:pt>
                <c:pt idx="58">
                  <c:v>0.58908725591040234</c:v>
                </c:pt>
                <c:pt idx="59">
                  <c:v>0.58694524726886232</c:v>
                </c:pt>
                <c:pt idx="60">
                  <c:v>0.65837357984302625</c:v>
                </c:pt>
                <c:pt idx="61">
                  <c:v>0.50348288238373851</c:v>
                </c:pt>
                <c:pt idx="62">
                  <c:v>0.59668828233047966</c:v>
                </c:pt>
                <c:pt idx="63">
                  <c:v>0.53543968344576509</c:v>
                </c:pt>
                <c:pt idx="64">
                  <c:v>0.54678009909618508</c:v>
                </c:pt>
                <c:pt idx="65">
                  <c:v>0.52988955354434797</c:v>
                </c:pt>
                <c:pt idx="66">
                  <c:v>0.542745233010964</c:v>
                </c:pt>
                <c:pt idx="67">
                  <c:v>0.56578384524970737</c:v>
                </c:pt>
                <c:pt idx="68">
                  <c:v>0.45407242120173175</c:v>
                </c:pt>
                <c:pt idx="69">
                  <c:v>0.4316605880690641</c:v>
                </c:pt>
                <c:pt idx="70">
                  <c:v>0.48029103375120463</c:v>
                </c:pt>
                <c:pt idx="71">
                  <c:v>0.52462396827840363</c:v>
                </c:pt>
                <c:pt idx="72">
                  <c:v>0.48951551437848634</c:v>
                </c:pt>
                <c:pt idx="73">
                  <c:v>0.50818913567767987</c:v>
                </c:pt>
                <c:pt idx="74">
                  <c:v>0.52430758675880762</c:v>
                </c:pt>
                <c:pt idx="75">
                  <c:v>0.5333828824268575</c:v>
                </c:pt>
                <c:pt idx="76">
                  <c:v>0.52133399472132003</c:v>
                </c:pt>
                <c:pt idx="77">
                  <c:v>0.54995593294235179</c:v>
                </c:pt>
                <c:pt idx="78">
                  <c:v>0.54635145867477775</c:v>
                </c:pt>
                <c:pt idx="79">
                  <c:v>0.46308538067212168</c:v>
                </c:pt>
                <c:pt idx="80">
                  <c:v>0.5092111745747373</c:v>
                </c:pt>
                <c:pt idx="81">
                  <c:v>0.45379391115001161</c:v>
                </c:pt>
                <c:pt idx="82">
                  <c:v>0.41129616606176511</c:v>
                </c:pt>
                <c:pt idx="83">
                  <c:v>0.48747919831441333</c:v>
                </c:pt>
                <c:pt idx="84">
                  <c:v>0.42023168941995176</c:v>
                </c:pt>
                <c:pt idx="85">
                  <c:v>0.45135930192319007</c:v>
                </c:pt>
                <c:pt idx="86">
                  <c:v>0.38347362399829577</c:v>
                </c:pt>
                <c:pt idx="87">
                  <c:v>0.41316539541436825</c:v>
                </c:pt>
                <c:pt idx="88">
                  <c:v>0.38906514458785929</c:v>
                </c:pt>
                <c:pt idx="89">
                  <c:v>0.40170324381148426</c:v>
                </c:pt>
                <c:pt idx="90">
                  <c:v>0.50606669527010262</c:v>
                </c:pt>
                <c:pt idx="91">
                  <c:v>0.41145217484818325</c:v>
                </c:pt>
                <c:pt idx="92">
                  <c:v>0.58631084910757492</c:v>
                </c:pt>
                <c:pt idx="93">
                  <c:v>0.38345948254548712</c:v>
                </c:pt>
                <c:pt idx="94">
                  <c:v>0.46564970651681964</c:v>
                </c:pt>
                <c:pt idx="95">
                  <c:v>0.43778743049059332</c:v>
                </c:pt>
                <c:pt idx="96">
                  <c:v>0.46435562130980268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'Result-Combine'!$N$3</c:f>
              <c:strCache>
                <c:ptCount val="1"/>
                <c:pt idx="0">
                  <c:v>Top 5</c:v>
                </c:pt>
              </c:strCache>
            </c:strRef>
          </c:tx>
          <c:marker>
            <c:symbol val="none"/>
          </c:marker>
          <c:cat>
            <c:numRef>
              <c:f>'Result-Combine'!$L$4:$L$102</c:f>
              <c:numCache>
                <c:formatCode>m/d/yyyy</c:formatCode>
                <c:ptCount val="97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40026</c:v>
                </c:pt>
                <c:pt idx="30">
                  <c:v>40057</c:v>
                </c:pt>
                <c:pt idx="31">
                  <c:v>40087</c:v>
                </c:pt>
                <c:pt idx="32">
                  <c:v>40118</c:v>
                </c:pt>
                <c:pt idx="33">
                  <c:v>40148</c:v>
                </c:pt>
                <c:pt idx="34">
                  <c:v>40179</c:v>
                </c:pt>
                <c:pt idx="35">
                  <c:v>40210</c:v>
                </c:pt>
                <c:pt idx="36">
                  <c:v>40238</c:v>
                </c:pt>
                <c:pt idx="37">
                  <c:v>40269</c:v>
                </c:pt>
                <c:pt idx="38">
                  <c:v>40299</c:v>
                </c:pt>
                <c:pt idx="39">
                  <c:v>40330</c:v>
                </c:pt>
                <c:pt idx="40">
                  <c:v>40360</c:v>
                </c:pt>
                <c:pt idx="41">
                  <c:v>40391</c:v>
                </c:pt>
                <c:pt idx="42">
                  <c:v>40422</c:v>
                </c:pt>
                <c:pt idx="43">
                  <c:v>40452</c:v>
                </c:pt>
                <c:pt idx="44">
                  <c:v>40483</c:v>
                </c:pt>
                <c:pt idx="45">
                  <c:v>40513</c:v>
                </c:pt>
                <c:pt idx="46">
                  <c:v>40544</c:v>
                </c:pt>
                <c:pt idx="47">
                  <c:v>40575</c:v>
                </c:pt>
                <c:pt idx="48">
                  <c:v>40603</c:v>
                </c:pt>
                <c:pt idx="49">
                  <c:v>40634</c:v>
                </c:pt>
                <c:pt idx="50">
                  <c:v>40664</c:v>
                </c:pt>
                <c:pt idx="51">
                  <c:v>40695</c:v>
                </c:pt>
                <c:pt idx="52">
                  <c:v>40725</c:v>
                </c:pt>
                <c:pt idx="53">
                  <c:v>40756</c:v>
                </c:pt>
                <c:pt idx="54">
                  <c:v>40787</c:v>
                </c:pt>
                <c:pt idx="55">
                  <c:v>40817</c:v>
                </c:pt>
                <c:pt idx="56">
                  <c:v>40848</c:v>
                </c:pt>
                <c:pt idx="57">
                  <c:v>40878</c:v>
                </c:pt>
                <c:pt idx="58">
                  <c:v>40909</c:v>
                </c:pt>
                <c:pt idx="59">
                  <c:v>40940</c:v>
                </c:pt>
                <c:pt idx="60">
                  <c:v>40969</c:v>
                </c:pt>
                <c:pt idx="61">
                  <c:v>41000</c:v>
                </c:pt>
                <c:pt idx="62">
                  <c:v>41030</c:v>
                </c:pt>
                <c:pt idx="63">
                  <c:v>41061</c:v>
                </c:pt>
                <c:pt idx="64">
                  <c:v>41091</c:v>
                </c:pt>
                <c:pt idx="65">
                  <c:v>41122</c:v>
                </c:pt>
                <c:pt idx="66">
                  <c:v>41153</c:v>
                </c:pt>
                <c:pt idx="67">
                  <c:v>41183</c:v>
                </c:pt>
                <c:pt idx="68">
                  <c:v>41214</c:v>
                </c:pt>
                <c:pt idx="69">
                  <c:v>41244</c:v>
                </c:pt>
                <c:pt idx="70">
                  <c:v>41275</c:v>
                </c:pt>
                <c:pt idx="71">
                  <c:v>41306</c:v>
                </c:pt>
                <c:pt idx="72">
                  <c:v>41334</c:v>
                </c:pt>
                <c:pt idx="73">
                  <c:v>41365</c:v>
                </c:pt>
                <c:pt idx="74">
                  <c:v>41395</c:v>
                </c:pt>
                <c:pt idx="75">
                  <c:v>41426</c:v>
                </c:pt>
                <c:pt idx="76">
                  <c:v>41456</c:v>
                </c:pt>
                <c:pt idx="77">
                  <c:v>41487</c:v>
                </c:pt>
                <c:pt idx="78">
                  <c:v>41518</c:v>
                </c:pt>
                <c:pt idx="79">
                  <c:v>41548</c:v>
                </c:pt>
                <c:pt idx="80">
                  <c:v>41579</c:v>
                </c:pt>
                <c:pt idx="81">
                  <c:v>41609</c:v>
                </c:pt>
                <c:pt idx="82">
                  <c:v>41640</c:v>
                </c:pt>
                <c:pt idx="83">
                  <c:v>41671</c:v>
                </c:pt>
                <c:pt idx="84">
                  <c:v>41699</c:v>
                </c:pt>
                <c:pt idx="85">
                  <c:v>41730</c:v>
                </c:pt>
                <c:pt idx="86">
                  <c:v>41760</c:v>
                </c:pt>
                <c:pt idx="87">
                  <c:v>41791</c:v>
                </c:pt>
                <c:pt idx="88">
                  <c:v>41821</c:v>
                </c:pt>
                <c:pt idx="89">
                  <c:v>41852</c:v>
                </c:pt>
                <c:pt idx="90">
                  <c:v>41883</c:v>
                </c:pt>
                <c:pt idx="91">
                  <c:v>41913</c:v>
                </c:pt>
                <c:pt idx="92">
                  <c:v>41944</c:v>
                </c:pt>
                <c:pt idx="93">
                  <c:v>41974</c:v>
                </c:pt>
                <c:pt idx="94">
                  <c:v>42005</c:v>
                </c:pt>
                <c:pt idx="95">
                  <c:v>42036</c:v>
                </c:pt>
                <c:pt idx="96">
                  <c:v>42064</c:v>
                </c:pt>
              </c:numCache>
            </c:numRef>
          </c:cat>
          <c:val>
            <c:numRef>
              <c:f>'Result-Combine'!$N$4:$N$102</c:f>
              <c:numCache>
                <c:formatCode>0%</c:formatCode>
                <c:ptCount val="97"/>
                <c:pt idx="0">
                  <c:v>0.67329044839970842</c:v>
                </c:pt>
                <c:pt idx="1">
                  <c:v>0.71178118212515928</c:v>
                </c:pt>
                <c:pt idx="2">
                  <c:v>0.66439575742773882</c:v>
                </c:pt>
                <c:pt idx="3">
                  <c:v>0.69387438314627425</c:v>
                </c:pt>
                <c:pt idx="4">
                  <c:v>0.69388019062103157</c:v>
                </c:pt>
                <c:pt idx="5">
                  <c:v>0.65559362216724637</c:v>
                </c:pt>
                <c:pt idx="6">
                  <c:v>0.68524004319921961</c:v>
                </c:pt>
                <c:pt idx="7">
                  <c:v>0.65194307133524076</c:v>
                </c:pt>
                <c:pt idx="8">
                  <c:v>0.6518948692557156</c:v>
                </c:pt>
                <c:pt idx="9">
                  <c:v>0.65114981482513734</c:v>
                </c:pt>
                <c:pt idx="10">
                  <c:v>0.65124946646364579</c:v>
                </c:pt>
                <c:pt idx="11">
                  <c:v>0.61778676925991571</c:v>
                </c:pt>
                <c:pt idx="12">
                  <c:v>0.67937899499851695</c:v>
                </c:pt>
                <c:pt idx="13">
                  <c:v>0.6524090043104801</c:v>
                </c:pt>
                <c:pt idx="14">
                  <c:v>0.70402319257163559</c:v>
                </c:pt>
                <c:pt idx="15">
                  <c:v>0.66614255677342116</c:v>
                </c:pt>
                <c:pt idx="16">
                  <c:v>0.6651885250582108</c:v>
                </c:pt>
                <c:pt idx="17">
                  <c:v>0.68923290077531063</c:v>
                </c:pt>
                <c:pt idx="18">
                  <c:v>0.69570835774597106</c:v>
                </c:pt>
                <c:pt idx="19">
                  <c:v>0.654055597922794</c:v>
                </c:pt>
                <c:pt idx="20">
                  <c:v>0.66024138920147801</c:v>
                </c:pt>
                <c:pt idx="21">
                  <c:v>0.66719020931947037</c:v>
                </c:pt>
                <c:pt idx="22">
                  <c:v>0.63925896082261091</c:v>
                </c:pt>
                <c:pt idx="23">
                  <c:v>0.63876184903482536</c:v>
                </c:pt>
                <c:pt idx="24">
                  <c:v>0.61425261338238335</c:v>
                </c:pt>
                <c:pt idx="25">
                  <c:v>0.58056152178394227</c:v>
                </c:pt>
                <c:pt idx="26">
                  <c:v>0.60946073958699809</c:v>
                </c:pt>
                <c:pt idx="27">
                  <c:v>0.66249266809271756</c:v>
                </c:pt>
                <c:pt idx="28">
                  <c:v>0.51803539528457054</c:v>
                </c:pt>
                <c:pt idx="29">
                  <c:v>0.59322757276468918</c:v>
                </c:pt>
                <c:pt idx="30">
                  <c:v>0.58252307424613325</c:v>
                </c:pt>
                <c:pt idx="31">
                  <c:v>0.64294162331896221</c:v>
                </c:pt>
                <c:pt idx="32">
                  <c:v>0.6388984731944346</c:v>
                </c:pt>
                <c:pt idx="33">
                  <c:v>0.61380485688141773</c:v>
                </c:pt>
                <c:pt idx="34">
                  <c:v>0.6453417467159126</c:v>
                </c:pt>
                <c:pt idx="35">
                  <c:v>0.64012526475228637</c:v>
                </c:pt>
                <c:pt idx="36">
                  <c:v>0.70476091713093048</c:v>
                </c:pt>
                <c:pt idx="37">
                  <c:v>0.72288996819528029</c:v>
                </c:pt>
                <c:pt idx="38">
                  <c:v>0.69023458531878512</c:v>
                </c:pt>
                <c:pt idx="39">
                  <c:v>0.61353557827773575</c:v>
                </c:pt>
                <c:pt idx="40">
                  <c:v>0.61363349942831014</c:v>
                </c:pt>
                <c:pt idx="41">
                  <c:v>0.5334071285587566</c:v>
                </c:pt>
                <c:pt idx="42">
                  <c:v>0.62171952213130499</c:v>
                </c:pt>
                <c:pt idx="43">
                  <c:v>0.54455010015259153</c:v>
                </c:pt>
                <c:pt idx="44">
                  <c:v>0.50885352801570505</c:v>
                </c:pt>
                <c:pt idx="45">
                  <c:v>0.59447720257161862</c:v>
                </c:pt>
                <c:pt idx="46">
                  <c:v>0.58539335731377928</c:v>
                </c:pt>
                <c:pt idx="47">
                  <c:v>0.61379008850543815</c:v>
                </c:pt>
                <c:pt idx="48">
                  <c:v>0.6297717350760329</c:v>
                </c:pt>
                <c:pt idx="49">
                  <c:v>0.57959866862699849</c:v>
                </c:pt>
                <c:pt idx="50">
                  <c:v>0.5696810625056411</c:v>
                </c:pt>
                <c:pt idx="51">
                  <c:v>0.62444100233060995</c:v>
                </c:pt>
                <c:pt idx="52">
                  <c:v>0.55844757250597343</c:v>
                </c:pt>
                <c:pt idx="53">
                  <c:v>0.58815810110069311</c:v>
                </c:pt>
                <c:pt idx="54">
                  <c:v>0.60340143749194408</c:v>
                </c:pt>
                <c:pt idx="55">
                  <c:v>0.48179963107670093</c:v>
                </c:pt>
                <c:pt idx="56">
                  <c:v>0.53414167235629861</c:v>
                </c:pt>
                <c:pt idx="57">
                  <c:v>0.59842087725924453</c:v>
                </c:pt>
                <c:pt idx="58">
                  <c:v>0.49729338941401685</c:v>
                </c:pt>
                <c:pt idx="59">
                  <c:v>0.49036776316084707</c:v>
                </c:pt>
                <c:pt idx="60">
                  <c:v>0.57229445128856948</c:v>
                </c:pt>
                <c:pt idx="61">
                  <c:v>0.43144250736317885</c:v>
                </c:pt>
                <c:pt idx="62">
                  <c:v>0.50974396894948748</c:v>
                </c:pt>
                <c:pt idx="63">
                  <c:v>0.41199964627964303</c:v>
                </c:pt>
                <c:pt idx="64">
                  <c:v>0.45645689725828892</c:v>
                </c:pt>
                <c:pt idx="65">
                  <c:v>0.43500545608719388</c:v>
                </c:pt>
                <c:pt idx="66">
                  <c:v>0.4501393443356087</c:v>
                </c:pt>
                <c:pt idx="67">
                  <c:v>0.44431407031360698</c:v>
                </c:pt>
                <c:pt idx="68">
                  <c:v>0.3600935834826865</c:v>
                </c:pt>
                <c:pt idx="69">
                  <c:v>0.33936176578144811</c:v>
                </c:pt>
                <c:pt idx="70">
                  <c:v>0.37637043891170746</c:v>
                </c:pt>
                <c:pt idx="71">
                  <c:v>0.41708621627743192</c:v>
                </c:pt>
                <c:pt idx="72">
                  <c:v>0.39972941708166609</c:v>
                </c:pt>
                <c:pt idx="73">
                  <c:v>0.40503782108391456</c:v>
                </c:pt>
                <c:pt idx="74">
                  <c:v>0.43291452062975999</c:v>
                </c:pt>
                <c:pt idx="75">
                  <c:v>0.43858959918241808</c:v>
                </c:pt>
                <c:pt idx="76">
                  <c:v>0.41499462931587877</c:v>
                </c:pt>
                <c:pt idx="77">
                  <c:v>0.42856423108876229</c:v>
                </c:pt>
                <c:pt idx="78">
                  <c:v>0.44548802422767836</c:v>
                </c:pt>
                <c:pt idx="79">
                  <c:v>0.35234883305906189</c:v>
                </c:pt>
                <c:pt idx="80">
                  <c:v>0.39037227134507407</c:v>
                </c:pt>
                <c:pt idx="81">
                  <c:v>0.34212696756287014</c:v>
                </c:pt>
                <c:pt idx="82">
                  <c:v>0.3190262395195787</c:v>
                </c:pt>
                <c:pt idx="83">
                  <c:v>0.39379710747999969</c:v>
                </c:pt>
                <c:pt idx="84">
                  <c:v>0.32399196243151174</c:v>
                </c:pt>
                <c:pt idx="85">
                  <c:v>0.33154651598505952</c:v>
                </c:pt>
                <c:pt idx="86">
                  <c:v>0.27328492450060798</c:v>
                </c:pt>
                <c:pt idx="87">
                  <c:v>0.3070838992847022</c:v>
                </c:pt>
                <c:pt idx="88">
                  <c:v>0.28439160342249298</c:v>
                </c:pt>
                <c:pt idx="89">
                  <c:v>0.29668378133778861</c:v>
                </c:pt>
                <c:pt idx="90">
                  <c:v>0.37650720617432248</c:v>
                </c:pt>
                <c:pt idx="91">
                  <c:v>0.29815026101565772</c:v>
                </c:pt>
                <c:pt idx="92">
                  <c:v>0.46607103801276961</c:v>
                </c:pt>
                <c:pt idx="93">
                  <c:v>0.2755176749063678</c:v>
                </c:pt>
                <c:pt idx="94">
                  <c:v>0.36115212460521173</c:v>
                </c:pt>
                <c:pt idx="95">
                  <c:v>0.31903378659892195</c:v>
                </c:pt>
                <c:pt idx="96">
                  <c:v>0.36989546215277092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'Result-Combine'!$O$3</c:f>
              <c:strCache>
                <c:ptCount val="1"/>
                <c:pt idx="0">
                  <c:v>Top 1</c:v>
                </c:pt>
              </c:strCache>
            </c:strRef>
          </c:tx>
          <c:marker>
            <c:symbol val="none"/>
          </c:marker>
          <c:cat>
            <c:numRef>
              <c:f>'Result-Combine'!$L$4:$L$102</c:f>
              <c:numCache>
                <c:formatCode>m/d/yyyy</c:formatCode>
                <c:ptCount val="97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40026</c:v>
                </c:pt>
                <c:pt idx="30">
                  <c:v>40057</c:v>
                </c:pt>
                <c:pt idx="31">
                  <c:v>40087</c:v>
                </c:pt>
                <c:pt idx="32">
                  <c:v>40118</c:v>
                </c:pt>
                <c:pt idx="33">
                  <c:v>40148</c:v>
                </c:pt>
                <c:pt idx="34">
                  <c:v>40179</c:v>
                </c:pt>
                <c:pt idx="35">
                  <c:v>40210</c:v>
                </c:pt>
                <c:pt idx="36">
                  <c:v>40238</c:v>
                </c:pt>
                <c:pt idx="37">
                  <c:v>40269</c:v>
                </c:pt>
                <c:pt idx="38">
                  <c:v>40299</c:v>
                </c:pt>
                <c:pt idx="39">
                  <c:v>40330</c:v>
                </c:pt>
                <c:pt idx="40">
                  <c:v>40360</c:v>
                </c:pt>
                <c:pt idx="41">
                  <c:v>40391</c:v>
                </c:pt>
                <c:pt idx="42">
                  <c:v>40422</c:v>
                </c:pt>
                <c:pt idx="43">
                  <c:v>40452</c:v>
                </c:pt>
                <c:pt idx="44">
                  <c:v>40483</c:v>
                </c:pt>
                <c:pt idx="45">
                  <c:v>40513</c:v>
                </c:pt>
                <c:pt idx="46">
                  <c:v>40544</c:v>
                </c:pt>
                <c:pt idx="47">
                  <c:v>40575</c:v>
                </c:pt>
                <c:pt idx="48">
                  <c:v>40603</c:v>
                </c:pt>
                <c:pt idx="49">
                  <c:v>40634</c:v>
                </c:pt>
                <c:pt idx="50">
                  <c:v>40664</c:v>
                </c:pt>
                <c:pt idx="51">
                  <c:v>40695</c:v>
                </c:pt>
                <c:pt idx="52">
                  <c:v>40725</c:v>
                </c:pt>
                <c:pt idx="53">
                  <c:v>40756</c:v>
                </c:pt>
                <c:pt idx="54">
                  <c:v>40787</c:v>
                </c:pt>
                <c:pt idx="55">
                  <c:v>40817</c:v>
                </c:pt>
                <c:pt idx="56">
                  <c:v>40848</c:v>
                </c:pt>
                <c:pt idx="57">
                  <c:v>40878</c:v>
                </c:pt>
                <c:pt idx="58">
                  <c:v>40909</c:v>
                </c:pt>
                <c:pt idx="59">
                  <c:v>40940</c:v>
                </c:pt>
                <c:pt idx="60">
                  <c:v>40969</c:v>
                </c:pt>
                <c:pt idx="61">
                  <c:v>41000</c:v>
                </c:pt>
                <c:pt idx="62">
                  <c:v>41030</c:v>
                </c:pt>
                <c:pt idx="63">
                  <c:v>41061</c:v>
                </c:pt>
                <c:pt idx="64">
                  <c:v>41091</c:v>
                </c:pt>
                <c:pt idx="65">
                  <c:v>41122</c:v>
                </c:pt>
                <c:pt idx="66">
                  <c:v>41153</c:v>
                </c:pt>
                <c:pt idx="67">
                  <c:v>41183</c:v>
                </c:pt>
                <c:pt idx="68">
                  <c:v>41214</c:v>
                </c:pt>
                <c:pt idx="69">
                  <c:v>41244</c:v>
                </c:pt>
                <c:pt idx="70">
                  <c:v>41275</c:v>
                </c:pt>
                <c:pt idx="71">
                  <c:v>41306</c:v>
                </c:pt>
                <c:pt idx="72">
                  <c:v>41334</c:v>
                </c:pt>
                <c:pt idx="73">
                  <c:v>41365</c:v>
                </c:pt>
                <c:pt idx="74">
                  <c:v>41395</c:v>
                </c:pt>
                <c:pt idx="75">
                  <c:v>41426</c:v>
                </c:pt>
                <c:pt idx="76">
                  <c:v>41456</c:v>
                </c:pt>
                <c:pt idx="77">
                  <c:v>41487</c:v>
                </c:pt>
                <c:pt idx="78">
                  <c:v>41518</c:v>
                </c:pt>
                <c:pt idx="79">
                  <c:v>41548</c:v>
                </c:pt>
                <c:pt idx="80">
                  <c:v>41579</c:v>
                </c:pt>
                <c:pt idx="81">
                  <c:v>41609</c:v>
                </c:pt>
                <c:pt idx="82">
                  <c:v>41640</c:v>
                </c:pt>
                <c:pt idx="83">
                  <c:v>41671</c:v>
                </c:pt>
                <c:pt idx="84">
                  <c:v>41699</c:v>
                </c:pt>
                <c:pt idx="85">
                  <c:v>41730</c:v>
                </c:pt>
                <c:pt idx="86">
                  <c:v>41760</c:v>
                </c:pt>
                <c:pt idx="87">
                  <c:v>41791</c:v>
                </c:pt>
                <c:pt idx="88">
                  <c:v>41821</c:v>
                </c:pt>
                <c:pt idx="89">
                  <c:v>41852</c:v>
                </c:pt>
                <c:pt idx="90">
                  <c:v>41883</c:v>
                </c:pt>
                <c:pt idx="91">
                  <c:v>41913</c:v>
                </c:pt>
                <c:pt idx="92">
                  <c:v>41944</c:v>
                </c:pt>
                <c:pt idx="93">
                  <c:v>41974</c:v>
                </c:pt>
                <c:pt idx="94">
                  <c:v>42005</c:v>
                </c:pt>
                <c:pt idx="95">
                  <c:v>42036</c:v>
                </c:pt>
                <c:pt idx="96">
                  <c:v>42064</c:v>
                </c:pt>
              </c:numCache>
            </c:numRef>
          </c:cat>
          <c:val>
            <c:numRef>
              <c:f>'Result-Combine'!$O$4:$O$102</c:f>
              <c:numCache>
                <c:formatCode>0%</c:formatCode>
                <c:ptCount val="97"/>
                <c:pt idx="0">
                  <c:v>0.24636269220112281</c:v>
                </c:pt>
                <c:pt idx="1">
                  <c:v>0.2841822858931442</c:v>
                </c:pt>
                <c:pt idx="2">
                  <c:v>0.24949982685433592</c:v>
                </c:pt>
                <c:pt idx="3">
                  <c:v>0.25581238177079269</c:v>
                </c:pt>
                <c:pt idx="4">
                  <c:v>0.26512732652857557</c:v>
                </c:pt>
                <c:pt idx="5">
                  <c:v>0.23875424568212444</c:v>
                </c:pt>
                <c:pt idx="6">
                  <c:v>0.26428853731030344</c:v>
                </c:pt>
                <c:pt idx="7">
                  <c:v>0.22722420734431414</c:v>
                </c:pt>
                <c:pt idx="8">
                  <c:v>0.23501288103876991</c:v>
                </c:pt>
                <c:pt idx="9">
                  <c:v>0.26022610926824746</c:v>
                </c:pt>
                <c:pt idx="10">
                  <c:v>0.22817381475112358</c:v>
                </c:pt>
                <c:pt idx="11">
                  <c:v>0.21980679978152803</c:v>
                </c:pt>
                <c:pt idx="12">
                  <c:v>0.24972476246886532</c:v>
                </c:pt>
                <c:pt idx="13">
                  <c:v>0.24110548865093293</c:v>
                </c:pt>
                <c:pt idx="14">
                  <c:v>0.22930488835202725</c:v>
                </c:pt>
                <c:pt idx="15">
                  <c:v>0.17431360154276068</c:v>
                </c:pt>
                <c:pt idx="16">
                  <c:v>0.21654719329590358</c:v>
                </c:pt>
                <c:pt idx="17">
                  <c:v>0.22128133654971505</c:v>
                </c:pt>
                <c:pt idx="18">
                  <c:v>0.22344343624794941</c:v>
                </c:pt>
                <c:pt idx="19">
                  <c:v>0.17513053790699545</c:v>
                </c:pt>
                <c:pt idx="20">
                  <c:v>0.16748588520581784</c:v>
                </c:pt>
                <c:pt idx="21">
                  <c:v>0.20390101803626007</c:v>
                </c:pt>
                <c:pt idx="22">
                  <c:v>0.19079921884197154</c:v>
                </c:pt>
                <c:pt idx="23">
                  <c:v>0.20602999284109241</c:v>
                </c:pt>
                <c:pt idx="24">
                  <c:v>0.21430122319796135</c:v>
                </c:pt>
                <c:pt idx="25">
                  <c:v>0.1766367222480027</c:v>
                </c:pt>
                <c:pt idx="26">
                  <c:v>0.22312392267497616</c:v>
                </c:pt>
                <c:pt idx="27">
                  <c:v>0.23633644320086647</c:v>
                </c:pt>
                <c:pt idx="28">
                  <c:v>0.19534476965194081</c:v>
                </c:pt>
                <c:pt idx="29">
                  <c:v>0.22905909097314606</c:v>
                </c:pt>
                <c:pt idx="30">
                  <c:v>0.24916868550830817</c:v>
                </c:pt>
                <c:pt idx="31">
                  <c:v>0.26636989305782133</c:v>
                </c:pt>
                <c:pt idx="32">
                  <c:v>0.26132512234393679</c:v>
                </c:pt>
                <c:pt idx="33">
                  <c:v>0.21690748757067005</c:v>
                </c:pt>
                <c:pt idx="34">
                  <c:v>0.24938925253036257</c:v>
                </c:pt>
                <c:pt idx="35">
                  <c:v>0.25945914883095961</c:v>
                </c:pt>
                <c:pt idx="36">
                  <c:v>0.26340112469461252</c:v>
                </c:pt>
                <c:pt idx="37">
                  <c:v>0.23221855217642162</c:v>
                </c:pt>
                <c:pt idx="38">
                  <c:v>0.28336065864683552</c:v>
                </c:pt>
                <c:pt idx="39">
                  <c:v>0.21676135224088405</c:v>
                </c:pt>
                <c:pt idx="40">
                  <c:v>0.21934135895232498</c:v>
                </c:pt>
                <c:pt idx="41">
                  <c:v>0.22267935330286684</c:v>
                </c:pt>
                <c:pt idx="42">
                  <c:v>0.19490682795436703</c:v>
                </c:pt>
                <c:pt idx="43">
                  <c:v>0.20207521323713287</c:v>
                </c:pt>
                <c:pt idx="44">
                  <c:v>0.19481845747232365</c:v>
                </c:pt>
                <c:pt idx="45">
                  <c:v>0.18324828304550417</c:v>
                </c:pt>
                <c:pt idx="46">
                  <c:v>0.22795508190031824</c:v>
                </c:pt>
                <c:pt idx="47">
                  <c:v>0.25071332773257843</c:v>
                </c:pt>
                <c:pt idx="48">
                  <c:v>0.18361997351195891</c:v>
                </c:pt>
                <c:pt idx="49">
                  <c:v>0.22497465241091669</c:v>
                </c:pt>
                <c:pt idx="50">
                  <c:v>0.21950050208831801</c:v>
                </c:pt>
                <c:pt idx="51">
                  <c:v>0.23802099521631778</c:v>
                </c:pt>
                <c:pt idx="52">
                  <c:v>0.1733687581647082</c:v>
                </c:pt>
                <c:pt idx="53">
                  <c:v>0.23514065698177397</c:v>
                </c:pt>
                <c:pt idx="54">
                  <c:v>0.21748640056540269</c:v>
                </c:pt>
                <c:pt idx="55">
                  <c:v>0.2314270177862145</c:v>
                </c:pt>
                <c:pt idx="56">
                  <c:v>0.23476625856973524</c:v>
                </c:pt>
                <c:pt idx="57">
                  <c:v>0.32413005229471015</c:v>
                </c:pt>
                <c:pt idx="58">
                  <c:v>0.26347707672147674</c:v>
                </c:pt>
                <c:pt idx="59">
                  <c:v>0.26099054875216227</c:v>
                </c:pt>
                <c:pt idx="60">
                  <c:v>0.35609524748844013</c:v>
                </c:pt>
                <c:pt idx="61">
                  <c:v>0.22390155687493629</c:v>
                </c:pt>
                <c:pt idx="62">
                  <c:v>0.30815860240445414</c:v>
                </c:pt>
                <c:pt idx="63">
                  <c:v>0.19449005977193409</c:v>
                </c:pt>
                <c:pt idx="64">
                  <c:v>0.25134181658646837</c:v>
                </c:pt>
                <c:pt idx="65">
                  <c:v>0.19667025638218466</c:v>
                </c:pt>
                <c:pt idx="66">
                  <c:v>0.1946334640178424</c:v>
                </c:pt>
                <c:pt idx="67">
                  <c:v>0.21973453439735005</c:v>
                </c:pt>
                <c:pt idx="68">
                  <c:v>0.17438212924529908</c:v>
                </c:pt>
                <c:pt idx="69">
                  <c:v>8.9734383414537738E-2</c:v>
                </c:pt>
                <c:pt idx="70">
                  <c:v>0.15161888765447315</c:v>
                </c:pt>
                <c:pt idx="71">
                  <c:v>0.15614216878414058</c:v>
                </c:pt>
                <c:pt idx="72">
                  <c:v>0.15469059938989357</c:v>
                </c:pt>
                <c:pt idx="73">
                  <c:v>0.14933102666462436</c:v>
                </c:pt>
                <c:pt idx="74">
                  <c:v>0.22534845396174477</c:v>
                </c:pt>
                <c:pt idx="75">
                  <c:v>0.23273770874479344</c:v>
                </c:pt>
                <c:pt idx="76">
                  <c:v>0.2362497192872991</c:v>
                </c:pt>
                <c:pt idx="77">
                  <c:v>0.24666303957543467</c:v>
                </c:pt>
                <c:pt idx="78">
                  <c:v>0.24856088571956081</c:v>
                </c:pt>
                <c:pt idx="79">
                  <c:v>0.19393279658314272</c:v>
                </c:pt>
                <c:pt idx="80">
                  <c:v>0.18778472171903177</c:v>
                </c:pt>
                <c:pt idx="81">
                  <c:v>0.17434310865196506</c:v>
                </c:pt>
                <c:pt idx="82">
                  <c:v>0.11048797770122237</c:v>
                </c:pt>
                <c:pt idx="83">
                  <c:v>0.15330593737789833</c:v>
                </c:pt>
                <c:pt idx="84">
                  <c:v>0.11813005590663331</c:v>
                </c:pt>
                <c:pt idx="85">
                  <c:v>0.12066604916483431</c:v>
                </c:pt>
                <c:pt idx="86">
                  <c:v>0.13465606727864013</c:v>
                </c:pt>
                <c:pt idx="87">
                  <c:v>0.13044216278581333</c:v>
                </c:pt>
                <c:pt idx="88">
                  <c:v>0.12085463487828252</c:v>
                </c:pt>
                <c:pt idx="89">
                  <c:v>0.12673324615180936</c:v>
                </c:pt>
                <c:pt idx="90">
                  <c:v>0.10614234541357448</c:v>
                </c:pt>
                <c:pt idx="91">
                  <c:v>0.10733836837032491</c:v>
                </c:pt>
                <c:pt idx="92">
                  <c:v>0.12649563285886281</c:v>
                </c:pt>
                <c:pt idx="93">
                  <c:v>8.8781543733720061E-2</c:v>
                </c:pt>
                <c:pt idx="94">
                  <c:v>0.14843419264898794</c:v>
                </c:pt>
                <c:pt idx="95">
                  <c:v>0.13842082055570962</c:v>
                </c:pt>
                <c:pt idx="96">
                  <c:v>0.16766648681926077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838848"/>
        <c:axId val="363840640"/>
      </c:lineChart>
      <c:dateAx>
        <c:axId val="363838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3840640"/>
        <c:crosses val="autoZero"/>
        <c:auto val="1"/>
        <c:lblOffset val="100"/>
        <c:baseTimeUnit val="months"/>
      </c:dateAx>
      <c:valAx>
        <c:axId val="3638406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63838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'Result-Combine'!$P$3</c:f>
              <c:strCache>
                <c:ptCount val="1"/>
                <c:pt idx="0">
                  <c:v>N/A</c:v>
                </c:pt>
              </c:strCache>
            </c:strRef>
          </c:tx>
          <c:marker>
            <c:symbol val="none"/>
          </c:marker>
          <c:cat>
            <c:numRef>
              <c:f>'Result-Combine'!$L$4:$L$102</c:f>
              <c:numCache>
                <c:formatCode>m/d/yyyy</c:formatCode>
                <c:ptCount val="97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40026</c:v>
                </c:pt>
                <c:pt idx="30">
                  <c:v>40057</c:v>
                </c:pt>
                <c:pt idx="31">
                  <c:v>40087</c:v>
                </c:pt>
                <c:pt idx="32">
                  <c:v>40118</c:v>
                </c:pt>
                <c:pt idx="33">
                  <c:v>40148</c:v>
                </c:pt>
                <c:pt idx="34">
                  <c:v>40179</c:v>
                </c:pt>
                <c:pt idx="35">
                  <c:v>40210</c:v>
                </c:pt>
                <c:pt idx="36">
                  <c:v>40238</c:v>
                </c:pt>
                <c:pt idx="37">
                  <c:v>40269</c:v>
                </c:pt>
                <c:pt idx="38">
                  <c:v>40299</c:v>
                </c:pt>
                <c:pt idx="39">
                  <c:v>40330</c:v>
                </c:pt>
                <c:pt idx="40">
                  <c:v>40360</c:v>
                </c:pt>
                <c:pt idx="41">
                  <c:v>40391</c:v>
                </c:pt>
                <c:pt idx="42">
                  <c:v>40422</c:v>
                </c:pt>
                <c:pt idx="43">
                  <c:v>40452</c:v>
                </c:pt>
                <c:pt idx="44">
                  <c:v>40483</c:v>
                </c:pt>
                <c:pt idx="45">
                  <c:v>40513</c:v>
                </c:pt>
                <c:pt idx="46">
                  <c:v>40544</c:v>
                </c:pt>
                <c:pt idx="47">
                  <c:v>40575</c:v>
                </c:pt>
                <c:pt idx="48">
                  <c:v>40603</c:v>
                </c:pt>
                <c:pt idx="49">
                  <c:v>40634</c:v>
                </c:pt>
                <c:pt idx="50">
                  <c:v>40664</c:v>
                </c:pt>
                <c:pt idx="51">
                  <c:v>40695</c:v>
                </c:pt>
                <c:pt idx="52">
                  <c:v>40725</c:v>
                </c:pt>
                <c:pt idx="53">
                  <c:v>40756</c:v>
                </c:pt>
                <c:pt idx="54">
                  <c:v>40787</c:v>
                </c:pt>
                <c:pt idx="55">
                  <c:v>40817</c:v>
                </c:pt>
                <c:pt idx="56">
                  <c:v>40848</c:v>
                </c:pt>
                <c:pt idx="57">
                  <c:v>40878</c:v>
                </c:pt>
                <c:pt idx="58">
                  <c:v>40909</c:v>
                </c:pt>
                <c:pt idx="59">
                  <c:v>40940</c:v>
                </c:pt>
                <c:pt idx="60">
                  <c:v>40969</c:v>
                </c:pt>
                <c:pt idx="61">
                  <c:v>41000</c:v>
                </c:pt>
                <c:pt idx="62">
                  <c:v>41030</c:v>
                </c:pt>
                <c:pt idx="63">
                  <c:v>41061</c:v>
                </c:pt>
                <c:pt idx="64">
                  <c:v>41091</c:v>
                </c:pt>
                <c:pt idx="65">
                  <c:v>41122</c:v>
                </c:pt>
                <c:pt idx="66">
                  <c:v>41153</c:v>
                </c:pt>
                <c:pt idx="67">
                  <c:v>41183</c:v>
                </c:pt>
                <c:pt idx="68">
                  <c:v>41214</c:v>
                </c:pt>
                <c:pt idx="69">
                  <c:v>41244</c:v>
                </c:pt>
                <c:pt idx="70">
                  <c:v>41275</c:v>
                </c:pt>
                <c:pt idx="71">
                  <c:v>41306</c:v>
                </c:pt>
                <c:pt idx="72">
                  <c:v>41334</c:v>
                </c:pt>
                <c:pt idx="73">
                  <c:v>41365</c:v>
                </c:pt>
                <c:pt idx="74">
                  <c:v>41395</c:v>
                </c:pt>
                <c:pt idx="75">
                  <c:v>41426</c:v>
                </c:pt>
                <c:pt idx="76">
                  <c:v>41456</c:v>
                </c:pt>
                <c:pt idx="77">
                  <c:v>41487</c:v>
                </c:pt>
                <c:pt idx="78">
                  <c:v>41518</c:v>
                </c:pt>
                <c:pt idx="79">
                  <c:v>41548</c:v>
                </c:pt>
                <c:pt idx="80">
                  <c:v>41579</c:v>
                </c:pt>
                <c:pt idx="81">
                  <c:v>41609</c:v>
                </c:pt>
                <c:pt idx="82">
                  <c:v>41640</c:v>
                </c:pt>
                <c:pt idx="83">
                  <c:v>41671</c:v>
                </c:pt>
                <c:pt idx="84">
                  <c:v>41699</c:v>
                </c:pt>
                <c:pt idx="85">
                  <c:v>41730</c:v>
                </c:pt>
                <c:pt idx="86">
                  <c:v>41760</c:v>
                </c:pt>
                <c:pt idx="87">
                  <c:v>41791</c:v>
                </c:pt>
                <c:pt idx="88">
                  <c:v>41821</c:v>
                </c:pt>
                <c:pt idx="89">
                  <c:v>41852</c:v>
                </c:pt>
                <c:pt idx="90">
                  <c:v>41883</c:v>
                </c:pt>
                <c:pt idx="91">
                  <c:v>41913</c:v>
                </c:pt>
                <c:pt idx="92">
                  <c:v>41944</c:v>
                </c:pt>
                <c:pt idx="93">
                  <c:v>41974</c:v>
                </c:pt>
                <c:pt idx="94">
                  <c:v>42005</c:v>
                </c:pt>
                <c:pt idx="95">
                  <c:v>42036</c:v>
                </c:pt>
                <c:pt idx="96">
                  <c:v>42064</c:v>
                </c:pt>
              </c:numCache>
            </c:numRef>
          </c:cat>
          <c:val>
            <c:numRef>
              <c:f>'Result-Combine'!$P$4:$P$102</c:f>
              <c:numCache>
                <c:formatCode>0%</c:formatCode>
                <c:ptCount val="97"/>
                <c:pt idx="0">
                  <c:v>3.6856555268632366E-2</c:v>
                </c:pt>
                <c:pt idx="1">
                  <c:v>3.2028224116298645E-2</c:v>
                </c:pt>
                <c:pt idx="2">
                  <c:v>3.5025394335653416E-2</c:v>
                </c:pt>
                <c:pt idx="3">
                  <c:v>3.0127812770819586E-2</c:v>
                </c:pt>
                <c:pt idx="4">
                  <c:v>5.0388877305389462E-2</c:v>
                </c:pt>
                <c:pt idx="5">
                  <c:v>4.3836053915001873E-2</c:v>
                </c:pt>
                <c:pt idx="6">
                  <c:v>4.4770070758554936E-2</c:v>
                </c:pt>
                <c:pt idx="7">
                  <c:v>4.8884717519080259E-2</c:v>
                </c:pt>
                <c:pt idx="8">
                  <c:v>4.3773223443230168E-2</c:v>
                </c:pt>
                <c:pt idx="9">
                  <c:v>4.1638663663801131E-2</c:v>
                </c:pt>
                <c:pt idx="10">
                  <c:v>3.6137255421547589E-2</c:v>
                </c:pt>
                <c:pt idx="11">
                  <c:v>4.6081193894360994E-2</c:v>
                </c:pt>
                <c:pt idx="12">
                  <c:v>3.5593037082745124E-2</c:v>
                </c:pt>
                <c:pt idx="13">
                  <c:v>5.7140232761867187E-2</c:v>
                </c:pt>
                <c:pt idx="14">
                  <c:v>3.0797286591922469E-2</c:v>
                </c:pt>
                <c:pt idx="15">
                  <c:v>8.1256433985116644E-2</c:v>
                </c:pt>
                <c:pt idx="16">
                  <c:v>7.4665001806988096E-2</c:v>
                </c:pt>
                <c:pt idx="17">
                  <c:v>6.3444540869338387E-2</c:v>
                </c:pt>
                <c:pt idx="18">
                  <c:v>8.2392300475505512E-2</c:v>
                </c:pt>
                <c:pt idx="19">
                  <c:v>7.0322182236393763E-2</c:v>
                </c:pt>
                <c:pt idx="20">
                  <c:v>7.6262959049075055E-2</c:v>
                </c:pt>
                <c:pt idx="21">
                  <c:v>0.10029895034962007</c:v>
                </c:pt>
                <c:pt idx="22">
                  <c:v>8.6753512535533331E-2</c:v>
                </c:pt>
                <c:pt idx="23">
                  <c:v>0.10344866083346459</c:v>
                </c:pt>
                <c:pt idx="24">
                  <c:v>5.8416694771276388E-2</c:v>
                </c:pt>
                <c:pt idx="25">
                  <c:v>0.16495210286420631</c:v>
                </c:pt>
                <c:pt idx="26">
                  <c:v>0.16273336244521619</c:v>
                </c:pt>
                <c:pt idx="27">
                  <c:v>0.14728420535343059</c:v>
                </c:pt>
                <c:pt idx="28">
                  <c:v>0.26474542343632856</c:v>
                </c:pt>
                <c:pt idx="29">
                  <c:v>0.21216765951575364</c:v>
                </c:pt>
                <c:pt idx="30">
                  <c:v>0.23208553863606679</c:v>
                </c:pt>
                <c:pt idx="31">
                  <c:v>0.22340939007334501</c:v>
                </c:pt>
                <c:pt idx="32">
                  <c:v>0.18838151854648166</c:v>
                </c:pt>
                <c:pt idx="33">
                  <c:v>0.17441633019529626</c:v>
                </c:pt>
                <c:pt idx="34">
                  <c:v>0.16491633169713149</c:v>
                </c:pt>
                <c:pt idx="35">
                  <c:v>0.18634479602271523</c:v>
                </c:pt>
                <c:pt idx="36">
                  <c:v>0.13529391222691473</c:v>
                </c:pt>
                <c:pt idx="37">
                  <c:v>0.12709544527005581</c:v>
                </c:pt>
                <c:pt idx="38">
                  <c:v>0.14115790958875932</c:v>
                </c:pt>
                <c:pt idx="39">
                  <c:v>3.974679390690062E-2</c:v>
                </c:pt>
                <c:pt idx="40">
                  <c:v>3.8392517039077895E-2</c:v>
                </c:pt>
                <c:pt idx="41">
                  <c:v>4.9569611187241583E-2</c:v>
                </c:pt>
                <c:pt idx="42">
                  <c:v>2.386445565656754E-2</c:v>
                </c:pt>
                <c:pt idx="43">
                  <c:v>3.5572721567206485E-2</c:v>
                </c:pt>
                <c:pt idx="44">
                  <c:v>2.852662223105349E-2</c:v>
                </c:pt>
                <c:pt idx="45">
                  <c:v>2.1076228730118225E-2</c:v>
                </c:pt>
                <c:pt idx="46">
                  <c:v>3.1884857093062997E-2</c:v>
                </c:pt>
                <c:pt idx="47">
                  <c:v>4.1202959390009071E-2</c:v>
                </c:pt>
                <c:pt idx="48">
                  <c:v>2.2742356929188585E-2</c:v>
                </c:pt>
                <c:pt idx="49">
                  <c:v>6.6135059343989652E-2</c:v>
                </c:pt>
                <c:pt idx="50">
                  <c:v>6.9796934531485638E-2</c:v>
                </c:pt>
                <c:pt idx="51">
                  <c:v>3.1943070750149238E-2</c:v>
                </c:pt>
                <c:pt idx="52">
                  <c:v>7.4447968732211559E-2</c:v>
                </c:pt>
                <c:pt idx="53">
                  <c:v>5.2239160001834525E-2</c:v>
                </c:pt>
                <c:pt idx="54">
                  <c:v>1.9338149994775955E-2</c:v>
                </c:pt>
                <c:pt idx="55">
                  <c:v>4.4583742349598485E-2</c:v>
                </c:pt>
                <c:pt idx="56">
                  <c:v>3.3449785248224312E-2</c:v>
                </c:pt>
                <c:pt idx="57">
                  <c:v>1.4000791921387444E-2</c:v>
                </c:pt>
                <c:pt idx="58">
                  <c:v>3.407914322998986E-2</c:v>
                </c:pt>
                <c:pt idx="59">
                  <c:v>3.6223530875857411E-2</c:v>
                </c:pt>
                <c:pt idx="60">
                  <c:v>8.292165641178198E-3</c:v>
                </c:pt>
                <c:pt idx="61">
                  <c:v>4.2814404101869159E-2</c:v>
                </c:pt>
                <c:pt idx="62">
                  <c:v>2.7153142502428482E-2</c:v>
                </c:pt>
                <c:pt idx="63">
                  <c:v>1.1538849950768992E-2</c:v>
                </c:pt>
                <c:pt idx="64">
                  <c:v>2.0688308501390276E-2</c:v>
                </c:pt>
                <c:pt idx="65">
                  <c:v>2.269260697310611E-2</c:v>
                </c:pt>
                <c:pt idx="66">
                  <c:v>1.0024313566441309E-2</c:v>
                </c:pt>
                <c:pt idx="67">
                  <c:v>2.6680374761004783E-2</c:v>
                </c:pt>
                <c:pt idx="68">
                  <c:v>1.665602347166947E-2</c:v>
                </c:pt>
                <c:pt idx="69">
                  <c:v>1.3217323933738223E-2</c:v>
                </c:pt>
                <c:pt idx="70">
                  <c:v>1.5525628683443933E-2</c:v>
                </c:pt>
                <c:pt idx="71">
                  <c:v>1.9050376028639501E-2</c:v>
                </c:pt>
                <c:pt idx="72">
                  <c:v>1.3122363232835558E-2</c:v>
                </c:pt>
                <c:pt idx="73">
                  <c:v>2.085982281943426E-2</c:v>
                </c:pt>
                <c:pt idx="74">
                  <c:v>1.7525142115636549E-2</c:v>
                </c:pt>
                <c:pt idx="75">
                  <c:v>1.4536543789410104E-2</c:v>
                </c:pt>
                <c:pt idx="76">
                  <c:v>9.5999848567737568E-3</c:v>
                </c:pt>
                <c:pt idx="77">
                  <c:v>1.6153672654801367E-2</c:v>
                </c:pt>
                <c:pt idx="78">
                  <c:v>1.4593785883617002E-2</c:v>
                </c:pt>
                <c:pt idx="79">
                  <c:v>2.3626543325684743E-2</c:v>
                </c:pt>
                <c:pt idx="80">
                  <c:v>2.9534711483514529E-2</c:v>
                </c:pt>
                <c:pt idx="81">
                  <c:v>2.2656741602394562E-2</c:v>
                </c:pt>
                <c:pt idx="82">
                  <c:v>2.4580589205332102E-2</c:v>
                </c:pt>
                <c:pt idx="83">
                  <c:v>2.6546908625043209E-2</c:v>
                </c:pt>
                <c:pt idx="84">
                  <c:v>2.6418352763458552E-2</c:v>
                </c:pt>
                <c:pt idx="85">
                  <c:v>2.9421611780203465E-2</c:v>
                </c:pt>
                <c:pt idx="86">
                  <c:v>2.197111846921769E-2</c:v>
                </c:pt>
                <c:pt idx="87">
                  <c:v>1.7921385042389045E-2</c:v>
                </c:pt>
                <c:pt idx="88">
                  <c:v>2.1016872251308747E-2</c:v>
                </c:pt>
                <c:pt idx="89">
                  <c:v>2.5233855531866696E-2</c:v>
                </c:pt>
                <c:pt idx="90">
                  <c:v>1.7169702412712498E-2</c:v>
                </c:pt>
                <c:pt idx="91">
                  <c:v>2.7683148544240668E-2</c:v>
                </c:pt>
                <c:pt idx="92">
                  <c:v>2.559909322294977E-2</c:v>
                </c:pt>
                <c:pt idx="93">
                  <c:v>1.4106870364237783E-2</c:v>
                </c:pt>
                <c:pt idx="94">
                  <c:v>2.3129253860808687E-2</c:v>
                </c:pt>
                <c:pt idx="95">
                  <c:v>1.9073455917542739E-2</c:v>
                </c:pt>
                <c:pt idx="96">
                  <c:v>3.6355698238206946E-2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'Result-Combine'!$Q$3</c:f>
              <c:strCache>
                <c:ptCount val="1"/>
                <c:pt idx="0">
                  <c:v>Remaining</c:v>
                </c:pt>
              </c:strCache>
            </c:strRef>
          </c:tx>
          <c:marker>
            <c:symbol val="none"/>
          </c:marker>
          <c:cat>
            <c:numRef>
              <c:f>'Result-Combine'!$L$4:$L$102</c:f>
              <c:numCache>
                <c:formatCode>m/d/yyyy</c:formatCode>
                <c:ptCount val="97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40026</c:v>
                </c:pt>
                <c:pt idx="30">
                  <c:v>40057</c:v>
                </c:pt>
                <c:pt idx="31">
                  <c:v>40087</c:v>
                </c:pt>
                <c:pt idx="32">
                  <c:v>40118</c:v>
                </c:pt>
                <c:pt idx="33">
                  <c:v>40148</c:v>
                </c:pt>
                <c:pt idx="34">
                  <c:v>40179</c:v>
                </c:pt>
                <c:pt idx="35">
                  <c:v>40210</c:v>
                </c:pt>
                <c:pt idx="36">
                  <c:v>40238</c:v>
                </c:pt>
                <c:pt idx="37">
                  <c:v>40269</c:v>
                </c:pt>
                <c:pt idx="38">
                  <c:v>40299</c:v>
                </c:pt>
                <c:pt idx="39">
                  <c:v>40330</c:v>
                </c:pt>
                <c:pt idx="40">
                  <c:v>40360</c:v>
                </c:pt>
                <c:pt idx="41">
                  <c:v>40391</c:v>
                </c:pt>
                <c:pt idx="42">
                  <c:v>40422</c:v>
                </c:pt>
                <c:pt idx="43">
                  <c:v>40452</c:v>
                </c:pt>
                <c:pt idx="44">
                  <c:v>40483</c:v>
                </c:pt>
                <c:pt idx="45">
                  <c:v>40513</c:v>
                </c:pt>
                <c:pt idx="46">
                  <c:v>40544</c:v>
                </c:pt>
                <c:pt idx="47">
                  <c:v>40575</c:v>
                </c:pt>
                <c:pt idx="48">
                  <c:v>40603</c:v>
                </c:pt>
                <c:pt idx="49">
                  <c:v>40634</c:v>
                </c:pt>
                <c:pt idx="50">
                  <c:v>40664</c:v>
                </c:pt>
                <c:pt idx="51">
                  <c:v>40695</c:v>
                </c:pt>
                <c:pt idx="52">
                  <c:v>40725</c:v>
                </c:pt>
                <c:pt idx="53">
                  <c:v>40756</c:v>
                </c:pt>
                <c:pt idx="54">
                  <c:v>40787</c:v>
                </c:pt>
                <c:pt idx="55">
                  <c:v>40817</c:v>
                </c:pt>
                <c:pt idx="56">
                  <c:v>40848</c:v>
                </c:pt>
                <c:pt idx="57">
                  <c:v>40878</c:v>
                </c:pt>
                <c:pt idx="58">
                  <c:v>40909</c:v>
                </c:pt>
                <c:pt idx="59">
                  <c:v>40940</c:v>
                </c:pt>
                <c:pt idx="60">
                  <c:v>40969</c:v>
                </c:pt>
                <c:pt idx="61">
                  <c:v>41000</c:v>
                </c:pt>
                <c:pt idx="62">
                  <c:v>41030</c:v>
                </c:pt>
                <c:pt idx="63">
                  <c:v>41061</c:v>
                </c:pt>
                <c:pt idx="64">
                  <c:v>41091</c:v>
                </c:pt>
                <c:pt idx="65">
                  <c:v>41122</c:v>
                </c:pt>
                <c:pt idx="66">
                  <c:v>41153</c:v>
                </c:pt>
                <c:pt idx="67">
                  <c:v>41183</c:v>
                </c:pt>
                <c:pt idx="68">
                  <c:v>41214</c:v>
                </c:pt>
                <c:pt idx="69">
                  <c:v>41244</c:v>
                </c:pt>
                <c:pt idx="70">
                  <c:v>41275</c:v>
                </c:pt>
                <c:pt idx="71">
                  <c:v>41306</c:v>
                </c:pt>
                <c:pt idx="72">
                  <c:v>41334</c:v>
                </c:pt>
                <c:pt idx="73">
                  <c:v>41365</c:v>
                </c:pt>
                <c:pt idx="74">
                  <c:v>41395</c:v>
                </c:pt>
                <c:pt idx="75">
                  <c:v>41426</c:v>
                </c:pt>
                <c:pt idx="76">
                  <c:v>41456</c:v>
                </c:pt>
                <c:pt idx="77">
                  <c:v>41487</c:v>
                </c:pt>
                <c:pt idx="78">
                  <c:v>41518</c:v>
                </c:pt>
                <c:pt idx="79">
                  <c:v>41548</c:v>
                </c:pt>
                <c:pt idx="80">
                  <c:v>41579</c:v>
                </c:pt>
                <c:pt idx="81">
                  <c:v>41609</c:v>
                </c:pt>
                <c:pt idx="82">
                  <c:v>41640</c:v>
                </c:pt>
                <c:pt idx="83">
                  <c:v>41671</c:v>
                </c:pt>
                <c:pt idx="84">
                  <c:v>41699</c:v>
                </c:pt>
                <c:pt idx="85">
                  <c:v>41730</c:v>
                </c:pt>
                <c:pt idx="86">
                  <c:v>41760</c:v>
                </c:pt>
                <c:pt idx="87">
                  <c:v>41791</c:v>
                </c:pt>
                <c:pt idx="88">
                  <c:v>41821</c:v>
                </c:pt>
                <c:pt idx="89">
                  <c:v>41852</c:v>
                </c:pt>
                <c:pt idx="90">
                  <c:v>41883</c:v>
                </c:pt>
                <c:pt idx="91">
                  <c:v>41913</c:v>
                </c:pt>
                <c:pt idx="92">
                  <c:v>41944</c:v>
                </c:pt>
                <c:pt idx="93">
                  <c:v>41974</c:v>
                </c:pt>
                <c:pt idx="94">
                  <c:v>42005</c:v>
                </c:pt>
                <c:pt idx="95">
                  <c:v>42036</c:v>
                </c:pt>
                <c:pt idx="96">
                  <c:v>42064</c:v>
                </c:pt>
              </c:numCache>
            </c:numRef>
          </c:cat>
          <c:val>
            <c:numRef>
              <c:f>'Result-Combine'!$Q$4:$Q$102</c:f>
              <c:numCache>
                <c:formatCode>0%</c:formatCode>
                <c:ptCount val="97"/>
                <c:pt idx="0">
                  <c:v>1.8964703685985528E-2</c:v>
                </c:pt>
                <c:pt idx="1">
                  <c:v>1.2752114678636017E-2</c:v>
                </c:pt>
                <c:pt idx="2">
                  <c:v>1.5788447852640393E-2</c:v>
                </c:pt>
                <c:pt idx="3">
                  <c:v>1.3023634725195564E-2</c:v>
                </c:pt>
                <c:pt idx="4">
                  <c:v>1.4439620995130725E-2</c:v>
                </c:pt>
                <c:pt idx="5">
                  <c:v>1.1179268935483292E-2</c:v>
                </c:pt>
                <c:pt idx="6">
                  <c:v>1.458888874096842E-2</c:v>
                </c:pt>
                <c:pt idx="7">
                  <c:v>1.0626021602547275E-2</c:v>
                </c:pt>
                <c:pt idx="8">
                  <c:v>1.3238810754161095E-2</c:v>
                </c:pt>
                <c:pt idx="9">
                  <c:v>1.1455076152003163E-2</c:v>
                </c:pt>
                <c:pt idx="10">
                  <c:v>1.2533707130514996E-2</c:v>
                </c:pt>
                <c:pt idx="11">
                  <c:v>1.1024448672314566E-2</c:v>
                </c:pt>
                <c:pt idx="12">
                  <c:v>1.0461176156959644E-2</c:v>
                </c:pt>
                <c:pt idx="13">
                  <c:v>1.3443205287238063E-2</c:v>
                </c:pt>
                <c:pt idx="14">
                  <c:v>8.5724972547439049E-3</c:v>
                </c:pt>
                <c:pt idx="15">
                  <c:v>1.2109005062258475E-2</c:v>
                </c:pt>
                <c:pt idx="16">
                  <c:v>1.3526246407078609E-2</c:v>
                </c:pt>
                <c:pt idx="17">
                  <c:v>1.3661721203358243E-2</c:v>
                </c:pt>
                <c:pt idx="18">
                  <c:v>1.5058502673580991E-2</c:v>
                </c:pt>
                <c:pt idx="19">
                  <c:v>1.9120300321288915E-2</c:v>
                </c:pt>
                <c:pt idx="20">
                  <c:v>2.6338153875655461E-2</c:v>
                </c:pt>
                <c:pt idx="21">
                  <c:v>2.2144900858729069E-2</c:v>
                </c:pt>
                <c:pt idx="22">
                  <c:v>1.0552941915979337E-2</c:v>
                </c:pt>
                <c:pt idx="23">
                  <c:v>1.2542778440453256E-2</c:v>
                </c:pt>
                <c:pt idx="24">
                  <c:v>8.7965970985299027E-3</c:v>
                </c:pt>
                <c:pt idx="25">
                  <c:v>1.1964348773964292E-2</c:v>
                </c:pt>
                <c:pt idx="26">
                  <c:v>1.5824831368078839E-2</c:v>
                </c:pt>
                <c:pt idx="27">
                  <c:v>1.1001818412140889E-2</c:v>
                </c:pt>
                <c:pt idx="28">
                  <c:v>9.1137384150389716E-3</c:v>
                </c:pt>
                <c:pt idx="29">
                  <c:v>1.3036208846188042E-2</c:v>
                </c:pt>
                <c:pt idx="30">
                  <c:v>1.8421836932205959E-2</c:v>
                </c:pt>
                <c:pt idx="31">
                  <c:v>1.2756111061637349E-2</c:v>
                </c:pt>
                <c:pt idx="32">
                  <c:v>2.0059628147141881E-2</c:v>
                </c:pt>
                <c:pt idx="33">
                  <c:v>1.6190231281534379E-2</c:v>
                </c:pt>
                <c:pt idx="34">
                  <c:v>1.5292709271723604E-2</c:v>
                </c:pt>
                <c:pt idx="35">
                  <c:v>1.8603559834726908E-2</c:v>
                </c:pt>
                <c:pt idx="36">
                  <c:v>2.0188664839975362E-2</c:v>
                </c:pt>
                <c:pt idx="37">
                  <c:v>1.8318671908218068E-2</c:v>
                </c:pt>
                <c:pt idx="38">
                  <c:v>1.6212817059990402E-2</c:v>
                </c:pt>
                <c:pt idx="39">
                  <c:v>0.14084651121333272</c:v>
                </c:pt>
                <c:pt idx="40">
                  <c:v>0.12126224638893059</c:v>
                </c:pt>
                <c:pt idx="41">
                  <c:v>0.1614896834529877</c:v>
                </c:pt>
                <c:pt idx="42">
                  <c:v>0.13934243368106486</c:v>
                </c:pt>
                <c:pt idx="43">
                  <c:v>0.16056746102099415</c:v>
                </c:pt>
                <c:pt idx="44">
                  <c:v>0.14950276155843203</c:v>
                </c:pt>
                <c:pt idx="45">
                  <c:v>0.13745101390613007</c:v>
                </c:pt>
                <c:pt idx="46">
                  <c:v>0.12810055859064243</c:v>
                </c:pt>
                <c:pt idx="47">
                  <c:v>8.7474494055005264E-2</c:v>
                </c:pt>
                <c:pt idx="48">
                  <c:v>0.1104804187888947</c:v>
                </c:pt>
                <c:pt idx="49">
                  <c:v>9.7579179361344151E-2</c:v>
                </c:pt>
                <c:pt idx="50">
                  <c:v>0.10657064276578056</c:v>
                </c:pt>
                <c:pt idx="51">
                  <c:v>0.10890821015426851</c:v>
                </c:pt>
                <c:pt idx="52">
                  <c:v>0.12483206034225397</c:v>
                </c:pt>
                <c:pt idx="53">
                  <c:v>0.12574580065058275</c:v>
                </c:pt>
                <c:pt idx="54">
                  <c:v>0.13266871850673617</c:v>
                </c:pt>
                <c:pt idx="55">
                  <c:v>0.19153813417197066</c:v>
                </c:pt>
                <c:pt idx="56">
                  <c:v>0.17360334860971191</c:v>
                </c:pt>
                <c:pt idx="57">
                  <c:v>0.15487439525644445</c:v>
                </c:pt>
                <c:pt idx="58">
                  <c:v>0.18485604190515917</c:v>
                </c:pt>
                <c:pt idx="59">
                  <c:v>0.19024108516278501</c:v>
                </c:pt>
                <c:pt idx="60">
                  <c:v>0.15329881428637701</c:v>
                </c:pt>
                <c:pt idx="61">
                  <c:v>0.23789365717856858</c:v>
                </c:pt>
                <c:pt idx="62">
                  <c:v>0.181229741830358</c:v>
                </c:pt>
                <c:pt idx="63">
                  <c:v>0.21976278331482729</c:v>
                </c:pt>
                <c:pt idx="64">
                  <c:v>0.22028904258581591</c:v>
                </c:pt>
                <c:pt idx="65">
                  <c:v>0.227039594311053</c:v>
                </c:pt>
                <c:pt idx="66">
                  <c:v>0.22850250014219559</c:v>
                </c:pt>
                <c:pt idx="67">
                  <c:v>0.1691549930305328</c:v>
                </c:pt>
                <c:pt idx="68">
                  <c:v>0.29305313989352172</c:v>
                </c:pt>
                <c:pt idx="69">
                  <c:v>0.29757659230783201</c:v>
                </c:pt>
                <c:pt idx="70">
                  <c:v>0.25133756567381044</c:v>
                </c:pt>
                <c:pt idx="71">
                  <c:v>0.21347652699574077</c:v>
                </c:pt>
                <c:pt idx="72">
                  <c:v>0.25688916663857114</c:v>
                </c:pt>
                <c:pt idx="73">
                  <c:v>0.23540367360359027</c:v>
                </c:pt>
                <c:pt idx="74">
                  <c:v>0.24603136756093291</c:v>
                </c:pt>
                <c:pt idx="75">
                  <c:v>0.24456650150783363</c:v>
                </c:pt>
                <c:pt idx="76">
                  <c:v>0.26097439701882769</c:v>
                </c:pt>
                <c:pt idx="77">
                  <c:v>0.22654834561466322</c:v>
                </c:pt>
                <c:pt idx="78">
                  <c:v>0.22959318104448587</c:v>
                </c:pt>
                <c:pt idx="79">
                  <c:v>0.27265189793654437</c:v>
                </c:pt>
                <c:pt idx="80">
                  <c:v>0.23649738171262735</c:v>
                </c:pt>
                <c:pt idx="81">
                  <c:v>0.27834008937879545</c:v>
                </c:pt>
                <c:pt idx="82">
                  <c:v>0.32040224597702277</c:v>
                </c:pt>
                <c:pt idx="83">
                  <c:v>0.25076042092123529</c:v>
                </c:pt>
                <c:pt idx="84">
                  <c:v>0.30157362731114457</c:v>
                </c:pt>
                <c:pt idx="85">
                  <c:v>0.29566464929852398</c:v>
                </c:pt>
                <c:pt idx="86">
                  <c:v>0.30887247807611051</c:v>
                </c:pt>
                <c:pt idx="87">
                  <c:v>0.30512556158299231</c:v>
                </c:pt>
                <c:pt idx="88">
                  <c:v>0.30518981177871296</c:v>
                </c:pt>
                <c:pt idx="89">
                  <c:v>0.29716844694020778</c:v>
                </c:pt>
                <c:pt idx="90">
                  <c:v>0.21674766519118346</c:v>
                </c:pt>
                <c:pt idx="91">
                  <c:v>0.29971606484338259</c:v>
                </c:pt>
                <c:pt idx="92">
                  <c:v>0.12985267572548118</c:v>
                </c:pt>
                <c:pt idx="93">
                  <c:v>0.34726100561222345</c:v>
                </c:pt>
                <c:pt idx="94">
                  <c:v>0.23506486401352211</c:v>
                </c:pt>
                <c:pt idx="95">
                  <c:v>0.25167009927589307</c:v>
                </c:pt>
                <c:pt idx="96">
                  <c:v>0.20841339330018813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123648"/>
        <c:axId val="364125184"/>
      </c:lineChart>
      <c:dateAx>
        <c:axId val="364123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4125184"/>
        <c:crosses val="autoZero"/>
        <c:auto val="1"/>
        <c:lblOffset val="100"/>
        <c:baseTimeUnit val="months"/>
      </c:dateAx>
      <c:valAx>
        <c:axId val="3641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64123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'Result-lag'!$N$3</c:f>
              <c:strCache>
                <c:ptCount val="1"/>
                <c:pt idx="0">
                  <c:v>Top 1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'Result-lag'!$K$4:$K$102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'Result-lag'!$N$4:$N$102</c:f>
              <c:numCache>
                <c:formatCode>0%</c:formatCode>
                <c:ptCount val="99"/>
                <c:pt idx="0">
                  <c:v>0.24636269220112281</c:v>
                </c:pt>
                <c:pt idx="1">
                  <c:v>0.2841822858931442</c:v>
                </c:pt>
                <c:pt idx="2">
                  <c:v>0.24949982685433592</c:v>
                </c:pt>
                <c:pt idx="3">
                  <c:v>0.25581238177079269</c:v>
                </c:pt>
                <c:pt idx="4">
                  <c:v>0.26512732652857557</c:v>
                </c:pt>
                <c:pt idx="5">
                  <c:v>0.23875424568212444</c:v>
                </c:pt>
                <c:pt idx="6">
                  <c:v>0.26428853731030344</c:v>
                </c:pt>
                <c:pt idx="7">
                  <c:v>0.22722420734431414</c:v>
                </c:pt>
                <c:pt idx="8">
                  <c:v>0.23501288103876991</c:v>
                </c:pt>
                <c:pt idx="9">
                  <c:v>0.26022610926824746</c:v>
                </c:pt>
                <c:pt idx="10">
                  <c:v>0.22817381475112358</c:v>
                </c:pt>
                <c:pt idx="11">
                  <c:v>0.21980679978152803</c:v>
                </c:pt>
                <c:pt idx="12">
                  <c:v>0.24972476246886532</c:v>
                </c:pt>
                <c:pt idx="13">
                  <c:v>0.24110548865093293</c:v>
                </c:pt>
                <c:pt idx="14">
                  <c:v>0.22930488835202725</c:v>
                </c:pt>
                <c:pt idx="15">
                  <c:v>0.17431360154276068</c:v>
                </c:pt>
                <c:pt idx="16">
                  <c:v>0.21654719329590358</c:v>
                </c:pt>
                <c:pt idx="17">
                  <c:v>0.22128133654971505</c:v>
                </c:pt>
                <c:pt idx="18">
                  <c:v>0.22344343624794941</c:v>
                </c:pt>
                <c:pt idx="19">
                  <c:v>0.17513053790699545</c:v>
                </c:pt>
                <c:pt idx="20">
                  <c:v>0.16748588520581784</c:v>
                </c:pt>
                <c:pt idx="21">
                  <c:v>0.20390101803626007</c:v>
                </c:pt>
                <c:pt idx="22">
                  <c:v>0.19079921884197154</c:v>
                </c:pt>
                <c:pt idx="23">
                  <c:v>0.20602999284109241</c:v>
                </c:pt>
                <c:pt idx="24">
                  <c:v>0.21430122319796135</c:v>
                </c:pt>
                <c:pt idx="25">
                  <c:v>0.1766367222480027</c:v>
                </c:pt>
                <c:pt idx="26">
                  <c:v>0.22312392267497616</c:v>
                </c:pt>
                <c:pt idx="27">
                  <c:v>0.23633644320086647</c:v>
                </c:pt>
                <c:pt idx="28">
                  <c:v>0.19534476965194081</c:v>
                </c:pt>
                <c:pt idx="29">
                  <c:v>0.11080411052430103</c:v>
                </c:pt>
                <c:pt idx="30">
                  <c:v>0.17315912378400977</c:v>
                </c:pt>
                <c:pt idx="31">
                  <c:v>0.22905909097314606</c:v>
                </c:pt>
                <c:pt idx="32">
                  <c:v>0.24916868550830817</c:v>
                </c:pt>
                <c:pt idx="33">
                  <c:v>0.26636989305782133</c:v>
                </c:pt>
                <c:pt idx="34">
                  <c:v>0.26132512234393679</c:v>
                </c:pt>
                <c:pt idx="35">
                  <c:v>0.21690748757067005</c:v>
                </c:pt>
                <c:pt idx="36">
                  <c:v>0.24938925253036257</c:v>
                </c:pt>
                <c:pt idx="37">
                  <c:v>0.25945914883095961</c:v>
                </c:pt>
                <c:pt idx="38">
                  <c:v>0.26340112469461252</c:v>
                </c:pt>
                <c:pt idx="39">
                  <c:v>0.23221855217642162</c:v>
                </c:pt>
                <c:pt idx="40">
                  <c:v>0.28336065864683552</c:v>
                </c:pt>
                <c:pt idx="41">
                  <c:v>0.26154400601732475</c:v>
                </c:pt>
                <c:pt idx="42">
                  <c:v>0.21411757028363768</c:v>
                </c:pt>
                <c:pt idx="43">
                  <c:v>0.22209856432238018</c:v>
                </c:pt>
                <c:pt idx="44">
                  <c:v>0.23207238394783508</c:v>
                </c:pt>
                <c:pt idx="45">
                  <c:v>0.18904510664903632</c:v>
                </c:pt>
                <c:pt idx="46">
                  <c:v>0.20621698716838782</c:v>
                </c:pt>
                <c:pt idx="47">
                  <c:v>0.18488393073974052</c:v>
                </c:pt>
                <c:pt idx="48">
                  <c:v>0.17774501775598905</c:v>
                </c:pt>
                <c:pt idx="49">
                  <c:v>0.22957188495669772</c:v>
                </c:pt>
                <c:pt idx="50">
                  <c:v>0.25591485351597654</c:v>
                </c:pt>
                <c:pt idx="51">
                  <c:v>0.18470634174024339</c:v>
                </c:pt>
                <c:pt idx="52">
                  <c:v>0.23577980701780243</c:v>
                </c:pt>
                <c:pt idx="53">
                  <c:v>0.22878844991226946</c:v>
                </c:pt>
                <c:pt idx="54">
                  <c:v>0.23561613857322325</c:v>
                </c:pt>
                <c:pt idx="55">
                  <c:v>0.18024855405800505</c:v>
                </c:pt>
                <c:pt idx="56">
                  <c:v>0.2241613499507375</c:v>
                </c:pt>
                <c:pt idx="57">
                  <c:v>0.21949732387745682</c:v>
                </c:pt>
                <c:pt idx="58">
                  <c:v>0.23970654509869141</c:v>
                </c:pt>
                <c:pt idx="59">
                  <c:v>0.23877487605465297</c:v>
                </c:pt>
                <c:pt idx="60">
                  <c:v>0.31991216756100593</c:v>
                </c:pt>
                <c:pt idx="61">
                  <c:v>0.2684757093875183</c:v>
                </c:pt>
                <c:pt idx="62">
                  <c:v>0.26106533078291561</c:v>
                </c:pt>
                <c:pt idx="63">
                  <c:v>0.35795720020052219</c:v>
                </c:pt>
                <c:pt idx="64">
                  <c:v>0.22892275323862449</c:v>
                </c:pt>
                <c:pt idx="65">
                  <c:v>0.31080586294319845</c:v>
                </c:pt>
                <c:pt idx="66">
                  <c:v>0.19506759561596548</c:v>
                </c:pt>
                <c:pt idx="67">
                  <c:v>0.25307285769095378</c:v>
                </c:pt>
                <c:pt idx="68">
                  <c:v>0.19783012765877508</c:v>
                </c:pt>
                <c:pt idx="69">
                  <c:v>0.18726065266600217</c:v>
                </c:pt>
                <c:pt idx="70">
                  <c:v>0.2206778111197692</c:v>
                </c:pt>
                <c:pt idx="71">
                  <c:v>0.17656361667081691</c:v>
                </c:pt>
                <c:pt idx="72">
                  <c:v>8.4019467689846125E-2</c:v>
                </c:pt>
                <c:pt idx="73">
                  <c:v>0.14715480369802222</c:v>
                </c:pt>
                <c:pt idx="74">
                  <c:v>0.15543212209873777</c:v>
                </c:pt>
                <c:pt idx="75">
                  <c:v>0.15240421371496468</c:v>
                </c:pt>
                <c:pt idx="76">
                  <c:v>0.148335265574044</c:v>
                </c:pt>
                <c:pt idx="77">
                  <c:v>0.22759616801521063</c:v>
                </c:pt>
                <c:pt idx="78">
                  <c:v>0.23220142964113813</c:v>
                </c:pt>
                <c:pt idx="79">
                  <c:v>0.23677842979061098</c:v>
                </c:pt>
                <c:pt idx="80">
                  <c:v>0.24361723778169839</c:v>
                </c:pt>
                <c:pt idx="81">
                  <c:v>0.24915486552110575</c:v>
                </c:pt>
                <c:pt idx="82">
                  <c:v>0.19661707526669342</c:v>
                </c:pt>
                <c:pt idx="83">
                  <c:v>0.19210481133245383</c:v>
                </c:pt>
                <c:pt idx="84">
                  <c:v>0.16235553377970091</c:v>
                </c:pt>
                <c:pt idx="85">
                  <c:v>0.10217808324968256</c:v>
                </c:pt>
                <c:pt idx="86">
                  <c:v>0.14469396786863739</c:v>
                </c:pt>
                <c:pt idx="87">
                  <c:v>0.11959707031534259</c:v>
                </c:pt>
                <c:pt idx="88">
                  <c:v>0.12175721902507194</c:v>
                </c:pt>
                <c:pt idx="89">
                  <c:v>0.13038574255632018</c:v>
                </c:pt>
                <c:pt idx="90">
                  <c:v>0.12696528542041305</c:v>
                </c:pt>
                <c:pt idx="91">
                  <c:v>0.11848884385691461</c:v>
                </c:pt>
                <c:pt idx="92">
                  <c:v>0.12763021479156866</c:v>
                </c:pt>
                <c:pt idx="93">
                  <c:v>9.889565738178506E-2</c:v>
                </c:pt>
                <c:pt idx="94">
                  <c:v>0.10116639670896706</c:v>
                </c:pt>
                <c:pt idx="95">
                  <c:v>0.12880289441241849</c:v>
                </c:pt>
                <c:pt idx="96">
                  <c:v>8.0706504100514415E-2</c:v>
                </c:pt>
                <c:pt idx="97">
                  <c:v>0.14733742692845792</c:v>
                </c:pt>
                <c:pt idx="98">
                  <c:v>0.13417771305645587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'Result-lag'!$M$3</c:f>
              <c:strCache>
                <c:ptCount val="1"/>
                <c:pt idx="0">
                  <c:v>Top 5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'Result-lag'!$K$4:$K$102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'Result-lag'!$M$4:$M$102</c:f>
              <c:numCache>
                <c:formatCode>0%</c:formatCode>
                <c:ptCount val="99"/>
                <c:pt idx="0">
                  <c:v>0.67329044839970842</c:v>
                </c:pt>
                <c:pt idx="1">
                  <c:v>0.71178118212515928</c:v>
                </c:pt>
                <c:pt idx="2">
                  <c:v>0.66439575742773882</c:v>
                </c:pt>
                <c:pt idx="3">
                  <c:v>0.69387438314627425</c:v>
                </c:pt>
                <c:pt idx="4">
                  <c:v>0.69388019062103157</c:v>
                </c:pt>
                <c:pt idx="5">
                  <c:v>0.65559362216724637</c:v>
                </c:pt>
                <c:pt idx="6">
                  <c:v>0.68524004319921961</c:v>
                </c:pt>
                <c:pt idx="7">
                  <c:v>0.65194307133524076</c:v>
                </c:pt>
                <c:pt idx="8">
                  <c:v>0.6518948692557156</c:v>
                </c:pt>
                <c:pt idx="9">
                  <c:v>0.65114981482513734</c:v>
                </c:pt>
                <c:pt idx="10">
                  <c:v>0.65124946646364579</c:v>
                </c:pt>
                <c:pt idx="11">
                  <c:v>0.61778676925991571</c:v>
                </c:pt>
                <c:pt idx="12">
                  <c:v>0.67937899499851695</c:v>
                </c:pt>
                <c:pt idx="13">
                  <c:v>0.6524090043104801</c:v>
                </c:pt>
                <c:pt idx="14">
                  <c:v>0.70402319257163559</c:v>
                </c:pt>
                <c:pt idx="15">
                  <c:v>0.66614255677342116</c:v>
                </c:pt>
                <c:pt idx="16">
                  <c:v>0.6651885250582108</c:v>
                </c:pt>
                <c:pt idx="17">
                  <c:v>0.68923290077531063</c:v>
                </c:pt>
                <c:pt idx="18">
                  <c:v>0.69570835774597106</c:v>
                </c:pt>
                <c:pt idx="19">
                  <c:v>0.654055597922794</c:v>
                </c:pt>
                <c:pt idx="20">
                  <c:v>0.66024138920147801</c:v>
                </c:pt>
                <c:pt idx="21">
                  <c:v>0.66719020931947037</c:v>
                </c:pt>
                <c:pt idx="22">
                  <c:v>0.63925896082261091</c:v>
                </c:pt>
                <c:pt idx="23">
                  <c:v>0.63876184903482536</c:v>
                </c:pt>
                <c:pt idx="24">
                  <c:v>0.61425261338238335</c:v>
                </c:pt>
                <c:pt idx="25">
                  <c:v>0.58056152178394227</c:v>
                </c:pt>
                <c:pt idx="26">
                  <c:v>0.60946073958699809</c:v>
                </c:pt>
                <c:pt idx="27">
                  <c:v>0.66249266809271756</c:v>
                </c:pt>
                <c:pt idx="28">
                  <c:v>0.51803539528457054</c:v>
                </c:pt>
                <c:pt idx="29">
                  <c:v>0.32637876035135494</c:v>
                </c:pt>
                <c:pt idx="30">
                  <c:v>0.48836422624902454</c:v>
                </c:pt>
                <c:pt idx="31">
                  <c:v>0.59322757276468918</c:v>
                </c:pt>
                <c:pt idx="32">
                  <c:v>0.58252307424613325</c:v>
                </c:pt>
                <c:pt idx="33">
                  <c:v>0.64294162331896221</c:v>
                </c:pt>
                <c:pt idx="34">
                  <c:v>0.6388984731944346</c:v>
                </c:pt>
                <c:pt idx="35">
                  <c:v>0.61380485688141773</c:v>
                </c:pt>
                <c:pt idx="36">
                  <c:v>0.6453417467159126</c:v>
                </c:pt>
                <c:pt idx="37">
                  <c:v>0.64012526475228637</c:v>
                </c:pt>
                <c:pt idx="38">
                  <c:v>0.70476091713093048</c:v>
                </c:pt>
                <c:pt idx="39">
                  <c:v>0.72288996819528029</c:v>
                </c:pt>
                <c:pt idx="40">
                  <c:v>0.69023458531878512</c:v>
                </c:pt>
                <c:pt idx="41">
                  <c:v>0.68733338153608714</c:v>
                </c:pt>
                <c:pt idx="42">
                  <c:v>0.62969704274353655</c:v>
                </c:pt>
                <c:pt idx="43">
                  <c:v>0.63315696017467626</c:v>
                </c:pt>
                <c:pt idx="44">
                  <c:v>0.55805775289735315</c:v>
                </c:pt>
                <c:pt idx="45">
                  <c:v>0.62944282252470773</c:v>
                </c:pt>
                <c:pt idx="46">
                  <c:v>0.5595676094859019</c:v>
                </c:pt>
                <c:pt idx="47">
                  <c:v>0.50751769552016823</c:v>
                </c:pt>
                <c:pt idx="48">
                  <c:v>0.59800947688755879</c:v>
                </c:pt>
                <c:pt idx="49">
                  <c:v>0.59387821527091189</c:v>
                </c:pt>
                <c:pt idx="50">
                  <c:v>0.63110413855606695</c:v>
                </c:pt>
                <c:pt idx="51">
                  <c:v>0.63038375430667215</c:v>
                </c:pt>
                <c:pt idx="52">
                  <c:v>0.61305264167744788</c:v>
                </c:pt>
                <c:pt idx="53">
                  <c:v>0.60201757888390139</c:v>
                </c:pt>
                <c:pt idx="54">
                  <c:v>0.63378109487029743</c:v>
                </c:pt>
                <c:pt idx="55">
                  <c:v>0.59040523237371945</c:v>
                </c:pt>
                <c:pt idx="56">
                  <c:v>0.56163517511182515</c:v>
                </c:pt>
                <c:pt idx="57">
                  <c:v>0.60735372857505066</c:v>
                </c:pt>
                <c:pt idx="58">
                  <c:v>0.50078184720149421</c:v>
                </c:pt>
                <c:pt idx="59">
                  <c:v>0.54753332588225001</c:v>
                </c:pt>
                <c:pt idx="60">
                  <c:v>0.5839375127078773</c:v>
                </c:pt>
                <c:pt idx="61">
                  <c:v>0.51007598670676924</c:v>
                </c:pt>
                <c:pt idx="62">
                  <c:v>0.49826055007523629</c:v>
                </c:pt>
                <c:pt idx="63">
                  <c:v>0.57541079089651459</c:v>
                </c:pt>
                <c:pt idx="64">
                  <c:v>0.44513905983860069</c:v>
                </c:pt>
                <c:pt idx="65">
                  <c:v>0.51760398357307569</c:v>
                </c:pt>
                <c:pt idx="66">
                  <c:v>0.41103631466349622</c:v>
                </c:pt>
                <c:pt idx="67">
                  <c:v>0.46241638852973094</c:v>
                </c:pt>
                <c:pt idx="68">
                  <c:v>0.44164198644180641</c:v>
                </c:pt>
                <c:pt idx="69">
                  <c:v>0.44438649016413884</c:v>
                </c:pt>
                <c:pt idx="70">
                  <c:v>0.45184864917921763</c:v>
                </c:pt>
                <c:pt idx="71">
                  <c:v>0.36505972786371155</c:v>
                </c:pt>
                <c:pt idx="72">
                  <c:v>0.33702326509064801</c:v>
                </c:pt>
                <c:pt idx="73">
                  <c:v>0.37470156812099736</c:v>
                </c:pt>
                <c:pt idx="74">
                  <c:v>0.4205332857330451</c:v>
                </c:pt>
                <c:pt idx="75">
                  <c:v>0.40014884747366275</c:v>
                </c:pt>
                <c:pt idx="76">
                  <c:v>0.40883260320162551</c:v>
                </c:pt>
                <c:pt idx="77">
                  <c:v>0.43738407576174293</c:v>
                </c:pt>
                <c:pt idx="78">
                  <c:v>0.44006519611605494</c:v>
                </c:pt>
                <c:pt idx="79">
                  <c:v>0.41746954085792631</c:v>
                </c:pt>
                <c:pt idx="80">
                  <c:v>0.42778849043288125</c:v>
                </c:pt>
                <c:pt idx="81">
                  <c:v>0.44795982088886382</c:v>
                </c:pt>
                <c:pt idx="82">
                  <c:v>0.35807032123398946</c:v>
                </c:pt>
                <c:pt idx="83">
                  <c:v>0.40008571475088917</c:v>
                </c:pt>
                <c:pt idx="84">
                  <c:v>0.33228822068798325</c:v>
                </c:pt>
                <c:pt idx="85">
                  <c:v>0.31603122926106775</c:v>
                </c:pt>
                <c:pt idx="86">
                  <c:v>0.38858480436722431</c:v>
                </c:pt>
                <c:pt idx="87">
                  <c:v>0.3285253026054718</c:v>
                </c:pt>
                <c:pt idx="88">
                  <c:v>0.33759538418962715</c:v>
                </c:pt>
                <c:pt idx="89">
                  <c:v>0.27156599576585394</c:v>
                </c:pt>
                <c:pt idx="90">
                  <c:v>0.30651291927338403</c:v>
                </c:pt>
                <c:pt idx="91">
                  <c:v>0.28223098713675887</c:v>
                </c:pt>
                <c:pt idx="92">
                  <c:v>0.30042343545306915</c:v>
                </c:pt>
                <c:pt idx="93">
                  <c:v>0.37311794915481006</c:v>
                </c:pt>
                <c:pt idx="94">
                  <c:v>0.28976308057961853</c:v>
                </c:pt>
                <c:pt idx="95">
                  <c:v>0.47409383747366829</c:v>
                </c:pt>
                <c:pt idx="96">
                  <c:v>0.24466213441779025</c:v>
                </c:pt>
                <c:pt idx="97">
                  <c:v>0.34800949996292735</c:v>
                </c:pt>
                <c:pt idx="98">
                  <c:v>0.30749238628665193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'Result-lag'!$L$3</c:f>
              <c:strCache>
                <c:ptCount val="1"/>
                <c:pt idx="0">
                  <c:v>Top 10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'Result-lag'!$K$4:$K$102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'Result-lag'!$L$4:$L$102</c:f>
              <c:numCache>
                <c:formatCode>0%</c:formatCode>
                <c:ptCount val="99"/>
                <c:pt idx="0">
                  <c:v>0.82226979817186741</c:v>
                </c:pt>
                <c:pt idx="1">
                  <c:v>0.84759009584030343</c:v>
                </c:pt>
                <c:pt idx="2">
                  <c:v>0.83128848355068297</c:v>
                </c:pt>
                <c:pt idx="3">
                  <c:v>0.84909534807570508</c:v>
                </c:pt>
                <c:pt idx="4">
                  <c:v>0.82070296342721849</c:v>
                </c:pt>
                <c:pt idx="5">
                  <c:v>0.81128916874379287</c:v>
                </c:pt>
                <c:pt idx="6">
                  <c:v>0.82354532083684107</c:v>
                </c:pt>
                <c:pt idx="7">
                  <c:v>0.80902255709518578</c:v>
                </c:pt>
                <c:pt idx="8">
                  <c:v>0.82312204926633037</c:v>
                </c:pt>
                <c:pt idx="9">
                  <c:v>0.79633927432313689</c:v>
                </c:pt>
                <c:pt idx="10">
                  <c:v>0.83105304212478759</c:v>
                </c:pt>
                <c:pt idx="11">
                  <c:v>0.81340974207374728</c:v>
                </c:pt>
                <c:pt idx="12">
                  <c:v>0.84366917946716147</c:v>
                </c:pt>
                <c:pt idx="13">
                  <c:v>0.81832322247960332</c:v>
                </c:pt>
                <c:pt idx="14">
                  <c:v>0.87473858884312328</c:v>
                </c:pt>
                <c:pt idx="15">
                  <c:v>0.82670438751832354</c:v>
                </c:pt>
                <c:pt idx="16">
                  <c:v>0.83333097378651533</c:v>
                </c:pt>
                <c:pt idx="17">
                  <c:v>0.84894578515123986</c:v>
                </c:pt>
                <c:pt idx="18">
                  <c:v>0.81832029671621664</c:v>
                </c:pt>
                <c:pt idx="19">
                  <c:v>0.80813697680937824</c:v>
                </c:pt>
                <c:pt idx="20">
                  <c:v>0.81087076338181574</c:v>
                </c:pt>
                <c:pt idx="21">
                  <c:v>0.80451915645507011</c:v>
                </c:pt>
                <c:pt idx="22">
                  <c:v>0.82973930552847597</c:v>
                </c:pt>
                <c:pt idx="23">
                  <c:v>0.79373038543231456</c:v>
                </c:pt>
                <c:pt idx="24">
                  <c:v>0.82061980589110017</c:v>
                </c:pt>
                <c:pt idx="25">
                  <c:v>0.7038161100840955</c:v>
                </c:pt>
                <c:pt idx="26">
                  <c:v>0.72946759080252876</c:v>
                </c:pt>
                <c:pt idx="27">
                  <c:v>0.7677108961387592</c:v>
                </c:pt>
                <c:pt idx="28">
                  <c:v>0.64028607383387015</c:v>
                </c:pt>
                <c:pt idx="29">
                  <c:v>0.37920210894754686</c:v>
                </c:pt>
                <c:pt idx="30">
                  <c:v>0.55505181842286477</c:v>
                </c:pt>
                <c:pt idx="31">
                  <c:v>0.68540251907737237</c:v>
                </c:pt>
                <c:pt idx="32">
                  <c:v>0.66841729368308134</c:v>
                </c:pt>
                <c:pt idx="33">
                  <c:v>0.70607913097161878</c:v>
                </c:pt>
                <c:pt idx="34">
                  <c:v>0.72782691587093595</c:v>
                </c:pt>
                <c:pt idx="35">
                  <c:v>0.72465753151748546</c:v>
                </c:pt>
                <c:pt idx="36">
                  <c:v>0.7479507732683085</c:v>
                </c:pt>
                <c:pt idx="37">
                  <c:v>0.7216283163555367</c:v>
                </c:pt>
                <c:pt idx="38">
                  <c:v>0.77198987761874016</c:v>
                </c:pt>
                <c:pt idx="39">
                  <c:v>0.78950295541143867</c:v>
                </c:pt>
                <c:pt idx="40">
                  <c:v>0.76989769902918825</c:v>
                </c:pt>
                <c:pt idx="41">
                  <c:v>0.77945106571302991</c:v>
                </c:pt>
                <c:pt idx="42">
                  <c:v>0.7156254786099453</c:v>
                </c:pt>
                <c:pt idx="43">
                  <c:v>0.70883899100929548</c:v>
                </c:pt>
                <c:pt idx="44">
                  <c:v>0.66959692627896616</c:v>
                </c:pt>
                <c:pt idx="45">
                  <c:v>0.73036670298927497</c:v>
                </c:pt>
                <c:pt idx="46">
                  <c:v>0.65579387630658992</c:v>
                </c:pt>
                <c:pt idx="47">
                  <c:v>0.62612998295673794</c:v>
                </c:pt>
                <c:pt idx="48">
                  <c:v>0.67404582655922252</c:v>
                </c:pt>
                <c:pt idx="49">
                  <c:v>0.70343448670880093</c:v>
                </c:pt>
                <c:pt idx="50">
                  <c:v>0.73305556458319487</c:v>
                </c:pt>
                <c:pt idx="51">
                  <c:v>0.72670312561160377</c:v>
                </c:pt>
                <c:pt idx="52">
                  <c:v>0.70412311819884632</c:v>
                </c:pt>
                <c:pt idx="53">
                  <c:v>0.69906734837567486</c:v>
                </c:pt>
                <c:pt idx="54">
                  <c:v>0.72803724129952629</c:v>
                </c:pt>
                <c:pt idx="55">
                  <c:v>0.68268030583218564</c:v>
                </c:pt>
                <c:pt idx="56">
                  <c:v>0.67195896023622037</c:v>
                </c:pt>
                <c:pt idx="57">
                  <c:v>0.70734096133000712</c:v>
                </c:pt>
                <c:pt idx="58">
                  <c:v>0.62715853156865475</c:v>
                </c:pt>
                <c:pt idx="59">
                  <c:v>0.65160506996569434</c:v>
                </c:pt>
                <c:pt idx="60">
                  <c:v>0.66446746530531131</c:v>
                </c:pt>
                <c:pt idx="61">
                  <c:v>0.60413048031754624</c:v>
                </c:pt>
                <c:pt idx="62">
                  <c:v>0.59323136576638857</c:v>
                </c:pt>
                <c:pt idx="63">
                  <c:v>0.66202813793798931</c:v>
                </c:pt>
                <c:pt idx="64">
                  <c:v>0.51827344247529805</c:v>
                </c:pt>
                <c:pt idx="65">
                  <c:v>0.60326406321066961</c:v>
                </c:pt>
                <c:pt idx="66">
                  <c:v>0.53180208283598618</c:v>
                </c:pt>
                <c:pt idx="67">
                  <c:v>0.55380739694478975</c:v>
                </c:pt>
                <c:pt idx="68">
                  <c:v>0.53640508903739337</c:v>
                </c:pt>
                <c:pt idx="69">
                  <c:v>0.53322716624439437</c:v>
                </c:pt>
                <c:pt idx="70">
                  <c:v>0.57656714660342656</c:v>
                </c:pt>
                <c:pt idx="71">
                  <c:v>0.45809918086386209</c:v>
                </c:pt>
                <c:pt idx="72">
                  <c:v>0.42750747566862818</c:v>
                </c:pt>
                <c:pt idx="73">
                  <c:v>0.47636750931304078</c:v>
                </c:pt>
                <c:pt idx="74">
                  <c:v>0.53016030023400917</c:v>
                </c:pt>
                <c:pt idx="75">
                  <c:v>0.49118168131946977</c:v>
                </c:pt>
                <c:pt idx="76">
                  <c:v>0.51423689511354909</c:v>
                </c:pt>
                <c:pt idx="77">
                  <c:v>0.53022634128906176</c:v>
                </c:pt>
                <c:pt idx="78">
                  <c:v>0.53611580967658246</c:v>
                </c:pt>
                <c:pt idx="79">
                  <c:v>0.5245788025053657</c:v>
                </c:pt>
                <c:pt idx="80">
                  <c:v>0.55136166086286253</c:v>
                </c:pt>
                <c:pt idx="81">
                  <c:v>0.54901597302674554</c:v>
                </c:pt>
                <c:pt idx="82">
                  <c:v>0.4714550045096445</c:v>
                </c:pt>
                <c:pt idx="83">
                  <c:v>0.50694565309934003</c:v>
                </c:pt>
                <c:pt idx="84">
                  <c:v>0.42730908067034029</c:v>
                </c:pt>
                <c:pt idx="85">
                  <c:v>0.41066008757998562</c:v>
                </c:pt>
                <c:pt idx="86">
                  <c:v>0.48006278568588912</c:v>
                </c:pt>
                <c:pt idx="87">
                  <c:v>0.41482990705589201</c:v>
                </c:pt>
                <c:pt idx="88">
                  <c:v>0.44343178569243091</c:v>
                </c:pt>
                <c:pt idx="89">
                  <c:v>0.37696147391733809</c:v>
                </c:pt>
                <c:pt idx="90">
                  <c:v>0.39686718876134325</c:v>
                </c:pt>
                <c:pt idx="91">
                  <c:v>0.37683083728409794</c:v>
                </c:pt>
                <c:pt idx="92">
                  <c:v>0.39088376774196576</c:v>
                </c:pt>
                <c:pt idx="93">
                  <c:v>0.49117851484051983</c:v>
                </c:pt>
                <c:pt idx="94">
                  <c:v>0.37920193602628349</c:v>
                </c:pt>
                <c:pt idx="95">
                  <c:v>0.58766100974565816</c:v>
                </c:pt>
                <c:pt idx="96">
                  <c:v>0.32757627754419832</c:v>
                </c:pt>
                <c:pt idx="97">
                  <c:v>0.44169472718951891</c:v>
                </c:pt>
                <c:pt idx="98">
                  <c:v>0.40230075842482582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323072"/>
        <c:axId val="396333056"/>
      </c:lineChart>
      <c:dateAx>
        <c:axId val="396323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6333056"/>
        <c:crosses val="autoZero"/>
        <c:auto val="1"/>
        <c:lblOffset val="100"/>
        <c:baseTimeUnit val="months"/>
      </c:dateAx>
      <c:valAx>
        <c:axId val="3963330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96323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850870328325523"/>
          <c:y val="0.13398094281117848"/>
          <c:w val="0.75274263723169577"/>
          <c:h val="0.73514290202518207"/>
        </c:manualLayout>
      </c:layout>
      <c:lineChart>
        <c:grouping val="standard"/>
        <c:varyColors val="0"/>
        <c:ser>
          <c:idx val="0"/>
          <c:order val="0"/>
          <c:tx>
            <c:strRef>
              <c:f>'Result-lag'!$D$3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'Result-lag'!$C$4:$C$102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'Result-lag'!$D$4:$D$102</c:f>
              <c:numCache>
                <c:formatCode>_(* #,##0_);_(* \(#,##0\);_(* "-"??_);_(@_)</c:formatCode>
                <c:ptCount val="99"/>
                <c:pt idx="0">
                  <c:v>48986973755.699997</c:v>
                </c:pt>
                <c:pt idx="1">
                  <c:v>52453433791.699997</c:v>
                </c:pt>
                <c:pt idx="2">
                  <c:v>47757143575.32</c:v>
                </c:pt>
                <c:pt idx="3">
                  <c:v>52540646459.18</c:v>
                </c:pt>
                <c:pt idx="4">
                  <c:v>55030123991.339996</c:v>
                </c:pt>
                <c:pt idx="5">
                  <c:v>63791156452.68</c:v>
                </c:pt>
                <c:pt idx="6">
                  <c:v>66543383648.120003</c:v>
                </c:pt>
                <c:pt idx="7">
                  <c:v>66841769232.779999</c:v>
                </c:pt>
                <c:pt idx="8">
                  <c:v>58844726717.25</c:v>
                </c:pt>
                <c:pt idx="9">
                  <c:v>61720788837.040001</c:v>
                </c:pt>
                <c:pt idx="10">
                  <c:v>57017095444.980003</c:v>
                </c:pt>
                <c:pt idx="11">
                  <c:v>57339598522.279999</c:v>
                </c:pt>
                <c:pt idx="12">
                  <c:v>77064970164.339996</c:v>
                </c:pt>
                <c:pt idx="13">
                  <c:v>58904329066.650002</c:v>
                </c:pt>
                <c:pt idx="14">
                  <c:v>82288506502.539993</c:v>
                </c:pt>
                <c:pt idx="15">
                  <c:v>56946711891.239998</c:v>
                </c:pt>
                <c:pt idx="16">
                  <c:v>63162385903.519997</c:v>
                </c:pt>
                <c:pt idx="17">
                  <c:v>72602408533.720001</c:v>
                </c:pt>
                <c:pt idx="18">
                  <c:v>55712916044.559998</c:v>
                </c:pt>
                <c:pt idx="19">
                  <c:v>38900118248.239998</c:v>
                </c:pt>
                <c:pt idx="20">
                  <c:v>32713650876.889999</c:v>
                </c:pt>
                <c:pt idx="21">
                  <c:v>38978181473.309998</c:v>
                </c:pt>
                <c:pt idx="22">
                  <c:v>32829619039.73</c:v>
                </c:pt>
                <c:pt idx="23">
                  <c:v>26257543334.880001</c:v>
                </c:pt>
                <c:pt idx="24">
                  <c:v>40088863428.669998</c:v>
                </c:pt>
                <c:pt idx="25">
                  <c:v>24388048591.91</c:v>
                </c:pt>
                <c:pt idx="26">
                  <c:v>44753198527.510002</c:v>
                </c:pt>
                <c:pt idx="27">
                  <c:v>89107406685.440002</c:v>
                </c:pt>
                <c:pt idx="28">
                  <c:v>56341875537.339996</c:v>
                </c:pt>
                <c:pt idx="29">
                  <c:v>126056334922.13</c:v>
                </c:pt>
                <c:pt idx="30">
                  <c:v>127916816916.89999</c:v>
                </c:pt>
                <c:pt idx="31">
                  <c:v>78436521989.979996</c:v>
                </c:pt>
                <c:pt idx="32">
                  <c:v>59684456334.959999</c:v>
                </c:pt>
                <c:pt idx="33">
                  <c:v>56386030208.150002</c:v>
                </c:pt>
                <c:pt idx="34">
                  <c:v>37508648146.959999</c:v>
                </c:pt>
                <c:pt idx="35">
                  <c:v>36508839962.290001</c:v>
                </c:pt>
                <c:pt idx="36">
                  <c:v>47221077996.639999</c:v>
                </c:pt>
                <c:pt idx="37">
                  <c:v>39245939454.400002</c:v>
                </c:pt>
                <c:pt idx="38">
                  <c:v>40750598821.720001</c:v>
                </c:pt>
                <c:pt idx="39">
                  <c:v>34495230505.029999</c:v>
                </c:pt>
                <c:pt idx="40">
                  <c:v>34561761859.559998</c:v>
                </c:pt>
                <c:pt idx="41">
                  <c:v>33643649195.490002</c:v>
                </c:pt>
                <c:pt idx="42">
                  <c:v>37058941299.720001</c:v>
                </c:pt>
                <c:pt idx="43">
                  <c:v>38950467364.989998</c:v>
                </c:pt>
                <c:pt idx="44">
                  <c:v>44231744040.459999</c:v>
                </c:pt>
                <c:pt idx="45">
                  <c:v>66478903663.989998</c:v>
                </c:pt>
                <c:pt idx="46">
                  <c:v>66148630556.470001</c:v>
                </c:pt>
                <c:pt idx="47">
                  <c:v>69073769739.929993</c:v>
                </c:pt>
                <c:pt idx="48">
                  <c:v>79153858723.479996</c:v>
                </c:pt>
                <c:pt idx="49">
                  <c:v>63764397417.18</c:v>
                </c:pt>
                <c:pt idx="50">
                  <c:v>48877979273.129997</c:v>
                </c:pt>
                <c:pt idx="51">
                  <c:v>50756307252.699997</c:v>
                </c:pt>
                <c:pt idx="52">
                  <c:v>30805015553.650002</c:v>
                </c:pt>
                <c:pt idx="53">
                  <c:v>28676295277.299999</c:v>
                </c:pt>
                <c:pt idx="54">
                  <c:v>32780042718.380001</c:v>
                </c:pt>
                <c:pt idx="55">
                  <c:v>28164427848.759998</c:v>
                </c:pt>
                <c:pt idx="56">
                  <c:v>35806727761.07</c:v>
                </c:pt>
                <c:pt idx="57">
                  <c:v>43873920654.160004</c:v>
                </c:pt>
                <c:pt idx="58">
                  <c:v>48753124897.230003</c:v>
                </c:pt>
                <c:pt idx="59">
                  <c:v>60317961040.480003</c:v>
                </c:pt>
                <c:pt idx="60">
                  <c:v>72548286074.940002</c:v>
                </c:pt>
                <c:pt idx="61">
                  <c:v>56058928986.629997</c:v>
                </c:pt>
                <c:pt idx="62">
                  <c:v>53815099982.089996</c:v>
                </c:pt>
                <c:pt idx="63">
                  <c:v>85338937021.710007</c:v>
                </c:pt>
                <c:pt idx="64">
                  <c:v>45858172487.629997</c:v>
                </c:pt>
                <c:pt idx="65">
                  <c:v>64624114881.870003</c:v>
                </c:pt>
                <c:pt idx="66">
                  <c:v>64031205593.419998</c:v>
                </c:pt>
                <c:pt idx="67">
                  <c:v>70029025970.190002</c:v>
                </c:pt>
                <c:pt idx="68">
                  <c:v>78101172544.710007</c:v>
                </c:pt>
                <c:pt idx="69">
                  <c:v>82853256609.399994</c:v>
                </c:pt>
                <c:pt idx="70">
                  <c:v>59855355813.010002</c:v>
                </c:pt>
                <c:pt idx="71">
                  <c:v>105127205844.42999</c:v>
                </c:pt>
                <c:pt idx="72">
                  <c:v>65639534877.540001</c:v>
                </c:pt>
                <c:pt idx="73">
                  <c:v>83795259138.630005</c:v>
                </c:pt>
                <c:pt idx="74">
                  <c:v>75678490996.460007</c:v>
                </c:pt>
                <c:pt idx="75">
                  <c:v>65489883342.510002</c:v>
                </c:pt>
                <c:pt idx="76">
                  <c:v>71783179195.610001</c:v>
                </c:pt>
                <c:pt idx="77">
                  <c:v>71962352414.850006</c:v>
                </c:pt>
                <c:pt idx="78">
                  <c:v>65362029192.18</c:v>
                </c:pt>
                <c:pt idx="79">
                  <c:v>70737725860.339996</c:v>
                </c:pt>
                <c:pt idx="80">
                  <c:v>63694656425.440002</c:v>
                </c:pt>
                <c:pt idx="81">
                  <c:v>51117895079.279999</c:v>
                </c:pt>
                <c:pt idx="82">
                  <c:v>45895739831.089996</c:v>
                </c:pt>
                <c:pt idx="83">
                  <c:v>37273656807.68</c:v>
                </c:pt>
                <c:pt idx="84">
                  <c:v>36772692491.720001</c:v>
                </c:pt>
                <c:pt idx="85">
                  <c:v>27279227748.369999</c:v>
                </c:pt>
                <c:pt idx="86">
                  <c:v>26678236242.540001</c:v>
                </c:pt>
                <c:pt idx="87">
                  <c:v>22770371557.509998</c:v>
                </c:pt>
                <c:pt idx="88">
                  <c:v>26290450001.990002</c:v>
                </c:pt>
                <c:pt idx="89">
                  <c:v>26795968721.740002</c:v>
                </c:pt>
                <c:pt idx="90">
                  <c:v>30892195848.830002</c:v>
                </c:pt>
                <c:pt idx="91">
                  <c:v>35541456256.889999</c:v>
                </c:pt>
                <c:pt idx="92">
                  <c:v>33356083132.919998</c:v>
                </c:pt>
                <c:pt idx="93">
                  <c:v>39426526391.220001</c:v>
                </c:pt>
                <c:pt idx="94">
                  <c:v>38810259856.690002</c:v>
                </c:pt>
                <c:pt idx="95">
                  <c:v>31524018987.950001</c:v>
                </c:pt>
                <c:pt idx="96">
                  <c:v>43458210964.160004</c:v>
                </c:pt>
                <c:pt idx="97">
                  <c:v>35989324161.910004</c:v>
                </c:pt>
                <c:pt idx="98">
                  <c:v>35738947030.139999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348800"/>
        <c:axId val="396358784"/>
      </c:lineChart>
      <c:dateAx>
        <c:axId val="396348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6358784"/>
        <c:crosses val="autoZero"/>
        <c:auto val="1"/>
        <c:lblOffset val="100"/>
        <c:baseTimeUnit val="months"/>
      </c:dateAx>
      <c:valAx>
        <c:axId val="39635878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96348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'Result-lag'!$O$3</c:f>
              <c:strCache>
                <c:ptCount val="1"/>
                <c:pt idx="0">
                  <c:v>N/A</c:v>
                </c:pt>
              </c:strCache>
            </c:strRef>
          </c:tx>
          <c:marker>
            <c:symbol val="none"/>
          </c:marker>
          <c:cat>
            <c:numRef>
              <c:f>'Result-lag'!$K$11:$K$102</c:f>
              <c:numCache>
                <c:formatCode>m/d/yyyy</c:formatCode>
                <c:ptCount val="9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  <c:pt idx="64">
                  <c:v>41244</c:v>
                </c:pt>
                <c:pt idx="65">
                  <c:v>41275</c:v>
                </c:pt>
                <c:pt idx="66">
                  <c:v>41306</c:v>
                </c:pt>
                <c:pt idx="67">
                  <c:v>41334</c:v>
                </c:pt>
                <c:pt idx="68">
                  <c:v>41365</c:v>
                </c:pt>
                <c:pt idx="69">
                  <c:v>41395</c:v>
                </c:pt>
                <c:pt idx="70">
                  <c:v>41426</c:v>
                </c:pt>
                <c:pt idx="71">
                  <c:v>41456</c:v>
                </c:pt>
                <c:pt idx="72">
                  <c:v>41487</c:v>
                </c:pt>
                <c:pt idx="73">
                  <c:v>41518</c:v>
                </c:pt>
                <c:pt idx="74">
                  <c:v>41548</c:v>
                </c:pt>
                <c:pt idx="75">
                  <c:v>41579</c:v>
                </c:pt>
                <c:pt idx="76">
                  <c:v>41609</c:v>
                </c:pt>
                <c:pt idx="77">
                  <c:v>41640</c:v>
                </c:pt>
                <c:pt idx="78">
                  <c:v>41671</c:v>
                </c:pt>
                <c:pt idx="79">
                  <c:v>41699</c:v>
                </c:pt>
                <c:pt idx="80">
                  <c:v>41730</c:v>
                </c:pt>
                <c:pt idx="81">
                  <c:v>41760</c:v>
                </c:pt>
                <c:pt idx="82">
                  <c:v>41791</c:v>
                </c:pt>
                <c:pt idx="83">
                  <c:v>41821</c:v>
                </c:pt>
                <c:pt idx="84">
                  <c:v>41852</c:v>
                </c:pt>
                <c:pt idx="85">
                  <c:v>41883</c:v>
                </c:pt>
                <c:pt idx="86">
                  <c:v>41913</c:v>
                </c:pt>
                <c:pt idx="87">
                  <c:v>41944</c:v>
                </c:pt>
                <c:pt idx="88">
                  <c:v>41974</c:v>
                </c:pt>
                <c:pt idx="89">
                  <c:v>42005</c:v>
                </c:pt>
                <c:pt idx="90">
                  <c:v>42036</c:v>
                </c:pt>
                <c:pt idx="91">
                  <c:v>42064</c:v>
                </c:pt>
              </c:numCache>
            </c:numRef>
          </c:cat>
          <c:val>
            <c:numRef>
              <c:f>'Result-lag'!$O$11:$O$102</c:f>
              <c:numCache>
                <c:formatCode>0%</c:formatCode>
                <c:ptCount val="92"/>
                <c:pt idx="0">
                  <c:v>4.8884717519080259E-2</c:v>
                </c:pt>
                <c:pt idx="1">
                  <c:v>4.3773223443230168E-2</c:v>
                </c:pt>
                <c:pt idx="2">
                  <c:v>4.1638663663801131E-2</c:v>
                </c:pt>
                <c:pt idx="3">
                  <c:v>3.6137255421547589E-2</c:v>
                </c:pt>
                <c:pt idx="4">
                  <c:v>4.6081193894360994E-2</c:v>
                </c:pt>
                <c:pt idx="5">
                  <c:v>3.5593037082745124E-2</c:v>
                </c:pt>
                <c:pt idx="6">
                  <c:v>5.7140232761867187E-2</c:v>
                </c:pt>
                <c:pt idx="7">
                  <c:v>3.0797286591922469E-2</c:v>
                </c:pt>
                <c:pt idx="8">
                  <c:v>8.1256433985116644E-2</c:v>
                </c:pt>
                <c:pt idx="9">
                  <c:v>7.4665001806988096E-2</c:v>
                </c:pt>
                <c:pt idx="10">
                  <c:v>6.3444540869338387E-2</c:v>
                </c:pt>
                <c:pt idx="11">
                  <c:v>8.2392300475505512E-2</c:v>
                </c:pt>
                <c:pt idx="12">
                  <c:v>7.0322182236393763E-2</c:v>
                </c:pt>
                <c:pt idx="13">
                  <c:v>7.6262959049075055E-2</c:v>
                </c:pt>
                <c:pt idx="14">
                  <c:v>0.10029895034962007</c:v>
                </c:pt>
                <c:pt idx="15">
                  <c:v>8.6753512535533331E-2</c:v>
                </c:pt>
                <c:pt idx="16">
                  <c:v>0.10344866083346459</c:v>
                </c:pt>
                <c:pt idx="17">
                  <c:v>5.8416694771276388E-2</c:v>
                </c:pt>
                <c:pt idx="18">
                  <c:v>0.16495210286420631</c:v>
                </c:pt>
                <c:pt idx="19">
                  <c:v>0.16273336244521619</c:v>
                </c:pt>
                <c:pt idx="20">
                  <c:v>0.14728420535343059</c:v>
                </c:pt>
                <c:pt idx="21">
                  <c:v>0.26474542343632856</c:v>
                </c:pt>
                <c:pt idx="22">
                  <c:v>0.56757259558939965</c:v>
                </c:pt>
                <c:pt idx="23">
                  <c:v>0.37977936122175138</c:v>
                </c:pt>
                <c:pt idx="24">
                  <c:v>0.21216765951575364</c:v>
                </c:pt>
                <c:pt idx="25">
                  <c:v>0.23208553863606679</c:v>
                </c:pt>
                <c:pt idx="26">
                  <c:v>0.22340939007334501</c:v>
                </c:pt>
                <c:pt idx="27">
                  <c:v>0.18838151854648166</c:v>
                </c:pt>
                <c:pt idx="28">
                  <c:v>0.17441633019529626</c:v>
                </c:pt>
                <c:pt idx="29">
                  <c:v>0.16491633169713149</c:v>
                </c:pt>
                <c:pt idx="30">
                  <c:v>0.18634479602271523</c:v>
                </c:pt>
                <c:pt idx="31">
                  <c:v>0.13529391222691473</c:v>
                </c:pt>
                <c:pt idx="32">
                  <c:v>0.12709544527005581</c:v>
                </c:pt>
                <c:pt idx="33">
                  <c:v>0.14115790958875932</c:v>
                </c:pt>
                <c:pt idx="34">
                  <c:v>0.12648648678664901</c:v>
                </c:pt>
                <c:pt idx="35">
                  <c:v>0.19963166764010867</c:v>
                </c:pt>
                <c:pt idx="36">
                  <c:v>0.19283656583338482</c:v>
                </c:pt>
                <c:pt idx="37">
                  <c:v>0.21509601748050483</c:v>
                </c:pt>
                <c:pt idx="38">
                  <c:v>0.16907032685736398</c:v>
                </c:pt>
                <c:pt idx="39">
                  <c:v>0.21562458930564979</c:v>
                </c:pt>
                <c:pt idx="40">
                  <c:v>0.23714584097645922</c:v>
                </c:pt>
                <c:pt idx="41">
                  <c:v>0.22038461926500333</c:v>
                </c:pt>
                <c:pt idx="42">
                  <c:v>0.18020871859684529</c:v>
                </c:pt>
                <c:pt idx="43">
                  <c:v>0.1565618080450559</c:v>
                </c:pt>
                <c:pt idx="44">
                  <c:v>0.18509441785641814</c:v>
                </c:pt>
                <c:pt idx="45">
                  <c:v>0.18936748123208813</c:v>
                </c:pt>
                <c:pt idx="46">
                  <c:v>0.20048874564459848</c:v>
                </c:pt>
                <c:pt idx="47">
                  <c:v>0.17869579294311205</c:v>
                </c:pt>
                <c:pt idx="48">
                  <c:v>0.21649656209928853</c:v>
                </c:pt>
                <c:pt idx="49">
                  <c:v>0.23935121987320893</c:v>
                </c:pt>
                <c:pt idx="50">
                  <c:v>0.18741788201256504</c:v>
                </c:pt>
                <c:pt idx="51">
                  <c:v>0.25310602025863377</c:v>
                </c:pt>
                <c:pt idx="52">
                  <c:v>0.21442824673433414</c:v>
                </c:pt>
                <c:pt idx="53">
                  <c:v>0.22718117129693516</c:v>
                </c:pt>
                <c:pt idx="54">
                  <c:v>0.252165609485002</c:v>
                </c:pt>
                <c:pt idx="55">
                  <c:v>0.27082177943440444</c:v>
                </c:pt>
                <c:pt idx="56">
                  <c:v>0.18238063745896571</c:v>
                </c:pt>
                <c:pt idx="57">
                  <c:v>0.33147102925526084</c:v>
                </c:pt>
                <c:pt idx="58">
                  <c:v>0.25908435173225403</c:v>
                </c:pt>
                <c:pt idx="59">
                  <c:v>0.28877697990134599</c:v>
                </c:pt>
                <c:pt idx="60">
                  <c:v>0.27841408478992019</c:v>
                </c:pt>
                <c:pt idx="61">
                  <c:v>0.29291332817921323</c:v>
                </c:pt>
                <c:pt idx="62">
                  <c:v>0.30047131642639102</c:v>
                </c:pt>
                <c:pt idx="63">
                  <c:v>0.21788472062102954</c:v>
                </c:pt>
                <c:pt idx="64">
                  <c:v>0.35373260571616627</c:v>
                </c:pt>
                <c:pt idx="65">
                  <c:v>0.41809218623196476</c:v>
                </c:pt>
                <c:pt idx="66">
                  <c:v>0.3384285623152456</c:v>
                </c:pt>
                <c:pt idx="67">
                  <c:v>0.27771340488598145</c:v>
                </c:pt>
                <c:pt idx="68">
                  <c:v>0.33550988653460423</c:v>
                </c:pt>
                <c:pt idx="69">
                  <c:v>0.30225112066974158</c:v>
                </c:pt>
                <c:pt idx="70">
                  <c:v>0.30848654049695812</c:v>
                </c:pt>
                <c:pt idx="71">
                  <c:v>0.29390928125298121</c:v>
                </c:pt>
                <c:pt idx="72">
                  <c:v>0.30088348836236817</c:v>
                </c:pt>
                <c:pt idx="73">
                  <c:v>0.28365882685276123</c:v>
                </c:pt>
                <c:pt idx="74">
                  <c:v>0.27828996725231298</c:v>
                </c:pt>
                <c:pt idx="75">
                  <c:v>0.34161160661363382</c:v>
                </c:pt>
                <c:pt idx="76">
                  <c:v>0.29698207495512424</c:v>
                </c:pt>
                <c:pt idx="77">
                  <c:v>0.42130442988308242</c:v>
                </c:pt>
                <c:pt idx="78">
                  <c:v>0.3997816400004815</c:v>
                </c:pt>
                <c:pt idx="79">
                  <c:v>0.33758706470104072</c:v>
                </c:pt>
                <c:pt idx="80">
                  <c:v>0.40526658282115069</c:v>
                </c:pt>
                <c:pt idx="81">
                  <c:v>0.37822597482764003</c:v>
                </c:pt>
                <c:pt idx="82">
                  <c:v>0.42098537555157606</c:v>
                </c:pt>
                <c:pt idx="83">
                  <c:v>0.41566480643998399</c:v>
                </c:pt>
                <c:pt idx="84">
                  <c:v>0.43826453299730389</c:v>
                </c:pt>
                <c:pt idx="85">
                  <c:v>0.42232191482360115</c:v>
                </c:pt>
                <c:pt idx="86">
                  <c:v>0.33276296456163729</c:v>
                </c:pt>
                <c:pt idx="87">
                  <c:v>0.46207866581750529</c:v>
                </c:pt>
                <c:pt idx="88">
                  <c:v>0.21654578680495581</c:v>
                </c:pt>
                <c:pt idx="89">
                  <c:v>0.52386215460008734</c:v>
                </c:pt>
                <c:pt idx="90">
                  <c:v>0.36242494187136653</c:v>
                </c:pt>
                <c:pt idx="91">
                  <c:v>0.41182913425142237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'Result-lag'!$P$3</c:f>
              <c:strCache>
                <c:ptCount val="1"/>
                <c:pt idx="0">
                  <c:v>Remaining</c:v>
                </c:pt>
              </c:strCache>
            </c:strRef>
          </c:tx>
          <c:marker>
            <c:symbol val="none"/>
          </c:marker>
          <c:cat>
            <c:numRef>
              <c:f>'Result-lag'!$K$11:$K$102</c:f>
              <c:numCache>
                <c:formatCode>m/d/yyyy</c:formatCode>
                <c:ptCount val="9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  <c:pt idx="64">
                  <c:v>41244</c:v>
                </c:pt>
                <c:pt idx="65">
                  <c:v>41275</c:v>
                </c:pt>
                <c:pt idx="66">
                  <c:v>41306</c:v>
                </c:pt>
                <c:pt idx="67">
                  <c:v>41334</c:v>
                </c:pt>
                <c:pt idx="68">
                  <c:v>41365</c:v>
                </c:pt>
                <c:pt idx="69">
                  <c:v>41395</c:v>
                </c:pt>
                <c:pt idx="70">
                  <c:v>41426</c:v>
                </c:pt>
                <c:pt idx="71">
                  <c:v>41456</c:v>
                </c:pt>
                <c:pt idx="72">
                  <c:v>41487</c:v>
                </c:pt>
                <c:pt idx="73">
                  <c:v>41518</c:v>
                </c:pt>
                <c:pt idx="74">
                  <c:v>41548</c:v>
                </c:pt>
                <c:pt idx="75">
                  <c:v>41579</c:v>
                </c:pt>
                <c:pt idx="76">
                  <c:v>41609</c:v>
                </c:pt>
                <c:pt idx="77">
                  <c:v>41640</c:v>
                </c:pt>
                <c:pt idx="78">
                  <c:v>41671</c:v>
                </c:pt>
                <c:pt idx="79">
                  <c:v>41699</c:v>
                </c:pt>
                <c:pt idx="80">
                  <c:v>41730</c:v>
                </c:pt>
                <c:pt idx="81">
                  <c:v>41760</c:v>
                </c:pt>
                <c:pt idx="82">
                  <c:v>41791</c:v>
                </c:pt>
                <c:pt idx="83">
                  <c:v>41821</c:v>
                </c:pt>
                <c:pt idx="84">
                  <c:v>41852</c:v>
                </c:pt>
                <c:pt idx="85">
                  <c:v>41883</c:v>
                </c:pt>
                <c:pt idx="86">
                  <c:v>41913</c:v>
                </c:pt>
                <c:pt idx="87">
                  <c:v>41944</c:v>
                </c:pt>
                <c:pt idx="88">
                  <c:v>41974</c:v>
                </c:pt>
                <c:pt idx="89">
                  <c:v>42005</c:v>
                </c:pt>
                <c:pt idx="90">
                  <c:v>42036</c:v>
                </c:pt>
                <c:pt idx="91">
                  <c:v>42064</c:v>
                </c:pt>
              </c:numCache>
            </c:numRef>
          </c:cat>
          <c:val>
            <c:numRef>
              <c:f>'Result-lag'!$P$11:$P$102</c:f>
              <c:numCache>
                <c:formatCode>0%</c:formatCode>
                <c:ptCount val="92"/>
                <c:pt idx="0">
                  <c:v>1.0626021602547275E-2</c:v>
                </c:pt>
                <c:pt idx="1">
                  <c:v>1.3238810754161095E-2</c:v>
                </c:pt>
                <c:pt idx="2">
                  <c:v>1.1455076152003163E-2</c:v>
                </c:pt>
                <c:pt idx="3">
                  <c:v>1.2533707130514996E-2</c:v>
                </c:pt>
                <c:pt idx="4">
                  <c:v>1.1024448672314566E-2</c:v>
                </c:pt>
                <c:pt idx="5">
                  <c:v>1.0461176156959644E-2</c:v>
                </c:pt>
                <c:pt idx="6">
                  <c:v>1.3443205287238063E-2</c:v>
                </c:pt>
                <c:pt idx="7">
                  <c:v>8.5724972547439049E-3</c:v>
                </c:pt>
                <c:pt idx="8">
                  <c:v>1.2109005062258475E-2</c:v>
                </c:pt>
                <c:pt idx="9">
                  <c:v>1.3526246407078609E-2</c:v>
                </c:pt>
                <c:pt idx="10">
                  <c:v>1.3661721203358243E-2</c:v>
                </c:pt>
                <c:pt idx="11">
                  <c:v>1.5058502673580991E-2</c:v>
                </c:pt>
                <c:pt idx="12">
                  <c:v>1.9120300321288915E-2</c:v>
                </c:pt>
                <c:pt idx="13">
                  <c:v>2.6338153875655461E-2</c:v>
                </c:pt>
                <c:pt idx="14">
                  <c:v>2.2144900858729069E-2</c:v>
                </c:pt>
                <c:pt idx="15">
                  <c:v>1.0552941915979337E-2</c:v>
                </c:pt>
                <c:pt idx="16">
                  <c:v>1.2542778440453256E-2</c:v>
                </c:pt>
                <c:pt idx="17">
                  <c:v>8.7965970985299027E-3</c:v>
                </c:pt>
                <c:pt idx="18">
                  <c:v>1.1964348773964292E-2</c:v>
                </c:pt>
                <c:pt idx="19">
                  <c:v>1.5824831368078839E-2</c:v>
                </c:pt>
                <c:pt idx="20">
                  <c:v>1.1001818412140889E-2</c:v>
                </c:pt>
                <c:pt idx="21">
                  <c:v>9.1137384150389716E-3</c:v>
                </c:pt>
                <c:pt idx="22">
                  <c:v>5.9569773984295971E-3</c:v>
                </c:pt>
                <c:pt idx="23">
                  <c:v>8.9513384399946133E-3</c:v>
                </c:pt>
                <c:pt idx="24">
                  <c:v>1.3036208846188042E-2</c:v>
                </c:pt>
                <c:pt idx="25">
                  <c:v>1.8421836932205959E-2</c:v>
                </c:pt>
                <c:pt idx="26">
                  <c:v>1.2756111061637349E-2</c:v>
                </c:pt>
                <c:pt idx="27">
                  <c:v>2.0059628147141881E-2</c:v>
                </c:pt>
                <c:pt idx="28">
                  <c:v>1.6190231281534379E-2</c:v>
                </c:pt>
                <c:pt idx="29">
                  <c:v>1.5292709271723604E-2</c:v>
                </c:pt>
                <c:pt idx="30">
                  <c:v>1.8603559834726908E-2</c:v>
                </c:pt>
                <c:pt idx="31">
                  <c:v>2.0188664839975362E-2</c:v>
                </c:pt>
                <c:pt idx="32">
                  <c:v>1.8318671908218068E-2</c:v>
                </c:pt>
                <c:pt idx="33">
                  <c:v>1.6212817059990402E-2</c:v>
                </c:pt>
                <c:pt idx="34">
                  <c:v>2.0848137167415987E-2</c:v>
                </c:pt>
                <c:pt idx="35">
                  <c:v>1.4202097241617006E-2</c:v>
                </c:pt>
                <c:pt idx="36">
                  <c:v>1.7175260712052609E-2</c:v>
                </c:pt>
                <c:pt idx="37">
                  <c:v>2.357149932221296E-2</c:v>
                </c:pt>
                <c:pt idx="38">
                  <c:v>2.0169378724672012E-2</c:v>
                </c:pt>
                <c:pt idx="39">
                  <c:v>2.259686238619793E-2</c:v>
                </c:pt>
                <c:pt idx="40">
                  <c:v>2.3270054582250878E-2</c:v>
                </c:pt>
                <c:pt idx="41">
                  <c:v>2.3623349573042657E-2</c:v>
                </c:pt>
                <c:pt idx="42">
                  <c:v>2.3233345102714815E-2</c:v>
                </c:pt>
                <c:pt idx="43">
                  <c:v>2.220603182416496E-2</c:v>
                </c:pt>
                <c:pt idx="44">
                  <c:v>1.6341750825970055E-2</c:v>
                </c:pt>
                <c:pt idx="45">
                  <c:v>1.9188162484792614E-2</c:v>
                </c:pt>
                <c:pt idx="46">
                  <c:v>2.1420748481281365E-2</c:v>
                </c:pt>
                <c:pt idx="47">
                  <c:v>2.3102880150774455E-2</c:v>
                </c:pt>
                <c:pt idx="48">
                  <c:v>2.3033161636498899E-2</c:v>
                </c:pt>
                <c:pt idx="49">
                  <c:v>2.0633217480242671E-2</c:v>
                </c:pt>
                <c:pt idx="50">
                  <c:v>2.1803168262996317E-2</c:v>
                </c:pt>
                <c:pt idx="51">
                  <c:v>3.2680187361293099E-2</c:v>
                </c:pt>
                <c:pt idx="52">
                  <c:v>3.818760929889798E-2</c:v>
                </c:pt>
                <c:pt idx="53">
                  <c:v>2.5114618749475494E-2</c:v>
                </c:pt>
                <c:pt idx="54">
                  <c:v>4.0269768242422309E-2</c:v>
                </c:pt>
                <c:pt idx="55">
                  <c:v>2.6899653497099753E-2</c:v>
                </c:pt>
                <c:pt idx="56">
                  <c:v>3.4609360548733231E-2</c:v>
                </c:pt>
                <c:pt idx="57">
                  <c:v>2.7160980277964226E-2</c:v>
                </c:pt>
                <c:pt idx="58">
                  <c:v>2.3838683279392897E-2</c:v>
                </c:pt>
                <c:pt idx="59">
                  <c:v>3.2627788670508667E-2</c:v>
                </c:pt>
                <c:pt idx="60">
                  <c:v>3.11895863920735E-2</c:v>
                </c:pt>
                <c:pt idx="61">
                  <c:v>3.3563201442070402E-2</c:v>
                </c:pt>
                <c:pt idx="62">
                  <c:v>3.1771843337191706E-2</c:v>
                </c:pt>
                <c:pt idx="63">
                  <c:v>3.2910739603720325E-2</c:v>
                </c:pt>
                <c:pt idx="64">
                  <c:v>3.0641794769157512E-2</c:v>
                </c:pt>
                <c:pt idx="65">
                  <c:v>2.1683313224954117E-2</c:v>
                </c:pt>
                <c:pt idx="66">
                  <c:v>2.7246584078853508E-2</c:v>
                </c:pt>
                <c:pt idx="67">
                  <c:v>2.449655313101734E-2</c:v>
                </c:pt>
                <c:pt idx="68">
                  <c:v>2.6077026710650215E-2</c:v>
                </c:pt>
                <c:pt idx="69">
                  <c:v>3.0194127848165189E-2</c:v>
                </c:pt>
                <c:pt idx="70">
                  <c:v>2.4814932701692754E-2</c:v>
                </c:pt>
                <c:pt idx="71">
                  <c:v>3.3152146030668975E-2</c:v>
                </c:pt>
                <c:pt idx="72">
                  <c:v>3.2402033092854408E-2</c:v>
                </c:pt>
                <c:pt idx="73">
                  <c:v>2.6557313052000105E-2</c:v>
                </c:pt>
                <c:pt idx="74">
                  <c:v>2.6780935657010278E-2</c:v>
                </c:pt>
                <c:pt idx="75">
                  <c:v>2.0765381673930536E-2</c:v>
                </c:pt>
                <c:pt idx="76">
                  <c:v>2.3870065497482339E-2</c:v>
                </c:pt>
                <c:pt idx="77">
                  <c:v>1.855246514906719E-2</c:v>
                </c:pt>
                <c:pt idx="78">
                  <c:v>2.4058775888522569E-2</c:v>
                </c:pt>
                <c:pt idx="79">
                  <c:v>2.5601219856165904E-2</c:v>
                </c:pt>
                <c:pt idx="80">
                  <c:v>2.3693169485943869E-2</c:v>
                </c:pt>
                <c:pt idx="81">
                  <c:v>2.9835626602459336E-2</c:v>
                </c:pt>
                <c:pt idx="82">
                  <c:v>2.9690770649934466E-2</c:v>
                </c:pt>
                <c:pt idx="83">
                  <c:v>2.3126089300222325E-2</c:v>
                </c:pt>
                <c:pt idx="84">
                  <c:v>2.1557375579439562E-2</c:v>
                </c:pt>
                <c:pt idx="85">
                  <c:v>2.0795713751696619E-2</c:v>
                </c:pt>
                <c:pt idx="86">
                  <c:v>1.9212821765822324E-2</c:v>
                </c:pt>
                <c:pt idx="87">
                  <c:v>1.9470684302561842E-2</c:v>
                </c:pt>
                <c:pt idx="88">
                  <c:v>2.4895643070447091E-2</c:v>
                </c:pt>
                <c:pt idx="89">
                  <c:v>2.2872345483566838E-2</c:v>
                </c:pt>
                <c:pt idx="90">
                  <c:v>2.5670195726480955E-2</c:v>
                </c:pt>
                <c:pt idx="91">
                  <c:v>2.7616072212414418E-2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206080"/>
        <c:axId val="396207616"/>
      </c:lineChart>
      <c:dateAx>
        <c:axId val="396206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6207616"/>
        <c:crosses val="autoZero"/>
        <c:auto val="1"/>
        <c:lblOffset val="100"/>
        <c:baseTimeUnit val="months"/>
      </c:dateAx>
      <c:valAx>
        <c:axId val="3962076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96206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'Result -equal'!$N$3</c:f>
              <c:strCache>
                <c:ptCount val="1"/>
                <c:pt idx="0">
                  <c:v>Top 1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 -equal'!$K$4:$K$102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 -equal'!$N$4:$N$102</c:f>
              <c:numCache>
                <c:formatCode>0%</c:formatCode>
                <c:ptCount val="99"/>
                <c:pt idx="0">
                  <c:v>0.18358176815152746</c:v>
                </c:pt>
                <c:pt idx="1">
                  <c:v>0.18724405613211331</c:v>
                </c:pt>
                <c:pt idx="2">
                  <c:v>0.15203422993448748</c:v>
                </c:pt>
                <c:pt idx="3">
                  <c:v>0.16498593369177267</c:v>
                </c:pt>
                <c:pt idx="4">
                  <c:v>0.1503562926023099</c:v>
                </c:pt>
                <c:pt idx="5">
                  <c:v>1.0499075192102504E-2</c:v>
                </c:pt>
                <c:pt idx="6">
                  <c:v>1.1035306768522638E-2</c:v>
                </c:pt>
                <c:pt idx="7">
                  <c:v>0.14270485823991116</c:v>
                </c:pt>
                <c:pt idx="8">
                  <c:v>0.20004308564419807</c:v>
                </c:pt>
                <c:pt idx="9">
                  <c:v>0.14202751273623851</c:v>
                </c:pt>
                <c:pt idx="10">
                  <c:v>0.16427007119789866</c:v>
                </c:pt>
                <c:pt idx="11">
                  <c:v>0.17564554469756066</c:v>
                </c:pt>
                <c:pt idx="12">
                  <c:v>0.15760994130648215</c:v>
                </c:pt>
                <c:pt idx="13">
                  <c:v>0.14345611099278743</c:v>
                </c:pt>
                <c:pt idx="14">
                  <c:v>0.13190133035751805</c:v>
                </c:pt>
                <c:pt idx="15">
                  <c:v>0.15373051162129042</c:v>
                </c:pt>
                <c:pt idx="16">
                  <c:v>0.17830474443829303</c:v>
                </c:pt>
                <c:pt idx="17">
                  <c:v>0.2040107816930691</c:v>
                </c:pt>
                <c:pt idx="18">
                  <c:v>0.1336467461027617</c:v>
                </c:pt>
                <c:pt idx="19">
                  <c:v>0.14203052066600469</c:v>
                </c:pt>
                <c:pt idx="20">
                  <c:v>0.16447322667622361</c:v>
                </c:pt>
                <c:pt idx="21">
                  <c:v>0.11227932149102977</c:v>
                </c:pt>
                <c:pt idx="22">
                  <c:v>0.16617792325741504</c:v>
                </c:pt>
                <c:pt idx="23">
                  <c:v>0.2042505129140578</c:v>
                </c:pt>
                <c:pt idx="24">
                  <c:v>0.14407439565569177</c:v>
                </c:pt>
                <c:pt idx="25">
                  <c:v>0.20025020765550641</c:v>
                </c:pt>
                <c:pt idx="26">
                  <c:v>0.15877776501239788</c:v>
                </c:pt>
                <c:pt idx="27">
                  <c:v>0.1850215827941506</c:v>
                </c:pt>
                <c:pt idx="28">
                  <c:v>0.1223635871876001</c:v>
                </c:pt>
                <c:pt idx="29">
                  <c:v>0.13910598413159983</c:v>
                </c:pt>
                <c:pt idx="30">
                  <c:v>0.21927937761388211</c:v>
                </c:pt>
                <c:pt idx="31">
                  <c:v>0.21617022154254067</c:v>
                </c:pt>
                <c:pt idx="32">
                  <c:v>0.16537697872000909</c:v>
                </c:pt>
                <c:pt idx="33">
                  <c:v>0.18020066503466337</c:v>
                </c:pt>
                <c:pt idx="34">
                  <c:v>0.19558929283999887</c:v>
                </c:pt>
                <c:pt idx="35">
                  <c:v>0.23458269261186898</c:v>
                </c:pt>
                <c:pt idx="36">
                  <c:v>0.24237436268012594</c:v>
                </c:pt>
                <c:pt idx="37">
                  <c:v>0.22633552858490683</c:v>
                </c:pt>
                <c:pt idx="38">
                  <c:v>0.21114665292977255</c:v>
                </c:pt>
                <c:pt idx="39">
                  <c:v>0.23970436612000917</c:v>
                </c:pt>
                <c:pt idx="40">
                  <c:v>0.21969900304698955</c:v>
                </c:pt>
                <c:pt idx="41">
                  <c:v>0.21676135224088405</c:v>
                </c:pt>
                <c:pt idx="42">
                  <c:v>0.21934135895232498</c:v>
                </c:pt>
                <c:pt idx="43">
                  <c:v>0.22267935330286684</c:v>
                </c:pt>
                <c:pt idx="44">
                  <c:v>0.19490682795436703</c:v>
                </c:pt>
                <c:pt idx="45">
                  <c:v>0.20207521323713287</c:v>
                </c:pt>
                <c:pt idx="46">
                  <c:v>0.19481845747232365</c:v>
                </c:pt>
                <c:pt idx="47">
                  <c:v>0.18324828304550417</c:v>
                </c:pt>
                <c:pt idx="48">
                  <c:v>0.22795508190031824</c:v>
                </c:pt>
                <c:pt idx="49">
                  <c:v>0.25071332773257843</c:v>
                </c:pt>
                <c:pt idx="50">
                  <c:v>0.18361997351195891</c:v>
                </c:pt>
                <c:pt idx="51">
                  <c:v>0.22497465241091669</c:v>
                </c:pt>
                <c:pt idx="52">
                  <c:v>0.21950050208831801</c:v>
                </c:pt>
                <c:pt idx="53">
                  <c:v>0.23802099521631778</c:v>
                </c:pt>
                <c:pt idx="54">
                  <c:v>0.1733687581647082</c:v>
                </c:pt>
                <c:pt idx="55">
                  <c:v>0.23514065698177397</c:v>
                </c:pt>
                <c:pt idx="56">
                  <c:v>0.21748640056540269</c:v>
                </c:pt>
                <c:pt idx="57">
                  <c:v>0.2314270177862145</c:v>
                </c:pt>
                <c:pt idx="58">
                  <c:v>0.23476625856973524</c:v>
                </c:pt>
                <c:pt idx="59">
                  <c:v>0.32413005229471015</c:v>
                </c:pt>
                <c:pt idx="60">
                  <c:v>0.26347707672147674</c:v>
                </c:pt>
                <c:pt idx="61">
                  <c:v>0.26099054875216227</c:v>
                </c:pt>
                <c:pt idx="62">
                  <c:v>0.35609524748844013</c:v>
                </c:pt>
                <c:pt idx="63">
                  <c:v>0.22390155687493629</c:v>
                </c:pt>
                <c:pt idx="64">
                  <c:v>0.30815860240445414</c:v>
                </c:pt>
                <c:pt idx="65">
                  <c:v>0.19449005977193409</c:v>
                </c:pt>
                <c:pt idx="66">
                  <c:v>0.25134181658646837</c:v>
                </c:pt>
                <c:pt idx="67">
                  <c:v>0.19667025638218466</c:v>
                </c:pt>
                <c:pt idx="68">
                  <c:v>0.1946334640178424</c:v>
                </c:pt>
                <c:pt idx="69">
                  <c:v>0.21973453439735005</c:v>
                </c:pt>
                <c:pt idx="70">
                  <c:v>0.17438212924529908</c:v>
                </c:pt>
                <c:pt idx="71">
                  <c:v>8.9734383414537738E-2</c:v>
                </c:pt>
                <c:pt idx="72">
                  <c:v>0.15161888765447315</c:v>
                </c:pt>
                <c:pt idx="73">
                  <c:v>0.15614216878414058</c:v>
                </c:pt>
                <c:pt idx="74">
                  <c:v>0.15469059938989357</c:v>
                </c:pt>
                <c:pt idx="75">
                  <c:v>0.14933102666462436</c:v>
                </c:pt>
                <c:pt idx="76">
                  <c:v>0.22534845396174477</c:v>
                </c:pt>
                <c:pt idx="77">
                  <c:v>0.23273770874479344</c:v>
                </c:pt>
                <c:pt idx="78">
                  <c:v>0.2362497192872991</c:v>
                </c:pt>
                <c:pt idx="79">
                  <c:v>0.24666303957543467</c:v>
                </c:pt>
                <c:pt idx="80">
                  <c:v>0.24856088571956081</c:v>
                </c:pt>
                <c:pt idx="81">
                  <c:v>0.19393279658314272</c:v>
                </c:pt>
                <c:pt idx="82">
                  <c:v>0.18778472171903177</c:v>
                </c:pt>
                <c:pt idx="83">
                  <c:v>0.17434310865196506</c:v>
                </c:pt>
                <c:pt idx="84">
                  <c:v>0.11048797770122237</c:v>
                </c:pt>
                <c:pt idx="85">
                  <c:v>0.15330593737789833</c:v>
                </c:pt>
                <c:pt idx="86">
                  <c:v>0.11813005590663331</c:v>
                </c:pt>
                <c:pt idx="87">
                  <c:v>0.12066604916483431</c:v>
                </c:pt>
                <c:pt idx="88">
                  <c:v>0.13465606727864013</c:v>
                </c:pt>
                <c:pt idx="89">
                  <c:v>0.13044216278581333</c:v>
                </c:pt>
                <c:pt idx="90">
                  <c:v>0.12085463487828252</c:v>
                </c:pt>
                <c:pt idx="91">
                  <c:v>0.12673324615180936</c:v>
                </c:pt>
                <c:pt idx="92">
                  <c:v>0.10614234541357448</c:v>
                </c:pt>
                <c:pt idx="93">
                  <c:v>0.10733836837032491</c:v>
                </c:pt>
                <c:pt idx="94">
                  <c:v>0.12649563285886281</c:v>
                </c:pt>
                <c:pt idx="95">
                  <c:v>8.8781543733720061E-2</c:v>
                </c:pt>
                <c:pt idx="96">
                  <c:v>0.14843419264898794</c:v>
                </c:pt>
                <c:pt idx="97">
                  <c:v>0.13842082055570962</c:v>
                </c:pt>
                <c:pt idx="98">
                  <c:v>0.16766648681926077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 -equal'!$M$3</c:f>
              <c:strCache>
                <c:ptCount val="1"/>
                <c:pt idx="0">
                  <c:v>Top 5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 -equal'!$K$4:$K$102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 -equal'!$M$4:$M$102</c:f>
              <c:numCache>
                <c:formatCode>0%</c:formatCode>
                <c:ptCount val="99"/>
                <c:pt idx="0">
                  <c:v>0.50433611441700577</c:v>
                </c:pt>
                <c:pt idx="1">
                  <c:v>0.49933823719122233</c:v>
                </c:pt>
                <c:pt idx="2">
                  <c:v>0.44949047687298044</c:v>
                </c:pt>
                <c:pt idx="3">
                  <c:v>0.49554951294122573</c:v>
                </c:pt>
                <c:pt idx="4">
                  <c:v>0.46497009752783108</c:v>
                </c:pt>
                <c:pt idx="5">
                  <c:v>3.2520285919266763E-2</c:v>
                </c:pt>
                <c:pt idx="6">
                  <c:v>2.5271088265628218E-2</c:v>
                </c:pt>
                <c:pt idx="7">
                  <c:v>0.4815669738092761</c:v>
                </c:pt>
                <c:pt idx="8">
                  <c:v>0.52735386465519996</c:v>
                </c:pt>
                <c:pt idx="9">
                  <c:v>0.471479635681059</c:v>
                </c:pt>
                <c:pt idx="10">
                  <c:v>0.49571214976561667</c:v>
                </c:pt>
                <c:pt idx="11">
                  <c:v>0.49982527933465598</c:v>
                </c:pt>
                <c:pt idx="12">
                  <c:v>0.48678104840274133</c:v>
                </c:pt>
                <c:pt idx="13">
                  <c:v>0.42688009960006507</c:v>
                </c:pt>
                <c:pt idx="14">
                  <c:v>0.44999216764738748</c:v>
                </c:pt>
                <c:pt idx="15">
                  <c:v>0.52666867531964767</c:v>
                </c:pt>
                <c:pt idx="16">
                  <c:v>0.45552744170706572</c:v>
                </c:pt>
                <c:pt idx="17">
                  <c:v>0.55597502915116426</c:v>
                </c:pt>
                <c:pt idx="18">
                  <c:v>0.50078031197049233</c:v>
                </c:pt>
                <c:pt idx="19">
                  <c:v>0.49219912660067505</c:v>
                </c:pt>
                <c:pt idx="20">
                  <c:v>0.47804248197778493</c:v>
                </c:pt>
                <c:pt idx="21">
                  <c:v>0.40795441591547038</c:v>
                </c:pt>
                <c:pt idx="22">
                  <c:v>0.49640243578494253</c:v>
                </c:pt>
                <c:pt idx="23">
                  <c:v>0.53370855526641681</c:v>
                </c:pt>
                <c:pt idx="24">
                  <c:v>0.48072717196138798</c:v>
                </c:pt>
                <c:pt idx="25">
                  <c:v>0.52162511533629319</c:v>
                </c:pt>
                <c:pt idx="26">
                  <c:v>0.48981815744641649</c:v>
                </c:pt>
                <c:pt idx="27">
                  <c:v>0.43123636773982332</c:v>
                </c:pt>
                <c:pt idx="28">
                  <c:v>0.36322711744330755</c:v>
                </c:pt>
                <c:pt idx="29">
                  <c:v>0.37957350414435498</c:v>
                </c:pt>
                <c:pt idx="30">
                  <c:v>0.50444888345945127</c:v>
                </c:pt>
                <c:pt idx="31">
                  <c:v>0.48140170306953128</c:v>
                </c:pt>
                <c:pt idx="32">
                  <c:v>0.43278466737213633</c:v>
                </c:pt>
                <c:pt idx="33">
                  <c:v>0.37767750705656378</c:v>
                </c:pt>
                <c:pt idx="34">
                  <c:v>0.44699858006760673</c:v>
                </c:pt>
                <c:pt idx="35">
                  <c:v>0.46445706073815135</c:v>
                </c:pt>
                <c:pt idx="36">
                  <c:v>0.50663831055709219</c:v>
                </c:pt>
                <c:pt idx="37">
                  <c:v>0.52461978704117684</c:v>
                </c:pt>
                <c:pt idx="38">
                  <c:v>0.45285999879629685</c:v>
                </c:pt>
                <c:pt idx="39">
                  <c:v>0.51790325034334705</c:v>
                </c:pt>
                <c:pt idx="40">
                  <c:v>0.54318067881190069</c:v>
                </c:pt>
                <c:pt idx="41">
                  <c:v>0.61353557827773575</c:v>
                </c:pt>
                <c:pt idx="42">
                  <c:v>0.61363349942831014</c:v>
                </c:pt>
                <c:pt idx="43">
                  <c:v>0.5334071285587566</c:v>
                </c:pt>
                <c:pt idx="44">
                  <c:v>0.62171952213130499</c:v>
                </c:pt>
                <c:pt idx="45">
                  <c:v>0.54455010015259153</c:v>
                </c:pt>
                <c:pt idx="46">
                  <c:v>0.50885352801570505</c:v>
                </c:pt>
                <c:pt idx="47">
                  <c:v>0.59447720257161862</c:v>
                </c:pt>
                <c:pt idx="48">
                  <c:v>0.58539335731377928</c:v>
                </c:pt>
                <c:pt idx="49">
                  <c:v>0.61379008850543815</c:v>
                </c:pt>
                <c:pt idx="50">
                  <c:v>0.6297717350760329</c:v>
                </c:pt>
                <c:pt idx="51">
                  <c:v>0.57959866862699849</c:v>
                </c:pt>
                <c:pt idx="52">
                  <c:v>0.5696810625056411</c:v>
                </c:pt>
                <c:pt idx="53">
                  <c:v>0.62444100233060995</c:v>
                </c:pt>
                <c:pt idx="54">
                  <c:v>0.55844757250597343</c:v>
                </c:pt>
                <c:pt idx="55">
                  <c:v>0.58815810110069311</c:v>
                </c:pt>
                <c:pt idx="56">
                  <c:v>0.60340143749194408</c:v>
                </c:pt>
                <c:pt idx="57">
                  <c:v>0.48179963107670093</c:v>
                </c:pt>
                <c:pt idx="58">
                  <c:v>0.53414167235629861</c:v>
                </c:pt>
                <c:pt idx="59">
                  <c:v>0.59842087725924453</c:v>
                </c:pt>
                <c:pt idx="60">
                  <c:v>0.49729338941401685</c:v>
                </c:pt>
                <c:pt idx="61">
                  <c:v>0.49036776316084707</c:v>
                </c:pt>
                <c:pt idx="62">
                  <c:v>0.57229445128856948</c:v>
                </c:pt>
                <c:pt idx="63">
                  <c:v>0.43144250736317885</c:v>
                </c:pt>
                <c:pt idx="64">
                  <c:v>0.50974396894948748</c:v>
                </c:pt>
                <c:pt idx="65">
                  <c:v>0.41199964627964303</c:v>
                </c:pt>
                <c:pt idx="66">
                  <c:v>0.45645689725828892</c:v>
                </c:pt>
                <c:pt idx="67">
                  <c:v>0.43500545608719388</c:v>
                </c:pt>
                <c:pt idx="68">
                  <c:v>0.4501393443356087</c:v>
                </c:pt>
                <c:pt idx="69">
                  <c:v>0.44431407031360698</c:v>
                </c:pt>
                <c:pt idx="70">
                  <c:v>0.3600935834826865</c:v>
                </c:pt>
                <c:pt idx="71">
                  <c:v>0.33936176578144811</c:v>
                </c:pt>
                <c:pt idx="72">
                  <c:v>0.37637043891170746</c:v>
                </c:pt>
                <c:pt idx="73">
                  <c:v>0.41708621627743192</c:v>
                </c:pt>
                <c:pt idx="74">
                  <c:v>0.39972941708166609</c:v>
                </c:pt>
                <c:pt idx="75">
                  <c:v>0.40503782108391456</c:v>
                </c:pt>
                <c:pt idx="76">
                  <c:v>0.43291452062975999</c:v>
                </c:pt>
                <c:pt idx="77">
                  <c:v>0.43858959918241808</c:v>
                </c:pt>
                <c:pt idx="78">
                  <c:v>0.41499462931587877</c:v>
                </c:pt>
                <c:pt idx="79">
                  <c:v>0.42856423108876229</c:v>
                </c:pt>
                <c:pt idx="80">
                  <c:v>0.44548802422767836</c:v>
                </c:pt>
                <c:pt idx="81">
                  <c:v>0.35234883305906189</c:v>
                </c:pt>
                <c:pt idx="82">
                  <c:v>0.39037227134507407</c:v>
                </c:pt>
                <c:pt idx="83">
                  <c:v>0.34212696756287014</c:v>
                </c:pt>
                <c:pt idx="84">
                  <c:v>0.3190262395195787</c:v>
                </c:pt>
                <c:pt idx="85">
                  <c:v>0.39379710747999969</c:v>
                </c:pt>
                <c:pt idx="86">
                  <c:v>0.32399196243151174</c:v>
                </c:pt>
                <c:pt idx="87">
                  <c:v>0.33154651598505952</c:v>
                </c:pt>
                <c:pt idx="88">
                  <c:v>0.27328492450060798</c:v>
                </c:pt>
                <c:pt idx="89">
                  <c:v>0.3070838992847022</c:v>
                </c:pt>
                <c:pt idx="90">
                  <c:v>0.28439160342249298</c:v>
                </c:pt>
                <c:pt idx="91">
                  <c:v>0.29668378133778861</c:v>
                </c:pt>
                <c:pt idx="92">
                  <c:v>0.37650720617432248</c:v>
                </c:pt>
                <c:pt idx="93">
                  <c:v>0.29815026101565772</c:v>
                </c:pt>
                <c:pt idx="94">
                  <c:v>0.46607103801276961</c:v>
                </c:pt>
                <c:pt idx="95">
                  <c:v>0.2755176749063678</c:v>
                </c:pt>
                <c:pt idx="96">
                  <c:v>0.36115212460521173</c:v>
                </c:pt>
                <c:pt idx="97">
                  <c:v>0.31903378659892195</c:v>
                </c:pt>
                <c:pt idx="98">
                  <c:v>0.36989546215277092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'Result -equal'!$L$3</c:f>
              <c:strCache>
                <c:ptCount val="1"/>
                <c:pt idx="0">
                  <c:v>Top 10</c:v>
                </c:pt>
              </c:strCache>
            </c:strRef>
          </c:tx>
          <c:spPr>
            <a:ln w="34925"/>
          </c:spPr>
          <c:marker>
            <c:symbol val="none"/>
          </c:marker>
          <c:cat>
            <c:numRef>
              <c:f>'Result -equal'!$K$4:$K$102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 -equal'!$L$4:$L$102</c:f>
              <c:numCache>
                <c:formatCode>0%</c:formatCode>
                <c:ptCount val="99"/>
                <c:pt idx="0">
                  <c:v>0.61190388662157369</c:v>
                </c:pt>
                <c:pt idx="1">
                  <c:v>0.65357027228122788</c:v>
                </c:pt>
                <c:pt idx="2">
                  <c:v>0.59171583889465462</c:v>
                </c:pt>
                <c:pt idx="3">
                  <c:v>0.61672385002874142</c:v>
                </c:pt>
                <c:pt idx="4">
                  <c:v>0.62357160991582516</c:v>
                </c:pt>
                <c:pt idx="5">
                  <c:v>4.0070143491386219E-2</c:v>
                </c:pt>
                <c:pt idx="6">
                  <c:v>3.5961622269263312E-2</c:v>
                </c:pt>
                <c:pt idx="7">
                  <c:v>0.64747870264809548</c:v>
                </c:pt>
                <c:pt idx="8">
                  <c:v>0.66747865472310719</c:v>
                </c:pt>
                <c:pt idx="9">
                  <c:v>0.64585374160554743</c:v>
                </c:pt>
                <c:pt idx="10">
                  <c:v>0.68231433453570756</c:v>
                </c:pt>
                <c:pt idx="11">
                  <c:v>0.64816065010577062</c:v>
                </c:pt>
                <c:pt idx="12">
                  <c:v>0.65815858143300654</c:v>
                </c:pt>
                <c:pt idx="13">
                  <c:v>0.55911356488066688</c:v>
                </c:pt>
                <c:pt idx="14">
                  <c:v>0.54024078980964385</c:v>
                </c:pt>
                <c:pt idx="15">
                  <c:v>0.66369099574505364</c:v>
                </c:pt>
                <c:pt idx="16">
                  <c:v>0.56309531641029997</c:v>
                </c:pt>
                <c:pt idx="17">
                  <c:v>0.6624972793034426</c:v>
                </c:pt>
                <c:pt idx="18">
                  <c:v>0.65372340300507792</c:v>
                </c:pt>
                <c:pt idx="19">
                  <c:v>0.64634963466453821</c:v>
                </c:pt>
                <c:pt idx="20">
                  <c:v>0.62212144013077197</c:v>
                </c:pt>
                <c:pt idx="21">
                  <c:v>0.5459128718848838</c:v>
                </c:pt>
                <c:pt idx="22">
                  <c:v>0.62376740271881737</c:v>
                </c:pt>
                <c:pt idx="23">
                  <c:v>0.71800496742675424</c:v>
                </c:pt>
                <c:pt idx="24">
                  <c:v>0.59724863747320955</c:v>
                </c:pt>
                <c:pt idx="25">
                  <c:v>0.6290339904173714</c:v>
                </c:pt>
                <c:pt idx="26">
                  <c:v>0.57453515885465889</c:v>
                </c:pt>
                <c:pt idx="27">
                  <c:v>0.55275341356960517</c:v>
                </c:pt>
                <c:pt idx="28">
                  <c:v>0.4426645717074974</c:v>
                </c:pt>
                <c:pt idx="29">
                  <c:v>0.46888885879838466</c:v>
                </c:pt>
                <c:pt idx="30">
                  <c:v>0.5857118141920814</c:v>
                </c:pt>
                <c:pt idx="31">
                  <c:v>0.56790676128824846</c:v>
                </c:pt>
                <c:pt idx="32">
                  <c:v>0.50825588405977662</c:v>
                </c:pt>
                <c:pt idx="33">
                  <c:v>0.45105157959346753</c:v>
                </c:pt>
                <c:pt idx="34">
                  <c:v>0.53082870698416551</c:v>
                </c:pt>
                <c:pt idx="35">
                  <c:v>0.54697347581831623</c:v>
                </c:pt>
                <c:pt idx="36">
                  <c:v>0.58094419791906771</c:v>
                </c:pt>
                <c:pt idx="37">
                  <c:v>0.58201375813233569</c:v>
                </c:pt>
                <c:pt idx="38">
                  <c:v>0.51015919121126996</c:v>
                </c:pt>
                <c:pt idx="39">
                  <c:v>0.5856242691613367</c:v>
                </c:pt>
                <c:pt idx="40">
                  <c:v>0.62731774724678624</c:v>
                </c:pt>
                <c:pt idx="41">
                  <c:v>0.70018733082941975</c:v>
                </c:pt>
                <c:pt idx="42">
                  <c:v>0.69685309878974544</c:v>
                </c:pt>
                <c:pt idx="43">
                  <c:v>0.64342674052827942</c:v>
                </c:pt>
                <c:pt idx="44">
                  <c:v>0.72124251822583418</c:v>
                </c:pt>
                <c:pt idx="45">
                  <c:v>0.64058609164413993</c:v>
                </c:pt>
                <c:pt idx="46">
                  <c:v>0.62514953519319638</c:v>
                </c:pt>
                <c:pt idx="47">
                  <c:v>0.68212992105766324</c:v>
                </c:pt>
                <c:pt idx="48">
                  <c:v>0.69521610357481167</c:v>
                </c:pt>
                <c:pt idx="49">
                  <c:v>0.71553020211085294</c:v>
                </c:pt>
                <c:pt idx="50">
                  <c:v>0.72966961448058409</c:v>
                </c:pt>
                <c:pt idx="51">
                  <c:v>0.67549829521531435</c:v>
                </c:pt>
                <c:pt idx="52">
                  <c:v>0.66430945986175194</c:v>
                </c:pt>
                <c:pt idx="53">
                  <c:v>0.72273312249757371</c:v>
                </c:pt>
                <c:pt idx="54">
                  <c:v>0.65547424321869363</c:v>
                </c:pt>
                <c:pt idx="55">
                  <c:v>0.69800228682847743</c:v>
                </c:pt>
                <c:pt idx="56">
                  <c:v>0.70521895173025129</c:v>
                </c:pt>
                <c:pt idx="57">
                  <c:v>0.60462138868869142</c:v>
                </c:pt>
                <c:pt idx="58">
                  <c:v>0.63472480974716072</c:v>
                </c:pt>
                <c:pt idx="59">
                  <c:v>0.67983534149609459</c:v>
                </c:pt>
                <c:pt idx="60">
                  <c:v>0.58908725591040234</c:v>
                </c:pt>
                <c:pt idx="61">
                  <c:v>0.58694524726886232</c:v>
                </c:pt>
                <c:pt idx="62">
                  <c:v>0.65837357984302625</c:v>
                </c:pt>
                <c:pt idx="63">
                  <c:v>0.50348288238373851</c:v>
                </c:pt>
                <c:pt idx="64">
                  <c:v>0.59668828233047966</c:v>
                </c:pt>
                <c:pt idx="65">
                  <c:v>0.53543968344576509</c:v>
                </c:pt>
                <c:pt idx="66">
                  <c:v>0.54678009909618508</c:v>
                </c:pt>
                <c:pt idx="67">
                  <c:v>0.52988955354434797</c:v>
                </c:pt>
                <c:pt idx="68">
                  <c:v>0.542745233010964</c:v>
                </c:pt>
                <c:pt idx="69">
                  <c:v>0.56578384524970737</c:v>
                </c:pt>
                <c:pt idx="70">
                  <c:v>0.45407242120173175</c:v>
                </c:pt>
                <c:pt idx="71">
                  <c:v>0.4316605880690641</c:v>
                </c:pt>
                <c:pt idx="72">
                  <c:v>0.48029103375120463</c:v>
                </c:pt>
                <c:pt idx="73">
                  <c:v>0.52462396827840363</c:v>
                </c:pt>
                <c:pt idx="74">
                  <c:v>0.48951551437848634</c:v>
                </c:pt>
                <c:pt idx="75">
                  <c:v>0.50818913567767987</c:v>
                </c:pt>
                <c:pt idx="76">
                  <c:v>0.52430758675880762</c:v>
                </c:pt>
                <c:pt idx="77">
                  <c:v>0.5333828824268575</c:v>
                </c:pt>
                <c:pt idx="78">
                  <c:v>0.52133399472132003</c:v>
                </c:pt>
                <c:pt idx="79">
                  <c:v>0.54995593294235179</c:v>
                </c:pt>
                <c:pt idx="80">
                  <c:v>0.54635145867477775</c:v>
                </c:pt>
                <c:pt idx="81">
                  <c:v>0.46308538067212168</c:v>
                </c:pt>
                <c:pt idx="82">
                  <c:v>0.5092111745747373</c:v>
                </c:pt>
                <c:pt idx="83">
                  <c:v>0.45379391115001161</c:v>
                </c:pt>
                <c:pt idx="84">
                  <c:v>0.41129616606176511</c:v>
                </c:pt>
                <c:pt idx="85">
                  <c:v>0.48747919831441333</c:v>
                </c:pt>
                <c:pt idx="86">
                  <c:v>0.42023168941995176</c:v>
                </c:pt>
                <c:pt idx="87">
                  <c:v>0.45135930192319007</c:v>
                </c:pt>
                <c:pt idx="88">
                  <c:v>0.38347362399829577</c:v>
                </c:pt>
                <c:pt idx="89">
                  <c:v>0.41316539541436825</c:v>
                </c:pt>
                <c:pt idx="90">
                  <c:v>0.38906514458785929</c:v>
                </c:pt>
                <c:pt idx="91">
                  <c:v>0.40170324381148426</c:v>
                </c:pt>
                <c:pt idx="92">
                  <c:v>0.50606669527010262</c:v>
                </c:pt>
                <c:pt idx="93">
                  <c:v>0.41145217484818325</c:v>
                </c:pt>
                <c:pt idx="94">
                  <c:v>0.58631084910757492</c:v>
                </c:pt>
                <c:pt idx="95">
                  <c:v>0.38345948254548712</c:v>
                </c:pt>
                <c:pt idx="96">
                  <c:v>0.46564970651681964</c:v>
                </c:pt>
                <c:pt idx="97">
                  <c:v>0.43778743049059332</c:v>
                </c:pt>
                <c:pt idx="98">
                  <c:v>0.46435562130980268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880896"/>
        <c:axId val="358318848"/>
      </c:lineChart>
      <c:dateAx>
        <c:axId val="396880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8318848"/>
        <c:crosses val="autoZero"/>
        <c:auto val="1"/>
        <c:lblOffset val="100"/>
        <c:baseTimeUnit val="months"/>
      </c:dateAx>
      <c:valAx>
        <c:axId val="3583188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96880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850870328325523"/>
          <c:y val="0.13398094281117848"/>
          <c:w val="0.75274263723169577"/>
          <c:h val="0.73514290202518207"/>
        </c:manualLayout>
      </c:layout>
      <c:lineChart>
        <c:grouping val="standard"/>
        <c:varyColors val="0"/>
        <c:ser>
          <c:idx val="0"/>
          <c:order val="0"/>
          <c:tx>
            <c:strRef>
              <c:f>'Result -equal'!$D$3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'Result -equal'!$C$4:$C$102</c:f>
              <c:numCache>
                <c:formatCode>m/d/yyyy</c:formatCode>
                <c:ptCount val="99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  <c:pt idx="76">
                  <c:v>41395</c:v>
                </c:pt>
                <c:pt idx="77">
                  <c:v>41426</c:v>
                </c:pt>
                <c:pt idx="78">
                  <c:v>41456</c:v>
                </c:pt>
                <c:pt idx="79">
                  <c:v>41487</c:v>
                </c:pt>
                <c:pt idx="80">
                  <c:v>41518</c:v>
                </c:pt>
                <c:pt idx="81">
                  <c:v>41548</c:v>
                </c:pt>
                <c:pt idx="82">
                  <c:v>41579</c:v>
                </c:pt>
                <c:pt idx="83">
                  <c:v>41609</c:v>
                </c:pt>
                <c:pt idx="84">
                  <c:v>41640</c:v>
                </c:pt>
                <c:pt idx="85">
                  <c:v>41671</c:v>
                </c:pt>
                <c:pt idx="86">
                  <c:v>41699</c:v>
                </c:pt>
                <c:pt idx="87">
                  <c:v>41730</c:v>
                </c:pt>
                <c:pt idx="88">
                  <c:v>41760</c:v>
                </c:pt>
                <c:pt idx="89">
                  <c:v>41791</c:v>
                </c:pt>
                <c:pt idx="90">
                  <c:v>41821</c:v>
                </c:pt>
                <c:pt idx="91">
                  <c:v>41852</c:v>
                </c:pt>
                <c:pt idx="92">
                  <c:v>41883</c:v>
                </c:pt>
                <c:pt idx="93">
                  <c:v>41913</c:v>
                </c:pt>
                <c:pt idx="94">
                  <c:v>41944</c:v>
                </c:pt>
                <c:pt idx="95">
                  <c:v>41974</c:v>
                </c:pt>
                <c:pt idx="96">
                  <c:v>42005</c:v>
                </c:pt>
                <c:pt idx="97">
                  <c:v>42036</c:v>
                </c:pt>
                <c:pt idx="98">
                  <c:v>42064</c:v>
                </c:pt>
              </c:numCache>
            </c:numRef>
          </c:cat>
          <c:val>
            <c:numRef>
              <c:f>'Result -equal'!$D$4:$D$102</c:f>
              <c:numCache>
                <c:formatCode>_(* #,##0_);_(* \(#,##0\);_(* "-"??_);_(@_)</c:formatCode>
                <c:ptCount val="99"/>
                <c:pt idx="0">
                  <c:v>49068464062.099998</c:v>
                </c:pt>
                <c:pt idx="1">
                  <c:v>46067240921.730003</c:v>
                </c:pt>
                <c:pt idx="2">
                  <c:v>47629783273.940002</c:v>
                </c:pt>
                <c:pt idx="3">
                  <c:v>51130390876.290001</c:v>
                </c:pt>
                <c:pt idx="4">
                  <c:v>58241869995.239998</c:v>
                </c:pt>
                <c:pt idx="5">
                  <c:v>50433013414.199997</c:v>
                </c:pt>
                <c:pt idx="6">
                  <c:v>53229367946.120003</c:v>
                </c:pt>
                <c:pt idx="7">
                  <c:v>55852222730.150002</c:v>
                </c:pt>
                <c:pt idx="8">
                  <c:v>59519283040.339996</c:v>
                </c:pt>
                <c:pt idx="9">
                  <c:v>53589853815.260002</c:v>
                </c:pt>
                <c:pt idx="10">
                  <c:v>56318004683</c:v>
                </c:pt>
                <c:pt idx="11">
                  <c:v>70720993110.179993</c:v>
                </c:pt>
                <c:pt idx="12">
                  <c:v>55380966103.379997</c:v>
                </c:pt>
                <c:pt idx="13">
                  <c:v>76264291344.479996</c:v>
                </c:pt>
                <c:pt idx="14">
                  <c:v>54036130386.260002</c:v>
                </c:pt>
                <c:pt idx="15">
                  <c:v>61021756747.739998</c:v>
                </c:pt>
                <c:pt idx="16">
                  <c:v>67752280712.029999</c:v>
                </c:pt>
                <c:pt idx="17">
                  <c:v>54754255797.940002</c:v>
                </c:pt>
                <c:pt idx="18">
                  <c:v>39254673980.809998</c:v>
                </c:pt>
                <c:pt idx="19">
                  <c:v>33987473164.599998</c:v>
                </c:pt>
                <c:pt idx="20">
                  <c:v>41506327516.75</c:v>
                </c:pt>
                <c:pt idx="21">
                  <c:v>32554558169.93</c:v>
                </c:pt>
                <c:pt idx="22">
                  <c:v>27385866902.009998</c:v>
                </c:pt>
                <c:pt idx="23">
                  <c:v>41233749209.5</c:v>
                </c:pt>
                <c:pt idx="24">
                  <c:v>26074589597.5</c:v>
                </c:pt>
                <c:pt idx="25">
                  <c:v>47498482306.410004</c:v>
                </c:pt>
                <c:pt idx="26">
                  <c:v>91030919352.979996</c:v>
                </c:pt>
                <c:pt idx="27">
                  <c:v>58732734355.699997</c:v>
                </c:pt>
                <c:pt idx="28">
                  <c:v>133840090442.36</c:v>
                </c:pt>
                <c:pt idx="29">
                  <c:v>133396899527.09</c:v>
                </c:pt>
                <c:pt idx="30">
                  <c:v>81085052853.800003</c:v>
                </c:pt>
                <c:pt idx="31">
                  <c:v>62725888062.300003</c:v>
                </c:pt>
                <c:pt idx="32">
                  <c:v>58721966516.220001</c:v>
                </c:pt>
                <c:pt idx="33">
                  <c:v>40018067422.019997</c:v>
                </c:pt>
                <c:pt idx="34">
                  <c:v>39630338873.360001</c:v>
                </c:pt>
                <c:pt idx="35">
                  <c:v>49380885366.279999</c:v>
                </c:pt>
                <c:pt idx="36">
                  <c:v>41171224451.529999</c:v>
                </c:pt>
                <c:pt idx="37">
                  <c:v>43331380880.580002</c:v>
                </c:pt>
                <c:pt idx="38">
                  <c:v>36714521904.68</c:v>
                </c:pt>
                <c:pt idx="39">
                  <c:v>36544416365.050003</c:v>
                </c:pt>
                <c:pt idx="40">
                  <c:v>36336611081.309998</c:v>
                </c:pt>
                <c:pt idx="41">
                  <c:v>37643702495.970001</c:v>
                </c:pt>
                <c:pt idx="42">
                  <c:v>40829244339.580002</c:v>
                </c:pt>
                <c:pt idx="43">
                  <c:v>46909004959.040001</c:v>
                </c:pt>
                <c:pt idx="44">
                  <c:v>69384338986.350006</c:v>
                </c:pt>
                <c:pt idx="45">
                  <c:v>68963882096.149994</c:v>
                </c:pt>
                <c:pt idx="46">
                  <c:v>71397253151.929993</c:v>
                </c:pt>
                <c:pt idx="47">
                  <c:v>81193901238.820007</c:v>
                </c:pt>
                <c:pt idx="48">
                  <c:v>66493575674.870003</c:v>
                </c:pt>
                <c:pt idx="49">
                  <c:v>51211208108.309998</c:v>
                </c:pt>
                <c:pt idx="50">
                  <c:v>52478992160.580002</c:v>
                </c:pt>
                <c:pt idx="51">
                  <c:v>33088841042.959999</c:v>
                </c:pt>
                <c:pt idx="52">
                  <c:v>30964833391.43</c:v>
                </c:pt>
                <c:pt idx="53">
                  <c:v>34031377587.419998</c:v>
                </c:pt>
                <c:pt idx="54">
                  <c:v>30621365146.98</c:v>
                </c:pt>
                <c:pt idx="55">
                  <c:v>38171516998.550003</c:v>
                </c:pt>
                <c:pt idx="56">
                  <c:v>45345536322.599998</c:v>
                </c:pt>
                <c:pt idx="57">
                  <c:v>51265734201.440002</c:v>
                </c:pt>
                <c:pt idx="58">
                  <c:v>62641454659.599998</c:v>
                </c:pt>
                <c:pt idx="59">
                  <c:v>73851865080.610001</c:v>
                </c:pt>
                <c:pt idx="60">
                  <c:v>58331372757.360001</c:v>
                </c:pt>
                <c:pt idx="61">
                  <c:v>56063681559.919998</c:v>
                </c:pt>
                <c:pt idx="62">
                  <c:v>86317495811.419998</c:v>
                </c:pt>
                <c:pt idx="63">
                  <c:v>48073485668.580002</c:v>
                </c:pt>
                <c:pt idx="64">
                  <c:v>66663158668.949997</c:v>
                </c:pt>
                <c:pt idx="65">
                  <c:v>65107512378.209999</c:v>
                </c:pt>
                <c:pt idx="66">
                  <c:v>71798949000.600006</c:v>
                </c:pt>
                <c:pt idx="67">
                  <c:v>80246484071.139999</c:v>
                </c:pt>
                <c:pt idx="68">
                  <c:v>84049356738.059998</c:v>
                </c:pt>
                <c:pt idx="69">
                  <c:v>61818801001.650002</c:v>
                </c:pt>
                <c:pt idx="70">
                  <c:v>107252324964.50999</c:v>
                </c:pt>
                <c:pt idx="71">
                  <c:v>66763638723.230003</c:v>
                </c:pt>
                <c:pt idx="72">
                  <c:v>85482757320.820007</c:v>
                </c:pt>
                <c:pt idx="73">
                  <c:v>77430427923.440002</c:v>
                </c:pt>
                <c:pt idx="74">
                  <c:v>66573031434.919998</c:v>
                </c:pt>
                <c:pt idx="75">
                  <c:v>73548428684.190002</c:v>
                </c:pt>
                <c:pt idx="76">
                  <c:v>73509211252.020004</c:v>
                </c:pt>
                <c:pt idx="77">
                  <c:v>66542000148.940002</c:v>
                </c:pt>
                <c:pt idx="78">
                  <c:v>71866974614.360001</c:v>
                </c:pt>
                <c:pt idx="79">
                  <c:v>65043206114.970001</c:v>
                </c:pt>
                <c:pt idx="80">
                  <c:v>52117579911.449997</c:v>
                </c:pt>
                <c:pt idx="81">
                  <c:v>47175834172.419998</c:v>
                </c:pt>
                <c:pt idx="82">
                  <c:v>38757040631.290001</c:v>
                </c:pt>
                <c:pt idx="83">
                  <c:v>37790142776.290001</c:v>
                </c:pt>
                <c:pt idx="84">
                  <c:v>28108964119.139999</c:v>
                </c:pt>
                <c:pt idx="85">
                  <c:v>27585216807.849998</c:v>
                </c:pt>
                <c:pt idx="86">
                  <c:v>23463509422.790001</c:v>
                </c:pt>
                <c:pt idx="87">
                  <c:v>27198516722.27</c:v>
                </c:pt>
                <c:pt idx="88">
                  <c:v>27487631130.209999</c:v>
                </c:pt>
                <c:pt idx="89">
                  <c:v>31582304306.349998</c:v>
                </c:pt>
                <c:pt idx="90">
                  <c:v>36447478522.989998</c:v>
                </c:pt>
                <c:pt idx="91">
                  <c:v>34332054961.080002</c:v>
                </c:pt>
                <c:pt idx="92">
                  <c:v>40347506692.199997</c:v>
                </c:pt>
                <c:pt idx="93">
                  <c:v>40323740351.139999</c:v>
                </c:pt>
                <c:pt idx="94">
                  <c:v>32492729674.279999</c:v>
                </c:pt>
                <c:pt idx="95">
                  <c:v>44253011751.110001</c:v>
                </c:pt>
                <c:pt idx="96">
                  <c:v>36980630899.18</c:v>
                </c:pt>
                <c:pt idx="97">
                  <c:v>36583983679.550003</c:v>
                </c:pt>
                <c:pt idx="98">
                  <c:v>23910707870.450001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340480"/>
        <c:axId val="358342016"/>
      </c:lineChart>
      <c:dateAx>
        <c:axId val="358340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8342016"/>
        <c:crosses val="autoZero"/>
        <c:auto val="1"/>
        <c:lblOffset val="100"/>
        <c:baseTimeUnit val="months"/>
      </c:dateAx>
      <c:valAx>
        <c:axId val="35834201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58340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-equal'!$O$3</c:f>
              <c:strCache>
                <c:ptCount val="1"/>
                <c:pt idx="0">
                  <c:v>N/A</c:v>
                </c:pt>
              </c:strCache>
            </c:strRef>
          </c:tx>
          <c:marker>
            <c:symbol val="none"/>
          </c:marker>
          <c:cat>
            <c:numRef>
              <c:f>'Result -equal'!$K$11:$K$102</c:f>
              <c:numCache>
                <c:formatCode>m/d/yyyy</c:formatCode>
                <c:ptCount val="9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  <c:pt idx="64">
                  <c:v>41244</c:v>
                </c:pt>
                <c:pt idx="65">
                  <c:v>41275</c:v>
                </c:pt>
                <c:pt idx="66">
                  <c:v>41306</c:v>
                </c:pt>
                <c:pt idx="67">
                  <c:v>41334</c:v>
                </c:pt>
                <c:pt idx="68">
                  <c:v>41365</c:v>
                </c:pt>
                <c:pt idx="69">
                  <c:v>41395</c:v>
                </c:pt>
                <c:pt idx="70">
                  <c:v>41426</c:v>
                </c:pt>
                <c:pt idx="71">
                  <c:v>41456</c:v>
                </c:pt>
                <c:pt idx="72">
                  <c:v>41487</c:v>
                </c:pt>
                <c:pt idx="73">
                  <c:v>41518</c:v>
                </c:pt>
                <c:pt idx="74">
                  <c:v>41548</c:v>
                </c:pt>
                <c:pt idx="75">
                  <c:v>41579</c:v>
                </c:pt>
                <c:pt idx="76">
                  <c:v>41609</c:v>
                </c:pt>
                <c:pt idx="77">
                  <c:v>41640</c:v>
                </c:pt>
                <c:pt idx="78">
                  <c:v>41671</c:v>
                </c:pt>
                <c:pt idx="79">
                  <c:v>41699</c:v>
                </c:pt>
                <c:pt idx="80">
                  <c:v>41730</c:v>
                </c:pt>
                <c:pt idx="81">
                  <c:v>41760</c:v>
                </c:pt>
                <c:pt idx="82">
                  <c:v>41791</c:v>
                </c:pt>
                <c:pt idx="83">
                  <c:v>41821</c:v>
                </c:pt>
                <c:pt idx="84">
                  <c:v>41852</c:v>
                </c:pt>
                <c:pt idx="85">
                  <c:v>41883</c:v>
                </c:pt>
                <c:pt idx="86">
                  <c:v>41913</c:v>
                </c:pt>
                <c:pt idx="87">
                  <c:v>41944</c:v>
                </c:pt>
                <c:pt idx="88">
                  <c:v>41974</c:v>
                </c:pt>
                <c:pt idx="89">
                  <c:v>42005</c:v>
                </c:pt>
                <c:pt idx="90">
                  <c:v>42036</c:v>
                </c:pt>
                <c:pt idx="91">
                  <c:v>42064</c:v>
                </c:pt>
              </c:numCache>
            </c:numRef>
          </c:cat>
          <c:val>
            <c:numRef>
              <c:f>'Result -equal'!$O$11:$O$102</c:f>
              <c:numCache>
                <c:formatCode>0%</c:formatCode>
                <c:ptCount val="92"/>
                <c:pt idx="0">
                  <c:v>0.19271650132895421</c:v>
                </c:pt>
                <c:pt idx="1">
                  <c:v>0.15295596147940418</c:v>
                </c:pt>
                <c:pt idx="2">
                  <c:v>0.21802798276476903</c:v>
                </c:pt>
                <c:pt idx="3">
                  <c:v>0.18265433297400047</c:v>
                </c:pt>
                <c:pt idx="4">
                  <c:v>0.25055274467645133</c:v>
                </c:pt>
                <c:pt idx="5">
                  <c:v>0.20529504753991829</c:v>
                </c:pt>
                <c:pt idx="6">
                  <c:v>0.35785709130535798</c:v>
                </c:pt>
                <c:pt idx="7">
                  <c:v>0.33874303272934453</c:v>
                </c:pt>
                <c:pt idx="8">
                  <c:v>0.20420456937699524</c:v>
                </c:pt>
                <c:pt idx="9">
                  <c:v>0.33808594626236438</c:v>
                </c:pt>
                <c:pt idx="10">
                  <c:v>0.23363737055707171</c:v>
                </c:pt>
                <c:pt idx="11">
                  <c:v>0.21676128250612015</c:v>
                </c:pt>
                <c:pt idx="12">
                  <c:v>0.23839917877035152</c:v>
                </c:pt>
                <c:pt idx="13">
                  <c:v>0.2917366022559672</c:v>
                </c:pt>
                <c:pt idx="14">
                  <c:v>0.33804200661414363</c:v>
                </c:pt>
                <c:pt idx="15">
                  <c:v>0.22801041323039875</c:v>
                </c:pt>
                <c:pt idx="16">
                  <c:v>0.13942886087776432</c:v>
                </c:pt>
                <c:pt idx="17">
                  <c:v>0.18819800091774005</c:v>
                </c:pt>
                <c:pt idx="18">
                  <c:v>0.17507977127255997</c:v>
                </c:pt>
                <c:pt idx="19">
                  <c:v>0.24985847607234368</c:v>
                </c:pt>
                <c:pt idx="20">
                  <c:v>0.14527903905042538</c:v>
                </c:pt>
                <c:pt idx="21">
                  <c:v>0.11465143739280802</c:v>
                </c:pt>
                <c:pt idx="22">
                  <c:v>0.17955456354617799</c:v>
                </c:pt>
                <c:pt idx="23">
                  <c:v>0.19276710571037736</c:v>
                </c:pt>
                <c:pt idx="24">
                  <c:v>0.17193837734570197</c:v>
                </c:pt>
                <c:pt idx="25">
                  <c:v>0.26971259892369681</c:v>
                </c:pt>
                <c:pt idx="26">
                  <c:v>0.34397262233672293</c:v>
                </c:pt>
                <c:pt idx="27">
                  <c:v>0.27227695933868123</c:v>
                </c:pt>
                <c:pt idx="28">
                  <c:v>0.25249052896718577</c:v>
                </c:pt>
                <c:pt idx="29">
                  <c:v>0.20993081734004163</c:v>
                </c:pt>
                <c:pt idx="30">
                  <c:v>0.24565927567221157</c:v>
                </c:pt>
                <c:pt idx="31">
                  <c:v>0.32852001541282566</c:v>
                </c:pt>
                <c:pt idx="32">
                  <c:v>0.23911819774900497</c:v>
                </c:pt>
                <c:pt idx="33">
                  <c:v>0.20830149559250327</c:v>
                </c:pt>
                <c:pt idx="34">
                  <c:v>3.974679390690062E-2</c:v>
                </c:pt>
                <c:pt idx="35">
                  <c:v>3.8392517039077895E-2</c:v>
                </c:pt>
                <c:pt idx="36">
                  <c:v>4.9569611187241583E-2</c:v>
                </c:pt>
                <c:pt idx="37">
                  <c:v>2.386445565656754E-2</c:v>
                </c:pt>
                <c:pt idx="38">
                  <c:v>3.5572721567206485E-2</c:v>
                </c:pt>
                <c:pt idx="39">
                  <c:v>2.852662223105349E-2</c:v>
                </c:pt>
                <c:pt idx="40">
                  <c:v>2.1076228730118225E-2</c:v>
                </c:pt>
                <c:pt idx="41">
                  <c:v>3.1884857093062997E-2</c:v>
                </c:pt>
                <c:pt idx="42">
                  <c:v>4.1202959390009071E-2</c:v>
                </c:pt>
                <c:pt idx="43">
                  <c:v>2.2742356929188585E-2</c:v>
                </c:pt>
                <c:pt idx="44">
                  <c:v>6.6135059343989652E-2</c:v>
                </c:pt>
                <c:pt idx="45">
                  <c:v>6.9796934531485638E-2</c:v>
                </c:pt>
                <c:pt idx="46">
                  <c:v>3.1943070750149238E-2</c:v>
                </c:pt>
                <c:pt idx="47">
                  <c:v>7.4447968732211559E-2</c:v>
                </c:pt>
                <c:pt idx="48">
                  <c:v>5.2239160001834525E-2</c:v>
                </c:pt>
                <c:pt idx="49">
                  <c:v>1.9338149994775955E-2</c:v>
                </c:pt>
                <c:pt idx="50">
                  <c:v>4.4583742349598485E-2</c:v>
                </c:pt>
                <c:pt idx="51">
                  <c:v>3.3449785248224312E-2</c:v>
                </c:pt>
                <c:pt idx="52">
                  <c:v>1.4000791921387444E-2</c:v>
                </c:pt>
                <c:pt idx="53">
                  <c:v>3.407914322998986E-2</c:v>
                </c:pt>
                <c:pt idx="54">
                  <c:v>3.6223530875857411E-2</c:v>
                </c:pt>
                <c:pt idx="55">
                  <c:v>8.292165641178198E-3</c:v>
                </c:pt>
                <c:pt idx="56">
                  <c:v>4.2814404101869159E-2</c:v>
                </c:pt>
                <c:pt idx="57">
                  <c:v>2.7153142502428482E-2</c:v>
                </c:pt>
                <c:pt idx="58">
                  <c:v>1.1538849950768992E-2</c:v>
                </c:pt>
                <c:pt idx="59">
                  <c:v>2.0688308501390276E-2</c:v>
                </c:pt>
                <c:pt idx="60">
                  <c:v>2.269260697310611E-2</c:v>
                </c:pt>
                <c:pt idx="61">
                  <c:v>1.0024313566441309E-2</c:v>
                </c:pt>
                <c:pt idx="62">
                  <c:v>2.6680374761004783E-2</c:v>
                </c:pt>
                <c:pt idx="63">
                  <c:v>1.665602347166947E-2</c:v>
                </c:pt>
                <c:pt idx="64">
                  <c:v>1.3217323933738223E-2</c:v>
                </c:pt>
                <c:pt idx="65">
                  <c:v>1.5525628683443933E-2</c:v>
                </c:pt>
                <c:pt idx="66">
                  <c:v>1.9050376028639501E-2</c:v>
                </c:pt>
                <c:pt idx="67">
                  <c:v>1.3122363232835558E-2</c:v>
                </c:pt>
                <c:pt idx="68">
                  <c:v>2.085982281943426E-2</c:v>
                </c:pt>
                <c:pt idx="69">
                  <c:v>1.7525142115636549E-2</c:v>
                </c:pt>
                <c:pt idx="70">
                  <c:v>1.4536543789410104E-2</c:v>
                </c:pt>
                <c:pt idx="71">
                  <c:v>9.5999848567737568E-3</c:v>
                </c:pt>
                <c:pt idx="72">
                  <c:v>1.6153672654801367E-2</c:v>
                </c:pt>
                <c:pt idx="73">
                  <c:v>1.4593785883617002E-2</c:v>
                </c:pt>
                <c:pt idx="74">
                  <c:v>2.3626543325684743E-2</c:v>
                </c:pt>
                <c:pt idx="75">
                  <c:v>2.9534711483514529E-2</c:v>
                </c:pt>
                <c:pt idx="76">
                  <c:v>2.2656741602394562E-2</c:v>
                </c:pt>
                <c:pt idx="77">
                  <c:v>2.4580589205332102E-2</c:v>
                </c:pt>
                <c:pt idx="78">
                  <c:v>2.6546908625043209E-2</c:v>
                </c:pt>
                <c:pt idx="79">
                  <c:v>2.6418352763458552E-2</c:v>
                </c:pt>
                <c:pt idx="80">
                  <c:v>2.9421611780203465E-2</c:v>
                </c:pt>
                <c:pt idx="81">
                  <c:v>2.197111846921769E-2</c:v>
                </c:pt>
                <c:pt idx="82">
                  <c:v>1.7921385042389045E-2</c:v>
                </c:pt>
                <c:pt idx="83">
                  <c:v>2.1016872251308747E-2</c:v>
                </c:pt>
                <c:pt idx="84">
                  <c:v>2.5233855531866696E-2</c:v>
                </c:pt>
                <c:pt idx="85">
                  <c:v>1.7169702412712498E-2</c:v>
                </c:pt>
                <c:pt idx="86">
                  <c:v>2.7683148544240668E-2</c:v>
                </c:pt>
                <c:pt idx="87">
                  <c:v>2.559909322294977E-2</c:v>
                </c:pt>
                <c:pt idx="88">
                  <c:v>1.4106870364237783E-2</c:v>
                </c:pt>
                <c:pt idx="89">
                  <c:v>2.3129253860808687E-2</c:v>
                </c:pt>
                <c:pt idx="90">
                  <c:v>1.9073455917542739E-2</c:v>
                </c:pt>
                <c:pt idx="91">
                  <c:v>3.6355698238206946E-2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'Result -equal'!$P$3</c:f>
              <c:strCache>
                <c:ptCount val="1"/>
                <c:pt idx="0">
                  <c:v>Remaining</c:v>
                </c:pt>
              </c:strCache>
            </c:strRef>
          </c:tx>
          <c:marker>
            <c:symbol val="none"/>
          </c:marker>
          <c:cat>
            <c:numRef>
              <c:f>'Result -equal'!$K$11:$K$102</c:f>
              <c:numCache>
                <c:formatCode>m/d/yyyy</c:formatCode>
                <c:ptCount val="9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  <c:pt idx="63">
                  <c:v>41214</c:v>
                </c:pt>
                <c:pt idx="64">
                  <c:v>41244</c:v>
                </c:pt>
                <c:pt idx="65">
                  <c:v>41275</c:v>
                </c:pt>
                <c:pt idx="66">
                  <c:v>41306</c:v>
                </c:pt>
                <c:pt idx="67">
                  <c:v>41334</c:v>
                </c:pt>
                <c:pt idx="68">
                  <c:v>41365</c:v>
                </c:pt>
                <c:pt idx="69">
                  <c:v>41395</c:v>
                </c:pt>
                <c:pt idx="70">
                  <c:v>41426</c:v>
                </c:pt>
                <c:pt idx="71">
                  <c:v>41456</c:v>
                </c:pt>
                <c:pt idx="72">
                  <c:v>41487</c:v>
                </c:pt>
                <c:pt idx="73">
                  <c:v>41518</c:v>
                </c:pt>
                <c:pt idx="74">
                  <c:v>41548</c:v>
                </c:pt>
                <c:pt idx="75">
                  <c:v>41579</c:v>
                </c:pt>
                <c:pt idx="76">
                  <c:v>41609</c:v>
                </c:pt>
                <c:pt idx="77">
                  <c:v>41640</c:v>
                </c:pt>
                <c:pt idx="78">
                  <c:v>41671</c:v>
                </c:pt>
                <c:pt idx="79">
                  <c:v>41699</c:v>
                </c:pt>
                <c:pt idx="80">
                  <c:v>41730</c:v>
                </c:pt>
                <c:pt idx="81">
                  <c:v>41760</c:v>
                </c:pt>
                <c:pt idx="82">
                  <c:v>41791</c:v>
                </c:pt>
                <c:pt idx="83">
                  <c:v>41821</c:v>
                </c:pt>
                <c:pt idx="84">
                  <c:v>41852</c:v>
                </c:pt>
                <c:pt idx="85">
                  <c:v>41883</c:v>
                </c:pt>
                <c:pt idx="86">
                  <c:v>41913</c:v>
                </c:pt>
                <c:pt idx="87">
                  <c:v>41944</c:v>
                </c:pt>
                <c:pt idx="88">
                  <c:v>41974</c:v>
                </c:pt>
                <c:pt idx="89">
                  <c:v>42005</c:v>
                </c:pt>
                <c:pt idx="90">
                  <c:v>42036</c:v>
                </c:pt>
                <c:pt idx="91">
                  <c:v>42064</c:v>
                </c:pt>
              </c:numCache>
            </c:numRef>
          </c:cat>
          <c:val>
            <c:numRef>
              <c:f>'Result -equal'!$P$11:$P$102</c:f>
              <c:numCache>
                <c:formatCode>0%</c:formatCode>
                <c:ptCount val="92"/>
                <c:pt idx="0">
                  <c:v>1.9572692280335754E-2</c:v>
                </c:pt>
                <c:pt idx="1">
                  <c:v>2.1902704718846241E-2</c:v>
                </c:pt>
                <c:pt idx="2">
                  <c:v>1.5736394585757624E-2</c:v>
                </c:pt>
                <c:pt idx="3">
                  <c:v>2.3057290478225592E-2</c:v>
                </c:pt>
                <c:pt idx="4">
                  <c:v>1.8303828521939507E-2</c:v>
                </c:pt>
                <c:pt idx="5">
                  <c:v>2.8801485213213913E-2</c:v>
                </c:pt>
                <c:pt idx="6">
                  <c:v>1.8013153400387987E-2</c:v>
                </c:pt>
                <c:pt idx="7">
                  <c:v>4.8724483974142502E-2</c:v>
                </c:pt>
                <c:pt idx="8">
                  <c:v>3.2392341741836313E-2</c:v>
                </c:pt>
                <c:pt idx="9">
                  <c:v>3.2051268994911092E-2</c:v>
                </c:pt>
                <c:pt idx="10">
                  <c:v>3.911629003659254E-2</c:v>
                </c:pt>
                <c:pt idx="11">
                  <c:v>3.2502322275144088E-2</c:v>
                </c:pt>
                <c:pt idx="12">
                  <c:v>3.3224792760297273E-2</c:v>
                </c:pt>
                <c:pt idx="13">
                  <c:v>2.6902546691450414E-2</c:v>
                </c:pt>
                <c:pt idx="14">
                  <c:v>4.4178569795441103E-2</c:v>
                </c:pt>
                <c:pt idx="15">
                  <c:v>5.8146812332353991E-2</c:v>
                </c:pt>
                <c:pt idx="16">
                  <c:v>3.0105539511163282E-2</c:v>
                </c:pt>
                <c:pt idx="17">
                  <c:v>8.5554165231574164E-2</c:v>
                </c:pt>
                <c:pt idx="18">
                  <c:v>0.11758345520307897</c:v>
                </c:pt>
                <c:pt idx="19">
                  <c:v>0.10992077321388094</c:v>
                </c:pt>
                <c:pt idx="20">
                  <c:v>0.18820285396685682</c:v>
                </c:pt>
                <c:pt idx="21">
                  <c:v>0.34040746235845593</c:v>
                </c:pt>
                <c:pt idx="22">
                  <c:v>0.24875238214319442</c:v>
                </c:pt>
                <c:pt idx="23">
                  <c:v>0.11443772204700654</c:v>
                </c:pt>
                <c:pt idx="24">
                  <c:v>0.14719646889031943</c:v>
                </c:pt>
                <c:pt idx="25">
                  <c:v>0.12496352081657708</c:v>
                </c:pt>
                <c:pt idx="26">
                  <c:v>0.10940416871457717</c:v>
                </c:pt>
                <c:pt idx="27">
                  <c:v>0.10676912520610136</c:v>
                </c:pt>
                <c:pt idx="28">
                  <c:v>9.4955626029376627E-2</c:v>
                </c:pt>
                <c:pt idx="29">
                  <c:v>0.1002102133425055</c:v>
                </c:pt>
                <c:pt idx="30">
                  <c:v>7.2647815521863987E-2</c:v>
                </c:pt>
                <c:pt idx="31">
                  <c:v>8.5670783230301598E-2</c:v>
                </c:pt>
                <c:pt idx="32">
                  <c:v>8.7780028790606479E-2</c:v>
                </c:pt>
                <c:pt idx="33">
                  <c:v>8.0319210558718449E-2</c:v>
                </c:pt>
                <c:pt idx="34">
                  <c:v>0.14084651121333272</c:v>
                </c:pt>
                <c:pt idx="35">
                  <c:v>0.12126224638893059</c:v>
                </c:pt>
                <c:pt idx="36">
                  <c:v>0.1614896834529877</c:v>
                </c:pt>
                <c:pt idx="37">
                  <c:v>0.13934243368106486</c:v>
                </c:pt>
                <c:pt idx="38">
                  <c:v>0.16056746102099415</c:v>
                </c:pt>
                <c:pt idx="39">
                  <c:v>0.14950276155843203</c:v>
                </c:pt>
                <c:pt idx="40">
                  <c:v>0.13745101390613007</c:v>
                </c:pt>
                <c:pt idx="41">
                  <c:v>0.12810055859064243</c:v>
                </c:pt>
                <c:pt idx="42">
                  <c:v>8.7474494055005264E-2</c:v>
                </c:pt>
                <c:pt idx="43">
                  <c:v>0.1104804187888947</c:v>
                </c:pt>
                <c:pt idx="44">
                  <c:v>9.7579179361344151E-2</c:v>
                </c:pt>
                <c:pt idx="45">
                  <c:v>0.10657064276578056</c:v>
                </c:pt>
                <c:pt idx="46">
                  <c:v>0.10890821015426851</c:v>
                </c:pt>
                <c:pt idx="47">
                  <c:v>0.12483206034225397</c:v>
                </c:pt>
                <c:pt idx="48">
                  <c:v>0.12574580065058275</c:v>
                </c:pt>
                <c:pt idx="49">
                  <c:v>0.13266871850673617</c:v>
                </c:pt>
                <c:pt idx="50">
                  <c:v>0.19153813417197066</c:v>
                </c:pt>
                <c:pt idx="51">
                  <c:v>0.17360334860971191</c:v>
                </c:pt>
                <c:pt idx="52">
                  <c:v>0.15487439525644445</c:v>
                </c:pt>
                <c:pt idx="53">
                  <c:v>0.18485604190515917</c:v>
                </c:pt>
                <c:pt idx="54">
                  <c:v>0.19024108516278501</c:v>
                </c:pt>
                <c:pt idx="55">
                  <c:v>0.15329881428637701</c:v>
                </c:pt>
                <c:pt idx="56">
                  <c:v>0.23789365717856858</c:v>
                </c:pt>
                <c:pt idx="57">
                  <c:v>0.181229741830358</c:v>
                </c:pt>
                <c:pt idx="58">
                  <c:v>0.21976278331482729</c:v>
                </c:pt>
                <c:pt idx="59">
                  <c:v>0.22028904258581591</c:v>
                </c:pt>
                <c:pt idx="60">
                  <c:v>0.227039594311053</c:v>
                </c:pt>
                <c:pt idx="61">
                  <c:v>0.22850250014219559</c:v>
                </c:pt>
                <c:pt idx="62">
                  <c:v>0.1691549930305328</c:v>
                </c:pt>
                <c:pt idx="63">
                  <c:v>0.29305313989352172</c:v>
                </c:pt>
                <c:pt idx="64">
                  <c:v>0.29757659230783201</c:v>
                </c:pt>
                <c:pt idx="65">
                  <c:v>0.25133756567381044</c:v>
                </c:pt>
                <c:pt idx="66">
                  <c:v>0.21347652699574077</c:v>
                </c:pt>
                <c:pt idx="67">
                  <c:v>0.25688916663857114</c:v>
                </c:pt>
                <c:pt idx="68">
                  <c:v>0.23540367360359027</c:v>
                </c:pt>
                <c:pt idx="69">
                  <c:v>0.24603136756093291</c:v>
                </c:pt>
                <c:pt idx="70">
                  <c:v>0.24456650150783363</c:v>
                </c:pt>
                <c:pt idx="71">
                  <c:v>0.26097439701882769</c:v>
                </c:pt>
                <c:pt idx="72">
                  <c:v>0.22654834561466322</c:v>
                </c:pt>
                <c:pt idx="73">
                  <c:v>0.22959318104448587</c:v>
                </c:pt>
                <c:pt idx="74">
                  <c:v>0.27265189793654437</c:v>
                </c:pt>
                <c:pt idx="75">
                  <c:v>0.23649738171262735</c:v>
                </c:pt>
                <c:pt idx="76">
                  <c:v>0.27834008937879545</c:v>
                </c:pt>
                <c:pt idx="77">
                  <c:v>0.32040224597702277</c:v>
                </c:pt>
                <c:pt idx="78">
                  <c:v>0.25076042092123529</c:v>
                </c:pt>
                <c:pt idx="79">
                  <c:v>0.30157362731114457</c:v>
                </c:pt>
                <c:pt idx="80">
                  <c:v>0.29566464929852398</c:v>
                </c:pt>
                <c:pt idx="81">
                  <c:v>0.30887247807611051</c:v>
                </c:pt>
                <c:pt idx="82">
                  <c:v>0.30512556158299231</c:v>
                </c:pt>
                <c:pt idx="83">
                  <c:v>0.30518981177871296</c:v>
                </c:pt>
                <c:pt idx="84">
                  <c:v>0.29716844694020778</c:v>
                </c:pt>
                <c:pt idx="85">
                  <c:v>0.21674766519118346</c:v>
                </c:pt>
                <c:pt idx="86">
                  <c:v>0.29971606484338259</c:v>
                </c:pt>
                <c:pt idx="87">
                  <c:v>0.12985267572548118</c:v>
                </c:pt>
                <c:pt idx="88">
                  <c:v>0.34726100561222345</c:v>
                </c:pt>
                <c:pt idx="89">
                  <c:v>0.23506486401352211</c:v>
                </c:pt>
                <c:pt idx="90">
                  <c:v>0.25167009927589307</c:v>
                </c:pt>
                <c:pt idx="91">
                  <c:v>0.20841339330018813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477760"/>
        <c:axId val="397479296"/>
      </c:lineChart>
      <c:dateAx>
        <c:axId val="397477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7479296"/>
        <c:crosses val="autoZero"/>
        <c:auto val="1"/>
        <c:lblOffset val="100"/>
        <c:baseTimeUnit val="months"/>
      </c:dateAx>
      <c:valAx>
        <c:axId val="3974792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97477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133349</xdr:colOff>
      <xdr:row>2</xdr:row>
      <xdr:rowOff>128586</xdr:rowOff>
    </xdr:from>
    <xdr:to>
      <xdr:col>30</xdr:col>
      <xdr:colOff>523874</xdr:colOff>
      <xdr:row>24</xdr:row>
      <xdr:rowOff>152399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123824</xdr:colOff>
      <xdr:row>27</xdr:row>
      <xdr:rowOff>52386</xdr:rowOff>
    </xdr:from>
    <xdr:to>
      <xdr:col>30</xdr:col>
      <xdr:colOff>571499</xdr:colOff>
      <xdr:row>46</xdr:row>
      <xdr:rowOff>38099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571499</xdr:colOff>
      <xdr:row>4</xdr:row>
      <xdr:rowOff>128586</xdr:rowOff>
    </xdr:from>
    <xdr:to>
      <xdr:col>30</xdr:col>
      <xdr:colOff>447674</xdr:colOff>
      <xdr:row>29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590549</xdr:colOff>
      <xdr:row>30</xdr:row>
      <xdr:rowOff>109536</xdr:rowOff>
    </xdr:from>
    <xdr:to>
      <xdr:col>30</xdr:col>
      <xdr:colOff>428624</xdr:colOff>
      <xdr:row>53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55</xdr:row>
      <xdr:rowOff>128587</xdr:rowOff>
    </xdr:from>
    <xdr:to>
      <xdr:col>30</xdr:col>
      <xdr:colOff>476250</xdr:colOff>
      <xdr:row>70</xdr:row>
      <xdr:rowOff>14287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571499</xdr:colOff>
      <xdr:row>4</xdr:row>
      <xdr:rowOff>128586</xdr:rowOff>
    </xdr:from>
    <xdr:to>
      <xdr:col>30</xdr:col>
      <xdr:colOff>447674</xdr:colOff>
      <xdr:row>29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590549</xdr:colOff>
      <xdr:row>30</xdr:row>
      <xdr:rowOff>109536</xdr:rowOff>
    </xdr:from>
    <xdr:to>
      <xdr:col>30</xdr:col>
      <xdr:colOff>428624</xdr:colOff>
      <xdr:row>53</xdr:row>
      <xdr:rowOff>190499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55</xdr:row>
      <xdr:rowOff>128587</xdr:rowOff>
    </xdr:from>
    <xdr:to>
      <xdr:col>30</xdr:col>
      <xdr:colOff>476250</xdr:colOff>
      <xdr:row>70</xdr:row>
      <xdr:rowOff>14287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2081.692075810184" createdVersion="4" refreshedVersion="4" minRefreshableVersion="3" recordCount="1400">
  <cacheSource type="worksheet">
    <worksheetSource ref="B3:E1403" sheet="Input-lag"/>
  </cacheSource>
  <cacheFields count="4">
    <cacheField name="servicerName" numFmtId="0">
      <sharedItems/>
    </cacheField>
    <cacheField name="asOf" numFmtId="14">
      <sharedItems containsSemiMixedTypes="0" containsNonDate="0" containsDate="1" containsString="0" minDate="2003-06-01T00:00:00" maxDate="2015-03-02T00:00:00" count="140"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</sharedItems>
    </cacheField>
    <cacheField name="TotalBalance" numFmtId="0">
      <sharedItems containsSemiMixedTypes="0" containsString="0" containsNumber="1" minValue="66282540.439999998" maxValue="31820990055.02"/>
    </cacheField>
    <cacheField name="Ran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2081.707072337966" createdVersion="4" refreshedVersion="4" minRefreshableVersion="3" recordCount="1176">
  <cacheSource type="worksheet">
    <worksheetSource ref="B3:E1179" sheet="Input-equal"/>
  </cacheSource>
  <cacheFields count="4">
    <cacheField name="servicerName" numFmtId="14">
      <sharedItems/>
    </cacheField>
    <cacheField name="asOf" numFmtId="14">
      <sharedItems containsSemiMixedTypes="0" containsNonDate="0" containsDate="1" containsString="0" minDate="2005-06-01T00:00:00" maxDate="2015-03-02T00:00:00" count="118"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</sharedItems>
    </cacheField>
    <cacheField name="TotalBalance" numFmtId="0">
      <sharedItems containsSemiMixedTypes="0" containsString="0" containsNumber="1" minValue="66784" maxValue="30737250033.549999"/>
    </cacheField>
    <cacheField name="Rank" numFmtId="0">
      <sharedItems containsSemiMixedTypes="0" containsString="0" containsNumber="1" containsInteger="1" minValue="1" maxValue="10" count="10">
        <n v="1"/>
        <n v="2"/>
        <n v="3"/>
        <n v="5"/>
        <n v="6"/>
        <n v="7"/>
        <n v="8"/>
        <n v="9"/>
        <n v="10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0">
  <r>
    <s v="BANK OF AMERICA"/>
    <x v="0"/>
    <n v="29346009324.57"/>
    <x v="0"/>
  </r>
  <r>
    <s v="CHASE"/>
    <x v="0"/>
    <n v="25594894422.529999"/>
    <x v="1"/>
  </r>
  <r>
    <s v="CWB"/>
    <x v="0"/>
    <n v="23300241072.73"/>
    <x v="2"/>
  </r>
  <r>
    <s v="WAMU"/>
    <x v="0"/>
    <n v="17817818276.099998"/>
    <x v="3"/>
  </r>
  <r>
    <s v="ALLY"/>
    <x v="0"/>
    <n v="5591763689.3800001"/>
    <x v="4"/>
  </r>
  <r>
    <s v="FLAGSTAR"/>
    <x v="0"/>
    <n v="4371995001.1899996"/>
    <x v="5"/>
  </r>
  <r>
    <s v="FIRST BANK OF TENNESSEE"/>
    <x v="0"/>
    <n v="3031001736.98"/>
    <x v="6"/>
  </r>
  <r>
    <s v="WELLS FARGO"/>
    <x v="0"/>
    <n v="2386757053.25"/>
    <x v="7"/>
  </r>
  <r>
    <s v="SUNTRUST"/>
    <x v="0"/>
    <n v="2160965900.48"/>
    <x v="8"/>
  </r>
  <r>
    <s v="OHIO SAVINGS BANK"/>
    <x v="0"/>
    <n v="1659941249.73"/>
    <x v="9"/>
  </r>
  <r>
    <s v="CHASE"/>
    <x v="1"/>
    <n v="29203480041.400002"/>
    <x v="0"/>
  </r>
  <r>
    <s v="BANK OF AMERICA"/>
    <x v="1"/>
    <n v="29172965695.619999"/>
    <x v="1"/>
  </r>
  <r>
    <s v="CWB"/>
    <x v="1"/>
    <n v="23865657170.52"/>
    <x v="2"/>
  </r>
  <r>
    <s v="WAMU"/>
    <x v="1"/>
    <n v="20341432059.669998"/>
    <x v="3"/>
  </r>
  <r>
    <s v="ALLY"/>
    <x v="1"/>
    <n v="6153977891.3500004"/>
    <x v="4"/>
  </r>
  <r>
    <s v="FLAGSTAR"/>
    <x v="1"/>
    <n v="3946035702.4200001"/>
    <x v="5"/>
  </r>
  <r>
    <s v="WELLS FARGO"/>
    <x v="1"/>
    <n v="3743886848.1799998"/>
    <x v="6"/>
  </r>
  <r>
    <s v="FIRST BANK OF TENNESSEE"/>
    <x v="1"/>
    <n v="2415574600.1999998"/>
    <x v="7"/>
  </r>
  <r>
    <s v="CITI"/>
    <x v="1"/>
    <n v="2259153579.3499999"/>
    <x v="8"/>
  </r>
  <r>
    <s v="SUNTRUST"/>
    <x v="1"/>
    <n v="1957977856.9100001"/>
    <x v="9"/>
  </r>
  <r>
    <s v="BANK OF AMERICA"/>
    <x v="2"/>
    <n v="31589484729.220001"/>
    <x v="0"/>
  </r>
  <r>
    <s v="CHASE"/>
    <x v="2"/>
    <n v="26773551949.470001"/>
    <x v="1"/>
  </r>
  <r>
    <s v="CWB"/>
    <x v="2"/>
    <n v="25312850976.130001"/>
    <x v="2"/>
  </r>
  <r>
    <s v="WAMU"/>
    <x v="2"/>
    <n v="19350033281.610001"/>
    <x v="3"/>
  </r>
  <r>
    <s v="ALLY"/>
    <x v="2"/>
    <n v="6553272141.8500004"/>
    <x v="4"/>
  </r>
  <r>
    <s v="FLAGSTAR"/>
    <x v="2"/>
    <n v="5198344897.3400002"/>
    <x v="5"/>
  </r>
  <r>
    <s v="CITI"/>
    <x v="2"/>
    <n v="3791741304.1500001"/>
    <x v="6"/>
  </r>
  <r>
    <s v="FIRST BANK OF TENNESSEE"/>
    <x v="2"/>
    <n v="3097950638.54"/>
    <x v="7"/>
  </r>
  <r>
    <s v="WELLS FARGO"/>
    <x v="2"/>
    <n v="2957240670.1599998"/>
    <x v="8"/>
  </r>
  <r>
    <s v="OHIO SAVINGS BANK"/>
    <x v="2"/>
    <n v="1897629658.1199999"/>
    <x v="9"/>
  </r>
  <r>
    <s v="CHASE"/>
    <x v="3"/>
    <n v="23343172196.529999"/>
    <x v="0"/>
  </r>
  <r>
    <s v="BANK OF AMERICA"/>
    <x v="3"/>
    <n v="23275697073.029999"/>
    <x v="1"/>
  </r>
  <r>
    <s v="CWB"/>
    <x v="3"/>
    <n v="19826816440.5"/>
    <x v="2"/>
  </r>
  <r>
    <s v="WAMU"/>
    <x v="3"/>
    <n v="14426975099.549999"/>
    <x v="3"/>
  </r>
  <r>
    <s v="ALLY"/>
    <x v="3"/>
    <n v="7515096015.8900003"/>
    <x v="4"/>
  </r>
  <r>
    <s v="FLAGSTAR"/>
    <x v="3"/>
    <n v="5929568065.8800001"/>
    <x v="5"/>
  </r>
  <r>
    <s v="FIRST BANK OF TENNESSEE"/>
    <x v="3"/>
    <n v="4567955305.6700001"/>
    <x v="6"/>
  </r>
  <r>
    <s v="CITI"/>
    <x v="3"/>
    <n v="4028777568.02"/>
    <x v="7"/>
  </r>
  <r>
    <s v="WELLS FARGO"/>
    <x v="3"/>
    <n v="3062034416.1900001"/>
    <x v="8"/>
  </r>
  <r>
    <s v="IRWIN"/>
    <x v="3"/>
    <n v="2004877979.8800001"/>
    <x v="9"/>
  </r>
  <r>
    <s v="CHASE"/>
    <x v="4"/>
    <n v="31820990055.02"/>
    <x v="0"/>
  </r>
  <r>
    <s v="WAMU"/>
    <x v="4"/>
    <n v="23304462130.580002"/>
    <x v="1"/>
  </r>
  <r>
    <s v="BANK OF AMERICA"/>
    <x v="4"/>
    <n v="19607994570.57"/>
    <x v="2"/>
  </r>
  <r>
    <s v="CWB"/>
    <x v="4"/>
    <n v="15233136435.33"/>
    <x v="3"/>
  </r>
  <r>
    <s v="ALLY"/>
    <x v="4"/>
    <n v="8298069354.0699997"/>
    <x v="4"/>
  </r>
  <r>
    <s v="CITI"/>
    <x v="4"/>
    <n v="5956711121.5"/>
    <x v="5"/>
  </r>
  <r>
    <s v="FLAGSTAR"/>
    <x v="4"/>
    <n v="3618514005.9400001"/>
    <x v="6"/>
  </r>
  <r>
    <s v="WELLS FARGO"/>
    <x v="4"/>
    <n v="3106236145.0700002"/>
    <x v="7"/>
  </r>
  <r>
    <s v="FIRST BANK OF TENNESSEE"/>
    <x v="4"/>
    <n v="2584077491.52"/>
    <x v="8"/>
  </r>
  <r>
    <s v="SUNTRUST"/>
    <x v="4"/>
    <n v="2423012172.8200002"/>
    <x v="9"/>
  </r>
  <r>
    <s v="BANK OF AMERICA"/>
    <x v="5"/>
    <n v="14035831776.82"/>
    <x v="0"/>
  </r>
  <r>
    <s v="CHASE"/>
    <x v="5"/>
    <n v="13967974843.139999"/>
    <x v="1"/>
  </r>
  <r>
    <s v="WAMU"/>
    <x v="5"/>
    <n v="11162561398.85"/>
    <x v="2"/>
  </r>
  <r>
    <s v="CWB"/>
    <x v="5"/>
    <n v="11145599480.370001"/>
    <x v="3"/>
  </r>
  <r>
    <s v="ALLY"/>
    <x v="5"/>
    <n v="7145846167.6000004"/>
    <x v="4"/>
  </r>
  <r>
    <s v="CITI"/>
    <x v="5"/>
    <n v="5672773548.6700001"/>
    <x v="5"/>
  </r>
  <r>
    <s v="WELLS FARGO"/>
    <x v="5"/>
    <n v="4312143095.29"/>
    <x v="6"/>
  </r>
  <r>
    <s v="OHIO SAVINGS BANK"/>
    <x v="5"/>
    <n v="1885440241.96"/>
    <x v="7"/>
  </r>
  <r>
    <s v="FLAGSTAR"/>
    <x v="5"/>
    <n v="1663051773.1099999"/>
    <x v="8"/>
  </r>
  <r>
    <s v="SUNTRUST"/>
    <x v="5"/>
    <n v="1617063031.6199999"/>
    <x v="9"/>
  </r>
  <r>
    <s v="CHASE"/>
    <x v="6"/>
    <n v="11117075517.34"/>
    <x v="0"/>
  </r>
  <r>
    <s v="BANK OF AMERICA"/>
    <x v="6"/>
    <n v="10254546587"/>
    <x v="1"/>
  </r>
  <r>
    <s v="WAMU"/>
    <x v="6"/>
    <n v="9589883533.4500008"/>
    <x v="2"/>
  </r>
  <r>
    <s v="CWB"/>
    <x v="6"/>
    <n v="8284866996.75"/>
    <x v="3"/>
  </r>
  <r>
    <s v="CITI"/>
    <x v="6"/>
    <n v="4786944474.4899998"/>
    <x v="4"/>
  </r>
  <r>
    <s v="ALLY"/>
    <x v="6"/>
    <n v="4320462524.4099998"/>
    <x v="5"/>
  </r>
  <r>
    <s v="SUNTRUST"/>
    <x v="6"/>
    <n v="1782826073.9200001"/>
    <x v="6"/>
  </r>
  <r>
    <s v="FLAGSTAR"/>
    <x v="6"/>
    <n v="1667103888.1500001"/>
    <x v="7"/>
  </r>
  <r>
    <s v="WELLS FARGO"/>
    <x v="6"/>
    <n v="1531991100.9300001"/>
    <x v="8"/>
  </r>
  <r>
    <s v="OHIO SAVINGS BANK"/>
    <x v="6"/>
    <n v="1527950917.3199999"/>
    <x v="9"/>
  </r>
  <r>
    <s v="BANK OF AMERICA"/>
    <x v="7"/>
    <n v="13196343605.73"/>
    <x v="0"/>
  </r>
  <r>
    <s v="CWB"/>
    <x v="7"/>
    <n v="11409757594.76"/>
    <x v="1"/>
  </r>
  <r>
    <s v="CHASE"/>
    <x v="7"/>
    <n v="9311164762.7999992"/>
    <x v="2"/>
  </r>
  <r>
    <s v="WAMU"/>
    <x v="7"/>
    <n v="8617995788.6800003"/>
    <x v="3"/>
  </r>
  <r>
    <s v="ALLY"/>
    <x v="7"/>
    <n v="3151419601.3600001"/>
    <x v="4"/>
  </r>
  <r>
    <s v="WELLS FARGO"/>
    <x v="7"/>
    <n v="2478144609.0799999"/>
    <x v="5"/>
  </r>
  <r>
    <s v="CITI"/>
    <x v="7"/>
    <n v="2334610514.6199999"/>
    <x v="6"/>
  </r>
  <r>
    <s v="FLAGSTAR"/>
    <x v="7"/>
    <n v="1254293674.6300001"/>
    <x v="7"/>
  </r>
  <r>
    <s v="CHARTER ONE MORTGAGE CORP."/>
    <x v="7"/>
    <n v="1084814450.73"/>
    <x v="8"/>
  </r>
  <r>
    <s v="OHIO SAVINGS BANK"/>
    <x v="7"/>
    <n v="980747613.04999995"/>
    <x v="9"/>
  </r>
  <r>
    <s v="BANK OF AMERICA"/>
    <x v="8"/>
    <n v="11231015625.76"/>
    <x v="0"/>
  </r>
  <r>
    <s v="CWB"/>
    <x v="8"/>
    <n v="9452100315.2600002"/>
    <x v="1"/>
  </r>
  <r>
    <s v="CHASE"/>
    <x v="8"/>
    <n v="4530064544.6499996"/>
    <x v="2"/>
  </r>
  <r>
    <s v="WAMU"/>
    <x v="8"/>
    <n v="4417879288.3599997"/>
    <x v="3"/>
  </r>
  <r>
    <s v="CITI"/>
    <x v="8"/>
    <n v="2368138219.3200002"/>
    <x v="4"/>
  </r>
  <r>
    <s v="ALLY"/>
    <x v="8"/>
    <n v="2100740735.3499999"/>
    <x v="5"/>
  </r>
  <r>
    <s v="WELLS FARGO"/>
    <x v="8"/>
    <n v="1872089561.9200001"/>
    <x v="6"/>
  </r>
  <r>
    <s v="FLAGSTAR"/>
    <x v="8"/>
    <n v="1616933411.3"/>
    <x v="7"/>
  </r>
  <r>
    <s v="ABM"/>
    <x v="8"/>
    <n v="1147507516.5799999"/>
    <x v="8"/>
  </r>
  <r>
    <s v="SUNTRUST"/>
    <x v="8"/>
    <n v="1102545266.3"/>
    <x v="9"/>
  </r>
  <r>
    <s v="BANK OF AMERICA"/>
    <x v="9"/>
    <n v="12648473634.91"/>
    <x v="0"/>
  </r>
  <r>
    <s v="CWB"/>
    <x v="9"/>
    <n v="11307603614.940001"/>
    <x v="1"/>
  </r>
  <r>
    <s v="CHASE"/>
    <x v="9"/>
    <n v="3475012158.8600001"/>
    <x v="2"/>
  </r>
  <r>
    <s v="WAMU"/>
    <x v="9"/>
    <n v="3105251049.5100002"/>
    <x v="3"/>
  </r>
  <r>
    <s v="WELLS FARGO"/>
    <x v="9"/>
    <n v="2600310060.71"/>
    <x v="4"/>
  </r>
  <r>
    <s v="CITI"/>
    <x v="9"/>
    <n v="2487358580.54"/>
    <x v="5"/>
  </r>
  <r>
    <s v="ALLY"/>
    <x v="9"/>
    <n v="1435016521.97"/>
    <x v="6"/>
  </r>
  <r>
    <s v="FLAGSTAR"/>
    <x v="9"/>
    <n v="1294632427.0599999"/>
    <x v="7"/>
  </r>
  <r>
    <s v="SUNTRUST"/>
    <x v="9"/>
    <n v="979260156.20000005"/>
    <x v="8"/>
  </r>
  <r>
    <s v="OHIO SAVINGS BANK"/>
    <x v="9"/>
    <n v="726244089.71000004"/>
    <x v="9"/>
  </r>
  <r>
    <s v="BANK OF AMERICA"/>
    <x v="10"/>
    <n v="13767718999.52"/>
    <x v="0"/>
  </r>
  <r>
    <s v="CWB"/>
    <x v="10"/>
    <n v="11373820582.950001"/>
    <x v="1"/>
  </r>
  <r>
    <s v="CITI"/>
    <x v="10"/>
    <n v="2284894619.5900002"/>
    <x v="2"/>
  </r>
  <r>
    <s v="ALLY"/>
    <x v="10"/>
    <n v="2008197969.97"/>
    <x v="3"/>
  </r>
  <r>
    <s v="CHASE"/>
    <x v="10"/>
    <n v="1849033628.73"/>
    <x v="4"/>
  </r>
  <r>
    <s v="FLAGSTAR"/>
    <x v="10"/>
    <n v="1302384256.4400001"/>
    <x v="5"/>
  </r>
  <r>
    <s v="WELLS FARGO"/>
    <x v="10"/>
    <n v="1154919820.49"/>
    <x v="6"/>
  </r>
  <r>
    <s v="WAMU"/>
    <x v="10"/>
    <n v="1116001703.6800001"/>
    <x v="7"/>
  </r>
  <r>
    <s v="OHIO SAVINGS BANK"/>
    <x v="10"/>
    <n v="771109081.96000004"/>
    <x v="8"/>
  </r>
  <r>
    <s v="FIRST BANK OF TENNESSEE"/>
    <x v="10"/>
    <n v="758406395.63999999"/>
    <x v="9"/>
  </r>
  <r>
    <s v="BANK OF AMERICA"/>
    <x v="11"/>
    <n v="16189427785.290001"/>
    <x v="0"/>
  </r>
  <r>
    <s v="CWB"/>
    <x v="11"/>
    <n v="11452206892.49"/>
    <x v="1"/>
  </r>
  <r>
    <s v="CHASE"/>
    <x v="11"/>
    <n v="9504942509.5300007"/>
    <x v="2"/>
  </r>
  <r>
    <s v="WAMU"/>
    <x v="11"/>
    <n v="8971864064.2900009"/>
    <x v="3"/>
  </r>
  <r>
    <s v="CITI"/>
    <x v="11"/>
    <n v="3285032961.6599998"/>
    <x v="4"/>
  </r>
  <r>
    <s v="FLAGSTAR"/>
    <x v="11"/>
    <n v="1595357433.5999999"/>
    <x v="5"/>
  </r>
  <r>
    <s v="ALLY"/>
    <x v="11"/>
    <n v="1453780757.1600001"/>
    <x v="6"/>
  </r>
  <r>
    <s v="FIRST BANK OF TENNESSEE"/>
    <x v="11"/>
    <n v="1051966876.52"/>
    <x v="7"/>
  </r>
  <r>
    <s v="SUNTRUST"/>
    <x v="11"/>
    <n v="1041533333.22"/>
    <x v="8"/>
  </r>
  <r>
    <s v="OHIO SAVINGS BANK"/>
    <x v="11"/>
    <n v="991309388.50999999"/>
    <x v="9"/>
  </r>
  <r>
    <s v="BANK OF AMERICA"/>
    <x v="12"/>
    <n v="15256199593.17"/>
    <x v="0"/>
  </r>
  <r>
    <s v="CWB"/>
    <x v="12"/>
    <n v="10261824878.860001"/>
    <x v="1"/>
  </r>
  <r>
    <s v="CHASE"/>
    <x v="12"/>
    <n v="6706818586.9700003"/>
    <x v="2"/>
  </r>
  <r>
    <s v="WAMU"/>
    <x v="12"/>
    <n v="5955115177.5200005"/>
    <x v="3"/>
  </r>
  <r>
    <s v="CITI"/>
    <x v="12"/>
    <n v="3529357478.5999999"/>
    <x v="4"/>
  </r>
  <r>
    <s v="ALLY"/>
    <x v="12"/>
    <n v="2787328884.0300002"/>
    <x v="5"/>
  </r>
  <r>
    <s v="FLAGSTAR"/>
    <x v="12"/>
    <n v="1965057030.0799999"/>
    <x v="6"/>
  </r>
  <r>
    <s v="FIRST BANK OF TENNESSEE"/>
    <x v="12"/>
    <n v="1240838109.6500001"/>
    <x v="7"/>
  </r>
  <r>
    <s v="OHIO SAVINGS BANK"/>
    <x v="12"/>
    <n v="896114085.15999997"/>
    <x v="8"/>
  </r>
  <r>
    <s v="SUNTRUST"/>
    <x v="12"/>
    <n v="843678740.34000003"/>
    <x v="9"/>
  </r>
  <r>
    <s v="BANK OF AMERICA"/>
    <x v="13"/>
    <n v="12407380467.74"/>
    <x v="0"/>
  </r>
  <r>
    <s v="CWB"/>
    <x v="13"/>
    <n v="9249527769.5100002"/>
    <x v="1"/>
  </r>
  <r>
    <s v="CHASE"/>
    <x v="13"/>
    <n v="7396016245.1400003"/>
    <x v="2"/>
  </r>
  <r>
    <s v="WAMU"/>
    <x v="13"/>
    <n v="5987766742.6999998"/>
    <x v="3"/>
  </r>
  <r>
    <s v="CITI"/>
    <x v="13"/>
    <n v="3503814389.2600002"/>
    <x v="4"/>
  </r>
  <r>
    <s v="ALLY"/>
    <x v="13"/>
    <n v="2115295841.5"/>
    <x v="5"/>
  </r>
  <r>
    <s v="WELLS FARGO"/>
    <x v="13"/>
    <n v="1597395760.1099999"/>
    <x v="6"/>
  </r>
  <r>
    <s v="FLAGSTAR"/>
    <x v="13"/>
    <n v="1433903943.5799999"/>
    <x v="7"/>
  </r>
  <r>
    <s v="OHIO SAVINGS BANK"/>
    <x v="13"/>
    <n v="1210792209.96"/>
    <x v="8"/>
  </r>
  <r>
    <s v="FIRST BANK OF TENNESSEE"/>
    <x v="13"/>
    <n v="949320265.55999994"/>
    <x v="9"/>
  </r>
  <r>
    <s v="BANK OF AMERICA"/>
    <x v="14"/>
    <n v="9536604948.9400005"/>
    <x v="0"/>
  </r>
  <r>
    <s v="CWB"/>
    <x v="14"/>
    <n v="7770091037.8599997"/>
    <x v="1"/>
  </r>
  <r>
    <s v="CHASE"/>
    <x v="14"/>
    <n v="5574591540.25"/>
    <x v="2"/>
  </r>
  <r>
    <s v="WAMU"/>
    <x v="14"/>
    <n v="4380249369.75"/>
    <x v="3"/>
  </r>
  <r>
    <s v="CITI"/>
    <x v="14"/>
    <n v="2181966322.8899999"/>
    <x v="4"/>
  </r>
  <r>
    <s v="ALLY"/>
    <x v="14"/>
    <n v="1946508724.6099999"/>
    <x v="5"/>
  </r>
  <r>
    <s v="SUNTRUST"/>
    <x v="14"/>
    <n v="979790921.73000002"/>
    <x v="6"/>
  </r>
  <r>
    <s v="FLAGSTAR"/>
    <x v="14"/>
    <n v="969465042.34000003"/>
    <x v="7"/>
  </r>
  <r>
    <s v="OHIO SAVINGS BANK"/>
    <x v="14"/>
    <n v="905512217.89999998"/>
    <x v="8"/>
  </r>
  <r>
    <s v="FIRST BANK OF TENNESSEE"/>
    <x v="14"/>
    <n v="747367268.19000006"/>
    <x v="9"/>
  </r>
  <r>
    <s v="BANK OF AMERICA"/>
    <x v="15"/>
    <n v="9785050909.1900005"/>
    <x v="0"/>
  </r>
  <r>
    <s v="CWB"/>
    <x v="15"/>
    <n v="8096770488.9700003"/>
    <x v="1"/>
  </r>
  <r>
    <s v="CHASE"/>
    <x v="15"/>
    <n v="3141483417.9899998"/>
    <x v="2"/>
  </r>
  <r>
    <s v="WAMU"/>
    <x v="15"/>
    <n v="2189526792.29"/>
    <x v="3"/>
  </r>
  <r>
    <s v="CITI"/>
    <x v="15"/>
    <n v="2183486384.2600002"/>
    <x v="4"/>
  </r>
  <r>
    <s v="ALLY"/>
    <x v="15"/>
    <n v="1314841883.22"/>
    <x v="5"/>
  </r>
  <r>
    <s v="FLAGSTAR"/>
    <x v="15"/>
    <n v="977772680.30999994"/>
    <x v="6"/>
  </r>
  <r>
    <s v="SUNTRUST"/>
    <x v="15"/>
    <n v="902065292.52999997"/>
    <x v="7"/>
  </r>
  <r>
    <s v="OHIO SAVINGS BANK"/>
    <x v="15"/>
    <n v="761655238.01999998"/>
    <x v="8"/>
  </r>
  <r>
    <s v="FIRST BANK OF TENNESSEE"/>
    <x v="15"/>
    <n v="581763827.16999996"/>
    <x v="9"/>
  </r>
  <r>
    <s v="BANK OF AMERICA"/>
    <x v="16"/>
    <n v="9131387615.3299999"/>
    <x v="0"/>
  </r>
  <r>
    <s v="CWB"/>
    <x v="16"/>
    <n v="7344628182.6999998"/>
    <x v="1"/>
  </r>
  <r>
    <s v="CHASE"/>
    <x v="16"/>
    <n v="3643512500.7800002"/>
    <x v="2"/>
  </r>
  <r>
    <s v="WAMU"/>
    <x v="16"/>
    <n v="2846023471.5300002"/>
    <x v="3"/>
  </r>
  <r>
    <s v="CITI"/>
    <x v="16"/>
    <n v="2609572342.4699998"/>
    <x v="4"/>
  </r>
  <r>
    <s v="ALLY"/>
    <x v="16"/>
    <n v="1530308531.2"/>
    <x v="5"/>
  </r>
  <r>
    <s v="FLAGSTAR"/>
    <x v="16"/>
    <n v="1119369329.79"/>
    <x v="6"/>
  </r>
  <r>
    <s v="WELLS FARGO"/>
    <x v="16"/>
    <n v="1086448833.99"/>
    <x v="7"/>
  </r>
  <r>
    <s v="OHIO SAVINGS BANK"/>
    <x v="16"/>
    <n v="835517781.16999996"/>
    <x v="8"/>
  </r>
  <r>
    <s v="FIRST BANK OF TENNESSEE"/>
    <x v="16"/>
    <n v="721103970.91999996"/>
    <x v="9"/>
  </r>
  <r>
    <s v="BANK OF AMERICA"/>
    <x v="17"/>
    <n v="8238855635.6999998"/>
    <x v="0"/>
  </r>
  <r>
    <s v="CWB"/>
    <x v="17"/>
    <n v="6206174286.2700005"/>
    <x v="1"/>
  </r>
  <r>
    <s v="CHASE"/>
    <x v="17"/>
    <n v="2867262552.0799999"/>
    <x v="2"/>
  </r>
  <r>
    <s v="WAMU"/>
    <x v="17"/>
    <n v="2141612616.1400001"/>
    <x v="3"/>
  </r>
  <r>
    <s v="ALLY"/>
    <x v="17"/>
    <n v="2100084686.99"/>
    <x v="4"/>
  </r>
  <r>
    <s v="CITI"/>
    <x v="17"/>
    <n v="1273064147.8699999"/>
    <x v="5"/>
  </r>
  <r>
    <s v="WELLS FARGO"/>
    <x v="17"/>
    <n v="1204020887.5699999"/>
    <x v="6"/>
  </r>
  <r>
    <s v="FLAGSTAR"/>
    <x v="17"/>
    <n v="1038774031.25"/>
    <x v="7"/>
  </r>
  <r>
    <s v="OHIO SAVINGS BANK"/>
    <x v="17"/>
    <n v="669807736.55999994"/>
    <x v="8"/>
  </r>
  <r>
    <s v="SUNTRUST"/>
    <x v="17"/>
    <n v="580779347"/>
    <x v="9"/>
  </r>
  <r>
    <s v="BANK OF AMERICA"/>
    <x v="18"/>
    <n v="7182449750.2799997"/>
    <x v="0"/>
  </r>
  <r>
    <s v="CWB"/>
    <x v="18"/>
    <n v="5221389376.7700005"/>
    <x v="1"/>
  </r>
  <r>
    <s v="CHASE"/>
    <x v="18"/>
    <n v="3111033356.3099999"/>
    <x v="2"/>
  </r>
  <r>
    <s v="WAMU"/>
    <x v="18"/>
    <n v="2296991670.52"/>
    <x v="3"/>
  </r>
  <r>
    <s v="CITI"/>
    <x v="18"/>
    <n v="1995054103.78"/>
    <x v="4"/>
  </r>
  <r>
    <s v="ALLY"/>
    <x v="18"/>
    <n v="1933615871.8099999"/>
    <x v="5"/>
  </r>
  <r>
    <s v="WELLS FARGO"/>
    <x v="18"/>
    <n v="1783657058.3"/>
    <x v="6"/>
  </r>
  <r>
    <s v="FLAGSTAR"/>
    <x v="18"/>
    <n v="1111679216.8499999"/>
    <x v="7"/>
  </r>
  <r>
    <s v="OHIO SAVINGS BANK"/>
    <x v="18"/>
    <n v="782734237.75999999"/>
    <x v="8"/>
  </r>
  <r>
    <s v="FIRST BANK OF TENNESSEE"/>
    <x v="18"/>
    <n v="619260066.98000002"/>
    <x v="9"/>
  </r>
  <r>
    <s v="BANK OF AMERICA"/>
    <x v="19"/>
    <n v="7728778433.3199997"/>
    <x v="0"/>
  </r>
  <r>
    <s v="CWB"/>
    <x v="19"/>
    <n v="6335052438.8400002"/>
    <x v="1"/>
  </r>
  <r>
    <s v="CHASE"/>
    <x v="19"/>
    <n v="3252992728.7199998"/>
    <x v="2"/>
  </r>
  <r>
    <s v="CITI"/>
    <x v="19"/>
    <n v="2515865062.46"/>
    <x v="3"/>
  </r>
  <r>
    <s v="ALLY"/>
    <x v="19"/>
    <n v="2327791831.7600002"/>
    <x v="4"/>
  </r>
  <r>
    <s v="WAMU"/>
    <x v="19"/>
    <n v="2301561192.1199999"/>
    <x v="5"/>
  </r>
  <r>
    <s v="WELLS FARGO"/>
    <x v="19"/>
    <n v="1446986653.54"/>
    <x v="6"/>
  </r>
  <r>
    <s v="CHARTER ONE MORTGAGE CORP."/>
    <x v="19"/>
    <n v="1044130065.28"/>
    <x v="7"/>
  </r>
  <r>
    <s v="FLAGSTAR"/>
    <x v="19"/>
    <n v="893087634.78999996"/>
    <x v="8"/>
  </r>
  <r>
    <s v="OHIO SAVINGS BANK"/>
    <x v="19"/>
    <n v="673685780.14999998"/>
    <x v="9"/>
  </r>
  <r>
    <s v="BANK OF AMERICA"/>
    <x v="20"/>
    <n v="6548421686.8000002"/>
    <x v="0"/>
  </r>
  <r>
    <s v="CWB"/>
    <x v="20"/>
    <n v="4899040406.6099997"/>
    <x v="1"/>
  </r>
  <r>
    <s v="CHASE"/>
    <x v="20"/>
    <n v="3820090499.29"/>
    <x v="2"/>
  </r>
  <r>
    <s v="WAMU"/>
    <x v="20"/>
    <n v="2940366449.5"/>
    <x v="3"/>
  </r>
  <r>
    <s v="ALLY"/>
    <x v="20"/>
    <n v="2341434701.0799999"/>
    <x v="4"/>
  </r>
  <r>
    <s v="CITI"/>
    <x v="20"/>
    <n v="2186951567.29"/>
    <x v="5"/>
  </r>
  <r>
    <s v="FLAGSTAR"/>
    <x v="20"/>
    <n v="1584384715.02"/>
    <x v="6"/>
  </r>
  <r>
    <s v="WELLS FARGO"/>
    <x v="20"/>
    <n v="1193168889.51"/>
    <x v="7"/>
  </r>
  <r>
    <s v="SUNTRUST"/>
    <x v="20"/>
    <n v="878150368.83000004"/>
    <x v="8"/>
  </r>
  <r>
    <s v="OHIO SAVINGS BANK"/>
    <x v="20"/>
    <n v="680138468.63999999"/>
    <x v="9"/>
  </r>
  <r>
    <s v="BANK OF AMERICA"/>
    <x v="21"/>
    <n v="5448667036.9300003"/>
    <x v="0"/>
  </r>
  <r>
    <s v="CWB"/>
    <x v="21"/>
    <n v="4257395851.2199998"/>
    <x v="1"/>
  </r>
  <r>
    <s v="CHASE"/>
    <x v="21"/>
    <n v="3426361699.8299999"/>
    <x v="2"/>
  </r>
  <r>
    <s v="CITI"/>
    <x v="21"/>
    <n v="2345087914.6999998"/>
    <x v="3"/>
  </r>
  <r>
    <s v="WAMU"/>
    <x v="21"/>
    <n v="2288475168.52"/>
    <x v="4"/>
  </r>
  <r>
    <s v="ALLY"/>
    <x v="21"/>
    <n v="1607330806.52"/>
    <x v="5"/>
  </r>
  <r>
    <s v="WELLS FARGO"/>
    <x v="21"/>
    <n v="1346533603.22"/>
    <x v="6"/>
  </r>
  <r>
    <s v="FLAGSTAR"/>
    <x v="21"/>
    <n v="1156931085.5699999"/>
    <x v="7"/>
  </r>
  <r>
    <s v="OHIO SAVINGS BANK"/>
    <x v="21"/>
    <n v="887176881.39999998"/>
    <x v="8"/>
  </r>
  <r>
    <s v="SUNTRUST"/>
    <x v="21"/>
    <n v="665791396.12"/>
    <x v="9"/>
  </r>
  <r>
    <s v="BANK OF AMERICA"/>
    <x v="22"/>
    <n v="6200760652.5699997"/>
    <x v="0"/>
  </r>
  <r>
    <s v="CWB"/>
    <x v="22"/>
    <n v="4545288580.9300003"/>
    <x v="1"/>
  </r>
  <r>
    <s v="CHASE"/>
    <x v="22"/>
    <n v="3290452093.5100002"/>
    <x v="2"/>
  </r>
  <r>
    <s v="CITI"/>
    <x v="22"/>
    <n v="2356943759.25"/>
    <x v="3"/>
  </r>
  <r>
    <s v="WAMU"/>
    <x v="22"/>
    <n v="2240641016.6799998"/>
    <x v="4"/>
  </r>
  <r>
    <s v="ALLY"/>
    <x v="22"/>
    <n v="2162657746.1500001"/>
    <x v="5"/>
  </r>
  <r>
    <s v="FLAGSTAR"/>
    <x v="22"/>
    <n v="1240894459.51"/>
    <x v="6"/>
  </r>
  <r>
    <s v="SUNTRUST"/>
    <x v="22"/>
    <n v="1030204361.03"/>
    <x v="7"/>
  </r>
  <r>
    <s v="WELLS FARGO"/>
    <x v="22"/>
    <n v="981874479.55999994"/>
    <x v="8"/>
  </r>
  <r>
    <s v="OHIO SAVINGS BANK"/>
    <x v="22"/>
    <n v="755896256.55999994"/>
    <x v="9"/>
  </r>
  <r>
    <s v="BANK OF AMERICA"/>
    <x v="23"/>
    <n v="8249856689.5500002"/>
    <x v="0"/>
  </r>
  <r>
    <s v="CWB"/>
    <x v="23"/>
    <n v="5978111138.7600002"/>
    <x v="1"/>
  </r>
  <r>
    <s v="CITI"/>
    <x v="23"/>
    <n v="2749158412.5700002"/>
    <x v="2"/>
  </r>
  <r>
    <s v="WELLS FARGO"/>
    <x v="23"/>
    <n v="2698667569.0799999"/>
    <x v="3"/>
  </r>
  <r>
    <s v="ALLY"/>
    <x v="23"/>
    <n v="2681093688.6500001"/>
    <x v="4"/>
  </r>
  <r>
    <s v="FLAGSTAR"/>
    <x v="23"/>
    <n v="1533778537.5599999"/>
    <x v="5"/>
  </r>
  <r>
    <s v="CHASE"/>
    <x v="23"/>
    <n v="1423590125.0899999"/>
    <x v="6"/>
  </r>
  <r>
    <s v="SUNTRUST"/>
    <x v="23"/>
    <n v="1259546433.72"/>
    <x v="7"/>
  </r>
  <r>
    <s v="OHIO SAVINGS BANK"/>
    <x v="23"/>
    <n v="730140954.38"/>
    <x v="8"/>
  </r>
  <r>
    <s v="FIRST BANK OF TENNESSEE"/>
    <x v="23"/>
    <n v="695502661.55999994"/>
    <x v="9"/>
  </r>
  <r>
    <s v="BANK OF AMERICA"/>
    <x v="24"/>
    <n v="8151630322.04"/>
    <x v="0"/>
  </r>
  <r>
    <s v="CWB"/>
    <x v="24"/>
    <n v="6496219206.3999996"/>
    <x v="1"/>
  </r>
  <r>
    <s v="CITI"/>
    <x v="24"/>
    <n v="3150126026.8400002"/>
    <x v="2"/>
  </r>
  <r>
    <s v="WELLS FARGO"/>
    <x v="24"/>
    <n v="2489603680.48"/>
    <x v="3"/>
  </r>
  <r>
    <s v="CHASE"/>
    <x v="24"/>
    <n v="2108031999.3800001"/>
    <x v="4"/>
  </r>
  <r>
    <s v="ALLY"/>
    <x v="24"/>
    <n v="1560042290.1199999"/>
    <x v="5"/>
  </r>
  <r>
    <s v="SUNTRUST"/>
    <x v="24"/>
    <n v="1394421152.3599999"/>
    <x v="6"/>
  </r>
  <r>
    <s v="FLAGSTAR"/>
    <x v="24"/>
    <n v="1153524647.54"/>
    <x v="7"/>
  </r>
  <r>
    <s v="WACHOVIA"/>
    <x v="24"/>
    <n v="861824321.49000001"/>
    <x v="8"/>
  </r>
  <r>
    <s v="WAMU"/>
    <x v="24"/>
    <n v="855475060.36000001"/>
    <x v="9"/>
  </r>
  <r>
    <s v="BANK OF AMERICA"/>
    <x v="25"/>
    <n v="8430888883.8800001"/>
    <x v="0"/>
  </r>
  <r>
    <s v="CWB"/>
    <x v="25"/>
    <n v="6969425037.3100004"/>
    <x v="1"/>
  </r>
  <r>
    <s v="CITI"/>
    <x v="25"/>
    <n v="3004249409.73"/>
    <x v="2"/>
  </r>
  <r>
    <s v="WELLS FARGO"/>
    <x v="25"/>
    <n v="2018954754.2"/>
    <x v="3"/>
  </r>
  <r>
    <s v="CHASE"/>
    <x v="25"/>
    <n v="1982441542.5"/>
    <x v="4"/>
  </r>
  <r>
    <s v="ALLY"/>
    <x v="25"/>
    <n v="1723209508.3699999"/>
    <x v="5"/>
  </r>
  <r>
    <s v="SUNTRUST"/>
    <x v="25"/>
    <n v="1275430461.9200001"/>
    <x v="6"/>
  </r>
  <r>
    <s v="FLAGSTAR"/>
    <x v="25"/>
    <n v="977044639.59000003"/>
    <x v="7"/>
  </r>
  <r>
    <s v="OHIO SAVINGS BANK"/>
    <x v="25"/>
    <n v="849576275.61000001"/>
    <x v="8"/>
  </r>
  <r>
    <s v="FIRST BANK OF TENNESSEE"/>
    <x v="25"/>
    <n v="787803743.65999997"/>
    <x v="9"/>
  </r>
  <r>
    <s v="BANK OF AMERICA"/>
    <x v="26"/>
    <n v="11555724329.280001"/>
    <x v="0"/>
  </r>
  <r>
    <s v="CWB"/>
    <x v="26"/>
    <n v="10109655227.870001"/>
    <x v="1"/>
  </r>
  <r>
    <s v="WELLS FARGO"/>
    <x v="26"/>
    <n v="3487218958.5599999"/>
    <x v="2"/>
  </r>
  <r>
    <s v="CITI"/>
    <x v="26"/>
    <n v="3050278249.8699999"/>
    <x v="3"/>
  </r>
  <r>
    <s v="CHASE"/>
    <x v="26"/>
    <n v="2688700926.5599999"/>
    <x v="4"/>
  </r>
  <r>
    <s v="ALLY"/>
    <x v="26"/>
    <n v="1927742772.05"/>
    <x v="5"/>
  </r>
  <r>
    <s v="FLAGSTAR"/>
    <x v="26"/>
    <n v="1437691276.5"/>
    <x v="6"/>
  </r>
  <r>
    <s v="SUNTRUST"/>
    <x v="26"/>
    <n v="1201400093.04"/>
    <x v="7"/>
  </r>
  <r>
    <s v="WAMU"/>
    <x v="26"/>
    <n v="1113176333.8399999"/>
    <x v="8"/>
  </r>
  <r>
    <s v="FIRST BANK OF TENNESSEE"/>
    <x v="26"/>
    <n v="1074105836.53"/>
    <x v="9"/>
  </r>
  <r>
    <s v="BANK OF AMERICA"/>
    <x v="27"/>
    <n v="12483873401.42"/>
    <x v="0"/>
  </r>
  <r>
    <s v="CWB"/>
    <x v="27"/>
    <n v="10660200646.540001"/>
    <x v="1"/>
  </r>
  <r>
    <s v="WELLS FARGO"/>
    <x v="27"/>
    <n v="3665390255.1300001"/>
    <x v="2"/>
  </r>
  <r>
    <s v="CITI"/>
    <x v="27"/>
    <n v="3625468599.8899999"/>
    <x v="3"/>
  </r>
  <r>
    <s v="CHASE"/>
    <x v="27"/>
    <n v="3275805460.0100002"/>
    <x v="4"/>
  </r>
  <r>
    <s v="ALLY"/>
    <x v="27"/>
    <n v="2905608116.7800002"/>
    <x v="5"/>
  </r>
  <r>
    <s v="WAMU"/>
    <x v="27"/>
    <n v="1284343140.3699999"/>
    <x v="6"/>
  </r>
  <r>
    <s v="FLAGSTAR"/>
    <x v="27"/>
    <n v="1164280047.74"/>
    <x v="7"/>
  </r>
  <r>
    <s v="SUNTRUST"/>
    <x v="27"/>
    <n v="1156528305.9200001"/>
    <x v="8"/>
  </r>
  <r>
    <s v="FIRST BANK OF TENNESSEE"/>
    <x v="27"/>
    <n v="1112522484.8199999"/>
    <x v="9"/>
  </r>
  <r>
    <s v="BANK OF AMERICA"/>
    <x v="28"/>
    <n v="14134133218"/>
    <x v="0"/>
  </r>
  <r>
    <s v="CWB"/>
    <x v="28"/>
    <n v="11843596722.15"/>
    <x v="1"/>
  </r>
  <r>
    <s v="CITI"/>
    <x v="28"/>
    <n v="4600153330.3000002"/>
    <x v="2"/>
  </r>
  <r>
    <s v="CHASE"/>
    <x v="28"/>
    <n v="4126653580.0100002"/>
    <x v="3"/>
  </r>
  <r>
    <s v="WELLS FARGO"/>
    <x v="28"/>
    <n v="2772929966.3299999"/>
    <x v="4"/>
  </r>
  <r>
    <s v="ALLY"/>
    <x v="28"/>
    <n v="1975709975.3199999"/>
    <x v="5"/>
  </r>
  <r>
    <s v="WAMU"/>
    <x v="28"/>
    <n v="1945707796.5999999"/>
    <x v="6"/>
  </r>
  <r>
    <s v="OHIO SAVINGS BANK"/>
    <x v="28"/>
    <n v="1688999836.3399999"/>
    <x v="7"/>
  </r>
  <r>
    <s v="FLAGSTAR"/>
    <x v="28"/>
    <n v="1409329134.6700001"/>
    <x v="8"/>
  </r>
  <r>
    <s v="SUNTRUST"/>
    <x v="28"/>
    <n v="1380698248.48"/>
    <x v="9"/>
  </r>
  <r>
    <s v="BANK OF AMERICA"/>
    <x v="29"/>
    <n v="12566705288.139999"/>
    <x v="0"/>
  </r>
  <r>
    <s v="CWB"/>
    <x v="29"/>
    <n v="10651056537.49"/>
    <x v="1"/>
  </r>
  <r>
    <s v="CITI"/>
    <x v="29"/>
    <n v="2821211812.6599998"/>
    <x v="2"/>
  </r>
  <r>
    <s v="WELLS FARGO"/>
    <x v="29"/>
    <n v="2457582090.1799998"/>
    <x v="3"/>
  </r>
  <r>
    <s v="CHASE"/>
    <x v="29"/>
    <n v="2442226315.3899999"/>
    <x v="4"/>
  </r>
  <r>
    <s v="ALLY"/>
    <x v="29"/>
    <n v="1727565585.48"/>
    <x v="5"/>
  </r>
  <r>
    <s v="FLAGSTAR"/>
    <x v="29"/>
    <n v="1318196737.45"/>
    <x v="6"/>
  </r>
  <r>
    <s v="OHIO SAVINGS BANK"/>
    <x v="29"/>
    <n v="1280788007.3599999"/>
    <x v="7"/>
  </r>
  <r>
    <s v="SUNTRUST"/>
    <x v="29"/>
    <n v="1269296283.4100001"/>
    <x v="8"/>
  </r>
  <r>
    <s v="FIRST BANK OF TENNESSEE"/>
    <x v="29"/>
    <n v="805832053.38999999"/>
    <x v="9"/>
  </r>
  <r>
    <s v="CWB"/>
    <x v="30"/>
    <n v="2070651256.24"/>
    <x v="0"/>
  </r>
  <r>
    <s v="BANK OF AMERICA"/>
    <x v="30"/>
    <n v="2070651256.24"/>
    <x v="0"/>
  </r>
  <r>
    <s v="ALLY"/>
    <x v="30"/>
    <n v="725327641.04999995"/>
    <x v="2"/>
  </r>
  <r>
    <s v="OHIO SAVINGS BANK"/>
    <x v="30"/>
    <n v="538393225.62"/>
    <x v="3"/>
  </r>
  <r>
    <s v="PHH"/>
    <x v="30"/>
    <n v="387185771.39999998"/>
    <x v="4"/>
  </r>
  <r>
    <s v="FLAGSTAR"/>
    <x v="30"/>
    <n v="364911443"/>
    <x v="5"/>
  </r>
  <r>
    <s v="USAA"/>
    <x v="30"/>
    <n v="270607282.56999999"/>
    <x v="6"/>
  </r>
  <r>
    <s v="SUNTRUST"/>
    <x v="30"/>
    <n v="233071797.31999999"/>
    <x v="7"/>
  </r>
  <r>
    <s v="IRWIN"/>
    <x v="30"/>
    <n v="205137323.12"/>
    <x v="8"/>
  </r>
  <r>
    <s v="CHASE"/>
    <x v="30"/>
    <n v="66282540.439999998"/>
    <x v="9"/>
  </r>
  <r>
    <s v="BANK OF AMERICA"/>
    <x v="31"/>
    <n v="10973844334.49"/>
    <x v="0"/>
  </r>
  <r>
    <s v="CWB"/>
    <x v="31"/>
    <n v="8758732482.6900005"/>
    <x v="1"/>
  </r>
  <r>
    <s v="WELLS FARGO"/>
    <x v="31"/>
    <n v="3453825775.5799999"/>
    <x v="2"/>
  </r>
  <r>
    <s v="CHASE"/>
    <x v="31"/>
    <n v="3000853088.4299998"/>
    <x v="3"/>
  </r>
  <r>
    <s v="CITI"/>
    <x v="31"/>
    <n v="2805440695.2399998"/>
    <x v="4"/>
  </r>
  <r>
    <s v="ALLY"/>
    <x v="31"/>
    <n v="1589051101.3399999"/>
    <x v="5"/>
  </r>
  <r>
    <s v="OHIO SAVINGS BANK"/>
    <x v="31"/>
    <n v="1190759562.4300001"/>
    <x v="6"/>
  </r>
  <r>
    <s v="FLAGSTAR"/>
    <x v="31"/>
    <n v="759528959.26999998"/>
    <x v="7"/>
  </r>
  <r>
    <s v="WAMU"/>
    <x v="31"/>
    <n v="705864383.04999995"/>
    <x v="8"/>
  </r>
  <r>
    <s v="FIRST BANK OF TENNESSEE"/>
    <x v="31"/>
    <n v="696537956.32000005"/>
    <x v="9"/>
  </r>
  <r>
    <s v="BANK OF AMERICA"/>
    <x v="32"/>
    <n v="10358305289.91"/>
    <x v="0"/>
  </r>
  <r>
    <s v="CWB"/>
    <x v="32"/>
    <n v="9032989047.8700008"/>
    <x v="1"/>
  </r>
  <r>
    <s v="CITI"/>
    <x v="32"/>
    <n v="3027644368.0700002"/>
    <x v="2"/>
  </r>
  <r>
    <s v="CHASE"/>
    <x v="32"/>
    <n v="2639469374.9000001"/>
    <x v="3"/>
  </r>
  <r>
    <s v="WELLS FARGO"/>
    <x v="32"/>
    <n v="2635129657.8800001"/>
    <x v="4"/>
  </r>
  <r>
    <s v="SUNTRUST"/>
    <x v="32"/>
    <n v="2338045896.1799998"/>
    <x v="5"/>
  </r>
  <r>
    <s v="ALLY"/>
    <x v="32"/>
    <n v="1915009538.51"/>
    <x v="6"/>
  </r>
  <r>
    <s v="OHIO SAVINGS BANK"/>
    <x v="32"/>
    <n v="990721792.80999994"/>
    <x v="7"/>
  </r>
  <r>
    <s v="WAMU"/>
    <x v="32"/>
    <n v="810137866.02999997"/>
    <x v="8"/>
  </r>
  <r>
    <s v="FIRST BANK OF TENNESSEE"/>
    <x v="32"/>
    <n v="808998797.29999995"/>
    <x v="9"/>
  </r>
  <r>
    <s v="BANK OF AMERICA"/>
    <x v="33"/>
    <n v="6978704255.8400002"/>
    <x v="0"/>
  </r>
  <r>
    <s v="CWB"/>
    <x v="33"/>
    <n v="5495137439.1999998"/>
    <x v="1"/>
  </r>
  <r>
    <s v="CHASE"/>
    <x v="33"/>
    <n v="3042261494.9299998"/>
    <x v="2"/>
  </r>
  <r>
    <s v="WELLS FARGO"/>
    <x v="33"/>
    <n v="2631894145.25"/>
    <x v="3"/>
  </r>
  <r>
    <s v="CITI"/>
    <x v="33"/>
    <n v="2308312746.5500002"/>
    <x v="4"/>
  </r>
  <r>
    <s v="SUNTRUST"/>
    <x v="33"/>
    <n v="1883780544.9400001"/>
    <x v="5"/>
  </r>
  <r>
    <s v="ALLY"/>
    <x v="33"/>
    <n v="1740811595.75"/>
    <x v="6"/>
  </r>
  <r>
    <s v="WAMU"/>
    <x v="33"/>
    <n v="1589118989.3299999"/>
    <x v="7"/>
  </r>
  <r>
    <s v="INDYMAC BANK, FSB"/>
    <x v="33"/>
    <n v="1121784551.25"/>
    <x v="8"/>
  </r>
  <r>
    <s v="OHIO SAVINGS BANK"/>
    <x v="33"/>
    <n v="1120473577.1900001"/>
    <x v="9"/>
  </r>
  <r>
    <s v="BANK OF AMERICA"/>
    <x v="34"/>
    <n v="8722494308.0400009"/>
    <x v="0"/>
  </r>
  <r>
    <s v="CWB"/>
    <x v="34"/>
    <n v="7674012077.6199999"/>
    <x v="1"/>
  </r>
  <r>
    <s v="CHASE"/>
    <x v="34"/>
    <n v="2565179780.52"/>
    <x v="2"/>
  </r>
  <r>
    <s v="SUNTRUST"/>
    <x v="34"/>
    <n v="2287379973.8099999"/>
    <x v="3"/>
  </r>
  <r>
    <s v="CITI"/>
    <x v="34"/>
    <n v="2121022833.9200001"/>
    <x v="4"/>
  </r>
  <r>
    <s v="WELLS FARGO"/>
    <x v="34"/>
    <n v="1808443576.4000001"/>
    <x v="5"/>
  </r>
  <r>
    <s v="ALLY"/>
    <x v="34"/>
    <n v="1318407636.3199999"/>
    <x v="6"/>
  </r>
  <r>
    <s v="WAMU"/>
    <x v="34"/>
    <n v="1253851453.8900001"/>
    <x v="7"/>
  </r>
  <r>
    <s v="OHIO SAVINGS BANK"/>
    <x v="34"/>
    <n v="994577512.00999999"/>
    <x v="8"/>
  </r>
  <r>
    <s v="INDYMAC BANK, FSB"/>
    <x v="34"/>
    <n v="810849624.72000003"/>
    <x v="9"/>
  </r>
  <r>
    <s v="BANK OF AMERICA"/>
    <x v="35"/>
    <n v="9582564990.2199993"/>
    <x v="0"/>
  </r>
  <r>
    <s v="CWB"/>
    <x v="35"/>
    <n v="8585208581.6700001"/>
    <x v="1"/>
  </r>
  <r>
    <s v="CITI"/>
    <x v="35"/>
    <n v="3190920607.3299999"/>
    <x v="2"/>
  </r>
  <r>
    <s v="WELLS FARGO"/>
    <x v="35"/>
    <n v="3088788943.8800001"/>
    <x v="3"/>
  </r>
  <r>
    <s v="CHASE"/>
    <x v="35"/>
    <n v="2857246235.5100002"/>
    <x v="4"/>
  </r>
  <r>
    <s v="SUNTRUST"/>
    <x v="35"/>
    <n v="1855245672.23"/>
    <x v="5"/>
  </r>
  <r>
    <s v="ALLY"/>
    <x v="35"/>
    <n v="1682540462.5999999"/>
    <x v="6"/>
  </r>
  <r>
    <s v="PNC"/>
    <x v="35"/>
    <n v="1208592361.22"/>
    <x v="7"/>
  </r>
  <r>
    <s v="OHIO SAVINGS BANK"/>
    <x v="35"/>
    <n v="1106072232.51"/>
    <x v="8"/>
  </r>
  <r>
    <s v="FLAGSTAR"/>
    <x v="35"/>
    <n v="1084688488.78"/>
    <x v="9"/>
  </r>
  <r>
    <s v="BANK OF AMERICA"/>
    <x v="36"/>
    <n v="6730657877.1899996"/>
    <x v="0"/>
  </r>
  <r>
    <s v="CWB"/>
    <x v="36"/>
    <n v="5813663933.3800001"/>
    <x v="1"/>
  </r>
  <r>
    <s v="CITI"/>
    <x v="36"/>
    <n v="4271244319.7399998"/>
    <x v="2"/>
  </r>
  <r>
    <s v="ALLY"/>
    <x v="36"/>
    <n v="2990450428.04"/>
    <x v="3"/>
  </r>
  <r>
    <s v="CHASE"/>
    <x v="36"/>
    <n v="2888770196.1999998"/>
    <x v="4"/>
  </r>
  <r>
    <s v="WELLS FARGO"/>
    <x v="36"/>
    <n v="2311888321.9299998"/>
    <x v="5"/>
  </r>
  <r>
    <s v="SUNTRUST"/>
    <x v="36"/>
    <n v="2038759426.5999999"/>
    <x v="6"/>
  </r>
  <r>
    <s v="OHIO SAVINGS BANK"/>
    <x v="36"/>
    <n v="1289293850.24"/>
    <x v="7"/>
  </r>
  <r>
    <s v="FLAGSTAR"/>
    <x v="36"/>
    <n v="954021072.17999995"/>
    <x v="8"/>
  </r>
  <r>
    <s v="INDYMAC BANK, FSB"/>
    <x v="36"/>
    <n v="921241768.96000004"/>
    <x v="9"/>
  </r>
  <r>
    <s v="BANK OF AMERICA"/>
    <x v="37"/>
    <n v="8965396007.8700008"/>
    <x v="0"/>
  </r>
  <r>
    <s v="CWB"/>
    <x v="37"/>
    <n v="8021599510.5100002"/>
    <x v="1"/>
  </r>
  <r>
    <s v="CITI"/>
    <x v="37"/>
    <n v="4259554318.7399998"/>
    <x v="2"/>
  </r>
  <r>
    <s v="ALLY"/>
    <x v="37"/>
    <n v="3176378793.3400002"/>
    <x v="3"/>
  </r>
  <r>
    <s v="CHASE"/>
    <x v="37"/>
    <n v="2706201429.5500002"/>
    <x v="4"/>
  </r>
  <r>
    <s v="WELLS FARGO"/>
    <x v="37"/>
    <n v="2539917398.6199999"/>
    <x v="5"/>
  </r>
  <r>
    <s v="OHIO SAVINGS BANK"/>
    <x v="37"/>
    <n v="1567093191.0799999"/>
    <x v="6"/>
  </r>
  <r>
    <s v="SUNTRUST"/>
    <x v="37"/>
    <n v="1485499260.4200001"/>
    <x v="7"/>
  </r>
  <r>
    <s v="FLAGSTAR"/>
    <x v="37"/>
    <n v="839725062.69000006"/>
    <x v="8"/>
  </r>
  <r>
    <s v="INDYMAC BANK, FSB"/>
    <x v="37"/>
    <n v="799350786.94000006"/>
    <x v="9"/>
  </r>
  <r>
    <s v="BANK OF AMERICA"/>
    <x v="38"/>
    <n v="7937895190.9099998"/>
    <x v="0"/>
  </r>
  <r>
    <s v="CWB"/>
    <x v="38"/>
    <n v="7482650729.9300003"/>
    <x v="1"/>
  </r>
  <r>
    <s v="CITI"/>
    <x v="38"/>
    <n v="3924938406.6100001"/>
    <x v="2"/>
  </r>
  <r>
    <s v="WELLS FARGO"/>
    <x v="38"/>
    <n v="2443448786.8000002"/>
    <x v="3"/>
  </r>
  <r>
    <s v="CHASE"/>
    <x v="38"/>
    <n v="2024818342.8499999"/>
    <x v="4"/>
  </r>
  <r>
    <s v="ALLY"/>
    <x v="38"/>
    <n v="1925461790.45"/>
    <x v="5"/>
  </r>
  <r>
    <s v="SUNTRUST"/>
    <x v="38"/>
    <n v="1752991870.7"/>
    <x v="6"/>
  </r>
  <r>
    <s v="FIRST BANK OF TENNESSEE"/>
    <x v="38"/>
    <n v="914924139.89999998"/>
    <x v="7"/>
  </r>
  <r>
    <s v="OHIO SAVINGS BANK"/>
    <x v="38"/>
    <n v="854038458.64999998"/>
    <x v="8"/>
  </r>
  <r>
    <s v="FLAGSTAR"/>
    <x v="38"/>
    <n v="813164836.91999996"/>
    <x v="9"/>
  </r>
  <r>
    <s v="BANK OF AMERICA"/>
    <x v="39"/>
    <n v="12881299848.049999"/>
    <x v="0"/>
  </r>
  <r>
    <s v="CWB"/>
    <x v="39"/>
    <n v="11793300856.860001"/>
    <x v="1"/>
  </r>
  <r>
    <s v="CITI"/>
    <x v="39"/>
    <n v="3004026765.3299999"/>
    <x v="2"/>
  </r>
  <r>
    <s v="WELLS FARGO"/>
    <x v="39"/>
    <n v="2534609295.7800002"/>
    <x v="3"/>
  </r>
  <r>
    <s v="CHASE"/>
    <x v="39"/>
    <n v="2083799576.1600001"/>
    <x v="4"/>
  </r>
  <r>
    <s v="ALLY"/>
    <x v="39"/>
    <n v="1937299624.6199999"/>
    <x v="5"/>
  </r>
  <r>
    <s v="SUNTRUST"/>
    <x v="39"/>
    <n v="1566716834.5999999"/>
    <x v="6"/>
  </r>
  <r>
    <s v="INDYMAC BANK, FSB"/>
    <x v="39"/>
    <n v="1043534022.4400001"/>
    <x v="7"/>
  </r>
  <r>
    <s v="OHIO SAVINGS BANK"/>
    <x v="39"/>
    <n v="1030972708.28"/>
    <x v="8"/>
  </r>
  <r>
    <s v="PNC"/>
    <x v="39"/>
    <n v="960615545.09000003"/>
    <x v="9"/>
  </r>
  <r>
    <s v="BANK OF AMERICA"/>
    <x v="40"/>
    <n v="11369922533.33"/>
    <x v="0"/>
  </r>
  <r>
    <s v="CWB"/>
    <x v="40"/>
    <n v="10270535420.92"/>
    <x v="1"/>
  </r>
  <r>
    <s v="CITI"/>
    <x v="40"/>
    <n v="3359214384.9000001"/>
    <x v="2"/>
  </r>
  <r>
    <s v="WELLS FARGO"/>
    <x v="40"/>
    <n v="2906462369.3699999"/>
    <x v="3"/>
  </r>
  <r>
    <s v="ALLY"/>
    <x v="40"/>
    <n v="2246071129.2399998"/>
    <x v="4"/>
  </r>
  <r>
    <s v="CHASE"/>
    <x v="40"/>
    <n v="2013738300.99"/>
    <x v="5"/>
  </r>
  <r>
    <s v="SUNTRUST"/>
    <x v="40"/>
    <n v="1843249690.05"/>
    <x v="6"/>
  </r>
  <r>
    <s v="OHIO SAVINGS BANK"/>
    <x v="40"/>
    <n v="1040302257.8200001"/>
    <x v="7"/>
  </r>
  <r>
    <s v="PNC"/>
    <x v="40"/>
    <n v="781372045.30999994"/>
    <x v="8"/>
  </r>
  <r>
    <s v="FIRST BANK OF TENNESSEE"/>
    <x v="40"/>
    <n v="751171822.16999996"/>
    <x v="9"/>
  </r>
  <r>
    <s v="BANK OF AMERICA"/>
    <x v="41"/>
    <n v="12068562737.24"/>
    <x v="0"/>
  </r>
  <r>
    <s v="CWB"/>
    <x v="41"/>
    <n v="11681700587.98"/>
    <x v="1"/>
  </r>
  <r>
    <s v="WELLS FARGO"/>
    <x v="41"/>
    <n v="3297592150.5500002"/>
    <x v="2"/>
  </r>
  <r>
    <s v="SUNTRUST"/>
    <x v="41"/>
    <n v="2997445484.7600002"/>
    <x v="3"/>
  </r>
  <r>
    <s v="CITI"/>
    <x v="41"/>
    <n v="2937160565.1900001"/>
    <x v="4"/>
  </r>
  <r>
    <s v="CHASE"/>
    <x v="41"/>
    <n v="2688316844.1700001"/>
    <x v="5"/>
  </r>
  <r>
    <s v="ALLY"/>
    <x v="41"/>
    <n v="1624971289.8099999"/>
    <x v="6"/>
  </r>
  <r>
    <s v="OHIO SAVINGS BANK"/>
    <x v="41"/>
    <n v="1126766081.78"/>
    <x v="7"/>
  </r>
  <r>
    <s v="WACHOVIA"/>
    <x v="41"/>
    <n v="964007367.75999999"/>
    <x v="8"/>
  </r>
  <r>
    <s v="PNC"/>
    <x v="41"/>
    <n v="893985913.90999997"/>
    <x v="9"/>
  </r>
  <r>
    <s v="BANK OF AMERICA"/>
    <x v="42"/>
    <n v="14906336717.870001"/>
    <x v="0"/>
  </r>
  <r>
    <s v="CWB"/>
    <x v="42"/>
    <n v="14601314801.620001"/>
    <x v="1"/>
  </r>
  <r>
    <s v="CITI"/>
    <x v="42"/>
    <n v="2925521620.21"/>
    <x v="2"/>
  </r>
  <r>
    <s v="ALLY"/>
    <x v="42"/>
    <n v="2460469083.1599998"/>
    <x v="3"/>
  </r>
  <r>
    <s v="WELLS FARGO"/>
    <x v="42"/>
    <n v="2441724887.9200001"/>
    <x v="4"/>
  </r>
  <r>
    <s v="CHASE"/>
    <x v="42"/>
    <n v="2138867218.3299999"/>
    <x v="5"/>
  </r>
  <r>
    <s v="SUNTRUST"/>
    <x v="42"/>
    <n v="1681152905.8"/>
    <x v="6"/>
  </r>
  <r>
    <s v="INDYMAC BANK, FSB"/>
    <x v="42"/>
    <n v="1318374534.23"/>
    <x v="7"/>
  </r>
  <r>
    <s v="OHIO SAVINGS BANK"/>
    <x v="42"/>
    <n v="1083466444.1900001"/>
    <x v="8"/>
  </r>
  <r>
    <s v="PNC"/>
    <x v="42"/>
    <n v="901782761.33000004"/>
    <x v="9"/>
  </r>
  <r>
    <s v="BANK OF AMERICA"/>
    <x v="43"/>
    <n v="11915399053.1"/>
    <x v="0"/>
  </r>
  <r>
    <s v="CWB"/>
    <x v="43"/>
    <n v="9206220291.1299992"/>
    <x v="1"/>
  </r>
  <r>
    <s v="CITI"/>
    <x v="43"/>
    <n v="3890208424.1700001"/>
    <x v="2"/>
  </r>
  <r>
    <s v="CHASE"/>
    <x v="43"/>
    <n v="3732500424.5999999"/>
    <x v="3"/>
  </r>
  <r>
    <s v="WELLS FARGO"/>
    <x v="43"/>
    <n v="2985315385.3099999"/>
    <x v="4"/>
  </r>
  <r>
    <s v="SUNTRUST"/>
    <x v="43"/>
    <n v="2779190717.4200001"/>
    <x v="5"/>
  </r>
  <r>
    <s v="ALLY"/>
    <x v="43"/>
    <n v="1783123280.8499999"/>
    <x v="6"/>
  </r>
  <r>
    <s v="OHIO SAVINGS BANK"/>
    <x v="43"/>
    <n v="1400648261.4300001"/>
    <x v="7"/>
  </r>
  <r>
    <s v="PNC"/>
    <x v="43"/>
    <n v="1076526508.7"/>
    <x v="8"/>
  </r>
  <r>
    <s v="FLAGSTAR"/>
    <x v="43"/>
    <n v="930831114.73000002"/>
    <x v="9"/>
  </r>
  <r>
    <s v="BANK OF AMERICA"/>
    <x v="44"/>
    <n v="13440547910.5"/>
    <x v="0"/>
  </r>
  <r>
    <s v="CWB"/>
    <x v="44"/>
    <n v="12829856145.469999"/>
    <x v="1"/>
  </r>
  <r>
    <s v="CITI"/>
    <x v="44"/>
    <n v="3851199610.8499999"/>
    <x v="2"/>
  </r>
  <r>
    <s v="CHASE"/>
    <x v="44"/>
    <n v="3377397645.52"/>
    <x v="3"/>
  </r>
  <r>
    <s v="WELLS FARGO"/>
    <x v="44"/>
    <n v="2957607339.6300001"/>
    <x v="4"/>
  </r>
  <r>
    <s v="INDYMAC BANK, FSB"/>
    <x v="44"/>
    <n v="2050143179.3699999"/>
    <x v="5"/>
  </r>
  <r>
    <s v="SUNTRUST"/>
    <x v="44"/>
    <n v="1966470786.1099999"/>
    <x v="6"/>
  </r>
  <r>
    <s v="ALLY"/>
    <x v="44"/>
    <n v="1754639598.27"/>
    <x v="7"/>
  </r>
  <r>
    <s v="OHIO SAVINGS BANK"/>
    <x v="44"/>
    <n v="1447487916.3299999"/>
    <x v="8"/>
  </r>
  <r>
    <s v="FIRST BANK OF TENNESSEE"/>
    <x v="44"/>
    <n v="936668361.33000004"/>
    <x v="9"/>
  </r>
  <r>
    <s v="BANK OF AMERICA"/>
    <x v="45"/>
    <n v="14589989652.360001"/>
    <x v="0"/>
  </r>
  <r>
    <s v="CWB"/>
    <x v="45"/>
    <n v="14193408528.25"/>
    <x v="1"/>
  </r>
  <r>
    <s v="CITI"/>
    <x v="45"/>
    <n v="3561719799.3400002"/>
    <x v="2"/>
  </r>
  <r>
    <s v="CHASE"/>
    <x v="45"/>
    <n v="3438763278.0799999"/>
    <x v="3"/>
  </r>
  <r>
    <s v="WELLS FARGO"/>
    <x v="45"/>
    <n v="2400431666.98"/>
    <x v="4"/>
  </r>
  <r>
    <s v="SUNTRUST"/>
    <x v="45"/>
    <n v="2073037813.0799999"/>
    <x v="5"/>
  </r>
  <r>
    <s v="AMTRUST"/>
    <x v="45"/>
    <n v="1477365224.1900001"/>
    <x v="6"/>
  </r>
  <r>
    <s v="ALLY"/>
    <x v="45"/>
    <n v="1294136276.6199999"/>
    <x v="7"/>
  </r>
  <r>
    <s v="FIRST BANK OF TENNESSEE"/>
    <x v="45"/>
    <n v="1081593381.96"/>
    <x v="8"/>
  </r>
  <r>
    <s v="PNC"/>
    <x v="45"/>
    <n v="1052940216.6"/>
    <x v="9"/>
  </r>
  <r>
    <s v="BANK OF AMERICA"/>
    <x v="46"/>
    <n v="15230409440.049999"/>
    <x v="0"/>
  </r>
  <r>
    <s v="CWB"/>
    <x v="46"/>
    <n v="14703375942.889999"/>
    <x v="1"/>
  </r>
  <r>
    <s v="CHASE"/>
    <x v="46"/>
    <n v="4704588320.8599997"/>
    <x v="2"/>
  </r>
  <r>
    <s v="WELLS FARGO"/>
    <x v="46"/>
    <n v="3991515759.6700001"/>
    <x v="3"/>
  </r>
  <r>
    <s v="CITI"/>
    <x v="46"/>
    <n v="3191185857.5799999"/>
    <x v="4"/>
  </r>
  <r>
    <s v="SUNTRUST"/>
    <x v="46"/>
    <n v="3057896153.2199998"/>
    <x v="5"/>
  </r>
  <r>
    <s v="ALLY"/>
    <x v="46"/>
    <n v="2404088259.6199999"/>
    <x v="6"/>
  </r>
  <r>
    <s v="INDYMAC BANK, FSB"/>
    <x v="46"/>
    <n v="1615440788.0799999"/>
    <x v="7"/>
  </r>
  <r>
    <s v="AMTRUST"/>
    <x v="46"/>
    <n v="1553581133.7"/>
    <x v="8"/>
  </r>
  <r>
    <s v="FLAGSTAR"/>
    <x v="46"/>
    <n v="1300992636.03"/>
    <x v="9"/>
  </r>
  <r>
    <s v="BANK OF AMERICA"/>
    <x v="47"/>
    <n v="17586653532.040001"/>
    <x v="0"/>
  </r>
  <r>
    <s v="CWB"/>
    <x v="47"/>
    <n v="17142662362.059999"/>
    <x v="1"/>
  </r>
  <r>
    <s v="CHASE"/>
    <x v="47"/>
    <n v="4300836247.1300001"/>
    <x v="2"/>
  </r>
  <r>
    <s v="CITI"/>
    <x v="47"/>
    <n v="3836560339.73"/>
    <x v="3"/>
  </r>
  <r>
    <s v="WELLS FARGO"/>
    <x v="47"/>
    <n v="2731478604.6999998"/>
    <x v="4"/>
  </r>
  <r>
    <s v="SUNTRUST"/>
    <x v="47"/>
    <n v="2307181922.4299998"/>
    <x v="5"/>
  </r>
  <r>
    <s v="ALLY"/>
    <x v="47"/>
    <n v="2278819237.3600001"/>
    <x v="6"/>
  </r>
  <r>
    <s v="AMTRUST"/>
    <x v="47"/>
    <n v="1906852083.95"/>
    <x v="7"/>
  </r>
  <r>
    <s v="PNC"/>
    <x v="47"/>
    <n v="1394224530.9200001"/>
    <x v="8"/>
  </r>
  <r>
    <s v="INDYMAC BANK, FSB"/>
    <x v="47"/>
    <n v="1316223375.74"/>
    <x v="9"/>
  </r>
  <r>
    <s v="BANK OF AMERICA"/>
    <x v="48"/>
    <n v="15188068031.41"/>
    <x v="0"/>
  </r>
  <r>
    <s v="CWB"/>
    <x v="48"/>
    <n v="14698388639.51"/>
    <x v="1"/>
  </r>
  <r>
    <s v="WELLS FARGO"/>
    <x v="48"/>
    <n v="6018415234.2799997"/>
    <x v="2"/>
  </r>
  <r>
    <s v="CHASE"/>
    <x v="48"/>
    <n v="4368969208.9799995"/>
    <x v="3"/>
  </r>
  <r>
    <s v="CITI"/>
    <x v="48"/>
    <n v="3303187212.9200001"/>
    <x v="4"/>
  </r>
  <r>
    <s v="SUNTRUST"/>
    <x v="48"/>
    <n v="2842855885.04"/>
    <x v="5"/>
  </r>
  <r>
    <s v="INDYMAC BANK, FSB"/>
    <x v="48"/>
    <n v="2292513360.1999998"/>
    <x v="6"/>
  </r>
  <r>
    <s v="ALLY"/>
    <x v="48"/>
    <n v="1841737385.8499999"/>
    <x v="7"/>
  </r>
  <r>
    <s v="ABM"/>
    <x v="48"/>
    <n v="1807624275.1300001"/>
    <x v="8"/>
  </r>
  <r>
    <s v="AMTRUST"/>
    <x v="48"/>
    <n v="1714739832.1500001"/>
    <x v="9"/>
  </r>
  <r>
    <s v="BANK OF AMERICA"/>
    <x v="49"/>
    <n v="13829268759.76"/>
    <x v="0"/>
  </r>
  <r>
    <s v="CWB"/>
    <x v="49"/>
    <n v="10643238075.370001"/>
    <x v="1"/>
  </r>
  <r>
    <s v="WELLS FARGO"/>
    <x v="49"/>
    <n v="5143069384.9799995"/>
    <x v="2"/>
  </r>
  <r>
    <s v="CHASE"/>
    <x v="49"/>
    <n v="4890121630.1499996"/>
    <x v="3"/>
  </r>
  <r>
    <s v="CITI"/>
    <x v="49"/>
    <n v="3854877579.4699998"/>
    <x v="4"/>
  </r>
  <r>
    <s v="ALLY"/>
    <x v="49"/>
    <n v="2847267157.4000001"/>
    <x v="5"/>
  </r>
  <r>
    <s v="SUNTRUST"/>
    <x v="49"/>
    <n v="2458473903.25"/>
    <x v="6"/>
  </r>
  <r>
    <s v="PNC"/>
    <x v="49"/>
    <n v="1994254729.6099999"/>
    <x v="7"/>
  </r>
  <r>
    <s v="AMTRUST"/>
    <x v="49"/>
    <n v="1388548009.76"/>
    <x v="8"/>
  </r>
  <r>
    <s v="ABM"/>
    <x v="49"/>
    <n v="1387272814.27"/>
    <x v="9"/>
  </r>
  <r>
    <s v="BANK OF AMERICA"/>
    <x v="50"/>
    <n v="16061360740.030001"/>
    <x v="0"/>
  </r>
  <r>
    <s v="CWB"/>
    <x v="50"/>
    <n v="12406881529.92"/>
    <x v="1"/>
  </r>
  <r>
    <s v="WELLS FARGO"/>
    <x v="50"/>
    <n v="4689720335.75"/>
    <x v="2"/>
  </r>
  <r>
    <s v="CITI"/>
    <x v="50"/>
    <n v="4057104000.5"/>
    <x v="3"/>
  </r>
  <r>
    <s v="CHASE"/>
    <x v="50"/>
    <n v="2974413615.9000001"/>
    <x v="4"/>
  </r>
  <r>
    <s v="SUNTRUST"/>
    <x v="50"/>
    <n v="2052835599.0899999"/>
    <x v="5"/>
  </r>
  <r>
    <s v="ALLY"/>
    <x v="50"/>
    <n v="1932771583.74"/>
    <x v="6"/>
  </r>
  <r>
    <s v="ABM"/>
    <x v="50"/>
    <n v="1716047375.54"/>
    <x v="7"/>
  </r>
  <r>
    <s v="FLAGSTAR"/>
    <x v="50"/>
    <n v="1632374005.76"/>
    <x v="8"/>
  </r>
  <r>
    <s v="INDYMAC BANK, FSB"/>
    <x v="50"/>
    <n v="1627179406.9100001"/>
    <x v="9"/>
  </r>
  <r>
    <s v="BANK OF AMERICA"/>
    <x v="51"/>
    <n v="13009808173.709999"/>
    <x v="0"/>
  </r>
  <r>
    <s v="CWB"/>
    <x v="51"/>
    <n v="11532643036.76"/>
    <x v="1"/>
  </r>
  <r>
    <s v="WELLS FARGO"/>
    <x v="51"/>
    <n v="5477637374.3699999"/>
    <x v="2"/>
  </r>
  <r>
    <s v="CHASE"/>
    <x v="51"/>
    <n v="4106468626.3499999"/>
    <x v="3"/>
  </r>
  <r>
    <s v="INDYMAC BANK, FSB"/>
    <x v="51"/>
    <n v="3005795776.6599998"/>
    <x v="4"/>
  </r>
  <r>
    <s v="CITI"/>
    <x v="51"/>
    <n v="2440915374.0100002"/>
    <x v="5"/>
  </r>
  <r>
    <s v="SUNTRUST"/>
    <x v="51"/>
    <n v="2295059599.6599998"/>
    <x v="6"/>
  </r>
  <r>
    <s v="ALLY"/>
    <x v="51"/>
    <n v="1898061596.96"/>
    <x v="7"/>
  </r>
  <r>
    <s v="PNC"/>
    <x v="51"/>
    <n v="1833683351.3399999"/>
    <x v="8"/>
  </r>
  <r>
    <s v="FLAGSTAR"/>
    <x v="51"/>
    <n v="1784157712.8499999"/>
    <x v="9"/>
  </r>
  <r>
    <s v="BANK OF AMERICA"/>
    <x v="52"/>
    <n v="12603633651.940001"/>
    <x v="0"/>
  </r>
  <r>
    <s v="CWB"/>
    <x v="52"/>
    <n v="8830293939.6599998"/>
    <x v="1"/>
  </r>
  <r>
    <s v="WELLS FARGO"/>
    <x v="52"/>
    <n v="6128983567.5500002"/>
    <x v="2"/>
  </r>
  <r>
    <s v="CHASE"/>
    <x v="52"/>
    <n v="4784499832.4499998"/>
    <x v="3"/>
  </r>
  <r>
    <s v="CITI"/>
    <x v="52"/>
    <n v="3076234330.1399999"/>
    <x v="4"/>
  </r>
  <r>
    <s v="PNC"/>
    <x v="52"/>
    <n v="2979385823.8600001"/>
    <x v="5"/>
  </r>
  <r>
    <s v="SUNTRUST"/>
    <x v="52"/>
    <n v="2878585849.6500001"/>
    <x v="6"/>
  </r>
  <r>
    <s v="ALLY"/>
    <x v="52"/>
    <n v="2238443049.8499999"/>
    <x v="7"/>
  </r>
  <r>
    <s v="AMTRUST"/>
    <x v="52"/>
    <n v="1587214030.9300001"/>
    <x v="8"/>
  </r>
  <r>
    <s v="FLAGSTAR"/>
    <x v="52"/>
    <n v="1533313968.5899999"/>
    <x v="9"/>
  </r>
  <r>
    <s v="BANK OF AMERICA"/>
    <x v="53"/>
    <n v="19245031368.959999"/>
    <x v="0"/>
  </r>
  <r>
    <s v="CWB"/>
    <x v="53"/>
    <n v="16764636099.889999"/>
    <x v="1"/>
  </r>
  <r>
    <s v="CHASE"/>
    <x v="53"/>
    <n v="7492129106.8599997"/>
    <x v="2"/>
  </r>
  <r>
    <s v="WELLS FARGO"/>
    <x v="53"/>
    <n v="5922081670.7299995"/>
    <x v="3"/>
  </r>
  <r>
    <s v="CITI"/>
    <x v="53"/>
    <n v="2932443733.4000001"/>
    <x v="4"/>
  </r>
  <r>
    <s v="ALLY"/>
    <x v="53"/>
    <n v="2777009284.9299998"/>
    <x v="5"/>
  </r>
  <r>
    <s v="PNC"/>
    <x v="53"/>
    <n v="2709598977.0999999"/>
    <x v="6"/>
  </r>
  <r>
    <s v="SUNTRUST"/>
    <x v="53"/>
    <n v="2693818093.54"/>
    <x v="7"/>
  </r>
  <r>
    <s v="INDYMAC BANK, FSB"/>
    <x v="53"/>
    <n v="2331516295"/>
    <x v="8"/>
  </r>
  <r>
    <s v="WACHOVIA"/>
    <x v="53"/>
    <n v="2149075513.8000002"/>
    <x v="9"/>
  </r>
  <r>
    <s v="BANK OF AMERICA"/>
    <x v="54"/>
    <n v="14202157043.27"/>
    <x v="0"/>
  </r>
  <r>
    <s v="CWB"/>
    <x v="54"/>
    <n v="12621973781.870001"/>
    <x v="1"/>
  </r>
  <r>
    <s v="WELLS FARGO"/>
    <x v="54"/>
    <n v="5195462052.75"/>
    <x v="2"/>
  </r>
  <r>
    <s v="CHASE"/>
    <x v="54"/>
    <n v="3462535631.8600001"/>
    <x v="3"/>
  </r>
  <r>
    <s v="CITI"/>
    <x v="54"/>
    <n v="2947586166.1999998"/>
    <x v="4"/>
  </r>
  <r>
    <s v="SUNTRUST"/>
    <x v="54"/>
    <n v="2827494752.0799999"/>
    <x v="5"/>
  </r>
  <r>
    <s v="ALLY"/>
    <x v="54"/>
    <n v="2775332433.4299998"/>
    <x v="6"/>
  </r>
  <r>
    <s v="INDYMAC BANK, FSB"/>
    <x v="54"/>
    <n v="1603611344.5899999"/>
    <x v="7"/>
  </r>
  <r>
    <s v="AMTRUST"/>
    <x v="54"/>
    <n v="1429750310.99"/>
    <x v="8"/>
  </r>
  <r>
    <s v="PNC"/>
    <x v="54"/>
    <n v="1136876862.78"/>
    <x v="9"/>
  </r>
  <r>
    <s v="BANK OF AMERICA"/>
    <x v="55"/>
    <n v="18869156796.220001"/>
    <x v="0"/>
  </r>
  <r>
    <s v="CWB"/>
    <x v="55"/>
    <n v="15666973862.35"/>
    <x v="1"/>
  </r>
  <r>
    <s v="WELLS FARGO"/>
    <x v="55"/>
    <n v="10463321114.809999"/>
    <x v="2"/>
  </r>
  <r>
    <s v="CHASE"/>
    <x v="55"/>
    <n v="8263551375.8699999"/>
    <x v="3"/>
  </r>
  <r>
    <s v="SUNTRUST"/>
    <x v="55"/>
    <n v="4670013910.6199999"/>
    <x v="4"/>
  </r>
  <r>
    <s v="CITI"/>
    <x v="55"/>
    <n v="4475362907.0500002"/>
    <x v="5"/>
  </r>
  <r>
    <s v="INDYMAC BANK, FSB"/>
    <x v="55"/>
    <n v="3021716833.79"/>
    <x v="6"/>
  </r>
  <r>
    <s v="ALLY"/>
    <x v="55"/>
    <n v="2956410222.3499999"/>
    <x v="7"/>
  </r>
  <r>
    <s v="FLAGSTAR"/>
    <x v="55"/>
    <n v="2148417999.02"/>
    <x v="8"/>
  </r>
  <r>
    <s v="PNC"/>
    <x v="55"/>
    <n v="1446007033.96"/>
    <x v="9"/>
  </r>
  <r>
    <s v="BANK OF AMERICA"/>
    <x v="56"/>
    <n v="9926586445.7800007"/>
    <x v="0"/>
  </r>
  <r>
    <s v="CWB"/>
    <x v="56"/>
    <n v="9604764183.2199993"/>
    <x v="1"/>
  </r>
  <r>
    <s v="WELLS FARGO"/>
    <x v="56"/>
    <n v="8335762574.4099998"/>
    <x v="2"/>
  </r>
  <r>
    <s v="CITI"/>
    <x v="56"/>
    <n v="7148555769.2600002"/>
    <x v="3"/>
  </r>
  <r>
    <s v="CHASE"/>
    <x v="56"/>
    <n v="2918959286.4000001"/>
    <x v="4"/>
  </r>
  <r>
    <s v="ALLY"/>
    <x v="56"/>
    <n v="2689977192.96"/>
    <x v="5"/>
  </r>
  <r>
    <s v="WACHOVIA"/>
    <x v="56"/>
    <n v="2282514196.4699998"/>
    <x v="6"/>
  </r>
  <r>
    <s v="AMTRUST"/>
    <x v="56"/>
    <n v="1448382903.7"/>
    <x v="7"/>
  </r>
  <r>
    <s v="INDYMAC BANK, FSB"/>
    <x v="56"/>
    <n v="1435114914.6099999"/>
    <x v="8"/>
  </r>
  <r>
    <s v="SUNTRUST"/>
    <x v="56"/>
    <n v="1287479108.4200001"/>
    <x v="9"/>
  </r>
  <r>
    <s v="BANK OF AMERICA"/>
    <x v="57"/>
    <n v="13677637389.280001"/>
    <x v="0"/>
  </r>
  <r>
    <s v="CWB"/>
    <x v="57"/>
    <n v="11260841584.469999"/>
    <x v="1"/>
  </r>
  <r>
    <s v="WELLS FARGO"/>
    <x v="57"/>
    <n v="7725471901.6400003"/>
    <x v="2"/>
  </r>
  <r>
    <s v="CITI"/>
    <x v="57"/>
    <n v="5086138597.2299995"/>
    <x v="3"/>
  </r>
  <r>
    <s v="CHASE"/>
    <x v="57"/>
    <n v="4264804845.6999998"/>
    <x v="4"/>
  </r>
  <r>
    <s v="ALLY"/>
    <x v="57"/>
    <n v="3658268824.0300002"/>
    <x v="5"/>
  </r>
  <r>
    <s v="SUNTRUST"/>
    <x v="57"/>
    <n v="2994126799.2199998"/>
    <x v="6"/>
  </r>
  <r>
    <s v="AMTRUST"/>
    <x v="57"/>
    <n v="1694093260.71"/>
    <x v="7"/>
  </r>
  <r>
    <s v="FLAGSTAR"/>
    <x v="57"/>
    <n v="1350233547.8599999"/>
    <x v="8"/>
  </r>
  <r>
    <s v="WACHOVIA"/>
    <x v="57"/>
    <n v="923555801.51999998"/>
    <x v="9"/>
  </r>
  <r>
    <s v="BANK OF AMERICA"/>
    <x v="58"/>
    <n v="16065557997.07"/>
    <x v="0"/>
  </r>
  <r>
    <s v="CWB"/>
    <x v="58"/>
    <n v="11100913368.030001"/>
    <x v="1"/>
  </r>
  <r>
    <s v="CHASE"/>
    <x v="58"/>
    <n v="9252210769.0799999"/>
    <x v="2"/>
  </r>
  <r>
    <s v="WELLS FARGO"/>
    <x v="58"/>
    <n v="9073366756.0400009"/>
    <x v="3"/>
  </r>
  <r>
    <s v="CITI"/>
    <x v="58"/>
    <n v="4547919746.75"/>
    <x v="4"/>
  </r>
  <r>
    <s v="ALLY"/>
    <x v="58"/>
    <n v="3305671422.6199999"/>
    <x v="5"/>
  </r>
  <r>
    <s v="WACHOVIA"/>
    <x v="58"/>
    <n v="3073082012.29"/>
    <x v="6"/>
  </r>
  <r>
    <s v="SUNTRUST"/>
    <x v="58"/>
    <n v="2181523294.0300002"/>
    <x v="7"/>
  </r>
  <r>
    <s v="FLAGSTAR"/>
    <x v="58"/>
    <n v="1971286047.4300001"/>
    <x v="8"/>
  </r>
  <r>
    <s v="AMTRUST"/>
    <x v="58"/>
    <n v="1063977303.1900001"/>
    <x v="9"/>
  </r>
  <r>
    <s v="WELLS FARGO"/>
    <x v="59"/>
    <n v="12448685404.389999"/>
    <x v="0"/>
  </r>
  <r>
    <s v="BANK OF AMERICA"/>
    <x v="59"/>
    <n v="8671992289.8500004"/>
    <x v="1"/>
  </r>
  <r>
    <s v="CHASE"/>
    <x v="59"/>
    <n v="7601730535.4399996"/>
    <x v="2"/>
  </r>
  <r>
    <s v="CWB"/>
    <x v="59"/>
    <n v="5626585790.7399998"/>
    <x v="3"/>
  </r>
  <r>
    <s v="CITI"/>
    <x v="59"/>
    <n v="4410947306.1800003"/>
    <x v="4"/>
  </r>
  <r>
    <s v="WAMU"/>
    <x v="59"/>
    <n v="2184280083.5799999"/>
    <x v="5"/>
  </r>
  <r>
    <s v="AMTRUST"/>
    <x v="59"/>
    <n v="1798969583.0799999"/>
    <x v="6"/>
  </r>
  <r>
    <s v="SUNTRUST"/>
    <x v="59"/>
    <n v="1033094421.8"/>
    <x v="7"/>
  </r>
  <r>
    <s v="ALLY"/>
    <x v="59"/>
    <n v="1030762827.8099999"/>
    <x v="8"/>
  </r>
  <r>
    <s v="WACHOVIA"/>
    <x v="59"/>
    <n v="783961745.63999999"/>
    <x v="9"/>
  </r>
  <r>
    <s v="BANK OF AMERICA"/>
    <x v="60"/>
    <n v="6812598633.46"/>
    <x v="0"/>
  </r>
  <r>
    <s v="WELLS FARGO"/>
    <x v="60"/>
    <n v="5651126697.8800001"/>
    <x v="1"/>
  </r>
  <r>
    <s v="CWB"/>
    <x v="60"/>
    <n v="5186273977.5699997"/>
    <x v="2"/>
  </r>
  <r>
    <s v="CHASE"/>
    <x v="60"/>
    <n v="4660286494.7399998"/>
    <x v="3"/>
  </r>
  <r>
    <s v="CITI"/>
    <x v="60"/>
    <n v="3132554296.4699998"/>
    <x v="4"/>
  </r>
  <r>
    <s v="AMTRUST"/>
    <x v="60"/>
    <n v="1499404802.6700001"/>
    <x v="5"/>
  </r>
  <r>
    <s v="SUNTRUST"/>
    <x v="60"/>
    <n v="1386167136.9100001"/>
    <x v="6"/>
  </r>
  <r>
    <s v="ALLY"/>
    <x v="60"/>
    <n v="1268489048.78"/>
    <x v="7"/>
  </r>
  <r>
    <s v="FLAGSTAR"/>
    <x v="60"/>
    <n v="1010293780.8"/>
    <x v="8"/>
  </r>
  <r>
    <s v="INDYMAC BANK, FSB"/>
    <x v="60"/>
    <n v="829429089.38"/>
    <x v="9"/>
  </r>
  <r>
    <s v="WELLS FARGO"/>
    <x v="61"/>
    <n v="5479074775.4300003"/>
    <x v="0"/>
  </r>
  <r>
    <s v="CHASE"/>
    <x v="61"/>
    <n v="5241802901.2700005"/>
    <x v="1"/>
  </r>
  <r>
    <s v="BANK OF AMERICA"/>
    <x v="61"/>
    <n v="4829389929.1999998"/>
    <x v="2"/>
  </r>
  <r>
    <s v="CWB"/>
    <x v="61"/>
    <n v="3597810473.3000002"/>
    <x v="3"/>
  </r>
  <r>
    <s v="CITI"/>
    <x v="61"/>
    <n v="2450828221.6100001"/>
    <x v="4"/>
  </r>
  <r>
    <s v="AMTRUST"/>
    <x v="61"/>
    <n v="1321486905.6099999"/>
    <x v="5"/>
  </r>
  <r>
    <s v="SUNTRUST"/>
    <x v="61"/>
    <n v="1212867361.9300001"/>
    <x v="6"/>
  </r>
  <r>
    <s v="ALLY"/>
    <x v="61"/>
    <n v="997632890.15999997"/>
    <x v="7"/>
  </r>
  <r>
    <s v="FLAGSTAR"/>
    <x v="61"/>
    <n v="823242354.52999997"/>
    <x v="8"/>
  </r>
  <r>
    <s v="WACHOVIA"/>
    <x v="61"/>
    <n v="572407246.50999999"/>
    <x v="9"/>
  </r>
  <r>
    <s v="CHASE"/>
    <x v="62"/>
    <n v="7947690883.6099997"/>
    <x v="0"/>
  </r>
  <r>
    <s v="BANK OF AMERICA"/>
    <x v="62"/>
    <n v="6371042917.5200005"/>
    <x v="1"/>
  </r>
  <r>
    <s v="WELLS FARGO"/>
    <x v="62"/>
    <n v="5895526086.3699999"/>
    <x v="2"/>
  </r>
  <r>
    <s v="CWB"/>
    <x v="62"/>
    <n v="3209041996.9899998"/>
    <x v="3"/>
  </r>
  <r>
    <s v="CITI"/>
    <x v="62"/>
    <n v="2582559171.5799999"/>
    <x v="4"/>
  </r>
  <r>
    <s v="SUNTRUST"/>
    <x v="62"/>
    <n v="1360853316.3699999"/>
    <x v="5"/>
  </r>
  <r>
    <s v="AMTRUST"/>
    <x v="62"/>
    <n v="1248096513.3399999"/>
    <x v="6"/>
  </r>
  <r>
    <s v="ALLY"/>
    <x v="62"/>
    <n v="1136669931.97"/>
    <x v="7"/>
  </r>
  <r>
    <s v="FLAGSTAR"/>
    <x v="62"/>
    <n v="1002288580.52"/>
    <x v="8"/>
  </r>
  <r>
    <s v="WACHOVIA"/>
    <x v="62"/>
    <n v="604924280.78999996"/>
    <x v="9"/>
  </r>
  <r>
    <s v="WELLS FARGO"/>
    <x v="63"/>
    <n v="6263865667.6599998"/>
    <x v="0"/>
  </r>
  <r>
    <s v="BANK OF AMERICA"/>
    <x v="63"/>
    <n v="4738956185.4300003"/>
    <x v="1"/>
  </r>
  <r>
    <s v="CITI"/>
    <x v="63"/>
    <n v="4205013863.8099999"/>
    <x v="2"/>
  </r>
  <r>
    <s v="CWB"/>
    <x v="63"/>
    <n v="3683826115.2199998"/>
    <x v="3"/>
  </r>
  <r>
    <s v="WACHOVIA"/>
    <x v="63"/>
    <n v="2094966319.4200001"/>
    <x v="4"/>
  </r>
  <r>
    <s v="CHASE"/>
    <x v="63"/>
    <n v="1912251961.98"/>
    <x v="5"/>
  </r>
  <r>
    <s v="ALLY"/>
    <x v="63"/>
    <n v="1470669632.5"/>
    <x v="6"/>
  </r>
  <r>
    <s v="SUNTRUST"/>
    <x v="63"/>
    <n v="1224686047.46"/>
    <x v="7"/>
  </r>
  <r>
    <s v="AMTRUST"/>
    <x v="63"/>
    <n v="843395611.76999998"/>
    <x v="8"/>
  </r>
  <r>
    <s v="FLAGSTAR"/>
    <x v="63"/>
    <n v="802393897.53999996"/>
    <x v="9"/>
  </r>
  <r>
    <s v="WELLS FARGO"/>
    <x v="64"/>
    <n v="5409841465.3100004"/>
    <x v="0"/>
  </r>
  <r>
    <s v="BANK OF AMERICA"/>
    <x v="64"/>
    <n v="4017794117.1599998"/>
    <x v="1"/>
  </r>
  <r>
    <s v="CHASE"/>
    <x v="64"/>
    <n v="2663611458.3400002"/>
    <x v="2"/>
  </r>
  <r>
    <s v="CITI"/>
    <x v="64"/>
    <n v="2522728386.54"/>
    <x v="3"/>
  </r>
  <r>
    <s v="CWB"/>
    <x v="64"/>
    <n v="2158341504.3499999"/>
    <x v="4"/>
  </r>
  <r>
    <s v="SUNTRUST"/>
    <x v="64"/>
    <n v="1270133878.5"/>
    <x v="5"/>
  </r>
  <r>
    <s v="WACHOVIA"/>
    <x v="64"/>
    <n v="1047883427.5599999"/>
    <x v="6"/>
  </r>
  <r>
    <s v="ALLY"/>
    <x v="64"/>
    <n v="620839697.44000006"/>
    <x v="7"/>
  </r>
  <r>
    <s v="FLAGSTAR"/>
    <x v="64"/>
    <n v="587970707.45000005"/>
    <x v="8"/>
  </r>
  <r>
    <s v="AMTRUST"/>
    <x v="64"/>
    <n v="542265349.04999995"/>
    <x v="9"/>
  </r>
  <r>
    <s v="CHASE"/>
    <x v="65"/>
    <n v="8591092469.3799992"/>
    <x v="0"/>
  </r>
  <r>
    <s v="WELLS FARGO"/>
    <x v="65"/>
    <n v="5863270817.7600002"/>
    <x v="1"/>
  </r>
  <r>
    <s v="BANK OF AMERICA"/>
    <x v="65"/>
    <n v="3978802044.6900001"/>
    <x v="2"/>
  </r>
  <r>
    <s v="CITI"/>
    <x v="65"/>
    <n v="3221876765.6700001"/>
    <x v="3"/>
  </r>
  <r>
    <s v="CWB"/>
    <x v="65"/>
    <n v="2969647031.0900002"/>
    <x v="4"/>
  </r>
  <r>
    <s v="HSBC"/>
    <x v="65"/>
    <n v="2255179789.8299999"/>
    <x v="5"/>
  </r>
  <r>
    <s v="PNC"/>
    <x v="65"/>
    <n v="1726263195.97"/>
    <x v="6"/>
  </r>
  <r>
    <s v="RBS"/>
    <x v="65"/>
    <n v="1515379715.46"/>
    <x v="7"/>
  </r>
  <r>
    <s v="SUNTRUST"/>
    <x v="65"/>
    <n v="1464856783.98"/>
    <x v="8"/>
  </r>
  <r>
    <s v="ALLY"/>
    <x v="65"/>
    <n v="1311346711.4000001"/>
    <x v="9"/>
  </r>
  <r>
    <s v="BANK OF AMERICA"/>
    <x v="66"/>
    <n v="4307824965.3000002"/>
    <x v="0"/>
  </r>
  <r>
    <s v="WELLS FARGO"/>
    <x v="66"/>
    <n v="3776829710.1700001"/>
    <x v="1"/>
  </r>
  <r>
    <s v="CWB"/>
    <x v="66"/>
    <n v="3317104858.1599998"/>
    <x v="2"/>
  </r>
  <r>
    <s v="CITI"/>
    <x v="66"/>
    <n v="1793714935.3299999"/>
    <x v="3"/>
  </r>
  <r>
    <s v="CHASE"/>
    <x v="66"/>
    <n v="963288134.89999998"/>
    <x v="4"/>
  </r>
  <r>
    <s v="SUNTRUST"/>
    <x v="66"/>
    <n v="724463965.13"/>
    <x v="5"/>
  </r>
  <r>
    <s v="AMTRUST"/>
    <x v="66"/>
    <n v="596455268.49000001"/>
    <x v="6"/>
  </r>
  <r>
    <s v="METLIFE"/>
    <x v="66"/>
    <n v="583492367.36000001"/>
    <x v="7"/>
  </r>
  <r>
    <s v="FLAGSTAR"/>
    <x v="66"/>
    <n v="552621931.66999996"/>
    <x v="8"/>
  </r>
  <r>
    <s v="ALLY"/>
    <x v="66"/>
    <n v="548905355.99000001"/>
    <x v="9"/>
  </r>
  <r>
    <s v="BANK OF AMERICA"/>
    <x v="67"/>
    <n v="9985509207.7099991"/>
    <x v="0"/>
  </r>
  <r>
    <s v="WELLS FARGO"/>
    <x v="67"/>
    <n v="9560375140.2900009"/>
    <x v="1"/>
  </r>
  <r>
    <s v="CHASE"/>
    <x v="67"/>
    <n v="2858414927.5"/>
    <x v="2"/>
  </r>
  <r>
    <s v="CITI"/>
    <x v="67"/>
    <n v="2641345634.0700002"/>
    <x v="3"/>
  </r>
  <r>
    <s v="SUNTRUST"/>
    <x v="67"/>
    <n v="2229672563.8899999"/>
    <x v="4"/>
  </r>
  <r>
    <s v="FLAGSTAR"/>
    <x v="67"/>
    <n v="1559389357.8900001"/>
    <x v="5"/>
  </r>
  <r>
    <s v="WACHOVIA"/>
    <x v="67"/>
    <n v="1254259027.49"/>
    <x v="6"/>
  </r>
  <r>
    <s v="AMTRUST"/>
    <x v="67"/>
    <n v="956909872.99000001"/>
    <x v="7"/>
  </r>
  <r>
    <s v="METLIFE"/>
    <x v="67"/>
    <n v="841723160.23000002"/>
    <x v="8"/>
  </r>
  <r>
    <s v="PNC"/>
    <x v="67"/>
    <n v="758409018.50999999"/>
    <x v="9"/>
  </r>
  <r>
    <s v="BANK OF AMERICA"/>
    <x v="68"/>
    <n v="21059327558.889999"/>
    <x v="0"/>
  </r>
  <r>
    <s v="WELLS FARGO"/>
    <x v="68"/>
    <n v="16026314793.370001"/>
    <x v="1"/>
  </r>
  <r>
    <s v="CHASE"/>
    <x v="68"/>
    <n v="13915310789.370001"/>
    <x v="2"/>
  </r>
  <r>
    <s v="CITI"/>
    <x v="68"/>
    <n v="4624280742.8000002"/>
    <x v="3"/>
  </r>
  <r>
    <s v="SUNTRUST"/>
    <x v="68"/>
    <n v="3407769717.4299998"/>
    <x v="4"/>
  </r>
  <r>
    <s v="ALLY"/>
    <x v="68"/>
    <n v="2441399554.0999999"/>
    <x v="5"/>
  </r>
  <r>
    <s v="PNC"/>
    <x v="68"/>
    <n v="1922349871.71"/>
    <x v="6"/>
  </r>
  <r>
    <s v="WACHOVIA"/>
    <x v="68"/>
    <n v="1737171982.3699999"/>
    <x v="7"/>
  </r>
  <r>
    <s v="FLAGSTAR"/>
    <x v="68"/>
    <n v="1643661737.3099999"/>
    <x v="8"/>
  </r>
  <r>
    <s v="AMTRUST"/>
    <x v="68"/>
    <n v="1631140291.73"/>
    <x v="9"/>
  </r>
  <r>
    <s v="WELLS FARGO"/>
    <x v="69"/>
    <n v="11006090698.6"/>
    <x v="0"/>
  </r>
  <r>
    <s v="BANK OF AMERICA"/>
    <x v="69"/>
    <n v="10133406434.110001"/>
    <x v="1"/>
  </r>
  <r>
    <s v="PHH"/>
    <x v="69"/>
    <n v="2815227706.5700002"/>
    <x v="2"/>
  </r>
  <r>
    <s v="SUNTRUST"/>
    <x v="69"/>
    <n v="2714587852.3600001"/>
    <x v="3"/>
  </r>
  <r>
    <s v="CITI"/>
    <x v="69"/>
    <n v="2517773073.4200001"/>
    <x v="4"/>
  </r>
  <r>
    <s v="CHASE"/>
    <x v="69"/>
    <n v="2061482709.0799999"/>
    <x v="5"/>
  </r>
  <r>
    <s v="AMTRUST"/>
    <x v="69"/>
    <n v="1520805155.21"/>
    <x v="6"/>
  </r>
  <r>
    <s v="FLAGSTAR"/>
    <x v="69"/>
    <n v="1193867589.9300001"/>
    <x v="7"/>
  </r>
  <r>
    <s v="ALLY"/>
    <x v="69"/>
    <n v="1082714427.5699999"/>
    <x v="8"/>
  </r>
  <r>
    <s v="WACHOVIA"/>
    <x v="69"/>
    <n v="1028962633.39"/>
    <x v="9"/>
  </r>
  <r>
    <s v="BANK OF AMERICA"/>
    <x v="70"/>
    <n v="13967560067"/>
    <x v="0"/>
  </r>
  <r>
    <s v="WELLS FARGO"/>
    <x v="70"/>
    <n v="13334297680.540001"/>
    <x v="1"/>
  </r>
  <r>
    <s v="CHASE"/>
    <x v="70"/>
    <n v="6570942270.1400003"/>
    <x v="2"/>
  </r>
  <r>
    <s v="CITI"/>
    <x v="70"/>
    <n v="4279745468.29"/>
    <x v="3"/>
  </r>
  <r>
    <s v="SUNTRUST"/>
    <x v="70"/>
    <n v="2989564840.3499999"/>
    <x v="4"/>
  </r>
  <r>
    <s v="FLAGSTAR"/>
    <x v="70"/>
    <n v="1665474577.04"/>
    <x v="5"/>
  </r>
  <r>
    <s v="ALLY"/>
    <x v="70"/>
    <n v="1562894759.0899999"/>
    <x v="6"/>
  </r>
  <r>
    <s v="PHH"/>
    <x v="70"/>
    <n v="1515846536.6400001"/>
    <x v="7"/>
  </r>
  <r>
    <s v="RBS"/>
    <x v="70"/>
    <n v="978379602"/>
    <x v="8"/>
  </r>
  <r>
    <s v="WACHOVIA"/>
    <x v="70"/>
    <n v="936122247.58000004"/>
    <x v="9"/>
  </r>
  <r>
    <s v="BANK OF AMERICA"/>
    <x v="71"/>
    <n v="22149963934.57"/>
    <x v="0"/>
  </r>
  <r>
    <s v="WELLS FARGO"/>
    <x v="71"/>
    <n v="19469168924.950001"/>
    <x v="1"/>
  </r>
  <r>
    <s v="CHASE"/>
    <x v="71"/>
    <n v="12432036389.190001"/>
    <x v="2"/>
  </r>
  <r>
    <s v="CITI"/>
    <x v="71"/>
    <n v="4725751938.4200001"/>
    <x v="3"/>
  </r>
  <r>
    <s v="SUNTRUST"/>
    <x v="71"/>
    <n v="3693076130.73"/>
    <x v="4"/>
  </r>
  <r>
    <s v="ALLY"/>
    <x v="71"/>
    <n v="2869622330.21"/>
    <x v="5"/>
  </r>
  <r>
    <s v="FLAGSTAR"/>
    <x v="71"/>
    <n v="2100851837.9300001"/>
    <x v="6"/>
  </r>
  <r>
    <s v="PHH"/>
    <x v="71"/>
    <n v="1870162161.0899999"/>
    <x v="7"/>
  </r>
  <r>
    <s v="WACHOVIA"/>
    <x v="71"/>
    <n v="883955249.34000003"/>
    <x v="8"/>
  </r>
  <r>
    <s v="PNC"/>
    <x v="71"/>
    <n v="805872940.15999997"/>
    <x v="9"/>
  </r>
  <r>
    <s v="BANK OF AMERICA"/>
    <x v="72"/>
    <n v="17966598426.119999"/>
    <x v="0"/>
  </r>
  <r>
    <s v="WELLS FARGO"/>
    <x v="72"/>
    <n v="17016611877.120001"/>
    <x v="1"/>
  </r>
  <r>
    <s v="SUNTRUST"/>
    <x v="72"/>
    <n v="4882309364.7299995"/>
    <x v="2"/>
  </r>
  <r>
    <s v="CITI"/>
    <x v="72"/>
    <n v="4435636881.6199999"/>
    <x v="3"/>
  </r>
  <r>
    <s v="ALLY"/>
    <x v="72"/>
    <n v="2229551006.6300001"/>
    <x v="4"/>
  </r>
  <r>
    <s v="CHASE"/>
    <x v="72"/>
    <n v="2216974394.5"/>
    <x v="5"/>
  </r>
  <r>
    <s v="PHH"/>
    <x v="72"/>
    <n v="2009262252.27"/>
    <x v="6"/>
  </r>
  <r>
    <s v="FLAGSTAR"/>
    <x v="72"/>
    <n v="1257913308.8199999"/>
    <x v="7"/>
  </r>
  <r>
    <s v="METLIFE"/>
    <x v="72"/>
    <n v="913654412.88"/>
    <x v="8"/>
  </r>
  <r>
    <s v="PNC"/>
    <x v="72"/>
    <n v="832077834.90999997"/>
    <x v="9"/>
  </r>
  <r>
    <s v="WELLS FARGO"/>
    <x v="73"/>
    <n v="14871497530.26"/>
    <x v="0"/>
  </r>
  <r>
    <s v="BANK OF AMERICA"/>
    <x v="73"/>
    <n v="12633222435.5"/>
    <x v="1"/>
  </r>
  <r>
    <s v="CHASE"/>
    <x v="73"/>
    <n v="3261193412.1100001"/>
    <x v="2"/>
  </r>
  <r>
    <s v="CITI"/>
    <x v="73"/>
    <n v="2143517990.47"/>
    <x v="3"/>
  </r>
  <r>
    <s v="SUNTRUST"/>
    <x v="73"/>
    <n v="1858141620.6099999"/>
    <x v="4"/>
  </r>
  <r>
    <s v="PHH"/>
    <x v="73"/>
    <n v="1517335208.99"/>
    <x v="5"/>
  </r>
  <r>
    <s v="ALLY"/>
    <x v="73"/>
    <n v="1462808894.8"/>
    <x v="6"/>
  </r>
  <r>
    <s v="FLAGSTAR"/>
    <x v="73"/>
    <n v="1018336962.6"/>
    <x v="7"/>
  </r>
  <r>
    <s v="PNC"/>
    <x v="73"/>
    <n v="570372803.38999999"/>
    <x v="8"/>
  </r>
  <r>
    <s v="METLIFE"/>
    <x v="73"/>
    <n v="557695919.63"/>
    <x v="9"/>
  </r>
  <r>
    <s v="BANK OF AMERICA"/>
    <x v="74"/>
    <n v="15019540836.5"/>
    <x v="0"/>
  </r>
  <r>
    <s v="WELLS FARGO"/>
    <x v="74"/>
    <n v="10137828616.16"/>
    <x v="1"/>
  </r>
  <r>
    <s v="CHASE"/>
    <x v="74"/>
    <n v="7619424641.3100004"/>
    <x v="2"/>
  </r>
  <r>
    <s v="CITI"/>
    <x v="74"/>
    <n v="1856130817.8"/>
    <x v="3"/>
  </r>
  <r>
    <s v="SUNTRUST"/>
    <x v="74"/>
    <n v="1620000882.77"/>
    <x v="4"/>
  </r>
  <r>
    <s v="ALLY"/>
    <x v="74"/>
    <n v="1436034214.4200001"/>
    <x v="5"/>
  </r>
  <r>
    <s v="FLAGSTAR"/>
    <x v="74"/>
    <n v="732944580.41999996"/>
    <x v="6"/>
  </r>
  <r>
    <s v="PHH"/>
    <x v="74"/>
    <n v="619067015.65999997"/>
    <x v="7"/>
  </r>
  <r>
    <s v="USAA"/>
    <x v="74"/>
    <n v="391522691.43000001"/>
    <x v="8"/>
  </r>
  <r>
    <s v="US BANK"/>
    <x v="74"/>
    <n v="380504911.83999997"/>
    <x v="9"/>
  </r>
  <r>
    <s v="WELLS FARGO"/>
    <x v="75"/>
    <n v="9801952065.9599991"/>
    <x v="0"/>
  </r>
  <r>
    <s v="BANK OF AMERICA"/>
    <x v="75"/>
    <n v="8644667946.5900002"/>
    <x v="1"/>
  </r>
  <r>
    <s v="CHASE"/>
    <x v="75"/>
    <n v="2580145583.5"/>
    <x v="2"/>
  </r>
  <r>
    <s v="ALLY"/>
    <x v="75"/>
    <n v="1785454973.51"/>
    <x v="3"/>
  </r>
  <r>
    <s v="SUNTRUST"/>
    <x v="75"/>
    <n v="1151997463.1199999"/>
    <x v="4"/>
  </r>
  <r>
    <s v="FLAGSTAR"/>
    <x v="75"/>
    <n v="1021924928.27"/>
    <x v="5"/>
  </r>
  <r>
    <s v="CITI"/>
    <x v="75"/>
    <n v="993808959.69000006"/>
    <x v="6"/>
  </r>
  <r>
    <s v="PHH"/>
    <x v="75"/>
    <n v="593395364.09000003"/>
    <x v="7"/>
  </r>
  <r>
    <s v="US BANK"/>
    <x v="75"/>
    <n v="414165881.75999999"/>
    <x v="8"/>
  </r>
  <r>
    <s v="USAA"/>
    <x v="75"/>
    <n v="312290532.80000001"/>
    <x v="9"/>
  </r>
  <r>
    <s v="WELLS FARGO"/>
    <x v="76"/>
    <n v="7919040750.3400002"/>
    <x v="0"/>
  </r>
  <r>
    <s v="CHASE"/>
    <x v="76"/>
    <n v="7118044551.6300001"/>
    <x v="1"/>
  </r>
  <r>
    <s v="BANK OF AMERICA"/>
    <x v="76"/>
    <n v="4214804757.3099999"/>
    <x v="2"/>
  </r>
  <r>
    <s v="ALLY"/>
    <x v="76"/>
    <n v="1884115395.5999999"/>
    <x v="3"/>
  </r>
  <r>
    <s v="SUNTRUST"/>
    <x v="76"/>
    <n v="1273297833.0799999"/>
    <x v="4"/>
  </r>
  <r>
    <s v="CITI"/>
    <x v="76"/>
    <n v="1162636164.0999999"/>
    <x v="5"/>
  </r>
  <r>
    <s v="PNC"/>
    <x v="76"/>
    <n v="995351291.99000001"/>
    <x v="6"/>
  </r>
  <r>
    <s v="FLAGSTAR"/>
    <x v="76"/>
    <n v="872600518.03999996"/>
    <x v="7"/>
  </r>
  <r>
    <s v="PHH"/>
    <x v="76"/>
    <n v="667107726.84000003"/>
    <x v="8"/>
  </r>
  <r>
    <s v="AMTRUST"/>
    <x v="76"/>
    <n v="349406856.70999998"/>
    <x v="9"/>
  </r>
  <r>
    <s v="WELLS FARGO"/>
    <x v="77"/>
    <n v="11776429345.26"/>
    <x v="0"/>
  </r>
  <r>
    <s v="BANK OF AMERICA"/>
    <x v="77"/>
    <n v="10974897215.700001"/>
    <x v="1"/>
  </r>
  <r>
    <s v="CHASE"/>
    <x v="77"/>
    <n v="4323523894.3900003"/>
    <x v="2"/>
  </r>
  <r>
    <s v="ALLY"/>
    <x v="77"/>
    <n v="1770204493.27"/>
    <x v="3"/>
  </r>
  <r>
    <s v="CITI"/>
    <x v="77"/>
    <n v="1628678007.54"/>
    <x v="4"/>
  </r>
  <r>
    <s v="SUNTRUST"/>
    <x v="77"/>
    <n v="1217766175.1800001"/>
    <x v="5"/>
  </r>
  <r>
    <s v="PHH"/>
    <x v="77"/>
    <n v="1200958066.97"/>
    <x v="6"/>
  </r>
  <r>
    <s v="FLAGSTAR"/>
    <x v="77"/>
    <n v="1196133935.4400001"/>
    <x v="7"/>
  </r>
  <r>
    <s v="HSBC"/>
    <x v="77"/>
    <n v="809317697.84000003"/>
    <x v="8"/>
  </r>
  <r>
    <s v="USAA"/>
    <x v="77"/>
    <n v="421132970.56"/>
    <x v="9"/>
  </r>
  <r>
    <s v="WELLS FARGO"/>
    <x v="78"/>
    <n v="10182718045.91"/>
    <x v="0"/>
  </r>
  <r>
    <s v="BANK OF AMERICA"/>
    <x v="78"/>
    <n v="8441306507.9300003"/>
    <x v="1"/>
  </r>
  <r>
    <s v="CHASE"/>
    <x v="78"/>
    <n v="3172118257.73"/>
    <x v="2"/>
  </r>
  <r>
    <s v="ALLY"/>
    <x v="78"/>
    <n v="1937402814.29"/>
    <x v="3"/>
  </r>
  <r>
    <s v="CITI"/>
    <x v="78"/>
    <n v="1388771757.8399999"/>
    <x v="4"/>
  </r>
  <r>
    <s v="FLAGSTAR"/>
    <x v="78"/>
    <n v="925689123.63"/>
    <x v="5"/>
  </r>
  <r>
    <s v="SUNTRUST"/>
    <x v="78"/>
    <n v="903822744.26999998"/>
    <x v="6"/>
  </r>
  <r>
    <s v="PHH"/>
    <x v="78"/>
    <n v="558505182.92999995"/>
    <x v="7"/>
  </r>
  <r>
    <s v="USAA"/>
    <x v="78"/>
    <n v="497769158.43000001"/>
    <x v="8"/>
  </r>
  <r>
    <s v="FIFTH THIRD"/>
    <x v="78"/>
    <n v="312877619.31"/>
    <x v="9"/>
  </r>
  <r>
    <s v="WELLS FARGO"/>
    <x v="79"/>
    <n v="10733753561.620001"/>
    <x v="0"/>
  </r>
  <r>
    <s v="BANK OF AMERICA"/>
    <x v="79"/>
    <n v="8684327168.7800007"/>
    <x v="1"/>
  </r>
  <r>
    <s v="CHASE"/>
    <x v="79"/>
    <n v="4898965309.4399996"/>
    <x v="2"/>
  </r>
  <r>
    <s v="ALLY"/>
    <x v="79"/>
    <n v="2201280079.0100002"/>
    <x v="3"/>
  </r>
  <r>
    <s v="CITI"/>
    <x v="79"/>
    <n v="2201103280.3800001"/>
    <x v="4"/>
  </r>
  <r>
    <s v="SUNTRUST"/>
    <x v="79"/>
    <n v="730114015.47000003"/>
    <x v="5"/>
  </r>
  <r>
    <s v="FLAGSTAR"/>
    <x v="79"/>
    <n v="626985782.29999995"/>
    <x v="6"/>
  </r>
  <r>
    <s v="PHH"/>
    <x v="79"/>
    <n v="612143303.38"/>
    <x v="7"/>
  </r>
  <r>
    <s v="USAA"/>
    <x v="79"/>
    <n v="447502320.58999997"/>
    <x v="8"/>
  </r>
  <r>
    <s v="US BANK"/>
    <x v="79"/>
    <n v="322874976.30000001"/>
    <x v="9"/>
  </r>
  <r>
    <s v="WELLS FARGO"/>
    <x v="80"/>
    <n v="8010432484.8699999"/>
    <x v="0"/>
  </r>
  <r>
    <s v="CHASE"/>
    <x v="80"/>
    <n v="7889927073.7299995"/>
    <x v="1"/>
  </r>
  <r>
    <s v="BANK OF AMERICA"/>
    <x v="80"/>
    <n v="6534294055.0100002"/>
    <x v="2"/>
  </r>
  <r>
    <s v="CITI"/>
    <x v="80"/>
    <n v="1500451371.27"/>
    <x v="3"/>
  </r>
  <r>
    <s v="ALLY"/>
    <x v="80"/>
    <n v="1001151097.79"/>
    <x v="4"/>
  </r>
  <r>
    <s v="PHH"/>
    <x v="80"/>
    <n v="642473994.00999999"/>
    <x v="5"/>
  </r>
  <r>
    <s v="FLAGSTAR"/>
    <x v="80"/>
    <n v="533160065.02999997"/>
    <x v="6"/>
  </r>
  <r>
    <s v="SUNTRUST"/>
    <x v="80"/>
    <n v="508230714.5"/>
    <x v="7"/>
  </r>
  <r>
    <s v="USAA"/>
    <x v="80"/>
    <n v="357183770.66000003"/>
    <x v="8"/>
  </r>
  <r>
    <s v="US BANK"/>
    <x v="80"/>
    <n v="256781804.44999999"/>
    <x v="9"/>
  </r>
  <r>
    <s v="WELLS FARGO"/>
    <x v="81"/>
    <n v="9793443604.5200005"/>
    <x v="0"/>
  </r>
  <r>
    <s v="BANK OF AMERICA"/>
    <x v="81"/>
    <n v="8650479347.9599991"/>
    <x v="1"/>
  </r>
  <r>
    <s v="CHASE"/>
    <x v="81"/>
    <n v="2776414384.9000001"/>
    <x v="2"/>
  </r>
  <r>
    <s v="ALLY"/>
    <x v="81"/>
    <n v="1373292642.55"/>
    <x v="3"/>
  </r>
  <r>
    <s v="CITI"/>
    <x v="81"/>
    <n v="1262093385.0899999"/>
    <x v="4"/>
  </r>
  <r>
    <s v="SUNTRUST"/>
    <x v="81"/>
    <n v="799912498.09000003"/>
    <x v="5"/>
  </r>
  <r>
    <s v="PHH"/>
    <x v="81"/>
    <n v="648973588.63999999"/>
    <x v="6"/>
  </r>
  <r>
    <s v="FLAGSTAR"/>
    <x v="81"/>
    <n v="609364105.82000005"/>
    <x v="7"/>
  </r>
  <r>
    <s v="USAA"/>
    <x v="81"/>
    <n v="374451577.42000002"/>
    <x v="8"/>
  </r>
  <r>
    <s v="NY COMMUNITY"/>
    <x v="81"/>
    <n v="320595795.07999998"/>
    <x v="9"/>
  </r>
  <r>
    <s v="WELLS FARGO"/>
    <x v="82"/>
    <n v="8799294787.6299992"/>
    <x v="0"/>
  </r>
  <r>
    <s v="BANK OF AMERICA"/>
    <x v="82"/>
    <n v="8154661116.96"/>
    <x v="1"/>
  </r>
  <r>
    <s v="CHASE"/>
    <x v="82"/>
    <n v="3622024666.25"/>
    <x v="2"/>
  </r>
  <r>
    <s v="ALLY"/>
    <x v="82"/>
    <n v="1375076321.3399999"/>
    <x v="3"/>
  </r>
  <r>
    <s v="CITI"/>
    <x v="82"/>
    <n v="1173346276.5699999"/>
    <x v="4"/>
  </r>
  <r>
    <s v="PHH"/>
    <x v="82"/>
    <n v="917979863.50999999"/>
    <x v="5"/>
  </r>
  <r>
    <s v="SUNTRUST"/>
    <x v="82"/>
    <n v="851895011.08000004"/>
    <x v="6"/>
  </r>
  <r>
    <s v="FLAGSTAR"/>
    <x v="82"/>
    <n v="748753735.46000004"/>
    <x v="7"/>
  </r>
  <r>
    <s v="NY COMMUNITY"/>
    <x v="82"/>
    <n v="326270703.69999999"/>
    <x v="8"/>
  </r>
  <r>
    <s v="PNC"/>
    <x v="82"/>
    <n v="254275737.40000001"/>
    <x v="9"/>
  </r>
  <r>
    <s v="WELLS FARGO"/>
    <x v="83"/>
    <n v="7934970468.3800001"/>
    <x v="0"/>
  </r>
  <r>
    <s v="BANK OF AMERICA"/>
    <x v="83"/>
    <n v="7241081757.5200005"/>
    <x v="1"/>
  </r>
  <r>
    <s v="CHASE"/>
    <x v="83"/>
    <n v="5027427171.6099997"/>
    <x v="2"/>
  </r>
  <r>
    <s v="ALLY"/>
    <x v="83"/>
    <n v="1866229299.05"/>
    <x v="3"/>
  </r>
  <r>
    <s v="CITI"/>
    <x v="83"/>
    <n v="1266197047.0799999"/>
    <x v="4"/>
  </r>
  <r>
    <s v="PHH"/>
    <x v="83"/>
    <n v="944390561.76999998"/>
    <x v="5"/>
  </r>
  <r>
    <s v="FLAGSTAR"/>
    <x v="83"/>
    <n v="918705846.91999996"/>
    <x v="6"/>
  </r>
  <r>
    <s v="SUNTRUST"/>
    <x v="83"/>
    <n v="775601724.25999999"/>
    <x v="7"/>
  </r>
  <r>
    <s v="NY COMMUNITY"/>
    <x v="83"/>
    <n v="300443074.45999998"/>
    <x v="8"/>
  </r>
  <r>
    <s v="USAA"/>
    <x v="83"/>
    <n v="245275653.34"/>
    <x v="9"/>
  </r>
  <r>
    <s v="WELLS FARGO"/>
    <x v="84"/>
    <n v="8650842881.4500008"/>
    <x v="0"/>
  </r>
  <r>
    <s v="BANK OF AMERICA"/>
    <x v="84"/>
    <n v="6535117770.4499998"/>
    <x v="1"/>
  </r>
  <r>
    <s v="CHASE"/>
    <x v="84"/>
    <n v="5545327746.9499998"/>
    <x v="2"/>
  </r>
  <r>
    <s v="ALLY"/>
    <x v="84"/>
    <n v="2503047050.4899998"/>
    <x v="3"/>
  </r>
  <r>
    <s v="CITI"/>
    <x v="84"/>
    <n v="1427424064.8599999"/>
    <x v="4"/>
  </r>
  <r>
    <s v="PHH"/>
    <x v="84"/>
    <n v="932411839.5"/>
    <x v="5"/>
  </r>
  <r>
    <s v="SUNTRUST"/>
    <x v="84"/>
    <n v="649866638.75999999"/>
    <x v="6"/>
  </r>
  <r>
    <s v="FLAGSTAR"/>
    <x v="84"/>
    <n v="619739523.94000006"/>
    <x v="7"/>
  </r>
  <r>
    <s v="NY COMMUNITY"/>
    <x v="84"/>
    <n v="480853769.99000001"/>
    <x v="8"/>
  </r>
  <r>
    <s v="FIFTH THIRD"/>
    <x v="84"/>
    <n v="264978699.94999999"/>
    <x v="9"/>
  </r>
  <r>
    <s v="WELLS FARGO"/>
    <x v="85"/>
    <n v="10264966285.639999"/>
    <x v="0"/>
  </r>
  <r>
    <s v="BANK OF AMERICA"/>
    <x v="85"/>
    <n v="6666240706.8299999"/>
    <x v="1"/>
  </r>
  <r>
    <s v="ALLY"/>
    <x v="85"/>
    <n v="2676228021.5100002"/>
    <x v="2"/>
  </r>
  <r>
    <s v="CITI"/>
    <x v="85"/>
    <n v="2621195325.3299999"/>
    <x v="3"/>
  </r>
  <r>
    <s v="CHASE"/>
    <x v="85"/>
    <n v="2455237346.6399999"/>
    <x v="4"/>
  </r>
  <r>
    <s v="FLAGSTAR"/>
    <x v="85"/>
    <n v="1433781043.1500001"/>
    <x v="5"/>
  </r>
  <r>
    <s v="PHH"/>
    <x v="85"/>
    <n v="1342708519.8399999"/>
    <x v="6"/>
  </r>
  <r>
    <s v="SUNTRUST"/>
    <x v="85"/>
    <n v="1023917028.28"/>
    <x v="7"/>
  </r>
  <r>
    <s v="TD BANK, N.A."/>
    <x v="85"/>
    <n v="593439306.13"/>
    <x v="8"/>
  </r>
  <r>
    <s v="NY COMMUNITY"/>
    <x v="85"/>
    <n v="539726270.10000002"/>
    <x v="9"/>
  </r>
  <r>
    <s v="CHASE"/>
    <x v="86"/>
    <n v="12567511433.07"/>
    <x v="0"/>
  </r>
  <r>
    <s v="WELLS FARGO"/>
    <x v="86"/>
    <n v="12423016925.08"/>
    <x v="1"/>
  </r>
  <r>
    <s v="BANK OF AMERICA"/>
    <x v="86"/>
    <n v="8770914673.4699993"/>
    <x v="2"/>
  </r>
  <r>
    <s v="CITI"/>
    <x v="86"/>
    <n v="4455208312.8599997"/>
    <x v="3"/>
  </r>
  <r>
    <s v="ALLY"/>
    <x v="86"/>
    <n v="3628017416.1300001"/>
    <x v="4"/>
  </r>
  <r>
    <s v="FLAGSTAR"/>
    <x v="86"/>
    <n v="2078576416.8699999"/>
    <x v="5"/>
  </r>
  <r>
    <s v="PHH"/>
    <x v="86"/>
    <n v="1723198955.49"/>
    <x v="6"/>
  </r>
  <r>
    <s v="SUNTRUST"/>
    <x v="86"/>
    <n v="1111899953.1300001"/>
    <x v="7"/>
  </r>
  <r>
    <s v="NY COMMUNITY"/>
    <x v="86"/>
    <n v="963061126.65999997"/>
    <x v="8"/>
  </r>
  <r>
    <s v="QUICKEN"/>
    <x v="86"/>
    <n v="832572474.64999998"/>
    <x v="9"/>
  </r>
  <r>
    <s v="WELLS FARGO"/>
    <x v="87"/>
    <n v="13640971298.67"/>
    <x v="0"/>
  </r>
  <r>
    <s v="BANK OF AMERICA"/>
    <x v="87"/>
    <n v="7047136981.0299997"/>
    <x v="1"/>
  </r>
  <r>
    <s v="CHASE"/>
    <x v="87"/>
    <n v="7014707935.25"/>
    <x v="2"/>
  </r>
  <r>
    <s v="ALLY"/>
    <x v="87"/>
    <n v="4793824904.6700001"/>
    <x v="3"/>
  </r>
  <r>
    <s v="CITI"/>
    <x v="87"/>
    <n v="4517989951.6300001"/>
    <x v="4"/>
  </r>
  <r>
    <s v="PHH"/>
    <x v="87"/>
    <n v="1750513489.3299999"/>
    <x v="5"/>
  </r>
  <r>
    <s v="FLAGSTAR"/>
    <x v="87"/>
    <n v="1581926551.48"/>
    <x v="6"/>
  </r>
  <r>
    <s v="SUNTRUST"/>
    <x v="87"/>
    <n v="1232242691.3499999"/>
    <x v="7"/>
  </r>
  <r>
    <s v="QUICKEN"/>
    <x v="87"/>
    <n v="982787840.32000005"/>
    <x v="8"/>
  </r>
  <r>
    <s v="NY COMMUNITY"/>
    <x v="87"/>
    <n v="817765201.26999998"/>
    <x v="9"/>
  </r>
  <r>
    <s v="WELLS FARGO"/>
    <x v="88"/>
    <n v="12770630060.530001"/>
    <x v="0"/>
  </r>
  <r>
    <s v="BANK OF AMERICA"/>
    <x v="88"/>
    <n v="8048055292.0600004"/>
    <x v="1"/>
  </r>
  <r>
    <s v="CHASE"/>
    <x v="88"/>
    <n v="5641916957.5299997"/>
    <x v="2"/>
  </r>
  <r>
    <s v="ALLY"/>
    <x v="88"/>
    <n v="4603146722.4499998"/>
    <x v="3"/>
  </r>
  <r>
    <s v="CITI"/>
    <x v="88"/>
    <n v="3992411406.73"/>
    <x v="4"/>
  </r>
  <r>
    <s v="PHH"/>
    <x v="88"/>
    <n v="2184526963.1799998"/>
    <x v="5"/>
  </r>
  <r>
    <s v="QUICKEN"/>
    <x v="88"/>
    <n v="1748243152.5"/>
    <x v="6"/>
  </r>
  <r>
    <s v="FLAGSTAR"/>
    <x v="88"/>
    <n v="1648670960.6600001"/>
    <x v="7"/>
  </r>
  <r>
    <s v="SUNTRUST"/>
    <x v="88"/>
    <n v="1577607632.71"/>
    <x v="8"/>
  </r>
  <r>
    <s v="PROVIDENT FUNDING"/>
    <x v="88"/>
    <n v="1033949121.67"/>
    <x v="9"/>
  </r>
  <r>
    <s v="WELLS FARGO"/>
    <x v="89"/>
    <n v="14069204024.26"/>
    <x v="0"/>
  </r>
  <r>
    <s v="CHASE"/>
    <x v="89"/>
    <n v="13133524612.870001"/>
    <x v="1"/>
  </r>
  <r>
    <s v="BANK OF AMERICA"/>
    <x v="89"/>
    <n v="11641848064.200001"/>
    <x v="2"/>
  </r>
  <r>
    <s v="CITI"/>
    <x v="89"/>
    <n v="4429306561.8699999"/>
    <x v="3"/>
  </r>
  <r>
    <s v="ALLY"/>
    <x v="89"/>
    <n v="4060874385.6599998"/>
    <x v="4"/>
  </r>
  <r>
    <s v="SUNTRUST"/>
    <x v="89"/>
    <n v="1801951078.1099999"/>
    <x v="5"/>
  </r>
  <r>
    <s v="FLAGSTAR"/>
    <x v="89"/>
    <n v="1782436481.8499999"/>
    <x v="6"/>
  </r>
  <r>
    <s v="PHH"/>
    <x v="89"/>
    <n v="1208344418.1800001"/>
    <x v="7"/>
  </r>
  <r>
    <s v="QUICKEN"/>
    <x v="89"/>
    <n v="653806389.21000004"/>
    <x v="8"/>
  </r>
  <r>
    <s v="NY COMMUNITY"/>
    <x v="89"/>
    <n v="572032112.40999997"/>
    <x v="9"/>
  </r>
  <r>
    <s v="WELLS FARGO"/>
    <x v="90"/>
    <n v="14638512908.190001"/>
    <x v="0"/>
  </r>
  <r>
    <s v="BANK OF AMERICA"/>
    <x v="90"/>
    <n v="10027787623.24"/>
    <x v="1"/>
  </r>
  <r>
    <s v="CHASE"/>
    <x v="90"/>
    <n v="5437253796.8900003"/>
    <x v="2"/>
  </r>
  <r>
    <s v="CITI"/>
    <x v="90"/>
    <n v="4234558632.6799998"/>
    <x v="3"/>
  </r>
  <r>
    <s v="ALLY"/>
    <x v="90"/>
    <n v="3530173574.9400001"/>
    <x v="4"/>
  </r>
  <r>
    <s v="PHH"/>
    <x v="90"/>
    <n v="2434118122.3600001"/>
    <x v="5"/>
  </r>
  <r>
    <s v="FLAGSTAR"/>
    <x v="90"/>
    <n v="1648672345.8699999"/>
    <x v="6"/>
  </r>
  <r>
    <s v="SUNTRUST"/>
    <x v="90"/>
    <n v="1548157269.8499999"/>
    <x v="7"/>
  </r>
  <r>
    <s v="NY COMMUNITY"/>
    <x v="90"/>
    <n v="717011195.69000006"/>
    <x v="8"/>
  </r>
  <r>
    <s v="PNC"/>
    <x v="90"/>
    <n v="637830697.74000001"/>
    <x v="9"/>
  </r>
  <r>
    <s v="WELLS FARGO"/>
    <x v="91"/>
    <n v="12508600905.84"/>
    <x v="0"/>
  </r>
  <r>
    <s v="BANK OF AMERICA"/>
    <x v="91"/>
    <n v="9499450974.0100002"/>
    <x v="1"/>
  </r>
  <r>
    <s v="CHASE"/>
    <x v="91"/>
    <n v="4252809613.1300001"/>
    <x v="2"/>
  </r>
  <r>
    <s v="CITI"/>
    <x v="91"/>
    <n v="2430640972.3499999"/>
    <x v="3"/>
  </r>
  <r>
    <s v="PHH"/>
    <x v="91"/>
    <n v="2155592538.1999998"/>
    <x v="4"/>
  </r>
  <r>
    <s v="ALLY"/>
    <x v="91"/>
    <n v="1915347141.49"/>
    <x v="5"/>
  </r>
  <r>
    <s v="SUNTRUST"/>
    <x v="91"/>
    <n v="1243211245.6800001"/>
    <x v="6"/>
  </r>
  <r>
    <s v="FLAGSTAR"/>
    <x v="91"/>
    <n v="853570632.77999997"/>
    <x v="7"/>
  </r>
  <r>
    <s v="PNC"/>
    <x v="91"/>
    <n v="531626540.47000003"/>
    <x v="8"/>
  </r>
  <r>
    <s v="US BANK"/>
    <x v="91"/>
    <n v="439424127.80000001"/>
    <x v="9"/>
  </r>
  <r>
    <s v="CHASE"/>
    <x v="92"/>
    <n v="9375011832.8899994"/>
    <x v="0"/>
  </r>
  <r>
    <s v="WELLS FARGO"/>
    <x v="92"/>
    <n v="9367773473.6599998"/>
    <x v="1"/>
  </r>
  <r>
    <s v="BANK OF AMERICA"/>
    <x v="92"/>
    <n v="8533421708.3199997"/>
    <x v="2"/>
  </r>
  <r>
    <s v="CITI"/>
    <x v="92"/>
    <n v="2598991988.1199999"/>
    <x v="3"/>
  </r>
  <r>
    <s v="PHH"/>
    <x v="92"/>
    <n v="2120752517.71"/>
    <x v="4"/>
  </r>
  <r>
    <s v="ALLY"/>
    <x v="92"/>
    <n v="2106788705.9200001"/>
    <x v="5"/>
  </r>
  <r>
    <s v="SUNTRUST"/>
    <x v="92"/>
    <n v="1176664421.78"/>
    <x v="6"/>
  </r>
  <r>
    <s v="FLAGSTAR"/>
    <x v="92"/>
    <n v="734868464.33000004"/>
    <x v="7"/>
  </r>
  <r>
    <s v="PNC"/>
    <x v="92"/>
    <n v="569714776.50999999"/>
    <x v="8"/>
  </r>
  <r>
    <s v="USAA"/>
    <x v="92"/>
    <n v="300779235.80000001"/>
    <x v="9"/>
  </r>
  <r>
    <s v="WELLS FARGO"/>
    <x v="93"/>
    <n v="7263200622.4200001"/>
    <x v="0"/>
  </r>
  <r>
    <s v="BANK OF AMERICA"/>
    <x v="93"/>
    <n v="4713078509.5699997"/>
    <x v="1"/>
  </r>
  <r>
    <s v="CHASE"/>
    <x v="93"/>
    <n v="3745951222.4499998"/>
    <x v="2"/>
  </r>
  <r>
    <s v="CITI"/>
    <x v="93"/>
    <n v="2054389741.1600001"/>
    <x v="3"/>
  </r>
  <r>
    <s v="ALLY"/>
    <x v="93"/>
    <n v="1108476066.48"/>
    <x v="4"/>
  </r>
  <r>
    <s v="FLAGSTAR"/>
    <x v="93"/>
    <n v="809370651.20000005"/>
    <x v="5"/>
  </r>
  <r>
    <s v="SUNTRUST"/>
    <x v="93"/>
    <n v="670283683.65999997"/>
    <x v="6"/>
  </r>
  <r>
    <s v="PNC"/>
    <x v="93"/>
    <n v="551538786.36000001"/>
    <x v="7"/>
  </r>
  <r>
    <s v="PHH"/>
    <x v="93"/>
    <n v="453825981.13999999"/>
    <x v="8"/>
  </r>
  <r>
    <s v="REGIONS BANK"/>
    <x v="93"/>
    <n v="320408343.36000001"/>
    <x v="9"/>
  </r>
  <r>
    <s v="WELLS FARGO"/>
    <x v="94"/>
    <n v="6560805145.7200003"/>
    <x v="0"/>
  </r>
  <r>
    <s v="CHASE"/>
    <x v="94"/>
    <n v="4397294621.2799997"/>
    <x v="1"/>
  </r>
  <r>
    <s v="BANK OF AMERICA"/>
    <x v="94"/>
    <n v="2883072438.6100001"/>
    <x v="2"/>
  </r>
  <r>
    <s v="CITI"/>
    <x v="94"/>
    <n v="1717155852.23"/>
    <x v="3"/>
  </r>
  <r>
    <s v="ALLY"/>
    <x v="94"/>
    <n v="1705305796.3599999"/>
    <x v="4"/>
  </r>
  <r>
    <s v="FLAGSTAR"/>
    <x v="94"/>
    <n v="839564162.10000002"/>
    <x v="5"/>
  </r>
  <r>
    <s v="PHH"/>
    <x v="94"/>
    <n v="723728232.77999997"/>
    <x v="6"/>
  </r>
  <r>
    <s v="SUNTRUST"/>
    <x v="94"/>
    <n v="561654246.87"/>
    <x v="7"/>
  </r>
  <r>
    <s v="PNC"/>
    <x v="94"/>
    <n v="385476927.93000001"/>
    <x v="8"/>
  </r>
  <r>
    <s v="REGIONS BANK"/>
    <x v="94"/>
    <n v="272604276.86000001"/>
    <x v="9"/>
  </r>
  <r>
    <s v="WELLS FARGO"/>
    <x v="95"/>
    <n v="7723507087.5699997"/>
    <x v="0"/>
  </r>
  <r>
    <s v="CHASE"/>
    <x v="95"/>
    <n v="5521240960.25"/>
    <x v="1"/>
  </r>
  <r>
    <s v="ALLY"/>
    <x v="95"/>
    <n v="3125723742.4400001"/>
    <x v="2"/>
  </r>
  <r>
    <s v="BANK OF AMERICA"/>
    <x v="95"/>
    <n v="2890199494.2199998"/>
    <x v="3"/>
  </r>
  <r>
    <s v="CITI"/>
    <x v="95"/>
    <n v="1514700079.47"/>
    <x v="4"/>
  </r>
  <r>
    <s v="PHH"/>
    <x v="95"/>
    <n v="1249270995.0799999"/>
    <x v="5"/>
  </r>
  <r>
    <s v="SUNTRUST"/>
    <x v="95"/>
    <n v="598841873.17999995"/>
    <x v="6"/>
  </r>
  <r>
    <s v="FLAGSTAR"/>
    <x v="95"/>
    <n v="536900681"/>
    <x v="7"/>
  </r>
  <r>
    <s v="PNC"/>
    <x v="95"/>
    <n v="388098543.69999999"/>
    <x v="8"/>
  </r>
  <r>
    <s v="USAA"/>
    <x v="95"/>
    <n v="316608413.45999998"/>
    <x v="9"/>
  </r>
  <r>
    <s v="WELLS FARGO"/>
    <x v="96"/>
    <n v="5076597395.6099997"/>
    <x v="0"/>
  </r>
  <r>
    <s v="CHASE"/>
    <x v="96"/>
    <n v="3400992563.5999999"/>
    <x v="1"/>
  </r>
  <r>
    <s v="CITI"/>
    <x v="96"/>
    <n v="3392380514.9299998"/>
    <x v="2"/>
  </r>
  <r>
    <s v="BANK OF AMERICA"/>
    <x v="96"/>
    <n v="3145063452.5300002"/>
    <x v="3"/>
  </r>
  <r>
    <s v="ALLY"/>
    <x v="96"/>
    <n v="1613391642.05"/>
    <x v="4"/>
  </r>
  <r>
    <s v="FLAGSTAR"/>
    <x v="96"/>
    <n v="846856456.50999999"/>
    <x v="5"/>
  </r>
  <r>
    <s v="SUNTRUST"/>
    <x v="96"/>
    <n v="719443235.38"/>
    <x v="6"/>
  </r>
  <r>
    <s v="PHH"/>
    <x v="96"/>
    <n v="487930353.06999999"/>
    <x v="7"/>
  </r>
  <r>
    <s v="PNC"/>
    <x v="96"/>
    <n v="332388827"/>
    <x v="8"/>
  </r>
  <r>
    <s v="US BANK"/>
    <x v="96"/>
    <n v="212255776.69999999"/>
    <x v="9"/>
  </r>
  <r>
    <s v="WELLS FARGO"/>
    <x v="97"/>
    <n v="8026484432.2399998"/>
    <x v="0"/>
  </r>
  <r>
    <s v="CHASE"/>
    <x v="97"/>
    <n v="4546578204.5100002"/>
    <x v="1"/>
  </r>
  <r>
    <s v="BANK OF AMERICA"/>
    <x v="97"/>
    <n v="3689413886.0100002"/>
    <x v="2"/>
  </r>
  <r>
    <s v="ALLY"/>
    <x v="97"/>
    <n v="2312378626.5700002"/>
    <x v="3"/>
  </r>
  <r>
    <s v="CITI"/>
    <x v="97"/>
    <n v="1535462666.9400001"/>
    <x v="4"/>
  </r>
  <r>
    <s v="PHH"/>
    <x v="97"/>
    <n v="1488442307.6700001"/>
    <x v="5"/>
  </r>
  <r>
    <s v="FLAGSTAR"/>
    <x v="97"/>
    <n v="1235686134.8199999"/>
    <x v="6"/>
  </r>
  <r>
    <s v="SUNTRUST"/>
    <x v="97"/>
    <n v="723041247.12"/>
    <x v="7"/>
  </r>
  <r>
    <s v="PNC"/>
    <x v="97"/>
    <n v="257691149.83000001"/>
    <x v="8"/>
  </r>
  <r>
    <s v="USAA"/>
    <x v="97"/>
    <n v="245472900.08000001"/>
    <x v="9"/>
  </r>
  <r>
    <s v="WELLS FARGO"/>
    <x v="98"/>
    <n v="9630208171.6000004"/>
    <x v="0"/>
  </r>
  <r>
    <s v="CHASE"/>
    <x v="98"/>
    <n v="8148436625.0600004"/>
    <x v="1"/>
  </r>
  <r>
    <s v="ALLY"/>
    <x v="98"/>
    <n v="3379466287.0999999"/>
    <x v="2"/>
  </r>
  <r>
    <s v="BANK OF AMERICA"/>
    <x v="98"/>
    <n v="2834634956.2800002"/>
    <x v="3"/>
  </r>
  <r>
    <s v="CITI"/>
    <x v="98"/>
    <n v="2654243256.4699998"/>
    <x v="4"/>
  </r>
  <r>
    <s v="FLAGSTAR"/>
    <x v="98"/>
    <n v="1477823763.1900001"/>
    <x v="5"/>
  </r>
  <r>
    <s v="PHH"/>
    <x v="98"/>
    <n v="1064883083.64"/>
    <x v="6"/>
  </r>
  <r>
    <s v="QUICKEN"/>
    <x v="98"/>
    <n v="818515708.92999995"/>
    <x v="7"/>
  </r>
  <r>
    <s v="SUNTRUST"/>
    <x v="98"/>
    <n v="607535378.60000002"/>
    <x v="8"/>
  </r>
  <r>
    <s v="PNC"/>
    <x v="98"/>
    <n v="418073981.95999998"/>
    <x v="9"/>
  </r>
  <r>
    <s v="WELLS FARGO"/>
    <x v="99"/>
    <n v="11686443131.879999"/>
    <x v="0"/>
  </r>
  <r>
    <s v="CHASE"/>
    <x v="99"/>
    <n v="5088834053.8500004"/>
    <x v="1"/>
  </r>
  <r>
    <s v="CITI"/>
    <x v="99"/>
    <n v="3332262713.5100002"/>
    <x v="2"/>
  </r>
  <r>
    <s v="FLAGSTAR"/>
    <x v="99"/>
    <n v="2184906446.2199998"/>
    <x v="3"/>
  </r>
  <r>
    <s v="PHH"/>
    <x v="99"/>
    <n v="2122233597.4200001"/>
    <x v="4"/>
  </r>
  <r>
    <s v="BANK OF AMERICA"/>
    <x v="99"/>
    <n v="1990901215.54"/>
    <x v="5"/>
  </r>
  <r>
    <s v="ALLY"/>
    <x v="99"/>
    <n v="1808551858.1600001"/>
    <x v="6"/>
  </r>
  <r>
    <s v="QUICKEN"/>
    <x v="99"/>
    <n v="1099145883.3299999"/>
    <x v="7"/>
  </r>
  <r>
    <s v="SUNTRUST"/>
    <x v="99"/>
    <n v="781955044.85000002"/>
    <x v="8"/>
  </r>
  <r>
    <s v="NYCB MORTGAGE COMPANY, LLC"/>
    <x v="99"/>
    <n v="480704275.17000002"/>
    <x v="9"/>
  </r>
  <r>
    <s v="WELLS FARGO"/>
    <x v="100"/>
    <n v="14402413671.309999"/>
    <x v="0"/>
  </r>
  <r>
    <s v="CHASE"/>
    <x v="100"/>
    <n v="7892692642.7799997"/>
    <x v="1"/>
  </r>
  <r>
    <s v="CITI"/>
    <x v="100"/>
    <n v="4713649275.1999998"/>
    <x v="2"/>
  </r>
  <r>
    <s v="ALLY"/>
    <x v="100"/>
    <n v="3647920798.0700002"/>
    <x v="3"/>
  </r>
  <r>
    <s v="FLAGSTAR"/>
    <x v="100"/>
    <n v="2369417431.5700002"/>
    <x v="4"/>
  </r>
  <r>
    <s v="PHH"/>
    <x v="100"/>
    <n v="2089241126.1800001"/>
    <x v="5"/>
  </r>
  <r>
    <s v="BANK OF AMERICA"/>
    <x v="100"/>
    <n v="1479691577.53"/>
    <x v="6"/>
  </r>
  <r>
    <s v="QUICKEN"/>
    <x v="100"/>
    <n v="1412203171.1800001"/>
    <x v="7"/>
  </r>
  <r>
    <s v="NYCB MORTGAGE COMPANY, LLC"/>
    <x v="100"/>
    <n v="745106160.72000003"/>
    <x v="8"/>
  </r>
  <r>
    <s v="US BANK"/>
    <x v="100"/>
    <n v="551153369.42999995"/>
    <x v="9"/>
  </r>
  <r>
    <s v="WELLS FARGO"/>
    <x v="101"/>
    <n v="23209079451.07"/>
    <x v="0"/>
  </r>
  <r>
    <s v="CHASE"/>
    <x v="101"/>
    <n v="8093581984.6999998"/>
    <x v="1"/>
  </r>
  <r>
    <s v="CITI"/>
    <x v="101"/>
    <n v="4642114946.9700003"/>
    <x v="2"/>
  </r>
  <r>
    <s v="ALLY"/>
    <x v="101"/>
    <n v="4059865643.29"/>
    <x v="3"/>
  </r>
  <r>
    <s v="FLAGSTAR"/>
    <x v="101"/>
    <n v="2359023695.79"/>
    <x v="4"/>
  </r>
  <r>
    <s v="PHH"/>
    <x v="101"/>
    <n v="2314600375.54"/>
    <x v="5"/>
  </r>
  <r>
    <s v="QUICKEN"/>
    <x v="101"/>
    <n v="1120575680.53"/>
    <x v="6"/>
  </r>
  <r>
    <s v="BANK OF AMERICA"/>
    <x v="101"/>
    <n v="1111375517.51"/>
    <x v="7"/>
  </r>
  <r>
    <s v="NYCB MORTGAGE COMPANY, LLC"/>
    <x v="101"/>
    <n v="683743002.97000003"/>
    <x v="8"/>
  </r>
  <r>
    <s v="FIFTH THIRD"/>
    <x v="101"/>
    <n v="612015462.09000003"/>
    <x v="9"/>
  </r>
  <r>
    <s v="WELLS FARGO"/>
    <x v="102"/>
    <n v="15050460727.190001"/>
    <x v="0"/>
  </r>
  <r>
    <s v="CITI"/>
    <x v="102"/>
    <n v="4853233992.2700005"/>
    <x v="1"/>
  </r>
  <r>
    <s v="CHASE"/>
    <x v="102"/>
    <n v="4796151135.9200001"/>
    <x v="2"/>
  </r>
  <r>
    <s v="FLAGSTAR"/>
    <x v="102"/>
    <n v="2074382019.1199999"/>
    <x v="3"/>
  </r>
  <r>
    <s v="ALLY"/>
    <x v="102"/>
    <n v="1820085642.0799999"/>
    <x v="4"/>
  </r>
  <r>
    <s v="PHH"/>
    <x v="102"/>
    <n v="1616843705.9300001"/>
    <x v="5"/>
  </r>
  <r>
    <s v="QUICKEN"/>
    <x v="102"/>
    <n v="1320904264.2"/>
    <x v="6"/>
  </r>
  <r>
    <s v="BANK OF AMERICA"/>
    <x v="102"/>
    <n v="896797454.86000001"/>
    <x v="7"/>
  </r>
  <r>
    <s v="SUNTRUST"/>
    <x v="102"/>
    <n v="753973852.75999999"/>
    <x v="8"/>
  </r>
  <r>
    <s v="FIFTH THIRD"/>
    <x v="102"/>
    <n v="684074900.45000005"/>
    <x v="9"/>
  </r>
  <r>
    <s v="WELLS FARGO"/>
    <x v="103"/>
    <n v="14049256877.940001"/>
    <x v="0"/>
  </r>
  <r>
    <s v="CHASE"/>
    <x v="103"/>
    <n v="6006376585.1800003"/>
    <x v="1"/>
  </r>
  <r>
    <s v="FLAGSTAR"/>
    <x v="103"/>
    <n v="2735353783.9699998"/>
    <x v="2"/>
  </r>
  <r>
    <s v="CITI"/>
    <x v="103"/>
    <n v="2175926629.9400001"/>
    <x v="3"/>
  </r>
  <r>
    <s v="PHH"/>
    <x v="103"/>
    <n v="1847027442.4000001"/>
    <x v="4"/>
  </r>
  <r>
    <s v="QUICKEN"/>
    <x v="103"/>
    <n v="1757601309.22"/>
    <x v="5"/>
  </r>
  <r>
    <s v="ALLY"/>
    <x v="103"/>
    <n v="1392637011.05"/>
    <x v="6"/>
  </r>
  <r>
    <s v="SUNTRUST"/>
    <x v="103"/>
    <n v="955978630.90999997"/>
    <x v="7"/>
  </r>
  <r>
    <s v="US BANK"/>
    <x v="103"/>
    <n v="521440662.5"/>
    <x v="8"/>
  </r>
  <r>
    <s v="FIFTH THIRD"/>
    <x v="103"/>
    <n v="483206328.12"/>
    <x v="9"/>
  </r>
  <r>
    <s v="WELLS FARGO"/>
    <x v="104"/>
    <n v="30547686964.380001"/>
    <x v="0"/>
  </r>
  <r>
    <s v="CHASE"/>
    <x v="104"/>
    <n v="9441708451.4200001"/>
    <x v="1"/>
  </r>
  <r>
    <s v="CITI"/>
    <x v="104"/>
    <n v="3322405643.1199999"/>
    <x v="2"/>
  </r>
  <r>
    <s v="FLAGSTAR"/>
    <x v="104"/>
    <n v="2968862432.2199998"/>
    <x v="3"/>
  </r>
  <r>
    <s v="QUICKEN"/>
    <x v="104"/>
    <n v="2824281754.79"/>
    <x v="4"/>
  </r>
  <r>
    <s v="PHH"/>
    <x v="104"/>
    <n v="1919116424.9100001"/>
    <x v="5"/>
  </r>
  <r>
    <s v="ALLY"/>
    <x v="104"/>
    <n v="1497727107.4200001"/>
    <x v="6"/>
  </r>
  <r>
    <s v="SUNTRUST"/>
    <x v="104"/>
    <n v="1478766147.8"/>
    <x v="7"/>
  </r>
  <r>
    <s v="BANK OF AMERICA"/>
    <x v="104"/>
    <n v="1307576306.0799999"/>
    <x v="8"/>
  </r>
  <r>
    <s v="FRANKLIN AMERICAN MORTGAGE COMPANY"/>
    <x v="104"/>
    <n v="1188646337.95"/>
    <x v="9"/>
  </r>
  <r>
    <s v="WELLS FARGO"/>
    <x v="105"/>
    <n v="10497979104.360001"/>
    <x v="0"/>
  </r>
  <r>
    <s v="CHASE"/>
    <x v="105"/>
    <n v="5045445465.96"/>
    <x v="1"/>
  </r>
  <r>
    <s v="FLAGSTAR"/>
    <x v="105"/>
    <n v="2307288287.8400002"/>
    <x v="2"/>
  </r>
  <r>
    <s v="PHH"/>
    <x v="105"/>
    <n v="1497778473.45"/>
    <x v="3"/>
  </r>
  <r>
    <s v="CITI"/>
    <x v="105"/>
    <n v="1064772455.45"/>
    <x v="4"/>
  </r>
  <r>
    <s v="ALLY"/>
    <x v="105"/>
    <n v="975876845.86000001"/>
    <x v="5"/>
  </r>
  <r>
    <s v="QUICKEN"/>
    <x v="105"/>
    <n v="749628632.73000002"/>
    <x v="6"/>
  </r>
  <r>
    <s v="SUNTRUST"/>
    <x v="105"/>
    <n v="715750834.32000005"/>
    <x v="7"/>
  </r>
  <r>
    <s v="AMERICAN HOME MORTGAGE CORPORATION"/>
    <x v="105"/>
    <n v="473607098.20999998"/>
    <x v="8"/>
  </r>
  <r>
    <s v="BANK OF AMERICA"/>
    <x v="105"/>
    <n v="438945722.61000001"/>
    <x v="9"/>
  </r>
  <r>
    <s v="WELLS FARGO"/>
    <x v="106"/>
    <n v="20085553792.799999"/>
    <x v="0"/>
  </r>
  <r>
    <s v="CHASE"/>
    <x v="106"/>
    <n v="5672797241.4200001"/>
    <x v="1"/>
  </r>
  <r>
    <s v="FLAGSTAR"/>
    <x v="106"/>
    <n v="2837371203.46"/>
    <x v="2"/>
  </r>
  <r>
    <s v="QUICKEN"/>
    <x v="106"/>
    <n v="2688689221.8800001"/>
    <x v="3"/>
  </r>
  <r>
    <s v="CITI"/>
    <x v="106"/>
    <n v="2165287838.1799998"/>
    <x v="4"/>
  </r>
  <r>
    <s v="BANK OF AMERICA"/>
    <x v="106"/>
    <n v="1378945570.53"/>
    <x v="5"/>
  </r>
  <r>
    <s v="US BANK"/>
    <x v="106"/>
    <n v="1155522324.5799999"/>
    <x v="6"/>
  </r>
  <r>
    <s v="SUNTRUST"/>
    <x v="106"/>
    <n v="1115152704.5899999"/>
    <x v="7"/>
  </r>
  <r>
    <s v="PHH"/>
    <x v="106"/>
    <n v="1078652286.0999999"/>
    <x v="8"/>
  </r>
  <r>
    <s v="ALLY"/>
    <x v="106"/>
    <n v="807433941.49000001"/>
    <x v="9"/>
  </r>
  <r>
    <s v="WELLS FARGO"/>
    <x v="107"/>
    <n v="12490413319.5"/>
    <x v="0"/>
  </r>
  <r>
    <s v="CHASE"/>
    <x v="107"/>
    <n v="7036329639.4899998"/>
    <x v="1"/>
  </r>
  <r>
    <s v="FLAGSTAR"/>
    <x v="107"/>
    <n v="2594295416.6100001"/>
    <x v="2"/>
  </r>
  <r>
    <s v="CITI"/>
    <x v="107"/>
    <n v="2114310416.24"/>
    <x v="3"/>
  </r>
  <r>
    <s v="QUICKEN"/>
    <x v="107"/>
    <n v="2083801978.74"/>
    <x v="4"/>
  </r>
  <r>
    <s v="BANK OF AMERICA"/>
    <x v="107"/>
    <n v="2018906100.1300001"/>
    <x v="5"/>
  </r>
  <r>
    <s v="SUNTRUST"/>
    <x v="107"/>
    <n v="1819644112.4000001"/>
    <x v="6"/>
  </r>
  <r>
    <s v="ALLY"/>
    <x v="107"/>
    <n v="1462187564.1500001"/>
    <x v="7"/>
  </r>
  <r>
    <s v="PHH"/>
    <x v="107"/>
    <n v="1354198848.0599999"/>
    <x v="8"/>
  </r>
  <r>
    <s v="US BANK"/>
    <x v="107"/>
    <n v="1077841105.76"/>
    <x v="9"/>
  </r>
  <r>
    <s v="WELLS FARGO"/>
    <x v="108"/>
    <n v="17722445723.59"/>
    <x v="0"/>
  </r>
  <r>
    <s v="CHASE"/>
    <x v="108"/>
    <n v="5805711544.7600002"/>
    <x v="1"/>
  </r>
  <r>
    <s v="QUICKEN"/>
    <x v="108"/>
    <n v="3642919334.4899998"/>
    <x v="2"/>
  </r>
  <r>
    <s v="FLAGSTAR"/>
    <x v="108"/>
    <n v="3200713245.7600002"/>
    <x v="3"/>
  </r>
  <r>
    <s v="CITI"/>
    <x v="108"/>
    <n v="2010779432.79"/>
    <x v="4"/>
  </r>
  <r>
    <s v="ALLY"/>
    <x v="108"/>
    <n v="1545512293.75"/>
    <x v="5"/>
  </r>
  <r>
    <s v="PHH"/>
    <x v="108"/>
    <n v="1393815043.55"/>
    <x v="6"/>
  </r>
  <r>
    <s v="SUNTRUST"/>
    <x v="108"/>
    <n v="1313834958.79"/>
    <x v="7"/>
  </r>
  <r>
    <s v="BANK OF AMERICA"/>
    <x v="108"/>
    <n v="1261050205.1800001"/>
    <x v="8"/>
  </r>
  <r>
    <s v="PNC"/>
    <x v="108"/>
    <n v="885810800.47000003"/>
    <x v="9"/>
  </r>
  <r>
    <s v="WELLS FARGO"/>
    <x v="109"/>
    <n v="15450764934.82"/>
    <x v="0"/>
  </r>
  <r>
    <s v="CHASE"/>
    <x v="109"/>
    <n v="8415301500.0699997"/>
    <x v="1"/>
  </r>
  <r>
    <s v="QUICKEN"/>
    <x v="109"/>
    <n v="4782260991.4399996"/>
    <x v="2"/>
  </r>
  <r>
    <s v="FLAGSTAR"/>
    <x v="109"/>
    <n v="3581253979.6700001"/>
    <x v="3"/>
  </r>
  <r>
    <s v="CITI"/>
    <x v="109"/>
    <n v="2263175580.0799999"/>
    <x v="4"/>
  </r>
  <r>
    <s v="BANK OF AMERICA"/>
    <x v="109"/>
    <n v="2041166208.9200001"/>
    <x v="5"/>
  </r>
  <r>
    <s v="ALLY"/>
    <x v="109"/>
    <n v="1681290589.78"/>
    <x v="6"/>
  </r>
  <r>
    <s v="SUNTRUST"/>
    <x v="109"/>
    <n v="1443631118.3499999"/>
    <x v="7"/>
  </r>
  <r>
    <s v="PHH"/>
    <x v="109"/>
    <n v="1298624220.6199999"/>
    <x v="8"/>
  </r>
  <r>
    <s v="FRANKLIN AMERICAN MORTGAGE COMPANY"/>
    <x v="109"/>
    <n v="936397289.01999998"/>
    <x v="9"/>
  </r>
  <r>
    <s v="WELLS FARGO"/>
    <x v="110"/>
    <n v="15515154908.18"/>
    <x v="0"/>
  </r>
  <r>
    <s v="CHASE"/>
    <x v="110"/>
    <n v="9589348332.7900009"/>
    <x v="1"/>
  </r>
  <r>
    <s v="QUICKEN"/>
    <x v="110"/>
    <n v="4912389510.3100004"/>
    <x v="2"/>
  </r>
  <r>
    <s v="CITI"/>
    <x v="110"/>
    <n v="3442130927.8200002"/>
    <x v="3"/>
  </r>
  <r>
    <s v="FLAGSTAR"/>
    <x v="110"/>
    <n v="3359844224.2199998"/>
    <x v="4"/>
  </r>
  <r>
    <s v="ALLY"/>
    <x v="110"/>
    <n v="1966201200.96"/>
    <x v="5"/>
  </r>
  <r>
    <s v="SUNTRUST"/>
    <x v="110"/>
    <n v="1681914929.71"/>
    <x v="6"/>
  </r>
  <r>
    <s v="PHH"/>
    <x v="110"/>
    <n v="1583385329.6199999"/>
    <x v="7"/>
  </r>
  <r>
    <s v="BANK OF AMERICA"/>
    <x v="110"/>
    <n v="1184012805.45"/>
    <x v="8"/>
  </r>
  <r>
    <s v="PENNYMAC CORP."/>
    <x v="110"/>
    <n v="945225066.88999999"/>
    <x v="9"/>
  </r>
  <r>
    <s v="WELLS FARGO"/>
    <x v="111"/>
    <n v="13208748904.610001"/>
    <x v="0"/>
  </r>
  <r>
    <s v="CHASE"/>
    <x v="111"/>
    <n v="4495620611.7799997"/>
    <x v="1"/>
  </r>
  <r>
    <s v="QUICKEN"/>
    <x v="111"/>
    <n v="4259407226.3299999"/>
    <x v="2"/>
  </r>
  <r>
    <s v="FLAGSTAR"/>
    <x v="111"/>
    <n v="3094481674.0799999"/>
    <x v="3"/>
  </r>
  <r>
    <s v="SUNTRUST"/>
    <x v="111"/>
    <n v="1987303253.45"/>
    <x v="4"/>
  </r>
  <r>
    <s v="BANK OF AMERICA"/>
    <x v="111"/>
    <n v="1968182126.6199999"/>
    <x v="5"/>
  </r>
  <r>
    <s v="PENNYMAC CORP."/>
    <x v="111"/>
    <n v="1732847138.78"/>
    <x v="6"/>
  </r>
  <r>
    <s v="ALLY"/>
    <x v="111"/>
    <n v="1666900687.8199999"/>
    <x v="7"/>
  </r>
  <r>
    <s v="PHH"/>
    <x v="111"/>
    <n v="1072372364.4"/>
    <x v="8"/>
  </r>
  <r>
    <s v="CITI"/>
    <x v="111"/>
    <n v="1024767722.17"/>
    <x v="9"/>
  </r>
  <r>
    <s v="WELLS FARGO"/>
    <x v="112"/>
    <n v="18561639674.389999"/>
    <x v="0"/>
  </r>
  <r>
    <s v="CHASE"/>
    <x v="112"/>
    <n v="7624851409.7200003"/>
    <x v="1"/>
  </r>
  <r>
    <s v="QUICKEN"/>
    <x v="112"/>
    <n v="5306609068.2399998"/>
    <x v="2"/>
  </r>
  <r>
    <s v="FLAGSTAR"/>
    <x v="112"/>
    <n v="3874518072.98"/>
    <x v="3"/>
  </r>
  <r>
    <s v="CITI"/>
    <x v="112"/>
    <n v="3010090931.3099999"/>
    <x v="4"/>
  </r>
  <r>
    <s v="BANK OF AMERICA"/>
    <x v="112"/>
    <n v="2405929122.71"/>
    <x v="5"/>
  </r>
  <r>
    <s v="PENNYMAC CORP."/>
    <x v="112"/>
    <n v="2250728428.04"/>
    <x v="6"/>
  </r>
  <r>
    <s v="ALLY"/>
    <x v="112"/>
    <n v="1993515527.46"/>
    <x v="7"/>
  </r>
  <r>
    <s v="PROVIDENT FUNDING"/>
    <x v="112"/>
    <n v="1584714943.46"/>
    <x v="8"/>
  </r>
  <r>
    <s v="SUNTRUST"/>
    <x v="112"/>
    <n v="1546089705.53"/>
    <x v="9"/>
  </r>
  <r>
    <s v="WELLS FARGO"/>
    <x v="113"/>
    <n v="5514998779.8199997"/>
    <x v="0"/>
  </r>
  <r>
    <s v="CHASE"/>
    <x v="113"/>
    <n v="5430680984.2200003"/>
    <x v="1"/>
  </r>
  <r>
    <s v="QUICKEN"/>
    <x v="113"/>
    <n v="4854996551.6700001"/>
    <x v="2"/>
  </r>
  <r>
    <s v="FLAGSTAR"/>
    <x v="113"/>
    <n v="3904061336.3899999"/>
    <x v="3"/>
  </r>
  <r>
    <s v="ALLY"/>
    <x v="113"/>
    <n v="2417312711.3600001"/>
    <x v="4"/>
  </r>
  <r>
    <s v="PENNYMAC CORP."/>
    <x v="113"/>
    <n v="1428718132.8699999"/>
    <x v="5"/>
  </r>
  <r>
    <s v="BANK OF AMERICA"/>
    <x v="113"/>
    <n v="1299415806.4100001"/>
    <x v="6"/>
  </r>
  <r>
    <s v="US BANK"/>
    <x v="113"/>
    <n v="1174707913.27"/>
    <x v="7"/>
  </r>
  <r>
    <s v="CITI"/>
    <x v="113"/>
    <n v="1056573970.66"/>
    <x v="8"/>
  </r>
  <r>
    <s v="SUNTRUST"/>
    <x v="113"/>
    <n v="979925672.88999999"/>
    <x v="9"/>
  </r>
  <r>
    <s v="WELLS FARGO"/>
    <x v="114"/>
    <n v="12330874909.370001"/>
    <x v="0"/>
  </r>
  <r>
    <s v="CHASE"/>
    <x v="114"/>
    <n v="7204104917.6300001"/>
    <x v="1"/>
  </r>
  <r>
    <s v="QUICKEN"/>
    <x v="114"/>
    <n v="5966617258.3500004"/>
    <x v="2"/>
  </r>
  <r>
    <s v="FLAGSTAR"/>
    <x v="114"/>
    <n v="3547658348.7199998"/>
    <x v="3"/>
  </r>
  <r>
    <s v="ALLY"/>
    <x v="114"/>
    <n v="2348959566.2800002"/>
    <x v="4"/>
  </r>
  <r>
    <s v="PENNYMAC CORP."/>
    <x v="114"/>
    <n v="1997102160.27"/>
    <x v="5"/>
  </r>
  <r>
    <s v="BANK OF AMERICA"/>
    <x v="114"/>
    <n v="1897359310.29"/>
    <x v="6"/>
  </r>
  <r>
    <s v="CITI"/>
    <x v="114"/>
    <n v="1610688422.49"/>
    <x v="7"/>
  </r>
  <r>
    <s v="PHH"/>
    <x v="114"/>
    <n v="1597255113.6800001"/>
    <x v="8"/>
  </r>
  <r>
    <s v="SUNTRUST"/>
    <x v="114"/>
    <n v="1416718881.03"/>
    <x v="9"/>
  </r>
  <r>
    <s v="WELLS FARGO"/>
    <x v="115"/>
    <n v="11762868452.809999"/>
    <x v="0"/>
  </r>
  <r>
    <s v="CHASE"/>
    <x v="115"/>
    <n v="7145425651.6099997"/>
    <x v="1"/>
  </r>
  <r>
    <s v="QUICKEN"/>
    <x v="115"/>
    <n v="5058886938.4799995"/>
    <x v="2"/>
  </r>
  <r>
    <s v="CITI"/>
    <x v="115"/>
    <n v="4794489644.7399998"/>
    <x v="3"/>
  </r>
  <r>
    <s v="FLAGSTAR"/>
    <x v="115"/>
    <n v="3063653790.4200001"/>
    <x v="4"/>
  </r>
  <r>
    <s v="BANK OF AMERICA"/>
    <x v="115"/>
    <n v="2016668573.79"/>
    <x v="5"/>
  </r>
  <r>
    <s v="ALLY"/>
    <x v="115"/>
    <n v="1926771112.8099999"/>
    <x v="6"/>
  </r>
  <r>
    <s v="SUNTRUST"/>
    <x v="115"/>
    <n v="1807672705.3199999"/>
    <x v="7"/>
  </r>
  <r>
    <s v="PHH"/>
    <x v="115"/>
    <n v="1302704294.5799999"/>
    <x v="8"/>
  </r>
  <r>
    <s v="US BANK"/>
    <x v="115"/>
    <n v="1242590343.3800001"/>
    <x v="9"/>
  </r>
  <r>
    <s v="WELLS FARGO"/>
    <x v="116"/>
    <n v="9980934177.1000004"/>
    <x v="0"/>
  </r>
  <r>
    <s v="CHASE"/>
    <x v="116"/>
    <n v="6886584084.6800003"/>
    <x v="1"/>
  </r>
  <r>
    <s v="QUICKEN"/>
    <x v="116"/>
    <n v="4559782207.0600004"/>
    <x v="2"/>
  </r>
  <r>
    <s v="CITI"/>
    <x v="116"/>
    <n v="2479680401.48"/>
    <x v="3"/>
  </r>
  <r>
    <s v="BANK OF AMERICA"/>
    <x v="116"/>
    <n v="2298720470.3699999"/>
    <x v="4"/>
  </r>
  <r>
    <s v="FLAGSTAR"/>
    <x v="116"/>
    <n v="1898208233.29"/>
    <x v="5"/>
  </r>
  <r>
    <s v="SUNTRUST"/>
    <x v="116"/>
    <n v="1849709012.8599999"/>
    <x v="6"/>
  </r>
  <r>
    <s v="PHH"/>
    <x v="116"/>
    <n v="797265609.63999999"/>
    <x v="7"/>
  </r>
  <r>
    <s v="ALLY"/>
    <x v="116"/>
    <n v="714987470.79999995"/>
    <x v="8"/>
  </r>
  <r>
    <s v="PROVIDENT FUNDING"/>
    <x v="116"/>
    <n v="701559342.30999994"/>
    <x v="9"/>
  </r>
  <r>
    <s v="WELLS FARGO"/>
    <x v="117"/>
    <n v="10647976949.73"/>
    <x v="0"/>
  </r>
  <r>
    <s v="CHASE"/>
    <x v="117"/>
    <n v="6492413731.9499998"/>
    <x v="1"/>
  </r>
  <r>
    <s v="CITI"/>
    <x v="117"/>
    <n v="4584046912.8000002"/>
    <x v="2"/>
  </r>
  <r>
    <s v="QUICKEN"/>
    <x v="117"/>
    <n v="4116486836.2199998"/>
    <x v="3"/>
  </r>
  <r>
    <s v="BANK OF AMERICA"/>
    <x v="117"/>
    <n v="3506379585.9299998"/>
    <x v="4"/>
  </r>
  <r>
    <s v="FLAGSTAR"/>
    <x v="117"/>
    <n v="2860219926.48"/>
    <x v="5"/>
  </r>
  <r>
    <s v="US BANK"/>
    <x v="117"/>
    <n v="1593764921.78"/>
    <x v="6"/>
  </r>
  <r>
    <s v="PHH"/>
    <x v="117"/>
    <n v="1048561400.36"/>
    <x v="7"/>
  </r>
  <r>
    <s v="NATIONSTAR"/>
    <x v="117"/>
    <n v="1034194462.79"/>
    <x v="8"/>
  </r>
  <r>
    <s v="PROVIDENT FUNDING"/>
    <x v="117"/>
    <n v="1029514462.89"/>
    <x v="9"/>
  </r>
  <r>
    <s v="WELLS FARGO"/>
    <x v="118"/>
    <n v="16378355650.98"/>
    <x v="0"/>
  </r>
  <r>
    <s v="CHASE"/>
    <x v="118"/>
    <n v="5570903232.0500002"/>
    <x v="1"/>
  </r>
  <r>
    <s v="CITI"/>
    <x v="118"/>
    <n v="3906418369.8600001"/>
    <x v="2"/>
  </r>
  <r>
    <s v="QUICKEN"/>
    <x v="118"/>
    <n v="3451450904.1700001"/>
    <x v="3"/>
  </r>
  <r>
    <s v="BANK OF AMERICA"/>
    <x v="118"/>
    <n v="2168058843.5500002"/>
    <x v="4"/>
  </r>
  <r>
    <s v="SUNTRUST"/>
    <x v="118"/>
    <n v="1871436657.03"/>
    <x v="5"/>
  </r>
  <r>
    <s v="FLAGSTAR"/>
    <x v="118"/>
    <n v="1853026355.25"/>
    <x v="6"/>
  </r>
  <r>
    <s v="GREEN TREE SERVICING, LLC"/>
    <x v="118"/>
    <n v="1108278332"/>
    <x v="7"/>
  </r>
  <r>
    <s v="PHH"/>
    <x v="118"/>
    <n v="975136764.05999994"/>
    <x v="8"/>
  </r>
  <r>
    <s v="PROVIDENT FUNDING"/>
    <x v="118"/>
    <n v="873269722.52999997"/>
    <x v="9"/>
  </r>
  <r>
    <s v="WELLS FARGO"/>
    <x v="119"/>
    <n v="15177156622.67"/>
    <x v="0"/>
  </r>
  <r>
    <s v="CHASE"/>
    <x v="119"/>
    <n v="4532716807.6599998"/>
    <x v="1"/>
  </r>
  <r>
    <s v="QUICKEN"/>
    <x v="119"/>
    <n v="4046227360.8000002"/>
    <x v="2"/>
  </r>
  <r>
    <s v="CITI"/>
    <x v="119"/>
    <n v="2617912861.6999998"/>
    <x v="3"/>
  </r>
  <r>
    <s v="BANK OF AMERICA"/>
    <x v="119"/>
    <n v="2389540542.1700001"/>
    <x v="4"/>
  </r>
  <r>
    <s v="FLAGSTAR"/>
    <x v="119"/>
    <n v="1992445611.8499999"/>
    <x v="5"/>
  </r>
  <r>
    <s v="GREEN TREE SERVICING, LLC"/>
    <x v="119"/>
    <n v="1563390928.6700001"/>
    <x v="6"/>
  </r>
  <r>
    <s v="PROVIDENT FUNDING"/>
    <x v="119"/>
    <n v="1165394823.78"/>
    <x v="7"/>
  </r>
  <r>
    <s v="NATIONSTAR"/>
    <x v="119"/>
    <n v="990997193.94000006"/>
    <x v="8"/>
  </r>
  <r>
    <s v="PHH"/>
    <x v="119"/>
    <n v="565834449.23000002"/>
    <x v="9"/>
  </r>
  <r>
    <s v="WELLS FARGO"/>
    <x v="120"/>
    <n v="16749167656.17"/>
    <x v="0"/>
  </r>
  <r>
    <s v="QUICKEN"/>
    <x v="120"/>
    <n v="4431900841.0100002"/>
    <x v="1"/>
  </r>
  <r>
    <s v="CHASE"/>
    <x v="120"/>
    <n v="3137222205.3800001"/>
    <x v="2"/>
  </r>
  <r>
    <s v="CITI"/>
    <x v="120"/>
    <n v="2930451579.5999999"/>
    <x v="3"/>
  </r>
  <r>
    <s v="FLAGSTAR"/>
    <x v="120"/>
    <n v="2282103654.0900002"/>
    <x v="4"/>
  </r>
  <r>
    <s v="GREEN TREE SERVICING, LLC"/>
    <x v="120"/>
    <n v="2166674852.6700001"/>
    <x v="5"/>
  </r>
  <r>
    <s v="BANK OF AMERICA"/>
    <x v="120"/>
    <n v="1994105036.03"/>
    <x v="6"/>
  </r>
  <r>
    <s v="NATIONSTAR"/>
    <x v="120"/>
    <n v="1563932131.55"/>
    <x v="7"/>
  </r>
  <r>
    <s v="PENNYMAC CORP."/>
    <x v="120"/>
    <n v="1139966393.8199999"/>
    <x v="8"/>
  </r>
  <r>
    <s v="PHH"/>
    <x v="120"/>
    <n v="711987173.45000005"/>
    <x v="9"/>
  </r>
  <r>
    <s v="WELLS FARGO"/>
    <x v="121"/>
    <n v="15517116259.82"/>
    <x v="0"/>
  </r>
  <r>
    <s v="QUICKEN"/>
    <x v="121"/>
    <n v="4099763945.7399998"/>
    <x v="1"/>
  </r>
  <r>
    <s v="NATIONSTAR"/>
    <x v="121"/>
    <n v="2861460099.5799999"/>
    <x v="2"/>
  </r>
  <r>
    <s v="CHASE"/>
    <x v="121"/>
    <n v="2535693044.8800001"/>
    <x v="3"/>
  </r>
  <r>
    <s v="CITI"/>
    <x v="121"/>
    <n v="2233807570.8600001"/>
    <x v="4"/>
  </r>
  <r>
    <s v="GREEN TREE SERVICING, LLC"/>
    <x v="121"/>
    <n v="2152825718.3000002"/>
    <x v="5"/>
  </r>
  <r>
    <s v="FLAGSTAR"/>
    <x v="121"/>
    <n v="1790973007.52"/>
    <x v="6"/>
  </r>
  <r>
    <s v="BANK OF AMERICA"/>
    <x v="121"/>
    <n v="1718538173.28"/>
    <x v="7"/>
  </r>
  <r>
    <s v="FRANKLIN AMERICAN MORTGAGE COMPANY"/>
    <x v="121"/>
    <n v="1295687786.72"/>
    <x v="8"/>
  </r>
  <r>
    <s v="SUNTRUST"/>
    <x v="121"/>
    <n v="912925948.12"/>
    <x v="9"/>
  </r>
  <r>
    <s v="WELLS FARGO"/>
    <x v="122"/>
    <n v="12736272274.200001"/>
    <x v="0"/>
  </r>
  <r>
    <s v="CHASE"/>
    <x v="122"/>
    <n v="3244376454.9099998"/>
    <x v="1"/>
  </r>
  <r>
    <s v="CITI"/>
    <x v="122"/>
    <n v="2756386822.5100002"/>
    <x v="2"/>
  </r>
  <r>
    <s v="QUICKEN"/>
    <x v="122"/>
    <n v="2353070457.5900002"/>
    <x v="3"/>
  </r>
  <r>
    <s v="GREEN TREE SERVICING, LLC"/>
    <x v="122"/>
    <n v="1808657114.72"/>
    <x v="4"/>
  </r>
  <r>
    <s v="NATIONSTAR"/>
    <x v="122"/>
    <n v="1339478926.28"/>
    <x v="5"/>
  </r>
  <r>
    <s v="FLAGSTAR"/>
    <x v="122"/>
    <n v="1178857899.45"/>
    <x v="6"/>
  </r>
  <r>
    <s v="BANK OF AMERICA"/>
    <x v="122"/>
    <n v="1074960568.03"/>
    <x v="7"/>
  </r>
  <r>
    <s v="FRANKLIN AMERICAN MORTGAGE COMPANY"/>
    <x v="122"/>
    <n v="967298891.16999996"/>
    <x v="8"/>
  </r>
  <r>
    <s v="PHH"/>
    <x v="122"/>
    <n v="605181497.16999996"/>
    <x v="9"/>
  </r>
  <r>
    <s v="WELLS FARGO"/>
    <x v="123"/>
    <n v="9023886132.7900009"/>
    <x v="0"/>
  </r>
  <r>
    <s v="CHASE"/>
    <x v="123"/>
    <n v="2224516923.4400001"/>
    <x v="1"/>
  </r>
  <r>
    <s v="QUICKEN"/>
    <x v="123"/>
    <n v="1845973493.28"/>
    <x v="2"/>
  </r>
  <r>
    <s v="NATIONSTAR"/>
    <x v="123"/>
    <n v="1714263954.01"/>
    <x v="3"/>
  </r>
  <r>
    <s v="GREEN TREE SERVICING, LLC"/>
    <x v="123"/>
    <n v="1625261801.0699999"/>
    <x v="4"/>
  </r>
  <r>
    <s v="CITI"/>
    <x v="123"/>
    <n v="1548644985.6900001"/>
    <x v="5"/>
  </r>
  <r>
    <s v="FLAGSTAR"/>
    <x v="123"/>
    <n v="1277248858.6700001"/>
    <x v="6"/>
  </r>
  <r>
    <s v="BANK OF AMERICA"/>
    <x v="123"/>
    <n v="862988410.10000002"/>
    <x v="7"/>
  </r>
  <r>
    <s v="FRANKLIN AMERICAN MORTGAGE COMPANY"/>
    <x v="123"/>
    <n v="766705889.39999998"/>
    <x v="8"/>
  </r>
  <r>
    <s v="PHH"/>
    <x v="123"/>
    <n v="748285780.59000003"/>
    <x v="9"/>
  </r>
  <r>
    <s v="WELLS FARGO"/>
    <x v="124"/>
    <n v="7160448808.71"/>
    <x v="0"/>
  </r>
  <r>
    <s v="CHASE"/>
    <x v="124"/>
    <n v="3275629193.4299998"/>
    <x v="1"/>
  </r>
  <r>
    <s v="QUICKEN"/>
    <x v="124"/>
    <n v="1689487463.0999999"/>
    <x v="2"/>
  </r>
  <r>
    <s v="CITI"/>
    <x v="124"/>
    <n v="1401145120.4400001"/>
    <x v="3"/>
  </r>
  <r>
    <s v="FLAGSTAR"/>
    <x v="124"/>
    <n v="1385947039.5999999"/>
    <x v="4"/>
  </r>
  <r>
    <s v="GREEN TREE SERVICING, LLC"/>
    <x v="124"/>
    <n v="1234168380.74"/>
    <x v="5"/>
  </r>
  <r>
    <s v="NATIONSTAR"/>
    <x v="124"/>
    <n v="883068620.78999996"/>
    <x v="6"/>
  </r>
  <r>
    <s v="BANK OF AMERICA"/>
    <x v="124"/>
    <n v="834319839.09000003"/>
    <x v="7"/>
  </r>
  <r>
    <s v="PHH"/>
    <x v="124"/>
    <n v="553098374.40999997"/>
    <x v="8"/>
  </r>
  <r>
    <s v="ROUNDPOINT MORTGAGE SERVICING CORPORATIO"/>
    <x v="124"/>
    <n v="478405453.45999998"/>
    <x v="9"/>
  </r>
  <r>
    <s v="WELLS FARGO"/>
    <x v="125"/>
    <n v="5970250118.0100002"/>
    <x v="0"/>
  </r>
  <r>
    <s v="CHASE"/>
    <x v="125"/>
    <n v="2207793813.1599998"/>
    <x v="1"/>
  </r>
  <r>
    <s v="GREEN TREE SERVICING, LLC"/>
    <x v="125"/>
    <n v="1555357392.6700001"/>
    <x v="2"/>
  </r>
  <r>
    <s v="QUICKEN"/>
    <x v="125"/>
    <n v="1417769963.4200001"/>
    <x v="3"/>
  </r>
  <r>
    <s v="NATIONSTAR"/>
    <x v="125"/>
    <n v="1067961270.72"/>
    <x v="4"/>
  </r>
  <r>
    <s v="CITI"/>
    <x v="125"/>
    <n v="1061697850.64"/>
    <x v="5"/>
  </r>
  <r>
    <s v="FLAGSTAR"/>
    <x v="125"/>
    <n v="966432689.55999994"/>
    <x v="6"/>
  </r>
  <r>
    <s v="BANK OF AMERICA"/>
    <x v="125"/>
    <n v="646947732.10000002"/>
    <x v="7"/>
  </r>
  <r>
    <s v="PHH"/>
    <x v="125"/>
    <n v="423629042.22000003"/>
    <x v="8"/>
  </r>
  <r>
    <s v="FREEDOM"/>
    <x v="125"/>
    <n v="395465549.91000003"/>
    <x v="9"/>
  </r>
  <r>
    <s v="WELLS FARGO"/>
    <x v="126"/>
    <n v="2787339203.8600001"/>
    <x v="0"/>
  </r>
  <r>
    <s v="QUICKEN"/>
    <x v="126"/>
    <n v="1754359485.8099999"/>
    <x v="1"/>
  </r>
  <r>
    <s v="CHASE"/>
    <x v="126"/>
    <n v="1687480050.0599999"/>
    <x v="2"/>
  </r>
  <r>
    <s v="GREEN TREE SERVICING, LLC"/>
    <x v="126"/>
    <n v="1337275043.49"/>
    <x v="3"/>
  </r>
  <r>
    <s v="NATIONSTAR"/>
    <x v="126"/>
    <n v="1054634095.39"/>
    <x v="4"/>
  </r>
  <r>
    <s v="CITI"/>
    <x v="126"/>
    <n v="772623567.57000005"/>
    <x v="5"/>
  </r>
  <r>
    <s v="FLAGSTAR"/>
    <x v="126"/>
    <n v="608831623.90999997"/>
    <x v="6"/>
  </r>
  <r>
    <s v="BANK OF AMERICA"/>
    <x v="126"/>
    <n v="437423782.51999998"/>
    <x v="7"/>
  </r>
  <r>
    <s v="FREEDOM"/>
    <x v="126"/>
    <n v="382102212.56"/>
    <x v="8"/>
  </r>
  <r>
    <s v="PHH"/>
    <x v="126"/>
    <n v="380420991.08999997"/>
    <x v="9"/>
  </r>
  <r>
    <s v="WELLS FARGO"/>
    <x v="127"/>
    <n v="3860179857.6700001"/>
    <x v="0"/>
  </r>
  <r>
    <s v="CHASE"/>
    <x v="127"/>
    <n v="2055501949.8099999"/>
    <x v="1"/>
  </r>
  <r>
    <s v="QUICKEN"/>
    <x v="127"/>
    <n v="1916682883.5699999"/>
    <x v="2"/>
  </r>
  <r>
    <s v="GREEN TREE SERVICING, LLC"/>
    <x v="127"/>
    <n v="1267206821.6800001"/>
    <x v="3"/>
  </r>
  <r>
    <s v="NATIONSTAR"/>
    <x v="127"/>
    <n v="1267185698.4400001"/>
    <x v="4"/>
  </r>
  <r>
    <s v="CITI"/>
    <x v="127"/>
    <n v="649550606.24000001"/>
    <x v="5"/>
  </r>
  <r>
    <s v="FLAGSTAR"/>
    <x v="127"/>
    <n v="625973165.45000005"/>
    <x v="6"/>
  </r>
  <r>
    <s v="BANK OF AMERICA"/>
    <x v="127"/>
    <n v="470195699.30000001"/>
    <x v="7"/>
  </r>
  <r>
    <s v="FREEDOM"/>
    <x v="127"/>
    <n v="408580255.77999997"/>
    <x v="8"/>
  </r>
  <r>
    <s v="PHH"/>
    <x v="127"/>
    <n v="286171469.83999997"/>
    <x v="9"/>
  </r>
  <r>
    <s v="WELLS FARGO"/>
    <x v="128"/>
    <n v="2723269728.27"/>
    <x v="0"/>
  </r>
  <r>
    <s v="QUICKEN"/>
    <x v="128"/>
    <n v="1569133883.05"/>
    <x v="1"/>
  </r>
  <r>
    <s v="CHASE"/>
    <x v="128"/>
    <n v="1372169527.04"/>
    <x v="2"/>
  </r>
  <r>
    <s v="NATIONSTAR"/>
    <x v="128"/>
    <n v="909424536.85000002"/>
    <x v="3"/>
  </r>
  <r>
    <s v="GREEN TREE SERVICING, LLC"/>
    <x v="128"/>
    <n v="906645531.15999997"/>
    <x v="4"/>
  </r>
  <r>
    <s v="FLAGSTAR"/>
    <x v="128"/>
    <n v="534078279.32999998"/>
    <x v="5"/>
  </r>
  <r>
    <s v="CITI"/>
    <x v="128"/>
    <n v="518057060.72000003"/>
    <x v="6"/>
  </r>
  <r>
    <s v="FREEDOM"/>
    <x v="128"/>
    <n v="317565010.06999999"/>
    <x v="7"/>
  </r>
  <r>
    <s v="PENNYMAC CORP."/>
    <x v="128"/>
    <n v="312613978.33999997"/>
    <x v="8"/>
  </r>
  <r>
    <s v="BANK OF AMERICA"/>
    <x v="128"/>
    <n v="282873582"/>
    <x v="9"/>
  </r>
  <r>
    <s v="WELLS FARGO"/>
    <x v="129"/>
    <n v="3201052079.1599998"/>
    <x v="0"/>
  </r>
  <r>
    <s v="CHASE"/>
    <x v="129"/>
    <n v="2401374616.25"/>
    <x v="1"/>
  </r>
  <r>
    <s v="QUICKEN"/>
    <x v="129"/>
    <n v="1572084510.04"/>
    <x v="2"/>
  </r>
  <r>
    <s v="GREEN TREE SERVICING, LLC"/>
    <x v="129"/>
    <n v="866292694.84000003"/>
    <x v="3"/>
  </r>
  <r>
    <s v="FLAGSTAR"/>
    <x v="129"/>
    <n v="834730668.64999998"/>
    <x v="4"/>
  </r>
  <r>
    <s v="NATIONSTAR"/>
    <x v="129"/>
    <n v="828909798.36000001"/>
    <x v="5"/>
  </r>
  <r>
    <s v="CITI"/>
    <x v="129"/>
    <n v="626546587.73000002"/>
    <x v="6"/>
  </r>
  <r>
    <s v="FREEDOM"/>
    <x v="129"/>
    <n v="468001431.88999999"/>
    <x v="7"/>
  </r>
  <r>
    <s v="ROUNDPOINT MORTGAGE SERVICING CORPORATIO"/>
    <x v="129"/>
    <n v="443325185.75999999"/>
    <x v="8"/>
  </r>
  <r>
    <s v="BANK OF AMERICA"/>
    <x v="129"/>
    <n v="415703618.36000001"/>
    <x v="9"/>
  </r>
  <r>
    <s v="WELLS FARGO"/>
    <x v="130"/>
    <n v="3493812279.3000002"/>
    <x v="0"/>
  </r>
  <r>
    <s v="QUICKEN"/>
    <x v="130"/>
    <n v="1523092086.4300001"/>
    <x v="1"/>
  </r>
  <r>
    <s v="GREEN TREE SERVICING, LLC"/>
    <x v="130"/>
    <n v="897813612.57000005"/>
    <x v="2"/>
  </r>
  <r>
    <s v="FLAGSTAR"/>
    <x v="130"/>
    <n v="682300544.83000004"/>
    <x v="3"/>
  </r>
  <r>
    <s v="CITI"/>
    <x v="130"/>
    <n v="679855405.29999995"/>
    <x v="4"/>
  </r>
  <r>
    <s v="CHASE"/>
    <x v="130"/>
    <n v="675024826.10000002"/>
    <x v="5"/>
  </r>
  <r>
    <s v="NATIONSTAR"/>
    <x v="130"/>
    <n v="568052778.69000006"/>
    <x v="6"/>
  </r>
  <r>
    <s v="ROUNDPOINT MORTGAGE SERVICING CORPORATIO"/>
    <x v="130"/>
    <n v="536538819.19999999"/>
    <x v="7"/>
  </r>
  <r>
    <s v="FREEDOM"/>
    <x v="130"/>
    <n v="523383504.5"/>
    <x v="8"/>
  </r>
  <r>
    <s v="FRANKLIN AMERICAN MORTGAGE COMPANY"/>
    <x v="130"/>
    <n v="521174007.47000003"/>
    <x v="9"/>
  </r>
  <r>
    <s v="WELLS FARGO"/>
    <x v="131"/>
    <n v="3922236463.21"/>
    <x v="0"/>
  </r>
  <r>
    <s v="QUICKEN"/>
    <x v="131"/>
    <n v="1815521830.9200001"/>
    <x v="1"/>
  </r>
  <r>
    <s v="CHASE"/>
    <x v="131"/>
    <n v="1578614288.8800001"/>
    <x v="2"/>
  </r>
  <r>
    <s v="GREEN TREE SERVICING, LLC"/>
    <x v="131"/>
    <n v="1286875630.3800001"/>
    <x v="3"/>
  </r>
  <r>
    <s v="FLAGSTAR"/>
    <x v="131"/>
    <n v="865608919"/>
    <x v="4"/>
  </r>
  <r>
    <s v="NATIONSTAR"/>
    <x v="131"/>
    <n v="732897324.17999995"/>
    <x v="5"/>
  </r>
  <r>
    <s v="CITI"/>
    <x v="131"/>
    <n v="613072165.80999994"/>
    <x v="6"/>
  </r>
  <r>
    <s v="FREEDOM"/>
    <x v="131"/>
    <n v="594661694.71000004"/>
    <x v="7"/>
  </r>
  <r>
    <s v="ROUNDPOINT MORTGAGE SERVICING CORPORATIO"/>
    <x v="131"/>
    <n v="471094129.24000001"/>
    <x v="8"/>
  </r>
  <r>
    <s v="PENNYMAC CORP."/>
    <x v="131"/>
    <n v="379516474.86000001"/>
    <x v="9"/>
  </r>
  <r>
    <s v="WELLS FARGO"/>
    <x v="132"/>
    <n v="4211266060.8699999"/>
    <x v="0"/>
  </r>
  <r>
    <s v="QUICKEN"/>
    <x v="132"/>
    <n v="2299190742.25"/>
    <x v="1"/>
  </r>
  <r>
    <s v="GREEN TREE SERVICING, LLC"/>
    <x v="132"/>
    <n v="1444694113.3900001"/>
    <x v="2"/>
  </r>
  <r>
    <s v="CHASE"/>
    <x v="132"/>
    <n v="1256009451.99"/>
    <x v="3"/>
  </r>
  <r>
    <s v="FREEDOM"/>
    <x v="132"/>
    <n v="819739915.15999997"/>
    <x v="4"/>
  </r>
  <r>
    <s v="SUNTRUST"/>
    <x v="132"/>
    <n v="765661024.61000001"/>
    <x v="5"/>
  </r>
  <r>
    <s v="NATIONSTAR"/>
    <x v="132"/>
    <n v="764448274.14999998"/>
    <x v="6"/>
  </r>
  <r>
    <s v="FLAGSTAR"/>
    <x v="132"/>
    <n v="729902335.99000001"/>
    <x v="7"/>
  </r>
  <r>
    <s v="CITI"/>
    <x v="132"/>
    <n v="576252299.98000002"/>
    <x v="8"/>
  </r>
  <r>
    <s v="PENNYMAC CORP."/>
    <x v="132"/>
    <n v="525952501.19"/>
    <x v="9"/>
  </r>
  <r>
    <s v="WELLS FARGO"/>
    <x v="133"/>
    <n v="4257244054.8600001"/>
    <x v="0"/>
  </r>
  <r>
    <s v="QUICKEN"/>
    <x v="133"/>
    <n v="2188451666.4499998"/>
    <x v="1"/>
  </r>
  <r>
    <s v="GREEN TREE SERVICING, LLC"/>
    <x v="133"/>
    <n v="1535693081.29"/>
    <x v="2"/>
  </r>
  <r>
    <s v="CHASE"/>
    <x v="133"/>
    <n v="1162108590.4200001"/>
    <x v="3"/>
  </r>
  <r>
    <s v="NATIONSTAR"/>
    <x v="133"/>
    <n v="877451695.02999997"/>
    <x v="4"/>
  </r>
  <r>
    <s v="FLAGSTAR"/>
    <x v="133"/>
    <n v="785999239.74000001"/>
    <x v="5"/>
  </r>
  <r>
    <s v="SUNTRUST"/>
    <x v="133"/>
    <n v="742569431.09000003"/>
    <x v="6"/>
  </r>
  <r>
    <s v="CITI"/>
    <x v="133"/>
    <n v="590371770.82000005"/>
    <x v="7"/>
  </r>
  <r>
    <s v="PENNYMAC CORP."/>
    <x v="133"/>
    <n v="460490700.62"/>
    <x v="8"/>
  </r>
  <r>
    <s v="ROUNDPOINT MORTGAGE SERVICING CORPORATIO"/>
    <x v="133"/>
    <n v="437971221.79000002"/>
    <x v="9"/>
  </r>
  <r>
    <s v="WELLS FARGO"/>
    <x v="134"/>
    <n v="3899112245.7399998"/>
    <x v="0"/>
  </r>
  <r>
    <s v="BANK OF AMERICA"/>
    <x v="134"/>
    <n v="3552132855.6300001"/>
    <x v="1"/>
  </r>
  <r>
    <s v="SUNTRUST"/>
    <x v="134"/>
    <n v="2783280665.23"/>
    <x v="2"/>
  </r>
  <r>
    <s v="QUICKEN"/>
    <x v="134"/>
    <n v="2389791457.5599999"/>
    <x v="3"/>
  </r>
  <r>
    <s v="CHASE"/>
    <x v="134"/>
    <n v="2086427445.23"/>
    <x v="4"/>
  </r>
  <r>
    <s v="GREEN TREE SERVICING, LLC"/>
    <x v="134"/>
    <n v="1535983379.74"/>
    <x v="5"/>
  </r>
  <r>
    <s v="NATIONSTAR"/>
    <x v="134"/>
    <n v="1085804754.1199999"/>
    <x v="6"/>
  </r>
  <r>
    <s v="FLAGSTAR"/>
    <x v="134"/>
    <n v="870888081.38999999"/>
    <x v="7"/>
  </r>
  <r>
    <s v="FREEDOM"/>
    <x v="134"/>
    <n v="611874691.96000004"/>
    <x v="8"/>
  </r>
  <r>
    <s v="CITI"/>
    <x v="134"/>
    <n v="550167101.55999994"/>
    <x v="9"/>
  </r>
  <r>
    <s v="WELLS FARGO"/>
    <x v="135"/>
    <n v="3926294145.04"/>
    <x v="0"/>
  </r>
  <r>
    <s v="CHASE"/>
    <x v="135"/>
    <n v="2838560140.8800001"/>
    <x v="1"/>
  </r>
  <r>
    <s v="QUICKEN"/>
    <x v="135"/>
    <n v="2036061242.9100001"/>
    <x v="2"/>
  </r>
  <r>
    <s v="GREEN TREE SERVICING, LLC"/>
    <x v="135"/>
    <n v="1531899596.8499999"/>
    <x v="3"/>
  </r>
  <r>
    <s v="SUNTRUST"/>
    <x v="135"/>
    <n v="912965328.49000001"/>
    <x v="4"/>
  </r>
  <r>
    <s v="FLAGSTAR"/>
    <x v="135"/>
    <n v="878388058.72000003"/>
    <x v="5"/>
  </r>
  <r>
    <s v="NATIONSTAR"/>
    <x v="135"/>
    <n v="834463365.48000002"/>
    <x v="6"/>
  </r>
  <r>
    <s v="FREEDOM"/>
    <x v="135"/>
    <n v="662813498.03999996"/>
    <x v="7"/>
  </r>
  <r>
    <s v="CITI"/>
    <x v="135"/>
    <n v="595276050.34000003"/>
    <x v="8"/>
  </r>
  <r>
    <s v="PENNYMAC CORP."/>
    <x v="135"/>
    <n v="500204248.58999997"/>
    <x v="9"/>
  </r>
  <r>
    <s v="BANK OF AMERICA"/>
    <x v="136"/>
    <n v="4060384889.1599998"/>
    <x v="0"/>
  </r>
  <r>
    <s v="WELLS FARGO"/>
    <x v="136"/>
    <n v="3731231905.7600002"/>
    <x v="1"/>
  </r>
  <r>
    <s v="CHASE"/>
    <x v="136"/>
    <n v="3000151952.8899999"/>
    <x v="2"/>
  </r>
  <r>
    <s v="QUICKEN"/>
    <x v="136"/>
    <n v="2764147676.1700001"/>
    <x v="3"/>
  </r>
  <r>
    <s v="GREEN TREE SERVICING, LLC"/>
    <x v="136"/>
    <n v="1389426710.6099999"/>
    <x v="4"/>
  </r>
  <r>
    <s v="NATIONSTAR"/>
    <x v="136"/>
    <n v="805943904.73000002"/>
    <x v="5"/>
  </r>
  <r>
    <s v="SUNTRUST"/>
    <x v="136"/>
    <n v="770850866.33000004"/>
    <x v="6"/>
  </r>
  <r>
    <s v="FLAGSTAR"/>
    <x v="136"/>
    <n v="717407310.95000005"/>
    <x v="7"/>
  </r>
  <r>
    <s v="ROUNDPOINT MORTGAGE SERVICING CORPORATIO"/>
    <x v="136"/>
    <n v="710666768.27999997"/>
    <x v="8"/>
  </r>
  <r>
    <s v="CITI"/>
    <x v="136"/>
    <n v="575224844.82000005"/>
    <x v="9"/>
  </r>
  <r>
    <s v="WELLS FARGO"/>
    <x v="137"/>
    <n v="3507360281.3800001"/>
    <x v="0"/>
  </r>
  <r>
    <s v="CITI"/>
    <x v="137"/>
    <n v="2887876961.9000001"/>
    <x v="1"/>
  </r>
  <r>
    <s v="QUICKEN"/>
    <x v="137"/>
    <n v="2059485374.03"/>
    <x v="2"/>
  </r>
  <r>
    <s v="FLAGSTAR"/>
    <x v="137"/>
    <n v="1104439089.96"/>
    <x v="3"/>
  </r>
  <r>
    <s v="GREEN TREE SERVICING, LLC"/>
    <x v="137"/>
    <n v="1073416945.2"/>
    <x v="4"/>
  </r>
  <r>
    <s v="CHASE"/>
    <x v="137"/>
    <n v="943487241.74000001"/>
    <x v="5"/>
  </r>
  <r>
    <s v="NATIONSTAR"/>
    <x v="137"/>
    <n v="758991275.28999996"/>
    <x v="6"/>
  </r>
  <r>
    <s v="ROUNDPOINT MORTGAGE SERVICING CORPORATIO"/>
    <x v="137"/>
    <n v="657873548.25"/>
    <x v="7"/>
  </r>
  <r>
    <s v="SUNTRUST"/>
    <x v="137"/>
    <n v="645169719.35000002"/>
    <x v="8"/>
  </r>
  <r>
    <s v="FREEDOM"/>
    <x v="137"/>
    <n v="597778539.26999998"/>
    <x v="9"/>
  </r>
  <r>
    <s v="WELLS FARGO"/>
    <x v="138"/>
    <n v="5302574418.9099998"/>
    <x v="0"/>
  </r>
  <r>
    <s v="QUICKEN"/>
    <x v="138"/>
    <n v="3177985156.9499998"/>
    <x v="1"/>
  </r>
  <r>
    <s v="CHASE"/>
    <x v="138"/>
    <n v="1841848287.3900001"/>
    <x v="2"/>
  </r>
  <r>
    <s v="GREEN TREE SERVICING, LLC"/>
    <x v="138"/>
    <n v="1234949707.1900001"/>
    <x v="3"/>
  </r>
  <r>
    <s v="ROUNDPOINT MORTGAGE SERVICING CORPORATIO"/>
    <x v="138"/>
    <n v="967269135.14999998"/>
    <x v="4"/>
  </r>
  <r>
    <s v="FLAGSTAR"/>
    <x v="138"/>
    <n v="926692781.25"/>
    <x v="5"/>
  </r>
  <r>
    <s v="SUNTRUST"/>
    <x v="138"/>
    <n v="814842832.97000003"/>
    <x v="6"/>
  </r>
  <r>
    <s v="CITI"/>
    <x v="138"/>
    <n v="558788700.02999997"/>
    <x v="7"/>
  </r>
  <r>
    <s v="NATIONSTAR"/>
    <x v="138"/>
    <n v="556166429.88999999"/>
    <x v="8"/>
  </r>
  <r>
    <s v="FREEDOM"/>
    <x v="138"/>
    <n v="515177267.69999999"/>
    <x v="9"/>
  </r>
  <r>
    <s v="WELLS FARGO"/>
    <x v="139"/>
    <n v="4795370179.5500002"/>
    <x v="0"/>
  </r>
  <r>
    <s v="QUICKEN"/>
    <x v="139"/>
    <n v="2385777676.1799998"/>
    <x v="1"/>
  </r>
  <r>
    <s v="CHASE"/>
    <x v="139"/>
    <n v="1744880169.5999999"/>
    <x v="2"/>
  </r>
  <r>
    <s v="GREEN TREE SERVICING, LLC"/>
    <x v="139"/>
    <n v="1093287336.01"/>
    <x v="3"/>
  </r>
  <r>
    <s v="FLAGSTAR"/>
    <x v="139"/>
    <n v="970138744.33000004"/>
    <x v="4"/>
  </r>
  <r>
    <s v="SUNTRUST"/>
    <x v="139"/>
    <n v="839249502.65999997"/>
    <x v="5"/>
  </r>
  <r>
    <s v="NATIONSTAR"/>
    <x v="139"/>
    <n v="800403329.84000003"/>
    <x v="6"/>
  </r>
  <r>
    <s v="ROUNDPOINT MORTGAGE SERVICING CORPORATIO"/>
    <x v="139"/>
    <n v="646809552.53999996"/>
    <x v="7"/>
  </r>
  <r>
    <s v="FREEDOM"/>
    <x v="139"/>
    <n v="621440129.88"/>
    <x v="8"/>
  </r>
  <r>
    <s v="CITI"/>
    <x v="139"/>
    <n v="480448874.94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6">
  <r>
    <s v="CITI"/>
    <x v="0"/>
    <n v="9487254"/>
    <x v="0"/>
  </r>
  <r>
    <s v="PHH"/>
    <x v="0"/>
    <n v="2584090"/>
    <x v="1"/>
  </r>
  <r>
    <s v="CWB"/>
    <x v="0"/>
    <n v="2473153"/>
    <x v="2"/>
  </r>
  <r>
    <s v="BANK OF AMERICA"/>
    <x v="0"/>
    <n v="2473153"/>
    <x v="2"/>
  </r>
  <r>
    <s v="US BANK"/>
    <x v="0"/>
    <n v="653224"/>
    <x v="3"/>
  </r>
  <r>
    <s v="OHIO SAVINGS BANK"/>
    <x v="0"/>
    <n v="527391.32999999996"/>
    <x v="4"/>
  </r>
  <r>
    <s v="CENTRAL MORTGAGE"/>
    <x v="0"/>
    <n v="344406.07"/>
    <x v="5"/>
  </r>
  <r>
    <s v="OPTEUM GROUP"/>
    <x v="0"/>
    <n v="329248.45"/>
    <x v="6"/>
  </r>
  <r>
    <s v="FLAGSTAR"/>
    <x v="0"/>
    <n v="315400"/>
    <x v="7"/>
  </r>
  <r>
    <s v="WELLS FARGO"/>
    <x v="0"/>
    <n v="225801.62"/>
    <x v="8"/>
  </r>
  <r>
    <s v="CWB"/>
    <x v="1"/>
    <n v="2250361"/>
    <x v="0"/>
  </r>
  <r>
    <s v="BANK OF AMERICA"/>
    <x v="1"/>
    <n v="2250361"/>
    <x v="0"/>
  </r>
  <r>
    <s v="OHIO SAVINGS BANK"/>
    <x v="1"/>
    <n v="1615322"/>
    <x v="2"/>
  </r>
  <r>
    <s v="WACHOVIA"/>
    <x v="1"/>
    <n v="1229817"/>
    <x v="9"/>
  </r>
  <r>
    <s v="WELLS FARGO"/>
    <x v="1"/>
    <n v="1229817"/>
    <x v="9"/>
  </r>
  <r>
    <s v="NETBANK FUNDING SERVICES"/>
    <x v="1"/>
    <n v="1140628"/>
    <x v="4"/>
  </r>
  <r>
    <s v="US BANK"/>
    <x v="1"/>
    <n v="915307"/>
    <x v="5"/>
  </r>
  <r>
    <s v="CITI"/>
    <x v="1"/>
    <n v="251613"/>
    <x v="6"/>
  </r>
  <r>
    <s v="CWB"/>
    <x v="2"/>
    <n v="39579332"/>
    <x v="0"/>
  </r>
  <r>
    <s v="BANK OF AMERICA"/>
    <x v="2"/>
    <n v="39579332"/>
    <x v="0"/>
  </r>
  <r>
    <s v="CHASE"/>
    <x v="2"/>
    <n v="38010916.060000002"/>
    <x v="2"/>
  </r>
  <r>
    <s v="WAMU"/>
    <x v="2"/>
    <n v="36008093.060000002"/>
    <x v="9"/>
  </r>
  <r>
    <s v="NETBANK FUNDING SERVICES"/>
    <x v="2"/>
    <n v="3079406"/>
    <x v="3"/>
  </r>
  <r>
    <s v="FIRST BANK OF TENNESSEE"/>
    <x v="2"/>
    <n v="2434551"/>
    <x v="4"/>
  </r>
  <r>
    <s v="EVERBANK"/>
    <x v="2"/>
    <n v="1513553"/>
    <x v="5"/>
  </r>
  <r>
    <s v="STANDARD MORTGAGE CORPORATION"/>
    <x v="2"/>
    <n v="1129848.47"/>
    <x v="6"/>
  </r>
  <r>
    <s v="CITI"/>
    <x v="2"/>
    <n v="813550"/>
    <x v="7"/>
  </r>
  <r>
    <s v="PNC"/>
    <x v="2"/>
    <n v="206813"/>
    <x v="8"/>
  </r>
  <r>
    <s v="BANK OF AMERICA"/>
    <x v="3"/>
    <n v="56552979"/>
    <x v="0"/>
  </r>
  <r>
    <s v="CWB"/>
    <x v="3"/>
    <n v="16310553"/>
    <x v="1"/>
  </r>
  <r>
    <s v="CHASE"/>
    <x v="3"/>
    <n v="12772716"/>
    <x v="2"/>
  </r>
  <r>
    <s v="USAA"/>
    <x v="3"/>
    <n v="12489330"/>
    <x v="9"/>
  </r>
  <r>
    <s v="HIBERNIA NATIONAL BANK"/>
    <x v="3"/>
    <n v="8828178"/>
    <x v="3"/>
  </r>
  <r>
    <s v="PHH"/>
    <x v="3"/>
    <n v="3559467"/>
    <x v="4"/>
  </r>
  <r>
    <s v="AMERICAN HOME MORTGAGE CORPORATION"/>
    <x v="3"/>
    <n v="1563360"/>
    <x v="5"/>
  </r>
  <r>
    <s v="CITI"/>
    <x v="3"/>
    <n v="1418775"/>
    <x v="6"/>
  </r>
  <r>
    <s v="ALLY"/>
    <x v="3"/>
    <n v="1285071"/>
    <x v="7"/>
  </r>
  <r>
    <s v="WAMU"/>
    <x v="3"/>
    <n v="1224860"/>
    <x v="8"/>
  </r>
  <r>
    <s v="BANK OF AMERICA"/>
    <x v="4"/>
    <n v="89226904"/>
    <x v="0"/>
  </r>
  <r>
    <s v="CWB"/>
    <x v="4"/>
    <n v="73857035"/>
    <x v="1"/>
  </r>
  <r>
    <s v="CHASE"/>
    <x v="4"/>
    <n v="7692253.71"/>
    <x v="2"/>
  </r>
  <r>
    <s v="GUARANTY BANK F.S.B."/>
    <x v="4"/>
    <n v="1777190"/>
    <x v="9"/>
  </r>
  <r>
    <s v="OHIO SAVINGS BANK"/>
    <x v="4"/>
    <n v="1415552"/>
    <x v="3"/>
  </r>
  <r>
    <s v="M&amp;T MORTGAGE CORPORATION"/>
    <x v="4"/>
    <n v="1248688"/>
    <x v="4"/>
  </r>
  <r>
    <s v="SALEM FIVE MORTGAGE COMPANY, LLC"/>
    <x v="4"/>
    <n v="1000000"/>
    <x v="5"/>
  </r>
  <r>
    <s v="TRUSTCORP MORTGAGE COMPANY"/>
    <x v="4"/>
    <n v="416000"/>
    <x v="6"/>
  </r>
  <r>
    <s v="INDYMAC BANK, FSB"/>
    <x v="4"/>
    <n v="274744"/>
    <x v="7"/>
  </r>
  <r>
    <s v="WAMU"/>
    <x v="4"/>
    <n v="102906.71"/>
    <x v="8"/>
  </r>
  <r>
    <s v="ALLY"/>
    <x v="5"/>
    <n v="19726775"/>
    <x v="0"/>
  </r>
  <r>
    <s v="BANK OF AMERICA"/>
    <x v="5"/>
    <n v="8014924"/>
    <x v="1"/>
  </r>
  <r>
    <s v="ABM"/>
    <x v="5"/>
    <n v="7725297"/>
    <x v="2"/>
  </r>
  <r>
    <s v="FIRST BANK OF TENNESSEE"/>
    <x v="5"/>
    <n v="2931113"/>
    <x v="9"/>
  </r>
  <r>
    <s v="INDYMAC BANK, FSB"/>
    <x v="5"/>
    <n v="1851555"/>
    <x v="3"/>
  </r>
  <r>
    <s v="CWB"/>
    <x v="5"/>
    <n v="1754648"/>
    <x v="4"/>
  </r>
  <r>
    <s v="CITI"/>
    <x v="5"/>
    <n v="1565938"/>
    <x v="5"/>
  </r>
  <r>
    <s v="FREEDOM"/>
    <x v="5"/>
    <n v="1017500"/>
    <x v="6"/>
  </r>
  <r>
    <s v="PNC"/>
    <x v="5"/>
    <n v="937254"/>
    <x v="7"/>
  </r>
  <r>
    <s v="US BANK"/>
    <x v="5"/>
    <n v="414101"/>
    <x v="8"/>
  </r>
  <r>
    <s v="BANK OF AMERICA"/>
    <x v="6"/>
    <n v="123617884"/>
    <x v="0"/>
  </r>
  <r>
    <s v="AMERICAN HOME MORTGAGE CORPORATION"/>
    <x v="6"/>
    <n v="31574015"/>
    <x v="1"/>
  </r>
  <r>
    <s v="CWB"/>
    <x v="6"/>
    <n v="2910121"/>
    <x v="2"/>
  </r>
  <r>
    <s v="CITI"/>
    <x v="6"/>
    <n v="1936126"/>
    <x v="9"/>
  </r>
  <r>
    <s v="CHASE"/>
    <x v="6"/>
    <n v="1313060"/>
    <x v="3"/>
  </r>
  <r>
    <s v="MORGAN STANLEY MORTGAGE CAPITAL"/>
    <x v="6"/>
    <n v="1302822"/>
    <x v="4"/>
  </r>
  <r>
    <s v="NETBANK FUNDING SERVICES"/>
    <x v="6"/>
    <n v="1279962"/>
    <x v="5"/>
  </r>
  <r>
    <s v="USAA"/>
    <x v="6"/>
    <n v="1226276"/>
    <x v="6"/>
  </r>
  <r>
    <s v="FLAGSTAR"/>
    <x v="6"/>
    <n v="1201040"/>
    <x v="7"/>
  </r>
  <r>
    <s v="REGIONS BANK"/>
    <x v="6"/>
    <n v="712580"/>
    <x v="8"/>
  </r>
  <r>
    <s v="BANK OF AMERICA"/>
    <x v="7"/>
    <n v="202636497"/>
    <x v="0"/>
  </r>
  <r>
    <s v="CWB"/>
    <x v="7"/>
    <n v="202636497"/>
    <x v="0"/>
  </r>
  <r>
    <s v="IRWIN"/>
    <x v="7"/>
    <n v="1987000"/>
    <x v="2"/>
  </r>
  <r>
    <s v="NETBANK FUNDING SERVICES"/>
    <x v="7"/>
    <n v="1561677"/>
    <x v="9"/>
  </r>
  <r>
    <s v="US BANK"/>
    <x v="7"/>
    <n v="412374"/>
    <x v="3"/>
  </r>
  <r>
    <s v="CITI"/>
    <x v="7"/>
    <n v="178484"/>
    <x v="4"/>
  </r>
  <r>
    <s v="TRUSTMARK NATIONAL BANK"/>
    <x v="7"/>
    <n v="102393"/>
    <x v="5"/>
  </r>
  <r>
    <s v="PNC"/>
    <x v="7"/>
    <n v="66784"/>
    <x v="6"/>
  </r>
  <r>
    <s v="CHASE"/>
    <x v="8"/>
    <n v="18989705.91"/>
    <x v="0"/>
  </r>
  <r>
    <s v="WAMU"/>
    <x v="8"/>
    <n v="18699668.960000001"/>
    <x v="1"/>
  </r>
  <r>
    <s v="HSBC"/>
    <x v="8"/>
    <n v="2000506"/>
    <x v="2"/>
  </r>
  <r>
    <s v="BANK OF AMERICA"/>
    <x v="8"/>
    <n v="1938990"/>
    <x v="9"/>
  </r>
  <r>
    <s v="CWB"/>
    <x v="8"/>
    <n v="1938990"/>
    <x v="9"/>
  </r>
  <r>
    <s v="PHH"/>
    <x v="8"/>
    <n v="1595813"/>
    <x v="4"/>
  </r>
  <r>
    <s v="WELLS FARGO"/>
    <x v="8"/>
    <n v="929703"/>
    <x v="5"/>
  </r>
  <r>
    <s v="ALLY"/>
    <x v="8"/>
    <n v="550983.56999999995"/>
    <x v="6"/>
  </r>
  <r>
    <s v="CITI"/>
    <x v="8"/>
    <n v="410535.46"/>
    <x v="7"/>
  </r>
  <r>
    <s v="US BANK"/>
    <x v="8"/>
    <n v="365925"/>
    <x v="8"/>
  </r>
  <r>
    <s v="ALLY"/>
    <x v="9"/>
    <n v="16635495"/>
    <x v="0"/>
  </r>
  <r>
    <s v="GREYSTONE"/>
    <x v="9"/>
    <n v="11002000"/>
    <x v="1"/>
  </r>
  <r>
    <s v="IRWIN"/>
    <x v="9"/>
    <n v="6414800"/>
    <x v="2"/>
  </r>
  <r>
    <s v="BANK OF AMERICA"/>
    <x v="9"/>
    <n v="6109376"/>
    <x v="9"/>
  </r>
  <r>
    <s v="ENTERPRISE MORTGAGE INVESTMENTS INC."/>
    <x v="9"/>
    <n v="4829000"/>
    <x v="3"/>
  </r>
  <r>
    <s v="INDYMAC BANK, FSB"/>
    <x v="9"/>
    <n v="4732146"/>
    <x v="4"/>
  </r>
  <r>
    <s v="CITI"/>
    <x v="9"/>
    <n v="3954627"/>
    <x v="5"/>
  </r>
  <r>
    <s v="CWB"/>
    <x v="9"/>
    <n v="2204103"/>
    <x v="6"/>
  </r>
  <r>
    <s v="HSBC"/>
    <x v="9"/>
    <n v="1035773"/>
    <x v="7"/>
  </r>
  <r>
    <s v="US BANK"/>
    <x v="9"/>
    <n v="898108"/>
    <x v="8"/>
  </r>
  <r>
    <s v="ALLY"/>
    <x v="10"/>
    <n v="41797458.600000001"/>
    <x v="0"/>
  </r>
  <r>
    <s v="GREYSTONE"/>
    <x v="10"/>
    <n v="24576000"/>
    <x v="1"/>
  </r>
  <r>
    <s v="WELLS FARGO"/>
    <x v="10"/>
    <n v="13371003.699999999"/>
    <x v="2"/>
  </r>
  <r>
    <s v="RED MORTGAGE CAPITAL, INC."/>
    <x v="10"/>
    <n v="13000000"/>
    <x v="9"/>
  </r>
  <r>
    <s v="WACHOVIA"/>
    <x v="10"/>
    <n v="12884249"/>
    <x v="3"/>
  </r>
  <r>
    <s v="AMERICAN PROPERTY FINANCING INC."/>
    <x v="10"/>
    <n v="10000000"/>
    <x v="4"/>
  </r>
  <r>
    <s v="ARBOR"/>
    <x v="10"/>
    <n v="8533433"/>
    <x v="5"/>
  </r>
  <r>
    <s v="DB MORTGAGE SERVICES, LLC"/>
    <x v="10"/>
    <n v="8371000"/>
    <x v="6"/>
  </r>
  <r>
    <s v="PRUDENTIAL MULTIFAMILY MORTGAGE INC."/>
    <x v="10"/>
    <n v="5809000"/>
    <x v="7"/>
  </r>
  <r>
    <s v="PHH"/>
    <x v="10"/>
    <n v="4864686"/>
    <x v="8"/>
  </r>
  <r>
    <s v="PRUDENTIAL MULTIFAMILY MORTGAGE INC."/>
    <x v="11"/>
    <n v="30826920"/>
    <x v="0"/>
  </r>
  <r>
    <s v="WAMU"/>
    <x v="11"/>
    <n v="23268574"/>
    <x v="1"/>
  </r>
  <r>
    <s v="CHASE"/>
    <x v="11"/>
    <n v="23268574"/>
    <x v="1"/>
  </r>
  <r>
    <s v="COLUMN GUARANTEED LLC"/>
    <x v="11"/>
    <n v="20500000"/>
    <x v="9"/>
  </r>
  <r>
    <s v="DB MORTGAGE SERVICES, LLC"/>
    <x v="11"/>
    <n v="19270000"/>
    <x v="3"/>
  </r>
  <r>
    <s v="GREYSTONE"/>
    <x v="11"/>
    <n v="18846064"/>
    <x v="4"/>
  </r>
  <r>
    <s v="GLASER FINANCIAL GROUP INC."/>
    <x v="11"/>
    <n v="11400000"/>
    <x v="5"/>
  </r>
  <r>
    <s v="ALLY"/>
    <x v="11"/>
    <n v="10880000"/>
    <x v="6"/>
  </r>
  <r>
    <s v="ARCS COMMERCIAL MORTGAGE COMPANY, L.P."/>
    <x v="11"/>
    <n v="7289000"/>
    <x v="7"/>
  </r>
  <r>
    <s v="US BANK"/>
    <x v="11"/>
    <n v="3265290"/>
    <x v="8"/>
  </r>
  <r>
    <s v="WAMU"/>
    <x v="12"/>
    <n v="282484153"/>
    <x v="0"/>
  </r>
  <r>
    <s v="CHASE"/>
    <x v="12"/>
    <n v="282484153"/>
    <x v="0"/>
  </r>
  <r>
    <s v="PRUDENTIAL MULTIFAMILY MORTGAGE INC."/>
    <x v="12"/>
    <n v="30423043"/>
    <x v="2"/>
  </r>
  <r>
    <s v="COLLATERAL MORTGAGE CAPITAL, LLC"/>
    <x v="12"/>
    <n v="30000000"/>
    <x v="9"/>
  </r>
  <r>
    <s v="ARCS COMMERCIAL MORTGAGE COMPANY, L.P."/>
    <x v="12"/>
    <n v="28946000"/>
    <x v="3"/>
  </r>
  <r>
    <s v="GREYSTONE"/>
    <x v="12"/>
    <n v="19148434"/>
    <x v="4"/>
  </r>
  <r>
    <s v="GREEN PARK FINANCIAL LIMITED PARTNERSHIP"/>
    <x v="12"/>
    <n v="15800000"/>
    <x v="5"/>
  </r>
  <r>
    <s v="EAST WEST BANK"/>
    <x v="12"/>
    <n v="15141618"/>
    <x v="6"/>
  </r>
  <r>
    <s v="DB MORTGAGE SERVICES, LLC"/>
    <x v="12"/>
    <n v="7000000"/>
    <x v="7"/>
  </r>
  <r>
    <s v="CWCAPITAL"/>
    <x v="12"/>
    <n v="5620000"/>
    <x v="8"/>
  </r>
  <r>
    <s v="ARCS COMMERCIAL MORTGAGE COMPANY, L.P."/>
    <x v="13"/>
    <n v="697418800"/>
    <x v="0"/>
  </r>
  <r>
    <s v="WELLS FARGO"/>
    <x v="13"/>
    <n v="556006373"/>
    <x v="1"/>
  </r>
  <r>
    <s v="WACHOVIA"/>
    <x v="13"/>
    <n v="556006373"/>
    <x v="1"/>
  </r>
  <r>
    <s v="CAPMARK FINANCE INC."/>
    <x v="13"/>
    <n v="401930000"/>
    <x v="9"/>
  </r>
  <r>
    <s v="GREEN PARK FINANCIAL LIMITED PARTNERSHIP"/>
    <x v="13"/>
    <n v="250147849"/>
    <x v="3"/>
  </r>
  <r>
    <s v="DB MORTGAGE SERVICES, LLC"/>
    <x v="13"/>
    <n v="196113000"/>
    <x v="4"/>
  </r>
  <r>
    <s v="PRUDENTIAL MULTIFAMILY MORTGAGE INC."/>
    <x v="13"/>
    <n v="181950000"/>
    <x v="5"/>
  </r>
  <r>
    <s v="INDEPENDENCE COMMUNITY BANK"/>
    <x v="13"/>
    <n v="155090000"/>
    <x v="6"/>
  </r>
  <r>
    <s v="COLLATERAL MORTGAGE CAPITAL, LLC"/>
    <x v="13"/>
    <n v="121000000"/>
    <x v="7"/>
  </r>
  <r>
    <s v="KEYCORP REAL ESTATE CAPITAL MARKETS, INC"/>
    <x v="13"/>
    <n v="66956000"/>
    <x v="8"/>
  </r>
  <r>
    <s v="DB MORTGAGE SERVICES, LLC"/>
    <x v="14"/>
    <n v="433633000"/>
    <x v="0"/>
  </r>
  <r>
    <s v="WELLS FARGO"/>
    <x v="14"/>
    <n v="425797000"/>
    <x v="1"/>
  </r>
  <r>
    <s v="WACHOVIA"/>
    <x v="14"/>
    <n v="417297000"/>
    <x v="2"/>
  </r>
  <r>
    <s v="PRUDENTIAL MULTIFAMILY MORTGAGE INC."/>
    <x v="14"/>
    <n v="202591831"/>
    <x v="9"/>
  </r>
  <r>
    <s v="GREEN PARK FINANCIAL LIMITED PARTNERSHIP"/>
    <x v="14"/>
    <n v="175465313"/>
    <x v="3"/>
  </r>
  <r>
    <s v="COLLATERAL MORTGAGE CAPITAL, LLC"/>
    <x v="14"/>
    <n v="142161257"/>
    <x v="4"/>
  </r>
  <r>
    <s v="CAPMARK FINANCE INC."/>
    <x v="14"/>
    <n v="115866000"/>
    <x v="5"/>
  </r>
  <r>
    <s v="RED MORTGAGE CAPITAL, INC."/>
    <x v="14"/>
    <n v="78585700"/>
    <x v="6"/>
  </r>
  <r>
    <s v="ARBOR"/>
    <x v="14"/>
    <n v="53453723"/>
    <x v="7"/>
  </r>
  <r>
    <s v="KEYCORP REAL ESTATE CAPITAL MARKETS, INC"/>
    <x v="14"/>
    <n v="42800000"/>
    <x v="8"/>
  </r>
  <r>
    <s v="PRUDENTIAL MULTIFAMILY MORTGAGE INC."/>
    <x v="15"/>
    <n v="435518921"/>
    <x v="0"/>
  </r>
  <r>
    <s v="CHASE"/>
    <x v="15"/>
    <n v="230860088.41999999"/>
    <x v="1"/>
  </r>
  <r>
    <s v="WAMU"/>
    <x v="15"/>
    <n v="227973288.41999999"/>
    <x v="2"/>
  </r>
  <r>
    <s v="DB MORTGAGE SERVICES, LLC"/>
    <x v="15"/>
    <n v="187952551"/>
    <x v="9"/>
  </r>
  <r>
    <s v="GREEN PARK FINANCIAL LIMITED PARTNERSHIP"/>
    <x v="15"/>
    <n v="169846938"/>
    <x v="3"/>
  </r>
  <r>
    <s v="CAPMARK FINANCE INC."/>
    <x v="15"/>
    <n v="154464000"/>
    <x v="4"/>
  </r>
  <r>
    <s v="COLLATERAL REAL ESTATE CAPITAL, LLC"/>
    <x v="15"/>
    <n v="121000000"/>
    <x v="5"/>
  </r>
  <r>
    <s v="WELLS FARGO"/>
    <x v="15"/>
    <n v="108081264"/>
    <x v="6"/>
  </r>
  <r>
    <s v="ARBOR"/>
    <x v="15"/>
    <n v="107208425"/>
    <x v="7"/>
  </r>
  <r>
    <s v="WACHOVIA"/>
    <x v="15"/>
    <n v="95767090"/>
    <x v="8"/>
  </r>
  <r>
    <s v="BANK OF AMERICA"/>
    <x v="16"/>
    <n v="962843082.87"/>
    <x v="0"/>
  </r>
  <r>
    <s v="WACHOVIA"/>
    <x v="16"/>
    <n v="475918919"/>
    <x v="1"/>
  </r>
  <r>
    <s v="WELLS FARGO"/>
    <x v="16"/>
    <n v="475918919"/>
    <x v="1"/>
  </r>
  <r>
    <s v="ARCS COMMERCIAL MORTGAGE COMPANY, L.P."/>
    <x v="16"/>
    <n v="467127900"/>
    <x v="9"/>
  </r>
  <r>
    <s v="CAPMARK FINANCE INC."/>
    <x v="16"/>
    <n v="379466000"/>
    <x v="3"/>
  </r>
  <r>
    <s v="PHH"/>
    <x v="16"/>
    <n v="336213782.29000002"/>
    <x v="4"/>
  </r>
  <r>
    <s v="PRUDENTIAL MULTIFAMILY MORTGAGE INC."/>
    <x v="16"/>
    <n v="216135923"/>
    <x v="5"/>
  </r>
  <r>
    <s v="SOVEREIGN"/>
    <x v="16"/>
    <n v="155432083.16"/>
    <x v="6"/>
  </r>
  <r>
    <s v="PNC"/>
    <x v="16"/>
    <n v="134701211.13"/>
    <x v="7"/>
  </r>
  <r>
    <s v="COLLATERAL REAL ESTATE CAPITAL, LLC"/>
    <x v="16"/>
    <n v="121000000"/>
    <x v="8"/>
  </r>
  <r>
    <s v="BANK OF AMERICA"/>
    <x v="17"/>
    <n v="5912182200.0200005"/>
    <x v="0"/>
  </r>
  <r>
    <s v="CWB"/>
    <x v="17"/>
    <n v="4848247830.0200005"/>
    <x v="1"/>
  </r>
  <r>
    <s v="WELLS FARGO"/>
    <x v="17"/>
    <n v="2892184028.23"/>
    <x v="2"/>
  </r>
  <r>
    <s v="ALLY"/>
    <x v="17"/>
    <n v="2343463477.3299999"/>
    <x v="9"/>
  </r>
  <r>
    <s v="CHASE"/>
    <x v="17"/>
    <n v="1876822598.0899999"/>
    <x v="3"/>
  </r>
  <r>
    <s v="SUNTRUST"/>
    <x v="17"/>
    <n v="1769313652.9300001"/>
    <x v="4"/>
  </r>
  <r>
    <s v="CITI"/>
    <x v="17"/>
    <n v="1201796378.9000001"/>
    <x v="5"/>
  </r>
  <r>
    <s v="OHIO SAVINGS BANK"/>
    <x v="17"/>
    <n v="1010452372"/>
    <x v="6"/>
  </r>
  <r>
    <s v="FLAGSTAR"/>
    <x v="17"/>
    <n v="713636567.05999994"/>
    <x v="7"/>
  </r>
  <r>
    <s v="PNC"/>
    <x v="17"/>
    <n v="699265233.15999997"/>
    <x v="8"/>
  </r>
  <r>
    <s v="BANK OF AMERICA"/>
    <x v="18"/>
    <n v="6878861100.71"/>
    <x v="0"/>
  </r>
  <r>
    <s v="CWB"/>
    <x v="18"/>
    <n v="6583757379.71"/>
    <x v="1"/>
  </r>
  <r>
    <s v="WELLS FARGO"/>
    <x v="18"/>
    <n v="3448879244.6599998"/>
    <x v="2"/>
  </r>
  <r>
    <s v="SUNTRUST"/>
    <x v="18"/>
    <n v="2667070610"/>
    <x v="9"/>
  </r>
  <r>
    <s v="CHASE"/>
    <x v="18"/>
    <n v="1728863650.1300001"/>
    <x v="3"/>
  </r>
  <r>
    <s v="ALLY"/>
    <x v="18"/>
    <n v="1625803944.3599999"/>
    <x v="4"/>
  </r>
  <r>
    <s v="CITI"/>
    <x v="18"/>
    <n v="1356028136.99"/>
    <x v="5"/>
  </r>
  <r>
    <s v="WACHOVIA"/>
    <x v="18"/>
    <n v="1145927350"/>
    <x v="6"/>
  </r>
  <r>
    <s v="OHIO SAVINGS BANK"/>
    <x v="18"/>
    <n v="1089168739"/>
    <x v="7"/>
  </r>
  <r>
    <s v="FLAGSTAR"/>
    <x v="18"/>
    <n v="648441682.39999998"/>
    <x v="8"/>
  </r>
  <r>
    <s v="BANK OF AMERICA"/>
    <x v="19"/>
    <n v="9008075393"/>
    <x v="0"/>
  </r>
  <r>
    <s v="CWB"/>
    <x v="19"/>
    <n v="8711508813"/>
    <x v="1"/>
  </r>
  <r>
    <s v="WELLS FARGO"/>
    <x v="19"/>
    <n v="2548529360"/>
    <x v="2"/>
  </r>
  <r>
    <s v="ALLY"/>
    <x v="19"/>
    <n v="2473400845.6300001"/>
    <x v="9"/>
  </r>
  <r>
    <s v="CHASE"/>
    <x v="19"/>
    <n v="2005484093.8599999"/>
    <x v="3"/>
  </r>
  <r>
    <s v="SUNTRUST"/>
    <x v="19"/>
    <n v="1392884745"/>
    <x v="4"/>
  </r>
  <r>
    <s v="CITI"/>
    <x v="19"/>
    <n v="1242926127.8399999"/>
    <x v="5"/>
  </r>
  <r>
    <s v="OHIO SAVINGS BANK"/>
    <x v="19"/>
    <n v="1078120428"/>
    <x v="6"/>
  </r>
  <r>
    <s v="INDYMAC BANK, FSB"/>
    <x v="19"/>
    <n v="879027187"/>
    <x v="7"/>
  </r>
  <r>
    <s v="PNC"/>
    <x v="19"/>
    <n v="685226876.82000005"/>
    <x v="8"/>
  </r>
  <r>
    <s v="BANK OF AMERICA"/>
    <x v="20"/>
    <n v="8625817045"/>
    <x v="0"/>
  </r>
  <r>
    <s v="CWB"/>
    <x v="20"/>
    <n v="5541527303"/>
    <x v="1"/>
  </r>
  <r>
    <s v="WELLS FARGO"/>
    <x v="20"/>
    <n v="3033979449"/>
    <x v="2"/>
  </r>
  <r>
    <s v="CHASE"/>
    <x v="20"/>
    <n v="3014522924.1199999"/>
    <x v="9"/>
  </r>
  <r>
    <s v="SUNTRUST"/>
    <x v="20"/>
    <n v="2787288153"/>
    <x v="3"/>
  </r>
  <r>
    <s v="CITI"/>
    <x v="20"/>
    <n v="2239793798.6599998"/>
    <x v="4"/>
  </r>
  <r>
    <s v="ALLY"/>
    <x v="20"/>
    <n v="1685524401.6800001"/>
    <x v="5"/>
  </r>
  <r>
    <s v="OHIO SAVINGS BANK"/>
    <x v="20"/>
    <n v="1347925403"/>
    <x v="6"/>
  </r>
  <r>
    <s v="INDYMAC BANK, FSB"/>
    <x v="20"/>
    <n v="919494049"/>
    <x v="7"/>
  </r>
  <r>
    <s v="FLAGSTAR"/>
    <x v="20"/>
    <n v="912306666"/>
    <x v="8"/>
  </r>
  <r>
    <s v="BANK OF AMERICA"/>
    <x v="21"/>
    <n v="7241357422"/>
    <x v="0"/>
  </r>
  <r>
    <s v="CWB"/>
    <x v="21"/>
    <n v="6789301646"/>
    <x v="1"/>
  </r>
  <r>
    <s v="WELLS FARGO"/>
    <x v="21"/>
    <n v="2812455484.5799999"/>
    <x v="2"/>
  </r>
  <r>
    <s v="CHASE"/>
    <x v="21"/>
    <n v="2508344240.5799999"/>
    <x v="9"/>
  </r>
  <r>
    <s v="CITI"/>
    <x v="21"/>
    <n v="2057675204"/>
    <x v="3"/>
  </r>
  <r>
    <s v="ALLY"/>
    <x v="21"/>
    <n v="1782572404.98"/>
    <x v="4"/>
  </r>
  <r>
    <s v="SUNTRUST"/>
    <x v="21"/>
    <n v="1580728720"/>
    <x v="5"/>
  </r>
  <r>
    <s v="OHIO SAVINGS BANK"/>
    <x v="21"/>
    <n v="1390421450"/>
    <x v="6"/>
  </r>
  <r>
    <s v="INDYMAC BANK, FSB"/>
    <x v="21"/>
    <n v="1178120322"/>
    <x v="7"/>
  </r>
  <r>
    <s v="PNC"/>
    <x v="21"/>
    <n v="842320272.16999996"/>
    <x v="8"/>
  </r>
  <r>
    <s v="BANK OF AMERICA"/>
    <x v="22"/>
    <n v="8435795278.75"/>
    <x v="0"/>
  </r>
  <r>
    <s v="CWB"/>
    <x v="22"/>
    <n v="8059609431.75"/>
    <x v="1"/>
  </r>
  <r>
    <s v="CITI"/>
    <x v="22"/>
    <n v="3218432922.27"/>
    <x v="2"/>
  </r>
  <r>
    <s v="CHASE"/>
    <x v="22"/>
    <n v="2904342886.1500001"/>
    <x v="9"/>
  </r>
  <r>
    <s v="WELLS FARGO"/>
    <x v="22"/>
    <n v="2719459776.3200002"/>
    <x v="3"/>
  </r>
  <r>
    <s v="SUNTRUST"/>
    <x v="22"/>
    <n v="1716124604.6500001"/>
    <x v="4"/>
  </r>
  <r>
    <s v="OHIO SAVINGS BANK"/>
    <x v="22"/>
    <n v="1447162932"/>
    <x v="5"/>
  </r>
  <r>
    <s v="ALLY"/>
    <x v="22"/>
    <n v="1297147899.78"/>
    <x v="6"/>
  </r>
  <r>
    <s v="FLAGSTAR"/>
    <x v="22"/>
    <n v="907569900.02999997"/>
    <x v="7"/>
  </r>
  <r>
    <s v="INDYMAC BANK, FSB"/>
    <x v="22"/>
    <n v="827685883"/>
    <x v="8"/>
  </r>
  <r>
    <s v="BANK OF AMERICA"/>
    <x v="23"/>
    <n v="8757031646.7099991"/>
    <x v="0"/>
  </r>
  <r>
    <s v="CWB"/>
    <x v="23"/>
    <n v="8265482641.71"/>
    <x v="1"/>
  </r>
  <r>
    <s v="CHASE"/>
    <x v="23"/>
    <n v="3833114648.75"/>
    <x v="2"/>
  </r>
  <r>
    <s v="WELLS FARGO"/>
    <x v="23"/>
    <n v="3345271361.5599999"/>
    <x v="9"/>
  </r>
  <r>
    <s v="CITI"/>
    <x v="23"/>
    <n v="2879827673.1599998"/>
    <x v="3"/>
  </r>
  <r>
    <s v="SUNTRUST"/>
    <x v="23"/>
    <n v="2817963532.98"/>
    <x v="4"/>
  </r>
  <r>
    <s v="ALLY"/>
    <x v="23"/>
    <n v="2391529898.25"/>
    <x v="5"/>
  </r>
  <r>
    <s v="AMTRUST"/>
    <x v="23"/>
    <n v="1500398960"/>
    <x v="6"/>
  </r>
  <r>
    <s v="FLAGSTAR"/>
    <x v="23"/>
    <n v="1299005761.8"/>
    <x v="7"/>
  </r>
  <r>
    <s v="PHH"/>
    <x v="23"/>
    <n v="1228350512.52"/>
    <x v="8"/>
  </r>
  <r>
    <s v="DB MORTGAGE SERVICES, LLC"/>
    <x v="24"/>
    <n v="529500000"/>
    <x v="0"/>
  </r>
  <r>
    <s v="PRUDENTIAL MULTIFAMILY MORTGAGE INC."/>
    <x v="24"/>
    <n v="525451496"/>
    <x v="1"/>
  </r>
  <r>
    <s v="WELLS FARGO"/>
    <x v="24"/>
    <n v="199240159"/>
    <x v="2"/>
  </r>
  <r>
    <s v="WACHOVIA"/>
    <x v="24"/>
    <n v="199240159"/>
    <x v="2"/>
  </r>
  <r>
    <s v="GREEN PARK FINANCIAL LIMITED PARTNERSHIP"/>
    <x v="24"/>
    <n v="186664202"/>
    <x v="3"/>
  </r>
  <r>
    <s v="CAPMARK FINANCE INC."/>
    <x v="24"/>
    <n v="128010000"/>
    <x v="4"/>
  </r>
  <r>
    <s v="RED MORTGAGE CAPITAL, INC."/>
    <x v="24"/>
    <n v="88341541"/>
    <x v="5"/>
  </r>
  <r>
    <s v="ARCS COMMERCIAL MORTGAGE COMPANY, L.P."/>
    <x v="24"/>
    <n v="78371000"/>
    <x v="6"/>
  </r>
  <r>
    <s v="BANK OF AMERICA"/>
    <x v="24"/>
    <n v="49097527.210000001"/>
    <x v="7"/>
  </r>
  <r>
    <s v="M &amp; T REALTY CAPITAL CORPORATION"/>
    <x v="24"/>
    <n v="36942000"/>
    <x v="8"/>
  </r>
  <r>
    <s v="PHH"/>
    <x v="25"/>
    <n v="587402404.38"/>
    <x v="0"/>
  </r>
  <r>
    <s v="CITI"/>
    <x v="25"/>
    <n v="289054248.91000003"/>
    <x v="1"/>
  </r>
  <r>
    <s v="FIFTH THIRD"/>
    <x v="25"/>
    <n v="165294713.30000001"/>
    <x v="2"/>
  </r>
  <r>
    <s v="ALLY"/>
    <x v="25"/>
    <n v="159905398.22"/>
    <x v="9"/>
  </r>
  <r>
    <s v="PNC"/>
    <x v="25"/>
    <n v="143507290.88"/>
    <x v="3"/>
  </r>
  <r>
    <s v="PRUDENTIAL MULTIFAMILY MORTGAGE INC."/>
    <x v="25"/>
    <n v="126500000"/>
    <x v="4"/>
  </r>
  <r>
    <s v="SUNTRUST"/>
    <x v="25"/>
    <n v="121943584.34"/>
    <x v="5"/>
  </r>
  <r>
    <s v="CAPMARK FINANCE INC."/>
    <x v="25"/>
    <n v="107554000"/>
    <x v="6"/>
  </r>
  <r>
    <s v="WACHOVIA"/>
    <x v="25"/>
    <n v="106526391.84"/>
    <x v="7"/>
  </r>
  <r>
    <s v="WELLS FARGO"/>
    <x v="25"/>
    <n v="106526391.84"/>
    <x v="7"/>
  </r>
  <r>
    <s v="BANK OF AMERICA"/>
    <x v="26"/>
    <n v="7970383527.0900002"/>
    <x v="0"/>
  </r>
  <r>
    <s v="CWB"/>
    <x v="26"/>
    <n v="5549416466.0900002"/>
    <x v="1"/>
  </r>
  <r>
    <s v="WELLS FARGO"/>
    <x v="26"/>
    <n v="5368827950.8599997"/>
    <x v="2"/>
  </r>
  <r>
    <s v="CHASE"/>
    <x v="26"/>
    <n v="4354798481.1899996"/>
    <x v="9"/>
  </r>
  <r>
    <s v="CITI"/>
    <x v="26"/>
    <n v="3653159455.4499998"/>
    <x v="3"/>
  </r>
  <r>
    <s v="ALLY"/>
    <x v="26"/>
    <n v="2776259321.4400001"/>
    <x v="4"/>
  </r>
  <r>
    <s v="SUNTRUST"/>
    <x v="26"/>
    <n v="2602983126.1300001"/>
    <x v="5"/>
  </r>
  <r>
    <s v="AMTRUST"/>
    <x v="26"/>
    <n v="1376195197"/>
    <x v="6"/>
  </r>
  <r>
    <s v="PNC"/>
    <x v="26"/>
    <n v="1348505248.95"/>
    <x v="7"/>
  </r>
  <r>
    <s v="FLAGSTAR"/>
    <x v="26"/>
    <n v="1162595939.1300001"/>
    <x v="8"/>
  </r>
  <r>
    <s v="BANK OF AMERICA"/>
    <x v="27"/>
    <n v="11906421034.719999"/>
    <x v="0"/>
  </r>
  <r>
    <s v="CWB"/>
    <x v="27"/>
    <n v="8448582032.3299999"/>
    <x v="1"/>
  </r>
  <r>
    <s v="WELLS FARGO"/>
    <x v="27"/>
    <n v="4931521660.5"/>
    <x v="2"/>
  </r>
  <r>
    <s v="CITI"/>
    <x v="27"/>
    <n v="3402261850.23"/>
    <x v="9"/>
  </r>
  <r>
    <s v="CHASE"/>
    <x v="27"/>
    <n v="2698937355.0500002"/>
    <x v="3"/>
  </r>
  <r>
    <s v="ALLY"/>
    <x v="27"/>
    <n v="1933443256.51"/>
    <x v="4"/>
  </r>
  <r>
    <s v="SUNTRUST"/>
    <x v="27"/>
    <n v="1794706224.6300001"/>
    <x v="5"/>
  </r>
  <r>
    <s v="FLAGSTAR"/>
    <x v="27"/>
    <n v="1598243031.95"/>
    <x v="6"/>
  </r>
  <r>
    <s v="INDYMAC BANK, FSB"/>
    <x v="27"/>
    <n v="1509377032.0999999"/>
    <x v="7"/>
  </r>
  <r>
    <s v="USAA"/>
    <x v="27"/>
    <n v="1504357495.8299999"/>
    <x v="8"/>
  </r>
  <r>
    <s v="BANK OF AMERICA"/>
    <x v="28"/>
    <n v="7611233645.2799997"/>
    <x v="0"/>
  </r>
  <r>
    <s v="CWB"/>
    <x v="28"/>
    <n v="6234694095.2799997"/>
    <x v="1"/>
  </r>
  <r>
    <s v="WELLS FARGO"/>
    <x v="28"/>
    <n v="5542233010.0799999"/>
    <x v="2"/>
  </r>
  <r>
    <s v="CHASE"/>
    <x v="28"/>
    <n v="3527666157.7399998"/>
    <x v="9"/>
  </r>
  <r>
    <s v="SUNTRUST"/>
    <x v="28"/>
    <n v="2350697844.6399999"/>
    <x v="3"/>
  </r>
  <r>
    <s v="CITI"/>
    <x v="28"/>
    <n v="2279214477"/>
    <x v="4"/>
  </r>
  <r>
    <s v="ALLY"/>
    <x v="28"/>
    <n v="1995857574.76"/>
    <x v="5"/>
  </r>
  <r>
    <s v="INDYMAC BANK, FSB"/>
    <x v="28"/>
    <n v="1924748303.6900001"/>
    <x v="6"/>
  </r>
  <r>
    <s v="FLAGSTAR"/>
    <x v="28"/>
    <n v="1724424141.5899999"/>
    <x v="7"/>
  </r>
  <r>
    <s v="PNC"/>
    <x v="28"/>
    <n v="1420438348.6199999"/>
    <x v="8"/>
  </r>
  <r>
    <s v="BANK OF AMERICA"/>
    <x v="29"/>
    <n v="9251362639"/>
    <x v="0"/>
  </r>
  <r>
    <s v="WELLS FARGO"/>
    <x v="29"/>
    <n v="5971674440.9099998"/>
    <x v="1"/>
  </r>
  <r>
    <s v="CWB"/>
    <x v="29"/>
    <n v="5620224592"/>
    <x v="2"/>
  </r>
  <r>
    <s v="CHASE"/>
    <x v="29"/>
    <n v="4108599053.3899999"/>
    <x v="9"/>
  </r>
  <r>
    <s v="SUNTRUST"/>
    <x v="29"/>
    <n v="2965658446.6199999"/>
    <x v="3"/>
  </r>
  <r>
    <s v="CITI"/>
    <x v="29"/>
    <n v="2860822903"/>
    <x v="4"/>
  </r>
  <r>
    <s v="ALLY"/>
    <x v="29"/>
    <n v="2316613344.4400001"/>
    <x v="5"/>
  </r>
  <r>
    <s v="PNC"/>
    <x v="29"/>
    <n v="2288150693"/>
    <x v="6"/>
  </r>
  <r>
    <s v="AMTRUST"/>
    <x v="29"/>
    <n v="1576791161"/>
    <x v="7"/>
  </r>
  <r>
    <s v="FLAGSTAR"/>
    <x v="29"/>
    <n v="1466684614.3"/>
    <x v="8"/>
  </r>
  <r>
    <s v="BANK OF AMERICA"/>
    <x v="30"/>
    <n v="12421827356.389999"/>
    <x v="0"/>
  </r>
  <r>
    <s v="CWB"/>
    <x v="30"/>
    <n v="10045544086.389999"/>
    <x v="1"/>
  </r>
  <r>
    <s v="CHASE"/>
    <x v="30"/>
    <n v="5882860464.71"/>
    <x v="2"/>
  </r>
  <r>
    <s v="WELLS FARGO"/>
    <x v="30"/>
    <n v="4169881135"/>
    <x v="9"/>
  </r>
  <r>
    <s v="ALLY"/>
    <x v="30"/>
    <n v="2828027093.6300001"/>
    <x v="3"/>
  </r>
  <r>
    <s v="SUNTRUST"/>
    <x v="30"/>
    <n v="2768397368.6799998"/>
    <x v="4"/>
  </r>
  <r>
    <s v="CITI"/>
    <x v="30"/>
    <n v="2580187388"/>
    <x v="5"/>
  </r>
  <r>
    <s v="PNC"/>
    <x v="30"/>
    <n v="1812559084.9200001"/>
    <x v="6"/>
  </r>
  <r>
    <s v="INDYMAC BANK, FSB"/>
    <x v="30"/>
    <n v="1736453448"/>
    <x v="7"/>
  </r>
  <r>
    <s v="FLAGSTAR"/>
    <x v="30"/>
    <n v="1592827444.7"/>
    <x v="8"/>
  </r>
  <r>
    <s v="BANK OF AMERICA"/>
    <x v="31"/>
    <n v="8728590817.0499992"/>
    <x v="0"/>
  </r>
  <r>
    <s v="CWB"/>
    <x v="31"/>
    <n v="7108699161"/>
    <x v="1"/>
  </r>
  <r>
    <s v="WELLS FARGO"/>
    <x v="31"/>
    <n v="5183225453.21"/>
    <x v="2"/>
  </r>
  <r>
    <s v="CHASE"/>
    <x v="31"/>
    <n v="3079886257.0799999"/>
    <x v="9"/>
  </r>
  <r>
    <s v="ALLY"/>
    <x v="31"/>
    <n v="2858003053.02"/>
    <x v="3"/>
  </r>
  <r>
    <s v="CITI"/>
    <x v="31"/>
    <n v="2753435609.96"/>
    <x v="4"/>
  </r>
  <r>
    <s v="SUNTRUST"/>
    <x v="31"/>
    <n v="2721529982.6700001"/>
    <x v="5"/>
  </r>
  <r>
    <s v="INDYMAC BANK, FSB"/>
    <x v="31"/>
    <n v="1575464486"/>
    <x v="6"/>
  </r>
  <r>
    <s v="AMTRUST"/>
    <x v="31"/>
    <n v="1438300798"/>
    <x v="7"/>
  </r>
  <r>
    <s v="ABM"/>
    <x v="31"/>
    <n v="1002322471"/>
    <x v="8"/>
  </r>
  <r>
    <s v="BANK OF AMERICA"/>
    <x v="32"/>
    <n v="10940578643.9"/>
    <x v="0"/>
  </r>
  <r>
    <s v="CWB"/>
    <x v="32"/>
    <n v="8522227078.8999996"/>
    <x v="1"/>
  </r>
  <r>
    <s v="WELLS FARGO"/>
    <x v="32"/>
    <n v="6061047145.0900002"/>
    <x v="2"/>
  </r>
  <r>
    <s v="CHASE"/>
    <x v="32"/>
    <n v="3648839072.79"/>
    <x v="9"/>
  </r>
  <r>
    <s v="SUNTRUST"/>
    <x v="32"/>
    <n v="3383016344.3800001"/>
    <x v="3"/>
  </r>
  <r>
    <s v="CITI"/>
    <x v="32"/>
    <n v="2975112864.3200002"/>
    <x v="4"/>
  </r>
  <r>
    <s v="ALLY"/>
    <x v="32"/>
    <n v="2798703942.1700001"/>
    <x v="5"/>
  </r>
  <r>
    <s v="FLAGSTAR"/>
    <x v="32"/>
    <n v="1512143012.0999999"/>
    <x v="6"/>
  </r>
  <r>
    <s v="INDYMAC BANK, FSB"/>
    <x v="32"/>
    <n v="1473943766.0599999"/>
    <x v="7"/>
  </r>
  <r>
    <s v="AMTRUST"/>
    <x v="32"/>
    <n v="1324787937"/>
    <x v="8"/>
  </r>
  <r>
    <s v="BANK OF AMERICA"/>
    <x v="33"/>
    <n v="7127437485.3199997"/>
    <x v="0"/>
  </r>
  <r>
    <s v="CWB"/>
    <x v="33"/>
    <n v="6990008893.75"/>
    <x v="1"/>
  </r>
  <r>
    <s v="WELLS FARGO"/>
    <x v="33"/>
    <n v="3877796837.6100001"/>
    <x v="2"/>
  </r>
  <r>
    <s v="CITI"/>
    <x v="33"/>
    <n v="3475050859"/>
    <x v="9"/>
  </r>
  <r>
    <s v="ALLY"/>
    <x v="33"/>
    <n v="2845541368.1100001"/>
    <x v="3"/>
  </r>
  <r>
    <s v="AMTRUST"/>
    <x v="33"/>
    <n v="1371503307"/>
    <x v="4"/>
  </r>
  <r>
    <s v="SUNTRUST"/>
    <x v="33"/>
    <n v="1259568820.0799999"/>
    <x v="5"/>
  </r>
  <r>
    <s v="CHASE"/>
    <x v="33"/>
    <n v="1043995891.96"/>
    <x v="6"/>
  </r>
  <r>
    <s v="PHH"/>
    <x v="33"/>
    <n v="616279069.29999995"/>
    <x v="7"/>
  </r>
  <r>
    <s v="FLAGSTAR"/>
    <x v="33"/>
    <n v="585339226"/>
    <x v="8"/>
  </r>
  <r>
    <s v="BANK OF AMERICA"/>
    <x v="34"/>
    <n v="9380905884.8600006"/>
    <x v="0"/>
  </r>
  <r>
    <s v="WELLS FARGO"/>
    <x v="34"/>
    <n v="7330185288.3299999"/>
    <x v="1"/>
  </r>
  <r>
    <s v="CWB"/>
    <x v="34"/>
    <n v="7056504465.8599997"/>
    <x v="2"/>
  </r>
  <r>
    <s v="CITI"/>
    <x v="34"/>
    <n v="4688377142"/>
    <x v="9"/>
  </r>
  <r>
    <s v="ALLY"/>
    <x v="34"/>
    <n v="3682275010.96"/>
    <x v="3"/>
  </r>
  <r>
    <s v="SUNTRUST"/>
    <x v="34"/>
    <n v="2862737507.9400001"/>
    <x v="4"/>
  </r>
  <r>
    <s v="AMTRUST"/>
    <x v="34"/>
    <n v="1641602106"/>
    <x v="5"/>
  </r>
  <r>
    <s v="CHASE"/>
    <x v="34"/>
    <n v="1458591196"/>
    <x v="6"/>
  </r>
  <r>
    <s v="FLAGSTAR"/>
    <x v="34"/>
    <n v="1254020508.1600001"/>
    <x v="7"/>
  </r>
  <r>
    <s v="PHH"/>
    <x v="34"/>
    <n v="1144391387.9100001"/>
    <x v="8"/>
  </r>
  <r>
    <s v="BANK OF AMERICA"/>
    <x v="35"/>
    <n v="12080553097.469999"/>
    <x v="0"/>
  </r>
  <r>
    <s v="CWB"/>
    <x v="35"/>
    <n v="7196631371.5799999"/>
    <x v="1"/>
  </r>
  <r>
    <s v="WELLS FARGO"/>
    <x v="35"/>
    <n v="5336823509"/>
    <x v="2"/>
  </r>
  <r>
    <s v="CHASE"/>
    <x v="35"/>
    <n v="3359247837.3800001"/>
    <x v="9"/>
  </r>
  <r>
    <s v="CITI"/>
    <x v="35"/>
    <n v="2889767287.1399999"/>
    <x v="3"/>
  </r>
  <r>
    <s v="ALLY"/>
    <x v="35"/>
    <n v="2135218352.8499999"/>
    <x v="4"/>
  </r>
  <r>
    <s v="SUNTRUST"/>
    <x v="35"/>
    <n v="1735953431.48"/>
    <x v="5"/>
  </r>
  <r>
    <s v="FLAGSTAR"/>
    <x v="35"/>
    <n v="1202353395.3900001"/>
    <x v="6"/>
  </r>
  <r>
    <s v="PHH"/>
    <x v="35"/>
    <n v="1180682631.77"/>
    <x v="7"/>
  </r>
  <r>
    <s v="AMTRUST"/>
    <x v="35"/>
    <n v="1033761031"/>
    <x v="8"/>
  </r>
  <r>
    <s v="WELLS FARGO"/>
    <x v="36"/>
    <n v="11170458526.360001"/>
    <x v="0"/>
  </r>
  <r>
    <s v="BANK OF AMERICA"/>
    <x v="36"/>
    <n v="7158543878.4300003"/>
    <x v="1"/>
  </r>
  <r>
    <s v="CWB"/>
    <x v="36"/>
    <n v="4246827120.4299998"/>
    <x v="2"/>
  </r>
  <r>
    <s v="CHASE"/>
    <x v="36"/>
    <n v="4180802344.75"/>
    <x v="9"/>
  </r>
  <r>
    <s v="CITI"/>
    <x v="36"/>
    <n v="3685367093.4400001"/>
    <x v="3"/>
  </r>
  <r>
    <s v="AMTRUST"/>
    <x v="36"/>
    <n v="1731032257"/>
    <x v="4"/>
  </r>
  <r>
    <s v="ALLY"/>
    <x v="36"/>
    <n v="1080842069.0799999"/>
    <x v="5"/>
  </r>
  <r>
    <s v="WAMU"/>
    <x v="36"/>
    <n v="1060745072.6799999"/>
    <x v="6"/>
  </r>
  <r>
    <s v="SUNTRUST"/>
    <x v="36"/>
    <n v="1025803901.03"/>
    <x v="7"/>
  </r>
  <r>
    <s v="PHH"/>
    <x v="36"/>
    <n v="934123233.22000003"/>
    <x v="8"/>
  </r>
  <r>
    <s v="BANK OF AMERICA"/>
    <x v="37"/>
    <n v="5246259446.8599997"/>
    <x v="0"/>
  </r>
  <r>
    <s v="WELLS FARGO"/>
    <x v="37"/>
    <n v="5061020702"/>
    <x v="1"/>
  </r>
  <r>
    <s v="CWB"/>
    <x v="37"/>
    <n v="3677510879.8600001"/>
    <x v="2"/>
  </r>
  <r>
    <s v="CHASE"/>
    <x v="37"/>
    <n v="3379179274.5999999"/>
    <x v="9"/>
  </r>
  <r>
    <s v="CITI"/>
    <x v="37"/>
    <n v="2293997579.0900002"/>
    <x v="3"/>
  </r>
  <r>
    <s v="SUNTRUST"/>
    <x v="37"/>
    <n v="1370360829.9300001"/>
    <x v="4"/>
  </r>
  <r>
    <s v="AMTRUST"/>
    <x v="37"/>
    <n v="1349863752"/>
    <x v="5"/>
  </r>
  <r>
    <s v="ALLY"/>
    <x v="37"/>
    <n v="1296601251.3199999"/>
    <x v="6"/>
  </r>
  <r>
    <s v="PHH"/>
    <x v="37"/>
    <n v="1041107194.3200001"/>
    <x v="7"/>
  </r>
  <r>
    <s v="FLAGSTAR"/>
    <x v="37"/>
    <n v="945798148.61000001"/>
    <x v="8"/>
  </r>
  <r>
    <s v="WELLS FARGO"/>
    <x v="38"/>
    <n v="4827258509.6899996"/>
    <x v="0"/>
  </r>
  <r>
    <s v="CHASE"/>
    <x v="38"/>
    <n v="3855453030.6300001"/>
    <x v="1"/>
  </r>
  <r>
    <s v="BANK OF AMERICA"/>
    <x v="38"/>
    <n v="3724004372.54"/>
    <x v="2"/>
  </r>
  <r>
    <s v="CWB"/>
    <x v="38"/>
    <n v="2510869452.54"/>
    <x v="9"/>
  </r>
  <r>
    <s v="CITI"/>
    <x v="38"/>
    <n v="1811019241.5799999"/>
    <x v="3"/>
  </r>
  <r>
    <s v="AMTRUST"/>
    <x v="38"/>
    <n v="1212308338"/>
    <x v="4"/>
  </r>
  <r>
    <s v="SUNTRUST"/>
    <x v="38"/>
    <n v="1137551331.23"/>
    <x v="5"/>
  </r>
  <r>
    <s v="PHH"/>
    <x v="38"/>
    <n v="1050886755.36"/>
    <x v="6"/>
  </r>
  <r>
    <s v="ALLY"/>
    <x v="38"/>
    <n v="1009149437.96"/>
    <x v="7"/>
  </r>
  <r>
    <s v="FLAGSTAR"/>
    <x v="38"/>
    <n v="829290393.58000004"/>
    <x v="8"/>
  </r>
  <r>
    <s v="WELLS FARGO"/>
    <x v="39"/>
    <n v="6826679614.1599998"/>
    <x v="0"/>
  </r>
  <r>
    <s v="CHASE"/>
    <x v="39"/>
    <n v="4576290883.3400002"/>
    <x v="1"/>
  </r>
  <r>
    <s v="BANK OF AMERICA"/>
    <x v="39"/>
    <n v="3721284450.75"/>
    <x v="2"/>
  </r>
  <r>
    <s v="WACHOVIA"/>
    <x v="39"/>
    <n v="2390970582.23"/>
    <x v="9"/>
  </r>
  <r>
    <s v="CITI"/>
    <x v="39"/>
    <n v="2326562293.4099998"/>
    <x v="3"/>
  </r>
  <r>
    <s v="CWB"/>
    <x v="39"/>
    <n v="1757341434.5"/>
    <x v="4"/>
  </r>
  <r>
    <s v="SUNTRUST"/>
    <x v="39"/>
    <n v="1332940093.6900001"/>
    <x v="5"/>
  </r>
  <r>
    <s v="AMTRUST"/>
    <x v="39"/>
    <n v="1097946836.3599999"/>
    <x v="6"/>
  </r>
  <r>
    <s v="ALLY"/>
    <x v="39"/>
    <n v="1080669747.9100001"/>
    <x v="7"/>
  </r>
  <r>
    <s v="FLAGSTAR"/>
    <x v="39"/>
    <n v="711290312.90999997"/>
    <x v="8"/>
  </r>
  <r>
    <s v="WELLS FARGO"/>
    <x v="40"/>
    <n v="3655203702.7600002"/>
    <x v="0"/>
  </r>
  <r>
    <s v="CITI"/>
    <x v="40"/>
    <n v="3299307846.8800001"/>
    <x v="1"/>
  </r>
  <r>
    <s v="BANK OF AMERICA"/>
    <x v="40"/>
    <n v="2740026309.71"/>
    <x v="2"/>
  </r>
  <r>
    <s v="CWB"/>
    <x v="40"/>
    <n v="2029327063.1300001"/>
    <x v="9"/>
  </r>
  <r>
    <s v="CHASE"/>
    <x v="40"/>
    <n v="1556910841.1199999"/>
    <x v="3"/>
  </r>
  <r>
    <s v="SUNTRUST"/>
    <x v="40"/>
    <n v="1199444316"/>
    <x v="4"/>
  </r>
  <r>
    <s v="AMTRUST"/>
    <x v="40"/>
    <n v="1065916156.21"/>
    <x v="5"/>
  </r>
  <r>
    <s v="ALLY"/>
    <x v="40"/>
    <n v="995868510.13"/>
    <x v="6"/>
  </r>
  <r>
    <s v="FLAGSTAR"/>
    <x v="40"/>
    <n v="681109796"/>
    <x v="7"/>
  </r>
  <r>
    <s v="PHH"/>
    <x v="40"/>
    <n v="548837801.54999995"/>
    <x v="8"/>
  </r>
  <r>
    <s v="WELLS FARGO"/>
    <x v="41"/>
    <n v="4550926488.3800001"/>
    <x v="0"/>
  </r>
  <r>
    <s v="BANK OF AMERICA"/>
    <x v="41"/>
    <n v="2515091694.6199999"/>
    <x v="1"/>
  </r>
  <r>
    <s v="CITI"/>
    <x v="41"/>
    <n v="2424326679.6300001"/>
    <x v="2"/>
  </r>
  <r>
    <s v="CHASE"/>
    <x v="41"/>
    <n v="2418760155.1700001"/>
    <x v="9"/>
  </r>
  <r>
    <s v="CWB"/>
    <x v="41"/>
    <n v="1685306018.4400001"/>
    <x v="3"/>
  </r>
  <r>
    <s v="SUNTRUST"/>
    <x v="41"/>
    <n v="1232068329"/>
    <x v="4"/>
  </r>
  <r>
    <s v="AMTRUST"/>
    <x v="41"/>
    <n v="715357720.58000004"/>
    <x v="5"/>
  </r>
  <r>
    <s v="ALLY"/>
    <x v="41"/>
    <n v="653795272.74000001"/>
    <x v="6"/>
  </r>
  <r>
    <s v="PHH"/>
    <x v="41"/>
    <n v="484912507.41000003"/>
    <x v="7"/>
  </r>
  <r>
    <s v="FLAGSTAR"/>
    <x v="41"/>
    <n v="401866202.69999999"/>
    <x v="8"/>
  </r>
  <r>
    <s v="CHASE"/>
    <x v="42"/>
    <n v="8422014425.4099998"/>
    <x v="0"/>
  </r>
  <r>
    <s v="WELLS FARGO"/>
    <x v="42"/>
    <n v="5550356551.6300001"/>
    <x v="1"/>
  </r>
  <r>
    <s v="BANK OF AMERICA"/>
    <x v="42"/>
    <n v="3106185436.3600001"/>
    <x v="2"/>
  </r>
  <r>
    <s v="CITI"/>
    <x v="42"/>
    <n v="2591575469.4400001"/>
    <x v="9"/>
  </r>
  <r>
    <s v="HSBC"/>
    <x v="42"/>
    <n v="2336672835.98"/>
    <x v="3"/>
  </r>
  <r>
    <s v="CWB"/>
    <x v="42"/>
    <n v="2178270115.3600001"/>
    <x v="4"/>
  </r>
  <r>
    <s v="RBS"/>
    <x v="42"/>
    <n v="1530928194.1400001"/>
    <x v="5"/>
  </r>
  <r>
    <s v="PNC"/>
    <x v="42"/>
    <n v="1525277871.1700001"/>
    <x v="6"/>
  </r>
  <r>
    <s v="ALLY"/>
    <x v="42"/>
    <n v="1283604308.3099999"/>
    <x v="7"/>
  </r>
  <r>
    <s v="SUNTRUST"/>
    <x v="42"/>
    <n v="1081151550.25"/>
    <x v="8"/>
  </r>
  <r>
    <s v="WELLS FARGO"/>
    <x v="43"/>
    <n v="3756680738.23"/>
    <x v="0"/>
  </r>
  <r>
    <s v="BANK OF AMERICA"/>
    <x v="43"/>
    <n v="3537510920.7199998"/>
    <x v="1"/>
  </r>
  <r>
    <s v="CWB"/>
    <x v="43"/>
    <n v="2557155019.7199998"/>
    <x v="2"/>
  </r>
  <r>
    <s v="CITI"/>
    <x v="43"/>
    <n v="1760296401.01"/>
    <x v="9"/>
  </r>
  <r>
    <s v="AMTRUST"/>
    <x v="43"/>
    <n v="923120637.58000004"/>
    <x v="3"/>
  </r>
  <r>
    <s v="CHASE"/>
    <x v="43"/>
    <n v="855120211.13"/>
    <x v="4"/>
  </r>
  <r>
    <s v="SUNTRUST"/>
    <x v="43"/>
    <n v="724583556.05999994"/>
    <x v="5"/>
  </r>
  <r>
    <s v="PHH"/>
    <x v="43"/>
    <n v="520733159.38"/>
    <x v="6"/>
  </r>
  <r>
    <s v="WACHOVIA"/>
    <x v="43"/>
    <n v="478631006.50999999"/>
    <x v="7"/>
  </r>
  <r>
    <s v="FLAGSTAR"/>
    <x v="43"/>
    <n v="459181459.44"/>
    <x v="8"/>
  </r>
  <r>
    <s v="WELLS FARGO"/>
    <x v="44"/>
    <n v="9511580945.1800003"/>
    <x v="0"/>
  </r>
  <r>
    <s v="BANK OF AMERICA"/>
    <x v="44"/>
    <n v="9257448004.8400002"/>
    <x v="1"/>
  </r>
  <r>
    <s v="CITI"/>
    <x v="44"/>
    <n v="2380664984.6799998"/>
    <x v="2"/>
  </r>
  <r>
    <s v="SUNTRUST"/>
    <x v="44"/>
    <n v="2220890353.6799998"/>
    <x v="9"/>
  </r>
  <r>
    <s v="FLAGSTAR"/>
    <x v="44"/>
    <n v="1405817023"/>
    <x v="3"/>
  </r>
  <r>
    <s v="CHASE"/>
    <x v="44"/>
    <n v="1403736406.28"/>
    <x v="4"/>
  </r>
  <r>
    <s v="WACHOVIA"/>
    <x v="44"/>
    <n v="1273764070.76"/>
    <x v="5"/>
  </r>
  <r>
    <s v="AMTRUST"/>
    <x v="44"/>
    <n v="1078154854.03"/>
    <x v="6"/>
  </r>
  <r>
    <s v="ALLY"/>
    <x v="44"/>
    <n v="715164383.12"/>
    <x v="7"/>
  </r>
  <r>
    <s v="PHH"/>
    <x v="44"/>
    <n v="630938838.39999998"/>
    <x v="8"/>
  </r>
  <r>
    <s v="BANK OF AMERICA"/>
    <x v="45"/>
    <n v="14453685921.889999"/>
    <x v="0"/>
  </r>
  <r>
    <s v="WELLS FARGO"/>
    <x v="45"/>
    <n v="14368376825.32"/>
    <x v="1"/>
  </r>
  <r>
    <s v="CHASE"/>
    <x v="45"/>
    <n v="9514998899.3199997"/>
    <x v="2"/>
  </r>
  <r>
    <s v="CITI"/>
    <x v="45"/>
    <n v="3669633504.7399998"/>
    <x v="9"/>
  </r>
  <r>
    <s v="SUNTRUST"/>
    <x v="45"/>
    <n v="2581902036.8600001"/>
    <x v="3"/>
  </r>
  <r>
    <s v="AMTRUST"/>
    <x v="45"/>
    <n v="2137733570.1199999"/>
    <x v="4"/>
  </r>
  <r>
    <s v="ALLY"/>
    <x v="45"/>
    <n v="1622213766.6099999"/>
    <x v="5"/>
  </r>
  <r>
    <s v="WACHOVIA"/>
    <x v="45"/>
    <n v="1427198629.9000001"/>
    <x v="6"/>
  </r>
  <r>
    <s v="PHH"/>
    <x v="45"/>
    <n v="1307784771.1199999"/>
    <x v="7"/>
  </r>
  <r>
    <s v="FLAGSTAR"/>
    <x v="45"/>
    <n v="1216935785.27"/>
    <x v="8"/>
  </r>
  <r>
    <s v="WELLS FARGO"/>
    <x v="46"/>
    <n v="10866823472.32"/>
    <x v="0"/>
  </r>
  <r>
    <s v="BANK OF AMERICA"/>
    <x v="46"/>
    <n v="6613979565.25"/>
    <x v="1"/>
  </r>
  <r>
    <s v="SUNTRUST"/>
    <x v="46"/>
    <n v="2636791196"/>
    <x v="2"/>
  </r>
  <r>
    <s v="AMTRUST"/>
    <x v="46"/>
    <n v="2635227445.8499999"/>
    <x v="9"/>
  </r>
  <r>
    <s v="PHH"/>
    <x v="46"/>
    <n v="2574869351.5599999"/>
    <x v="3"/>
  </r>
  <r>
    <s v="CITI"/>
    <x v="46"/>
    <n v="2214641693.3699999"/>
    <x v="4"/>
  </r>
  <r>
    <s v="CHASE"/>
    <x v="46"/>
    <n v="1831852270.22"/>
    <x v="5"/>
  </r>
  <r>
    <s v="ALLY"/>
    <x v="46"/>
    <n v="1134925696.8199999"/>
    <x v="6"/>
  </r>
  <r>
    <s v="WACHOVIA"/>
    <x v="46"/>
    <n v="1001661409"/>
    <x v="7"/>
  </r>
  <r>
    <s v="FLAGSTAR"/>
    <x v="46"/>
    <n v="953947303"/>
    <x v="8"/>
  </r>
  <r>
    <s v="WELLS FARGO"/>
    <x v="47"/>
    <n v="16377153576.040001"/>
    <x v="0"/>
  </r>
  <r>
    <s v="BANK OF AMERICA"/>
    <x v="47"/>
    <n v="10980515274.559999"/>
    <x v="1"/>
  </r>
  <r>
    <s v="CHASE"/>
    <x v="47"/>
    <n v="7832451449.5500002"/>
    <x v="2"/>
  </r>
  <r>
    <s v="CITI"/>
    <x v="47"/>
    <n v="7694647345.4300003"/>
    <x v="9"/>
  </r>
  <r>
    <s v="PHH"/>
    <x v="47"/>
    <n v="5729582604.1499996"/>
    <x v="3"/>
  </r>
  <r>
    <s v="SUNTRUST"/>
    <x v="47"/>
    <n v="3149383417.9400001"/>
    <x v="4"/>
  </r>
  <r>
    <s v="AMTRUST"/>
    <x v="47"/>
    <n v="2568225957.29"/>
    <x v="5"/>
  </r>
  <r>
    <s v="ALLY"/>
    <x v="47"/>
    <n v="2007873609.8199999"/>
    <x v="6"/>
  </r>
  <r>
    <s v="FLAGSTAR"/>
    <x v="47"/>
    <n v="1538541620.98"/>
    <x v="7"/>
  </r>
  <r>
    <s v="PNC"/>
    <x v="47"/>
    <n v="1367891457.2"/>
    <x v="8"/>
  </r>
  <r>
    <s v="WELLS FARGO"/>
    <x v="48"/>
    <n v="18556306988.82"/>
    <x v="0"/>
  </r>
  <r>
    <s v="BANK OF AMERICA"/>
    <x v="48"/>
    <n v="16385859796.799999"/>
    <x v="1"/>
  </r>
  <r>
    <s v="CHASE"/>
    <x v="48"/>
    <n v="6300278425.04"/>
    <x v="2"/>
  </r>
  <r>
    <s v="CITI"/>
    <x v="48"/>
    <n v="5504690092.9399996"/>
    <x v="9"/>
  </r>
  <r>
    <s v="PHH"/>
    <x v="48"/>
    <n v="3886793291.8899999"/>
    <x v="3"/>
  </r>
  <r>
    <s v="SUNTRUST"/>
    <x v="48"/>
    <n v="3485600189.8299999"/>
    <x v="4"/>
  </r>
  <r>
    <s v="ALLY"/>
    <x v="48"/>
    <n v="2890599988.1900001"/>
    <x v="5"/>
  </r>
  <r>
    <s v="AMTRUST"/>
    <x v="48"/>
    <n v="2085681943.29"/>
    <x v="6"/>
  </r>
  <r>
    <s v="FLAGSTAR"/>
    <x v="48"/>
    <n v="2041508250.48"/>
    <x v="7"/>
  </r>
  <r>
    <s v="FANNIE MAE"/>
    <x v="48"/>
    <n v="1411001019.22"/>
    <x v="8"/>
  </r>
  <r>
    <s v="WELLS FARGO"/>
    <x v="49"/>
    <n v="17780279923.57"/>
    <x v="0"/>
  </r>
  <r>
    <s v="BANK OF AMERICA"/>
    <x v="49"/>
    <n v="13232923368.200001"/>
    <x v="1"/>
  </r>
  <r>
    <s v="CITI"/>
    <x v="49"/>
    <n v="4078320972.77"/>
    <x v="2"/>
  </r>
  <r>
    <s v="SUNTRUST"/>
    <x v="49"/>
    <n v="3555049260.5900002"/>
    <x v="9"/>
  </r>
  <r>
    <s v="ALLY"/>
    <x v="49"/>
    <n v="2256690852.2199998"/>
    <x v="3"/>
  </r>
  <r>
    <s v="PHH"/>
    <x v="49"/>
    <n v="1985615127.78"/>
    <x v="4"/>
  </r>
  <r>
    <s v="AMTRUST"/>
    <x v="49"/>
    <n v="1534118490.3199999"/>
    <x v="5"/>
  </r>
  <r>
    <s v="FLAGSTAR"/>
    <x v="49"/>
    <n v="1252653319.1900001"/>
    <x v="6"/>
  </r>
  <r>
    <s v="CHASE"/>
    <x v="49"/>
    <n v="933539103.72000003"/>
    <x v="7"/>
  </r>
  <r>
    <s v="EVERBANK"/>
    <x v="49"/>
    <n v="883282992.5"/>
    <x v="8"/>
  </r>
  <r>
    <s v="WELLS FARGO"/>
    <x v="50"/>
    <n v="13559469118.879999"/>
    <x v="0"/>
  </r>
  <r>
    <s v="BANK OF AMERICA"/>
    <x v="50"/>
    <n v="10631867083.52"/>
    <x v="1"/>
  </r>
  <r>
    <s v="CITI"/>
    <x v="50"/>
    <n v="2226606400.2800002"/>
    <x v="2"/>
  </r>
  <r>
    <s v="CHASE"/>
    <x v="50"/>
    <n v="2019788713.0599999"/>
    <x v="9"/>
  </r>
  <r>
    <s v="SUNTRUST"/>
    <x v="50"/>
    <n v="1758618024"/>
    <x v="3"/>
  </r>
  <r>
    <s v="ALLY"/>
    <x v="50"/>
    <n v="1508806380.53"/>
    <x v="4"/>
  </r>
  <r>
    <s v="PHH"/>
    <x v="50"/>
    <n v="1454096040.6600001"/>
    <x v="5"/>
  </r>
  <r>
    <s v="AMTRUST"/>
    <x v="50"/>
    <n v="1031320812.12"/>
    <x v="6"/>
  </r>
  <r>
    <s v="FLAGSTAR"/>
    <x v="50"/>
    <n v="954606164.92999995"/>
    <x v="7"/>
  </r>
  <r>
    <s v="ASSOCIATED"/>
    <x v="50"/>
    <n v="477277200.41000003"/>
    <x v="8"/>
  </r>
  <r>
    <s v="BANK OF AMERICA"/>
    <x v="51"/>
    <n v="9711261406.9500008"/>
    <x v="0"/>
  </r>
  <r>
    <s v="WELLS FARGO"/>
    <x v="51"/>
    <n v="9300876014.7000008"/>
    <x v="1"/>
  </r>
  <r>
    <s v="CHASE"/>
    <x v="51"/>
    <n v="3350176866.5500002"/>
    <x v="2"/>
  </r>
  <r>
    <s v="SUNTRUST"/>
    <x v="51"/>
    <n v="1540011743"/>
    <x v="9"/>
  </r>
  <r>
    <s v="CITI"/>
    <x v="51"/>
    <n v="1511640714.96"/>
    <x v="3"/>
  </r>
  <r>
    <s v="ALLY"/>
    <x v="51"/>
    <n v="1455262864.3900001"/>
    <x v="4"/>
  </r>
  <r>
    <s v="PHH"/>
    <x v="51"/>
    <n v="1386139068.05"/>
    <x v="5"/>
  </r>
  <r>
    <s v="FLAGSTAR"/>
    <x v="51"/>
    <n v="662314912"/>
    <x v="6"/>
  </r>
  <r>
    <s v="AMTRUST"/>
    <x v="51"/>
    <n v="535204931.82999998"/>
    <x v="7"/>
  </r>
  <r>
    <s v="USAA"/>
    <x v="51"/>
    <n v="392896483"/>
    <x v="8"/>
  </r>
  <r>
    <s v="WELLS FARGO"/>
    <x v="52"/>
    <n v="7211282362.8500004"/>
    <x v="0"/>
  </r>
  <r>
    <s v="BANK OF AMERICA"/>
    <x v="52"/>
    <n v="4625680962.5299997"/>
    <x v="1"/>
  </r>
  <r>
    <s v="ALLY"/>
    <x v="52"/>
    <n v="1418743217.1300001"/>
    <x v="2"/>
  </r>
  <r>
    <s v="SUNTRUST"/>
    <x v="52"/>
    <n v="953298136"/>
    <x v="9"/>
  </r>
  <r>
    <s v="CHASE"/>
    <x v="52"/>
    <n v="904919262.65999997"/>
    <x v="3"/>
  </r>
  <r>
    <s v="FLAGSTAR"/>
    <x v="52"/>
    <n v="715387862"/>
    <x v="4"/>
  </r>
  <r>
    <s v="CITI"/>
    <x v="52"/>
    <n v="708008708.12"/>
    <x v="5"/>
  </r>
  <r>
    <s v="HSBC"/>
    <x v="52"/>
    <n v="601179484.77999997"/>
    <x v="6"/>
  </r>
  <r>
    <s v="PHH"/>
    <x v="52"/>
    <n v="583166238.41999996"/>
    <x v="7"/>
  </r>
  <r>
    <s v="AMTRUST"/>
    <x v="52"/>
    <n v="328546288.49000001"/>
    <x v="8"/>
  </r>
  <r>
    <s v="WELLS FARGO"/>
    <x v="53"/>
    <n v="7751269955.25"/>
    <x v="0"/>
  </r>
  <r>
    <s v="CHASE"/>
    <x v="53"/>
    <n v="4687150253.25"/>
    <x v="1"/>
  </r>
  <r>
    <s v="BANK OF AMERICA"/>
    <x v="53"/>
    <n v="2540213073.8200002"/>
    <x v="2"/>
  </r>
  <r>
    <s v="ALLY"/>
    <x v="53"/>
    <n v="1807093775.6700001"/>
    <x v="9"/>
  </r>
  <r>
    <s v="SUNTRUST"/>
    <x v="53"/>
    <n v="928978146"/>
    <x v="3"/>
  </r>
  <r>
    <s v="CITI"/>
    <x v="53"/>
    <n v="920145976.58000004"/>
    <x v="4"/>
  </r>
  <r>
    <s v="FLAGSTAR"/>
    <x v="53"/>
    <n v="725941382.64999998"/>
    <x v="5"/>
  </r>
  <r>
    <s v="AMTRUST"/>
    <x v="53"/>
    <n v="677909185.74000001"/>
    <x v="6"/>
  </r>
  <r>
    <s v="PHH"/>
    <x v="53"/>
    <n v="664611984.01999998"/>
    <x v="7"/>
  </r>
  <r>
    <s v="HSBC"/>
    <x v="53"/>
    <n v="333607808.50999999"/>
    <x v="8"/>
  </r>
  <r>
    <s v="WELLS FARGO"/>
    <x v="54"/>
    <n v="11583901052.780001"/>
    <x v="0"/>
  </r>
  <r>
    <s v="BANK OF AMERICA"/>
    <x v="54"/>
    <n v="6453958851"/>
    <x v="1"/>
  </r>
  <r>
    <s v="CHASE"/>
    <x v="54"/>
    <n v="2038481662.5999999"/>
    <x v="2"/>
  </r>
  <r>
    <s v="ALLY"/>
    <x v="54"/>
    <n v="1731178948.49"/>
    <x v="9"/>
  </r>
  <r>
    <s v="SUNTRUST"/>
    <x v="54"/>
    <n v="1127780359"/>
    <x v="3"/>
  </r>
  <r>
    <s v="FLAGSTAR"/>
    <x v="54"/>
    <n v="975997990"/>
    <x v="4"/>
  </r>
  <r>
    <s v="HSBC"/>
    <x v="54"/>
    <n v="973330970.29999995"/>
    <x v="5"/>
  </r>
  <r>
    <s v="CITI"/>
    <x v="54"/>
    <n v="852057605.63"/>
    <x v="6"/>
  </r>
  <r>
    <s v="PHH"/>
    <x v="54"/>
    <n v="851642916.98000002"/>
    <x v="7"/>
  </r>
  <r>
    <s v="USAA"/>
    <x v="54"/>
    <n v="421704151"/>
    <x v="8"/>
  </r>
  <r>
    <s v="WELLS FARGO"/>
    <x v="55"/>
    <n v="9978849287.2000008"/>
    <x v="0"/>
  </r>
  <r>
    <s v="BANK OF AMERICA"/>
    <x v="55"/>
    <n v="5521288700.1800003"/>
    <x v="1"/>
  </r>
  <r>
    <s v="CHASE"/>
    <x v="55"/>
    <n v="2582467892.6500001"/>
    <x v="2"/>
  </r>
  <r>
    <s v="ALLY"/>
    <x v="55"/>
    <n v="1887253190.6600001"/>
    <x v="9"/>
  </r>
  <r>
    <s v="SUNTRUST"/>
    <x v="55"/>
    <n v="889060529"/>
    <x v="3"/>
  </r>
  <r>
    <s v="CITI"/>
    <x v="55"/>
    <n v="779839250.55999994"/>
    <x v="4"/>
  </r>
  <r>
    <s v="FLAGSTAR"/>
    <x v="55"/>
    <n v="736021209.74000001"/>
    <x v="5"/>
  </r>
  <r>
    <s v="AMTRUST"/>
    <x v="55"/>
    <n v="657628874.59000003"/>
    <x v="6"/>
  </r>
  <r>
    <s v="USAA"/>
    <x v="55"/>
    <n v="498952028"/>
    <x v="7"/>
  </r>
  <r>
    <s v="FREMONT BANK"/>
    <x v="55"/>
    <n v="386823003.75999999"/>
    <x v="8"/>
  </r>
  <r>
    <s v="WELLS FARGO"/>
    <x v="56"/>
    <n v="9807430995.9200001"/>
    <x v="0"/>
  </r>
  <r>
    <s v="BANK OF AMERICA"/>
    <x v="56"/>
    <n v="5305630826.1899996"/>
    <x v="1"/>
  </r>
  <r>
    <s v="CHASE"/>
    <x v="56"/>
    <n v="4446325379.8299999"/>
    <x v="2"/>
  </r>
  <r>
    <s v="ALLY"/>
    <x v="56"/>
    <n v="2017223525.6800001"/>
    <x v="9"/>
  </r>
  <r>
    <s v="CITI"/>
    <x v="56"/>
    <n v="1155889082.1500001"/>
    <x v="3"/>
  </r>
  <r>
    <s v="SUNTRUST"/>
    <x v="56"/>
    <n v="719496863"/>
    <x v="4"/>
  </r>
  <r>
    <s v="FLAGSTAR"/>
    <x v="56"/>
    <n v="535898276.69"/>
    <x v="5"/>
  </r>
  <r>
    <s v="USAA"/>
    <x v="56"/>
    <n v="442717691"/>
    <x v="6"/>
  </r>
  <r>
    <s v="PHH"/>
    <x v="56"/>
    <n v="415371190.91000003"/>
    <x v="7"/>
  </r>
  <r>
    <s v="DB MORTGAGE SERVICES, LLC"/>
    <x v="56"/>
    <n v="373476000"/>
    <x v="8"/>
  </r>
  <r>
    <s v="WELLS FARGO"/>
    <x v="57"/>
    <n v="7752148414.0900002"/>
    <x v="0"/>
  </r>
  <r>
    <s v="CHASE"/>
    <x v="57"/>
    <n v="3913725904.1500001"/>
    <x v="1"/>
  </r>
  <r>
    <s v="BANK OF AMERICA"/>
    <x v="57"/>
    <n v="3199831541.8899999"/>
    <x v="2"/>
  </r>
  <r>
    <s v="ALLY"/>
    <x v="57"/>
    <n v="1009165492.87"/>
    <x v="9"/>
  </r>
  <r>
    <s v="CITI"/>
    <x v="57"/>
    <n v="751666992.55999994"/>
    <x v="3"/>
  </r>
  <r>
    <s v="SUNTRUST"/>
    <x v="57"/>
    <n v="509344142.41000003"/>
    <x v="4"/>
  </r>
  <r>
    <s v="PHH"/>
    <x v="57"/>
    <n v="489940410.56"/>
    <x v="5"/>
  </r>
  <r>
    <s v="FLAGSTAR"/>
    <x v="57"/>
    <n v="466248926.74000001"/>
    <x v="6"/>
  </r>
  <r>
    <s v="USAA"/>
    <x v="57"/>
    <n v="357652436"/>
    <x v="7"/>
  </r>
  <r>
    <s v="NY COMMUNITY"/>
    <x v="57"/>
    <n v="280526539.32999998"/>
    <x v="8"/>
  </r>
  <r>
    <s v="WELLS FARGO"/>
    <x v="58"/>
    <n v="8759856160.0100002"/>
    <x v="0"/>
  </r>
  <r>
    <s v="BANK OF AMERICA"/>
    <x v="58"/>
    <n v="6045923010.6400003"/>
    <x v="1"/>
  </r>
  <r>
    <s v="CHASE"/>
    <x v="58"/>
    <n v="2196781706.52"/>
    <x v="2"/>
  </r>
  <r>
    <s v="ALLY"/>
    <x v="58"/>
    <n v="1206641880.98"/>
    <x v="9"/>
  </r>
  <r>
    <s v="CITI"/>
    <x v="58"/>
    <n v="717269259.21000004"/>
    <x v="3"/>
  </r>
  <r>
    <s v="SUNTRUST"/>
    <x v="58"/>
    <n v="622792880"/>
    <x v="4"/>
  </r>
  <r>
    <s v="NY COMMUNITY"/>
    <x v="58"/>
    <n v="566563714.44000006"/>
    <x v="5"/>
  </r>
  <r>
    <s v="FLAGSTAR"/>
    <x v="58"/>
    <n v="544126887.90999997"/>
    <x v="6"/>
  </r>
  <r>
    <s v="USAA"/>
    <x v="58"/>
    <n v="376001263"/>
    <x v="7"/>
  </r>
  <r>
    <s v="WALKER&amp;DUNLOP"/>
    <x v="58"/>
    <n v="365340363"/>
    <x v="8"/>
  </r>
  <r>
    <s v="WELLS FARGO"/>
    <x v="59"/>
    <n v="7983117228.6700001"/>
    <x v="0"/>
  </r>
  <r>
    <s v="BANK OF AMERICA"/>
    <x v="59"/>
    <n v="6085851450.0900002"/>
    <x v="1"/>
  </r>
  <r>
    <s v="CHASE"/>
    <x v="59"/>
    <n v="3408756489.0999999"/>
    <x v="2"/>
  </r>
  <r>
    <s v="ALLY"/>
    <x v="59"/>
    <n v="1280550786.26"/>
    <x v="9"/>
  </r>
  <r>
    <s v="CITI"/>
    <x v="59"/>
    <n v="979069118.75"/>
    <x v="3"/>
  </r>
  <r>
    <s v="PHH"/>
    <x v="59"/>
    <n v="827846631.82000005"/>
    <x v="4"/>
  </r>
  <r>
    <s v="SUNTRUST"/>
    <x v="59"/>
    <n v="757778464"/>
    <x v="5"/>
  </r>
  <r>
    <s v="FLAGSTAR"/>
    <x v="59"/>
    <n v="748562261.27999997"/>
    <x v="6"/>
  </r>
  <r>
    <s v="NY COMMUNITY"/>
    <x v="59"/>
    <n v="397458378.94"/>
    <x v="7"/>
  </r>
  <r>
    <s v="PNC"/>
    <x v="59"/>
    <n v="325610197.19999999"/>
    <x v="8"/>
  </r>
  <r>
    <s v="WELLS FARGO"/>
    <x v="60"/>
    <n v="8159699856.3800001"/>
    <x v="0"/>
  </r>
  <r>
    <s v="BANK OF AMERICA"/>
    <x v="60"/>
    <n v="6657706403.3699999"/>
    <x v="1"/>
  </r>
  <r>
    <s v="CHASE"/>
    <x v="60"/>
    <n v="5102381874.5"/>
    <x v="2"/>
  </r>
  <r>
    <s v="ALLY"/>
    <x v="60"/>
    <n v="1873141654.6800001"/>
    <x v="9"/>
  </r>
  <r>
    <s v="CITI"/>
    <x v="60"/>
    <n v="1302820990.45"/>
    <x v="3"/>
  </r>
  <r>
    <s v="PHH"/>
    <x v="60"/>
    <n v="987339146.05999994"/>
    <x v="4"/>
  </r>
  <r>
    <s v="FLAGSTAR"/>
    <x v="60"/>
    <n v="843058237.84000003"/>
    <x v="5"/>
  </r>
  <r>
    <s v="SUNTRUST"/>
    <x v="60"/>
    <n v="705883099.42999995"/>
    <x v="6"/>
  </r>
  <r>
    <s v="NY COMMUNITY"/>
    <x v="60"/>
    <n v="418791874.29000002"/>
    <x v="7"/>
  </r>
  <r>
    <s v="PNC"/>
    <x v="60"/>
    <n v="306820436.19"/>
    <x v="8"/>
  </r>
  <r>
    <s v="WELLS FARGO"/>
    <x v="61"/>
    <n v="8955541938.4400005"/>
    <x v="0"/>
  </r>
  <r>
    <s v="BANK OF AMERICA"/>
    <x v="61"/>
    <n v="6566683766.2700005"/>
    <x v="1"/>
  </r>
  <r>
    <s v="CHASE"/>
    <x v="61"/>
    <n v="5566835247.3199997"/>
    <x v="2"/>
  </r>
  <r>
    <s v="ALLY"/>
    <x v="61"/>
    <n v="2520047942.54"/>
    <x v="9"/>
  </r>
  <r>
    <s v="CITI"/>
    <x v="61"/>
    <n v="1445083188.54"/>
    <x v="3"/>
  </r>
  <r>
    <s v="PHH"/>
    <x v="61"/>
    <n v="974133095.32000005"/>
    <x v="4"/>
  </r>
  <r>
    <s v="NY COMMUNITY"/>
    <x v="61"/>
    <n v="675914527.42999995"/>
    <x v="5"/>
  </r>
  <r>
    <s v="SUNTRUST"/>
    <x v="61"/>
    <n v="652414196.23000002"/>
    <x v="6"/>
  </r>
  <r>
    <s v="FLAGSTAR"/>
    <x v="61"/>
    <n v="621237152.12"/>
    <x v="7"/>
  </r>
  <r>
    <s v="THIRD FEDERAL"/>
    <x v="61"/>
    <n v="474094385.06999999"/>
    <x v="8"/>
  </r>
  <r>
    <s v="WELLS FARGO"/>
    <x v="62"/>
    <n v="10445666888.360001"/>
    <x v="0"/>
  </r>
  <r>
    <s v="BANK OF AMERICA"/>
    <x v="62"/>
    <n v="6780683677.4899998"/>
    <x v="1"/>
  </r>
  <r>
    <s v="ALLY"/>
    <x v="62"/>
    <n v="2690541294.77"/>
    <x v="2"/>
  </r>
  <r>
    <s v="CITI"/>
    <x v="62"/>
    <n v="2635279121.3899999"/>
    <x v="9"/>
  </r>
  <r>
    <s v="CHASE"/>
    <x v="62"/>
    <n v="2469426656.7399998"/>
    <x v="3"/>
  </r>
  <r>
    <s v="FLAGSTAR"/>
    <x v="62"/>
    <n v="1438161442.27"/>
    <x v="4"/>
  </r>
  <r>
    <s v="PHH"/>
    <x v="62"/>
    <n v="1411205922.8599999"/>
    <x v="5"/>
  </r>
  <r>
    <s v="SUNTRUST"/>
    <x v="62"/>
    <n v="1027381931.53"/>
    <x v="6"/>
  </r>
  <r>
    <s v="NY COMMUNITY"/>
    <x v="62"/>
    <n v="679976598.80999994"/>
    <x v="7"/>
  </r>
  <r>
    <s v="TD BANK, N.A."/>
    <x v="62"/>
    <n v="604184628"/>
    <x v="8"/>
  </r>
  <r>
    <s v="CHASE"/>
    <x v="63"/>
    <n v="13523481421.540001"/>
    <x v="0"/>
  </r>
  <r>
    <s v="WELLS FARGO"/>
    <x v="63"/>
    <n v="12647051419.92"/>
    <x v="1"/>
  </r>
  <r>
    <s v="BANK OF AMERICA"/>
    <x v="63"/>
    <n v="8801662456.9899998"/>
    <x v="2"/>
  </r>
  <r>
    <s v="CITI"/>
    <x v="63"/>
    <n v="4518559940.5299997"/>
    <x v="9"/>
  </r>
  <r>
    <s v="ALLY"/>
    <x v="63"/>
    <n v="3646842839.0100002"/>
    <x v="3"/>
  </r>
  <r>
    <s v="FLAGSTAR"/>
    <x v="63"/>
    <n v="2082908596.8599999"/>
    <x v="4"/>
  </r>
  <r>
    <s v="PHH"/>
    <x v="63"/>
    <n v="1754955724.47"/>
    <x v="5"/>
  </r>
  <r>
    <s v="SUNTRUST"/>
    <x v="63"/>
    <n v="1120073087.9000001"/>
    <x v="6"/>
  </r>
  <r>
    <s v="NY COMMUNITY"/>
    <x v="63"/>
    <n v="1105134409.6900001"/>
    <x v="7"/>
  </r>
  <r>
    <s v="QUICKEN"/>
    <x v="63"/>
    <n v="842265479.03999996"/>
    <x v="8"/>
  </r>
  <r>
    <s v="WELLS FARGO"/>
    <x v="64"/>
    <n v="13935891180.24"/>
    <x v="0"/>
  </r>
  <r>
    <s v="BANK OF AMERICA"/>
    <x v="64"/>
    <n v="7173559851.6000004"/>
    <x v="1"/>
  </r>
  <r>
    <s v="CHASE"/>
    <x v="64"/>
    <n v="7032221976"/>
    <x v="2"/>
  </r>
  <r>
    <s v="ALLY"/>
    <x v="64"/>
    <n v="4867074403.2299995"/>
    <x v="9"/>
  </r>
  <r>
    <s v="CITI"/>
    <x v="64"/>
    <n v="4545541491.3000002"/>
    <x v="3"/>
  </r>
  <r>
    <s v="PHH"/>
    <x v="64"/>
    <n v="1772716757.7"/>
    <x v="4"/>
  </r>
  <r>
    <s v="FLAGSTAR"/>
    <x v="64"/>
    <n v="1584815106.8800001"/>
    <x v="5"/>
  </r>
  <r>
    <s v="SUNTRUST"/>
    <x v="64"/>
    <n v="1236774477.01"/>
    <x v="6"/>
  </r>
  <r>
    <s v="PNC"/>
    <x v="64"/>
    <n v="1043295632.48"/>
    <x v="7"/>
  </r>
  <r>
    <s v="QUICKEN"/>
    <x v="64"/>
    <n v="985412820.13999999"/>
    <x v="8"/>
  </r>
  <r>
    <s v="WELLS FARGO"/>
    <x v="65"/>
    <n v="13909502726.82"/>
    <x v="0"/>
  </r>
  <r>
    <s v="BANK OF AMERICA"/>
    <x v="65"/>
    <n v="8077232839.9099998"/>
    <x v="1"/>
  </r>
  <r>
    <s v="CHASE"/>
    <x v="65"/>
    <n v="5669944072.8400002"/>
    <x v="2"/>
  </r>
  <r>
    <s v="ALLY"/>
    <x v="65"/>
    <n v="4631288816.5799999"/>
    <x v="9"/>
  </r>
  <r>
    <s v="CITI"/>
    <x v="65"/>
    <n v="4042775700.8400002"/>
    <x v="3"/>
  </r>
  <r>
    <s v="PHH"/>
    <x v="65"/>
    <n v="2192767460.75"/>
    <x v="4"/>
  </r>
  <r>
    <s v="QUICKEN"/>
    <x v="65"/>
    <n v="1752605955.22"/>
    <x v="5"/>
  </r>
  <r>
    <s v="FLAGSTAR"/>
    <x v="65"/>
    <n v="1652225345.79"/>
    <x v="6"/>
  </r>
  <r>
    <s v="SUNTRUST"/>
    <x v="65"/>
    <n v="1583568018.25"/>
    <x v="7"/>
  </r>
  <r>
    <s v="PRUDENTIAL MULTIFAMILY MORTGAGE INC."/>
    <x v="65"/>
    <n v="1122048685"/>
    <x v="8"/>
  </r>
  <r>
    <s v="WELLS FARGO"/>
    <x v="66"/>
    <n v="14878642995.780001"/>
    <x v="0"/>
  </r>
  <r>
    <s v="CHASE"/>
    <x v="66"/>
    <n v="13177768197.51"/>
    <x v="1"/>
  </r>
  <r>
    <s v="BANK OF AMERICA"/>
    <x v="66"/>
    <n v="11678030199.870001"/>
    <x v="2"/>
  </r>
  <r>
    <s v="CITI"/>
    <x v="66"/>
    <n v="4455935640.6099997"/>
    <x v="9"/>
  </r>
  <r>
    <s v="ALLY"/>
    <x v="66"/>
    <n v="4077546240.5599999"/>
    <x v="3"/>
  </r>
  <r>
    <s v="SUNTRUST"/>
    <x v="66"/>
    <n v="1808961584.6800001"/>
    <x v="4"/>
  </r>
  <r>
    <s v="FLAGSTAR"/>
    <x v="66"/>
    <n v="1787042808.5599999"/>
    <x v="5"/>
  </r>
  <r>
    <s v="REGIONS BANK"/>
    <x v="66"/>
    <n v="1232116719.6400001"/>
    <x v="6"/>
  </r>
  <r>
    <s v="PHH"/>
    <x v="66"/>
    <n v="1213409683.3399999"/>
    <x v="7"/>
  </r>
  <r>
    <s v="PNC"/>
    <x v="66"/>
    <n v="1075335371.8499999"/>
    <x v="8"/>
  </r>
  <r>
    <s v="WELLS FARGO"/>
    <x v="67"/>
    <n v="15157548488.809999"/>
    <x v="0"/>
  </r>
  <r>
    <s v="BANK OF AMERICA"/>
    <x v="67"/>
    <n v="10056413197.809999"/>
    <x v="1"/>
  </r>
  <r>
    <s v="CHASE"/>
    <x v="67"/>
    <n v="5654825118.79"/>
    <x v="2"/>
  </r>
  <r>
    <s v="CITI"/>
    <x v="67"/>
    <n v="4288064391.23"/>
    <x v="9"/>
  </r>
  <r>
    <s v="ALLY"/>
    <x v="67"/>
    <n v="3768046307.4699998"/>
    <x v="3"/>
  </r>
  <r>
    <s v="PHH"/>
    <x v="67"/>
    <n v="2454761687.0100002"/>
    <x v="4"/>
  </r>
  <r>
    <s v="FLAGSTAR"/>
    <x v="67"/>
    <n v="1652845494.29"/>
    <x v="5"/>
  </r>
  <r>
    <s v="SUNTRUST"/>
    <x v="67"/>
    <n v="1553817144.2"/>
    <x v="6"/>
  </r>
  <r>
    <s v="NY COMMUNITY"/>
    <x v="67"/>
    <n v="835486551.41999996"/>
    <x v="7"/>
  </r>
  <r>
    <s v="PNC"/>
    <x v="67"/>
    <n v="805596212.40999997"/>
    <x v="8"/>
  </r>
  <r>
    <s v="WELLS FARGO"/>
    <x v="68"/>
    <n v="12839332402.040001"/>
    <x v="0"/>
  </r>
  <r>
    <s v="BANK OF AMERICA"/>
    <x v="68"/>
    <n v="9579024294.3700008"/>
    <x v="1"/>
  </r>
  <r>
    <s v="CHASE"/>
    <x v="68"/>
    <n v="4282742234.9099998"/>
    <x v="2"/>
  </r>
  <r>
    <s v="CITI"/>
    <x v="68"/>
    <n v="2523521818.0799999"/>
    <x v="9"/>
  </r>
  <r>
    <s v="PHH"/>
    <x v="68"/>
    <n v="2208311207.8699999"/>
    <x v="3"/>
  </r>
  <r>
    <s v="ALLY"/>
    <x v="68"/>
    <n v="1927727999.48"/>
    <x v="4"/>
  </r>
  <r>
    <s v="SUNTRUST"/>
    <x v="68"/>
    <n v="1247167117.3299999"/>
    <x v="5"/>
  </r>
  <r>
    <s v="FLAGSTAR"/>
    <x v="68"/>
    <n v="855765018.10000002"/>
    <x v="6"/>
  </r>
  <r>
    <s v="PNC"/>
    <x v="68"/>
    <n v="731935459.64999998"/>
    <x v="7"/>
  </r>
  <r>
    <s v="NY COMMUNITY"/>
    <x v="68"/>
    <n v="447638536.25"/>
    <x v="8"/>
  </r>
  <r>
    <s v="WELLS FARGO"/>
    <x v="69"/>
    <n v="9636191150.4599991"/>
    <x v="0"/>
  </r>
  <r>
    <s v="CHASE"/>
    <x v="69"/>
    <n v="9485405797.4699993"/>
    <x v="1"/>
  </r>
  <r>
    <s v="BANK OF AMERICA"/>
    <x v="69"/>
    <n v="8683894317.7800007"/>
    <x v="2"/>
  </r>
  <r>
    <s v="CITI"/>
    <x v="69"/>
    <n v="2657649716.0999999"/>
    <x v="9"/>
  </r>
  <r>
    <s v="PHH"/>
    <x v="69"/>
    <n v="2586644966.1999998"/>
    <x v="3"/>
  </r>
  <r>
    <s v="ALLY"/>
    <x v="69"/>
    <n v="2121205602.46"/>
    <x v="4"/>
  </r>
  <r>
    <s v="SUNTRUST"/>
    <x v="69"/>
    <n v="1186577224.8"/>
    <x v="5"/>
  </r>
  <r>
    <s v="FLAGSTAR"/>
    <x v="69"/>
    <n v="740800134.88999999"/>
    <x v="6"/>
  </r>
  <r>
    <s v="PNC"/>
    <x v="69"/>
    <n v="705043007.98000002"/>
    <x v="7"/>
  </r>
  <r>
    <s v="WALKER&amp;DUNLOP"/>
    <x v="69"/>
    <n v="488914060"/>
    <x v="8"/>
  </r>
  <r>
    <s v="WELLS FARGO"/>
    <x v="70"/>
    <n v="7444150512.3199997"/>
    <x v="0"/>
  </r>
  <r>
    <s v="BANK OF AMERICA"/>
    <x v="70"/>
    <n v="4730559226.2700005"/>
    <x v="1"/>
  </r>
  <r>
    <s v="CHASE"/>
    <x v="70"/>
    <n v="3767154561.3800001"/>
    <x v="2"/>
  </r>
  <r>
    <s v="CITI"/>
    <x v="70"/>
    <n v="2120004498.6400001"/>
    <x v="9"/>
  </r>
  <r>
    <s v="ALLY"/>
    <x v="70"/>
    <n v="1116379416.3"/>
    <x v="3"/>
  </r>
  <r>
    <s v="FLAGSTAR"/>
    <x v="70"/>
    <n v="811722395.58000004"/>
    <x v="4"/>
  </r>
  <r>
    <s v="PNC"/>
    <x v="70"/>
    <n v="764963730.72000003"/>
    <x v="5"/>
  </r>
  <r>
    <s v="SUNTRUST"/>
    <x v="70"/>
    <n v="674113666.69000006"/>
    <x v="6"/>
  </r>
  <r>
    <s v="PHH"/>
    <x v="70"/>
    <n v="581314774.17999995"/>
    <x v="7"/>
  </r>
  <r>
    <s v="REGIONS BANK"/>
    <x v="70"/>
    <n v="341092933.08999997"/>
    <x v="8"/>
  </r>
  <r>
    <s v="WELLS FARGO"/>
    <x v="71"/>
    <n v="6796796476.5"/>
    <x v="0"/>
  </r>
  <r>
    <s v="CHASE"/>
    <x v="71"/>
    <n v="4462100152.5799999"/>
    <x v="1"/>
  </r>
  <r>
    <s v="BANK OF AMERICA"/>
    <x v="71"/>
    <n v="2894353490.4000001"/>
    <x v="2"/>
  </r>
  <r>
    <s v="CITI"/>
    <x v="71"/>
    <n v="1772156272.1099999"/>
    <x v="9"/>
  </r>
  <r>
    <s v="ALLY"/>
    <x v="71"/>
    <n v="1714672795.1500001"/>
    <x v="3"/>
  </r>
  <r>
    <s v="FLAGSTAR"/>
    <x v="71"/>
    <n v="841140321.39999998"/>
    <x v="4"/>
  </r>
  <r>
    <s v="PHH"/>
    <x v="71"/>
    <n v="752156908.72000003"/>
    <x v="5"/>
  </r>
  <r>
    <s v="SUNTRUST"/>
    <x v="71"/>
    <n v="563716044.37"/>
    <x v="6"/>
  </r>
  <r>
    <s v="PNC"/>
    <x v="71"/>
    <n v="489084046.74000001"/>
    <x v="7"/>
  </r>
  <r>
    <s v="ARBOR"/>
    <x v="71"/>
    <n v="284055237"/>
    <x v="8"/>
  </r>
  <r>
    <s v="WELLS FARGO"/>
    <x v="72"/>
    <n v="8100182361.9399996"/>
    <x v="0"/>
  </r>
  <r>
    <s v="CHASE"/>
    <x v="72"/>
    <n v="5545967032.6400003"/>
    <x v="1"/>
  </r>
  <r>
    <s v="ALLY"/>
    <x v="72"/>
    <n v="3143184905.6100001"/>
    <x v="2"/>
  </r>
  <r>
    <s v="BANK OF AMERICA"/>
    <x v="72"/>
    <n v="2911823738.5799999"/>
    <x v="9"/>
  </r>
  <r>
    <s v="CITI"/>
    <x v="72"/>
    <n v="1549429492.6099999"/>
    <x v="3"/>
  </r>
  <r>
    <s v="PHH"/>
    <x v="72"/>
    <n v="1268561247.9400001"/>
    <x v="4"/>
  </r>
  <r>
    <s v="SUNTRUST"/>
    <x v="72"/>
    <n v="602058992.67999995"/>
    <x v="5"/>
  </r>
  <r>
    <s v="FLAGSTAR"/>
    <x v="72"/>
    <n v="539015420.57000005"/>
    <x v="6"/>
  </r>
  <r>
    <s v="M &amp; T REALTY CAPITAL CORPORATION"/>
    <x v="72"/>
    <n v="494592251"/>
    <x v="7"/>
  </r>
  <r>
    <s v="PNC"/>
    <x v="72"/>
    <n v="440788343.07999998"/>
    <x v="8"/>
  </r>
  <r>
    <s v="WELLS FARGO"/>
    <x v="73"/>
    <n v="5308788048.8400002"/>
    <x v="0"/>
  </r>
  <r>
    <s v="CHASE"/>
    <x v="73"/>
    <n v="3552030616.75"/>
    <x v="1"/>
  </r>
  <r>
    <s v="CITI"/>
    <x v="73"/>
    <n v="3451560618.73"/>
    <x v="2"/>
  </r>
  <r>
    <s v="BANK OF AMERICA"/>
    <x v="73"/>
    <n v="3164049641.8699999"/>
    <x v="9"/>
  </r>
  <r>
    <s v="ALLY"/>
    <x v="73"/>
    <n v="1623998106.96"/>
    <x v="3"/>
  </r>
  <r>
    <s v="FLAGSTAR"/>
    <x v="73"/>
    <n v="848545824.13999999"/>
    <x v="4"/>
  </r>
  <r>
    <s v="SUNTRUST"/>
    <x v="73"/>
    <n v="722217253.57000005"/>
    <x v="5"/>
  </r>
  <r>
    <s v="PNC"/>
    <x v="73"/>
    <n v="598908757.10000002"/>
    <x v="6"/>
  </r>
  <r>
    <s v="PHH"/>
    <x v="73"/>
    <n v="488802884.07999998"/>
    <x v="7"/>
  </r>
  <r>
    <s v="BEECH STREET CAPITAL, LLC"/>
    <x v="73"/>
    <n v="312614394"/>
    <x v="8"/>
  </r>
  <r>
    <s v="WELLS FARGO"/>
    <x v="74"/>
    <n v="8975675585.0300007"/>
    <x v="0"/>
  </r>
  <r>
    <s v="CHASE"/>
    <x v="74"/>
    <n v="5856036812.3699999"/>
    <x v="1"/>
  </r>
  <r>
    <s v="BANK OF AMERICA"/>
    <x v="74"/>
    <n v="3731162831.54"/>
    <x v="2"/>
  </r>
  <r>
    <s v="ALLY"/>
    <x v="74"/>
    <n v="2329334472.6700001"/>
    <x v="9"/>
  </r>
  <r>
    <s v="CITI"/>
    <x v="74"/>
    <n v="1558677252.3900001"/>
    <x v="3"/>
  </r>
  <r>
    <s v="PHH"/>
    <x v="74"/>
    <n v="1496155189.5"/>
    <x v="4"/>
  </r>
  <r>
    <s v="FLAGSTAR"/>
    <x v="74"/>
    <n v="1238482339.3800001"/>
    <x v="5"/>
  </r>
  <r>
    <s v="SUNTRUST"/>
    <x v="74"/>
    <n v="725416086.88"/>
    <x v="6"/>
  </r>
  <r>
    <s v="PNC"/>
    <x v="74"/>
    <n v="486453805.94"/>
    <x v="7"/>
  </r>
  <r>
    <s v="USAA"/>
    <x v="74"/>
    <n v="246411781"/>
    <x v="8"/>
  </r>
  <r>
    <s v="WELLS FARGO"/>
    <x v="75"/>
    <n v="9862037476.5100002"/>
    <x v="0"/>
  </r>
  <r>
    <s v="CHASE"/>
    <x v="75"/>
    <n v="8513787528.9200001"/>
    <x v="1"/>
  </r>
  <r>
    <s v="ALLY"/>
    <x v="75"/>
    <n v="3396559955.0900002"/>
    <x v="2"/>
  </r>
  <r>
    <s v="BANK OF AMERICA"/>
    <x v="75"/>
    <n v="2892361811.9899998"/>
    <x v="9"/>
  </r>
  <r>
    <s v="CITI"/>
    <x v="75"/>
    <n v="2696815028.3899999"/>
    <x v="3"/>
  </r>
  <r>
    <s v="FLAGSTAR"/>
    <x v="75"/>
    <n v="1481093219.7"/>
    <x v="4"/>
  </r>
  <r>
    <s v="PHH"/>
    <x v="75"/>
    <n v="1068656827.8200001"/>
    <x v="5"/>
  </r>
  <r>
    <s v="QUICKEN"/>
    <x v="75"/>
    <n v="823178100.25"/>
    <x v="6"/>
  </r>
  <r>
    <s v="PNC"/>
    <x v="75"/>
    <n v="634350715.39999998"/>
    <x v="7"/>
  </r>
  <r>
    <s v="SUNTRUST"/>
    <x v="75"/>
    <n v="609690927"/>
    <x v="8"/>
  </r>
  <r>
    <s v="WELLS FARGO"/>
    <x v="76"/>
    <n v="11864275980.860001"/>
    <x v="0"/>
  </r>
  <r>
    <s v="CHASE"/>
    <x v="76"/>
    <n v="5145732963.04"/>
    <x v="1"/>
  </r>
  <r>
    <s v="CITI"/>
    <x v="76"/>
    <n v="3368885713.6900001"/>
    <x v="2"/>
  </r>
  <r>
    <s v="FLAGSTAR"/>
    <x v="76"/>
    <n v="2189275465.2199998"/>
    <x v="9"/>
  </r>
  <r>
    <s v="PHH"/>
    <x v="76"/>
    <n v="2131641702.3199999"/>
    <x v="3"/>
  </r>
  <r>
    <s v="BANK OF AMERICA"/>
    <x v="76"/>
    <n v="2008947925.9400001"/>
    <x v="4"/>
  </r>
  <r>
    <s v="ALLY"/>
    <x v="76"/>
    <n v="1820954758.3199999"/>
    <x v="5"/>
  </r>
  <r>
    <s v="QUICKEN"/>
    <x v="76"/>
    <n v="1103750509.5999999"/>
    <x v="6"/>
  </r>
  <r>
    <s v="SUNTRUST"/>
    <x v="76"/>
    <n v="784533038"/>
    <x v="7"/>
  </r>
  <r>
    <s v="NYCB MORTGAGE COMPANY, LLC"/>
    <x v="76"/>
    <n v="578361348.02999997"/>
    <x v="8"/>
  </r>
  <r>
    <s v="WELLS FARGO"/>
    <x v="77"/>
    <n v="14706099941.799999"/>
    <x v="0"/>
  </r>
  <r>
    <s v="CHASE"/>
    <x v="77"/>
    <n v="7980975998.8500004"/>
    <x v="1"/>
  </r>
  <r>
    <s v="CITI"/>
    <x v="77"/>
    <n v="4736787040.8299999"/>
    <x v="2"/>
  </r>
  <r>
    <s v="ALLY"/>
    <x v="77"/>
    <n v="3660860542.1399999"/>
    <x v="9"/>
  </r>
  <r>
    <s v="FLAGSTAR"/>
    <x v="77"/>
    <n v="2374687827.0900002"/>
    <x v="3"/>
  </r>
  <r>
    <s v="PHH"/>
    <x v="77"/>
    <n v="2096048439.96"/>
    <x v="4"/>
  </r>
  <r>
    <s v="BANK OF AMERICA"/>
    <x v="77"/>
    <n v="1485254304.1099999"/>
    <x v="5"/>
  </r>
  <r>
    <s v="QUICKEN"/>
    <x v="77"/>
    <n v="1418009753.6300001"/>
    <x v="6"/>
  </r>
  <r>
    <s v="NYCB MORTGAGE COMPANY, LLC"/>
    <x v="77"/>
    <n v="747707839.65999997"/>
    <x v="7"/>
  </r>
  <r>
    <s v="US BANK"/>
    <x v="77"/>
    <n v="553653703.02999997"/>
    <x v="8"/>
  </r>
  <r>
    <s v="WELLS FARGO"/>
    <x v="78"/>
    <n v="23937608890.639999"/>
    <x v="0"/>
  </r>
  <r>
    <s v="CHASE"/>
    <x v="78"/>
    <n v="8179192202.6400003"/>
    <x v="1"/>
  </r>
  <r>
    <s v="CITI"/>
    <x v="78"/>
    <n v="4852780436.3599997"/>
    <x v="2"/>
  </r>
  <r>
    <s v="ALLY"/>
    <x v="78"/>
    <n v="4076990497.6900001"/>
    <x v="9"/>
  </r>
  <r>
    <s v="PHH"/>
    <x v="78"/>
    <n v="3147925861.4400001"/>
    <x v="3"/>
  </r>
  <r>
    <s v="FLAGSTAR"/>
    <x v="78"/>
    <n v="2364623596.77"/>
    <x v="4"/>
  </r>
  <r>
    <s v="BANK OF AMERICA"/>
    <x v="78"/>
    <n v="1127153197.6199999"/>
    <x v="5"/>
  </r>
  <r>
    <s v="QUICKEN"/>
    <x v="78"/>
    <n v="1125319396.6300001"/>
    <x v="6"/>
  </r>
  <r>
    <s v="NYCB MORTGAGE COMPANY, LLC"/>
    <x v="78"/>
    <n v="726071421.08000004"/>
    <x v="7"/>
  </r>
  <r>
    <s v="PNC"/>
    <x v="78"/>
    <n v="669442416.33000004"/>
    <x v="8"/>
  </r>
  <r>
    <s v="WELLS FARGO"/>
    <x v="79"/>
    <n v="15368979575.26"/>
    <x v="0"/>
  </r>
  <r>
    <s v="CITI"/>
    <x v="79"/>
    <n v="4888087268.7600002"/>
    <x v="1"/>
  </r>
  <r>
    <s v="CHASE"/>
    <x v="79"/>
    <n v="4842312645.9700003"/>
    <x v="2"/>
  </r>
  <r>
    <s v="FLAGSTAR"/>
    <x v="79"/>
    <n v="2078917820.78"/>
    <x v="9"/>
  </r>
  <r>
    <s v="ALLY"/>
    <x v="79"/>
    <n v="1829508756.9100001"/>
    <x v="3"/>
  </r>
  <r>
    <s v="PHH"/>
    <x v="79"/>
    <n v="1686254886.4100001"/>
    <x v="4"/>
  </r>
  <r>
    <s v="QUICKEN"/>
    <x v="79"/>
    <n v="1325451283.1400001"/>
    <x v="5"/>
  </r>
  <r>
    <s v="BANK OF AMERICA"/>
    <x v="79"/>
    <n v="900533697.60000002"/>
    <x v="6"/>
  </r>
  <r>
    <s v="SUNTRUST"/>
    <x v="79"/>
    <n v="755828484.13"/>
    <x v="7"/>
  </r>
  <r>
    <s v="FIFTH THIRD"/>
    <x v="79"/>
    <n v="686393892.15999997"/>
    <x v="8"/>
  </r>
  <r>
    <s v="WELLS FARGO"/>
    <x v="80"/>
    <n v="14632091015.389999"/>
    <x v="0"/>
  </r>
  <r>
    <s v="CHASE"/>
    <x v="80"/>
    <n v="6039781731.0699997"/>
    <x v="1"/>
  </r>
  <r>
    <s v="FLAGSTAR"/>
    <x v="80"/>
    <n v="2741562711.46"/>
    <x v="2"/>
  </r>
  <r>
    <s v="CITI"/>
    <x v="80"/>
    <n v="2226729317.7600002"/>
    <x v="9"/>
  </r>
  <r>
    <s v="PHH"/>
    <x v="80"/>
    <n v="1851657345.4200001"/>
    <x v="3"/>
  </r>
  <r>
    <s v="QUICKEN"/>
    <x v="80"/>
    <n v="1764296230.9100001"/>
    <x v="4"/>
  </r>
  <r>
    <s v="ALLY"/>
    <x v="80"/>
    <n v="1397963595.51"/>
    <x v="5"/>
  </r>
  <r>
    <s v="SUNTRUST"/>
    <x v="80"/>
    <n v="959494576.99000001"/>
    <x v="6"/>
  </r>
  <r>
    <s v="AMERICAN HOME MORTGAGE CORPORATION"/>
    <x v="80"/>
    <n v="672231724.96000004"/>
    <x v="7"/>
  </r>
  <r>
    <s v="CHICAGO MORTGAGE SOLUTIONS DBA INTERBANK"/>
    <x v="80"/>
    <n v="620503186.51999998"/>
    <x v="8"/>
  </r>
  <r>
    <s v="WELLS FARGO"/>
    <x v="81"/>
    <n v="30737250033.549999"/>
    <x v="0"/>
  </r>
  <r>
    <s v="CHASE"/>
    <x v="81"/>
    <n v="9495153084.0799999"/>
    <x v="1"/>
  </r>
  <r>
    <s v="CITI"/>
    <x v="81"/>
    <n v="3358009211.0900002"/>
    <x v="2"/>
  </r>
  <r>
    <s v="FLAGSTAR"/>
    <x v="81"/>
    <n v="2975788477.54"/>
    <x v="9"/>
  </r>
  <r>
    <s v="QUICKEN"/>
    <x v="81"/>
    <n v="2832823095.7399998"/>
    <x v="3"/>
  </r>
  <r>
    <s v="PHH"/>
    <x v="81"/>
    <n v="1924511400.8299999"/>
    <x v="4"/>
  </r>
  <r>
    <s v="ALLY"/>
    <x v="81"/>
    <n v="1504075776.73"/>
    <x v="5"/>
  </r>
  <r>
    <s v="SUNTRUST"/>
    <x v="81"/>
    <n v="1482408591.4000001"/>
    <x v="6"/>
  </r>
  <r>
    <s v="BANK OF AMERICA"/>
    <x v="81"/>
    <n v="1327709733.49"/>
    <x v="7"/>
  </r>
  <r>
    <s v="FRANKLIN AMERICAN MORTGAGE COMPANY"/>
    <x v="81"/>
    <n v="1191429316"/>
    <x v="8"/>
  </r>
  <r>
    <s v="WELLS FARGO"/>
    <x v="82"/>
    <n v="10763728285.6"/>
    <x v="0"/>
  </r>
  <r>
    <s v="CHASE"/>
    <x v="82"/>
    <n v="5066088765.9499998"/>
    <x v="1"/>
  </r>
  <r>
    <s v="FLAGSTAR"/>
    <x v="82"/>
    <n v="2312712574.1100001"/>
    <x v="2"/>
  </r>
  <r>
    <s v="PHH"/>
    <x v="82"/>
    <n v="1502180272.8599999"/>
    <x v="9"/>
  </r>
  <r>
    <s v="CITI"/>
    <x v="82"/>
    <n v="1096235296.02"/>
    <x v="3"/>
  </r>
  <r>
    <s v="ALLY"/>
    <x v="82"/>
    <n v="978164872.58000004"/>
    <x v="4"/>
  </r>
  <r>
    <s v="QUICKEN"/>
    <x v="82"/>
    <n v="751845393.07000005"/>
    <x v="5"/>
  </r>
  <r>
    <s v="SUNTRUST"/>
    <x v="82"/>
    <n v="720179506.47000003"/>
    <x v="6"/>
  </r>
  <r>
    <s v="AMERICAN HOME MORTGAGE CORPORATION"/>
    <x v="82"/>
    <n v="556381127.55999994"/>
    <x v="7"/>
  </r>
  <r>
    <s v="CHICAGO MORTGAGE SOLUTIONS DBA INTERBANK"/>
    <x v="82"/>
    <n v="456661036.43000001"/>
    <x v="8"/>
  </r>
  <r>
    <s v="WELLS FARGO"/>
    <x v="83"/>
    <n v="20542825807.290001"/>
    <x v="0"/>
  </r>
  <r>
    <s v="CHASE"/>
    <x v="83"/>
    <n v="5710467218.3900003"/>
    <x v="1"/>
  </r>
  <r>
    <s v="FLAGSTAR"/>
    <x v="83"/>
    <n v="2844809039.77"/>
    <x v="2"/>
  </r>
  <r>
    <s v="QUICKEN"/>
    <x v="83"/>
    <n v="2695975128.2800002"/>
    <x v="9"/>
  </r>
  <r>
    <s v="CITI"/>
    <x v="83"/>
    <n v="2187065888.8899999"/>
    <x v="3"/>
  </r>
  <r>
    <s v="BANK OF AMERICA"/>
    <x v="83"/>
    <n v="1384629177.7"/>
    <x v="4"/>
  </r>
  <r>
    <s v="US BANK"/>
    <x v="83"/>
    <n v="1158437334"/>
    <x v="5"/>
  </r>
  <r>
    <s v="PHH"/>
    <x v="83"/>
    <n v="1144409990.77"/>
    <x v="6"/>
  </r>
  <r>
    <s v="SUNTRUST"/>
    <x v="83"/>
    <n v="1118076494.6500001"/>
    <x v="7"/>
  </r>
  <r>
    <s v="NAVY FED"/>
    <x v="83"/>
    <n v="990429561.15999997"/>
    <x v="8"/>
  </r>
  <r>
    <s v="WELLS FARGO"/>
    <x v="84"/>
    <n v="12662763974.040001"/>
    <x v="0"/>
  </r>
  <r>
    <s v="CHASE"/>
    <x v="84"/>
    <n v="7062009262.0699997"/>
    <x v="1"/>
  </r>
  <r>
    <s v="FLAGSTAR"/>
    <x v="84"/>
    <n v="2599950568.2399998"/>
    <x v="2"/>
  </r>
  <r>
    <s v="CITI"/>
    <x v="84"/>
    <n v="2411198355.8499999"/>
    <x v="9"/>
  </r>
  <r>
    <s v="QUICKEN"/>
    <x v="84"/>
    <n v="2088349909.77"/>
    <x v="3"/>
  </r>
  <r>
    <s v="BANK OF AMERICA"/>
    <x v="84"/>
    <n v="2025978231"/>
    <x v="4"/>
  </r>
  <r>
    <s v="SUNTRUST"/>
    <x v="84"/>
    <n v="1850167235.51"/>
    <x v="5"/>
  </r>
  <r>
    <s v="ALLY"/>
    <x v="84"/>
    <n v="1717496541.8199999"/>
    <x v="6"/>
  </r>
  <r>
    <s v="PHH"/>
    <x v="84"/>
    <n v="1361383888.96"/>
    <x v="7"/>
  </r>
  <r>
    <s v="US BANK"/>
    <x v="84"/>
    <n v="1081847850.47"/>
    <x v="8"/>
  </r>
  <r>
    <s v="WELLS FARGO"/>
    <x v="85"/>
    <n v="18046078270.810001"/>
    <x v="0"/>
  </r>
  <r>
    <s v="CHASE"/>
    <x v="85"/>
    <n v="5842620786.8999996"/>
    <x v="1"/>
  </r>
  <r>
    <s v="QUICKEN"/>
    <x v="85"/>
    <n v="3652881360.4099998"/>
    <x v="2"/>
  </r>
  <r>
    <s v="FLAGSTAR"/>
    <x v="85"/>
    <n v="3207267837.8099999"/>
    <x v="9"/>
  </r>
  <r>
    <s v="CITI"/>
    <x v="85"/>
    <n v="2024277231.29"/>
    <x v="3"/>
  </r>
  <r>
    <s v="ALLY"/>
    <x v="85"/>
    <n v="1549662752.79"/>
    <x v="4"/>
  </r>
  <r>
    <s v="PHH"/>
    <x v="85"/>
    <n v="1398096825.71"/>
    <x v="5"/>
  </r>
  <r>
    <s v="SUNTRUST"/>
    <x v="85"/>
    <n v="1319650369.6600001"/>
    <x v="6"/>
  </r>
  <r>
    <s v="BANK OF AMERICA"/>
    <x v="85"/>
    <n v="1273015336.48"/>
    <x v="7"/>
  </r>
  <r>
    <s v="PNC"/>
    <x v="85"/>
    <n v="944685677.69000006"/>
    <x v="8"/>
  </r>
  <r>
    <s v="WELLS FARGO"/>
    <x v="86"/>
    <n v="15782096596.040001"/>
    <x v="0"/>
  </r>
  <r>
    <s v="CHASE"/>
    <x v="86"/>
    <n v="8442355092.7799997"/>
    <x v="1"/>
  </r>
  <r>
    <s v="QUICKEN"/>
    <x v="86"/>
    <n v="4795732432.7799997"/>
    <x v="2"/>
  </r>
  <r>
    <s v="FLAGSTAR"/>
    <x v="86"/>
    <n v="3590695127.9499998"/>
    <x v="9"/>
  </r>
  <r>
    <s v="CITI"/>
    <x v="86"/>
    <n v="2296779153.21"/>
    <x v="3"/>
  </r>
  <r>
    <s v="BANK OF AMERICA"/>
    <x v="86"/>
    <n v="2048484161.77"/>
    <x v="4"/>
  </r>
  <r>
    <s v="ALLY"/>
    <x v="86"/>
    <n v="1685314349.4100001"/>
    <x v="5"/>
  </r>
  <r>
    <s v="SUNTRUST"/>
    <x v="86"/>
    <n v="1448609964.23"/>
    <x v="6"/>
  </r>
  <r>
    <s v="PHH"/>
    <x v="86"/>
    <n v="1337029246.04"/>
    <x v="7"/>
  </r>
  <r>
    <s v="PENNYMAC CORP."/>
    <x v="86"/>
    <n v="1094677493.75"/>
    <x v="8"/>
  </r>
  <r>
    <s v="WELLS FARGO"/>
    <x v="87"/>
    <n v="16358817450.4"/>
    <x v="0"/>
  </r>
  <r>
    <s v="CHASE"/>
    <x v="87"/>
    <n v="9641813829.6700001"/>
    <x v="1"/>
  </r>
  <r>
    <s v="QUICKEN"/>
    <x v="87"/>
    <n v="4937311483.1499996"/>
    <x v="2"/>
  </r>
  <r>
    <s v="CITI"/>
    <x v="87"/>
    <n v="3528216594.1500001"/>
    <x v="9"/>
  </r>
  <r>
    <s v="FLAGSTAR"/>
    <x v="87"/>
    <n v="3367762976.5300002"/>
    <x v="3"/>
  </r>
  <r>
    <s v="ALLY"/>
    <x v="87"/>
    <n v="2141757846.5799999"/>
    <x v="4"/>
  </r>
  <r>
    <s v="SUNTRUST"/>
    <x v="87"/>
    <n v="1694741437.22"/>
    <x v="5"/>
  </r>
  <r>
    <s v="PHH"/>
    <x v="87"/>
    <n v="1656770244.25"/>
    <x v="6"/>
  </r>
  <r>
    <s v="BANK OF AMERICA"/>
    <x v="87"/>
    <n v="1194725137.48"/>
    <x v="7"/>
  </r>
  <r>
    <s v="PENNYMAC CORP."/>
    <x v="87"/>
    <n v="1095470707.79"/>
    <x v="8"/>
  </r>
  <r>
    <s v="WELLS FARGO"/>
    <x v="88"/>
    <n v="13583725455.1"/>
    <x v="0"/>
  </r>
  <r>
    <s v="CHASE"/>
    <x v="88"/>
    <n v="4517401460.5299997"/>
    <x v="1"/>
  </r>
  <r>
    <s v="QUICKEN"/>
    <x v="88"/>
    <n v="4269923296.52"/>
    <x v="2"/>
  </r>
  <r>
    <s v="FLAGSTAR"/>
    <x v="88"/>
    <n v="3102558509.5100002"/>
    <x v="9"/>
  </r>
  <r>
    <s v="SUNTRUST"/>
    <x v="88"/>
    <n v="1993354373.29"/>
    <x v="3"/>
  </r>
  <r>
    <s v="BANK OF AMERICA"/>
    <x v="88"/>
    <n v="1975668254.21"/>
    <x v="4"/>
  </r>
  <r>
    <s v="PENNYMAC CORP."/>
    <x v="88"/>
    <n v="1757170071.4400001"/>
    <x v="5"/>
  </r>
  <r>
    <s v="ALLY"/>
    <x v="88"/>
    <n v="1671217469.95"/>
    <x v="6"/>
  </r>
  <r>
    <s v="PHH"/>
    <x v="88"/>
    <n v="1075838630.21"/>
    <x v="7"/>
  </r>
  <r>
    <s v="CITI"/>
    <x v="88"/>
    <n v="1029221418.6799999"/>
    <x v="8"/>
  </r>
  <r>
    <s v="WELLS FARGO"/>
    <x v="89"/>
    <n v="18702888793.82"/>
    <x v="0"/>
  </r>
  <r>
    <s v="CHASE"/>
    <x v="89"/>
    <n v="7664238085.7700005"/>
    <x v="1"/>
  </r>
  <r>
    <s v="QUICKEN"/>
    <x v="89"/>
    <n v="5319861378.3900003"/>
    <x v="2"/>
  </r>
  <r>
    <s v="FLAGSTAR"/>
    <x v="89"/>
    <n v="3882765467.3400002"/>
    <x v="9"/>
  </r>
  <r>
    <s v="CITI"/>
    <x v="89"/>
    <n v="3051120308"/>
    <x v="3"/>
  </r>
  <r>
    <s v="PENNYMAC CORP."/>
    <x v="89"/>
    <n v="2524129754.2800002"/>
    <x v="4"/>
  </r>
  <r>
    <s v="BANK OF AMERICA"/>
    <x v="89"/>
    <n v="2418355741.52"/>
    <x v="5"/>
  </r>
  <r>
    <s v="ALLY"/>
    <x v="89"/>
    <n v="1998429887.1300001"/>
    <x v="6"/>
  </r>
  <r>
    <s v="PROVIDENT FUNDING"/>
    <x v="89"/>
    <n v="1588213809"/>
    <x v="7"/>
  </r>
  <r>
    <s v="SUNTRUST"/>
    <x v="89"/>
    <n v="1550319650.9000001"/>
    <x v="8"/>
  </r>
  <r>
    <s v="WELLS FARGO"/>
    <x v="90"/>
    <n v="5990993955.3400002"/>
    <x v="0"/>
  </r>
  <r>
    <s v="CHASE"/>
    <x v="90"/>
    <n v="5462589667.8999996"/>
    <x v="1"/>
  </r>
  <r>
    <s v="QUICKEN"/>
    <x v="90"/>
    <n v="4866573877.1400003"/>
    <x v="2"/>
  </r>
  <r>
    <s v="FLAGSTAR"/>
    <x v="90"/>
    <n v="3912376920.6900001"/>
    <x v="9"/>
  </r>
  <r>
    <s v="ALLY"/>
    <x v="90"/>
    <n v="2424491906.04"/>
    <x v="3"/>
  </r>
  <r>
    <s v="PENNYMAC CORP."/>
    <x v="90"/>
    <n v="1613083367.98"/>
    <x v="4"/>
  </r>
  <r>
    <s v="BANK OF AMERICA"/>
    <x v="90"/>
    <n v="1304094351.97"/>
    <x v="5"/>
  </r>
  <r>
    <s v="US BANK"/>
    <x v="90"/>
    <n v="1178548513.0699999"/>
    <x v="6"/>
  </r>
  <r>
    <s v="CITI"/>
    <x v="90"/>
    <n v="1082046177.3"/>
    <x v="7"/>
  </r>
  <r>
    <s v="SUNTRUST"/>
    <x v="90"/>
    <n v="984432815.47000003"/>
    <x v="8"/>
  </r>
  <r>
    <s v="WELLS FARGO"/>
    <x v="91"/>
    <n v="12960800578.620001"/>
    <x v="0"/>
  </r>
  <r>
    <s v="CHASE"/>
    <x v="91"/>
    <n v="7322099685.6199999"/>
    <x v="1"/>
  </r>
  <r>
    <s v="QUICKEN"/>
    <x v="91"/>
    <n v="5979329449.8800001"/>
    <x v="2"/>
  </r>
  <r>
    <s v="FLAGSTAR"/>
    <x v="91"/>
    <n v="3555445910.4099998"/>
    <x v="9"/>
  </r>
  <r>
    <s v="ALLY"/>
    <x v="91"/>
    <n v="2355507267.6900001"/>
    <x v="3"/>
  </r>
  <r>
    <s v="PENNYMAC CORP."/>
    <x v="91"/>
    <n v="2198109024.29"/>
    <x v="4"/>
  </r>
  <r>
    <s v="BANK OF AMERICA"/>
    <x v="91"/>
    <n v="1907610161.7"/>
    <x v="5"/>
  </r>
  <r>
    <s v="CITI"/>
    <x v="91"/>
    <n v="1752051096.6099999"/>
    <x v="6"/>
  </r>
  <r>
    <s v="PHH"/>
    <x v="91"/>
    <n v="1602774666.5599999"/>
    <x v="7"/>
  </r>
  <r>
    <s v="SUNTRUST"/>
    <x v="91"/>
    <n v="1422874040.1400001"/>
    <x v="8"/>
  </r>
  <r>
    <s v="WELLS FARGO"/>
    <x v="92"/>
    <n v="12090154945.85"/>
    <x v="0"/>
  </r>
  <r>
    <s v="CHASE"/>
    <x v="92"/>
    <n v="7231687296.3800001"/>
    <x v="1"/>
  </r>
  <r>
    <s v="QUICKEN"/>
    <x v="92"/>
    <n v="5069266638.7200003"/>
    <x v="2"/>
  </r>
  <r>
    <s v="CITI"/>
    <x v="92"/>
    <n v="4833507966.8299999"/>
    <x v="9"/>
  </r>
  <r>
    <s v="FLAGSTAR"/>
    <x v="92"/>
    <n v="3070547359.5500002"/>
    <x v="3"/>
  </r>
  <r>
    <s v="BANK OF AMERICA"/>
    <x v="92"/>
    <n v="2029149646.1500001"/>
    <x v="4"/>
  </r>
  <r>
    <s v="ALLY"/>
    <x v="92"/>
    <n v="1932080772.45"/>
    <x v="5"/>
  </r>
  <r>
    <s v="SUNTRUST"/>
    <x v="92"/>
    <n v="1812863135.98"/>
    <x v="6"/>
  </r>
  <r>
    <s v="PHH"/>
    <x v="92"/>
    <n v="1306980096.78"/>
    <x v="7"/>
  </r>
  <r>
    <s v="US BANK"/>
    <x v="92"/>
    <n v="1245620504"/>
    <x v="8"/>
  </r>
  <r>
    <s v="WELLS FARGO"/>
    <x v="93"/>
    <n v="10298222135.870001"/>
    <x v="0"/>
  </r>
  <r>
    <s v="CHASE"/>
    <x v="93"/>
    <n v="6926091191.3800001"/>
    <x v="1"/>
  </r>
  <r>
    <s v="QUICKEN"/>
    <x v="93"/>
    <n v="4567963477.21"/>
    <x v="2"/>
  </r>
  <r>
    <s v="CITI"/>
    <x v="93"/>
    <n v="2511285341.6500001"/>
    <x v="9"/>
  </r>
  <r>
    <s v="BANK OF AMERICA"/>
    <x v="93"/>
    <n v="2307636902.73"/>
    <x v="3"/>
  </r>
  <r>
    <s v="FLAGSTAR"/>
    <x v="93"/>
    <n v="1901922494.5"/>
    <x v="4"/>
  </r>
  <r>
    <s v="SUNTRUST"/>
    <x v="93"/>
    <n v="1855493018.1600001"/>
    <x v="5"/>
  </r>
  <r>
    <s v="PHH"/>
    <x v="93"/>
    <n v="799515520.72000003"/>
    <x v="6"/>
  </r>
  <r>
    <s v="ALLY"/>
    <x v="93"/>
    <n v="716978597.38"/>
    <x v="7"/>
  </r>
  <r>
    <s v="PROVIDENT FUNDING"/>
    <x v="93"/>
    <n v="703423047"/>
    <x v="8"/>
  </r>
  <r>
    <s v="WELLS FARGO"/>
    <x v="94"/>
    <n v="10983062364.98"/>
    <x v="0"/>
  </r>
  <r>
    <s v="CHASE"/>
    <x v="94"/>
    <n v="6538495087.7299995"/>
    <x v="1"/>
  </r>
  <r>
    <s v="CITI"/>
    <x v="94"/>
    <n v="4621470486.8500004"/>
    <x v="2"/>
  </r>
  <r>
    <s v="QUICKEN"/>
    <x v="94"/>
    <n v="4125896876.8099999"/>
    <x v="9"/>
  </r>
  <r>
    <s v="BANK OF AMERICA"/>
    <x v="94"/>
    <n v="3520970482.02"/>
    <x v="3"/>
  </r>
  <r>
    <s v="FLAGSTAR"/>
    <x v="94"/>
    <n v="2866774138.8499999"/>
    <x v="4"/>
  </r>
  <r>
    <s v="US BANK"/>
    <x v="94"/>
    <n v="1599161362.23"/>
    <x v="5"/>
  </r>
  <r>
    <s v="PHH"/>
    <x v="94"/>
    <n v="1051421255.6900001"/>
    <x v="6"/>
  </r>
  <r>
    <s v="NATIONSTAR"/>
    <x v="94"/>
    <n v="1037437524.3099999"/>
    <x v="7"/>
  </r>
  <r>
    <s v="PROVIDENT FUNDING"/>
    <x v="94"/>
    <n v="1031822824"/>
    <x v="8"/>
  </r>
  <r>
    <s v="WELLS FARGO"/>
    <x v="95"/>
    <n v="16565187107.59"/>
    <x v="0"/>
  </r>
  <r>
    <s v="CHASE"/>
    <x v="95"/>
    <n v="5637410167.5500002"/>
    <x v="1"/>
  </r>
  <r>
    <s v="CITI"/>
    <x v="95"/>
    <n v="3985547277.6199999"/>
    <x v="2"/>
  </r>
  <r>
    <s v="QUICKEN"/>
    <x v="95"/>
    <n v="3459242035.96"/>
    <x v="9"/>
  </r>
  <r>
    <s v="BANK OF AMERICA"/>
    <x v="95"/>
    <n v="2175818362.3200002"/>
    <x v="3"/>
  </r>
  <r>
    <s v="SUNTRUST"/>
    <x v="95"/>
    <n v="1879426390.98"/>
    <x v="4"/>
  </r>
  <r>
    <s v="FLAGSTAR"/>
    <x v="95"/>
    <n v="1856516396.73"/>
    <x v="5"/>
  </r>
  <r>
    <s v="GREEN TREE SERVICING, LLC"/>
    <x v="95"/>
    <n v="1129016102.25"/>
    <x v="6"/>
  </r>
  <r>
    <s v="PHH"/>
    <x v="95"/>
    <n v="977753136.09000003"/>
    <x v="7"/>
  </r>
  <r>
    <s v="PROVIDENT FUNDING"/>
    <x v="95"/>
    <n v="875520179"/>
    <x v="8"/>
  </r>
  <r>
    <s v="WELLS FARGO"/>
    <x v="96"/>
    <n v="15486832649.959999"/>
    <x v="0"/>
  </r>
  <r>
    <s v="CHASE"/>
    <x v="96"/>
    <n v="4561843788.71"/>
    <x v="1"/>
  </r>
  <r>
    <s v="QUICKEN"/>
    <x v="96"/>
    <n v="4055990638.6799998"/>
    <x v="2"/>
  </r>
  <r>
    <s v="CITI"/>
    <x v="96"/>
    <n v="2681103987.0500002"/>
    <x v="9"/>
  </r>
  <r>
    <s v="BANK OF AMERICA"/>
    <x v="96"/>
    <n v="2398858109.7199998"/>
    <x v="3"/>
  </r>
  <r>
    <s v="FLAGSTAR"/>
    <x v="96"/>
    <n v="1997314246.6300001"/>
    <x v="4"/>
  </r>
  <r>
    <s v="GREEN TREE SERVICING, LLC"/>
    <x v="96"/>
    <n v="1573203721.77"/>
    <x v="5"/>
  </r>
  <r>
    <s v="PROVIDENT FUNDING"/>
    <x v="96"/>
    <n v="1169087126"/>
    <x v="6"/>
  </r>
  <r>
    <s v="NATIONSTAR"/>
    <x v="96"/>
    <n v="1000640774.4400001"/>
    <x v="7"/>
  </r>
  <r>
    <s v="PHH"/>
    <x v="96"/>
    <n v="567488798.92999995"/>
    <x v="8"/>
  </r>
  <r>
    <s v="WELLS FARGO"/>
    <x v="97"/>
    <n v="16978552578.67"/>
    <x v="0"/>
  </r>
  <r>
    <s v="QUICKEN"/>
    <x v="97"/>
    <n v="4468738110.4300003"/>
    <x v="1"/>
  </r>
  <r>
    <s v="CHASE"/>
    <x v="97"/>
    <n v="3148298719.46"/>
    <x v="2"/>
  </r>
  <r>
    <s v="CITI"/>
    <x v="97"/>
    <n v="2941250839.6100001"/>
    <x v="9"/>
  </r>
  <r>
    <s v="FLAGSTAR"/>
    <x v="97"/>
    <n v="2287568241.9699998"/>
    <x v="3"/>
  </r>
  <r>
    <s v="GREEN TREE SERVICING, LLC"/>
    <x v="97"/>
    <n v="2212331897.6900001"/>
    <x v="4"/>
  </r>
  <r>
    <s v="BANK OF AMERICA"/>
    <x v="97"/>
    <n v="2001957601.3199999"/>
    <x v="5"/>
  </r>
  <r>
    <s v="NATIONSTAR"/>
    <x v="97"/>
    <n v="1569984561.9200001"/>
    <x v="6"/>
  </r>
  <r>
    <s v="PENNYMAC CORP."/>
    <x v="97"/>
    <n v="1144305792.9000001"/>
    <x v="7"/>
  </r>
  <r>
    <s v="PHH"/>
    <x v="97"/>
    <n v="713708620.26999998"/>
    <x v="8"/>
  </r>
  <r>
    <s v="WELLS FARGO"/>
    <x v="98"/>
    <n v="16043754924.049999"/>
    <x v="0"/>
  </r>
  <r>
    <s v="QUICKEN"/>
    <x v="98"/>
    <n v="4118976924.3200002"/>
    <x v="1"/>
  </r>
  <r>
    <s v="NATIONSTAR"/>
    <x v="98"/>
    <n v="2883350418.2600002"/>
    <x v="2"/>
  </r>
  <r>
    <s v="CHASE"/>
    <x v="98"/>
    <n v="2572723252.1300001"/>
    <x v="9"/>
  </r>
  <r>
    <s v="CITI"/>
    <x v="98"/>
    <n v="2256386097.4499998"/>
    <x v="3"/>
  </r>
  <r>
    <s v="GREEN TREE SERVICING, LLC"/>
    <x v="98"/>
    <n v="2159130451.9000001"/>
    <x v="4"/>
  </r>
  <r>
    <s v="FLAGSTAR"/>
    <x v="98"/>
    <n v="1796265185.45"/>
    <x v="5"/>
  </r>
  <r>
    <s v="BANK OF AMERICA"/>
    <x v="98"/>
    <n v="1724530644.54"/>
    <x v="6"/>
  </r>
  <r>
    <s v="FRANKLIN AMERICAN MORTGAGE COMPANY"/>
    <x v="98"/>
    <n v="1299299846"/>
    <x v="7"/>
  </r>
  <r>
    <s v="SUNTRUST"/>
    <x v="98"/>
    <n v="916479356.41999996"/>
    <x v="8"/>
  </r>
  <r>
    <s v="WELLS FARGO"/>
    <x v="99"/>
    <n v="12954391824.35"/>
    <x v="0"/>
  </r>
  <r>
    <s v="CHASE"/>
    <x v="99"/>
    <n v="3270291712.54"/>
    <x v="1"/>
  </r>
  <r>
    <s v="CITI"/>
    <x v="99"/>
    <n v="2820572445.3699999"/>
    <x v="2"/>
  </r>
  <r>
    <s v="QUICKEN"/>
    <x v="99"/>
    <n v="2360176115.9099998"/>
    <x v="9"/>
  </r>
  <r>
    <s v="GREEN TREE SERVICING, LLC"/>
    <x v="99"/>
    <n v="1812325604.1099999"/>
    <x v="3"/>
  </r>
  <r>
    <s v="NATIONSTAR"/>
    <x v="99"/>
    <n v="1353122738.8900001"/>
    <x v="4"/>
  </r>
  <r>
    <s v="FLAGSTAR"/>
    <x v="99"/>
    <n v="1183299223.6300001"/>
    <x v="5"/>
  </r>
  <r>
    <s v="BANK OF AMERICA"/>
    <x v="99"/>
    <n v="1080194081.3399999"/>
    <x v="6"/>
  </r>
  <r>
    <s v="FRANKLIN AMERICAN MORTGAGE COMPANY"/>
    <x v="99"/>
    <n v="969610409"/>
    <x v="7"/>
  </r>
  <r>
    <s v="PHH"/>
    <x v="99"/>
    <n v="670531652.08000004"/>
    <x v="8"/>
  </r>
  <r>
    <s v="WELLS FARGO"/>
    <x v="100"/>
    <n v="9148941452.2000008"/>
    <x v="0"/>
  </r>
  <r>
    <s v="CHASE"/>
    <x v="100"/>
    <n v="2258522897.0300002"/>
    <x v="1"/>
  </r>
  <r>
    <s v="QUICKEN"/>
    <x v="100"/>
    <n v="1853106711.96"/>
    <x v="2"/>
  </r>
  <r>
    <s v="NATIONSTAR"/>
    <x v="100"/>
    <n v="1732002462.3699999"/>
    <x v="9"/>
  </r>
  <r>
    <s v="GREEN TREE SERVICING, LLC"/>
    <x v="100"/>
    <n v="1629776595.6800001"/>
    <x v="3"/>
  </r>
  <r>
    <s v="CITI"/>
    <x v="100"/>
    <n v="1573100292.4300001"/>
    <x v="4"/>
  </r>
  <r>
    <s v="FLAGSTAR"/>
    <x v="100"/>
    <n v="1281505531.45"/>
    <x v="5"/>
  </r>
  <r>
    <s v="BANK OF AMERICA"/>
    <x v="100"/>
    <n v="866449074.45000005"/>
    <x v="6"/>
  </r>
  <r>
    <s v="FRANKLIN AMERICAN MORTGAGE COMPANY"/>
    <x v="100"/>
    <n v="768083664"/>
    <x v="7"/>
  </r>
  <r>
    <s v="PHH"/>
    <x v="100"/>
    <n v="734950444.69000006"/>
    <x v="8"/>
  </r>
  <r>
    <s v="WELLS FARGO"/>
    <x v="101"/>
    <n v="7277980089.6000004"/>
    <x v="0"/>
  </r>
  <r>
    <s v="CHASE"/>
    <x v="101"/>
    <n v="3297359031.2800002"/>
    <x v="1"/>
  </r>
  <r>
    <s v="QUICKEN"/>
    <x v="101"/>
    <n v="1694525112.9400001"/>
    <x v="2"/>
  </r>
  <r>
    <s v="GREEN TREE SERVICING, LLC"/>
    <x v="101"/>
    <n v="1443375065.3"/>
    <x v="9"/>
  </r>
  <r>
    <s v="CITI"/>
    <x v="101"/>
    <n v="1416434682.73"/>
    <x v="3"/>
  </r>
  <r>
    <s v="FLAGSTAR"/>
    <x v="101"/>
    <n v="1390967449.5"/>
    <x v="4"/>
  </r>
  <r>
    <s v="ROUNDPOINT MORTGAGE SERVICING CORPORATIO"/>
    <x v="101"/>
    <n v="933820791.04999995"/>
    <x v="5"/>
  </r>
  <r>
    <s v="NATIONSTAR"/>
    <x v="101"/>
    <n v="888998572.20000005"/>
    <x v="6"/>
  </r>
  <r>
    <s v="BANK OF AMERICA"/>
    <x v="101"/>
    <n v="837105658.42999995"/>
    <x v="7"/>
  </r>
  <r>
    <s v="PHH"/>
    <x v="101"/>
    <n v="554951729.87"/>
    <x v="8"/>
  </r>
  <r>
    <s v="WELLS FARGO"/>
    <x v="102"/>
    <n v="6588450968.0200005"/>
    <x v="0"/>
  </r>
  <r>
    <s v="CHASE"/>
    <x v="102"/>
    <n v="2223527627.8699999"/>
    <x v="1"/>
  </r>
  <r>
    <s v="GREEN TREE SERVICING, LLC"/>
    <x v="102"/>
    <n v="1561280492.8699999"/>
    <x v="2"/>
  </r>
  <r>
    <s v="QUICKEN"/>
    <x v="102"/>
    <n v="1421676922.75"/>
    <x v="9"/>
  </r>
  <r>
    <s v="CITI"/>
    <x v="102"/>
    <n v="1134090940.3099999"/>
    <x v="3"/>
  </r>
  <r>
    <s v="NATIONSTAR"/>
    <x v="102"/>
    <n v="1105190231.8399999"/>
    <x v="4"/>
  </r>
  <r>
    <s v="FLAGSTAR"/>
    <x v="102"/>
    <n v="969676537.08000004"/>
    <x v="5"/>
  </r>
  <r>
    <s v="ROUNDPOINT MORTGAGE SERVICING CORPORATIO"/>
    <x v="102"/>
    <n v="812497002.57000005"/>
    <x v="6"/>
  </r>
  <r>
    <s v="BEECH STREET CAPITAL, LLC"/>
    <x v="102"/>
    <n v="682173000"/>
    <x v="7"/>
  </r>
  <r>
    <s v="BANK OF AMERICA"/>
    <x v="102"/>
    <n v="650372970.05999994"/>
    <x v="8"/>
  </r>
  <r>
    <s v="WELLS FARGO"/>
    <x v="103"/>
    <n v="3105702600.8000002"/>
    <x v="0"/>
  </r>
  <r>
    <s v="QUICKEN"/>
    <x v="103"/>
    <n v="1760019879.1099999"/>
    <x v="1"/>
  </r>
  <r>
    <s v="CHASE"/>
    <x v="103"/>
    <n v="1699856288.3499999"/>
    <x v="2"/>
  </r>
  <r>
    <s v="GREEN TREE SERVICING, LLC"/>
    <x v="103"/>
    <n v="1342307631.3399999"/>
    <x v="9"/>
  </r>
  <r>
    <s v="NATIONSTAR"/>
    <x v="103"/>
    <n v="1059610720.12"/>
    <x v="3"/>
  </r>
  <r>
    <s v="CITI"/>
    <x v="103"/>
    <n v="774649500.94000006"/>
    <x v="4"/>
  </r>
  <r>
    <s v="FLAGSTAR"/>
    <x v="103"/>
    <n v="609932112.33000004"/>
    <x v="5"/>
  </r>
  <r>
    <s v="BANK OF AMERICA"/>
    <x v="103"/>
    <n v="439011145.83999997"/>
    <x v="6"/>
  </r>
  <r>
    <s v="PNC"/>
    <x v="103"/>
    <n v="386720717.35000002"/>
    <x v="7"/>
  </r>
  <r>
    <s v="FREEDOM"/>
    <x v="103"/>
    <n v="383298577.99000001"/>
    <x v="8"/>
  </r>
  <r>
    <s v="WELLS FARGO"/>
    <x v="104"/>
    <n v="4228977520.5"/>
    <x v="0"/>
  </r>
  <r>
    <s v="CHASE"/>
    <x v="104"/>
    <n v="2141375023.72"/>
    <x v="1"/>
  </r>
  <r>
    <s v="QUICKEN"/>
    <x v="104"/>
    <n v="1922831147.77"/>
    <x v="2"/>
  </r>
  <r>
    <s v="NATIONSTAR"/>
    <x v="104"/>
    <n v="1297808997.26"/>
    <x v="9"/>
  </r>
  <r>
    <s v="GREEN TREE SERVICING, LLC"/>
    <x v="104"/>
    <n v="1271985898.8900001"/>
    <x v="3"/>
  </r>
  <r>
    <s v="CITI"/>
    <x v="104"/>
    <n v="697193636.46000004"/>
    <x v="4"/>
  </r>
  <r>
    <s v="FLAGSTAR"/>
    <x v="104"/>
    <n v="627431948.79999995"/>
    <x v="5"/>
  </r>
  <r>
    <s v="BANK OF AMERICA"/>
    <x v="104"/>
    <n v="471783633.49000001"/>
    <x v="6"/>
  </r>
  <r>
    <s v="FREEDOM"/>
    <x v="104"/>
    <n v="410110073.08999997"/>
    <x v="7"/>
  </r>
  <r>
    <s v="ROUNDPOINT MORTGAGE SERVICING CORPORATIO"/>
    <x v="104"/>
    <n v="377721494.83999997"/>
    <x v="8"/>
  </r>
  <r>
    <s v="WELLS FARGO"/>
    <x v="105"/>
    <n v="2771745679.8800001"/>
    <x v="0"/>
  </r>
  <r>
    <s v="QUICKEN"/>
    <x v="105"/>
    <n v="1574474809.8399999"/>
    <x v="1"/>
  </r>
  <r>
    <s v="CHASE"/>
    <x v="105"/>
    <n v="1404683501.8"/>
    <x v="2"/>
  </r>
  <r>
    <s v="NATIONSTAR"/>
    <x v="105"/>
    <n v="940764804.61000001"/>
    <x v="9"/>
  </r>
  <r>
    <s v="GREEN TREE SERVICING, LLC"/>
    <x v="105"/>
    <n v="910319667.28999996"/>
    <x v="3"/>
  </r>
  <r>
    <s v="STEARNS LENDING, INC."/>
    <x v="105"/>
    <n v="564630562.90999997"/>
    <x v="4"/>
  </r>
  <r>
    <s v="FLAGSTAR"/>
    <x v="105"/>
    <n v="536183752.19"/>
    <x v="5"/>
  </r>
  <r>
    <s v="CITI"/>
    <x v="105"/>
    <n v="524009255.14999998"/>
    <x v="6"/>
  </r>
  <r>
    <s v="FREEDOM"/>
    <x v="105"/>
    <n v="319855477.95999998"/>
    <x v="7"/>
  </r>
  <r>
    <s v="PENNYMAC CORP."/>
    <x v="105"/>
    <n v="313442692.82999998"/>
    <x v="8"/>
  </r>
  <r>
    <s v="WELLS FARGO"/>
    <x v="106"/>
    <n v="3281937556.02"/>
    <x v="0"/>
  </r>
  <r>
    <s v="CHASE"/>
    <x v="106"/>
    <n v="2423937054.6999998"/>
    <x v="1"/>
  </r>
  <r>
    <s v="QUICKEN"/>
    <x v="106"/>
    <n v="1578860937.1900001"/>
    <x v="2"/>
  </r>
  <r>
    <s v="GREEN TREE SERVICING, LLC"/>
    <x v="106"/>
    <n v="870248563.14999998"/>
    <x v="9"/>
  </r>
  <r>
    <s v="NATIONSTAR"/>
    <x v="106"/>
    <n v="862589348.16999996"/>
    <x v="3"/>
  </r>
  <r>
    <s v="FLAGSTAR"/>
    <x v="106"/>
    <n v="837007926.10000002"/>
    <x v="4"/>
  </r>
  <r>
    <s v="STEARNS LENDING, INC."/>
    <x v="106"/>
    <n v="732016079.92999995"/>
    <x v="5"/>
  </r>
  <r>
    <s v="CITI"/>
    <x v="106"/>
    <n v="632588474.88999999"/>
    <x v="6"/>
  </r>
  <r>
    <s v="ROUNDPOINT MORTGAGE SERVICING CORPORATIO"/>
    <x v="106"/>
    <n v="587267554.23000002"/>
    <x v="7"/>
  </r>
  <r>
    <s v="FREEDOM"/>
    <x v="106"/>
    <n v="469850026.73000002"/>
    <x v="8"/>
  </r>
  <r>
    <s v="WELLS FARGO"/>
    <x v="107"/>
    <n v="3701376306.8000002"/>
    <x v="0"/>
  </r>
  <r>
    <s v="QUICKEN"/>
    <x v="107"/>
    <n v="1528205247.9400001"/>
    <x v="1"/>
  </r>
  <r>
    <s v="GREEN TREE SERVICING, LLC"/>
    <x v="107"/>
    <n v="901247559.58000004"/>
    <x v="2"/>
  </r>
  <r>
    <s v="CITI"/>
    <x v="107"/>
    <n v="697483806.19000006"/>
    <x v="9"/>
  </r>
  <r>
    <s v="FLAGSTAR"/>
    <x v="107"/>
    <n v="683642277.61000001"/>
    <x v="3"/>
  </r>
  <r>
    <s v="CHASE"/>
    <x v="107"/>
    <n v="678517253.62"/>
    <x v="4"/>
  </r>
  <r>
    <s v="ROUNDPOINT MORTGAGE SERVICING CORPORATIO"/>
    <x v="107"/>
    <n v="651405516.88999999"/>
    <x v="5"/>
  </r>
  <r>
    <s v="STEARNS LENDING, INC."/>
    <x v="107"/>
    <n v="586473141.58000004"/>
    <x v="6"/>
  </r>
  <r>
    <s v="NATIONSTAR"/>
    <x v="107"/>
    <n v="585060774.85000002"/>
    <x v="7"/>
  </r>
  <r>
    <s v="FREEDOM"/>
    <x v="107"/>
    <n v="527369639.56999999"/>
    <x v="8"/>
  </r>
  <r>
    <s v="WELLS FARGO"/>
    <x v="108"/>
    <n v="4119664079.48"/>
    <x v="0"/>
  </r>
  <r>
    <s v="QUICKEN"/>
    <x v="108"/>
    <n v="1822050222.5"/>
    <x v="1"/>
  </r>
  <r>
    <s v="CHASE"/>
    <x v="108"/>
    <n v="1598605020.27"/>
    <x v="2"/>
  </r>
  <r>
    <s v="GREEN TREE SERVICING, LLC"/>
    <x v="108"/>
    <n v="1290844061.5799999"/>
    <x v="9"/>
  </r>
  <r>
    <s v="FLAGSTAR"/>
    <x v="108"/>
    <n v="867253770.96000004"/>
    <x v="3"/>
  </r>
  <r>
    <s v="NATIONSTAR"/>
    <x v="108"/>
    <n v="774995345.41999996"/>
    <x v="4"/>
  </r>
  <r>
    <s v="STEARNS LENDING, INC."/>
    <x v="108"/>
    <n v="721574813.37"/>
    <x v="5"/>
  </r>
  <r>
    <s v="CITI"/>
    <x v="108"/>
    <n v="630908308.03999996"/>
    <x v="6"/>
  </r>
  <r>
    <s v="ROUNDPOINT MORTGAGE SERVICING CORPORATIO"/>
    <x v="108"/>
    <n v="624925467.57000005"/>
    <x v="7"/>
  </r>
  <r>
    <s v="FREEDOM"/>
    <x v="108"/>
    <n v="597894157.63999999"/>
    <x v="8"/>
  </r>
  <r>
    <s v="WELLS FARGO"/>
    <x v="109"/>
    <n v="4404846709.1300001"/>
    <x v="0"/>
  </r>
  <r>
    <s v="QUICKEN"/>
    <x v="109"/>
    <n v="2307113272.52"/>
    <x v="1"/>
  </r>
  <r>
    <s v="GREEN TREE SERVICING, LLC"/>
    <x v="109"/>
    <n v="1448787273.48"/>
    <x v="2"/>
  </r>
  <r>
    <s v="CHASE"/>
    <x v="109"/>
    <n v="1266367352.4300001"/>
    <x v="9"/>
  </r>
  <r>
    <s v="STEARNS LENDING, INC."/>
    <x v="109"/>
    <n v="938242250.29999995"/>
    <x v="3"/>
  </r>
  <r>
    <s v="NATIONSTAR"/>
    <x v="109"/>
    <n v="826115611.47000003"/>
    <x v="4"/>
  </r>
  <r>
    <s v="FREEDOM"/>
    <x v="109"/>
    <n v="825523368.76999998"/>
    <x v="5"/>
  </r>
  <r>
    <s v="SUNTRUST"/>
    <x v="109"/>
    <n v="768797131.27999997"/>
    <x v="6"/>
  </r>
  <r>
    <s v="FLAGSTAR"/>
    <x v="109"/>
    <n v="726777824.34000003"/>
    <x v="7"/>
  </r>
  <r>
    <s v="PINGORA LOAN SERVICING, INC."/>
    <x v="109"/>
    <n v="667872707.69000006"/>
    <x v="8"/>
  </r>
  <r>
    <s v="WELLS FARGO"/>
    <x v="110"/>
    <n v="4351012772.2799997"/>
    <x v="0"/>
  </r>
  <r>
    <s v="QUICKEN"/>
    <x v="110"/>
    <n v="2194803673.75"/>
    <x v="1"/>
  </r>
  <r>
    <s v="GREEN TREE SERVICING, LLC"/>
    <x v="110"/>
    <n v="1540916705.1800001"/>
    <x v="2"/>
  </r>
  <r>
    <s v="CHASE"/>
    <x v="110"/>
    <n v="1176366465.74"/>
    <x v="9"/>
  </r>
  <r>
    <s v="NATIONSTAR"/>
    <x v="110"/>
    <n v="922664270"/>
    <x v="3"/>
  </r>
  <r>
    <s v="FLAGSTAR"/>
    <x v="110"/>
    <n v="787559163.98000002"/>
    <x v="4"/>
  </r>
  <r>
    <s v="SUNTRUST"/>
    <x v="110"/>
    <n v="746652178.22000003"/>
    <x v="5"/>
  </r>
  <r>
    <s v="STEARNS LENDING, INC."/>
    <x v="110"/>
    <n v="696445840.41999996"/>
    <x v="6"/>
  </r>
  <r>
    <s v="ROUNDPOINT MORTGAGE SERVICING CORPORATIO"/>
    <x v="110"/>
    <n v="689637671.97000003"/>
    <x v="7"/>
  </r>
  <r>
    <s v="PINGORA LOAN SERVICING, INC."/>
    <x v="110"/>
    <n v="685239103.03999996"/>
    <x v="8"/>
  </r>
  <r>
    <s v="WELLS FARGO"/>
    <x v="111"/>
    <n v="4282578991.9000001"/>
    <x v="0"/>
  </r>
  <r>
    <s v="BANK OF AMERICA"/>
    <x v="111"/>
    <n v="3595254259.9400001"/>
    <x v="1"/>
  </r>
  <r>
    <s v="SUNTRUST"/>
    <x v="111"/>
    <n v="2814510250.8400002"/>
    <x v="2"/>
  </r>
  <r>
    <s v="QUICKEN"/>
    <x v="111"/>
    <n v="2398305642.0999999"/>
    <x v="9"/>
  </r>
  <r>
    <s v="CHASE"/>
    <x v="111"/>
    <n v="2100477876"/>
    <x v="3"/>
  </r>
  <r>
    <s v="GREEN TREE SERVICING, LLC"/>
    <x v="111"/>
    <n v="1540397265.4100001"/>
    <x v="4"/>
  </r>
  <r>
    <s v="NATIONSTAR"/>
    <x v="111"/>
    <n v="1153583979.72"/>
    <x v="5"/>
  </r>
  <r>
    <s v="PRUDENTIAL MULTIFAMILY MORTGAGE INC."/>
    <x v="111"/>
    <n v="973320000"/>
    <x v="6"/>
  </r>
  <r>
    <s v="FLAGSTAR"/>
    <x v="111"/>
    <n v="874596962.26999998"/>
    <x v="7"/>
  </r>
  <r>
    <s v="ROUNDPOINT MORTGAGE SERVICING CORPORATIO"/>
    <x v="111"/>
    <n v="685504145.92999995"/>
    <x v="8"/>
  </r>
  <r>
    <s v="WELLS FARGO"/>
    <x v="112"/>
    <n v="4328284495.8800001"/>
    <x v="0"/>
  </r>
  <r>
    <s v="CHASE"/>
    <x v="112"/>
    <n v="2885476838.1799998"/>
    <x v="1"/>
  </r>
  <r>
    <s v="QUICKEN"/>
    <x v="112"/>
    <n v="2043426912.0999999"/>
    <x v="2"/>
  </r>
  <r>
    <s v="GREEN TREE SERVICING, LLC"/>
    <x v="112"/>
    <n v="1584140311.48"/>
    <x v="9"/>
  </r>
  <r>
    <s v="ROUNDPOINT MORTGAGE SERVICING CORPORATIO"/>
    <x v="112"/>
    <n v="1181205153.1800001"/>
    <x v="3"/>
  </r>
  <r>
    <s v="PINGORA LOAN SERVICING, INC."/>
    <x v="112"/>
    <n v="1076952006.8"/>
    <x v="4"/>
  </r>
  <r>
    <s v="NATIONSTAR"/>
    <x v="112"/>
    <n v="978700583.25"/>
    <x v="5"/>
  </r>
  <r>
    <s v="SUNTRUST"/>
    <x v="112"/>
    <n v="915816431.82000005"/>
    <x v="6"/>
  </r>
  <r>
    <s v="FLAGSTAR"/>
    <x v="112"/>
    <n v="880893025.72000003"/>
    <x v="7"/>
  </r>
  <r>
    <s v="FREEDOM"/>
    <x v="112"/>
    <n v="716394907.08000004"/>
    <x v="8"/>
  </r>
  <r>
    <s v="BANK OF AMERICA"/>
    <x v="113"/>
    <n v="4110188403.46"/>
    <x v="0"/>
  </r>
  <r>
    <s v="WELLS FARGO"/>
    <x v="113"/>
    <n v="3849600798.1199999"/>
    <x v="1"/>
  </r>
  <r>
    <s v="CHASE"/>
    <x v="113"/>
    <n v="3015072775.0799999"/>
    <x v="2"/>
  </r>
  <r>
    <s v="QUICKEN"/>
    <x v="113"/>
    <n v="2775970767.79"/>
    <x v="9"/>
  </r>
  <r>
    <s v="GREEN TREE SERVICING, LLC"/>
    <x v="113"/>
    <n v="1393087502.71"/>
    <x v="3"/>
  </r>
  <r>
    <s v="ROUNDPOINT MORTGAGE SERVICING CORPORATIO"/>
    <x v="113"/>
    <n v="998050265.50999999"/>
    <x v="4"/>
  </r>
  <r>
    <s v="NATIONSTAR"/>
    <x v="113"/>
    <n v="810311187.20000005"/>
    <x v="5"/>
  </r>
  <r>
    <s v="SUNTRUST"/>
    <x v="113"/>
    <n v="773265401.87"/>
    <x v="6"/>
  </r>
  <r>
    <s v="FLAGSTAR"/>
    <x v="113"/>
    <n v="718640760.32000005"/>
    <x v="7"/>
  </r>
  <r>
    <s v="CITI"/>
    <x v="113"/>
    <n v="606652063.09000003"/>
    <x v="8"/>
  </r>
  <r>
    <s v="WELLS FARGO"/>
    <x v="114"/>
    <n v="3928850698.1300001"/>
    <x v="0"/>
  </r>
  <r>
    <s v="CITI"/>
    <x v="114"/>
    <n v="2913297453.96"/>
    <x v="1"/>
  </r>
  <r>
    <s v="QUICKEN"/>
    <x v="114"/>
    <n v="2066146511.47"/>
    <x v="2"/>
  </r>
  <r>
    <s v="ROUNDPOINT MORTGAGE SERVICING CORPORATIO"/>
    <x v="114"/>
    <n v="1879715467.6099999"/>
    <x v="9"/>
  </r>
  <r>
    <s v="PINGORA LOAN SERVICING, INC."/>
    <x v="114"/>
    <n v="1404476774.0999999"/>
    <x v="3"/>
  </r>
  <r>
    <s v="FLAGSTAR"/>
    <x v="114"/>
    <n v="1117301751.3599999"/>
    <x v="4"/>
  </r>
  <r>
    <s v="GREEN TREE SERVICING, LLC"/>
    <x v="114"/>
    <n v="1076041614.8099999"/>
    <x v="5"/>
  </r>
  <r>
    <s v="CHASE"/>
    <x v="114"/>
    <n v="960946838.37"/>
    <x v="6"/>
  </r>
  <r>
    <s v="NATIONSTAR"/>
    <x v="114"/>
    <n v="956205375.35000002"/>
    <x v="7"/>
  </r>
  <r>
    <s v="PNC"/>
    <x v="114"/>
    <n v="666254502"/>
    <x v="8"/>
  </r>
  <r>
    <s v="WELLS FARGO"/>
    <x v="115"/>
    <n v="5489190091.1700001"/>
    <x v="0"/>
  </r>
  <r>
    <s v="QUICKEN"/>
    <x v="115"/>
    <n v="3191572944.1500001"/>
    <x v="1"/>
  </r>
  <r>
    <s v="CHASE"/>
    <x v="115"/>
    <n v="1859953180.3399999"/>
    <x v="2"/>
  </r>
  <r>
    <s v="ROUNDPOINT MORTGAGE SERVICING CORPORATIO"/>
    <x v="115"/>
    <n v="1575481438.27"/>
    <x v="9"/>
  </r>
  <r>
    <s v="GREEN TREE SERVICING, LLC"/>
    <x v="115"/>
    <n v="1239435764.55"/>
    <x v="3"/>
  </r>
  <r>
    <s v="FLAGSTAR"/>
    <x v="115"/>
    <n v="908465632.36000001"/>
    <x v="4"/>
  </r>
  <r>
    <s v="PINGORA LOAN SERVICING, INC."/>
    <x v="115"/>
    <n v="820018959.46000004"/>
    <x v="5"/>
  </r>
  <r>
    <s v="SUNTRUST"/>
    <x v="115"/>
    <n v="818350088.14999998"/>
    <x v="6"/>
  </r>
  <r>
    <s v="NATIONSTAR"/>
    <x v="115"/>
    <n v="727299851.34000003"/>
    <x v="7"/>
  </r>
  <r>
    <s v="CITI"/>
    <x v="115"/>
    <n v="590251975.22000003"/>
    <x v="8"/>
  </r>
  <r>
    <s v="WELLS FARGO"/>
    <x v="116"/>
    <n v="5063985040.1199999"/>
    <x v="0"/>
  </r>
  <r>
    <s v="QUICKEN"/>
    <x v="116"/>
    <n v="2391607148.8299999"/>
    <x v="1"/>
  </r>
  <r>
    <s v="CHASE"/>
    <x v="116"/>
    <n v="1754464295.02"/>
    <x v="2"/>
  </r>
  <r>
    <s v="ROUNDPOINT MORTGAGE SERVICING CORPORATIO"/>
    <x v="116"/>
    <n v="1363400170.6300001"/>
    <x v="9"/>
  </r>
  <r>
    <s v="GREEN TREE SERVICING, LLC"/>
    <x v="116"/>
    <n v="1098070187.5599999"/>
    <x v="3"/>
  </r>
  <r>
    <s v="PINGORA LOAN SERVICING, INC."/>
    <x v="116"/>
    <n v="986818665.65999997"/>
    <x v="4"/>
  </r>
  <r>
    <s v="FLAGSTAR"/>
    <x v="116"/>
    <n v="972342136.94000006"/>
    <x v="5"/>
  </r>
  <r>
    <s v="NATIONSTAR"/>
    <x v="116"/>
    <n v="917470993.57000005"/>
    <x v="6"/>
  </r>
  <r>
    <s v="SUNTRUST"/>
    <x v="116"/>
    <n v="842065425.11000001"/>
    <x v="7"/>
  </r>
  <r>
    <s v="FREEDOM"/>
    <x v="116"/>
    <n v="625784148.74000001"/>
    <x v="8"/>
  </r>
  <r>
    <s v="WELLS FARGO"/>
    <x v="117"/>
    <n v="4009024386"/>
    <x v="0"/>
  </r>
  <r>
    <s v="QUICKEN"/>
    <x v="117"/>
    <n v="2642975820"/>
    <x v="1"/>
  </r>
  <r>
    <s v="GREEN TREE SERVICING, LLC"/>
    <x v="117"/>
    <n v="1133721835.6300001"/>
    <x v="2"/>
  </r>
  <r>
    <s v="FLAGSTAR"/>
    <x v="117"/>
    <n v="550451758"/>
    <x v="9"/>
  </r>
  <r>
    <s v="CHASE"/>
    <x v="117"/>
    <n v="508288538.50999999"/>
    <x v="3"/>
  </r>
  <r>
    <s v="FREEDOM"/>
    <x v="117"/>
    <n v="497809765"/>
    <x v="4"/>
  </r>
  <r>
    <s v="ROUNDPOINT MORTGAGE SERVICING CORPORATIO"/>
    <x v="117"/>
    <n v="474646155.38999999"/>
    <x v="5"/>
  </r>
  <r>
    <s v="CITI"/>
    <x v="117"/>
    <n v="448907763"/>
    <x v="6"/>
  </r>
  <r>
    <s v="PINGORA LOAN SERVICING, INC."/>
    <x v="117"/>
    <n v="441678989.61000001"/>
    <x v="7"/>
  </r>
  <r>
    <s v="FRANKLIN AMERICAN MORTGAGE COMPANY"/>
    <x v="117"/>
    <n v="39556659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M3:N144" firstHeaderRow="1" firstDataRow="1" firstDataCol="1" rowPageCount="1" colPageCount="1"/>
  <pivotFields count="4">
    <pivotField showAll="0"/>
    <pivotField axis="axisRow" numFmtId="14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showAll="0"/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pageFields count="1">
    <pageField fld="3" item="0" hier="-1"/>
  </pageField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3:J144" firstHeaderRow="1" firstDataRow="1" firstDataCol="1" rowPageCount="1" colPageCount="1"/>
  <pivotFields count="4">
    <pivotField showAll="0"/>
    <pivotField axis="axisRow" numFmtId="14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showAll="0"/>
    <pivotField axis="axisPage" multipleItemSelectionAllowed="1" showAll="0">
      <items count="11">
        <item x="0"/>
        <item x="1"/>
        <item x="2"/>
        <item x="3"/>
        <item x="4"/>
        <item h="1" x="5"/>
        <item h="1" x="6"/>
        <item h="1" x="7"/>
        <item h="1" x="8"/>
        <item h="1" x="9"/>
        <item t="default"/>
      </items>
    </pivotField>
  </pivotFields>
  <rowFields count="1">
    <field x="1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pageFields count="1">
    <pageField fld="3" hier="-1"/>
  </pageField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3:F144" firstHeaderRow="1" firstDataRow="1" firstDataCol="1"/>
  <pivotFields count="4">
    <pivotField showAll="0"/>
    <pivotField axis="axisRow" numFmtId="14" showAl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dataField="1" showAll="0"/>
    <pivotField showAll="0"/>
  </pivotFields>
  <rowFields count="1">
    <field x="1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3:L122" firstHeaderRow="1" firstDataRow="1" firstDataCol="1" rowPageCount="1" colPageCount="1"/>
  <pivotFields count="4">
    <pivotField showAll="0"/>
    <pivotField axis="axisRow"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dataField="1" showAll="0"/>
    <pivotField axis="axisPage" showAll="0">
      <items count="11">
        <item x="0"/>
        <item x="1"/>
        <item x="2"/>
        <item x="9"/>
        <item x="3"/>
        <item x="4"/>
        <item x="5"/>
        <item x="6"/>
        <item x="7"/>
        <item x="8"/>
        <item t="default"/>
      </items>
    </pivotField>
  </pivotFields>
  <rowFields count="1">
    <field x="1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pageFields count="1">
    <pageField fld="3" item="0" hier="-1"/>
  </pageField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3:H122" firstHeaderRow="1" firstDataRow="1" firstDataCol="1" rowPageCount="1" colPageCount="1"/>
  <pivotFields count="4">
    <pivotField showAll="0"/>
    <pivotField axis="axisRow"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dataField="1" showAll="0"/>
    <pivotField axis="axisPage" multipleItemSelectionAllowed="1" showAll="0">
      <items count="11">
        <item x="0"/>
        <item x="1"/>
        <item x="2"/>
        <item x="9"/>
        <item x="3"/>
        <item h="1" x="4"/>
        <item h="1" x="5"/>
        <item h="1" x="6"/>
        <item h="1" x="7"/>
        <item h="1" x="8"/>
        <item t="default"/>
      </items>
    </pivotField>
  </pivotFields>
  <rowFields count="1">
    <field x="1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pageFields count="1">
    <pageField fld="3" hier="-1"/>
  </pageField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C3:D122" firstHeaderRow="1" firstDataRow="1" firstDataCol="1"/>
  <pivotFields count="4">
    <pivotField showAll="0"/>
    <pivotField axis="axisRow" numFmtId="14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dataField="1" showAll="0"/>
    <pivotField showAll="0"/>
  </pivotFields>
  <rowFields count="1">
    <field x="1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Items count="1">
    <i/>
  </colItems>
  <dataFields count="1">
    <dataField name="Sum of TotalBalanc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6" connectionId="5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_9" connectionId="1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_8" connectionId="6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" connectionId="8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temp_9" connectionId="7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temp_12" connectionId="10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temp_11" connectionId="9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Relationship Id="rId4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126"/>
  <sheetViews>
    <sheetView tabSelected="1" workbookViewId="0">
      <selection activeCell="W50" sqref="W50"/>
    </sheetView>
  </sheetViews>
  <sheetFormatPr defaultRowHeight="15" x14ac:dyDescent="0.25"/>
  <cols>
    <col min="3" max="3" width="9.7109375" bestFit="1" customWidth="1"/>
    <col min="4" max="4" width="14.7109375" customWidth="1"/>
    <col min="5" max="5" width="12" bestFit="1" customWidth="1"/>
    <col min="12" max="12" width="10" customWidth="1"/>
  </cols>
  <sheetData>
    <row r="3" spans="3:17" x14ac:dyDescent="0.25">
      <c r="D3" s="9" t="s">
        <v>85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  <c r="J3" s="10" t="s">
        <v>103</v>
      </c>
      <c r="K3" s="10"/>
      <c r="L3" s="10"/>
      <c r="M3" s="10" t="s">
        <v>90</v>
      </c>
      <c r="N3" s="10" t="s">
        <v>91</v>
      </c>
      <c r="O3" s="10" t="s">
        <v>92</v>
      </c>
      <c r="P3" s="10" t="s">
        <v>93</v>
      </c>
      <c r="Q3" s="10" t="s">
        <v>94</v>
      </c>
    </row>
    <row r="4" spans="3:17" x14ac:dyDescent="0.25">
      <c r="C4" s="1">
        <f>'Result-lag'!C4</f>
        <v>39083</v>
      </c>
      <c r="D4">
        <f>IF('Result-lag'!$O4&lt;'Result -equal'!$O4,'Result-lag'!D4,'Result -equal'!D4)</f>
        <v>48986973755.699997</v>
      </c>
      <c r="E4">
        <f>IF('Result-lag'!$O4&lt;'Result -equal'!$O4,'Result-lag'!E4,'Result -equal'!E4)</f>
        <v>40280509023.150002</v>
      </c>
      <c r="F4">
        <f>IF('Result-lag'!$O4&lt;'Result -equal'!$O4,'Result-lag'!F4,'Result -equal'!F4)</f>
        <v>32982461525.719997</v>
      </c>
      <c r="G4">
        <f>IF('Result-lag'!$O4&lt;'Result -equal'!$O4,'Result-lag'!G4,'Result -equal'!G4)</f>
        <v>12068562737.24</v>
      </c>
      <c r="H4">
        <f>IF('Result-lag'!$O4&lt;'Result -equal'!$O4,'Result-lag'!H4,'Result -equal'!H4)</f>
        <v>1805491105.6700001</v>
      </c>
      <c r="I4">
        <f>IF('Result-lag'!$O4&lt;'Result -equal'!$O4,'Result-lag'!I4,'Result -equal'!I4)</f>
        <v>929023441.75</v>
      </c>
      <c r="J4">
        <f>IF('Result-lag'!$O4&lt;'Result -equal'!$O4,1,0)</f>
        <v>1</v>
      </c>
      <c r="L4" s="1">
        <f>C4</f>
        <v>39083</v>
      </c>
      <c r="M4" s="7">
        <f>E4/$D4</f>
        <v>0.82226979817186741</v>
      </c>
      <c r="N4" s="7">
        <f t="shared" ref="N4:Q4" si="0">F4/$D4</f>
        <v>0.67329044839970842</v>
      </c>
      <c r="O4" s="7">
        <f t="shared" si="0"/>
        <v>0.24636269220112281</v>
      </c>
      <c r="P4" s="7">
        <f t="shared" si="0"/>
        <v>3.6856555268632366E-2</v>
      </c>
      <c r="Q4" s="7">
        <f t="shared" si="0"/>
        <v>1.8964703685985528E-2</v>
      </c>
    </row>
    <row r="5" spans="3:17" x14ac:dyDescent="0.25">
      <c r="C5" s="1">
        <f>'Result-lag'!C5</f>
        <v>39114</v>
      </c>
      <c r="D5">
        <f>IF('Result-lag'!$O5&lt;'Result -equal'!$O5,'Result-lag'!D5,'Result -equal'!D5)</f>
        <v>52453433791.699997</v>
      </c>
      <c r="E5">
        <f>IF('Result-lag'!$O5&lt;'Result -equal'!$O5,'Result-lag'!E5,'Result -equal'!E5)</f>
        <v>44459010974.660011</v>
      </c>
      <c r="F5">
        <f>IF('Result-lag'!$O5&lt;'Result -equal'!$O5,'Result-lag'!F5,'Result -equal'!F5)</f>
        <v>37335367110.779999</v>
      </c>
      <c r="G5">
        <f>IF('Result-lag'!$O5&lt;'Result -equal'!$O5,'Result-lag'!G5,'Result -equal'!G5)</f>
        <v>14906336717.870001</v>
      </c>
      <c r="H5">
        <f>IF('Result-lag'!$O5&lt;'Result -equal'!$O5,'Result-lag'!H5,'Result -equal'!H5)</f>
        <v>1679990333.1500001</v>
      </c>
      <c r="I5">
        <f>IF('Result-lag'!$O5&lt;'Result -equal'!$O5,'Result-lag'!I5,'Result -equal'!I5)</f>
        <v>668892203</v>
      </c>
      <c r="J5">
        <f>IF('Result-lag'!$O5&lt;'Result -equal'!$O5,1,0)</f>
        <v>1</v>
      </c>
      <c r="L5" s="1">
        <f t="shared" ref="L5:L68" si="1">C5</f>
        <v>39114</v>
      </c>
      <c r="M5" s="7">
        <f t="shared" ref="M5:M68" si="2">E5/$D5</f>
        <v>0.84759009584030343</v>
      </c>
      <c r="N5" s="7">
        <f t="shared" ref="N5:N68" si="3">F5/$D5</f>
        <v>0.71178118212515928</v>
      </c>
      <c r="O5" s="7">
        <f t="shared" ref="O5:O68" si="4">G5/$D5</f>
        <v>0.2841822858931442</v>
      </c>
      <c r="P5" s="7">
        <f t="shared" ref="P5:P68" si="5">H5/$D5</f>
        <v>3.2028224116298645E-2</v>
      </c>
      <c r="Q5" s="7">
        <f t="shared" ref="Q5:Q68" si="6">I5/$D5</f>
        <v>1.2752114678636017E-2</v>
      </c>
    </row>
    <row r="6" spans="3:17" x14ac:dyDescent="0.25">
      <c r="C6" s="1">
        <f>'Result-lag'!C6</f>
        <v>39142</v>
      </c>
      <c r="D6">
        <f>IF('Result-lag'!$O6&lt;'Result -equal'!$O6,'Result-lag'!D6,'Result -equal'!D6)</f>
        <v>47757143575.32</v>
      </c>
      <c r="E6">
        <f>IF('Result-lag'!$O6&lt;'Result -equal'!$O6,'Result-lag'!E6,'Result -equal'!E6)</f>
        <v>39699963461.440002</v>
      </c>
      <c r="F6">
        <f>IF('Result-lag'!$O6&lt;'Result -equal'!$O6,'Result-lag'!F6,'Result -equal'!F6)</f>
        <v>31729643578.310001</v>
      </c>
      <c r="G6">
        <f>IF('Result-lag'!$O6&lt;'Result -equal'!$O6,'Result-lag'!G6,'Result -equal'!G6)</f>
        <v>11915399053.1</v>
      </c>
      <c r="H6">
        <f>IF('Result-lag'!$O6&lt;'Result -equal'!$O6,'Result-lag'!H6,'Result -equal'!H6)</f>
        <v>1672712786.0699999</v>
      </c>
      <c r="I6">
        <f>IF('Result-lag'!$O6&lt;'Result -equal'!$O6,'Result-lag'!I6,'Result -equal'!I6)</f>
        <v>754011170.92999995</v>
      </c>
      <c r="J6">
        <f>IF('Result-lag'!$O6&lt;'Result -equal'!$O6,1,0)</f>
        <v>1</v>
      </c>
      <c r="L6" s="1">
        <f t="shared" si="1"/>
        <v>39142</v>
      </c>
      <c r="M6" s="7">
        <f t="shared" si="2"/>
        <v>0.83128848355068297</v>
      </c>
      <c r="N6" s="7">
        <f t="shared" si="3"/>
        <v>0.66439575742773882</v>
      </c>
      <c r="O6" s="7">
        <f t="shared" si="4"/>
        <v>0.24949982685433592</v>
      </c>
      <c r="P6" s="7">
        <f t="shared" si="5"/>
        <v>3.5025394335653416E-2</v>
      </c>
      <c r="Q6" s="7">
        <f t="shared" si="6"/>
        <v>1.5788447852640393E-2</v>
      </c>
    </row>
    <row r="7" spans="3:17" x14ac:dyDescent="0.25">
      <c r="C7" s="1">
        <f>'Result-lag'!C7</f>
        <v>39173</v>
      </c>
      <c r="D7">
        <f>IF('Result-lag'!$O7&lt;'Result -equal'!$O7,'Result-lag'!D7,'Result -equal'!D7)</f>
        <v>52540646459.18</v>
      </c>
      <c r="E7">
        <f>IF('Result-lag'!$O7&lt;'Result -equal'!$O7,'Result-lag'!E7,'Result -equal'!E7)</f>
        <v>44612018493.380005</v>
      </c>
      <c r="F7">
        <f>IF('Result-lag'!$O7&lt;'Result -equal'!$O7,'Result-lag'!F7,'Result -equal'!F7)</f>
        <v>36456608651.970001</v>
      </c>
      <c r="G7">
        <f>IF('Result-lag'!$O7&lt;'Result -equal'!$O7,'Result-lag'!G7,'Result -equal'!G7)</f>
        <v>13440547910.5</v>
      </c>
      <c r="H7">
        <f>IF('Result-lag'!$O7&lt;'Result -equal'!$O7,'Result-lag'!H7,'Result -equal'!H7)</f>
        <v>1582934759.3800001</v>
      </c>
      <c r="I7">
        <f>IF('Result-lag'!$O7&lt;'Result -equal'!$O7,'Result-lag'!I7,'Result -equal'!I7)</f>
        <v>684270187.71000004</v>
      </c>
      <c r="J7">
        <f>IF('Result-lag'!$O7&lt;'Result -equal'!$O7,1,0)</f>
        <v>1</v>
      </c>
      <c r="L7" s="1">
        <f t="shared" si="1"/>
        <v>39173</v>
      </c>
      <c r="M7" s="7">
        <f t="shared" si="2"/>
        <v>0.84909534807570508</v>
      </c>
      <c r="N7" s="7">
        <f t="shared" si="3"/>
        <v>0.69387438314627425</v>
      </c>
      <c r="O7" s="7">
        <f t="shared" si="4"/>
        <v>0.25581238177079269</v>
      </c>
      <c r="P7" s="7">
        <f t="shared" si="5"/>
        <v>3.0127812770819586E-2</v>
      </c>
      <c r="Q7" s="7">
        <f t="shared" si="6"/>
        <v>1.3023634725195564E-2</v>
      </c>
    </row>
    <row r="8" spans="3:17" x14ac:dyDescent="0.25">
      <c r="C8" s="1">
        <f>'Result-lag'!C8</f>
        <v>39203</v>
      </c>
      <c r="D8">
        <f>IF('Result-lag'!$O8&lt;'Result -equal'!$O8,'Result-lag'!D8,'Result -equal'!D8)</f>
        <v>55030123991.339996</v>
      </c>
      <c r="E8">
        <f>IF('Result-lag'!$O8&lt;'Result -equal'!$O8,'Result-lag'!E8,'Result -equal'!E8)</f>
        <v>45163385837.460007</v>
      </c>
      <c r="F8">
        <f>IF('Result-lag'!$O8&lt;'Result -equal'!$O8,'Result-lag'!F8,'Result -equal'!F8)</f>
        <v>38184312925.010002</v>
      </c>
      <c r="G8">
        <f>IF('Result-lag'!$O8&lt;'Result -equal'!$O8,'Result-lag'!G8,'Result -equal'!G8)</f>
        <v>14589989652.360001</v>
      </c>
      <c r="H8">
        <f>IF('Result-lag'!$O8&lt;'Result -equal'!$O8,'Result-lag'!H8,'Result -equal'!H8)</f>
        <v>2772906165.9000001</v>
      </c>
      <c r="I8">
        <f>IF('Result-lag'!$O8&lt;'Result -equal'!$O8,'Result-lag'!I8,'Result -equal'!I8)</f>
        <v>794614133.75</v>
      </c>
      <c r="J8">
        <f>IF('Result-lag'!$O8&lt;'Result -equal'!$O8,1,0)</f>
        <v>1</v>
      </c>
      <c r="L8" s="1">
        <f t="shared" si="1"/>
        <v>39203</v>
      </c>
      <c r="M8" s="7">
        <f t="shared" si="2"/>
        <v>0.82070296342721849</v>
      </c>
      <c r="N8" s="7">
        <f t="shared" si="3"/>
        <v>0.69388019062103157</v>
      </c>
      <c r="O8" s="7">
        <f t="shared" si="4"/>
        <v>0.26512732652857557</v>
      </c>
      <c r="P8" s="7">
        <f t="shared" si="5"/>
        <v>5.0388877305389462E-2</v>
      </c>
      <c r="Q8" s="7">
        <f t="shared" si="6"/>
        <v>1.4439620995130725E-2</v>
      </c>
    </row>
    <row r="9" spans="3:17" x14ac:dyDescent="0.25">
      <c r="C9" s="1">
        <f>'Result-lag'!C9</f>
        <v>39234</v>
      </c>
      <c r="D9">
        <f>IF('Result-lag'!$O9&lt;'Result -equal'!$O9,'Result-lag'!D9,'Result -equal'!D9)</f>
        <v>63791156452.68</v>
      </c>
      <c r="E9">
        <f>IF('Result-lag'!$O9&lt;'Result -equal'!$O9,'Result-lag'!E9,'Result -equal'!E9)</f>
        <v>51753074291.699997</v>
      </c>
      <c r="F9">
        <f>IF('Result-lag'!$O9&lt;'Result -equal'!$O9,'Result-lag'!F9,'Result -equal'!F9)</f>
        <v>41821075321.049995</v>
      </c>
      <c r="G9">
        <f>IF('Result-lag'!$O9&lt;'Result -equal'!$O9,'Result-lag'!G9,'Result -equal'!G9)</f>
        <v>15230409440.049999</v>
      </c>
      <c r="H9">
        <f>IF('Result-lag'!$O9&lt;'Result -equal'!$O9,'Result-lag'!H9,'Result -equal'!H9)</f>
        <v>2796352573.5599999</v>
      </c>
      <c r="I9">
        <f>IF('Result-lag'!$O9&lt;'Result -equal'!$O9,'Result-lag'!I9,'Result -equal'!I9)</f>
        <v>713138493.69000006</v>
      </c>
      <c r="J9">
        <f>IF('Result-lag'!$O9&lt;'Result -equal'!$O9,1,0)</f>
        <v>1</v>
      </c>
      <c r="L9" s="1">
        <f t="shared" si="1"/>
        <v>39234</v>
      </c>
      <c r="M9" s="7">
        <f t="shared" si="2"/>
        <v>0.81128916874379287</v>
      </c>
      <c r="N9" s="7">
        <f t="shared" si="3"/>
        <v>0.65559362216724637</v>
      </c>
      <c r="O9" s="7">
        <f t="shared" si="4"/>
        <v>0.23875424568212444</v>
      </c>
      <c r="P9" s="7">
        <f t="shared" si="5"/>
        <v>4.3836053915001873E-2</v>
      </c>
      <c r="Q9" s="7">
        <f t="shared" si="6"/>
        <v>1.1179268935483292E-2</v>
      </c>
    </row>
    <row r="10" spans="3:17" x14ac:dyDescent="0.25">
      <c r="C10" s="1">
        <f>'Result-lag'!C10</f>
        <v>39264</v>
      </c>
      <c r="D10">
        <f>IF('Result-lag'!$O10&lt;'Result -equal'!$O10,'Result-lag'!D10,'Result -equal'!D10)</f>
        <v>66543383648.120003</v>
      </c>
      <c r="E10">
        <f>IF('Result-lag'!$O10&lt;'Result -equal'!$O10,'Result-lag'!E10,'Result -equal'!E10)</f>
        <v>54801492236.05999</v>
      </c>
      <c r="F10">
        <f>IF('Result-lag'!$O10&lt;'Result -equal'!$O10,'Result-lag'!F10,'Result -equal'!F10)</f>
        <v>45598191085.659996</v>
      </c>
      <c r="G10">
        <f>IF('Result-lag'!$O10&lt;'Result -equal'!$O10,'Result-lag'!G10,'Result -equal'!G10)</f>
        <v>17586653532.040001</v>
      </c>
      <c r="H10">
        <f>IF('Result-lag'!$O10&lt;'Result -equal'!$O10,'Result-lag'!H10,'Result -equal'!H10)</f>
        <v>2979151994.4400001</v>
      </c>
      <c r="I10">
        <f>IF('Result-lag'!$O10&lt;'Result -equal'!$O10,'Result-lag'!I10,'Result -equal'!I10)</f>
        <v>970794020.49000001</v>
      </c>
      <c r="J10">
        <f>IF('Result-lag'!$O10&lt;'Result -equal'!$O10,1,0)</f>
        <v>1</v>
      </c>
      <c r="L10" s="1">
        <f t="shared" si="1"/>
        <v>39264</v>
      </c>
      <c r="M10" s="7">
        <f t="shared" si="2"/>
        <v>0.82354532083684107</v>
      </c>
      <c r="N10" s="7">
        <f t="shared" si="3"/>
        <v>0.68524004319921961</v>
      </c>
      <c r="O10" s="7">
        <f t="shared" si="4"/>
        <v>0.26428853731030344</v>
      </c>
      <c r="P10" s="7">
        <f t="shared" si="5"/>
        <v>4.4770070758554936E-2</v>
      </c>
      <c r="Q10" s="7">
        <f t="shared" si="6"/>
        <v>1.458888874096842E-2</v>
      </c>
    </row>
    <row r="11" spans="3:17" x14ac:dyDescent="0.25">
      <c r="C11" s="1">
        <f>'Result-lag'!C11</f>
        <v>39295</v>
      </c>
      <c r="D11">
        <f>IF('Result-lag'!$O11&lt;'Result -equal'!$O11,'Result-lag'!D11,'Result -equal'!D11)</f>
        <v>66841769232.779999</v>
      </c>
      <c r="E11">
        <f>IF('Result-lag'!$O11&lt;'Result -equal'!$O11,'Result-lag'!E11,'Result -equal'!E11)</f>
        <v>54076499065.469986</v>
      </c>
      <c r="F11">
        <f>IF('Result-lag'!$O11&lt;'Result -equal'!$O11,'Result-lag'!F11,'Result -equal'!F11)</f>
        <v>43577028327.099991</v>
      </c>
      <c r="G11">
        <f>IF('Result-lag'!$O11&lt;'Result -equal'!$O11,'Result-lag'!G11,'Result -equal'!G11)</f>
        <v>15188068031.41</v>
      </c>
      <c r="H11">
        <f>IF('Result-lag'!$O11&lt;'Result -equal'!$O11,'Result-lag'!H11,'Result -equal'!H11)</f>
        <v>3267541007.4200001</v>
      </c>
      <c r="I11">
        <f>IF('Result-lag'!$O11&lt;'Result -equal'!$O11,'Result-lag'!I11,'Result -equal'!I11)</f>
        <v>710262083.82000005</v>
      </c>
      <c r="J11">
        <f>IF('Result-lag'!$O11&lt;'Result -equal'!$O11,1,0)</f>
        <v>1</v>
      </c>
      <c r="L11" s="1">
        <f t="shared" si="1"/>
        <v>39295</v>
      </c>
      <c r="M11" s="7">
        <f t="shared" si="2"/>
        <v>0.80902255709518578</v>
      </c>
      <c r="N11" s="7">
        <f t="shared" si="3"/>
        <v>0.65194307133524076</v>
      </c>
      <c r="O11" s="7">
        <f t="shared" si="4"/>
        <v>0.22722420734431414</v>
      </c>
      <c r="P11" s="7">
        <f t="shared" si="5"/>
        <v>4.8884717519080259E-2</v>
      </c>
      <c r="Q11" s="7">
        <f t="shared" si="6"/>
        <v>1.0626021602547275E-2</v>
      </c>
    </row>
    <row r="12" spans="3:17" x14ac:dyDescent="0.25">
      <c r="C12" s="1">
        <f>'Result-lag'!C12</f>
        <v>39326</v>
      </c>
      <c r="D12">
        <f>IF('Result-lag'!$O12&lt;'Result -equal'!$O12,'Result-lag'!D12,'Result -equal'!D12)</f>
        <v>58844726717.25</v>
      </c>
      <c r="E12">
        <f>IF('Result-lag'!$O12&lt;'Result -equal'!$O12,'Result-lag'!E12,'Result -equal'!E12)</f>
        <v>48436392044.020004</v>
      </c>
      <c r="F12">
        <f>IF('Result-lag'!$O12&lt;'Result -equal'!$O12,'Result-lag'!F12,'Result -equal'!F12)</f>
        <v>38360575429.730003</v>
      </c>
      <c r="G12">
        <f>IF('Result-lag'!$O12&lt;'Result -equal'!$O12,'Result-lag'!G12,'Result -equal'!G12)</f>
        <v>13829268759.76</v>
      </c>
      <c r="H12">
        <f>IF('Result-lag'!$O12&lt;'Result -equal'!$O12,'Result-lag'!H12,'Result -equal'!H12)</f>
        <v>2575823371.0500002</v>
      </c>
      <c r="I12">
        <f>IF('Result-lag'!$O12&lt;'Result -equal'!$O12,'Result-lag'!I12,'Result -equal'!I12)</f>
        <v>779034200.88999999</v>
      </c>
      <c r="J12">
        <f>IF('Result-lag'!$O12&lt;'Result -equal'!$O12,1,0)</f>
        <v>1</v>
      </c>
      <c r="L12" s="1">
        <f t="shared" si="1"/>
        <v>39326</v>
      </c>
      <c r="M12" s="7">
        <f t="shared" si="2"/>
        <v>0.82312204926633037</v>
      </c>
      <c r="N12" s="7">
        <f t="shared" si="3"/>
        <v>0.6518948692557156</v>
      </c>
      <c r="O12" s="7">
        <f t="shared" si="4"/>
        <v>0.23501288103876991</v>
      </c>
      <c r="P12" s="7">
        <f t="shared" si="5"/>
        <v>4.3773223443230168E-2</v>
      </c>
      <c r="Q12" s="7">
        <f t="shared" si="6"/>
        <v>1.3238810754161095E-2</v>
      </c>
    </row>
    <row r="13" spans="3:17" x14ac:dyDescent="0.25">
      <c r="C13" s="1">
        <f>'Result-lag'!C13</f>
        <v>39356</v>
      </c>
      <c r="D13">
        <f>IF('Result-lag'!$O13&lt;'Result -equal'!$O13,'Result-lag'!D13,'Result -equal'!D13)</f>
        <v>61720788837.040001</v>
      </c>
      <c r="E13">
        <f>IF('Result-lag'!$O13&lt;'Result -equal'!$O13,'Result-lag'!E13,'Result -equal'!E13)</f>
        <v>49150688193.139999</v>
      </c>
      <c r="F13">
        <f>IF('Result-lag'!$O13&lt;'Result -equal'!$O13,'Result-lag'!F13,'Result -equal'!F13)</f>
        <v>40189480222.099998</v>
      </c>
      <c r="G13">
        <f>IF('Result-lag'!$O13&lt;'Result -equal'!$O13,'Result-lag'!G13,'Result -equal'!G13)</f>
        <v>16061360740.030001</v>
      </c>
      <c r="H13">
        <f>IF('Result-lag'!$O13&lt;'Result -equal'!$O13,'Result-lag'!H13,'Result -equal'!H13)</f>
        <v>2569971167.4499998</v>
      </c>
      <c r="I13">
        <f>IF('Result-lag'!$O13&lt;'Result -equal'!$O13,'Result-lag'!I13,'Result -equal'!I13)</f>
        <v>707016336.28999996</v>
      </c>
      <c r="J13">
        <f>IF('Result-lag'!$O13&lt;'Result -equal'!$O13,1,0)</f>
        <v>1</v>
      </c>
      <c r="L13" s="1">
        <f t="shared" si="1"/>
        <v>39356</v>
      </c>
      <c r="M13" s="7">
        <f t="shared" si="2"/>
        <v>0.79633927432313689</v>
      </c>
      <c r="N13" s="7">
        <f t="shared" si="3"/>
        <v>0.65114981482513734</v>
      </c>
      <c r="O13" s="7">
        <f t="shared" si="4"/>
        <v>0.26022610926824746</v>
      </c>
      <c r="P13" s="7">
        <f t="shared" si="5"/>
        <v>4.1638663663801131E-2</v>
      </c>
      <c r="Q13" s="7">
        <f t="shared" si="6"/>
        <v>1.1455076152003163E-2</v>
      </c>
    </row>
    <row r="14" spans="3:17" x14ac:dyDescent="0.25">
      <c r="C14" s="1">
        <f>'Result-lag'!C14</f>
        <v>39387</v>
      </c>
      <c r="D14">
        <f>IF('Result-lag'!$O14&lt;'Result -equal'!$O14,'Result-lag'!D14,'Result -equal'!D14)</f>
        <v>57017095444.980003</v>
      </c>
      <c r="E14">
        <f>IF('Result-lag'!$O14&lt;'Result -equal'!$O14,'Result-lag'!E14,'Result -equal'!E14)</f>
        <v>47384230622.669998</v>
      </c>
      <c r="F14">
        <f>IF('Result-lag'!$O14&lt;'Result -equal'!$O14,'Result-lag'!F14,'Result -equal'!F14)</f>
        <v>37132352987.849998</v>
      </c>
      <c r="G14">
        <f>IF('Result-lag'!$O14&lt;'Result -equal'!$O14,'Result-lag'!G14,'Result -equal'!G14)</f>
        <v>13009808173.709999</v>
      </c>
      <c r="H14">
        <f>IF('Result-lag'!$O14&lt;'Result -equal'!$O14,'Result-lag'!H14,'Result -equal'!H14)</f>
        <v>2060441341.49</v>
      </c>
      <c r="I14">
        <f>IF('Result-lag'!$O14&lt;'Result -equal'!$O14,'Result-lag'!I14,'Result -equal'!I14)</f>
        <v>714635575.74000001</v>
      </c>
      <c r="J14">
        <f>IF('Result-lag'!$O14&lt;'Result -equal'!$O14,1,0)</f>
        <v>1</v>
      </c>
      <c r="L14" s="1">
        <f t="shared" si="1"/>
        <v>39387</v>
      </c>
      <c r="M14" s="7">
        <f t="shared" si="2"/>
        <v>0.83105304212478759</v>
      </c>
      <c r="N14" s="7">
        <f t="shared" si="3"/>
        <v>0.65124946646364579</v>
      </c>
      <c r="O14" s="7">
        <f t="shared" si="4"/>
        <v>0.22817381475112358</v>
      </c>
      <c r="P14" s="7">
        <f t="shared" si="5"/>
        <v>3.6137255421547589E-2</v>
      </c>
      <c r="Q14" s="7">
        <f t="shared" si="6"/>
        <v>1.2533707130514996E-2</v>
      </c>
    </row>
    <row r="15" spans="3:17" x14ac:dyDescent="0.25">
      <c r="C15" s="1">
        <f>'Result-lag'!C15</f>
        <v>39417</v>
      </c>
      <c r="D15">
        <f>IF('Result-lag'!$O15&lt;'Result -equal'!$O15,'Result-lag'!D15,'Result -equal'!D15)</f>
        <v>57339598522.279999</v>
      </c>
      <c r="E15">
        <f>IF('Result-lag'!$O15&lt;'Result -equal'!$O15,'Result-lag'!E15,'Result -equal'!E15)</f>
        <v>46640588044.619995</v>
      </c>
      <c r="F15">
        <f>IF('Result-lag'!$O15&lt;'Result -equal'!$O15,'Result-lag'!F15,'Result -equal'!F15)</f>
        <v>35423645321.739998</v>
      </c>
      <c r="G15">
        <f>IF('Result-lag'!$O15&lt;'Result -equal'!$O15,'Result-lag'!G15,'Result -equal'!G15)</f>
        <v>12603633651.940001</v>
      </c>
      <c r="H15">
        <f>IF('Result-lag'!$O15&lt;'Result -equal'!$O15,'Result-lag'!H15,'Result -equal'!H15)</f>
        <v>2642277157.3299999</v>
      </c>
      <c r="I15">
        <f>IF('Result-lag'!$O15&lt;'Result -equal'!$O15,'Result-lag'!I15,'Result -equal'!I15)</f>
        <v>632137460.79999995</v>
      </c>
      <c r="J15">
        <f>IF('Result-lag'!$O15&lt;'Result -equal'!$O15,1,0)</f>
        <v>1</v>
      </c>
      <c r="L15" s="1">
        <f t="shared" si="1"/>
        <v>39417</v>
      </c>
      <c r="M15" s="7">
        <f t="shared" si="2"/>
        <v>0.81340974207374728</v>
      </c>
      <c r="N15" s="7">
        <f t="shared" si="3"/>
        <v>0.61778676925991571</v>
      </c>
      <c r="O15" s="7">
        <f t="shared" si="4"/>
        <v>0.21980679978152803</v>
      </c>
      <c r="P15" s="7">
        <f t="shared" si="5"/>
        <v>4.6081193894360994E-2</v>
      </c>
      <c r="Q15" s="7">
        <f t="shared" si="6"/>
        <v>1.1024448672314566E-2</v>
      </c>
    </row>
    <row r="16" spans="3:17" x14ac:dyDescent="0.25">
      <c r="C16" s="1">
        <f>'Result-lag'!C16</f>
        <v>39448</v>
      </c>
      <c r="D16">
        <f>IF('Result-lag'!$O16&lt;'Result -equal'!$O16,'Result-lag'!D16,'Result -equal'!D16)</f>
        <v>77064970164.339996</v>
      </c>
      <c r="E16">
        <f>IF('Result-lag'!$O16&lt;'Result -equal'!$O16,'Result-lag'!E16,'Result -equal'!E16)</f>
        <v>65017340144.210007</v>
      </c>
      <c r="F16">
        <f>IF('Result-lag'!$O16&lt;'Result -equal'!$O16,'Result-lag'!F16,'Result -equal'!F16)</f>
        <v>52356321979.840004</v>
      </c>
      <c r="G16">
        <f>IF('Result-lag'!$O16&lt;'Result -equal'!$O16,'Result-lag'!G16,'Result -equal'!G16)</f>
        <v>19245031368.959999</v>
      </c>
      <c r="H16">
        <f>IF('Result-lag'!$O16&lt;'Result -equal'!$O16,'Result-lag'!H16,'Result -equal'!H16)</f>
        <v>2742976340.8400002</v>
      </c>
      <c r="I16">
        <f>IF('Result-lag'!$O16&lt;'Result -equal'!$O16,'Result-lag'!I16,'Result -equal'!I16)</f>
        <v>806190228.41999996</v>
      </c>
      <c r="J16">
        <f>IF('Result-lag'!$O16&lt;'Result -equal'!$O16,1,0)</f>
        <v>1</v>
      </c>
      <c r="L16" s="1">
        <f t="shared" si="1"/>
        <v>39448</v>
      </c>
      <c r="M16" s="7">
        <f t="shared" si="2"/>
        <v>0.84366917946716147</v>
      </c>
      <c r="N16" s="7">
        <f t="shared" si="3"/>
        <v>0.67937899499851695</v>
      </c>
      <c r="O16" s="7">
        <f t="shared" si="4"/>
        <v>0.24972476246886532</v>
      </c>
      <c r="P16" s="7">
        <f t="shared" si="5"/>
        <v>3.5593037082745124E-2</v>
      </c>
      <c r="Q16" s="7">
        <f t="shared" si="6"/>
        <v>1.0461176156959644E-2</v>
      </c>
    </row>
    <row r="17" spans="3:17" x14ac:dyDescent="0.25">
      <c r="C17" s="1">
        <f>'Result-lag'!C17</f>
        <v>39479</v>
      </c>
      <c r="D17">
        <f>IF('Result-lag'!$O17&lt;'Result -equal'!$O17,'Result-lag'!D17,'Result -equal'!D17)</f>
        <v>58904329066.650002</v>
      </c>
      <c r="E17">
        <f>IF('Result-lag'!$O17&lt;'Result -equal'!$O17,'Result-lag'!E17,'Result -equal'!E17)</f>
        <v>48202780379.819992</v>
      </c>
      <c r="F17">
        <f>IF('Result-lag'!$O17&lt;'Result -equal'!$O17,'Result-lag'!F17,'Result -equal'!F17)</f>
        <v>38429714675.949997</v>
      </c>
      <c r="G17">
        <f>IF('Result-lag'!$O17&lt;'Result -equal'!$O17,'Result-lag'!G17,'Result -equal'!G17)</f>
        <v>14202157043.27</v>
      </c>
      <c r="H17">
        <f>IF('Result-lag'!$O17&lt;'Result -equal'!$O17,'Result-lag'!H17,'Result -equal'!H17)</f>
        <v>3365807073.5500002</v>
      </c>
      <c r="I17">
        <f>IF('Result-lag'!$O17&lt;'Result -equal'!$O17,'Result-lag'!I17,'Result -equal'!I17)</f>
        <v>791862987.95000005</v>
      </c>
      <c r="J17">
        <f>IF('Result-lag'!$O17&lt;'Result -equal'!$O17,1,0)</f>
        <v>1</v>
      </c>
      <c r="L17" s="1">
        <f t="shared" si="1"/>
        <v>39479</v>
      </c>
      <c r="M17" s="7">
        <f t="shared" si="2"/>
        <v>0.81832322247960332</v>
      </c>
      <c r="N17" s="7">
        <f t="shared" si="3"/>
        <v>0.6524090043104801</v>
      </c>
      <c r="O17" s="7">
        <f t="shared" si="4"/>
        <v>0.24110548865093293</v>
      </c>
      <c r="P17" s="7">
        <f t="shared" si="5"/>
        <v>5.7140232761867187E-2</v>
      </c>
      <c r="Q17" s="7">
        <f t="shared" si="6"/>
        <v>1.3443205287238063E-2</v>
      </c>
    </row>
    <row r="18" spans="3:17" x14ac:dyDescent="0.25">
      <c r="C18" s="1">
        <f>'Result-lag'!C18</f>
        <v>39508</v>
      </c>
      <c r="D18">
        <f>IF('Result-lag'!$O18&lt;'Result -equal'!$O18,'Result-lag'!D18,'Result -equal'!D18)</f>
        <v>82288506502.539993</v>
      </c>
      <c r="E18">
        <f>IF('Result-lag'!$O18&lt;'Result -equal'!$O18,'Result-lag'!E18,'Result -equal'!E18)</f>
        <v>71980932056.040009</v>
      </c>
      <c r="F18">
        <f>IF('Result-lag'!$O18&lt;'Result -equal'!$O18,'Result-lag'!F18,'Result -equal'!F18)</f>
        <v>57933017059.870003</v>
      </c>
      <c r="G18">
        <f>IF('Result-lag'!$O18&lt;'Result -equal'!$O18,'Result-lag'!G18,'Result -equal'!G18)</f>
        <v>18869156796.220001</v>
      </c>
      <c r="H18">
        <f>IF('Result-lag'!$O18&lt;'Result -equal'!$O18,'Result-lag'!H18,'Result -equal'!H18)</f>
        <v>2534262717.98</v>
      </c>
      <c r="I18">
        <f>IF('Result-lag'!$O18&lt;'Result -equal'!$O18,'Result-lag'!I18,'Result -equal'!I18)</f>
        <v>705417996.09000003</v>
      </c>
      <c r="J18">
        <f>IF('Result-lag'!$O18&lt;'Result -equal'!$O18,1,0)</f>
        <v>1</v>
      </c>
      <c r="L18" s="1">
        <f t="shared" si="1"/>
        <v>39508</v>
      </c>
      <c r="M18" s="7">
        <f t="shared" si="2"/>
        <v>0.87473858884312328</v>
      </c>
      <c r="N18" s="7">
        <f t="shared" si="3"/>
        <v>0.70402319257163559</v>
      </c>
      <c r="O18" s="7">
        <f t="shared" si="4"/>
        <v>0.22930488835202725</v>
      </c>
      <c r="P18" s="7">
        <f t="shared" si="5"/>
        <v>3.0797286591922469E-2</v>
      </c>
      <c r="Q18" s="7">
        <f t="shared" si="6"/>
        <v>8.5724972547439049E-3</v>
      </c>
    </row>
    <row r="19" spans="3:17" x14ac:dyDescent="0.25">
      <c r="C19" s="1">
        <f>'Result-lag'!C19</f>
        <v>39539</v>
      </c>
      <c r="D19">
        <f>IF('Result-lag'!$O19&lt;'Result -equal'!$O19,'Result-lag'!D19,'Result -equal'!D19)</f>
        <v>56946711891.239998</v>
      </c>
      <c r="E19">
        <f>IF('Result-lag'!$O19&lt;'Result -equal'!$O19,'Result-lag'!E19,'Result -equal'!E19)</f>
        <v>47078096575.229996</v>
      </c>
      <c r="F19">
        <f>IF('Result-lag'!$O19&lt;'Result -equal'!$O19,'Result-lag'!F19,'Result -equal'!F19)</f>
        <v>37934628259.07</v>
      </c>
      <c r="G19">
        <f>IF('Result-lag'!$O19&lt;'Result -equal'!$O19,'Result-lag'!G19,'Result -equal'!G19)</f>
        <v>9926586445.7800007</v>
      </c>
      <c r="H19">
        <f>IF('Result-lag'!$O19&lt;'Result -equal'!$O19,'Result-lag'!H19,'Result -equal'!H19)</f>
        <v>4627286735.46</v>
      </c>
      <c r="I19">
        <f>IF('Result-lag'!$O19&lt;'Result -equal'!$O19,'Result-lag'!I19,'Result -equal'!I19)</f>
        <v>689568022.57000005</v>
      </c>
      <c r="J19">
        <f>IF('Result-lag'!$O19&lt;'Result -equal'!$O19,1,0)</f>
        <v>1</v>
      </c>
      <c r="L19" s="1">
        <f t="shared" si="1"/>
        <v>39539</v>
      </c>
      <c r="M19" s="7">
        <f t="shared" si="2"/>
        <v>0.82670438751832354</v>
      </c>
      <c r="N19" s="7">
        <f t="shared" si="3"/>
        <v>0.66614255677342116</v>
      </c>
      <c r="O19" s="7">
        <f t="shared" si="4"/>
        <v>0.17431360154276068</v>
      </c>
      <c r="P19" s="7">
        <f t="shared" si="5"/>
        <v>8.1256433985116644E-2</v>
      </c>
      <c r="Q19" s="7">
        <f t="shared" si="6"/>
        <v>1.2109005062258475E-2</v>
      </c>
    </row>
    <row r="20" spans="3:17" x14ac:dyDescent="0.25">
      <c r="C20" s="1">
        <f>'Result-lag'!C20</f>
        <v>39569</v>
      </c>
      <c r="D20">
        <f>IF('Result-lag'!$O20&lt;'Result -equal'!$O20,'Result-lag'!D20,'Result -equal'!D20)</f>
        <v>63162385903.519997</v>
      </c>
      <c r="E20">
        <f>IF('Result-lag'!$O20&lt;'Result -equal'!$O20,'Result-lag'!E20,'Result -equal'!E20)</f>
        <v>52635172551.659988</v>
      </c>
      <c r="F20">
        <f>IF('Result-lag'!$O20&lt;'Result -equal'!$O20,'Result-lag'!F20,'Result -equal'!F20)</f>
        <v>42014894318.319992</v>
      </c>
      <c r="G20">
        <f>IF('Result-lag'!$O20&lt;'Result -equal'!$O20,'Result-lag'!G20,'Result -equal'!G20)</f>
        <v>13677637389.280001</v>
      </c>
      <c r="H20">
        <f>IF('Result-lag'!$O20&lt;'Result -equal'!$O20,'Result-lag'!H20,'Result -equal'!H20)</f>
        <v>4716019657.6199999</v>
      </c>
      <c r="I20">
        <f>IF('Result-lag'!$O20&lt;'Result -equal'!$O20,'Result-lag'!I20,'Result -equal'!I20)</f>
        <v>854349995.38999999</v>
      </c>
      <c r="J20">
        <f>IF('Result-lag'!$O20&lt;'Result -equal'!$O20,1,0)</f>
        <v>1</v>
      </c>
      <c r="L20" s="1">
        <f t="shared" si="1"/>
        <v>39569</v>
      </c>
      <c r="M20" s="7">
        <f t="shared" si="2"/>
        <v>0.83333097378651533</v>
      </c>
      <c r="N20" s="7">
        <f t="shared" si="3"/>
        <v>0.6651885250582108</v>
      </c>
      <c r="O20" s="7">
        <f t="shared" si="4"/>
        <v>0.21654719329590358</v>
      </c>
      <c r="P20" s="7">
        <f t="shared" si="5"/>
        <v>7.4665001806988096E-2</v>
      </c>
      <c r="Q20" s="7">
        <f t="shared" si="6"/>
        <v>1.3526246407078609E-2</v>
      </c>
    </row>
    <row r="21" spans="3:17" x14ac:dyDescent="0.25">
      <c r="C21" s="1">
        <f>'Result-lag'!C21</f>
        <v>39600</v>
      </c>
      <c r="D21">
        <f>IF('Result-lag'!$O21&lt;'Result -equal'!$O21,'Result-lag'!D21,'Result -equal'!D21)</f>
        <v>72602408533.720001</v>
      </c>
      <c r="E21">
        <f>IF('Result-lag'!$O21&lt;'Result -equal'!$O21,'Result-lag'!E21,'Result -equal'!E21)</f>
        <v>61635508716.530006</v>
      </c>
      <c r="F21">
        <f>IF('Result-lag'!$O21&lt;'Result -equal'!$O21,'Result-lag'!F21,'Result -equal'!F21)</f>
        <v>50039968636.970001</v>
      </c>
      <c r="G21">
        <f>IF('Result-lag'!$O21&lt;'Result -equal'!$O21,'Result-lag'!G21,'Result -equal'!G21)</f>
        <v>16065557997.07</v>
      </c>
      <c r="H21">
        <f>IF('Result-lag'!$O21&lt;'Result -equal'!$O21,'Result-lag'!H21,'Result -equal'!H21)</f>
        <v>4606226475.4300003</v>
      </c>
      <c r="I21">
        <f>IF('Result-lag'!$O21&lt;'Result -equal'!$O21,'Result-lag'!I21,'Result -equal'!I21)</f>
        <v>991873864.08000004</v>
      </c>
      <c r="J21">
        <f>IF('Result-lag'!$O21&lt;'Result -equal'!$O21,1,0)</f>
        <v>1</v>
      </c>
      <c r="L21" s="1">
        <f t="shared" si="1"/>
        <v>39600</v>
      </c>
      <c r="M21" s="7">
        <f t="shared" si="2"/>
        <v>0.84894578515123986</v>
      </c>
      <c r="N21" s="7">
        <f t="shared" si="3"/>
        <v>0.68923290077531063</v>
      </c>
      <c r="O21" s="7">
        <f t="shared" si="4"/>
        <v>0.22128133654971505</v>
      </c>
      <c r="P21" s="7">
        <f t="shared" si="5"/>
        <v>6.3444540869338387E-2</v>
      </c>
      <c r="Q21" s="7">
        <f t="shared" si="6"/>
        <v>1.3661721203358243E-2</v>
      </c>
    </row>
    <row r="22" spans="3:17" x14ac:dyDescent="0.25">
      <c r="C22" s="1">
        <f>'Result-lag'!C22</f>
        <v>39630</v>
      </c>
      <c r="D22">
        <f>IF('Result-lag'!$O22&lt;'Result -equal'!$O22,'Result-lag'!D22,'Result -equal'!D22)</f>
        <v>55712916044.559998</v>
      </c>
      <c r="E22">
        <f>IF('Result-lag'!$O22&lt;'Result -equal'!$O22,'Result-lag'!E22,'Result -equal'!E22)</f>
        <v>45591009988.510002</v>
      </c>
      <c r="F22">
        <f>IF('Result-lag'!$O22&lt;'Result -equal'!$O22,'Result-lag'!F22,'Result -equal'!F22)</f>
        <v>38759941326.599998</v>
      </c>
      <c r="G22">
        <f>IF('Result-lag'!$O22&lt;'Result -equal'!$O22,'Result-lag'!G22,'Result -equal'!G22)</f>
        <v>12448685404.389999</v>
      </c>
      <c r="H22">
        <f>IF('Result-lag'!$O22&lt;'Result -equal'!$O22,'Result-lag'!H22,'Result -equal'!H22)</f>
        <v>4590315319.1099997</v>
      </c>
      <c r="I22">
        <f>IF('Result-lag'!$O22&lt;'Result -equal'!$O22,'Result-lag'!I22,'Result -equal'!I22)</f>
        <v>838953095.21000004</v>
      </c>
      <c r="J22">
        <f>IF('Result-lag'!$O22&lt;'Result -equal'!$O22,1,0)</f>
        <v>1</v>
      </c>
      <c r="L22" s="1">
        <f t="shared" si="1"/>
        <v>39630</v>
      </c>
      <c r="M22" s="7">
        <f t="shared" si="2"/>
        <v>0.81832029671621664</v>
      </c>
      <c r="N22" s="7">
        <f t="shared" si="3"/>
        <v>0.69570835774597106</v>
      </c>
      <c r="O22" s="7">
        <f t="shared" si="4"/>
        <v>0.22344343624794941</v>
      </c>
      <c r="P22" s="7">
        <f t="shared" si="5"/>
        <v>8.2392300475505512E-2</v>
      </c>
      <c r="Q22" s="7">
        <f t="shared" si="6"/>
        <v>1.5058502673580991E-2</v>
      </c>
    </row>
    <row r="23" spans="3:17" x14ac:dyDescent="0.25">
      <c r="C23" s="1">
        <f>'Result-lag'!C23</f>
        <v>39661</v>
      </c>
      <c r="D23">
        <f>IF('Result-lag'!$O23&lt;'Result -equal'!$O23,'Result-lag'!D23,'Result -equal'!D23)</f>
        <v>38900118248.239998</v>
      </c>
      <c r="E23">
        <f>IF('Result-lag'!$O23&lt;'Result -equal'!$O23,'Result-lag'!E23,'Result -equal'!E23)</f>
        <v>31436623958.66</v>
      </c>
      <c r="F23">
        <f>IF('Result-lag'!$O23&lt;'Result -equal'!$O23,'Result-lag'!F23,'Result -equal'!F23)</f>
        <v>25442840100.120003</v>
      </c>
      <c r="G23">
        <f>IF('Result-lag'!$O23&lt;'Result -equal'!$O23,'Result-lag'!G23,'Result -equal'!G23)</f>
        <v>6812598633.46</v>
      </c>
      <c r="H23">
        <f>IF('Result-lag'!$O23&lt;'Result -equal'!$O23,'Result-lag'!H23,'Result -equal'!H23)</f>
        <v>2735541204.4699998</v>
      </c>
      <c r="I23">
        <f>IF('Result-lag'!$O23&lt;'Result -equal'!$O23,'Result-lag'!I23,'Result -equal'!I23)</f>
        <v>743781943.44000006</v>
      </c>
      <c r="J23">
        <f>IF('Result-lag'!$O23&lt;'Result -equal'!$O23,1,0)</f>
        <v>1</v>
      </c>
      <c r="L23" s="1">
        <f t="shared" si="1"/>
        <v>39661</v>
      </c>
      <c r="M23" s="7">
        <f t="shared" si="2"/>
        <v>0.80813697680937824</v>
      </c>
      <c r="N23" s="7">
        <f t="shared" si="3"/>
        <v>0.654055597922794</v>
      </c>
      <c r="O23" s="7">
        <f t="shared" si="4"/>
        <v>0.17513053790699545</v>
      </c>
      <c r="P23" s="7">
        <f t="shared" si="5"/>
        <v>7.0322182236393763E-2</v>
      </c>
      <c r="Q23" s="7">
        <f t="shared" si="6"/>
        <v>1.9120300321288915E-2</v>
      </c>
    </row>
    <row r="24" spans="3:17" x14ac:dyDescent="0.25">
      <c r="C24" s="1">
        <f>'Result-lag'!C24</f>
        <v>39692</v>
      </c>
      <c r="D24">
        <f>IF('Result-lag'!$O24&lt;'Result -equal'!$O24,'Result-lag'!D24,'Result -equal'!D24)</f>
        <v>32713650876.889999</v>
      </c>
      <c r="E24">
        <f>IF('Result-lag'!$O24&lt;'Result -equal'!$O24,'Result-lag'!E24,'Result -equal'!E24)</f>
        <v>26526543059.549999</v>
      </c>
      <c r="F24">
        <f>IF('Result-lag'!$O24&lt;'Result -equal'!$O24,'Result-lag'!F24,'Result -equal'!F24)</f>
        <v>21598906300.810001</v>
      </c>
      <c r="G24">
        <f>IF('Result-lag'!$O24&lt;'Result -equal'!$O24,'Result-lag'!G24,'Result -equal'!G24)</f>
        <v>5479074775.4300003</v>
      </c>
      <c r="H24">
        <f>IF('Result-lag'!$O24&lt;'Result -equal'!$O24,'Result-lag'!H24,'Result -equal'!H24)</f>
        <v>2494839817.1700001</v>
      </c>
      <c r="I24">
        <f>IF('Result-lag'!$O24&lt;'Result -equal'!$O24,'Result-lag'!I24,'Result -equal'!I24)</f>
        <v>861617170.63</v>
      </c>
      <c r="J24">
        <f>IF('Result-lag'!$O24&lt;'Result -equal'!$O24,1,0)</f>
        <v>1</v>
      </c>
      <c r="L24" s="1">
        <f t="shared" si="1"/>
        <v>39692</v>
      </c>
      <c r="M24" s="7">
        <f t="shared" si="2"/>
        <v>0.81087076338181574</v>
      </c>
      <c r="N24" s="7">
        <f t="shared" si="3"/>
        <v>0.66024138920147801</v>
      </c>
      <c r="O24" s="7">
        <f t="shared" si="4"/>
        <v>0.16748588520581784</v>
      </c>
      <c r="P24" s="7">
        <f t="shared" si="5"/>
        <v>7.6262959049075055E-2</v>
      </c>
      <c r="Q24" s="7">
        <f t="shared" si="6"/>
        <v>2.6338153875655461E-2</v>
      </c>
    </row>
    <row r="25" spans="3:17" x14ac:dyDescent="0.25">
      <c r="C25" s="1">
        <f>'Result-lag'!C25</f>
        <v>39722</v>
      </c>
      <c r="D25">
        <f>IF('Result-lag'!$O25&lt;'Result -equal'!$O25,'Result-lag'!D25,'Result -equal'!D25)</f>
        <v>38978181473.309998</v>
      </c>
      <c r="E25">
        <f>IF('Result-lag'!$O25&lt;'Result -equal'!$O25,'Result-lag'!E25,'Result -equal'!E25)</f>
        <v>31358693679.060001</v>
      </c>
      <c r="F25">
        <f>IF('Result-lag'!$O25&lt;'Result -equal'!$O25,'Result-lag'!F25,'Result -equal'!F25)</f>
        <v>26005861056.07</v>
      </c>
      <c r="G25">
        <f>IF('Result-lag'!$O25&lt;'Result -equal'!$O25,'Result-lag'!G25,'Result -equal'!G25)</f>
        <v>7947690883.6099997</v>
      </c>
      <c r="H25">
        <f>IF('Result-lag'!$O25&lt;'Result -equal'!$O25,'Result-lag'!H25,'Result -equal'!H25)</f>
        <v>3909470688.3099999</v>
      </c>
      <c r="I25">
        <f>IF('Result-lag'!$O25&lt;'Result -equal'!$O25,'Result-lag'!I25,'Result -equal'!I25)</f>
        <v>863167964.38</v>
      </c>
      <c r="J25">
        <f>IF('Result-lag'!$O25&lt;'Result -equal'!$O25,1,0)</f>
        <v>1</v>
      </c>
      <c r="L25" s="1">
        <f t="shared" si="1"/>
        <v>39722</v>
      </c>
      <c r="M25" s="7">
        <f t="shared" si="2"/>
        <v>0.80451915645507011</v>
      </c>
      <c r="N25" s="7">
        <f t="shared" si="3"/>
        <v>0.66719020931947037</v>
      </c>
      <c r="O25" s="7">
        <f t="shared" si="4"/>
        <v>0.20390101803626007</v>
      </c>
      <c r="P25" s="7">
        <f t="shared" si="5"/>
        <v>0.10029895034962007</v>
      </c>
      <c r="Q25" s="7">
        <f t="shared" si="6"/>
        <v>2.2144900858729069E-2</v>
      </c>
    </row>
    <row r="26" spans="3:17" x14ac:dyDescent="0.25">
      <c r="C26" s="1">
        <f>'Result-lag'!C26</f>
        <v>39753</v>
      </c>
      <c r="D26">
        <f>IF('Result-lag'!$O26&lt;'Result -equal'!$O26,'Result-lag'!D26,'Result -equal'!D26)</f>
        <v>32829619039.73</v>
      </c>
      <c r="E26">
        <f>IF('Result-lag'!$O26&lt;'Result -equal'!$O26,'Result-lag'!E26,'Result -equal'!E26)</f>
        <v>27240025302.790001</v>
      </c>
      <c r="F26">
        <f>IF('Result-lag'!$O26&lt;'Result -equal'!$O26,'Result-lag'!F26,'Result -equal'!F26)</f>
        <v>20986628151.540001</v>
      </c>
      <c r="G26">
        <f>IF('Result-lag'!$O26&lt;'Result -equal'!$O26,'Result-lag'!G26,'Result -equal'!G26)</f>
        <v>6263865667.6599998</v>
      </c>
      <c r="H26">
        <f>IF('Result-lag'!$O26&lt;'Result -equal'!$O26,'Result-lag'!H26,'Result -equal'!H26)</f>
        <v>2848084766.9000001</v>
      </c>
      <c r="I26">
        <f>IF('Result-lag'!$O26&lt;'Result -equal'!$O26,'Result-lag'!I26,'Result -equal'!I26)</f>
        <v>346449062.85000002</v>
      </c>
      <c r="J26">
        <f>IF('Result-lag'!$O26&lt;'Result -equal'!$O26,1,0)</f>
        <v>1</v>
      </c>
      <c r="L26" s="1">
        <f t="shared" si="1"/>
        <v>39753</v>
      </c>
      <c r="M26" s="7">
        <f t="shared" si="2"/>
        <v>0.82973930552847597</v>
      </c>
      <c r="N26" s="7">
        <f t="shared" si="3"/>
        <v>0.63925896082261091</v>
      </c>
      <c r="O26" s="7">
        <f t="shared" si="4"/>
        <v>0.19079921884197154</v>
      </c>
      <c r="P26" s="7">
        <f t="shared" si="5"/>
        <v>8.6753512535533331E-2</v>
      </c>
      <c r="Q26" s="7">
        <f t="shared" si="6"/>
        <v>1.0552941915979337E-2</v>
      </c>
    </row>
    <row r="27" spans="3:17" x14ac:dyDescent="0.25">
      <c r="C27" s="1">
        <f>'Result-lag'!C27</f>
        <v>39783</v>
      </c>
      <c r="D27">
        <f>IF('Result-lag'!$O27&lt;'Result -equal'!$O27,'Result-lag'!D27,'Result -equal'!D27)</f>
        <v>26257543334.880001</v>
      </c>
      <c r="E27">
        <f>IF('Result-lag'!$O27&lt;'Result -equal'!$O27,'Result-lag'!E27,'Result -equal'!E27)</f>
        <v>20841409991.700005</v>
      </c>
      <c r="F27">
        <f>IF('Result-lag'!$O27&lt;'Result -equal'!$O27,'Result-lag'!F27,'Result -equal'!F27)</f>
        <v>16772316931.700003</v>
      </c>
      <c r="G27">
        <f>IF('Result-lag'!$O27&lt;'Result -equal'!$O27,'Result-lag'!G27,'Result -equal'!G27)</f>
        <v>5409841465.3100004</v>
      </c>
      <c r="H27">
        <f>IF('Result-lag'!$O27&lt;'Result -equal'!$O27,'Result-lag'!H27,'Result -equal'!H27)</f>
        <v>2716307694.77</v>
      </c>
      <c r="I27">
        <f>IF('Result-lag'!$O27&lt;'Result -equal'!$O27,'Result-lag'!I27,'Result -equal'!I27)</f>
        <v>329342548.44</v>
      </c>
      <c r="J27">
        <f>IF('Result-lag'!$O27&lt;'Result -equal'!$O27,1,0)</f>
        <v>1</v>
      </c>
      <c r="L27" s="1">
        <f t="shared" si="1"/>
        <v>39783</v>
      </c>
      <c r="M27" s="7">
        <f t="shared" si="2"/>
        <v>0.79373038543231456</v>
      </c>
      <c r="N27" s="7">
        <f t="shared" si="3"/>
        <v>0.63876184903482536</v>
      </c>
      <c r="O27" s="7">
        <f t="shared" si="4"/>
        <v>0.20602999284109241</v>
      </c>
      <c r="P27" s="7">
        <f t="shared" si="5"/>
        <v>0.10344866083346459</v>
      </c>
      <c r="Q27" s="7">
        <f t="shared" si="6"/>
        <v>1.2542778440453256E-2</v>
      </c>
    </row>
    <row r="28" spans="3:17" x14ac:dyDescent="0.25">
      <c r="C28" s="1">
        <f>'Result-lag'!C28</f>
        <v>39814</v>
      </c>
      <c r="D28">
        <f>IF('Result-lag'!$O28&lt;'Result -equal'!$O28,'Result-lag'!D28,'Result -equal'!D28)</f>
        <v>40088863428.669998</v>
      </c>
      <c r="E28">
        <f>IF('Result-lag'!$O28&lt;'Result -equal'!$O28,'Result-lag'!E28,'Result -equal'!E28)</f>
        <v>32897715325.23</v>
      </c>
      <c r="F28">
        <f>IF('Result-lag'!$O28&lt;'Result -equal'!$O28,'Result-lag'!F28,'Result -equal'!F28)</f>
        <v>24624689128.59</v>
      </c>
      <c r="G28">
        <f>IF('Result-lag'!$O28&lt;'Result -equal'!$O28,'Result-lag'!G28,'Result -equal'!G28)</f>
        <v>8591092469.3799992</v>
      </c>
      <c r="H28">
        <f>IF('Result-lag'!$O28&lt;'Result -equal'!$O28,'Result-lag'!H28,'Result -equal'!H28)</f>
        <v>2341858898.6399999</v>
      </c>
      <c r="I28">
        <f>IF('Result-lag'!$O28&lt;'Result -equal'!$O28,'Result-lag'!I28,'Result -equal'!I28)</f>
        <v>352645579.72000003</v>
      </c>
      <c r="J28">
        <f>IF('Result-lag'!$O28&lt;'Result -equal'!$O28,1,0)</f>
        <v>1</v>
      </c>
      <c r="L28" s="1">
        <f t="shared" si="1"/>
        <v>39814</v>
      </c>
      <c r="M28" s="7">
        <f t="shared" si="2"/>
        <v>0.82061980589110017</v>
      </c>
      <c r="N28" s="7">
        <f t="shared" si="3"/>
        <v>0.61425261338238335</v>
      </c>
      <c r="O28" s="7">
        <f t="shared" si="4"/>
        <v>0.21430122319796135</v>
      </c>
      <c r="P28" s="7">
        <f t="shared" si="5"/>
        <v>5.8416694771276388E-2</v>
      </c>
      <c r="Q28" s="7">
        <f t="shared" si="6"/>
        <v>8.7965970985299027E-3</v>
      </c>
    </row>
    <row r="29" spans="3:17" x14ac:dyDescent="0.25">
      <c r="C29" s="1">
        <f>'Result-lag'!C29</f>
        <v>39845</v>
      </c>
      <c r="D29">
        <f>IF('Result-lag'!$O29&lt;'Result -equal'!$O29,'Result-lag'!D29,'Result -equal'!D29)</f>
        <v>24388048591.91</v>
      </c>
      <c r="E29">
        <f>IF('Result-lag'!$O29&lt;'Result -equal'!$O29,'Result-lag'!E29,'Result -equal'!E29)</f>
        <v>17164701492.5</v>
      </c>
      <c r="F29">
        <f>IF('Result-lag'!$O29&lt;'Result -equal'!$O29,'Result-lag'!F29,'Result -equal'!F29)</f>
        <v>14158762603.860001</v>
      </c>
      <c r="G29">
        <f>IF('Result-lag'!$O29&lt;'Result -equal'!$O29,'Result-lag'!G29,'Result -equal'!G29)</f>
        <v>4307824965.3000002</v>
      </c>
      <c r="H29">
        <f>IF('Result-lag'!$O29&lt;'Result -equal'!$O29,'Result-lag'!H29,'Result -equal'!H29)</f>
        <v>4022859899.9899998</v>
      </c>
      <c r="I29">
        <f>IF('Result-lag'!$O29&lt;'Result -equal'!$O29,'Result-lag'!I29,'Result -equal'!I29)</f>
        <v>291787119.26999998</v>
      </c>
      <c r="J29">
        <f>IF('Result-lag'!$O29&lt;'Result -equal'!$O29,1,0)</f>
        <v>1</v>
      </c>
      <c r="L29" s="1">
        <f t="shared" si="1"/>
        <v>39845</v>
      </c>
      <c r="M29" s="7">
        <f t="shared" si="2"/>
        <v>0.7038161100840955</v>
      </c>
      <c r="N29" s="7">
        <f t="shared" si="3"/>
        <v>0.58056152178394227</v>
      </c>
      <c r="O29" s="7">
        <f t="shared" si="4"/>
        <v>0.1766367222480027</v>
      </c>
      <c r="P29" s="7">
        <f t="shared" si="5"/>
        <v>0.16495210286420631</v>
      </c>
      <c r="Q29" s="7">
        <f t="shared" si="6"/>
        <v>1.1964348773964292E-2</v>
      </c>
    </row>
    <row r="30" spans="3:17" x14ac:dyDescent="0.25">
      <c r="C30" s="1">
        <f>'Result-lag'!C30</f>
        <v>39873</v>
      </c>
      <c r="D30">
        <f>IF('Result-lag'!$O30&lt;'Result -equal'!$O30,'Result-lag'!D30,'Result -equal'!D30)</f>
        <v>44753198527.510002</v>
      </c>
      <c r="E30">
        <f>IF('Result-lag'!$O30&lt;'Result -equal'!$O30,'Result-lag'!E30,'Result -equal'!E30)</f>
        <v>32646007910.57</v>
      </c>
      <c r="F30">
        <f>IF('Result-lag'!$O30&lt;'Result -equal'!$O30,'Result-lag'!F30,'Result -equal'!F30)</f>
        <v>27275317473.459999</v>
      </c>
      <c r="G30">
        <f>IF('Result-lag'!$O30&lt;'Result -equal'!$O30,'Result-lag'!G30,'Result -equal'!G30)</f>
        <v>9985509207.7099991</v>
      </c>
      <c r="H30">
        <f>IF('Result-lag'!$O30&lt;'Result -equal'!$O30,'Result-lag'!H30,'Result -equal'!H30)</f>
        <v>7282838476.5600004</v>
      </c>
      <c r="I30">
        <f>IF('Result-lag'!$O30&lt;'Result -equal'!$O30,'Result-lag'!I30,'Result -equal'!I30)</f>
        <v>708211819.88</v>
      </c>
      <c r="J30">
        <f>IF('Result-lag'!$O30&lt;'Result -equal'!$O30,1,0)</f>
        <v>1</v>
      </c>
      <c r="L30" s="1">
        <f t="shared" si="1"/>
        <v>39873</v>
      </c>
      <c r="M30" s="7">
        <f t="shared" si="2"/>
        <v>0.72946759080252876</v>
      </c>
      <c r="N30" s="7">
        <f t="shared" si="3"/>
        <v>0.60946073958699809</v>
      </c>
      <c r="O30" s="7">
        <f t="shared" si="4"/>
        <v>0.22312392267497616</v>
      </c>
      <c r="P30" s="7">
        <f t="shared" si="5"/>
        <v>0.16273336244521619</v>
      </c>
      <c r="Q30" s="7">
        <f t="shared" si="6"/>
        <v>1.5824831368078839E-2</v>
      </c>
    </row>
    <row r="31" spans="3:17" x14ac:dyDescent="0.25">
      <c r="C31" s="13">
        <f>'Result-lag'!C31</f>
        <v>39904</v>
      </c>
      <c r="D31" s="14">
        <f>IF('Result-lag'!$O31&gt;'Result -equal'!$O31,'Result-lag'!D31,'Result -equal'!D31)</f>
        <v>89107406685.440002</v>
      </c>
      <c r="E31" s="14">
        <f>IF('Result-lag'!$O31&gt;'Result -equal'!$O31,'Result-lag'!E31,'Result -equal'!E31)</f>
        <v>68408727039.080009</v>
      </c>
      <c r="F31" s="14">
        <f>IF('Result-lag'!$O31&gt;'Result -equal'!$O31,'Result-lag'!F31,'Result -equal'!F31)</f>
        <v>59033003601.860008</v>
      </c>
      <c r="G31" s="14">
        <f>IF('Result-lag'!$O31&gt;'Result -equal'!$O31,'Result-lag'!G31,'Result -equal'!G31)</f>
        <v>21059327558.889999</v>
      </c>
      <c r="H31" s="14">
        <f>IF('Result-lag'!$O31&gt;'Result -equal'!$O31,'Result-lag'!H31,'Result -equal'!H31)</f>
        <v>13124113584.77</v>
      </c>
      <c r="I31" s="14">
        <f>IF('Result-lag'!$O31&gt;'Result -equal'!$O31,'Result-lag'!I31,'Result -equal'!I31)</f>
        <v>980343507.52999997</v>
      </c>
      <c r="J31" s="14">
        <f>IF('Result-lag'!$O31&lt;'Result -equal'!$O31,1,0)</f>
        <v>0</v>
      </c>
      <c r="K31" s="14"/>
      <c r="L31" s="13">
        <f t="shared" si="1"/>
        <v>39904</v>
      </c>
      <c r="M31" s="15">
        <f t="shared" si="2"/>
        <v>0.7677108961387592</v>
      </c>
      <c r="N31" s="15">
        <f t="shared" si="3"/>
        <v>0.66249266809271756</v>
      </c>
      <c r="O31" s="15">
        <f t="shared" si="4"/>
        <v>0.23633644320086647</v>
      </c>
      <c r="P31" s="15">
        <f t="shared" si="5"/>
        <v>0.14728420535343059</v>
      </c>
      <c r="Q31" s="15">
        <f t="shared" si="6"/>
        <v>1.1001818412140889E-2</v>
      </c>
    </row>
    <row r="32" spans="3:17" x14ac:dyDescent="0.25">
      <c r="C32" s="13">
        <f>'Result-lag'!C32</f>
        <v>39934</v>
      </c>
      <c r="D32" s="14">
        <f>IF('Result-lag'!$O32&gt;'Result -equal'!$O32,'Result-lag'!D32,'Result -equal'!D32)</f>
        <v>56341875537.339996</v>
      </c>
      <c r="E32" s="14">
        <f>IF('Result-lag'!$O32&gt;'Result -equal'!$O32,'Result-lag'!E32,'Result -equal'!E32)</f>
        <v>36074918280.239998</v>
      </c>
      <c r="F32" s="14">
        <f>IF('Result-lag'!$O32&gt;'Result -equal'!$O32,'Result-lag'!F32,'Result -equal'!F32)</f>
        <v>29187085765.059998</v>
      </c>
      <c r="G32" s="14">
        <f>IF('Result-lag'!$O32&gt;'Result -equal'!$O32,'Result-lag'!G32,'Result -equal'!G32)</f>
        <v>11006090698.6</v>
      </c>
      <c r="H32" s="14">
        <f>IF('Result-lag'!$O32&gt;'Result -equal'!$O32,'Result-lag'!H32,'Result -equal'!H32)</f>
        <v>14916253696.33</v>
      </c>
      <c r="I32" s="14">
        <f>IF('Result-lag'!$O32&gt;'Result -equal'!$O32,'Result-lag'!I32,'Result -equal'!I32)</f>
        <v>513485115.45999998</v>
      </c>
      <c r="J32" s="14">
        <f>IF('Result-lag'!$O32&lt;'Result -equal'!$O32,1,0)</f>
        <v>0</v>
      </c>
      <c r="K32" s="14"/>
      <c r="L32" s="13">
        <f t="shared" si="1"/>
        <v>39934</v>
      </c>
      <c r="M32" s="15">
        <f t="shared" si="2"/>
        <v>0.64028607383387015</v>
      </c>
      <c r="N32" s="15">
        <f t="shared" si="3"/>
        <v>0.51803539528457054</v>
      </c>
      <c r="O32" s="15">
        <f t="shared" si="4"/>
        <v>0.19534476965194081</v>
      </c>
      <c r="P32" s="15">
        <f t="shared" si="5"/>
        <v>0.26474542343632856</v>
      </c>
      <c r="Q32" s="15">
        <f t="shared" si="6"/>
        <v>9.1137384150389716E-3</v>
      </c>
    </row>
    <row r="33" spans="3:17" hidden="1" x14ac:dyDescent="0.25">
      <c r="C33" s="13">
        <f>'Result-lag'!C33</f>
        <v>39965</v>
      </c>
      <c r="D33" s="14">
        <f>IF('Result-lag'!$O33&gt;'Result -equal'!$O33,'Result-lag'!D33,'Result -equal'!D33)</f>
        <v>126056334922.13</v>
      </c>
      <c r="E33" s="14">
        <f>IF('Result-lag'!$O33&gt;'Result -equal'!$O33,'Result-lag'!E33,'Result -equal'!E33)</f>
        <v>47800828048.669998</v>
      </c>
      <c r="F33" s="14">
        <f>IF('Result-lag'!$O33&gt;'Result -equal'!$O33,'Result-lag'!F33,'Result -equal'!F33)</f>
        <v>41142110326.32</v>
      </c>
      <c r="G33" s="14">
        <f>IF('Result-lag'!$O33&gt;'Result -equal'!$O33,'Result-lag'!G33,'Result -equal'!G33)</f>
        <v>13967560067</v>
      </c>
      <c r="H33" s="14">
        <f>IF('Result-lag'!$O33&gt;'Result -equal'!$O33,'Result-lag'!H33,'Result -equal'!H33)</f>
        <v>71546121202.240005</v>
      </c>
      <c r="I33" s="14">
        <f>IF('Result-lag'!$O33&gt;'Result -equal'!$O33,'Result-lag'!I33,'Result -equal'!I33)</f>
        <v>750914738.05999994</v>
      </c>
      <c r="J33" s="14">
        <f>IF('Result-lag'!$O33&lt;'Result -equal'!$O33,1,0)</f>
        <v>0</v>
      </c>
      <c r="K33" s="14"/>
      <c r="L33" s="13">
        <f t="shared" si="1"/>
        <v>39965</v>
      </c>
      <c r="M33" s="15">
        <f t="shared" si="2"/>
        <v>0.37920210894754686</v>
      </c>
      <c r="N33" s="15">
        <f t="shared" si="3"/>
        <v>0.32637876035135494</v>
      </c>
      <c r="O33" s="15">
        <f t="shared" si="4"/>
        <v>0.11080411052430103</v>
      </c>
      <c r="P33" s="16">
        <f t="shared" si="5"/>
        <v>0.56757259558939965</v>
      </c>
      <c r="Q33" s="15">
        <f t="shared" si="6"/>
        <v>5.9569773984295971E-3</v>
      </c>
    </row>
    <row r="34" spans="3:17" hidden="1" x14ac:dyDescent="0.25">
      <c r="C34" s="13">
        <f>'Result-lag'!C34</f>
        <v>39995</v>
      </c>
      <c r="D34" s="14">
        <f>IF('Result-lag'!$O34&gt;'Result -equal'!$O34,'Result-lag'!D34,'Result -equal'!D34)</f>
        <v>127916816916.89999</v>
      </c>
      <c r="E34" s="14">
        <f>IF('Result-lag'!$O34&gt;'Result -equal'!$O34,'Result-lag'!E34,'Result -equal'!E34)</f>
        <v>71000461836.590012</v>
      </c>
      <c r="F34" s="14">
        <f>IF('Result-lag'!$O34&gt;'Result -equal'!$O34,'Result-lag'!F34,'Result -equal'!F34)</f>
        <v>62469997317.860001</v>
      </c>
      <c r="G34" s="14">
        <f>IF('Result-lag'!$O34&gt;'Result -equal'!$O34,'Result-lag'!G34,'Result -equal'!G34)</f>
        <v>22149963934.57</v>
      </c>
      <c r="H34" s="14">
        <f>IF('Result-lag'!$O34&gt;'Result -equal'!$O34,'Result-lag'!H34,'Result -equal'!H34)</f>
        <v>48580167018.220001</v>
      </c>
      <c r="I34" s="14">
        <f>IF('Result-lag'!$O34&gt;'Result -equal'!$O34,'Result-lag'!I34,'Result -equal'!I34)</f>
        <v>1145026720.3900001</v>
      </c>
      <c r="J34" s="14">
        <f>IF('Result-lag'!$O34&lt;'Result -equal'!$O34,1,0)</f>
        <v>0</v>
      </c>
      <c r="K34" s="14"/>
      <c r="L34" s="13">
        <f t="shared" si="1"/>
        <v>39995</v>
      </c>
      <c r="M34" s="15">
        <f t="shared" si="2"/>
        <v>0.55505181842286477</v>
      </c>
      <c r="N34" s="15">
        <f t="shared" si="3"/>
        <v>0.48836422624902454</v>
      </c>
      <c r="O34" s="15">
        <f t="shared" si="4"/>
        <v>0.17315912378400977</v>
      </c>
      <c r="P34" s="16">
        <f t="shared" si="5"/>
        <v>0.37977936122175138</v>
      </c>
      <c r="Q34" s="15">
        <f t="shared" si="6"/>
        <v>8.9513384399946133E-3</v>
      </c>
    </row>
    <row r="35" spans="3:17" x14ac:dyDescent="0.25">
      <c r="C35" s="13">
        <f>'Result-lag'!C35</f>
        <v>40026</v>
      </c>
      <c r="D35" s="14">
        <f>IF('Result-lag'!$O35&gt;'Result -equal'!$O35,'Result-lag'!D35,'Result -equal'!D35)</f>
        <v>78436521989.979996</v>
      </c>
      <c r="E35" s="14">
        <f>IF('Result-lag'!$O35&gt;'Result -equal'!$O35,'Result-lag'!E35,'Result -equal'!E35)</f>
        <v>53760589759.599998</v>
      </c>
      <c r="F35" s="14">
        <f>IF('Result-lag'!$O35&gt;'Result -equal'!$O35,'Result-lag'!F35,'Result -equal'!F35)</f>
        <v>46530707556.220001</v>
      </c>
      <c r="G35" s="14">
        <f>IF('Result-lag'!$O35&gt;'Result -equal'!$O35,'Result-lag'!G35,'Result -equal'!G35)</f>
        <v>17966598426.119999</v>
      </c>
      <c r="H35" s="14">
        <f>IF('Result-lag'!$O35&gt;'Result -equal'!$O35,'Result-lag'!H35,'Result -equal'!H35)</f>
        <v>16641693291.17</v>
      </c>
      <c r="I35" s="14">
        <f>IF('Result-lag'!$O35&gt;'Result -equal'!$O35,'Result-lag'!I35,'Result -equal'!I35)</f>
        <v>1022514881.83</v>
      </c>
      <c r="J35" s="14">
        <f>IF('Result-lag'!$O35&lt;'Result -equal'!$O35,1,0)</f>
        <v>0</v>
      </c>
      <c r="K35" s="14"/>
      <c r="L35" s="13">
        <f t="shared" si="1"/>
        <v>40026</v>
      </c>
      <c r="M35" s="15">
        <f t="shared" si="2"/>
        <v>0.68540251907737237</v>
      </c>
      <c r="N35" s="15">
        <f t="shared" si="3"/>
        <v>0.59322757276468918</v>
      </c>
      <c r="O35" s="15">
        <f t="shared" si="4"/>
        <v>0.22905909097314606</v>
      </c>
      <c r="P35" s="15">
        <f t="shared" si="5"/>
        <v>0.21216765951575364</v>
      </c>
      <c r="Q35" s="15">
        <f t="shared" si="6"/>
        <v>1.3036208846188042E-2</v>
      </c>
    </row>
    <row r="36" spans="3:17" x14ac:dyDescent="0.25">
      <c r="C36" s="1">
        <f>'Result-lag'!C36</f>
        <v>40057</v>
      </c>
      <c r="D36">
        <f>IF('Result-lag'!$O36&lt;'Result -equal'!$O36,'Result-lag'!D36,'Result -equal'!D36)</f>
        <v>59684456334.959999</v>
      </c>
      <c r="E36">
        <f>IF('Result-lag'!$O36&lt;'Result -equal'!$O36,'Result-lag'!E36,'Result -equal'!E36)</f>
        <v>39894122778.360001</v>
      </c>
      <c r="F36">
        <f>IF('Result-lag'!$O36&lt;'Result -equal'!$O36,'Result-lag'!F36,'Result -equal'!F36)</f>
        <v>34767572988.950005</v>
      </c>
      <c r="G36">
        <f>IF('Result-lag'!$O36&lt;'Result -equal'!$O36,'Result-lag'!G36,'Result -equal'!G36)</f>
        <v>14871497530.26</v>
      </c>
      <c r="H36">
        <f>IF('Result-lag'!$O36&lt;'Result -equal'!$O36,'Result-lag'!H36,'Result -equal'!H36)</f>
        <v>13851899196.700001</v>
      </c>
      <c r="I36">
        <f>IF('Result-lag'!$O36&lt;'Result -equal'!$O36,'Result-lag'!I36,'Result -equal'!I36)</f>
        <v>1099497321.99</v>
      </c>
      <c r="J36">
        <f>IF('Result-lag'!$O36&lt;'Result -equal'!$O36,1,0)</f>
        <v>1</v>
      </c>
      <c r="L36" s="1">
        <f t="shared" si="1"/>
        <v>40057</v>
      </c>
      <c r="M36" s="7">
        <f t="shared" si="2"/>
        <v>0.66841729368308134</v>
      </c>
      <c r="N36" s="7">
        <f t="shared" si="3"/>
        <v>0.58252307424613325</v>
      </c>
      <c r="O36" s="7">
        <f t="shared" si="4"/>
        <v>0.24916868550830817</v>
      </c>
      <c r="P36" s="7">
        <f t="shared" si="5"/>
        <v>0.23208553863606679</v>
      </c>
      <c r="Q36" s="7">
        <f t="shared" si="6"/>
        <v>1.8421836932205959E-2</v>
      </c>
    </row>
    <row r="37" spans="3:17" x14ac:dyDescent="0.25">
      <c r="C37" s="1">
        <f>'Result-lag'!C37</f>
        <v>40087</v>
      </c>
      <c r="D37">
        <f>IF('Result-lag'!$O37&lt;'Result -equal'!$O37,'Result-lag'!D37,'Result -equal'!D37)</f>
        <v>56386030208.150002</v>
      </c>
      <c r="E37">
        <f>IF('Result-lag'!$O37&lt;'Result -equal'!$O37,'Result-lag'!E37,'Result -equal'!E37)</f>
        <v>39812999208.309998</v>
      </c>
      <c r="F37">
        <f>IF('Result-lag'!$O37&lt;'Result -equal'!$O37,'Result-lag'!F37,'Result -equal'!F37)</f>
        <v>36252925794.540001</v>
      </c>
      <c r="G37">
        <f>IF('Result-lag'!$O37&lt;'Result -equal'!$O37,'Result-lag'!G37,'Result -equal'!G37)</f>
        <v>15019540836.5</v>
      </c>
      <c r="H37">
        <f>IF('Result-lag'!$O37&lt;'Result -equal'!$O37,'Result-lag'!H37,'Result -equal'!H37)</f>
        <v>12597168617.459999</v>
      </c>
      <c r="I37">
        <f>IF('Result-lag'!$O37&lt;'Result -equal'!$O37,'Result-lag'!I37,'Result -equal'!I37)</f>
        <v>719266463.65999997</v>
      </c>
      <c r="J37">
        <f>IF('Result-lag'!$O37&lt;'Result -equal'!$O37,1,0)</f>
        <v>1</v>
      </c>
      <c r="L37" s="1">
        <f t="shared" si="1"/>
        <v>40087</v>
      </c>
      <c r="M37" s="7">
        <f t="shared" si="2"/>
        <v>0.70607913097161878</v>
      </c>
      <c r="N37" s="7">
        <f t="shared" si="3"/>
        <v>0.64294162331896221</v>
      </c>
      <c r="O37" s="7">
        <f t="shared" si="4"/>
        <v>0.26636989305782133</v>
      </c>
      <c r="P37" s="7">
        <f t="shared" si="5"/>
        <v>0.22340939007334501</v>
      </c>
      <c r="Q37" s="7">
        <f t="shared" si="6"/>
        <v>1.2756111061637349E-2</v>
      </c>
    </row>
    <row r="38" spans="3:17" x14ac:dyDescent="0.25">
      <c r="C38" s="1">
        <f>'Result-lag'!C38</f>
        <v>40118</v>
      </c>
      <c r="D38">
        <f>IF('Result-lag'!$O38&lt;'Result -equal'!$O38,'Result-lag'!D38,'Result -equal'!D38)</f>
        <v>37508648146.959999</v>
      </c>
      <c r="E38">
        <f>IF('Result-lag'!$O38&lt;'Result -equal'!$O38,'Result-lag'!E38,'Result -equal'!E38)</f>
        <v>27299803699.289993</v>
      </c>
      <c r="F38">
        <f>IF('Result-lag'!$O38&lt;'Result -equal'!$O38,'Result-lag'!F38,'Result -equal'!F38)</f>
        <v>23964218032.68</v>
      </c>
      <c r="G38">
        <f>IF('Result-lag'!$O38&lt;'Result -equal'!$O38,'Result-lag'!G38,'Result -equal'!G38)</f>
        <v>9801952065.9599991</v>
      </c>
      <c r="H38">
        <f>IF('Result-lag'!$O38&lt;'Result -equal'!$O38,'Result-lag'!H38,'Result -equal'!H38)</f>
        <v>7065936096.5500002</v>
      </c>
      <c r="I38">
        <f>IF('Result-lag'!$O38&lt;'Result -equal'!$O38,'Result-lag'!I38,'Result -equal'!I38)</f>
        <v>752409534.13</v>
      </c>
      <c r="J38">
        <f>IF('Result-lag'!$O38&lt;'Result -equal'!$O38,1,0)</f>
        <v>1</v>
      </c>
      <c r="L38" s="1">
        <f t="shared" si="1"/>
        <v>40118</v>
      </c>
      <c r="M38" s="7">
        <f t="shared" si="2"/>
        <v>0.72782691587093595</v>
      </c>
      <c r="N38" s="7">
        <f t="shared" si="3"/>
        <v>0.6388984731944346</v>
      </c>
      <c r="O38" s="7">
        <f t="shared" si="4"/>
        <v>0.26132512234393679</v>
      </c>
      <c r="P38" s="7">
        <f t="shared" si="5"/>
        <v>0.18838151854648166</v>
      </c>
      <c r="Q38" s="7">
        <f t="shared" si="6"/>
        <v>2.0059628147141881E-2</v>
      </c>
    </row>
    <row r="39" spans="3:17" x14ac:dyDescent="0.25">
      <c r="C39" s="1">
        <f>'Result-lag'!C39</f>
        <v>40148</v>
      </c>
      <c r="D39">
        <f>IF('Result-lag'!$O39&lt;'Result -equal'!$O39,'Result-lag'!D39,'Result -equal'!D39)</f>
        <v>36508839962.290001</v>
      </c>
      <c r="E39">
        <f>IF('Result-lag'!$O39&lt;'Result -equal'!$O39,'Result-lag'!E39,'Result -equal'!E39)</f>
        <v>26456405845.639999</v>
      </c>
      <c r="F39">
        <f>IF('Result-lag'!$O39&lt;'Result -equal'!$O39,'Result-lag'!F39,'Result -equal'!F39)</f>
        <v>22409303287.959999</v>
      </c>
      <c r="G39">
        <f>IF('Result-lag'!$O39&lt;'Result -equal'!$O39,'Result-lag'!G39,'Result -equal'!G39)</f>
        <v>7919040750.3400002</v>
      </c>
      <c r="H39">
        <f>IF('Result-lag'!$O39&lt;'Result -equal'!$O39,'Result-lag'!H39,'Result -equal'!H39)</f>
        <v>6367737885.9099998</v>
      </c>
      <c r="I39">
        <f>IF('Result-lag'!$O39&lt;'Result -equal'!$O39,'Result-lag'!I39,'Result -equal'!I39)</f>
        <v>591086562.80999994</v>
      </c>
      <c r="J39">
        <f>IF('Result-lag'!$O39&lt;'Result -equal'!$O39,1,0)</f>
        <v>1</v>
      </c>
      <c r="L39" s="1">
        <f t="shared" si="1"/>
        <v>40148</v>
      </c>
      <c r="M39" s="7">
        <f t="shared" si="2"/>
        <v>0.72465753151748546</v>
      </c>
      <c r="N39" s="7">
        <f t="shared" si="3"/>
        <v>0.61380485688141773</v>
      </c>
      <c r="O39" s="7">
        <f t="shared" si="4"/>
        <v>0.21690748757067005</v>
      </c>
      <c r="P39" s="7">
        <f t="shared" si="5"/>
        <v>0.17441633019529626</v>
      </c>
      <c r="Q39" s="7">
        <f t="shared" si="6"/>
        <v>1.6190231281534379E-2</v>
      </c>
    </row>
    <row r="40" spans="3:17" x14ac:dyDescent="0.25">
      <c r="C40" s="1">
        <f>'Result-lag'!C40</f>
        <v>40179</v>
      </c>
      <c r="D40">
        <f>IF('Result-lag'!$O40&lt;'Result -equal'!$O40,'Result-lag'!D40,'Result -equal'!D40)</f>
        <v>47221077996.639999</v>
      </c>
      <c r="E40">
        <f>IF('Result-lag'!$O40&lt;'Result -equal'!$O40,'Result-lag'!E40,'Result -equal'!E40)</f>
        <v>35319041802.149994</v>
      </c>
      <c r="F40">
        <f>IF('Result-lag'!$O40&lt;'Result -equal'!$O40,'Result-lag'!F40,'Result -equal'!F40)</f>
        <v>30473732956.160004</v>
      </c>
      <c r="G40">
        <f>IF('Result-lag'!$O40&lt;'Result -equal'!$O40,'Result-lag'!G40,'Result -equal'!G40)</f>
        <v>11776429345.26</v>
      </c>
      <c r="H40">
        <f>IF('Result-lag'!$O40&lt;'Result -equal'!$O40,'Result-lag'!H40,'Result -equal'!H40)</f>
        <v>7787526961.9899998</v>
      </c>
      <c r="I40">
        <f>IF('Result-lag'!$O40&lt;'Result -equal'!$O40,'Result-lag'!I40,'Result -equal'!I40)</f>
        <v>722138217.29999995</v>
      </c>
      <c r="J40">
        <f>IF('Result-lag'!$O40&lt;'Result -equal'!$O40,1,0)</f>
        <v>1</v>
      </c>
      <c r="L40" s="1">
        <f t="shared" si="1"/>
        <v>40179</v>
      </c>
      <c r="M40" s="7">
        <f t="shared" si="2"/>
        <v>0.7479507732683085</v>
      </c>
      <c r="N40" s="7">
        <f t="shared" si="3"/>
        <v>0.6453417467159126</v>
      </c>
      <c r="O40" s="7">
        <f t="shared" si="4"/>
        <v>0.24938925253036257</v>
      </c>
      <c r="P40" s="7">
        <f t="shared" si="5"/>
        <v>0.16491633169713149</v>
      </c>
      <c r="Q40" s="7">
        <f t="shared" si="6"/>
        <v>1.5292709271723604E-2</v>
      </c>
    </row>
    <row r="41" spans="3:17" x14ac:dyDescent="0.25">
      <c r="C41" s="1">
        <f>'Result-lag'!C41</f>
        <v>40210</v>
      </c>
      <c r="D41">
        <f>IF('Result-lag'!$O41&lt;'Result -equal'!$O41,'Result-lag'!D41,'Result -equal'!D41)</f>
        <v>39245939454.400002</v>
      </c>
      <c r="E41">
        <f>IF('Result-lag'!$O41&lt;'Result -equal'!$O41,'Result-lag'!E41,'Result -equal'!E41)</f>
        <v>28320981212.270004</v>
      </c>
      <c r="F41">
        <f>IF('Result-lag'!$O41&lt;'Result -equal'!$O41,'Result-lag'!F41,'Result -equal'!F41)</f>
        <v>25122317383.700001</v>
      </c>
      <c r="G41">
        <f>IF('Result-lag'!$O41&lt;'Result -equal'!$O41,'Result-lag'!G41,'Result -equal'!G41)</f>
        <v>10182718045.91</v>
      </c>
      <c r="H41">
        <f>IF('Result-lag'!$O41&lt;'Result -equal'!$O41,'Result-lag'!H41,'Result -equal'!H41)</f>
        <v>7313276582.3500004</v>
      </c>
      <c r="I41">
        <f>IF('Result-lag'!$O41&lt;'Result -equal'!$O41,'Result-lag'!I41,'Result -equal'!I41)</f>
        <v>730114182.90999997</v>
      </c>
      <c r="J41">
        <f>IF('Result-lag'!$O41&lt;'Result -equal'!$O41,1,0)</f>
        <v>1</v>
      </c>
      <c r="L41" s="1">
        <f t="shared" si="1"/>
        <v>40210</v>
      </c>
      <c r="M41" s="7">
        <f t="shared" si="2"/>
        <v>0.7216283163555367</v>
      </c>
      <c r="N41" s="7">
        <f t="shared" si="3"/>
        <v>0.64012526475228637</v>
      </c>
      <c r="O41" s="7">
        <f t="shared" si="4"/>
        <v>0.25945914883095961</v>
      </c>
      <c r="P41" s="7">
        <f t="shared" si="5"/>
        <v>0.18634479602271523</v>
      </c>
      <c r="Q41" s="7">
        <f t="shared" si="6"/>
        <v>1.8603559834726908E-2</v>
      </c>
    </row>
    <row r="42" spans="3:17" x14ac:dyDescent="0.25">
      <c r="C42" s="1">
        <f>'Result-lag'!C42</f>
        <v>40238</v>
      </c>
      <c r="D42">
        <f>IF('Result-lag'!$O42&lt;'Result -equal'!$O42,'Result-lag'!D42,'Result -equal'!D42)</f>
        <v>40750598821.720001</v>
      </c>
      <c r="E42">
        <f>IF('Result-lag'!$O42&lt;'Result -equal'!$O42,'Result-lag'!E42,'Result -equal'!E42)</f>
        <v>31459049797.27</v>
      </c>
      <c r="F42">
        <f>IF('Result-lag'!$O42&lt;'Result -equal'!$O42,'Result-lag'!F42,'Result -equal'!F42)</f>
        <v>28719429399.230003</v>
      </c>
      <c r="G42">
        <f>IF('Result-lag'!$O42&lt;'Result -equal'!$O42,'Result-lag'!G42,'Result -equal'!G42)</f>
        <v>10733753561.620001</v>
      </c>
      <c r="H42">
        <f>IF('Result-lag'!$O42&lt;'Result -equal'!$O42,'Result-lag'!H42,'Result -equal'!H42)</f>
        <v>5513307940.1800003</v>
      </c>
      <c r="I42">
        <f>IF('Result-lag'!$O42&lt;'Result -equal'!$O42,'Result-lag'!I42,'Result -equal'!I42)</f>
        <v>822700181.63999999</v>
      </c>
      <c r="J42">
        <f>IF('Result-lag'!$O42&lt;'Result -equal'!$O42,1,0)</f>
        <v>1</v>
      </c>
      <c r="L42" s="1">
        <f t="shared" si="1"/>
        <v>40238</v>
      </c>
      <c r="M42" s="7">
        <f t="shared" si="2"/>
        <v>0.77198987761874016</v>
      </c>
      <c r="N42" s="7">
        <f t="shared" si="3"/>
        <v>0.70476091713093048</v>
      </c>
      <c r="O42" s="7">
        <f t="shared" si="4"/>
        <v>0.26340112469461252</v>
      </c>
      <c r="P42" s="7">
        <f t="shared" si="5"/>
        <v>0.13529391222691473</v>
      </c>
      <c r="Q42" s="7">
        <f t="shared" si="6"/>
        <v>2.0188664839975362E-2</v>
      </c>
    </row>
    <row r="43" spans="3:17" x14ac:dyDescent="0.25">
      <c r="C43" s="1">
        <f>'Result-lag'!C43</f>
        <v>40269</v>
      </c>
      <c r="D43">
        <f>IF('Result-lag'!$O43&lt;'Result -equal'!$O43,'Result-lag'!D43,'Result -equal'!D43)</f>
        <v>34495230505.029999</v>
      </c>
      <c r="E43">
        <f>IF('Result-lag'!$O43&lt;'Result -equal'!$O43,'Result-lag'!E43,'Result -equal'!E43)</f>
        <v>27234086431.32</v>
      </c>
      <c r="F43">
        <f>IF('Result-lag'!$O43&lt;'Result -equal'!$O43,'Result-lag'!F43,'Result -equal'!F43)</f>
        <v>24936256082.669998</v>
      </c>
      <c r="G43">
        <f>IF('Result-lag'!$O43&lt;'Result -equal'!$O43,'Result-lag'!G43,'Result -equal'!G43)</f>
        <v>8010432484.8699999</v>
      </c>
      <c r="H43">
        <f>IF('Result-lag'!$O43&lt;'Result -equal'!$O43,'Result-lag'!H43,'Result -equal'!H43)</f>
        <v>4384186680.7299995</v>
      </c>
      <c r="I43">
        <f>IF('Result-lag'!$O43&lt;'Result -equal'!$O43,'Result-lag'!I43,'Result -equal'!I43)</f>
        <v>631906810.01999998</v>
      </c>
      <c r="J43">
        <f>IF('Result-lag'!$O43&lt;'Result -equal'!$O43,1,0)</f>
        <v>1</v>
      </c>
      <c r="L43" s="1">
        <f t="shared" si="1"/>
        <v>40269</v>
      </c>
      <c r="M43" s="7">
        <f t="shared" si="2"/>
        <v>0.78950295541143867</v>
      </c>
      <c r="N43" s="7">
        <f t="shared" si="3"/>
        <v>0.72288996819528029</v>
      </c>
      <c r="O43" s="7">
        <f t="shared" si="4"/>
        <v>0.23221855217642162</v>
      </c>
      <c r="P43" s="7">
        <f t="shared" si="5"/>
        <v>0.12709544527005581</v>
      </c>
      <c r="Q43" s="7">
        <f t="shared" si="6"/>
        <v>1.8318671908218068E-2</v>
      </c>
    </row>
    <row r="44" spans="3:17" x14ac:dyDescent="0.25">
      <c r="C44" s="1">
        <f>'Result-lag'!C44</f>
        <v>40299</v>
      </c>
      <c r="D44">
        <f>IF('Result-lag'!$O44&lt;'Result -equal'!$O44,'Result-lag'!D44,'Result -equal'!D44)</f>
        <v>34561761859.559998</v>
      </c>
      <c r="E44">
        <f>IF('Result-lag'!$O44&lt;'Result -equal'!$O44,'Result-lag'!E44,'Result -equal'!E44)</f>
        <v>26609020930.07</v>
      </c>
      <c r="F44">
        <f>IF('Result-lag'!$O44&lt;'Result -equal'!$O44,'Result-lag'!F44,'Result -equal'!F44)</f>
        <v>23855723365.02</v>
      </c>
      <c r="G44">
        <f>IF('Result-lag'!$O44&lt;'Result -equal'!$O44,'Result-lag'!G44,'Result -equal'!G44)</f>
        <v>9793443604.5200005</v>
      </c>
      <c r="H44">
        <f>IF('Result-lag'!$O44&lt;'Result -equal'!$O44,'Result-lag'!H44,'Result -equal'!H44)</f>
        <v>4878666055.8000002</v>
      </c>
      <c r="I44">
        <f>IF('Result-lag'!$O44&lt;'Result -equal'!$O44,'Result-lag'!I44,'Result -equal'!I44)</f>
        <v>560343522.29999995</v>
      </c>
      <c r="J44">
        <f>IF('Result-lag'!$O44&lt;'Result -equal'!$O44,1,0)</f>
        <v>1</v>
      </c>
      <c r="L44" s="1">
        <f t="shared" si="1"/>
        <v>40299</v>
      </c>
      <c r="M44" s="7">
        <f t="shared" si="2"/>
        <v>0.76989769902918825</v>
      </c>
      <c r="N44" s="7">
        <f t="shared" si="3"/>
        <v>0.69023458531878512</v>
      </c>
      <c r="O44" s="7">
        <f t="shared" si="4"/>
        <v>0.28336065864683552</v>
      </c>
      <c r="P44" s="7">
        <f t="shared" si="5"/>
        <v>0.14115790958875932</v>
      </c>
      <c r="Q44" s="7">
        <f t="shared" si="6"/>
        <v>1.6212817059990402E-2</v>
      </c>
    </row>
    <row r="45" spans="3:17" x14ac:dyDescent="0.25">
      <c r="C45" s="1">
        <f>'Result-lag'!C45</f>
        <v>40330</v>
      </c>
      <c r="D45">
        <f>IF('Result-lag'!$O45&lt;'Result -equal'!$O45,'Result-lag'!D45,'Result -equal'!D45)</f>
        <v>37643702495.970001</v>
      </c>
      <c r="E45">
        <f>IF('Result-lag'!$O45&lt;'Result -equal'!$O45,'Result-lag'!E45,'Result -equal'!E45)</f>
        <v>26357643573.190002</v>
      </c>
      <c r="F45">
        <f>IF('Result-lag'!$O45&lt;'Result -equal'!$O45,'Result-lag'!F45,'Result -equal'!F45)</f>
        <v>23095750779.380001</v>
      </c>
      <c r="G45">
        <f>IF('Result-lag'!$O45&lt;'Result -equal'!$O45,'Result-lag'!G45,'Result -equal'!G45)</f>
        <v>8159699856.3800001</v>
      </c>
      <c r="H45">
        <f>IF('Result-lag'!$O45&lt;'Result -equal'!$O45,'Result-lag'!H45,'Result -equal'!H45)</f>
        <v>1496216485</v>
      </c>
      <c r="I45">
        <f>IF('Result-lag'!$O45&lt;'Result -equal'!$O45,'Result-lag'!I45,'Result -equal'!I45)</f>
        <v>5301984165.71</v>
      </c>
      <c r="J45">
        <f>IF('Result-lag'!$O45&lt;'Result -equal'!$O45,1,0)</f>
        <v>0</v>
      </c>
      <c r="L45" s="1">
        <f t="shared" si="1"/>
        <v>40330</v>
      </c>
      <c r="M45" s="7">
        <f t="shared" si="2"/>
        <v>0.70018733082941975</v>
      </c>
      <c r="N45" s="7">
        <f t="shared" si="3"/>
        <v>0.61353557827773575</v>
      </c>
      <c r="O45" s="7">
        <f t="shared" si="4"/>
        <v>0.21676135224088405</v>
      </c>
      <c r="P45" s="7">
        <f t="shared" si="5"/>
        <v>3.974679390690062E-2</v>
      </c>
      <c r="Q45" s="7">
        <f t="shared" si="6"/>
        <v>0.14084651121333272</v>
      </c>
    </row>
    <row r="46" spans="3:17" x14ac:dyDescent="0.25">
      <c r="C46" s="1">
        <f>'Result-lag'!C46</f>
        <v>40360</v>
      </c>
      <c r="D46">
        <f>IF('Result-lag'!$O46&lt;'Result -equal'!$O46,'Result-lag'!D46,'Result -equal'!D46)</f>
        <v>40829244339.580002</v>
      </c>
      <c r="E46">
        <f>IF('Result-lag'!$O46&lt;'Result -equal'!$O46,'Result-lag'!E46,'Result -equal'!E46)</f>
        <v>28451985439.279999</v>
      </c>
      <c r="F46">
        <f>IF('Result-lag'!$O46&lt;'Result -equal'!$O46,'Result-lag'!F46,'Result -equal'!F46)</f>
        <v>25054192083.110001</v>
      </c>
      <c r="G46">
        <f>IF('Result-lag'!$O46&lt;'Result -equal'!$O46,'Result-lag'!G46,'Result -equal'!G46)</f>
        <v>8955541938.4400005</v>
      </c>
      <c r="H46">
        <f>IF('Result-lag'!$O46&lt;'Result -equal'!$O46,'Result-lag'!H46,'Result -equal'!H46)</f>
        <v>1567537459</v>
      </c>
      <c r="I46">
        <f>IF('Result-lag'!$O46&lt;'Result -equal'!$O46,'Result-lag'!I46,'Result -equal'!I46)</f>
        <v>4951045886.9799995</v>
      </c>
      <c r="J46">
        <f>IF('Result-lag'!$O46&lt;'Result -equal'!$O46,1,0)</f>
        <v>0</v>
      </c>
      <c r="L46" s="1">
        <f t="shared" si="1"/>
        <v>40360</v>
      </c>
      <c r="M46" s="7">
        <f t="shared" si="2"/>
        <v>0.69685309878974544</v>
      </c>
      <c r="N46" s="7">
        <f t="shared" si="3"/>
        <v>0.61363349942831014</v>
      </c>
      <c r="O46" s="7">
        <f t="shared" si="4"/>
        <v>0.21934135895232498</v>
      </c>
      <c r="P46" s="7">
        <f t="shared" si="5"/>
        <v>3.8392517039077895E-2</v>
      </c>
      <c r="Q46" s="7">
        <f t="shared" si="6"/>
        <v>0.12126224638893059</v>
      </c>
    </row>
    <row r="47" spans="3:17" x14ac:dyDescent="0.25">
      <c r="C47" s="1">
        <f>'Result-lag'!C47</f>
        <v>40391</v>
      </c>
      <c r="D47">
        <f>IF('Result-lag'!$O47&lt;'Result -equal'!$O47,'Result-lag'!D47,'Result -equal'!D47)</f>
        <v>46909004959.040001</v>
      </c>
      <c r="E47">
        <f>IF('Result-lag'!$O47&lt;'Result -equal'!$O47,'Result-lag'!E47,'Result -equal'!E47)</f>
        <v>30182508162.220001</v>
      </c>
      <c r="F47">
        <f>IF('Result-lag'!$O47&lt;'Result -equal'!$O47,'Result-lag'!F47,'Result -equal'!F47)</f>
        <v>25021597638.75</v>
      </c>
      <c r="G47">
        <f>IF('Result-lag'!$O47&lt;'Result -equal'!$O47,'Result-lag'!G47,'Result -equal'!G47)</f>
        <v>10445666888.360001</v>
      </c>
      <c r="H47">
        <f>IF('Result-lag'!$O47&lt;'Result -equal'!$O47,'Result-lag'!H47,'Result -equal'!H47)</f>
        <v>2325261137</v>
      </c>
      <c r="I47">
        <f>IF('Result-lag'!$O47&lt;'Result -equal'!$O47,'Result-lag'!I47,'Result -equal'!I47)</f>
        <v>7575320361.9300003</v>
      </c>
      <c r="J47">
        <f>IF('Result-lag'!$O47&lt;'Result -equal'!$O47,1,0)</f>
        <v>0</v>
      </c>
      <c r="L47" s="1">
        <f t="shared" si="1"/>
        <v>40391</v>
      </c>
      <c r="M47" s="7">
        <f t="shared" si="2"/>
        <v>0.64342674052827942</v>
      </c>
      <c r="N47" s="7">
        <f t="shared" si="3"/>
        <v>0.5334071285587566</v>
      </c>
      <c r="O47" s="7">
        <f t="shared" si="4"/>
        <v>0.22267935330286684</v>
      </c>
      <c r="P47" s="7">
        <f t="shared" si="5"/>
        <v>4.9569611187241583E-2</v>
      </c>
      <c r="Q47" s="7">
        <f t="shared" si="6"/>
        <v>0.1614896834529877</v>
      </c>
    </row>
    <row r="48" spans="3:17" x14ac:dyDescent="0.25">
      <c r="C48" s="1">
        <f>'Result-lag'!C48</f>
        <v>40422</v>
      </c>
      <c r="D48">
        <f>IF('Result-lag'!$O48&lt;'Result -equal'!$O48,'Result-lag'!D48,'Result -equal'!D48)</f>
        <v>69384338986.350006</v>
      </c>
      <c r="E48">
        <f>IF('Result-lag'!$O48&lt;'Result -equal'!$O48,'Result-lag'!E48,'Result -equal'!E48)</f>
        <v>50042935375.950005</v>
      </c>
      <c r="F48">
        <f>IF('Result-lag'!$O48&lt;'Result -equal'!$O48,'Result-lag'!F48,'Result -equal'!F48)</f>
        <v>43137598077.989998</v>
      </c>
      <c r="G48">
        <f>IF('Result-lag'!$O48&lt;'Result -equal'!$O48,'Result-lag'!G48,'Result -equal'!G48)</f>
        <v>13523481421.540001</v>
      </c>
      <c r="H48">
        <f>IF('Result-lag'!$O48&lt;'Result -equal'!$O48,'Result-lag'!H48,'Result -equal'!H48)</f>
        <v>1655819481</v>
      </c>
      <c r="I48">
        <f>IF('Result-lag'!$O48&lt;'Result -equal'!$O48,'Result-lag'!I48,'Result -equal'!I48)</f>
        <v>9668182653.7099991</v>
      </c>
      <c r="J48">
        <f>IF('Result-lag'!$O48&lt;'Result -equal'!$O48,1,0)</f>
        <v>0</v>
      </c>
      <c r="L48" s="1">
        <f t="shared" si="1"/>
        <v>40422</v>
      </c>
      <c r="M48" s="7">
        <f t="shared" si="2"/>
        <v>0.72124251822583418</v>
      </c>
      <c r="N48" s="7">
        <f t="shared" si="3"/>
        <v>0.62171952213130499</v>
      </c>
      <c r="O48" s="7">
        <f t="shared" si="4"/>
        <v>0.19490682795436703</v>
      </c>
      <c r="P48" s="7">
        <f t="shared" si="5"/>
        <v>2.386445565656754E-2</v>
      </c>
      <c r="Q48" s="7">
        <f t="shared" si="6"/>
        <v>0.13934243368106486</v>
      </c>
    </row>
    <row r="49" spans="3:17" x14ac:dyDescent="0.25">
      <c r="C49" s="1">
        <f>'Result-lag'!C49</f>
        <v>40452</v>
      </c>
      <c r="D49">
        <f>IF('Result-lag'!$O49&lt;'Result -equal'!$O49,'Result-lag'!D49,'Result -equal'!D49)</f>
        <v>68963882096.149994</v>
      </c>
      <c r="E49">
        <f>IF('Result-lag'!$O49&lt;'Result -equal'!$O49,'Result-lag'!E49,'Result -equal'!E49)</f>
        <v>44177303696.580002</v>
      </c>
      <c r="F49">
        <f>IF('Result-lag'!$O49&lt;'Result -equal'!$O49,'Result-lag'!F49,'Result -equal'!F49)</f>
        <v>37554288902.369995</v>
      </c>
      <c r="G49">
        <f>IF('Result-lag'!$O49&lt;'Result -equal'!$O49,'Result-lag'!G49,'Result -equal'!G49)</f>
        <v>13935891180.24</v>
      </c>
      <c r="H49">
        <f>IF('Result-lag'!$O49&lt;'Result -equal'!$O49,'Result-lag'!H49,'Result -equal'!H49)</f>
        <v>2453232976</v>
      </c>
      <c r="I49">
        <f>IF('Result-lag'!$O49&lt;'Result -equal'!$O49,'Result-lag'!I49,'Result -equal'!I49)</f>
        <v>11073355450.33</v>
      </c>
      <c r="J49">
        <f>IF('Result-lag'!$O49&lt;'Result -equal'!$O49,1,0)</f>
        <v>0</v>
      </c>
      <c r="L49" s="1">
        <f t="shared" si="1"/>
        <v>40452</v>
      </c>
      <c r="M49" s="7">
        <f t="shared" si="2"/>
        <v>0.64058609164413993</v>
      </c>
      <c r="N49" s="7">
        <f t="shared" si="3"/>
        <v>0.54455010015259153</v>
      </c>
      <c r="O49" s="7">
        <f t="shared" si="4"/>
        <v>0.20207521323713287</v>
      </c>
      <c r="P49" s="7">
        <f t="shared" si="5"/>
        <v>3.5572721567206485E-2</v>
      </c>
      <c r="Q49" s="7">
        <f t="shared" si="6"/>
        <v>0.16056746102099415</v>
      </c>
    </row>
    <row r="50" spans="3:17" x14ac:dyDescent="0.25">
      <c r="C50" s="1">
        <f>'Result-lag'!C50</f>
        <v>40483</v>
      </c>
      <c r="D50">
        <f>IF('Result-lag'!$O50&lt;'Result -equal'!$O50,'Result-lag'!D50,'Result -equal'!D50)</f>
        <v>71397253151.929993</v>
      </c>
      <c r="E50">
        <f>IF('Result-lag'!$O50&lt;'Result -equal'!$O50,'Result-lag'!E50,'Result -equal'!E50)</f>
        <v>44633959622.000008</v>
      </c>
      <c r="F50">
        <f>IF('Result-lag'!$O50&lt;'Result -equal'!$O50,'Result-lag'!F50,'Result -equal'!F50)</f>
        <v>36330744156.989998</v>
      </c>
      <c r="G50">
        <f>IF('Result-lag'!$O50&lt;'Result -equal'!$O50,'Result-lag'!G50,'Result -equal'!G50)</f>
        <v>13909502726.82</v>
      </c>
      <c r="H50">
        <f>IF('Result-lag'!$O50&lt;'Result -equal'!$O50,'Result-lag'!H50,'Result -equal'!H50)</f>
        <v>2036722469</v>
      </c>
      <c r="I50">
        <f>IF('Result-lag'!$O50&lt;'Result -equal'!$O50,'Result-lag'!I50,'Result -equal'!I50)</f>
        <v>10674086513.9</v>
      </c>
      <c r="J50">
        <f>IF('Result-lag'!$O50&lt;'Result -equal'!$O50,1,0)</f>
        <v>0</v>
      </c>
      <c r="L50" s="1">
        <f t="shared" si="1"/>
        <v>40483</v>
      </c>
      <c r="M50" s="7">
        <f t="shared" si="2"/>
        <v>0.62514953519319638</v>
      </c>
      <c r="N50" s="7">
        <f t="shared" si="3"/>
        <v>0.50885352801570505</v>
      </c>
      <c r="O50" s="7">
        <f t="shared" si="4"/>
        <v>0.19481845747232365</v>
      </c>
      <c r="P50" s="7">
        <f t="shared" si="5"/>
        <v>2.852662223105349E-2</v>
      </c>
      <c r="Q50" s="7">
        <f t="shared" si="6"/>
        <v>0.14950276155843203</v>
      </c>
    </row>
    <row r="51" spans="3:17" x14ac:dyDescent="0.25">
      <c r="C51" s="1">
        <f>'Result-lag'!C51</f>
        <v>40513</v>
      </c>
      <c r="D51">
        <f>IF('Result-lag'!$O51&lt;'Result -equal'!$O51,'Result-lag'!D51,'Result -equal'!D51)</f>
        <v>81193901238.820007</v>
      </c>
      <c r="E51">
        <f>IF('Result-lag'!$O51&lt;'Result -equal'!$O51,'Result-lag'!E51,'Result -equal'!E51)</f>
        <v>55384789442.399994</v>
      </c>
      <c r="F51">
        <f>IF('Result-lag'!$O51&lt;'Result -equal'!$O51,'Result-lag'!F51,'Result -equal'!F51)</f>
        <v>48267923274.330002</v>
      </c>
      <c r="G51">
        <f>IF('Result-lag'!$O51&lt;'Result -equal'!$O51,'Result-lag'!G51,'Result -equal'!G51)</f>
        <v>14878642995.780001</v>
      </c>
      <c r="H51">
        <f>IF('Result-lag'!$O51&lt;'Result -equal'!$O51,'Result-lag'!H51,'Result -equal'!H51)</f>
        <v>1711261234</v>
      </c>
      <c r="I51">
        <f>IF('Result-lag'!$O51&lt;'Result -equal'!$O51,'Result-lag'!I51,'Result -equal'!I51)</f>
        <v>11160184048.27</v>
      </c>
      <c r="J51">
        <f>IF('Result-lag'!$O51&lt;'Result -equal'!$O51,1,0)</f>
        <v>0</v>
      </c>
      <c r="L51" s="1">
        <f t="shared" si="1"/>
        <v>40513</v>
      </c>
      <c r="M51" s="7">
        <f t="shared" si="2"/>
        <v>0.68212992105766324</v>
      </c>
      <c r="N51" s="7">
        <f t="shared" si="3"/>
        <v>0.59447720257161862</v>
      </c>
      <c r="O51" s="7">
        <f t="shared" si="4"/>
        <v>0.18324828304550417</v>
      </c>
      <c r="P51" s="7">
        <f t="shared" si="5"/>
        <v>2.1076228730118225E-2</v>
      </c>
      <c r="Q51" s="7">
        <f t="shared" si="6"/>
        <v>0.13745101390613007</v>
      </c>
    </row>
    <row r="52" spans="3:17" x14ac:dyDescent="0.25">
      <c r="C52" s="1">
        <f>'Result-lag'!C52</f>
        <v>40544</v>
      </c>
      <c r="D52">
        <f>IF('Result-lag'!$O52&lt;'Result -equal'!$O52,'Result-lag'!D52,'Result -equal'!D52)</f>
        <v>66493575674.870003</v>
      </c>
      <c r="E52">
        <f>IF('Result-lag'!$O52&lt;'Result -equal'!$O52,'Result-lag'!E52,'Result -equal'!E52)</f>
        <v>46227404593.440002</v>
      </c>
      <c r="F52">
        <f>IF('Result-lag'!$O52&lt;'Result -equal'!$O52,'Result-lag'!F52,'Result -equal'!F52)</f>
        <v>38924897504.110001</v>
      </c>
      <c r="G52">
        <f>IF('Result-lag'!$O52&lt;'Result -equal'!$O52,'Result-lag'!G52,'Result -equal'!G52)</f>
        <v>15157548488.809999</v>
      </c>
      <c r="H52">
        <f>IF('Result-lag'!$O52&lt;'Result -equal'!$O52,'Result-lag'!H52,'Result -equal'!H52)</f>
        <v>2120138158</v>
      </c>
      <c r="I52">
        <f>IF('Result-lag'!$O52&lt;'Result -equal'!$O52,'Result-lag'!I52,'Result -equal'!I52)</f>
        <v>8517864186.6400003</v>
      </c>
      <c r="J52">
        <f>IF('Result-lag'!$O52&lt;'Result -equal'!$O52,1,0)</f>
        <v>0</v>
      </c>
      <c r="L52" s="1">
        <f t="shared" si="1"/>
        <v>40544</v>
      </c>
      <c r="M52" s="7">
        <f t="shared" si="2"/>
        <v>0.69521610357481167</v>
      </c>
      <c r="N52" s="7">
        <f t="shared" si="3"/>
        <v>0.58539335731377928</v>
      </c>
      <c r="O52" s="7">
        <f t="shared" si="4"/>
        <v>0.22795508190031824</v>
      </c>
      <c r="P52" s="7">
        <f t="shared" si="5"/>
        <v>3.1884857093062997E-2</v>
      </c>
      <c r="Q52" s="7">
        <f t="shared" si="6"/>
        <v>0.12810055859064243</v>
      </c>
    </row>
    <row r="53" spans="3:17" x14ac:dyDescent="0.25">
      <c r="C53" s="1">
        <f>'Result-lag'!C53</f>
        <v>40575</v>
      </c>
      <c r="D53">
        <f>IF('Result-lag'!$O53&lt;'Result -equal'!$O53,'Result-lag'!D53,'Result -equal'!D53)</f>
        <v>51211208108.309998</v>
      </c>
      <c r="E53">
        <f>IF('Result-lag'!$O53&lt;'Result -equal'!$O53,'Result-lag'!E53,'Result -equal'!E53)</f>
        <v>36643166088.080002</v>
      </c>
      <c r="F53">
        <f>IF('Result-lag'!$O53&lt;'Result -equal'!$O53,'Result-lag'!F53,'Result -equal'!F53)</f>
        <v>31432931957.270004</v>
      </c>
      <c r="G53">
        <f>IF('Result-lag'!$O53&lt;'Result -equal'!$O53,'Result-lag'!G53,'Result -equal'!G53)</f>
        <v>12839332402.040001</v>
      </c>
      <c r="H53">
        <f>IF('Result-lag'!$O53&lt;'Result -equal'!$O53,'Result-lag'!H53,'Result -equal'!H53)</f>
        <v>2110053328</v>
      </c>
      <c r="I53">
        <f>IF('Result-lag'!$O53&lt;'Result -equal'!$O53,'Result-lag'!I53,'Result -equal'!I53)</f>
        <v>4479674519.2200003</v>
      </c>
      <c r="J53">
        <f>IF('Result-lag'!$O53&lt;'Result -equal'!$O53,1,0)</f>
        <v>0</v>
      </c>
      <c r="L53" s="1">
        <f t="shared" si="1"/>
        <v>40575</v>
      </c>
      <c r="M53" s="7">
        <f t="shared" si="2"/>
        <v>0.71553020211085294</v>
      </c>
      <c r="N53" s="7">
        <f t="shared" si="3"/>
        <v>0.61379008850543815</v>
      </c>
      <c r="O53" s="7">
        <f t="shared" si="4"/>
        <v>0.25071332773257843</v>
      </c>
      <c r="P53" s="7">
        <f t="shared" si="5"/>
        <v>4.1202959390009071E-2</v>
      </c>
      <c r="Q53" s="7">
        <f t="shared" si="6"/>
        <v>8.7474494055005264E-2</v>
      </c>
    </row>
    <row r="54" spans="3:17" x14ac:dyDescent="0.25">
      <c r="C54" s="1">
        <f>'Result-lag'!C54</f>
        <v>40603</v>
      </c>
      <c r="D54">
        <f>IF('Result-lag'!$O54&lt;'Result -equal'!$O54,'Result-lag'!D54,'Result -equal'!D54)</f>
        <v>52478992160.580002</v>
      </c>
      <c r="E54">
        <f>IF('Result-lag'!$O54&lt;'Result -equal'!$O54,'Result-lag'!E54,'Result -equal'!E54)</f>
        <v>38292325978.140007</v>
      </c>
      <c r="F54">
        <f>IF('Result-lag'!$O54&lt;'Result -equal'!$O54,'Result-lag'!F54,'Result -equal'!F54)</f>
        <v>33049785948.009998</v>
      </c>
      <c r="G54">
        <f>IF('Result-lag'!$O54&lt;'Result -equal'!$O54,'Result-lag'!G54,'Result -equal'!G54)</f>
        <v>9636191150.4599991</v>
      </c>
      <c r="H54">
        <f>IF('Result-lag'!$O54&lt;'Result -equal'!$O54,'Result-lag'!H54,'Result -equal'!H54)</f>
        <v>1193495971</v>
      </c>
      <c r="I54">
        <f>IF('Result-lag'!$O54&lt;'Result -equal'!$O54,'Result-lag'!I54,'Result -equal'!I54)</f>
        <v>5797901031.5200005</v>
      </c>
      <c r="J54">
        <f>IF('Result-lag'!$O54&lt;'Result -equal'!$O54,1,0)</f>
        <v>0</v>
      </c>
      <c r="L54" s="1">
        <f t="shared" si="1"/>
        <v>40603</v>
      </c>
      <c r="M54" s="7">
        <f t="shared" si="2"/>
        <v>0.72966961448058409</v>
      </c>
      <c r="N54" s="7">
        <f t="shared" si="3"/>
        <v>0.6297717350760329</v>
      </c>
      <c r="O54" s="7">
        <f t="shared" si="4"/>
        <v>0.18361997351195891</v>
      </c>
      <c r="P54" s="7">
        <f t="shared" si="5"/>
        <v>2.2742356929188585E-2</v>
      </c>
      <c r="Q54" s="7">
        <f t="shared" si="6"/>
        <v>0.1104804187888947</v>
      </c>
    </row>
    <row r="55" spans="3:17" x14ac:dyDescent="0.25">
      <c r="C55" s="1">
        <f>'Result-lag'!C55</f>
        <v>40634</v>
      </c>
      <c r="D55">
        <f>IF('Result-lag'!$O55&lt;'Result -equal'!$O55,'Result-lag'!D55,'Result -equal'!D55)</f>
        <v>33088841042.959999</v>
      </c>
      <c r="E55">
        <f>IF('Result-lag'!$O55&lt;'Result -equal'!$O55,'Result-lag'!E55,'Result -equal'!E55)</f>
        <v>22351455715.170002</v>
      </c>
      <c r="F55">
        <f>IF('Result-lag'!$O55&lt;'Result -equal'!$O55,'Result-lag'!F55,'Result -equal'!F55)</f>
        <v>19178248214.91</v>
      </c>
      <c r="G55">
        <f>IF('Result-lag'!$O55&lt;'Result -equal'!$O55,'Result-lag'!G55,'Result -equal'!G55)</f>
        <v>7444150512.3199997</v>
      </c>
      <c r="H55">
        <f>IF('Result-lag'!$O55&lt;'Result -equal'!$O55,'Result-lag'!H55,'Result -equal'!H55)</f>
        <v>2188332466</v>
      </c>
      <c r="I55">
        <f>IF('Result-lag'!$O55&lt;'Result -equal'!$O55,'Result-lag'!I55,'Result -equal'!I55)</f>
        <v>3228781954.9899998</v>
      </c>
      <c r="J55">
        <f>IF('Result-lag'!$O55&lt;'Result -equal'!$O55,1,0)</f>
        <v>0</v>
      </c>
      <c r="L55" s="1">
        <f t="shared" si="1"/>
        <v>40634</v>
      </c>
      <c r="M55" s="7">
        <f t="shared" si="2"/>
        <v>0.67549829521531435</v>
      </c>
      <c r="N55" s="7">
        <f t="shared" si="3"/>
        <v>0.57959866862699849</v>
      </c>
      <c r="O55" s="7">
        <f t="shared" si="4"/>
        <v>0.22497465241091669</v>
      </c>
      <c r="P55" s="7">
        <f t="shared" si="5"/>
        <v>6.6135059343989652E-2</v>
      </c>
      <c r="Q55" s="7">
        <f t="shared" si="6"/>
        <v>9.7579179361344151E-2</v>
      </c>
    </row>
    <row r="56" spans="3:17" x14ac:dyDescent="0.25">
      <c r="C56" s="1">
        <f>'Result-lag'!C56</f>
        <v>40664</v>
      </c>
      <c r="D56">
        <f>IF('Result-lag'!$O56&lt;'Result -equal'!$O56,'Result-lag'!D56,'Result -equal'!D56)</f>
        <v>30964833391.43</v>
      </c>
      <c r="E56">
        <f>IF('Result-lag'!$O56&lt;'Result -equal'!$O56,'Result-lag'!E56,'Result -equal'!E56)</f>
        <v>20570231744.970005</v>
      </c>
      <c r="F56">
        <f>IF('Result-lag'!$O56&lt;'Result -equal'!$O56,'Result-lag'!F56,'Result -equal'!F56)</f>
        <v>17640079186.739998</v>
      </c>
      <c r="G56">
        <f>IF('Result-lag'!$O56&lt;'Result -equal'!$O56,'Result-lag'!G56,'Result -equal'!G56)</f>
        <v>6796796476.5</v>
      </c>
      <c r="H56">
        <f>IF('Result-lag'!$O56&lt;'Result -equal'!$O56,'Result-lag'!H56,'Result -equal'!H56)</f>
        <v>2161250449</v>
      </c>
      <c r="I56">
        <f>IF('Result-lag'!$O56&lt;'Result -equal'!$O56,'Result-lag'!I56,'Result -equal'!I56)</f>
        <v>3299942197.6599998</v>
      </c>
      <c r="J56">
        <f>IF('Result-lag'!$O56&lt;'Result -equal'!$O56,1,0)</f>
        <v>0</v>
      </c>
      <c r="L56" s="1">
        <f t="shared" si="1"/>
        <v>40664</v>
      </c>
      <c r="M56" s="7">
        <f t="shared" si="2"/>
        <v>0.66430945986175194</v>
      </c>
      <c r="N56" s="7">
        <f t="shared" si="3"/>
        <v>0.5696810625056411</v>
      </c>
      <c r="O56" s="7">
        <f t="shared" si="4"/>
        <v>0.21950050208831801</v>
      </c>
      <c r="P56" s="7">
        <f t="shared" si="5"/>
        <v>6.9796934531485638E-2</v>
      </c>
      <c r="Q56" s="7">
        <f t="shared" si="6"/>
        <v>0.10657064276578056</v>
      </c>
    </row>
    <row r="57" spans="3:17" x14ac:dyDescent="0.25">
      <c r="C57" s="1">
        <f>'Result-lag'!C57</f>
        <v>40695</v>
      </c>
      <c r="D57">
        <f>IF('Result-lag'!$O57&lt;'Result -equal'!$O57,'Result-lag'!D57,'Result -equal'!D57)</f>
        <v>34031377587.419998</v>
      </c>
      <c r="E57">
        <f>IF('Result-lag'!$O57&lt;'Result -equal'!$O57,'Result-lag'!E57,'Result -equal'!E57)</f>
        <v>24595603786.650002</v>
      </c>
      <c r="F57">
        <f>IF('Result-lag'!$O57&lt;'Result -equal'!$O57,'Result-lag'!F57,'Result -equal'!F57)</f>
        <v>21250587531.379997</v>
      </c>
      <c r="G57">
        <f>IF('Result-lag'!$O57&lt;'Result -equal'!$O57,'Result-lag'!G57,'Result -equal'!G57)</f>
        <v>8100182361.9399996</v>
      </c>
      <c r="H57">
        <f>IF('Result-lag'!$O57&lt;'Result -equal'!$O57,'Result-lag'!H57,'Result -equal'!H57)</f>
        <v>1087066702</v>
      </c>
      <c r="I57">
        <f>IF('Result-lag'!$O57&lt;'Result -equal'!$O57,'Result-lag'!I57,'Result -equal'!I57)</f>
        <v>3706296422.1300001</v>
      </c>
      <c r="J57">
        <f>IF('Result-lag'!$O57&lt;'Result -equal'!$O57,1,0)</f>
        <v>0</v>
      </c>
      <c r="L57" s="1">
        <f t="shared" si="1"/>
        <v>40695</v>
      </c>
      <c r="M57" s="7">
        <f t="shared" si="2"/>
        <v>0.72273312249757371</v>
      </c>
      <c r="N57" s="7">
        <f t="shared" si="3"/>
        <v>0.62444100233060995</v>
      </c>
      <c r="O57" s="7">
        <f t="shared" si="4"/>
        <v>0.23802099521631778</v>
      </c>
      <c r="P57" s="7">
        <f t="shared" si="5"/>
        <v>3.1943070750149238E-2</v>
      </c>
      <c r="Q57" s="7">
        <f t="shared" si="6"/>
        <v>0.10890821015426851</v>
      </c>
    </row>
    <row r="58" spans="3:17" x14ac:dyDescent="0.25">
      <c r="C58" s="1">
        <f>'Result-lag'!C58</f>
        <v>40725</v>
      </c>
      <c r="D58">
        <f>IF('Result-lag'!$O58&lt;'Result -equal'!$O58,'Result-lag'!D58,'Result -equal'!D58)</f>
        <v>30621365146.98</v>
      </c>
      <c r="E58">
        <f>IF('Result-lag'!$O58&lt;'Result -equal'!$O58,'Result-lag'!E58,'Result -equal'!E58)</f>
        <v>20071516146.039997</v>
      </c>
      <c r="F58">
        <f>IF('Result-lag'!$O58&lt;'Result -equal'!$O58,'Result-lag'!F58,'Result -equal'!F58)</f>
        <v>17100427033.15</v>
      </c>
      <c r="G58">
        <f>IF('Result-lag'!$O58&lt;'Result -equal'!$O58,'Result-lag'!G58,'Result -equal'!G58)</f>
        <v>5308788048.8400002</v>
      </c>
      <c r="H58">
        <f>IF('Result-lag'!$O58&lt;'Result -equal'!$O58,'Result-lag'!H58,'Result -equal'!H58)</f>
        <v>2279698435</v>
      </c>
      <c r="I58">
        <f>IF('Result-lag'!$O58&lt;'Result -equal'!$O58,'Result-lag'!I58,'Result -equal'!I58)</f>
        <v>3822528101.79</v>
      </c>
      <c r="J58">
        <f>IF('Result-lag'!$O58&lt;'Result -equal'!$O58,1,0)</f>
        <v>0</v>
      </c>
      <c r="L58" s="1">
        <f t="shared" si="1"/>
        <v>40725</v>
      </c>
      <c r="M58" s="7">
        <f t="shared" si="2"/>
        <v>0.65547424321869363</v>
      </c>
      <c r="N58" s="7">
        <f t="shared" si="3"/>
        <v>0.55844757250597343</v>
      </c>
      <c r="O58" s="7">
        <f t="shared" si="4"/>
        <v>0.1733687581647082</v>
      </c>
      <c r="P58" s="7">
        <f t="shared" si="5"/>
        <v>7.4447968732211559E-2</v>
      </c>
      <c r="Q58" s="7">
        <f t="shared" si="6"/>
        <v>0.12483206034225397</v>
      </c>
    </row>
    <row r="59" spans="3:17" x14ac:dyDescent="0.25">
      <c r="C59" s="1">
        <f>'Result-lag'!C59</f>
        <v>40756</v>
      </c>
      <c r="D59">
        <f>IF('Result-lag'!$O59&lt;'Result -equal'!$O59,'Result-lag'!D59,'Result -equal'!D59)</f>
        <v>38171516998.550003</v>
      </c>
      <c r="E59">
        <f>IF('Result-lag'!$O59&lt;'Result -equal'!$O59,'Result-lag'!E59,'Result -equal'!E59)</f>
        <v>26643806156.700001</v>
      </c>
      <c r="F59">
        <f>IF('Result-lag'!$O59&lt;'Result -equal'!$O59,'Result-lag'!F59,'Result -equal'!F59)</f>
        <v>22450886954</v>
      </c>
      <c r="G59">
        <f>IF('Result-lag'!$O59&lt;'Result -equal'!$O59,'Result-lag'!G59,'Result -equal'!G59)</f>
        <v>8975675585.0300007</v>
      </c>
      <c r="H59">
        <f>IF('Result-lag'!$O59&lt;'Result -equal'!$O59,'Result-lag'!H59,'Result -equal'!H59)</f>
        <v>1994047984</v>
      </c>
      <c r="I59">
        <f>IF('Result-lag'!$O59&lt;'Result -equal'!$O59,'Result-lag'!I59,'Result -equal'!I59)</f>
        <v>4799907967.0299997</v>
      </c>
      <c r="J59">
        <f>IF('Result-lag'!$O59&lt;'Result -equal'!$O59,1,0)</f>
        <v>0</v>
      </c>
      <c r="L59" s="1">
        <f t="shared" si="1"/>
        <v>40756</v>
      </c>
      <c r="M59" s="7">
        <f t="shared" si="2"/>
        <v>0.69800228682847743</v>
      </c>
      <c r="N59" s="7">
        <f t="shared" si="3"/>
        <v>0.58815810110069311</v>
      </c>
      <c r="O59" s="7">
        <f t="shared" si="4"/>
        <v>0.23514065698177397</v>
      </c>
      <c r="P59" s="7">
        <f t="shared" si="5"/>
        <v>5.2239160001834525E-2</v>
      </c>
      <c r="Q59" s="7">
        <f t="shared" si="6"/>
        <v>0.12574580065058275</v>
      </c>
    </row>
    <row r="60" spans="3:17" x14ac:dyDescent="0.25">
      <c r="C60" s="1">
        <f>'Result-lag'!C60</f>
        <v>40787</v>
      </c>
      <c r="D60">
        <f>IF('Result-lag'!$O60&lt;'Result -equal'!$O60,'Result-lag'!D60,'Result -equal'!D60)</f>
        <v>45345536322.599998</v>
      </c>
      <c r="E60">
        <f>IF('Result-lag'!$O60&lt;'Result -equal'!$O60,'Result-lag'!E60,'Result -equal'!E60)</f>
        <v>31978531591.070004</v>
      </c>
      <c r="F60">
        <f>IF('Result-lag'!$O60&lt;'Result -equal'!$O60,'Result-lag'!F60,'Result -equal'!F60)</f>
        <v>27361561800.900002</v>
      </c>
      <c r="G60">
        <f>IF('Result-lag'!$O60&lt;'Result -equal'!$O60,'Result-lag'!G60,'Result -equal'!G60)</f>
        <v>9862037476.5100002</v>
      </c>
      <c r="H60">
        <f>IF('Result-lag'!$O60&lt;'Result -equal'!$O60,'Result-lag'!H60,'Result -equal'!H60)</f>
        <v>876898783</v>
      </c>
      <c r="I60">
        <f>IF('Result-lag'!$O60&lt;'Result -equal'!$O60,'Result-lag'!I60,'Result -equal'!I60)</f>
        <v>6015934193.9200001</v>
      </c>
      <c r="J60">
        <f>IF('Result-lag'!$O60&lt;'Result -equal'!$O60,1,0)</f>
        <v>0</v>
      </c>
      <c r="L60" s="1">
        <f t="shared" si="1"/>
        <v>40787</v>
      </c>
      <c r="M60" s="7">
        <f t="shared" si="2"/>
        <v>0.70521895173025129</v>
      </c>
      <c r="N60" s="7">
        <f t="shared" si="3"/>
        <v>0.60340143749194408</v>
      </c>
      <c r="O60" s="7">
        <f t="shared" si="4"/>
        <v>0.21748640056540269</v>
      </c>
      <c r="P60" s="7">
        <f t="shared" si="5"/>
        <v>1.9338149994775955E-2</v>
      </c>
      <c r="Q60" s="7">
        <f t="shared" si="6"/>
        <v>0.13266871850673617</v>
      </c>
    </row>
    <row r="61" spans="3:17" x14ac:dyDescent="0.25">
      <c r="C61" s="1">
        <f>'Result-lag'!C61</f>
        <v>40817</v>
      </c>
      <c r="D61">
        <f>IF('Result-lag'!$O61&lt;'Result -equal'!$O61,'Result-lag'!D61,'Result -equal'!D61)</f>
        <v>51265734201.440002</v>
      </c>
      <c r="E61">
        <f>IF('Result-lag'!$O61&lt;'Result -equal'!$O61,'Result-lag'!E61,'Result -equal'!E61)</f>
        <v>30996359405.019997</v>
      </c>
      <c r="F61">
        <f>IF('Result-lag'!$O61&lt;'Result -equal'!$O61,'Result-lag'!F61,'Result -equal'!F61)</f>
        <v>24699811825.130001</v>
      </c>
      <c r="G61">
        <f>IF('Result-lag'!$O61&lt;'Result -equal'!$O61,'Result-lag'!G61,'Result -equal'!G61)</f>
        <v>11864275980.860001</v>
      </c>
      <c r="H61">
        <f>IF('Result-lag'!$O61&lt;'Result -equal'!$O61,'Result-lag'!H61,'Result -equal'!H61)</f>
        <v>2285618285</v>
      </c>
      <c r="I61">
        <f>IF('Result-lag'!$O61&lt;'Result -equal'!$O61,'Result-lag'!I61,'Result -equal'!I61)</f>
        <v>9819343075.8999996</v>
      </c>
      <c r="J61">
        <f>IF('Result-lag'!$O61&lt;'Result -equal'!$O61,1,0)</f>
        <v>0</v>
      </c>
      <c r="L61" s="1">
        <f t="shared" si="1"/>
        <v>40817</v>
      </c>
      <c r="M61" s="7">
        <f t="shared" si="2"/>
        <v>0.60462138868869142</v>
      </c>
      <c r="N61" s="7">
        <f t="shared" si="3"/>
        <v>0.48179963107670093</v>
      </c>
      <c r="O61" s="7">
        <f t="shared" si="4"/>
        <v>0.2314270177862145</v>
      </c>
      <c r="P61" s="7">
        <f t="shared" si="5"/>
        <v>4.4583742349598485E-2</v>
      </c>
      <c r="Q61" s="7">
        <f t="shared" si="6"/>
        <v>0.19153813417197066</v>
      </c>
    </row>
    <row r="62" spans="3:17" x14ac:dyDescent="0.25">
      <c r="C62" s="1">
        <f>'Result-lag'!C62</f>
        <v>40848</v>
      </c>
      <c r="D62">
        <f>IF('Result-lag'!$O62&lt;'Result -equal'!$O62,'Result-lag'!D62,'Result -equal'!D62)</f>
        <v>62641454659.599998</v>
      </c>
      <c r="E62">
        <f>IF('Result-lag'!$O62&lt;'Result -equal'!$O62,'Result-lag'!E62,'Result -equal'!E62)</f>
        <v>39760085391.100006</v>
      </c>
      <c r="F62">
        <f>IF('Result-lag'!$O62&lt;'Result -equal'!$O62,'Result-lag'!F62,'Result -equal'!F62)</f>
        <v>33459411350.709999</v>
      </c>
      <c r="G62">
        <f>IF('Result-lag'!$O62&lt;'Result -equal'!$O62,'Result-lag'!G62,'Result -equal'!G62)</f>
        <v>14706099941.799999</v>
      </c>
      <c r="H62">
        <f>IF('Result-lag'!$O62&lt;'Result -equal'!$O62,'Result-lag'!H62,'Result -equal'!H62)</f>
        <v>2095343206</v>
      </c>
      <c r="I62">
        <f>IF('Result-lag'!$O62&lt;'Result -equal'!$O62,'Result-lag'!I62,'Result -equal'!I62)</f>
        <v>10874766290.690001</v>
      </c>
      <c r="J62">
        <f>IF('Result-lag'!$O62&lt;'Result -equal'!$O62,1,0)</f>
        <v>0</v>
      </c>
      <c r="L62" s="1">
        <f t="shared" si="1"/>
        <v>40848</v>
      </c>
      <c r="M62" s="7">
        <f t="shared" si="2"/>
        <v>0.63472480974716072</v>
      </c>
      <c r="N62" s="7">
        <f t="shared" si="3"/>
        <v>0.53414167235629861</v>
      </c>
      <c r="O62" s="7">
        <f t="shared" si="4"/>
        <v>0.23476625856973524</v>
      </c>
      <c r="P62" s="7">
        <f t="shared" si="5"/>
        <v>3.3449785248224312E-2</v>
      </c>
      <c r="Q62" s="7">
        <f t="shared" si="6"/>
        <v>0.17360334860971191</v>
      </c>
    </row>
    <row r="63" spans="3:17" x14ac:dyDescent="0.25">
      <c r="C63" s="1">
        <f>'Result-lag'!C63</f>
        <v>40878</v>
      </c>
      <c r="D63">
        <f>IF('Result-lag'!$O63&lt;'Result -equal'!$O63,'Result-lag'!D63,'Result -equal'!D63)</f>
        <v>73851865080.610001</v>
      </c>
      <c r="E63">
        <f>IF('Result-lag'!$O63&lt;'Result -equal'!$O63,'Result-lag'!E63,'Result -equal'!E63)</f>
        <v>50207107917.200005</v>
      </c>
      <c r="F63">
        <f>IF('Result-lag'!$O63&lt;'Result -equal'!$O63,'Result-lag'!F63,'Result -equal'!F63)</f>
        <v>44194497888.770004</v>
      </c>
      <c r="G63">
        <f>IF('Result-lag'!$O63&lt;'Result -equal'!$O63,'Result-lag'!G63,'Result -equal'!G63)</f>
        <v>23937608890.639999</v>
      </c>
      <c r="H63">
        <f>IF('Result-lag'!$O63&lt;'Result -equal'!$O63,'Result-lag'!H63,'Result -equal'!H63)</f>
        <v>1033984596</v>
      </c>
      <c r="I63">
        <f>IF('Result-lag'!$O63&lt;'Result -equal'!$O63,'Result-lag'!I63,'Result -equal'!I63)</f>
        <v>11437762942.92</v>
      </c>
      <c r="J63">
        <f>IF('Result-lag'!$O63&lt;'Result -equal'!$O63,1,0)</f>
        <v>0</v>
      </c>
      <c r="L63" s="1">
        <f t="shared" si="1"/>
        <v>40878</v>
      </c>
      <c r="M63" s="7">
        <f t="shared" si="2"/>
        <v>0.67983534149609459</v>
      </c>
      <c r="N63" s="7">
        <f t="shared" si="3"/>
        <v>0.59842087725924453</v>
      </c>
      <c r="O63" s="7">
        <f t="shared" si="4"/>
        <v>0.32413005229471015</v>
      </c>
      <c r="P63" s="7">
        <f t="shared" si="5"/>
        <v>1.4000791921387444E-2</v>
      </c>
      <c r="Q63" s="7">
        <f t="shared" si="6"/>
        <v>0.15487439525644445</v>
      </c>
    </row>
    <row r="64" spans="3:17" x14ac:dyDescent="0.25">
      <c r="C64" s="1">
        <f>'Result-lag'!C64</f>
        <v>40909</v>
      </c>
      <c r="D64">
        <f>IF('Result-lag'!$O64&lt;'Result -equal'!$O64,'Result-lag'!D64,'Result -equal'!D64)</f>
        <v>58331372757.360001</v>
      </c>
      <c r="E64">
        <f>IF('Result-lag'!$O64&lt;'Result -equal'!$O64,'Result-lag'!E64,'Result -equal'!E64)</f>
        <v>34362268311.120003</v>
      </c>
      <c r="F64">
        <f>IF('Result-lag'!$O64&lt;'Result -equal'!$O64,'Result-lag'!F64,'Result -equal'!F64)</f>
        <v>29007806067.68</v>
      </c>
      <c r="G64">
        <f>IF('Result-lag'!$O64&lt;'Result -equal'!$O64,'Result-lag'!G64,'Result -equal'!G64)</f>
        <v>15368979575.26</v>
      </c>
      <c r="H64">
        <f>IF('Result-lag'!$O64&lt;'Result -equal'!$O64,'Result-lag'!H64,'Result -equal'!H64)</f>
        <v>1987883207</v>
      </c>
      <c r="I64">
        <f>IF('Result-lag'!$O64&lt;'Result -equal'!$O64,'Result-lag'!I64,'Result -equal'!I64)</f>
        <v>10782906686.82</v>
      </c>
      <c r="J64">
        <f>IF('Result-lag'!$O64&lt;'Result -equal'!$O64,1,0)</f>
        <v>0</v>
      </c>
      <c r="L64" s="1">
        <f t="shared" si="1"/>
        <v>40909</v>
      </c>
      <c r="M64" s="7">
        <f t="shared" si="2"/>
        <v>0.58908725591040234</v>
      </c>
      <c r="N64" s="7">
        <f t="shared" si="3"/>
        <v>0.49729338941401685</v>
      </c>
      <c r="O64" s="7">
        <f t="shared" si="4"/>
        <v>0.26347707672147674</v>
      </c>
      <c r="P64" s="7">
        <f t="shared" si="5"/>
        <v>3.407914322998986E-2</v>
      </c>
      <c r="Q64" s="7">
        <f t="shared" si="6"/>
        <v>0.18485604190515917</v>
      </c>
    </row>
    <row r="65" spans="3:17" x14ac:dyDescent="0.25">
      <c r="C65" s="1">
        <f>'Result-lag'!C65</f>
        <v>40940</v>
      </c>
      <c r="D65">
        <f>IF('Result-lag'!$O65&lt;'Result -equal'!$O65,'Result-lag'!D65,'Result -equal'!D65)</f>
        <v>56063681559.919998</v>
      </c>
      <c r="E65">
        <f>IF('Result-lag'!$O65&lt;'Result -equal'!$O65,'Result-lag'!E65,'Result -equal'!E65)</f>
        <v>32906311435.989998</v>
      </c>
      <c r="F65">
        <f>IF('Result-lag'!$O65&lt;'Result -equal'!$O65,'Result-lag'!F65,'Result -equal'!F65)</f>
        <v>27491822121.099998</v>
      </c>
      <c r="G65">
        <f>IF('Result-lag'!$O65&lt;'Result -equal'!$O65,'Result-lag'!G65,'Result -equal'!G65)</f>
        <v>14632091015.389999</v>
      </c>
      <c r="H65">
        <f>IF('Result-lag'!$O65&lt;'Result -equal'!$O65,'Result-lag'!H65,'Result -equal'!H65)</f>
        <v>2030824500</v>
      </c>
      <c r="I65">
        <f>IF('Result-lag'!$O65&lt;'Result -equal'!$O65,'Result-lag'!I65,'Result -equal'!I65)</f>
        <v>10665615618.18</v>
      </c>
      <c r="J65">
        <f>IF('Result-lag'!$O65&lt;'Result -equal'!$O65,1,0)</f>
        <v>0</v>
      </c>
      <c r="L65" s="1">
        <f t="shared" si="1"/>
        <v>40940</v>
      </c>
      <c r="M65" s="7">
        <f t="shared" si="2"/>
        <v>0.58694524726886232</v>
      </c>
      <c r="N65" s="7">
        <f t="shared" si="3"/>
        <v>0.49036776316084707</v>
      </c>
      <c r="O65" s="7">
        <f t="shared" si="4"/>
        <v>0.26099054875216227</v>
      </c>
      <c r="P65" s="7">
        <f t="shared" si="5"/>
        <v>3.6223530875857411E-2</v>
      </c>
      <c r="Q65" s="7">
        <f t="shared" si="6"/>
        <v>0.19024108516278501</v>
      </c>
    </row>
    <row r="66" spans="3:17" x14ac:dyDescent="0.25">
      <c r="C66" s="1">
        <f>'Result-lag'!C66</f>
        <v>40969</v>
      </c>
      <c r="D66">
        <f>IF('Result-lag'!$O66&lt;'Result -equal'!$O66,'Result-lag'!D66,'Result -equal'!D66)</f>
        <v>86317495811.419998</v>
      </c>
      <c r="E66">
        <f>IF('Result-lag'!$O66&lt;'Result -equal'!$O66,'Result-lag'!E66,'Result -equal'!E66)</f>
        <v>56829158720.450005</v>
      </c>
      <c r="F66">
        <f>IF('Result-lag'!$O66&lt;'Result -equal'!$O66,'Result-lag'!F66,'Result -equal'!F66)</f>
        <v>49399023902</v>
      </c>
      <c r="G66">
        <f>IF('Result-lag'!$O66&lt;'Result -equal'!$O66,'Result-lag'!G66,'Result -equal'!G66)</f>
        <v>30737250033.549999</v>
      </c>
      <c r="H66">
        <f>IF('Result-lag'!$O66&lt;'Result -equal'!$O66,'Result-lag'!H66,'Result -equal'!H66)</f>
        <v>715758973</v>
      </c>
      <c r="I66">
        <f>IF('Result-lag'!$O66&lt;'Result -equal'!$O66,'Result-lag'!I66,'Result -equal'!I66)</f>
        <v>13232369760.059999</v>
      </c>
      <c r="J66">
        <f>IF('Result-lag'!$O66&lt;'Result -equal'!$O66,1,0)</f>
        <v>0</v>
      </c>
      <c r="L66" s="1">
        <f t="shared" si="1"/>
        <v>40969</v>
      </c>
      <c r="M66" s="7">
        <f t="shared" si="2"/>
        <v>0.65837357984302625</v>
      </c>
      <c r="N66" s="7">
        <f t="shared" si="3"/>
        <v>0.57229445128856948</v>
      </c>
      <c r="O66" s="7">
        <f t="shared" si="4"/>
        <v>0.35609524748844013</v>
      </c>
      <c r="P66" s="7">
        <f t="shared" si="5"/>
        <v>8.292165641178198E-3</v>
      </c>
      <c r="Q66" s="7">
        <f t="shared" si="6"/>
        <v>0.15329881428637701</v>
      </c>
    </row>
    <row r="67" spans="3:17" x14ac:dyDescent="0.25">
      <c r="C67" s="1">
        <f>'Result-lag'!C67</f>
        <v>41000</v>
      </c>
      <c r="D67">
        <f>IF('Result-lag'!$O67&lt;'Result -equal'!$O67,'Result-lag'!D67,'Result -equal'!D67)</f>
        <v>48073485668.580002</v>
      </c>
      <c r="E67">
        <f>IF('Result-lag'!$O67&lt;'Result -equal'!$O67,'Result-lag'!E67,'Result -equal'!E67)</f>
        <v>24204177130.650005</v>
      </c>
      <c r="F67">
        <f>IF('Result-lag'!$O67&lt;'Result -equal'!$O67,'Result-lag'!F67,'Result -equal'!F67)</f>
        <v>20740945194.540001</v>
      </c>
      <c r="G67">
        <f>IF('Result-lag'!$O67&lt;'Result -equal'!$O67,'Result-lag'!G67,'Result -equal'!G67)</f>
        <v>10763728285.6</v>
      </c>
      <c r="H67">
        <f>IF('Result-lag'!$O67&lt;'Result -equal'!$O67,'Result-lag'!H67,'Result -equal'!H67)</f>
        <v>2058237642</v>
      </c>
      <c r="I67">
        <f>IF('Result-lag'!$O67&lt;'Result -equal'!$O67,'Result-lag'!I67,'Result -equal'!I67)</f>
        <v>11436377319.02</v>
      </c>
      <c r="J67">
        <f>IF('Result-lag'!$O67&lt;'Result -equal'!$O67,1,0)</f>
        <v>0</v>
      </c>
      <c r="L67" s="1">
        <f t="shared" si="1"/>
        <v>41000</v>
      </c>
      <c r="M67" s="7">
        <f t="shared" si="2"/>
        <v>0.50348288238373851</v>
      </c>
      <c r="N67" s="7">
        <f t="shared" si="3"/>
        <v>0.43144250736317885</v>
      </c>
      <c r="O67" s="7">
        <f t="shared" si="4"/>
        <v>0.22390155687493629</v>
      </c>
      <c r="P67" s="7">
        <f t="shared" si="5"/>
        <v>4.2814404101869159E-2</v>
      </c>
      <c r="Q67" s="7">
        <f t="shared" si="6"/>
        <v>0.23789365717856858</v>
      </c>
    </row>
    <row r="68" spans="3:17" x14ac:dyDescent="0.25">
      <c r="C68" s="1">
        <f>'Result-lag'!C68</f>
        <v>41030</v>
      </c>
      <c r="D68">
        <f>IF('Result-lag'!$O68&lt;'Result -equal'!$O68,'Result-lag'!D68,'Result -equal'!D68)</f>
        <v>66663158668.949997</v>
      </c>
      <c r="E68">
        <f>IF('Result-lag'!$O68&lt;'Result -equal'!$O68,'Result-lag'!E68,'Result -equal'!E68)</f>
        <v>39777125640.900002</v>
      </c>
      <c r="F68">
        <f>IF('Result-lag'!$O68&lt;'Result -equal'!$O68,'Result-lag'!F68,'Result -equal'!F68)</f>
        <v>33981143082.620003</v>
      </c>
      <c r="G68">
        <f>IF('Result-lag'!$O68&lt;'Result -equal'!$O68,'Result-lag'!G68,'Result -equal'!G68)</f>
        <v>20542825807.290001</v>
      </c>
      <c r="H68">
        <f>IF('Result-lag'!$O68&lt;'Result -equal'!$O68,'Result-lag'!H68,'Result -equal'!H68)</f>
        <v>1810114247</v>
      </c>
      <c r="I68">
        <f>IF('Result-lag'!$O68&lt;'Result -equal'!$O68,'Result-lag'!I68,'Result -equal'!I68)</f>
        <v>12081347035.17</v>
      </c>
      <c r="J68">
        <f>IF('Result-lag'!$O68&lt;'Result -equal'!$O68,1,0)</f>
        <v>0</v>
      </c>
      <c r="L68" s="1">
        <f t="shared" si="1"/>
        <v>41030</v>
      </c>
      <c r="M68" s="7">
        <f t="shared" si="2"/>
        <v>0.59668828233047966</v>
      </c>
      <c r="N68" s="7">
        <f t="shared" si="3"/>
        <v>0.50974396894948748</v>
      </c>
      <c r="O68" s="7">
        <f t="shared" si="4"/>
        <v>0.30815860240445414</v>
      </c>
      <c r="P68" s="7">
        <f t="shared" si="5"/>
        <v>2.7153142502428482E-2</v>
      </c>
      <c r="Q68" s="7">
        <f t="shared" si="6"/>
        <v>0.181229741830358</v>
      </c>
    </row>
    <row r="69" spans="3:17" x14ac:dyDescent="0.25">
      <c r="C69" s="1">
        <f>'Result-lag'!C69</f>
        <v>41061</v>
      </c>
      <c r="D69">
        <f>IF('Result-lag'!$O69&lt;'Result -equal'!$O69,'Result-lag'!D69,'Result -equal'!D69)</f>
        <v>65107512378.209999</v>
      </c>
      <c r="E69">
        <f>IF('Result-lag'!$O69&lt;'Result -equal'!$O69,'Result-lag'!E69,'Result -equal'!E69)</f>
        <v>34861145817.729996</v>
      </c>
      <c r="F69">
        <f>IF('Result-lag'!$O69&lt;'Result -equal'!$O69,'Result-lag'!F69,'Result -equal'!F69)</f>
        <v>26824272069.970001</v>
      </c>
      <c r="G69">
        <f>IF('Result-lag'!$O69&lt;'Result -equal'!$O69,'Result-lag'!G69,'Result -equal'!G69)</f>
        <v>12662763974.040001</v>
      </c>
      <c r="H69">
        <f>IF('Result-lag'!$O69&lt;'Result -equal'!$O69,'Result-lag'!H69,'Result -equal'!H69)</f>
        <v>751265816</v>
      </c>
      <c r="I69">
        <f>IF('Result-lag'!$O69&lt;'Result -equal'!$O69,'Result-lag'!I69,'Result -equal'!I69)</f>
        <v>14308208134.940001</v>
      </c>
      <c r="J69">
        <f>IF('Result-lag'!$O69&lt;'Result -equal'!$O69,1,0)</f>
        <v>0</v>
      </c>
      <c r="L69" s="1">
        <f t="shared" ref="L69:L102" si="7">C69</f>
        <v>41061</v>
      </c>
      <c r="M69" s="7">
        <f t="shared" ref="M69:M102" si="8">E69/$D69</f>
        <v>0.53543968344576509</v>
      </c>
      <c r="N69" s="7">
        <f t="shared" ref="N69:N102" si="9">F69/$D69</f>
        <v>0.41199964627964303</v>
      </c>
      <c r="O69" s="7">
        <f t="shared" ref="O69:O102" si="10">G69/$D69</f>
        <v>0.19449005977193409</v>
      </c>
      <c r="P69" s="7">
        <f t="shared" ref="P69:P102" si="11">H69/$D69</f>
        <v>1.1538849950768992E-2</v>
      </c>
      <c r="Q69" s="7">
        <f t="shared" ref="Q69:Q102" si="12">I69/$D69</f>
        <v>0.21976278331482729</v>
      </c>
    </row>
    <row r="70" spans="3:17" x14ac:dyDescent="0.25">
      <c r="C70" s="1">
        <f>'Result-lag'!C70</f>
        <v>41091</v>
      </c>
      <c r="D70">
        <f>IF('Result-lag'!$O70&lt;'Result -equal'!$O70,'Result-lag'!D70,'Result -equal'!D70)</f>
        <v>71798949000.600006</v>
      </c>
      <c r="E70">
        <f>IF('Result-lag'!$O70&lt;'Result -equal'!$O70,'Result-lag'!E70,'Result -equal'!E70)</f>
        <v>39258236449.550011</v>
      </c>
      <c r="F70">
        <f>IF('Result-lag'!$O70&lt;'Result -equal'!$O70,'Result-lag'!F70,'Result -equal'!F70)</f>
        <v>32773125487.220001</v>
      </c>
      <c r="G70">
        <f>IF('Result-lag'!$O70&lt;'Result -equal'!$O70,'Result-lag'!G70,'Result -equal'!G70)</f>
        <v>18046078270.810001</v>
      </c>
      <c r="H70">
        <f>IF('Result-lag'!$O70&lt;'Result -equal'!$O70,'Result-lag'!H70,'Result -equal'!H70)</f>
        <v>1485398807</v>
      </c>
      <c r="I70">
        <f>IF('Result-lag'!$O70&lt;'Result -equal'!$O70,'Result-lag'!I70,'Result -equal'!I70)</f>
        <v>15816521734.01</v>
      </c>
      <c r="J70">
        <f>IF('Result-lag'!$O70&lt;'Result -equal'!$O70,1,0)</f>
        <v>0</v>
      </c>
      <c r="L70" s="1">
        <f t="shared" si="7"/>
        <v>41091</v>
      </c>
      <c r="M70" s="7">
        <f t="shared" si="8"/>
        <v>0.54678009909618508</v>
      </c>
      <c r="N70" s="7">
        <f t="shared" si="9"/>
        <v>0.45645689725828892</v>
      </c>
      <c r="O70" s="7">
        <f t="shared" si="10"/>
        <v>0.25134181658646837</v>
      </c>
      <c r="P70" s="7">
        <f t="shared" si="11"/>
        <v>2.0688308501390276E-2</v>
      </c>
      <c r="Q70" s="7">
        <f t="shared" si="12"/>
        <v>0.22028904258581591</v>
      </c>
    </row>
    <row r="71" spans="3:17" x14ac:dyDescent="0.25">
      <c r="C71" s="1">
        <f>'Result-lag'!C71</f>
        <v>41122</v>
      </c>
      <c r="D71">
        <f>IF('Result-lag'!$O71&lt;'Result -equal'!$O71,'Result-lag'!D71,'Result -equal'!D71)</f>
        <v>80246484071.139999</v>
      </c>
      <c r="E71">
        <f>IF('Result-lag'!$O71&lt;'Result -equal'!$O71,'Result-lag'!E71,'Result -equal'!E71)</f>
        <v>42521773617.960007</v>
      </c>
      <c r="F71">
        <f>IF('Result-lag'!$O71&lt;'Result -equal'!$O71,'Result-lag'!F71,'Result -equal'!F71)</f>
        <v>34907658402.759995</v>
      </c>
      <c r="G71">
        <f>IF('Result-lag'!$O71&lt;'Result -equal'!$O71,'Result-lag'!G71,'Result -equal'!G71)</f>
        <v>15782096596.040001</v>
      </c>
      <c r="H71">
        <f>IF('Result-lag'!$O71&lt;'Result -equal'!$O71,'Result-lag'!H71,'Result -equal'!H71)</f>
        <v>1821001924</v>
      </c>
      <c r="I71">
        <f>IF('Result-lag'!$O71&lt;'Result -equal'!$O71,'Result-lag'!I71,'Result -equal'!I71)</f>
        <v>18219129188.400002</v>
      </c>
      <c r="J71">
        <f>IF('Result-lag'!$O71&lt;'Result -equal'!$O71,1,0)</f>
        <v>0</v>
      </c>
      <c r="L71" s="1">
        <f t="shared" si="7"/>
        <v>41122</v>
      </c>
      <c r="M71" s="7">
        <f t="shared" si="8"/>
        <v>0.52988955354434797</v>
      </c>
      <c r="N71" s="7">
        <f t="shared" si="9"/>
        <v>0.43500545608719388</v>
      </c>
      <c r="O71" s="7">
        <f t="shared" si="10"/>
        <v>0.19667025638218466</v>
      </c>
      <c r="P71" s="7">
        <f t="shared" si="11"/>
        <v>2.269260697310611E-2</v>
      </c>
      <c r="Q71" s="7">
        <f t="shared" si="12"/>
        <v>0.227039594311053</v>
      </c>
    </row>
    <row r="72" spans="3:17" x14ac:dyDescent="0.25">
      <c r="C72" s="1">
        <f>'Result-lag'!C72</f>
        <v>41153</v>
      </c>
      <c r="D72">
        <f>IF('Result-lag'!$O72&lt;'Result -equal'!$O72,'Result-lag'!D72,'Result -equal'!D72)</f>
        <v>84049356738.059998</v>
      </c>
      <c r="E72">
        <f>IF('Result-lag'!$O72&lt;'Result -equal'!$O72,'Result-lag'!E72,'Result -equal'!E72)</f>
        <v>45617387707.220009</v>
      </c>
      <c r="F72">
        <f>IF('Result-lag'!$O72&lt;'Result -equal'!$O72,'Result-lag'!F72,'Result -equal'!F72)</f>
        <v>37833922333.900002</v>
      </c>
      <c r="G72">
        <f>IF('Result-lag'!$O72&lt;'Result -equal'!$O72,'Result-lag'!G72,'Result -equal'!G72)</f>
        <v>16358817450.4</v>
      </c>
      <c r="H72">
        <f>IF('Result-lag'!$O72&lt;'Result -equal'!$O72,'Result-lag'!H72,'Result -equal'!H72)</f>
        <v>842537107</v>
      </c>
      <c r="I72">
        <f>IF('Result-lag'!$O72&lt;'Result -equal'!$O72,'Result-lag'!I72,'Result -equal'!I72)</f>
        <v>19205488149.990002</v>
      </c>
      <c r="J72">
        <f>IF('Result-lag'!$O72&lt;'Result -equal'!$O72,1,0)</f>
        <v>0</v>
      </c>
      <c r="L72" s="1">
        <f t="shared" si="7"/>
        <v>41153</v>
      </c>
      <c r="M72" s="7">
        <f t="shared" si="8"/>
        <v>0.542745233010964</v>
      </c>
      <c r="N72" s="7">
        <f t="shared" si="9"/>
        <v>0.4501393443356087</v>
      </c>
      <c r="O72" s="7">
        <f t="shared" si="10"/>
        <v>0.1946334640178424</v>
      </c>
      <c r="P72" s="7">
        <f t="shared" si="11"/>
        <v>1.0024313566441309E-2</v>
      </c>
      <c r="Q72" s="7">
        <f t="shared" si="12"/>
        <v>0.22850250014219559</v>
      </c>
    </row>
    <row r="73" spans="3:17" x14ac:dyDescent="0.25">
      <c r="C73" s="1">
        <f>'Result-lag'!C73</f>
        <v>41183</v>
      </c>
      <c r="D73">
        <f>IF('Result-lag'!$O73&lt;'Result -equal'!$O73,'Result-lag'!D73,'Result -equal'!D73)</f>
        <v>61818801001.650002</v>
      </c>
      <c r="E73">
        <f>IF('Result-lag'!$O73&lt;'Result -equal'!$O73,'Result-lag'!E73,'Result -equal'!E73)</f>
        <v>34976078939.440002</v>
      </c>
      <c r="F73">
        <f>IF('Result-lag'!$O73&lt;'Result -equal'!$O73,'Result-lag'!F73,'Result -equal'!F73)</f>
        <v>27466963094.949997</v>
      </c>
      <c r="G73">
        <f>IF('Result-lag'!$O73&lt;'Result -equal'!$O73,'Result-lag'!G73,'Result -equal'!G73)</f>
        <v>13583725455.1</v>
      </c>
      <c r="H73">
        <f>IF('Result-lag'!$O73&lt;'Result -equal'!$O73,'Result-lag'!H73,'Result -equal'!H73)</f>
        <v>1649348778</v>
      </c>
      <c r="I73">
        <f>IF('Result-lag'!$O73&lt;'Result -equal'!$O73,'Result-lag'!I73,'Result -equal'!I73)</f>
        <v>10456958852.59</v>
      </c>
      <c r="J73">
        <f>IF('Result-lag'!$O73&lt;'Result -equal'!$O73,1,0)</f>
        <v>0</v>
      </c>
      <c r="L73" s="1">
        <f t="shared" si="7"/>
        <v>41183</v>
      </c>
      <c r="M73" s="7">
        <f t="shared" si="8"/>
        <v>0.56578384524970737</v>
      </c>
      <c r="N73" s="7">
        <f t="shared" si="9"/>
        <v>0.44431407031360698</v>
      </c>
      <c r="O73" s="7">
        <f t="shared" si="10"/>
        <v>0.21973453439735005</v>
      </c>
      <c r="P73" s="7">
        <f t="shared" si="11"/>
        <v>2.6680374761004783E-2</v>
      </c>
      <c r="Q73" s="7">
        <f t="shared" si="12"/>
        <v>0.1691549930305328</v>
      </c>
    </row>
    <row r="74" spans="3:17" x14ac:dyDescent="0.25">
      <c r="C74" s="1">
        <f>'Result-lag'!C74</f>
        <v>41214</v>
      </c>
      <c r="D74">
        <f>IF('Result-lag'!$O74&lt;'Result -equal'!$O74,'Result-lag'!D74,'Result -equal'!D74)</f>
        <v>107252324964.50999</v>
      </c>
      <c r="E74">
        <f>IF('Result-lag'!$O74&lt;'Result -equal'!$O74,'Result-lag'!E74,'Result -equal'!E74)</f>
        <v>48700322876.149994</v>
      </c>
      <c r="F74">
        <f>IF('Result-lag'!$O74&lt;'Result -equal'!$O74,'Result-lag'!F74,'Result -equal'!F74)</f>
        <v>38620874033.32</v>
      </c>
      <c r="G74">
        <f>IF('Result-lag'!$O74&lt;'Result -equal'!$O74,'Result-lag'!G74,'Result -equal'!G74)</f>
        <v>18702888793.82</v>
      </c>
      <c r="H74">
        <f>IF('Result-lag'!$O74&lt;'Result -equal'!$O74,'Result-lag'!H74,'Result -equal'!H74)</f>
        <v>1786397242</v>
      </c>
      <c r="I74">
        <f>IF('Result-lag'!$O74&lt;'Result -equal'!$O74,'Result-lag'!I74,'Result -equal'!I74)</f>
        <v>31430630591.73</v>
      </c>
      <c r="J74">
        <f>IF('Result-lag'!$O74&lt;'Result -equal'!$O74,1,0)</f>
        <v>0</v>
      </c>
      <c r="L74" s="1">
        <f t="shared" si="7"/>
        <v>41214</v>
      </c>
      <c r="M74" s="7">
        <f t="shared" si="8"/>
        <v>0.45407242120173175</v>
      </c>
      <c r="N74" s="7">
        <f t="shared" si="9"/>
        <v>0.3600935834826865</v>
      </c>
      <c r="O74" s="7">
        <f t="shared" si="10"/>
        <v>0.17438212924529908</v>
      </c>
      <c r="P74" s="7">
        <f t="shared" si="11"/>
        <v>1.665602347166947E-2</v>
      </c>
      <c r="Q74" s="7">
        <f t="shared" si="12"/>
        <v>0.29305313989352172</v>
      </c>
    </row>
    <row r="75" spans="3:17" x14ac:dyDescent="0.25">
      <c r="C75" s="1">
        <f>'Result-lag'!C75</f>
        <v>41244</v>
      </c>
      <c r="D75">
        <f>IF('Result-lag'!$O75&lt;'Result -equal'!$O75,'Result-lag'!D75,'Result -equal'!D75)</f>
        <v>66763638723.230003</v>
      </c>
      <c r="E75">
        <f>IF('Result-lag'!$O75&lt;'Result -equal'!$O75,'Result-lag'!E75,'Result -equal'!E75)</f>
        <v>28819231552.900002</v>
      </c>
      <c r="F75">
        <f>IF('Result-lag'!$O75&lt;'Result -equal'!$O75,'Result-lag'!F75,'Result -equal'!F75)</f>
        <v>22657026327.110001</v>
      </c>
      <c r="G75">
        <f>IF('Result-lag'!$O75&lt;'Result -equal'!$O75,'Result-lag'!G75,'Result -equal'!G75)</f>
        <v>5990993955.3400002</v>
      </c>
      <c r="H75">
        <f>IF('Result-lag'!$O75&lt;'Result -equal'!$O75,'Result-lag'!H75,'Result -equal'!H75)</f>
        <v>882436640</v>
      </c>
      <c r="I75">
        <f>IF('Result-lag'!$O75&lt;'Result -equal'!$O75,'Result-lag'!I75,'Result -equal'!I75)</f>
        <v>19867296101.330002</v>
      </c>
      <c r="J75">
        <f>IF('Result-lag'!$O75&lt;'Result -equal'!$O75,1,0)</f>
        <v>0</v>
      </c>
      <c r="L75" s="1">
        <f t="shared" si="7"/>
        <v>41244</v>
      </c>
      <c r="M75" s="7">
        <f t="shared" si="8"/>
        <v>0.4316605880690641</v>
      </c>
      <c r="N75" s="7">
        <f t="shared" si="9"/>
        <v>0.33936176578144811</v>
      </c>
      <c r="O75" s="7">
        <f t="shared" si="10"/>
        <v>8.9734383414537738E-2</v>
      </c>
      <c r="P75" s="7">
        <f t="shared" si="11"/>
        <v>1.3217323933738223E-2</v>
      </c>
      <c r="Q75" s="7">
        <f t="shared" si="12"/>
        <v>0.29757659230783201</v>
      </c>
    </row>
    <row r="76" spans="3:17" x14ac:dyDescent="0.25">
      <c r="C76" s="1">
        <f>'Result-lag'!C76</f>
        <v>41275</v>
      </c>
      <c r="D76">
        <f>IF('Result-lag'!$O76&lt;'Result -equal'!$O76,'Result-lag'!D76,'Result -equal'!D76)</f>
        <v>85482757320.820007</v>
      </c>
      <c r="E76">
        <f>IF('Result-lag'!$O76&lt;'Result -equal'!$O76,'Result-lag'!E76,'Result -equal'!E76)</f>
        <v>41056601881.519997</v>
      </c>
      <c r="F76">
        <f>IF('Result-lag'!$O76&lt;'Result -equal'!$O76,'Result-lag'!F76,'Result -equal'!F76)</f>
        <v>32173182892.220001</v>
      </c>
      <c r="G76">
        <f>IF('Result-lag'!$O76&lt;'Result -equal'!$O76,'Result-lag'!G76,'Result -equal'!G76)</f>
        <v>12960800578.620001</v>
      </c>
      <c r="H76">
        <f>IF('Result-lag'!$O76&lt;'Result -equal'!$O76,'Result-lag'!H76,'Result -equal'!H76)</f>
        <v>1327173549</v>
      </c>
      <c r="I76">
        <f>IF('Result-lag'!$O76&lt;'Result -equal'!$O76,'Result-lag'!I76,'Result -equal'!I76)</f>
        <v>21485028132.099998</v>
      </c>
      <c r="J76">
        <f>IF('Result-lag'!$O76&lt;'Result -equal'!$O76,1,0)</f>
        <v>0</v>
      </c>
      <c r="L76" s="1">
        <f t="shared" si="7"/>
        <v>41275</v>
      </c>
      <c r="M76" s="7">
        <f t="shared" si="8"/>
        <v>0.48029103375120463</v>
      </c>
      <c r="N76" s="7">
        <f t="shared" si="9"/>
        <v>0.37637043891170746</v>
      </c>
      <c r="O76" s="7">
        <f t="shared" si="10"/>
        <v>0.15161888765447315</v>
      </c>
      <c r="P76" s="7">
        <f t="shared" si="11"/>
        <v>1.5525628683443933E-2</v>
      </c>
      <c r="Q76" s="7">
        <f t="shared" si="12"/>
        <v>0.25133756567381044</v>
      </c>
    </row>
    <row r="77" spans="3:17" x14ac:dyDescent="0.25">
      <c r="C77" s="1">
        <f>'Result-lag'!C77</f>
        <v>41306</v>
      </c>
      <c r="D77">
        <f>IF('Result-lag'!$O77&lt;'Result -equal'!$O77,'Result-lag'!D77,'Result -equal'!D77)</f>
        <v>77430427923.440002</v>
      </c>
      <c r="E77">
        <f>IF('Result-lag'!$O77&lt;'Result -equal'!$O77,'Result-lag'!E77,'Result -equal'!E77)</f>
        <v>40621858362.690002</v>
      </c>
      <c r="F77">
        <f>IF('Result-lag'!$O77&lt;'Result -equal'!$O77,'Result-lag'!F77,'Result -equal'!F77)</f>
        <v>32295164207.330002</v>
      </c>
      <c r="G77">
        <f>IF('Result-lag'!$O77&lt;'Result -equal'!$O77,'Result-lag'!G77,'Result -equal'!G77)</f>
        <v>12090154945.85</v>
      </c>
      <c r="H77">
        <f>IF('Result-lag'!$O77&lt;'Result -equal'!$O77,'Result-lag'!H77,'Result -equal'!H77)</f>
        <v>1475078768</v>
      </c>
      <c r="I77">
        <f>IF('Result-lag'!$O77&lt;'Result -equal'!$O77,'Result-lag'!I77,'Result -equal'!I77)</f>
        <v>16529578836.889999</v>
      </c>
      <c r="J77">
        <f>IF('Result-lag'!$O77&lt;'Result -equal'!$O77,1,0)</f>
        <v>0</v>
      </c>
      <c r="L77" s="1">
        <f t="shared" si="7"/>
        <v>41306</v>
      </c>
      <c r="M77" s="7">
        <f t="shared" si="8"/>
        <v>0.52462396827840363</v>
      </c>
      <c r="N77" s="7">
        <f t="shared" si="9"/>
        <v>0.41708621627743192</v>
      </c>
      <c r="O77" s="7">
        <f t="shared" si="10"/>
        <v>0.15614216878414058</v>
      </c>
      <c r="P77" s="7">
        <f t="shared" si="11"/>
        <v>1.9050376028639501E-2</v>
      </c>
      <c r="Q77" s="7">
        <f t="shared" si="12"/>
        <v>0.21347652699574077</v>
      </c>
    </row>
    <row r="78" spans="3:17" x14ac:dyDescent="0.25">
      <c r="C78" s="1">
        <f>'Result-lag'!C78</f>
        <v>41334</v>
      </c>
      <c r="D78">
        <f>IF('Result-lag'!$O78&lt;'Result -equal'!$O78,'Result-lag'!D78,'Result -equal'!D78)</f>
        <v>66573031434.919998</v>
      </c>
      <c r="E78">
        <f>IF('Result-lag'!$O78&lt;'Result -equal'!$O78,'Result-lag'!E78,'Result -equal'!E78)</f>
        <v>32588531726.600002</v>
      </c>
      <c r="F78">
        <f>IF('Result-lag'!$O78&lt;'Result -equal'!$O78,'Result-lag'!F78,'Result -equal'!F78)</f>
        <v>26611199048.840004</v>
      </c>
      <c r="G78">
        <f>IF('Result-lag'!$O78&lt;'Result -equal'!$O78,'Result-lag'!G78,'Result -equal'!G78)</f>
        <v>10298222135.870001</v>
      </c>
      <c r="H78">
        <f>IF('Result-lag'!$O78&lt;'Result -equal'!$O78,'Result-lag'!H78,'Result -equal'!H78)</f>
        <v>873595500</v>
      </c>
      <c r="I78">
        <f>IF('Result-lag'!$O78&lt;'Result -equal'!$O78,'Result-lag'!I78,'Result -equal'!I78)</f>
        <v>17101890565.92</v>
      </c>
      <c r="J78">
        <f>IF('Result-lag'!$O78&lt;'Result -equal'!$O78,1,0)</f>
        <v>0</v>
      </c>
      <c r="L78" s="1">
        <f t="shared" si="7"/>
        <v>41334</v>
      </c>
      <c r="M78" s="7">
        <f t="shared" si="8"/>
        <v>0.48951551437848634</v>
      </c>
      <c r="N78" s="7">
        <f t="shared" si="9"/>
        <v>0.39972941708166609</v>
      </c>
      <c r="O78" s="7">
        <f t="shared" si="10"/>
        <v>0.15469059938989357</v>
      </c>
      <c r="P78" s="7">
        <f t="shared" si="11"/>
        <v>1.3122363232835558E-2</v>
      </c>
      <c r="Q78" s="7">
        <f t="shared" si="12"/>
        <v>0.25688916663857114</v>
      </c>
    </row>
    <row r="79" spans="3:17" x14ac:dyDescent="0.25">
      <c r="C79" s="1">
        <f>'Result-lag'!C79</f>
        <v>41365</v>
      </c>
      <c r="D79">
        <f>IF('Result-lag'!$O79&lt;'Result -equal'!$O79,'Result-lag'!D79,'Result -equal'!D79)</f>
        <v>73548428684.190002</v>
      </c>
      <c r="E79">
        <f>IF('Result-lag'!$O79&lt;'Result -equal'!$O79,'Result-lag'!E79,'Result -equal'!E79)</f>
        <v>37376512403.469994</v>
      </c>
      <c r="F79">
        <f>IF('Result-lag'!$O79&lt;'Result -equal'!$O79,'Result-lag'!F79,'Result -equal'!F79)</f>
        <v>29789895298.389999</v>
      </c>
      <c r="G79">
        <f>IF('Result-lag'!$O79&lt;'Result -equal'!$O79,'Result-lag'!G79,'Result -equal'!G79)</f>
        <v>10983062364.98</v>
      </c>
      <c r="H79">
        <f>IF('Result-lag'!$O79&lt;'Result -equal'!$O79,'Result-lag'!H79,'Result -equal'!H79)</f>
        <v>1534207191</v>
      </c>
      <c r="I79">
        <f>IF('Result-lag'!$O79&lt;'Result -equal'!$O79,'Result-lag'!I79,'Result -equal'!I79)</f>
        <v>17313570300.029999</v>
      </c>
      <c r="J79">
        <f>IF('Result-lag'!$O79&lt;'Result -equal'!$O79,1,0)</f>
        <v>0</v>
      </c>
      <c r="L79" s="1">
        <f t="shared" si="7"/>
        <v>41365</v>
      </c>
      <c r="M79" s="7">
        <f t="shared" si="8"/>
        <v>0.50818913567767987</v>
      </c>
      <c r="N79" s="7">
        <f t="shared" si="9"/>
        <v>0.40503782108391456</v>
      </c>
      <c r="O79" s="7">
        <f t="shared" si="10"/>
        <v>0.14933102666462436</v>
      </c>
      <c r="P79" s="7">
        <f t="shared" si="11"/>
        <v>2.085982281943426E-2</v>
      </c>
      <c r="Q79" s="7">
        <f t="shared" si="12"/>
        <v>0.23540367360359027</v>
      </c>
    </row>
    <row r="80" spans="3:17" x14ac:dyDescent="0.25">
      <c r="C80" s="1">
        <f>'Result-lag'!C80</f>
        <v>41395</v>
      </c>
      <c r="D80">
        <f>IF('Result-lag'!$O80&lt;'Result -equal'!$O80,'Result-lag'!D80,'Result -equal'!D80)</f>
        <v>73509211252.020004</v>
      </c>
      <c r="E80">
        <f>IF('Result-lag'!$O80&lt;'Result -equal'!$O80,'Result-lag'!E80,'Result -equal'!E80)</f>
        <v>38541437156.089996</v>
      </c>
      <c r="F80">
        <f>IF('Result-lag'!$O80&lt;'Result -equal'!$O80,'Result-lag'!F80,'Result -equal'!F80)</f>
        <v>31823204951.040001</v>
      </c>
      <c r="G80">
        <f>IF('Result-lag'!$O80&lt;'Result -equal'!$O80,'Result-lag'!G80,'Result -equal'!G80)</f>
        <v>16565187107.59</v>
      </c>
      <c r="H80">
        <f>IF('Result-lag'!$O80&lt;'Result -equal'!$O80,'Result-lag'!H80,'Result -equal'!H80)</f>
        <v>1288259374</v>
      </c>
      <c r="I80">
        <f>IF('Result-lag'!$O80&lt;'Result -equal'!$O80,'Result-lag'!I80,'Result -equal'!I80)</f>
        <v>18085571772.66</v>
      </c>
      <c r="J80">
        <f>IF('Result-lag'!$O80&lt;'Result -equal'!$O80,1,0)</f>
        <v>0</v>
      </c>
      <c r="L80" s="1">
        <f t="shared" si="7"/>
        <v>41395</v>
      </c>
      <c r="M80" s="7">
        <f t="shared" si="8"/>
        <v>0.52430758675880762</v>
      </c>
      <c r="N80" s="7">
        <f t="shared" si="9"/>
        <v>0.43291452062975999</v>
      </c>
      <c r="O80" s="7">
        <f t="shared" si="10"/>
        <v>0.22534845396174477</v>
      </c>
      <c r="P80" s="7">
        <f t="shared" si="11"/>
        <v>1.7525142115636549E-2</v>
      </c>
      <c r="Q80" s="7">
        <f t="shared" si="12"/>
        <v>0.24603136756093291</v>
      </c>
    </row>
    <row r="81" spans="3:17" x14ac:dyDescent="0.25">
      <c r="C81" s="1">
        <f>'Result-lag'!C81</f>
        <v>41426</v>
      </c>
      <c r="D81">
        <f>IF('Result-lag'!$O81&lt;'Result -equal'!$O81,'Result-lag'!D81,'Result -equal'!D81)</f>
        <v>66542000148.940002</v>
      </c>
      <c r="E81">
        <f>IF('Result-lag'!$O81&lt;'Result -equal'!$O81,'Result-lag'!E81,'Result -equal'!E81)</f>
        <v>35492363841.889999</v>
      </c>
      <c r="F81">
        <f>IF('Result-lag'!$O81&lt;'Result -equal'!$O81,'Result-lag'!F81,'Result -equal'!F81)</f>
        <v>29184629174.119999</v>
      </c>
      <c r="G81">
        <f>IF('Result-lag'!$O81&lt;'Result -equal'!$O81,'Result-lag'!G81,'Result -equal'!G81)</f>
        <v>15486832649.959999</v>
      </c>
      <c r="H81">
        <f>IF('Result-lag'!$O81&lt;'Result -equal'!$O81,'Result-lag'!H81,'Result -equal'!H81)</f>
        <v>967290699</v>
      </c>
      <c r="I81">
        <f>IF('Result-lag'!$O81&lt;'Result -equal'!$O81,'Result-lag'!I81,'Result -equal'!I81)</f>
        <v>16273944179.76</v>
      </c>
      <c r="J81">
        <f>IF('Result-lag'!$O81&lt;'Result -equal'!$O81,1,0)</f>
        <v>0</v>
      </c>
      <c r="L81" s="1">
        <f t="shared" si="7"/>
        <v>41426</v>
      </c>
      <c r="M81" s="7">
        <f t="shared" si="8"/>
        <v>0.5333828824268575</v>
      </c>
      <c r="N81" s="7">
        <f t="shared" si="9"/>
        <v>0.43858959918241808</v>
      </c>
      <c r="O81" s="7">
        <f t="shared" si="10"/>
        <v>0.23273770874479344</v>
      </c>
      <c r="P81" s="7">
        <f t="shared" si="11"/>
        <v>1.4536543789410104E-2</v>
      </c>
      <c r="Q81" s="7">
        <f t="shared" si="12"/>
        <v>0.24456650150783363</v>
      </c>
    </row>
    <row r="82" spans="3:17" x14ac:dyDescent="0.25">
      <c r="C82" s="1">
        <f>'Result-lag'!C82</f>
        <v>41456</v>
      </c>
      <c r="D82">
        <f>IF('Result-lag'!$O82&lt;'Result -equal'!$O82,'Result-lag'!D82,'Result -equal'!D82)</f>
        <v>71866974614.360001</v>
      </c>
      <c r="E82">
        <f>IF('Result-lag'!$O82&lt;'Result -equal'!$O82,'Result-lag'!E82,'Result -equal'!E82)</f>
        <v>37466696964.239998</v>
      </c>
      <c r="F82">
        <f>IF('Result-lag'!$O82&lt;'Result -equal'!$O82,'Result-lag'!F82,'Result -equal'!F82)</f>
        <v>29824408490.139999</v>
      </c>
      <c r="G82">
        <f>IF('Result-lag'!$O82&lt;'Result -equal'!$O82,'Result-lag'!G82,'Result -equal'!G82)</f>
        <v>16978552578.67</v>
      </c>
      <c r="H82">
        <f>IF('Result-lag'!$O82&lt;'Result -equal'!$O82,'Result-lag'!H82,'Result -equal'!H82)</f>
        <v>689921868</v>
      </c>
      <c r="I82">
        <f>IF('Result-lag'!$O82&lt;'Result -equal'!$O82,'Result-lag'!I82,'Result -equal'!I82)</f>
        <v>18755440365.549999</v>
      </c>
      <c r="J82">
        <f>IF('Result-lag'!$O82&lt;'Result -equal'!$O82,1,0)</f>
        <v>0</v>
      </c>
      <c r="L82" s="1">
        <f t="shared" si="7"/>
        <v>41456</v>
      </c>
      <c r="M82" s="7">
        <f t="shared" si="8"/>
        <v>0.52133399472132003</v>
      </c>
      <c r="N82" s="7">
        <f t="shared" si="9"/>
        <v>0.41499462931587877</v>
      </c>
      <c r="O82" s="7">
        <f t="shared" si="10"/>
        <v>0.2362497192872991</v>
      </c>
      <c r="P82" s="7">
        <f t="shared" si="11"/>
        <v>9.5999848567737568E-3</v>
      </c>
      <c r="Q82" s="7">
        <f t="shared" si="12"/>
        <v>0.26097439701882769</v>
      </c>
    </row>
    <row r="83" spans="3:17" x14ac:dyDescent="0.25">
      <c r="C83" s="1">
        <f>'Result-lag'!C83</f>
        <v>41487</v>
      </c>
      <c r="D83">
        <f>IF('Result-lag'!$O83&lt;'Result -equal'!$O83,'Result-lag'!D83,'Result -equal'!D83)</f>
        <v>65043206114.970001</v>
      </c>
      <c r="E83">
        <f>IF('Result-lag'!$O83&lt;'Result -equal'!$O83,'Result-lag'!E83,'Result -equal'!E83)</f>
        <v>35770897100.520004</v>
      </c>
      <c r="F83">
        <f>IF('Result-lag'!$O83&lt;'Result -equal'!$O83,'Result-lag'!F83,'Result -equal'!F83)</f>
        <v>27875191616.209999</v>
      </c>
      <c r="G83">
        <f>IF('Result-lag'!$O83&lt;'Result -equal'!$O83,'Result-lag'!G83,'Result -equal'!G83)</f>
        <v>16043754924.049999</v>
      </c>
      <c r="H83">
        <f>IF('Result-lag'!$O83&lt;'Result -equal'!$O83,'Result-lag'!H83,'Result -equal'!H83)</f>
        <v>1050686660</v>
      </c>
      <c r="I83">
        <f>IF('Result-lag'!$O83&lt;'Result -equal'!$O83,'Result-lag'!I83,'Result -equal'!I83)</f>
        <v>14735430738.82</v>
      </c>
      <c r="J83">
        <f>IF('Result-lag'!$O83&lt;'Result -equal'!$O83,1,0)</f>
        <v>0</v>
      </c>
      <c r="L83" s="1">
        <f t="shared" si="7"/>
        <v>41487</v>
      </c>
      <c r="M83" s="7">
        <f t="shared" si="8"/>
        <v>0.54995593294235179</v>
      </c>
      <c r="N83" s="7">
        <f t="shared" si="9"/>
        <v>0.42856423108876229</v>
      </c>
      <c r="O83" s="7">
        <f t="shared" si="10"/>
        <v>0.24666303957543467</v>
      </c>
      <c r="P83" s="7">
        <f t="shared" si="11"/>
        <v>1.6153672654801367E-2</v>
      </c>
      <c r="Q83" s="7">
        <f t="shared" si="12"/>
        <v>0.22654834561466322</v>
      </c>
    </row>
    <row r="84" spans="3:17" x14ac:dyDescent="0.25">
      <c r="C84" s="1">
        <f>'Result-lag'!C84</f>
        <v>41518</v>
      </c>
      <c r="D84">
        <f>IF('Result-lag'!$O84&lt;'Result -equal'!$O84,'Result-lag'!D84,'Result -equal'!D84)</f>
        <v>52117579911.449997</v>
      </c>
      <c r="E84">
        <f>IF('Result-lag'!$O84&lt;'Result -equal'!$O84,'Result-lag'!E84,'Result -equal'!E84)</f>
        <v>28474515807.220001</v>
      </c>
      <c r="F84">
        <f>IF('Result-lag'!$O84&lt;'Result -equal'!$O84,'Result-lag'!F84,'Result -equal'!F84)</f>
        <v>23217757702.279999</v>
      </c>
      <c r="G84">
        <f>IF('Result-lag'!$O84&lt;'Result -equal'!$O84,'Result-lag'!G84,'Result -equal'!G84)</f>
        <v>12954391824.35</v>
      </c>
      <c r="H84">
        <f>IF('Result-lag'!$O84&lt;'Result -equal'!$O84,'Result-lag'!H84,'Result -equal'!H84)</f>
        <v>760592802</v>
      </c>
      <c r="I84">
        <f>IF('Result-lag'!$O84&lt;'Result -equal'!$O84,'Result-lag'!I84,'Result -equal'!I84)</f>
        <v>11965840960.209999</v>
      </c>
      <c r="J84">
        <f>IF('Result-lag'!$O84&lt;'Result -equal'!$O84,1,0)</f>
        <v>0</v>
      </c>
      <c r="L84" s="1">
        <f t="shared" si="7"/>
        <v>41518</v>
      </c>
      <c r="M84" s="7">
        <f t="shared" si="8"/>
        <v>0.54635145867477775</v>
      </c>
      <c r="N84" s="7">
        <f t="shared" si="9"/>
        <v>0.44548802422767836</v>
      </c>
      <c r="O84" s="7">
        <f t="shared" si="10"/>
        <v>0.24856088571956081</v>
      </c>
      <c r="P84" s="7">
        <f t="shared" si="11"/>
        <v>1.4593785883617002E-2</v>
      </c>
      <c r="Q84" s="7">
        <f t="shared" si="12"/>
        <v>0.22959318104448587</v>
      </c>
    </row>
    <row r="85" spans="3:17" x14ac:dyDescent="0.25">
      <c r="C85" s="1">
        <f>'Result-lag'!C85</f>
        <v>41548</v>
      </c>
      <c r="D85">
        <f>IF('Result-lag'!$O85&lt;'Result -equal'!$O85,'Result-lag'!D85,'Result -equal'!D85)</f>
        <v>47175834172.419998</v>
      </c>
      <c r="E85">
        <f>IF('Result-lag'!$O85&lt;'Result -equal'!$O85,'Result-lag'!E85,'Result -equal'!E85)</f>
        <v>21846439126.260002</v>
      </c>
      <c r="F85">
        <f>IF('Result-lag'!$O85&lt;'Result -equal'!$O85,'Result-lag'!F85,'Result -equal'!F85)</f>
        <v>16622350119.240002</v>
      </c>
      <c r="G85">
        <f>IF('Result-lag'!$O85&lt;'Result -equal'!$O85,'Result-lag'!G85,'Result -equal'!G85)</f>
        <v>9148941452.2000008</v>
      </c>
      <c r="H85">
        <f>IF('Result-lag'!$O85&lt;'Result -equal'!$O85,'Result-lag'!H85,'Result -equal'!H85)</f>
        <v>1114601890</v>
      </c>
      <c r="I85">
        <f>IF('Result-lag'!$O85&lt;'Result -equal'!$O85,'Result-lag'!I85,'Result -equal'!I85)</f>
        <v>12862580723.85</v>
      </c>
      <c r="J85">
        <f>IF('Result-lag'!$O85&lt;'Result -equal'!$O85,1,0)</f>
        <v>0</v>
      </c>
      <c r="L85" s="1">
        <f t="shared" si="7"/>
        <v>41548</v>
      </c>
      <c r="M85" s="7">
        <f t="shared" si="8"/>
        <v>0.46308538067212168</v>
      </c>
      <c r="N85" s="7">
        <f t="shared" si="9"/>
        <v>0.35234883305906189</v>
      </c>
      <c r="O85" s="7">
        <f t="shared" si="10"/>
        <v>0.19393279658314272</v>
      </c>
      <c r="P85" s="7">
        <f t="shared" si="11"/>
        <v>2.3626543325684743E-2</v>
      </c>
      <c r="Q85" s="7">
        <f t="shared" si="12"/>
        <v>0.27265189793654437</v>
      </c>
    </row>
    <row r="86" spans="3:17" x14ac:dyDescent="0.25">
      <c r="C86" s="1">
        <f>'Result-lag'!C86</f>
        <v>41579</v>
      </c>
      <c r="D86">
        <f>IF('Result-lag'!$O86&lt;'Result -equal'!$O86,'Result-lag'!D86,'Result -equal'!D86)</f>
        <v>38757040631.290001</v>
      </c>
      <c r="E86">
        <f>IF('Result-lag'!$O86&lt;'Result -equal'!$O86,'Result-lag'!E86,'Result -equal'!E86)</f>
        <v>19735518182.900002</v>
      </c>
      <c r="F86">
        <f>IF('Result-lag'!$O86&lt;'Result -equal'!$O86,'Result-lag'!F86,'Result -equal'!F86)</f>
        <v>15129673981.85</v>
      </c>
      <c r="G86">
        <f>IF('Result-lag'!$O86&lt;'Result -equal'!$O86,'Result-lag'!G86,'Result -equal'!G86)</f>
        <v>7277980089.6000004</v>
      </c>
      <c r="H86">
        <f>IF('Result-lag'!$O86&lt;'Result -equal'!$O86,'Result-lag'!H86,'Result -equal'!H86)</f>
        <v>1144678013</v>
      </c>
      <c r="I86">
        <f>IF('Result-lag'!$O86&lt;'Result -equal'!$O86,'Result-lag'!I86,'Result -equal'!I86)</f>
        <v>9165938632.2299995</v>
      </c>
      <c r="J86">
        <f>IF('Result-lag'!$O86&lt;'Result -equal'!$O86,1,0)</f>
        <v>0</v>
      </c>
      <c r="L86" s="1">
        <f t="shared" si="7"/>
        <v>41579</v>
      </c>
      <c r="M86" s="7">
        <f t="shared" si="8"/>
        <v>0.5092111745747373</v>
      </c>
      <c r="N86" s="7">
        <f t="shared" si="9"/>
        <v>0.39037227134507407</v>
      </c>
      <c r="O86" s="7">
        <f t="shared" si="10"/>
        <v>0.18778472171903177</v>
      </c>
      <c r="P86" s="7">
        <f t="shared" si="11"/>
        <v>2.9534711483514529E-2</v>
      </c>
      <c r="Q86" s="7">
        <f t="shared" si="12"/>
        <v>0.23649738171262735</v>
      </c>
    </row>
    <row r="87" spans="3:17" x14ac:dyDescent="0.25">
      <c r="C87" s="1">
        <f>'Result-lag'!C87</f>
        <v>41609</v>
      </c>
      <c r="D87">
        <f>IF('Result-lag'!$O87&lt;'Result -equal'!$O87,'Result-lag'!D87,'Result -equal'!D87)</f>
        <v>37790142776.290001</v>
      </c>
      <c r="E87">
        <f>IF('Result-lag'!$O87&lt;'Result -equal'!$O87,'Result-lag'!E87,'Result -equal'!E87)</f>
        <v>17148936693.369997</v>
      </c>
      <c r="F87">
        <f>IF('Result-lag'!$O87&lt;'Result -equal'!$O87,'Result-lag'!F87,'Result -equal'!F87)</f>
        <v>12929026951.82</v>
      </c>
      <c r="G87">
        <f>IF('Result-lag'!$O87&lt;'Result -equal'!$O87,'Result-lag'!G87,'Result -equal'!G87)</f>
        <v>6588450968.0200005</v>
      </c>
      <c r="H87">
        <f>IF('Result-lag'!$O87&lt;'Result -equal'!$O87,'Result-lag'!H87,'Result -equal'!H87)</f>
        <v>856201500</v>
      </c>
      <c r="I87">
        <f>IF('Result-lag'!$O87&lt;'Result -equal'!$O87,'Result-lag'!I87,'Result -equal'!I87)</f>
        <v>10518511717.99</v>
      </c>
      <c r="J87">
        <f>IF('Result-lag'!$O87&lt;'Result -equal'!$O87,1,0)</f>
        <v>0</v>
      </c>
      <c r="L87" s="1">
        <f t="shared" si="7"/>
        <v>41609</v>
      </c>
      <c r="M87" s="7">
        <f t="shared" si="8"/>
        <v>0.45379391115001161</v>
      </c>
      <c r="N87" s="7">
        <f t="shared" si="9"/>
        <v>0.34212696756287014</v>
      </c>
      <c r="O87" s="7">
        <f t="shared" si="10"/>
        <v>0.17434310865196506</v>
      </c>
      <c r="P87" s="7">
        <f t="shared" si="11"/>
        <v>2.2656741602394562E-2</v>
      </c>
      <c r="Q87" s="7">
        <f t="shared" si="12"/>
        <v>0.27834008937879545</v>
      </c>
    </row>
    <row r="88" spans="3:17" x14ac:dyDescent="0.25">
      <c r="C88" s="1">
        <f>'Result-lag'!C88</f>
        <v>41640</v>
      </c>
      <c r="D88">
        <f>IF('Result-lag'!$O88&lt;'Result -equal'!$O88,'Result-lag'!D88,'Result -equal'!D88)</f>
        <v>28108964119.139999</v>
      </c>
      <c r="E88">
        <f>IF('Result-lag'!$O88&lt;'Result -equal'!$O88,'Result-lag'!E88,'Result -equal'!E88)</f>
        <v>11561109174.170002</v>
      </c>
      <c r="F88">
        <f>IF('Result-lag'!$O88&lt;'Result -equal'!$O88,'Result-lag'!F88,'Result -equal'!F88)</f>
        <v>8967497119.7200012</v>
      </c>
      <c r="G88">
        <f>IF('Result-lag'!$O88&lt;'Result -equal'!$O88,'Result-lag'!G88,'Result -equal'!G88)</f>
        <v>3105702600.8000002</v>
      </c>
      <c r="H88">
        <f>IF('Result-lag'!$O88&lt;'Result -equal'!$O88,'Result-lag'!H88,'Result -equal'!H88)</f>
        <v>690934900</v>
      </c>
      <c r="I88">
        <f>IF('Result-lag'!$O88&lt;'Result -equal'!$O88,'Result-lag'!I88,'Result -equal'!I88)</f>
        <v>9006175235.8600006</v>
      </c>
      <c r="J88">
        <f>IF('Result-lag'!$O88&lt;'Result -equal'!$O88,1,0)</f>
        <v>0</v>
      </c>
      <c r="L88" s="1">
        <f t="shared" si="7"/>
        <v>41640</v>
      </c>
      <c r="M88" s="7">
        <f t="shared" si="8"/>
        <v>0.41129616606176511</v>
      </c>
      <c r="N88" s="7">
        <f t="shared" si="9"/>
        <v>0.3190262395195787</v>
      </c>
      <c r="O88" s="7">
        <f t="shared" si="10"/>
        <v>0.11048797770122237</v>
      </c>
      <c r="P88" s="7">
        <f t="shared" si="11"/>
        <v>2.4580589205332102E-2</v>
      </c>
      <c r="Q88" s="7">
        <f t="shared" si="12"/>
        <v>0.32040224597702277</v>
      </c>
    </row>
    <row r="89" spans="3:17" x14ac:dyDescent="0.25">
      <c r="C89" s="1">
        <f>'Result-lag'!C89</f>
        <v>41671</v>
      </c>
      <c r="D89">
        <f>IF('Result-lag'!$O89&lt;'Result -equal'!$O89,'Result-lag'!D89,'Result -equal'!D89)</f>
        <v>27585216807.849998</v>
      </c>
      <c r="E89">
        <f>IF('Result-lag'!$O89&lt;'Result -equal'!$O89,'Result-lag'!E89,'Result -equal'!E89)</f>
        <v>13447219374.819998</v>
      </c>
      <c r="F89">
        <f>IF('Result-lag'!$O89&lt;'Result -equal'!$O89,'Result-lag'!F89,'Result -equal'!F89)</f>
        <v>10862978588.139999</v>
      </c>
      <c r="G89">
        <f>IF('Result-lag'!$O89&lt;'Result -equal'!$O89,'Result-lag'!G89,'Result -equal'!G89)</f>
        <v>4228977520.5</v>
      </c>
      <c r="H89">
        <f>IF('Result-lag'!$O89&lt;'Result -equal'!$O89,'Result-lag'!H89,'Result -equal'!H89)</f>
        <v>732302230</v>
      </c>
      <c r="I89">
        <f>IF('Result-lag'!$O89&lt;'Result -equal'!$O89,'Result-lag'!I89,'Result -equal'!I89)</f>
        <v>6917280577.9399996</v>
      </c>
      <c r="J89">
        <f>IF('Result-lag'!$O89&lt;'Result -equal'!$O89,1,0)</f>
        <v>0</v>
      </c>
      <c r="L89" s="1">
        <f t="shared" si="7"/>
        <v>41671</v>
      </c>
      <c r="M89" s="7">
        <f t="shared" si="8"/>
        <v>0.48747919831441333</v>
      </c>
      <c r="N89" s="7">
        <f t="shared" si="9"/>
        <v>0.39379710747999969</v>
      </c>
      <c r="O89" s="7">
        <f t="shared" si="10"/>
        <v>0.15330593737789833</v>
      </c>
      <c r="P89" s="7">
        <f t="shared" si="11"/>
        <v>2.6546908625043209E-2</v>
      </c>
      <c r="Q89" s="7">
        <f t="shared" si="12"/>
        <v>0.25076042092123529</v>
      </c>
    </row>
    <row r="90" spans="3:17" x14ac:dyDescent="0.25">
      <c r="C90" s="1">
        <f>'Result-lag'!C90</f>
        <v>41699</v>
      </c>
      <c r="D90">
        <f>IF('Result-lag'!$O90&lt;'Result -equal'!$O90,'Result-lag'!D90,'Result -equal'!D90)</f>
        <v>23463509422.790001</v>
      </c>
      <c r="E90">
        <f>IF('Result-lag'!$O90&lt;'Result -equal'!$O90,'Result-lag'!E90,'Result -equal'!E90)</f>
        <v>9860110204.4599991</v>
      </c>
      <c r="F90">
        <f>IF('Result-lag'!$O90&lt;'Result -equal'!$O90,'Result-lag'!F90,'Result -equal'!F90)</f>
        <v>7601988463.4200001</v>
      </c>
      <c r="G90">
        <f>IF('Result-lag'!$O90&lt;'Result -equal'!$O90,'Result-lag'!G90,'Result -equal'!G90)</f>
        <v>2771745679.8800001</v>
      </c>
      <c r="H90">
        <f>IF('Result-lag'!$O90&lt;'Result -equal'!$O90,'Result-lag'!H90,'Result -equal'!H90)</f>
        <v>619867269</v>
      </c>
      <c r="I90">
        <f>IF('Result-lag'!$O90&lt;'Result -equal'!$O90,'Result-lag'!I90,'Result -equal'!I90)</f>
        <v>7075975646.0799999</v>
      </c>
      <c r="J90">
        <f>IF('Result-lag'!$O90&lt;'Result -equal'!$O90,1,0)</f>
        <v>0</v>
      </c>
      <c r="L90" s="1">
        <f t="shared" si="7"/>
        <v>41699</v>
      </c>
      <c r="M90" s="7">
        <f t="shared" si="8"/>
        <v>0.42023168941995176</v>
      </c>
      <c r="N90" s="7">
        <f t="shared" si="9"/>
        <v>0.32399196243151174</v>
      </c>
      <c r="O90" s="7">
        <f t="shared" si="10"/>
        <v>0.11813005590663331</v>
      </c>
      <c r="P90" s="7">
        <f t="shared" si="11"/>
        <v>2.6418352763458552E-2</v>
      </c>
      <c r="Q90" s="7">
        <f t="shared" si="12"/>
        <v>0.30157362731114457</v>
      </c>
    </row>
    <row r="91" spans="3:17" x14ac:dyDescent="0.25">
      <c r="C91" s="1">
        <f>'Result-lag'!C91</f>
        <v>41730</v>
      </c>
      <c r="D91">
        <f>IF('Result-lag'!$O91&lt;'Result -equal'!$O91,'Result-lag'!D91,'Result -equal'!D91)</f>
        <v>27198516722.27</v>
      </c>
      <c r="E91">
        <f>IF('Result-lag'!$O91&lt;'Result -equal'!$O91,'Result-lag'!E91,'Result -equal'!E91)</f>
        <v>12276303521.109999</v>
      </c>
      <c r="F91">
        <f>IF('Result-lag'!$O91&lt;'Result -equal'!$O91,'Result-lag'!F91,'Result -equal'!F91)</f>
        <v>9017573459.2299995</v>
      </c>
      <c r="G91">
        <f>IF('Result-lag'!$O91&lt;'Result -equal'!$O91,'Result-lag'!G91,'Result -equal'!G91)</f>
        <v>3281937556.02</v>
      </c>
      <c r="H91">
        <f>IF('Result-lag'!$O91&lt;'Result -equal'!$O91,'Result-lag'!H91,'Result -equal'!H91)</f>
        <v>800224200</v>
      </c>
      <c r="I91">
        <f>IF('Result-lag'!$O91&lt;'Result -equal'!$O91,'Result-lag'!I91,'Result -equal'!I91)</f>
        <v>8041639908.1300001</v>
      </c>
      <c r="J91">
        <f>IF('Result-lag'!$O91&lt;'Result -equal'!$O91,1,0)</f>
        <v>0</v>
      </c>
      <c r="L91" s="1">
        <f t="shared" si="7"/>
        <v>41730</v>
      </c>
      <c r="M91" s="7">
        <f t="shared" si="8"/>
        <v>0.45135930192319007</v>
      </c>
      <c r="N91" s="7">
        <f t="shared" si="9"/>
        <v>0.33154651598505952</v>
      </c>
      <c r="O91" s="7">
        <f t="shared" si="10"/>
        <v>0.12066604916483431</v>
      </c>
      <c r="P91" s="7">
        <f t="shared" si="11"/>
        <v>2.9421611780203465E-2</v>
      </c>
      <c r="Q91" s="7">
        <f t="shared" si="12"/>
        <v>0.29566464929852398</v>
      </c>
    </row>
    <row r="92" spans="3:17" x14ac:dyDescent="0.25">
      <c r="C92" s="1">
        <f>'Result-lag'!C92</f>
        <v>41760</v>
      </c>
      <c r="D92">
        <f>IF('Result-lag'!$O92&lt;'Result -equal'!$O92,'Result-lag'!D92,'Result -equal'!D92)</f>
        <v>27487631130.209999</v>
      </c>
      <c r="E92">
        <f>IF('Result-lag'!$O92&lt;'Result -equal'!$O92,'Result-lag'!E92,'Result -equal'!E92)</f>
        <v>10540781524.629999</v>
      </c>
      <c r="F92">
        <f>IF('Result-lag'!$O92&lt;'Result -equal'!$O92,'Result-lag'!F92,'Result -equal'!F92)</f>
        <v>7511955198.1200008</v>
      </c>
      <c r="G92">
        <f>IF('Result-lag'!$O92&lt;'Result -equal'!$O92,'Result-lag'!G92,'Result -equal'!G92)</f>
        <v>3701376306.8000002</v>
      </c>
      <c r="H92">
        <f>IF('Result-lag'!$O92&lt;'Result -equal'!$O92,'Result-lag'!H92,'Result -equal'!H92)</f>
        <v>603934000</v>
      </c>
      <c r="I92">
        <f>IF('Result-lag'!$O92&lt;'Result -equal'!$O92,'Result-lag'!I92,'Result -equal'!I92)</f>
        <v>8490172743.6300001</v>
      </c>
      <c r="J92">
        <f>IF('Result-lag'!$O92&lt;'Result -equal'!$O92,1,0)</f>
        <v>0</v>
      </c>
      <c r="L92" s="1">
        <f t="shared" si="7"/>
        <v>41760</v>
      </c>
      <c r="M92" s="7">
        <f t="shared" si="8"/>
        <v>0.38347362399829577</v>
      </c>
      <c r="N92" s="7">
        <f t="shared" si="9"/>
        <v>0.27328492450060798</v>
      </c>
      <c r="O92" s="7">
        <f t="shared" si="10"/>
        <v>0.13465606727864013</v>
      </c>
      <c r="P92" s="7">
        <f t="shared" si="11"/>
        <v>2.197111846921769E-2</v>
      </c>
      <c r="Q92" s="7">
        <f t="shared" si="12"/>
        <v>0.30887247807611051</v>
      </c>
    </row>
    <row r="93" spans="3:17" x14ac:dyDescent="0.25">
      <c r="C93" s="1">
        <f>'Result-lag'!C93</f>
        <v>41791</v>
      </c>
      <c r="D93">
        <f>IF('Result-lag'!$O93&lt;'Result -equal'!$O93,'Result-lag'!D93,'Result -equal'!D93)</f>
        <v>31582304306.349998</v>
      </c>
      <c r="E93">
        <f>IF('Result-lag'!$O93&lt;'Result -equal'!$O93,'Result-lag'!E93,'Result -equal'!E93)</f>
        <v>13048715246.830002</v>
      </c>
      <c r="F93">
        <f>IF('Result-lag'!$O93&lt;'Result -equal'!$O93,'Result-lag'!F93,'Result -equal'!F93)</f>
        <v>9698417154.789999</v>
      </c>
      <c r="G93">
        <f>IF('Result-lag'!$O93&lt;'Result -equal'!$O93,'Result-lag'!G93,'Result -equal'!G93)</f>
        <v>4119664079.48</v>
      </c>
      <c r="H93">
        <f>IF('Result-lag'!$O93&lt;'Result -equal'!$O93,'Result-lag'!H93,'Result -equal'!H93)</f>
        <v>565998636</v>
      </c>
      <c r="I93">
        <f>IF('Result-lag'!$O93&lt;'Result -equal'!$O93,'Result-lag'!I93,'Result -equal'!I93)</f>
        <v>9636568337.5599995</v>
      </c>
      <c r="J93">
        <f>IF('Result-lag'!$O93&lt;'Result -equal'!$O93,1,0)</f>
        <v>0</v>
      </c>
      <c r="L93" s="1">
        <f t="shared" si="7"/>
        <v>41791</v>
      </c>
      <c r="M93" s="7">
        <f t="shared" si="8"/>
        <v>0.41316539541436825</v>
      </c>
      <c r="N93" s="7">
        <f t="shared" si="9"/>
        <v>0.3070838992847022</v>
      </c>
      <c r="O93" s="7">
        <f t="shared" si="10"/>
        <v>0.13044216278581333</v>
      </c>
      <c r="P93" s="7">
        <f t="shared" si="11"/>
        <v>1.7921385042389045E-2</v>
      </c>
      <c r="Q93" s="7">
        <f t="shared" si="12"/>
        <v>0.30512556158299231</v>
      </c>
    </row>
    <row r="94" spans="3:17" x14ac:dyDescent="0.25">
      <c r="C94" s="1">
        <f>'Result-lag'!C94</f>
        <v>41821</v>
      </c>
      <c r="D94">
        <f>IF('Result-lag'!$O94&lt;'Result -equal'!$O94,'Result-lag'!D94,'Result -equal'!D94)</f>
        <v>36447478522.989998</v>
      </c>
      <c r="E94">
        <f>IF('Result-lag'!$O94&lt;'Result -equal'!$O94,'Result-lag'!E94,'Result -equal'!E94)</f>
        <v>14180443501.41</v>
      </c>
      <c r="F94">
        <f>IF('Result-lag'!$O94&lt;'Result -equal'!$O94,'Result-lag'!F94,'Result -equal'!F94)</f>
        <v>10365356857.860001</v>
      </c>
      <c r="G94">
        <f>IF('Result-lag'!$O94&lt;'Result -equal'!$O94,'Result-lag'!G94,'Result -equal'!G94)</f>
        <v>4404846709.1300001</v>
      </c>
      <c r="H94">
        <f>IF('Result-lag'!$O94&lt;'Result -equal'!$O94,'Result-lag'!H94,'Result -equal'!H94)</f>
        <v>766012000</v>
      </c>
      <c r="I94">
        <f>IF('Result-lag'!$O94&lt;'Result -equal'!$O94,'Result-lag'!I94,'Result -equal'!I94)</f>
        <v>11123399110.24</v>
      </c>
      <c r="J94">
        <f>IF('Result-lag'!$O94&lt;'Result -equal'!$O94,1,0)</f>
        <v>0</v>
      </c>
      <c r="L94" s="1">
        <f t="shared" si="7"/>
        <v>41821</v>
      </c>
      <c r="M94" s="7">
        <f t="shared" si="8"/>
        <v>0.38906514458785929</v>
      </c>
      <c r="N94" s="7">
        <f t="shared" si="9"/>
        <v>0.28439160342249298</v>
      </c>
      <c r="O94" s="7">
        <f t="shared" si="10"/>
        <v>0.12085463487828252</v>
      </c>
      <c r="P94" s="7">
        <f t="shared" si="11"/>
        <v>2.1016872251308747E-2</v>
      </c>
      <c r="Q94" s="7">
        <f t="shared" si="12"/>
        <v>0.30518981177871296</v>
      </c>
    </row>
    <row r="95" spans="3:17" x14ac:dyDescent="0.25">
      <c r="C95" s="1">
        <f>'Result-lag'!C95</f>
        <v>41852</v>
      </c>
      <c r="D95">
        <f>IF('Result-lag'!$O95&lt;'Result -equal'!$O95,'Result-lag'!D95,'Result -equal'!D95)</f>
        <v>34332054961.080002</v>
      </c>
      <c r="E95">
        <f>IF('Result-lag'!$O95&lt;'Result -equal'!$O95,'Result-lag'!E95,'Result -equal'!E95)</f>
        <v>13791297844.579998</v>
      </c>
      <c r="F95">
        <f>IF('Result-lag'!$O95&lt;'Result -equal'!$O95,'Result-lag'!F95,'Result -equal'!F95)</f>
        <v>10185763886.950001</v>
      </c>
      <c r="G95">
        <f>IF('Result-lag'!$O95&lt;'Result -equal'!$O95,'Result-lag'!G95,'Result -equal'!G95)</f>
        <v>4351012772.2799997</v>
      </c>
      <c r="H95">
        <f>IF('Result-lag'!$O95&lt;'Result -equal'!$O95,'Result-lag'!H95,'Result -equal'!H95)</f>
        <v>866330115</v>
      </c>
      <c r="I95">
        <f>IF('Result-lag'!$O95&lt;'Result -equal'!$O95,'Result-lag'!I95,'Result -equal'!I95)</f>
        <v>10202403453.049999</v>
      </c>
      <c r="J95">
        <f>IF('Result-lag'!$O95&lt;'Result -equal'!$O95,1,0)</f>
        <v>0</v>
      </c>
      <c r="L95" s="1">
        <f t="shared" si="7"/>
        <v>41852</v>
      </c>
      <c r="M95" s="7">
        <f t="shared" si="8"/>
        <v>0.40170324381148426</v>
      </c>
      <c r="N95" s="7">
        <f t="shared" si="9"/>
        <v>0.29668378133778861</v>
      </c>
      <c r="O95" s="7">
        <f t="shared" si="10"/>
        <v>0.12673324615180936</v>
      </c>
      <c r="P95" s="7">
        <f t="shared" si="11"/>
        <v>2.5233855531866696E-2</v>
      </c>
      <c r="Q95" s="7">
        <f t="shared" si="12"/>
        <v>0.29716844694020778</v>
      </c>
    </row>
    <row r="96" spans="3:17" x14ac:dyDescent="0.25">
      <c r="C96" s="1">
        <f>'Result-lag'!C96</f>
        <v>41883</v>
      </c>
      <c r="D96">
        <f>IF('Result-lag'!$O96&lt;'Result -equal'!$O96,'Result-lag'!D96,'Result -equal'!D96)</f>
        <v>40347506692.199997</v>
      </c>
      <c r="E96">
        <f>IF('Result-lag'!$O96&lt;'Result -equal'!$O96,'Result-lag'!E96,'Result -equal'!E96)</f>
        <v>20418529374.110001</v>
      </c>
      <c r="F96">
        <f>IF('Result-lag'!$O96&lt;'Result -equal'!$O96,'Result-lag'!F96,'Result -equal'!F96)</f>
        <v>15191127020.780001</v>
      </c>
      <c r="G96">
        <f>IF('Result-lag'!$O96&lt;'Result -equal'!$O96,'Result-lag'!G96,'Result -equal'!G96)</f>
        <v>4282578991.9000001</v>
      </c>
      <c r="H96">
        <f>IF('Result-lag'!$O96&lt;'Result -equal'!$O96,'Result-lag'!H96,'Result -equal'!H96)</f>
        <v>692754683</v>
      </c>
      <c r="I96">
        <f>IF('Result-lag'!$O96&lt;'Result -equal'!$O96,'Result-lag'!I96,'Result -equal'!I96)</f>
        <v>8745227871.8199997</v>
      </c>
      <c r="J96">
        <f>IF('Result-lag'!$O96&lt;'Result -equal'!$O96,1,0)</f>
        <v>0</v>
      </c>
      <c r="L96" s="1">
        <f t="shared" si="7"/>
        <v>41883</v>
      </c>
      <c r="M96" s="7">
        <f t="shared" si="8"/>
        <v>0.50606669527010262</v>
      </c>
      <c r="N96" s="7">
        <f t="shared" si="9"/>
        <v>0.37650720617432248</v>
      </c>
      <c r="O96" s="7">
        <f t="shared" si="10"/>
        <v>0.10614234541357448</v>
      </c>
      <c r="P96" s="7">
        <f t="shared" si="11"/>
        <v>1.7169702412712498E-2</v>
      </c>
      <c r="Q96" s="7">
        <f t="shared" si="12"/>
        <v>0.21674766519118346</v>
      </c>
    </row>
    <row r="97" spans="3:17" x14ac:dyDescent="0.25">
      <c r="C97" s="1">
        <f>'Result-lag'!C97</f>
        <v>41913</v>
      </c>
      <c r="D97">
        <f>IF('Result-lag'!$O97&lt;'Result -equal'!$O97,'Result-lag'!D97,'Result -equal'!D97)</f>
        <v>40323740351.139999</v>
      </c>
      <c r="E97">
        <f>IF('Result-lag'!$O97&lt;'Result -equal'!$O97,'Result-lag'!E97,'Result -equal'!E97)</f>
        <v>16591290665.489998</v>
      </c>
      <c r="F97">
        <f>IF('Result-lag'!$O97&lt;'Result -equal'!$O97,'Result-lag'!F97,'Result -equal'!F97)</f>
        <v>12022533710.82</v>
      </c>
      <c r="G97">
        <f>IF('Result-lag'!$O97&lt;'Result -equal'!$O97,'Result-lag'!G97,'Result -equal'!G97)</f>
        <v>4328284495.8800001</v>
      </c>
      <c r="H97">
        <f>IF('Result-lag'!$O97&lt;'Result -equal'!$O97,'Result-lag'!H97,'Result -equal'!H97)</f>
        <v>1116288094</v>
      </c>
      <c r="I97">
        <f>IF('Result-lag'!$O97&lt;'Result -equal'!$O97,'Result-lag'!I97,'Result -equal'!I97)</f>
        <v>12085672777.809999</v>
      </c>
      <c r="J97">
        <f>IF('Result-lag'!$O97&lt;'Result -equal'!$O97,1,0)</f>
        <v>0</v>
      </c>
      <c r="L97" s="1">
        <f t="shared" si="7"/>
        <v>41913</v>
      </c>
      <c r="M97" s="7">
        <f t="shared" si="8"/>
        <v>0.41145217484818325</v>
      </c>
      <c r="N97" s="7">
        <f t="shared" si="9"/>
        <v>0.29815026101565772</v>
      </c>
      <c r="O97" s="7">
        <f t="shared" si="10"/>
        <v>0.10733836837032491</v>
      </c>
      <c r="P97" s="7">
        <f t="shared" si="11"/>
        <v>2.7683148544240668E-2</v>
      </c>
      <c r="Q97" s="7">
        <f t="shared" si="12"/>
        <v>0.29971606484338259</v>
      </c>
    </row>
    <row r="98" spans="3:17" x14ac:dyDescent="0.25">
      <c r="C98" s="1">
        <f>'Result-lag'!C98</f>
        <v>41944</v>
      </c>
      <c r="D98">
        <f>IF('Result-lag'!$O98&lt;'Result -equal'!$O98,'Result-lag'!D98,'Result -equal'!D98)</f>
        <v>32492729674.279999</v>
      </c>
      <c r="E98">
        <f>IF('Result-lag'!$O98&lt;'Result -equal'!$O98,'Result-lag'!E98,'Result -equal'!E98)</f>
        <v>19050839925.150002</v>
      </c>
      <c r="F98">
        <f>IF('Result-lag'!$O98&lt;'Result -equal'!$O98,'Result-lag'!F98,'Result -equal'!F98)</f>
        <v>15143920247.16</v>
      </c>
      <c r="G98">
        <f>IF('Result-lag'!$O98&lt;'Result -equal'!$O98,'Result-lag'!G98,'Result -equal'!G98)</f>
        <v>4110188403.46</v>
      </c>
      <c r="H98">
        <f>IF('Result-lag'!$O98&lt;'Result -equal'!$O98,'Result-lag'!H98,'Result -equal'!H98)</f>
        <v>831784416</v>
      </c>
      <c r="I98">
        <f>IF('Result-lag'!$O98&lt;'Result -equal'!$O98,'Result-lag'!I98,'Result -equal'!I98)</f>
        <v>4219267889.8299999</v>
      </c>
      <c r="J98">
        <f>IF('Result-lag'!$O98&lt;'Result -equal'!$O98,1,0)</f>
        <v>0</v>
      </c>
      <c r="L98" s="1">
        <f t="shared" si="7"/>
        <v>41944</v>
      </c>
      <c r="M98" s="7">
        <f t="shared" si="8"/>
        <v>0.58631084910757492</v>
      </c>
      <c r="N98" s="7">
        <f t="shared" si="9"/>
        <v>0.46607103801276961</v>
      </c>
      <c r="O98" s="7">
        <f t="shared" si="10"/>
        <v>0.12649563285886281</v>
      </c>
      <c r="P98" s="7">
        <f t="shared" si="11"/>
        <v>2.559909322294977E-2</v>
      </c>
      <c r="Q98" s="7">
        <f t="shared" si="12"/>
        <v>0.12985267572548118</v>
      </c>
    </row>
    <row r="99" spans="3:17" x14ac:dyDescent="0.25">
      <c r="C99" s="1">
        <f>'Result-lag'!C99</f>
        <v>41974</v>
      </c>
      <c r="D99">
        <f>IF('Result-lag'!$O99&lt;'Result -equal'!$O99,'Result-lag'!D99,'Result -equal'!D99)</f>
        <v>44253011751.110001</v>
      </c>
      <c r="E99">
        <f>IF('Result-lag'!$O99&lt;'Result -equal'!$O99,'Result-lag'!E99,'Result -equal'!E99)</f>
        <v>16969236987.160002</v>
      </c>
      <c r="F99">
        <f>IF('Result-lag'!$O99&lt;'Result -equal'!$O99,'Result-lag'!F99,'Result -equal'!F99)</f>
        <v>12192486905.27</v>
      </c>
      <c r="G99">
        <f>IF('Result-lag'!$O99&lt;'Result -equal'!$O99,'Result-lag'!G99,'Result -equal'!G99)</f>
        <v>3928850698.1300001</v>
      </c>
      <c r="H99">
        <f>IF('Result-lag'!$O99&lt;'Result -equal'!$O99,'Result-lag'!H99,'Result -equal'!H99)</f>
        <v>624271500</v>
      </c>
      <c r="I99">
        <f>IF('Result-lag'!$O99&lt;'Result -equal'!$O99,'Result-lag'!I99,'Result -equal'!I99)</f>
        <v>15367345362.059999</v>
      </c>
      <c r="J99">
        <f>IF('Result-lag'!$O99&lt;'Result -equal'!$O99,1,0)</f>
        <v>0</v>
      </c>
      <c r="L99" s="1">
        <f t="shared" si="7"/>
        <v>41974</v>
      </c>
      <c r="M99" s="7">
        <f t="shared" si="8"/>
        <v>0.38345948254548712</v>
      </c>
      <c r="N99" s="7">
        <f t="shared" si="9"/>
        <v>0.2755176749063678</v>
      </c>
      <c r="O99" s="7">
        <f t="shared" si="10"/>
        <v>8.8781543733720061E-2</v>
      </c>
      <c r="P99" s="7">
        <f t="shared" si="11"/>
        <v>1.4106870364237783E-2</v>
      </c>
      <c r="Q99" s="7">
        <f t="shared" si="12"/>
        <v>0.34726100561222345</v>
      </c>
    </row>
    <row r="100" spans="3:17" x14ac:dyDescent="0.25">
      <c r="C100" s="1">
        <f>'Result-lag'!C100</f>
        <v>42005</v>
      </c>
      <c r="D100">
        <f>IF('Result-lag'!$O100&lt;'Result -equal'!$O100,'Result-lag'!D100,'Result -equal'!D100)</f>
        <v>36980630899.18</v>
      </c>
      <c r="E100">
        <f>IF('Result-lag'!$O100&lt;'Result -equal'!$O100,'Result-lag'!E100,'Result -equal'!E100)</f>
        <v>17220019925.009998</v>
      </c>
      <c r="F100">
        <f>IF('Result-lag'!$O100&lt;'Result -equal'!$O100,'Result-lag'!F100,'Result -equal'!F100)</f>
        <v>13355633418.48</v>
      </c>
      <c r="G100">
        <f>IF('Result-lag'!$O100&lt;'Result -equal'!$O100,'Result-lag'!G100,'Result -equal'!G100)</f>
        <v>5489190091.1700001</v>
      </c>
      <c r="H100">
        <f>IF('Result-lag'!$O100&lt;'Result -equal'!$O100,'Result-lag'!H100,'Result -equal'!H100)</f>
        <v>855334400</v>
      </c>
      <c r="I100">
        <f>IF('Result-lag'!$O100&lt;'Result -equal'!$O100,'Result-lag'!I100,'Result -equal'!I100)</f>
        <v>8692846973.4500008</v>
      </c>
      <c r="J100">
        <f>IF('Result-lag'!$O100&lt;'Result -equal'!$O100,1,0)</f>
        <v>0</v>
      </c>
      <c r="L100" s="1">
        <f t="shared" si="7"/>
        <v>42005</v>
      </c>
      <c r="M100" s="7">
        <f t="shared" si="8"/>
        <v>0.46564970651681964</v>
      </c>
      <c r="N100" s="7">
        <f t="shared" si="9"/>
        <v>0.36115212460521173</v>
      </c>
      <c r="O100" s="7">
        <f t="shared" si="10"/>
        <v>0.14843419264898794</v>
      </c>
      <c r="P100" s="7">
        <f t="shared" si="11"/>
        <v>2.3129253860808687E-2</v>
      </c>
      <c r="Q100" s="7">
        <f t="shared" si="12"/>
        <v>0.23506486401352211</v>
      </c>
    </row>
    <row r="101" spans="3:17" x14ac:dyDescent="0.25">
      <c r="C101" s="1">
        <f>'Result-lag'!C101</f>
        <v>42036</v>
      </c>
      <c r="D101">
        <f>IF('Result-lag'!$O101&lt;'Result -equal'!$O101,'Result-lag'!D101,'Result -equal'!D101)</f>
        <v>36583983679.550003</v>
      </c>
      <c r="E101">
        <f>IF('Result-lag'!$O101&lt;'Result -equal'!$O101,'Result-lag'!E101,'Result -equal'!E101)</f>
        <v>16016008212.179998</v>
      </c>
      <c r="F101">
        <f>IF('Result-lag'!$O101&lt;'Result -equal'!$O101,'Result-lag'!F101,'Result -equal'!F101)</f>
        <v>11671526842.16</v>
      </c>
      <c r="G101">
        <f>IF('Result-lag'!$O101&lt;'Result -equal'!$O101,'Result-lag'!G101,'Result -equal'!G101)</f>
        <v>5063985040.1199999</v>
      </c>
      <c r="H101">
        <f>IF('Result-lag'!$O101&lt;'Result -equal'!$O101,'Result-lag'!H101,'Result -equal'!H101)</f>
        <v>697783000</v>
      </c>
      <c r="I101">
        <f>IF('Result-lag'!$O101&lt;'Result -equal'!$O101,'Result-lag'!I101,'Result -equal'!I101)</f>
        <v>9207094804.5400009</v>
      </c>
      <c r="J101">
        <f>IF('Result-lag'!$O101&lt;'Result -equal'!$O101,1,0)</f>
        <v>0</v>
      </c>
      <c r="L101" s="1">
        <f t="shared" si="7"/>
        <v>42036</v>
      </c>
      <c r="M101" s="7">
        <f t="shared" si="8"/>
        <v>0.43778743049059332</v>
      </c>
      <c r="N101" s="7">
        <f t="shared" si="9"/>
        <v>0.31903378659892195</v>
      </c>
      <c r="O101" s="7">
        <f t="shared" si="10"/>
        <v>0.13842082055570962</v>
      </c>
      <c r="P101" s="7">
        <f t="shared" si="11"/>
        <v>1.9073455917542739E-2</v>
      </c>
      <c r="Q101" s="7">
        <f t="shared" si="12"/>
        <v>0.25167009927589307</v>
      </c>
    </row>
    <row r="102" spans="3:17" x14ac:dyDescent="0.25">
      <c r="C102" s="1">
        <f>'Result-lag'!C102</f>
        <v>42064</v>
      </c>
      <c r="D102">
        <f>IF('Result-lag'!$O102&lt;'Result -equal'!$O102,'Result-lag'!D102,'Result -equal'!D102)</f>
        <v>23910707870.450001</v>
      </c>
      <c r="E102">
        <f>IF('Result-lag'!$O102&lt;'Result -equal'!$O102,'Result-lag'!E102,'Result -equal'!E102)</f>
        <v>11103071609.139999</v>
      </c>
      <c r="F102">
        <f>IF('Result-lag'!$O102&lt;'Result -equal'!$O102,'Result-lag'!F102,'Result -equal'!F102)</f>
        <v>8844462338.1399994</v>
      </c>
      <c r="G102">
        <f>IF('Result-lag'!$O102&lt;'Result -equal'!$O102,'Result-lag'!G102,'Result -equal'!G102)</f>
        <v>4009024386</v>
      </c>
      <c r="H102">
        <f>IF('Result-lag'!$O102&lt;'Result -equal'!$O102,'Result-lag'!H102,'Result -equal'!H102)</f>
        <v>869290480</v>
      </c>
      <c r="I102">
        <f>IF('Result-lag'!$O102&lt;'Result -equal'!$O102,'Result-lag'!I102,'Result -equal'!I102)</f>
        <v>4983311763.4899998</v>
      </c>
      <c r="J102">
        <f>IF('Result-lag'!$O102&lt;'Result -equal'!$O102,1,0)</f>
        <v>0</v>
      </c>
      <c r="L102" s="1">
        <f t="shared" si="7"/>
        <v>42064</v>
      </c>
      <c r="M102" s="7">
        <f t="shared" si="8"/>
        <v>0.46435562130980268</v>
      </c>
      <c r="N102" s="7">
        <f t="shared" si="9"/>
        <v>0.36989546215277092</v>
      </c>
      <c r="O102" s="7">
        <f t="shared" si="10"/>
        <v>0.16766648681926077</v>
      </c>
      <c r="P102" s="7">
        <f t="shared" si="11"/>
        <v>3.6355698238206946E-2</v>
      </c>
      <c r="Q102" s="7">
        <f t="shared" si="12"/>
        <v>0.20841339330018813</v>
      </c>
    </row>
    <row r="103" spans="3:17" x14ac:dyDescent="0.25">
      <c r="C103" s="1"/>
    </row>
    <row r="104" spans="3:17" x14ac:dyDescent="0.25">
      <c r="C104" s="1"/>
    </row>
    <row r="105" spans="3:17" x14ac:dyDescent="0.25">
      <c r="C105" s="1"/>
    </row>
    <row r="106" spans="3:17" x14ac:dyDescent="0.25">
      <c r="C106" s="1"/>
    </row>
    <row r="107" spans="3:17" x14ac:dyDescent="0.25">
      <c r="C107" s="1"/>
    </row>
    <row r="108" spans="3:17" x14ac:dyDescent="0.25">
      <c r="C108" s="1"/>
    </row>
    <row r="109" spans="3:17" x14ac:dyDescent="0.25">
      <c r="C109" s="1"/>
    </row>
    <row r="110" spans="3:17" x14ac:dyDescent="0.25">
      <c r="C110" s="1"/>
    </row>
    <row r="111" spans="3:17" x14ac:dyDescent="0.25">
      <c r="C111" s="1"/>
    </row>
    <row r="112" spans="3:17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02"/>
  <sheetViews>
    <sheetView topLeftCell="F19" workbookViewId="0">
      <selection activeCell="O32" sqref="O32"/>
    </sheetView>
  </sheetViews>
  <sheetFormatPr defaultRowHeight="15" x14ac:dyDescent="0.25"/>
  <cols>
    <col min="2" max="2" width="16.28515625" bestFit="1" customWidth="1"/>
    <col min="3" max="3" width="14.7109375" customWidth="1"/>
    <col min="4" max="4" width="16.85546875" style="6" customWidth="1"/>
    <col min="5" max="9" width="16.85546875" customWidth="1"/>
    <col min="11" max="11" width="9.7109375" bestFit="1" customWidth="1"/>
  </cols>
  <sheetData>
    <row r="3" spans="3:16" x14ac:dyDescent="0.25">
      <c r="D3" s="9" t="s">
        <v>85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  <c r="J3" s="10"/>
      <c r="K3" s="10"/>
      <c r="L3" s="10" t="s">
        <v>90</v>
      </c>
      <c r="M3" s="10" t="s">
        <v>91</v>
      </c>
      <c r="N3" s="10" t="s">
        <v>92</v>
      </c>
      <c r="O3" s="10" t="s">
        <v>93</v>
      </c>
      <c r="P3" s="10" t="s">
        <v>94</v>
      </c>
    </row>
    <row r="4" spans="3:16" x14ac:dyDescent="0.25">
      <c r="C4" s="1">
        <f>'Input-lag'!H4</f>
        <v>39083</v>
      </c>
      <c r="D4" s="8">
        <f>VLOOKUP(C4,'Input-lag'!H$4:$I$102,2,0)</f>
        <v>48986973755.699997</v>
      </c>
      <c r="E4" s="8">
        <f>VLOOKUP(C4,'Pivot - lag'!$E$4:$F$144,2,0)</f>
        <v>40280509023.150002</v>
      </c>
      <c r="F4" s="8">
        <f>VLOOKUP(C4,'Pivot - lag'!$I$4:$J$144,2,0)</f>
        <v>32982461525.719997</v>
      </c>
      <c r="G4" s="8">
        <f>VLOOKUP(C4,'Pivot - lag'!$M$3:$N$144,2,0)</f>
        <v>12068562737.24</v>
      </c>
      <c r="H4" s="8">
        <f>VLOOKUP(C4,'Input-lag'!$K$3:$L$102,2,0)</f>
        <v>1805491105.6700001</v>
      </c>
      <c r="I4" s="8">
        <f>VLOOKUP(C4,'Input-lag'!temp_8,2,0)</f>
        <v>929023441.75</v>
      </c>
      <c r="K4" s="1">
        <f>C4</f>
        <v>39083</v>
      </c>
      <c r="L4" s="7">
        <f>E4/$D4</f>
        <v>0.82226979817186741</v>
      </c>
      <c r="M4" s="7">
        <f>F4/$D4</f>
        <v>0.67329044839970842</v>
      </c>
      <c r="N4" s="7">
        <f>G4/$D4</f>
        <v>0.24636269220112281</v>
      </c>
      <c r="O4" s="7">
        <f>H4/$D4</f>
        <v>3.6856555268632366E-2</v>
      </c>
      <c r="P4" s="7">
        <f t="shared" ref="O4:P19" si="0">I4/$D4</f>
        <v>1.8964703685985528E-2</v>
      </c>
    </row>
    <row r="5" spans="3:16" x14ac:dyDescent="0.25">
      <c r="C5" s="1">
        <f>'Input-lag'!H5</f>
        <v>39114</v>
      </c>
      <c r="D5" s="8">
        <f>VLOOKUP(C5,'Input-lag'!H$4:$I$102,2,0)</f>
        <v>52453433791.699997</v>
      </c>
      <c r="E5" s="8">
        <f>VLOOKUP(C5,'Pivot - lag'!$E$4:$F$144,2,0)</f>
        <v>44459010974.660011</v>
      </c>
      <c r="F5" s="8">
        <f>VLOOKUP(C5,'Pivot - lag'!$I$4:$J$144,2,0)</f>
        <v>37335367110.779999</v>
      </c>
      <c r="G5" s="8">
        <f>VLOOKUP(C5,'Pivot - lag'!$M$3:$N$144,2,0)</f>
        <v>14906336717.870001</v>
      </c>
      <c r="H5" s="8">
        <f>VLOOKUP(C5,'Input-lag'!$K$3:$L$102,2,0)</f>
        <v>1679990333.1500001</v>
      </c>
      <c r="I5" s="8">
        <f>VLOOKUP(C5,'Input-lag'!temp_8,2,0)</f>
        <v>668892203</v>
      </c>
      <c r="K5" s="1">
        <f t="shared" ref="K5:K68" si="1">C5</f>
        <v>39114</v>
      </c>
      <c r="L5" s="7">
        <f t="shared" ref="L5:L36" si="2">E5/$D5</f>
        <v>0.84759009584030343</v>
      </c>
      <c r="M5" s="7">
        <f t="shared" ref="M5:M36" si="3">F5/$D5</f>
        <v>0.71178118212515928</v>
      </c>
      <c r="N5" s="7">
        <f t="shared" ref="N5:N36" si="4">G5/$D5</f>
        <v>0.2841822858931442</v>
      </c>
      <c r="O5" s="7">
        <f t="shared" si="0"/>
        <v>3.2028224116298645E-2</v>
      </c>
      <c r="P5" s="7">
        <f t="shared" si="0"/>
        <v>1.2752114678636017E-2</v>
      </c>
    </row>
    <row r="6" spans="3:16" x14ac:dyDescent="0.25">
      <c r="C6" s="1">
        <f>'Input-lag'!H6</f>
        <v>39142</v>
      </c>
      <c r="D6" s="8">
        <f>VLOOKUP(C6,'Input-lag'!H$4:$I$102,2,0)</f>
        <v>47757143575.32</v>
      </c>
      <c r="E6" s="8">
        <f>VLOOKUP(C6,'Pivot - lag'!$E$4:$F$144,2,0)</f>
        <v>39699963461.440002</v>
      </c>
      <c r="F6" s="8">
        <f>VLOOKUP(C6,'Pivot - lag'!$I$4:$J$144,2,0)</f>
        <v>31729643578.310001</v>
      </c>
      <c r="G6" s="8">
        <f>VLOOKUP(C6,'Pivot - lag'!$M$3:$N$144,2,0)</f>
        <v>11915399053.1</v>
      </c>
      <c r="H6" s="8">
        <f>VLOOKUP(C6,'Input-lag'!$K$3:$L$102,2,0)</f>
        <v>1672712786.0699999</v>
      </c>
      <c r="I6" s="8">
        <f>VLOOKUP(C6,'Input-lag'!temp_8,2,0)</f>
        <v>754011170.92999995</v>
      </c>
      <c r="K6" s="1">
        <f t="shared" si="1"/>
        <v>39142</v>
      </c>
      <c r="L6" s="7">
        <f t="shared" si="2"/>
        <v>0.83128848355068297</v>
      </c>
      <c r="M6" s="7">
        <f t="shared" si="3"/>
        <v>0.66439575742773882</v>
      </c>
      <c r="N6" s="7">
        <f t="shared" si="4"/>
        <v>0.24949982685433592</v>
      </c>
      <c r="O6" s="7">
        <f t="shared" si="0"/>
        <v>3.5025394335653416E-2</v>
      </c>
      <c r="P6" s="7">
        <f t="shared" si="0"/>
        <v>1.5788447852640393E-2</v>
      </c>
    </row>
    <row r="7" spans="3:16" x14ac:dyDescent="0.25">
      <c r="C7" s="1">
        <f>'Input-lag'!H7</f>
        <v>39173</v>
      </c>
      <c r="D7" s="8">
        <f>VLOOKUP(C7,'Input-lag'!H$4:$I$102,2,0)</f>
        <v>52540646459.18</v>
      </c>
      <c r="E7" s="8">
        <f>VLOOKUP(C7,'Pivot - lag'!$E$4:$F$144,2,0)</f>
        <v>44612018493.380005</v>
      </c>
      <c r="F7" s="8">
        <f>VLOOKUP(C7,'Pivot - lag'!$I$4:$J$144,2,0)</f>
        <v>36456608651.970001</v>
      </c>
      <c r="G7" s="8">
        <f>VLOOKUP(C7,'Pivot - lag'!$M$3:$N$144,2,0)</f>
        <v>13440547910.5</v>
      </c>
      <c r="H7" s="8">
        <f>VLOOKUP(C7,'Input-lag'!$K$3:$L$102,2,0)</f>
        <v>1582934759.3800001</v>
      </c>
      <c r="I7" s="8">
        <f>VLOOKUP(C7,'Input-lag'!temp_8,2,0)</f>
        <v>684270187.71000004</v>
      </c>
      <c r="K7" s="1">
        <f t="shared" si="1"/>
        <v>39173</v>
      </c>
      <c r="L7" s="7">
        <f t="shared" si="2"/>
        <v>0.84909534807570508</v>
      </c>
      <c r="M7" s="7">
        <f t="shared" si="3"/>
        <v>0.69387438314627425</v>
      </c>
      <c r="N7" s="7">
        <f t="shared" si="4"/>
        <v>0.25581238177079269</v>
      </c>
      <c r="O7" s="7">
        <f t="shared" si="0"/>
        <v>3.0127812770819586E-2</v>
      </c>
      <c r="P7" s="7">
        <f t="shared" si="0"/>
        <v>1.3023634725195564E-2</v>
      </c>
    </row>
    <row r="8" spans="3:16" x14ac:dyDescent="0.25">
      <c r="C8" s="1">
        <f>'Input-lag'!H8</f>
        <v>39203</v>
      </c>
      <c r="D8" s="8">
        <f>VLOOKUP(C8,'Input-lag'!H$4:$I$102,2,0)</f>
        <v>55030123991.339996</v>
      </c>
      <c r="E8" s="8">
        <f>VLOOKUP(C8,'Pivot - lag'!$E$4:$F$144,2,0)</f>
        <v>45163385837.460007</v>
      </c>
      <c r="F8" s="8">
        <f>VLOOKUP(C8,'Pivot - lag'!$I$4:$J$144,2,0)</f>
        <v>38184312925.010002</v>
      </c>
      <c r="G8" s="8">
        <f>VLOOKUP(C8,'Pivot - lag'!$M$3:$N$144,2,0)</f>
        <v>14589989652.360001</v>
      </c>
      <c r="H8" s="8">
        <f>VLOOKUP(C8,'Input-lag'!$K$3:$L$102,2,0)</f>
        <v>2772906165.9000001</v>
      </c>
      <c r="I8" s="8">
        <f>VLOOKUP(C8,'Input-lag'!temp_8,2,0)</f>
        <v>794614133.75</v>
      </c>
      <c r="K8" s="1">
        <f t="shared" si="1"/>
        <v>39203</v>
      </c>
      <c r="L8" s="7">
        <f t="shared" si="2"/>
        <v>0.82070296342721849</v>
      </c>
      <c r="M8" s="7">
        <f t="shared" si="3"/>
        <v>0.69388019062103157</v>
      </c>
      <c r="N8" s="7">
        <f t="shared" si="4"/>
        <v>0.26512732652857557</v>
      </c>
      <c r="O8" s="7">
        <f t="shared" si="0"/>
        <v>5.0388877305389462E-2</v>
      </c>
      <c r="P8" s="7">
        <f t="shared" si="0"/>
        <v>1.4439620995130725E-2</v>
      </c>
    </row>
    <row r="9" spans="3:16" x14ac:dyDescent="0.25">
      <c r="C9" s="1">
        <f>'Input-lag'!H9</f>
        <v>39234</v>
      </c>
      <c r="D9" s="8">
        <f>VLOOKUP(C9,'Input-lag'!H$4:$I$102,2,0)</f>
        <v>63791156452.68</v>
      </c>
      <c r="E9" s="8">
        <f>VLOOKUP(C9,'Pivot - lag'!$E$4:$F$144,2,0)</f>
        <v>51753074291.699997</v>
      </c>
      <c r="F9" s="8">
        <f>VLOOKUP(C9,'Pivot - lag'!$I$4:$J$144,2,0)</f>
        <v>41821075321.049995</v>
      </c>
      <c r="G9" s="8">
        <f>VLOOKUP(C9,'Pivot - lag'!$M$3:$N$144,2,0)</f>
        <v>15230409440.049999</v>
      </c>
      <c r="H9" s="8">
        <f>VLOOKUP(C9,'Input-lag'!$K$3:$L$102,2,0)</f>
        <v>2796352573.5599999</v>
      </c>
      <c r="I9" s="8">
        <f>VLOOKUP(C9,'Input-lag'!temp_8,2,0)</f>
        <v>713138493.69000006</v>
      </c>
      <c r="K9" s="1">
        <f t="shared" si="1"/>
        <v>39234</v>
      </c>
      <c r="L9" s="7">
        <f t="shared" si="2"/>
        <v>0.81128916874379287</v>
      </c>
      <c r="M9" s="7">
        <f t="shared" si="3"/>
        <v>0.65559362216724637</v>
      </c>
      <c r="N9" s="7">
        <f t="shared" si="4"/>
        <v>0.23875424568212444</v>
      </c>
      <c r="O9" s="11">
        <f t="shared" si="0"/>
        <v>4.3836053915001873E-2</v>
      </c>
      <c r="P9" s="11">
        <f t="shared" si="0"/>
        <v>1.1179268935483292E-2</v>
      </c>
    </row>
    <row r="10" spans="3:16" x14ac:dyDescent="0.25">
      <c r="C10" s="1">
        <f>'Input-lag'!H10</f>
        <v>39264</v>
      </c>
      <c r="D10" s="8">
        <f>VLOOKUP(C10,'Input-lag'!H$4:$I$102,2,0)</f>
        <v>66543383648.120003</v>
      </c>
      <c r="E10" s="8">
        <f>VLOOKUP(C10,'Pivot - lag'!$E$4:$F$144,2,0)</f>
        <v>54801492236.05999</v>
      </c>
      <c r="F10" s="8">
        <f>VLOOKUP(C10,'Pivot - lag'!$I$4:$J$144,2,0)</f>
        <v>45598191085.659996</v>
      </c>
      <c r="G10" s="8">
        <f>VLOOKUP(C10,'Pivot - lag'!$M$3:$N$144,2,0)</f>
        <v>17586653532.040001</v>
      </c>
      <c r="H10" s="8">
        <f>VLOOKUP(C10,'Input-lag'!$K$3:$L$102,2,0)</f>
        <v>2979151994.4400001</v>
      </c>
      <c r="I10" s="8">
        <f>VLOOKUP(C10,'Input-lag'!temp_8,2,0)</f>
        <v>970794020.49000001</v>
      </c>
      <c r="K10" s="1">
        <f t="shared" si="1"/>
        <v>39264</v>
      </c>
      <c r="L10" s="7">
        <f t="shared" si="2"/>
        <v>0.82354532083684107</v>
      </c>
      <c r="M10" s="7">
        <f t="shared" si="3"/>
        <v>0.68524004319921961</v>
      </c>
      <c r="N10" s="7">
        <f t="shared" si="4"/>
        <v>0.26428853731030344</v>
      </c>
      <c r="O10" s="11">
        <f t="shared" si="0"/>
        <v>4.4770070758554936E-2</v>
      </c>
      <c r="P10" s="11">
        <f t="shared" si="0"/>
        <v>1.458888874096842E-2</v>
      </c>
    </row>
    <row r="11" spans="3:16" x14ac:dyDescent="0.25">
      <c r="C11" s="1">
        <f>'Input-lag'!H11</f>
        <v>39295</v>
      </c>
      <c r="D11" s="8">
        <f>VLOOKUP(C11,'Input-lag'!H$4:$I$102,2,0)</f>
        <v>66841769232.779999</v>
      </c>
      <c r="E11" s="8">
        <f>VLOOKUP(C11,'Pivot - lag'!$E$4:$F$144,2,0)</f>
        <v>54076499065.469986</v>
      </c>
      <c r="F11" s="8">
        <f>VLOOKUP(C11,'Pivot - lag'!$I$4:$J$144,2,0)</f>
        <v>43577028327.099991</v>
      </c>
      <c r="G11" s="8">
        <f>VLOOKUP(C11,'Pivot - lag'!$M$3:$N$144,2,0)</f>
        <v>15188068031.41</v>
      </c>
      <c r="H11" s="8">
        <f>VLOOKUP(C11,'Input-lag'!$K$3:$L$102,2,0)</f>
        <v>3267541007.4200001</v>
      </c>
      <c r="I11" s="8">
        <f>VLOOKUP(C11,'Input-lag'!temp_8,2,0)</f>
        <v>710262083.82000005</v>
      </c>
      <c r="K11" s="1">
        <f t="shared" si="1"/>
        <v>39295</v>
      </c>
      <c r="L11" s="7">
        <f t="shared" si="2"/>
        <v>0.80902255709518578</v>
      </c>
      <c r="M11" s="7">
        <f t="shared" si="3"/>
        <v>0.65194307133524076</v>
      </c>
      <c r="N11" s="7">
        <f t="shared" si="4"/>
        <v>0.22722420734431414</v>
      </c>
      <c r="O11" s="7">
        <f t="shared" si="0"/>
        <v>4.8884717519080259E-2</v>
      </c>
      <c r="P11" s="7">
        <f t="shared" si="0"/>
        <v>1.0626021602547275E-2</v>
      </c>
    </row>
    <row r="12" spans="3:16" x14ac:dyDescent="0.25">
      <c r="C12" s="1">
        <f>'Input-lag'!H12</f>
        <v>39326</v>
      </c>
      <c r="D12" s="8">
        <f>VLOOKUP(C12,'Input-lag'!H$4:$I$102,2,0)</f>
        <v>58844726717.25</v>
      </c>
      <c r="E12" s="8">
        <f>VLOOKUP(C12,'Pivot - lag'!$E$4:$F$144,2,0)</f>
        <v>48436392044.020004</v>
      </c>
      <c r="F12" s="8">
        <f>VLOOKUP(C12,'Pivot - lag'!$I$4:$J$144,2,0)</f>
        <v>38360575429.730003</v>
      </c>
      <c r="G12" s="8">
        <f>VLOOKUP(C12,'Pivot - lag'!$M$3:$N$144,2,0)</f>
        <v>13829268759.76</v>
      </c>
      <c r="H12" s="8">
        <f>VLOOKUP(C12,'Input-lag'!$K$3:$L$102,2,0)</f>
        <v>2575823371.0500002</v>
      </c>
      <c r="I12" s="8">
        <f>VLOOKUP(C12,'Input-lag'!temp_8,2,0)</f>
        <v>779034200.88999999</v>
      </c>
      <c r="K12" s="1">
        <f t="shared" si="1"/>
        <v>39326</v>
      </c>
      <c r="L12" s="7">
        <f t="shared" si="2"/>
        <v>0.82312204926633037</v>
      </c>
      <c r="M12" s="7">
        <f t="shared" si="3"/>
        <v>0.6518948692557156</v>
      </c>
      <c r="N12" s="7">
        <f t="shared" si="4"/>
        <v>0.23501288103876991</v>
      </c>
      <c r="O12" s="7">
        <f t="shared" si="0"/>
        <v>4.3773223443230168E-2</v>
      </c>
      <c r="P12" s="7">
        <f t="shared" si="0"/>
        <v>1.3238810754161095E-2</v>
      </c>
    </row>
    <row r="13" spans="3:16" x14ac:dyDescent="0.25">
      <c r="C13" s="1">
        <f>'Input-lag'!H13</f>
        <v>39356</v>
      </c>
      <c r="D13" s="8">
        <f>VLOOKUP(C13,'Input-lag'!H$4:$I$102,2,0)</f>
        <v>61720788837.040001</v>
      </c>
      <c r="E13" s="8">
        <f>VLOOKUP(C13,'Pivot - lag'!$E$4:$F$144,2,0)</f>
        <v>49150688193.139999</v>
      </c>
      <c r="F13" s="8">
        <f>VLOOKUP(C13,'Pivot - lag'!$I$4:$J$144,2,0)</f>
        <v>40189480222.099998</v>
      </c>
      <c r="G13" s="8">
        <f>VLOOKUP(C13,'Pivot - lag'!$M$3:$N$144,2,0)</f>
        <v>16061360740.030001</v>
      </c>
      <c r="H13" s="8">
        <f>VLOOKUP(C13,'Input-lag'!$K$3:$L$102,2,0)</f>
        <v>2569971167.4499998</v>
      </c>
      <c r="I13" s="8">
        <f>VLOOKUP(C13,'Input-lag'!temp_8,2,0)</f>
        <v>707016336.28999996</v>
      </c>
      <c r="K13" s="1">
        <f t="shared" si="1"/>
        <v>39356</v>
      </c>
      <c r="L13" s="7">
        <f t="shared" si="2"/>
        <v>0.79633927432313689</v>
      </c>
      <c r="M13" s="7">
        <f t="shared" si="3"/>
        <v>0.65114981482513734</v>
      </c>
      <c r="N13" s="7">
        <f t="shared" si="4"/>
        <v>0.26022610926824746</v>
      </c>
      <c r="O13" s="7">
        <f t="shared" si="0"/>
        <v>4.1638663663801131E-2</v>
      </c>
      <c r="P13" s="7">
        <f t="shared" si="0"/>
        <v>1.1455076152003163E-2</v>
      </c>
    </row>
    <row r="14" spans="3:16" x14ac:dyDescent="0.25">
      <c r="C14" s="1">
        <f>'Input-lag'!H14</f>
        <v>39387</v>
      </c>
      <c r="D14" s="8">
        <f>VLOOKUP(C14,'Input-lag'!H$4:$I$102,2,0)</f>
        <v>57017095444.980003</v>
      </c>
      <c r="E14" s="8">
        <f>VLOOKUP(C14,'Pivot - lag'!$E$4:$F$144,2,0)</f>
        <v>47384230622.669998</v>
      </c>
      <c r="F14" s="8">
        <f>VLOOKUP(C14,'Pivot - lag'!$I$4:$J$144,2,0)</f>
        <v>37132352987.849998</v>
      </c>
      <c r="G14" s="8">
        <f>VLOOKUP(C14,'Pivot - lag'!$M$3:$N$144,2,0)</f>
        <v>13009808173.709999</v>
      </c>
      <c r="H14" s="8">
        <f>VLOOKUP(C14,'Input-lag'!$K$3:$L$102,2,0)</f>
        <v>2060441341.49</v>
      </c>
      <c r="I14" s="8">
        <f>VLOOKUP(C14,'Input-lag'!temp_8,2,0)</f>
        <v>714635575.74000001</v>
      </c>
      <c r="K14" s="1">
        <f t="shared" si="1"/>
        <v>39387</v>
      </c>
      <c r="L14" s="7">
        <f t="shared" si="2"/>
        <v>0.83105304212478759</v>
      </c>
      <c r="M14" s="7">
        <f t="shared" si="3"/>
        <v>0.65124946646364579</v>
      </c>
      <c r="N14" s="7">
        <f t="shared" si="4"/>
        <v>0.22817381475112358</v>
      </c>
      <c r="O14" s="7">
        <f t="shared" si="0"/>
        <v>3.6137255421547589E-2</v>
      </c>
      <c r="P14" s="7">
        <f t="shared" si="0"/>
        <v>1.2533707130514996E-2</v>
      </c>
    </row>
    <row r="15" spans="3:16" x14ac:dyDescent="0.25">
      <c r="C15" s="1">
        <f>'Input-lag'!H15</f>
        <v>39417</v>
      </c>
      <c r="D15" s="8">
        <f>VLOOKUP(C15,'Input-lag'!H$4:$I$102,2,0)</f>
        <v>57339598522.279999</v>
      </c>
      <c r="E15" s="8">
        <f>VLOOKUP(C15,'Pivot - lag'!$E$4:$F$144,2,0)</f>
        <v>46640588044.619995</v>
      </c>
      <c r="F15" s="8">
        <f>VLOOKUP(C15,'Pivot - lag'!$I$4:$J$144,2,0)</f>
        <v>35423645321.739998</v>
      </c>
      <c r="G15" s="8">
        <f>VLOOKUP(C15,'Pivot - lag'!$M$3:$N$144,2,0)</f>
        <v>12603633651.940001</v>
      </c>
      <c r="H15" s="8">
        <f>VLOOKUP(C15,'Input-lag'!$K$3:$L$102,2,0)</f>
        <v>2642277157.3299999</v>
      </c>
      <c r="I15" s="8">
        <f>VLOOKUP(C15,'Input-lag'!temp_8,2,0)</f>
        <v>632137460.79999995</v>
      </c>
      <c r="K15" s="1">
        <f t="shared" si="1"/>
        <v>39417</v>
      </c>
      <c r="L15" s="7">
        <f t="shared" si="2"/>
        <v>0.81340974207374728</v>
      </c>
      <c r="M15" s="7">
        <f t="shared" si="3"/>
        <v>0.61778676925991571</v>
      </c>
      <c r="N15" s="7">
        <f t="shared" si="4"/>
        <v>0.21980679978152803</v>
      </c>
      <c r="O15" s="7">
        <f t="shared" si="0"/>
        <v>4.6081193894360994E-2</v>
      </c>
      <c r="P15" s="7">
        <f t="shared" si="0"/>
        <v>1.1024448672314566E-2</v>
      </c>
    </row>
    <row r="16" spans="3:16" x14ac:dyDescent="0.25">
      <c r="C16" s="1">
        <f>'Input-lag'!H16</f>
        <v>39448</v>
      </c>
      <c r="D16" s="8">
        <f>VLOOKUP(C16,'Input-lag'!H$4:$I$102,2,0)</f>
        <v>77064970164.339996</v>
      </c>
      <c r="E16" s="8">
        <f>VLOOKUP(C16,'Pivot - lag'!$E$4:$F$144,2,0)</f>
        <v>65017340144.210007</v>
      </c>
      <c r="F16" s="8">
        <f>VLOOKUP(C16,'Pivot - lag'!$I$4:$J$144,2,0)</f>
        <v>52356321979.840004</v>
      </c>
      <c r="G16" s="8">
        <f>VLOOKUP(C16,'Pivot - lag'!$M$3:$N$144,2,0)</f>
        <v>19245031368.959999</v>
      </c>
      <c r="H16" s="8">
        <f>VLOOKUP(C16,'Input-lag'!$K$3:$L$102,2,0)</f>
        <v>2742976340.8400002</v>
      </c>
      <c r="I16" s="8">
        <f>VLOOKUP(C16,'Input-lag'!temp_8,2,0)</f>
        <v>806190228.41999996</v>
      </c>
      <c r="K16" s="1">
        <f t="shared" si="1"/>
        <v>39448</v>
      </c>
      <c r="L16" s="7">
        <f t="shared" si="2"/>
        <v>0.84366917946716147</v>
      </c>
      <c r="M16" s="7">
        <f t="shared" si="3"/>
        <v>0.67937899499851695</v>
      </c>
      <c r="N16" s="7">
        <f t="shared" si="4"/>
        <v>0.24972476246886532</v>
      </c>
      <c r="O16" s="7">
        <f t="shared" si="0"/>
        <v>3.5593037082745124E-2</v>
      </c>
      <c r="P16" s="7">
        <f t="shared" si="0"/>
        <v>1.0461176156959644E-2</v>
      </c>
    </row>
    <row r="17" spans="3:16" x14ac:dyDescent="0.25">
      <c r="C17" s="1">
        <f>'Input-lag'!H17</f>
        <v>39479</v>
      </c>
      <c r="D17" s="8">
        <f>VLOOKUP(C17,'Input-lag'!H$4:$I$102,2,0)</f>
        <v>58904329066.650002</v>
      </c>
      <c r="E17" s="8">
        <f>VLOOKUP(C17,'Pivot - lag'!$E$4:$F$144,2,0)</f>
        <v>48202780379.819992</v>
      </c>
      <c r="F17" s="8">
        <f>VLOOKUP(C17,'Pivot - lag'!$I$4:$J$144,2,0)</f>
        <v>38429714675.949997</v>
      </c>
      <c r="G17" s="8">
        <f>VLOOKUP(C17,'Pivot - lag'!$M$3:$N$144,2,0)</f>
        <v>14202157043.27</v>
      </c>
      <c r="H17" s="8">
        <f>VLOOKUP(C17,'Input-lag'!$K$3:$L$102,2,0)</f>
        <v>3365807073.5500002</v>
      </c>
      <c r="I17" s="8">
        <f>VLOOKUP(C17,'Input-lag'!temp_8,2,0)</f>
        <v>791862987.95000005</v>
      </c>
      <c r="K17" s="1">
        <f t="shared" si="1"/>
        <v>39479</v>
      </c>
      <c r="L17" s="7">
        <f t="shared" si="2"/>
        <v>0.81832322247960332</v>
      </c>
      <c r="M17" s="7">
        <f t="shared" si="3"/>
        <v>0.6524090043104801</v>
      </c>
      <c r="N17" s="7">
        <f t="shared" si="4"/>
        <v>0.24110548865093293</v>
      </c>
      <c r="O17" s="7">
        <f t="shared" si="0"/>
        <v>5.7140232761867187E-2</v>
      </c>
      <c r="P17" s="7">
        <f t="shared" si="0"/>
        <v>1.3443205287238063E-2</v>
      </c>
    </row>
    <row r="18" spans="3:16" x14ac:dyDescent="0.25">
      <c r="C18" s="1">
        <f>'Input-lag'!H18</f>
        <v>39508</v>
      </c>
      <c r="D18" s="8">
        <f>VLOOKUP(C18,'Input-lag'!H$4:$I$102,2,0)</f>
        <v>82288506502.539993</v>
      </c>
      <c r="E18" s="8">
        <f>VLOOKUP(C18,'Pivot - lag'!$E$4:$F$144,2,0)</f>
        <v>71980932056.040009</v>
      </c>
      <c r="F18" s="8">
        <f>VLOOKUP(C18,'Pivot - lag'!$I$4:$J$144,2,0)</f>
        <v>57933017059.870003</v>
      </c>
      <c r="G18" s="8">
        <f>VLOOKUP(C18,'Pivot - lag'!$M$3:$N$144,2,0)</f>
        <v>18869156796.220001</v>
      </c>
      <c r="H18" s="8">
        <f>VLOOKUP(C18,'Input-lag'!$K$3:$L$102,2,0)</f>
        <v>2534262717.98</v>
      </c>
      <c r="I18" s="8">
        <f>VLOOKUP(C18,'Input-lag'!temp_8,2,0)</f>
        <v>705417996.09000003</v>
      </c>
      <c r="K18" s="1">
        <f t="shared" si="1"/>
        <v>39508</v>
      </c>
      <c r="L18" s="7">
        <f t="shared" si="2"/>
        <v>0.87473858884312328</v>
      </c>
      <c r="M18" s="7">
        <f t="shared" si="3"/>
        <v>0.70402319257163559</v>
      </c>
      <c r="N18" s="7">
        <f t="shared" si="4"/>
        <v>0.22930488835202725</v>
      </c>
      <c r="O18" s="7">
        <f t="shared" si="0"/>
        <v>3.0797286591922469E-2</v>
      </c>
      <c r="P18" s="7">
        <f t="shared" si="0"/>
        <v>8.5724972547439049E-3</v>
      </c>
    </row>
    <row r="19" spans="3:16" x14ac:dyDescent="0.25">
      <c r="C19" s="1">
        <f>'Input-lag'!H19</f>
        <v>39539</v>
      </c>
      <c r="D19" s="8">
        <f>VLOOKUP(C19,'Input-lag'!H$4:$I$102,2,0)</f>
        <v>56946711891.239998</v>
      </c>
      <c r="E19" s="8">
        <f>VLOOKUP(C19,'Pivot - lag'!$E$4:$F$144,2,0)</f>
        <v>47078096575.229996</v>
      </c>
      <c r="F19" s="8">
        <f>VLOOKUP(C19,'Pivot - lag'!$I$4:$J$144,2,0)</f>
        <v>37934628259.07</v>
      </c>
      <c r="G19" s="8">
        <f>VLOOKUP(C19,'Pivot - lag'!$M$3:$N$144,2,0)</f>
        <v>9926586445.7800007</v>
      </c>
      <c r="H19" s="8">
        <f>VLOOKUP(C19,'Input-lag'!$K$3:$L$102,2,0)</f>
        <v>4627286735.46</v>
      </c>
      <c r="I19" s="8">
        <f>VLOOKUP(C19,'Input-lag'!temp_8,2,0)</f>
        <v>689568022.57000005</v>
      </c>
      <c r="K19" s="1">
        <f t="shared" si="1"/>
        <v>39539</v>
      </c>
      <c r="L19" s="7">
        <f t="shared" si="2"/>
        <v>0.82670438751832354</v>
      </c>
      <c r="M19" s="7">
        <f t="shared" si="3"/>
        <v>0.66614255677342116</v>
      </c>
      <c r="N19" s="7">
        <f t="shared" si="4"/>
        <v>0.17431360154276068</v>
      </c>
      <c r="O19" s="7">
        <f t="shared" si="0"/>
        <v>8.1256433985116644E-2</v>
      </c>
      <c r="P19" s="7">
        <f t="shared" si="0"/>
        <v>1.2109005062258475E-2</v>
      </c>
    </row>
    <row r="20" spans="3:16" x14ac:dyDescent="0.25">
      <c r="C20" s="1">
        <f>'Input-lag'!H20</f>
        <v>39569</v>
      </c>
      <c r="D20" s="8">
        <f>VLOOKUP(C20,'Input-lag'!H$4:$I$102,2,0)</f>
        <v>63162385903.519997</v>
      </c>
      <c r="E20" s="8">
        <f>VLOOKUP(C20,'Pivot - lag'!$E$4:$F$144,2,0)</f>
        <v>52635172551.659988</v>
      </c>
      <c r="F20" s="8">
        <f>VLOOKUP(C20,'Pivot - lag'!$I$4:$J$144,2,0)</f>
        <v>42014894318.319992</v>
      </c>
      <c r="G20" s="8">
        <f>VLOOKUP(C20,'Pivot - lag'!$M$3:$N$144,2,0)</f>
        <v>13677637389.280001</v>
      </c>
      <c r="H20" s="8">
        <f>VLOOKUP(C20,'Input-lag'!$K$3:$L$102,2,0)</f>
        <v>4716019657.6199999</v>
      </c>
      <c r="I20" s="8">
        <f>VLOOKUP(C20,'Input-lag'!temp_8,2,0)</f>
        <v>854349995.38999999</v>
      </c>
      <c r="K20" s="1">
        <f t="shared" si="1"/>
        <v>39569</v>
      </c>
      <c r="L20" s="7">
        <f t="shared" si="2"/>
        <v>0.83333097378651533</v>
      </c>
      <c r="M20" s="7">
        <f t="shared" si="3"/>
        <v>0.6651885250582108</v>
      </c>
      <c r="N20" s="7">
        <f t="shared" si="4"/>
        <v>0.21654719329590358</v>
      </c>
      <c r="O20" s="7">
        <f t="shared" ref="O20:P83" si="5">H20/$D20</f>
        <v>7.4665001806988096E-2</v>
      </c>
      <c r="P20" s="7">
        <f t="shared" si="5"/>
        <v>1.3526246407078609E-2</v>
      </c>
    </row>
    <row r="21" spans="3:16" x14ac:dyDescent="0.25">
      <c r="C21" s="1">
        <f>'Input-lag'!H21</f>
        <v>39600</v>
      </c>
      <c r="D21" s="8">
        <f>VLOOKUP(C21,'Input-lag'!H$4:$I$102,2,0)</f>
        <v>72602408533.720001</v>
      </c>
      <c r="E21" s="8">
        <f>VLOOKUP(C21,'Pivot - lag'!$E$4:$F$144,2,0)</f>
        <v>61635508716.530006</v>
      </c>
      <c r="F21" s="8">
        <f>VLOOKUP(C21,'Pivot - lag'!$I$4:$J$144,2,0)</f>
        <v>50039968636.970001</v>
      </c>
      <c r="G21" s="8">
        <f>VLOOKUP(C21,'Pivot - lag'!$M$3:$N$144,2,0)</f>
        <v>16065557997.07</v>
      </c>
      <c r="H21" s="8">
        <f>VLOOKUP(C21,'Input-lag'!$K$3:$L$102,2,0)</f>
        <v>4606226475.4300003</v>
      </c>
      <c r="I21" s="8">
        <f>VLOOKUP(C21,'Input-lag'!temp_8,2,0)</f>
        <v>991873864.08000004</v>
      </c>
      <c r="K21" s="1">
        <f t="shared" si="1"/>
        <v>39600</v>
      </c>
      <c r="L21" s="7">
        <f t="shared" si="2"/>
        <v>0.84894578515123986</v>
      </c>
      <c r="M21" s="7">
        <f t="shared" si="3"/>
        <v>0.68923290077531063</v>
      </c>
      <c r="N21" s="7">
        <f t="shared" si="4"/>
        <v>0.22128133654971505</v>
      </c>
      <c r="O21" s="7">
        <f t="shared" si="5"/>
        <v>6.3444540869338387E-2</v>
      </c>
      <c r="P21" s="7">
        <f t="shared" si="5"/>
        <v>1.3661721203358243E-2</v>
      </c>
    </row>
    <row r="22" spans="3:16" x14ac:dyDescent="0.25">
      <c r="C22" s="1">
        <f>'Input-lag'!H22</f>
        <v>39630</v>
      </c>
      <c r="D22" s="8">
        <f>VLOOKUP(C22,'Input-lag'!H$4:$I$102,2,0)</f>
        <v>55712916044.559998</v>
      </c>
      <c r="E22" s="8">
        <f>VLOOKUP(C22,'Pivot - lag'!$E$4:$F$144,2,0)</f>
        <v>45591009988.510002</v>
      </c>
      <c r="F22" s="8">
        <f>VLOOKUP(C22,'Pivot - lag'!$I$4:$J$144,2,0)</f>
        <v>38759941326.599998</v>
      </c>
      <c r="G22" s="8">
        <f>VLOOKUP(C22,'Pivot - lag'!$M$3:$N$144,2,0)</f>
        <v>12448685404.389999</v>
      </c>
      <c r="H22" s="8">
        <f>VLOOKUP(C22,'Input-lag'!$K$3:$L$102,2,0)</f>
        <v>4590315319.1099997</v>
      </c>
      <c r="I22" s="8">
        <f>VLOOKUP(C22,'Input-lag'!temp_8,2,0)</f>
        <v>838953095.21000004</v>
      </c>
      <c r="K22" s="1">
        <f t="shared" si="1"/>
        <v>39630</v>
      </c>
      <c r="L22" s="7">
        <f t="shared" si="2"/>
        <v>0.81832029671621664</v>
      </c>
      <c r="M22" s="7">
        <f t="shared" si="3"/>
        <v>0.69570835774597106</v>
      </c>
      <c r="N22" s="7">
        <f t="shared" si="4"/>
        <v>0.22344343624794941</v>
      </c>
      <c r="O22" s="7">
        <f t="shared" si="5"/>
        <v>8.2392300475505512E-2</v>
      </c>
      <c r="P22" s="7">
        <f t="shared" si="5"/>
        <v>1.5058502673580991E-2</v>
      </c>
    </row>
    <row r="23" spans="3:16" x14ac:dyDescent="0.25">
      <c r="C23" s="1">
        <f>'Input-lag'!H23</f>
        <v>39661</v>
      </c>
      <c r="D23" s="8">
        <f>VLOOKUP(C23,'Input-lag'!H$4:$I$102,2,0)</f>
        <v>38900118248.239998</v>
      </c>
      <c r="E23" s="8">
        <f>VLOOKUP(C23,'Pivot - lag'!$E$4:$F$144,2,0)</f>
        <v>31436623958.66</v>
      </c>
      <c r="F23" s="8">
        <f>VLOOKUP(C23,'Pivot - lag'!$I$4:$J$144,2,0)</f>
        <v>25442840100.120003</v>
      </c>
      <c r="G23" s="8">
        <f>VLOOKUP(C23,'Pivot - lag'!$M$3:$N$144,2,0)</f>
        <v>6812598633.46</v>
      </c>
      <c r="H23" s="8">
        <f>VLOOKUP(C23,'Input-lag'!$K$3:$L$102,2,0)</f>
        <v>2735541204.4699998</v>
      </c>
      <c r="I23" s="8">
        <f>VLOOKUP(C23,'Input-lag'!temp_8,2,0)</f>
        <v>743781943.44000006</v>
      </c>
      <c r="K23" s="1">
        <f t="shared" si="1"/>
        <v>39661</v>
      </c>
      <c r="L23" s="7">
        <f t="shared" si="2"/>
        <v>0.80813697680937824</v>
      </c>
      <c r="M23" s="7">
        <f t="shared" si="3"/>
        <v>0.654055597922794</v>
      </c>
      <c r="N23" s="7">
        <f t="shared" si="4"/>
        <v>0.17513053790699545</v>
      </c>
      <c r="O23" s="7">
        <f t="shared" si="5"/>
        <v>7.0322182236393763E-2</v>
      </c>
      <c r="P23" s="7">
        <f t="shared" si="5"/>
        <v>1.9120300321288915E-2</v>
      </c>
    </row>
    <row r="24" spans="3:16" x14ac:dyDescent="0.25">
      <c r="C24" s="1">
        <f>'Input-lag'!H24</f>
        <v>39692</v>
      </c>
      <c r="D24" s="8">
        <f>VLOOKUP(C24,'Input-lag'!H$4:$I$102,2,0)</f>
        <v>32713650876.889999</v>
      </c>
      <c r="E24" s="8">
        <f>VLOOKUP(C24,'Pivot - lag'!$E$4:$F$144,2,0)</f>
        <v>26526543059.549999</v>
      </c>
      <c r="F24" s="8">
        <f>VLOOKUP(C24,'Pivot - lag'!$I$4:$J$144,2,0)</f>
        <v>21598906300.810001</v>
      </c>
      <c r="G24" s="8">
        <f>VLOOKUP(C24,'Pivot - lag'!$M$3:$N$144,2,0)</f>
        <v>5479074775.4300003</v>
      </c>
      <c r="H24" s="8">
        <f>VLOOKUP(C24,'Input-lag'!$K$3:$L$102,2,0)</f>
        <v>2494839817.1700001</v>
      </c>
      <c r="I24" s="8">
        <f>VLOOKUP(C24,'Input-lag'!temp_8,2,0)</f>
        <v>861617170.63</v>
      </c>
      <c r="K24" s="1">
        <f t="shared" si="1"/>
        <v>39692</v>
      </c>
      <c r="L24" s="7">
        <f t="shared" si="2"/>
        <v>0.81087076338181574</v>
      </c>
      <c r="M24" s="7">
        <f t="shared" si="3"/>
        <v>0.66024138920147801</v>
      </c>
      <c r="N24" s="7">
        <f t="shared" si="4"/>
        <v>0.16748588520581784</v>
      </c>
      <c r="O24" s="7">
        <f t="shared" si="5"/>
        <v>7.6262959049075055E-2</v>
      </c>
      <c r="P24" s="7">
        <f t="shared" si="5"/>
        <v>2.6338153875655461E-2</v>
      </c>
    </row>
    <row r="25" spans="3:16" x14ac:dyDescent="0.25">
      <c r="C25" s="1">
        <f>'Input-lag'!H25</f>
        <v>39722</v>
      </c>
      <c r="D25" s="8">
        <f>VLOOKUP(C25,'Input-lag'!H$4:$I$102,2,0)</f>
        <v>38978181473.309998</v>
      </c>
      <c r="E25" s="8">
        <f>VLOOKUP(C25,'Pivot - lag'!$E$4:$F$144,2,0)</f>
        <v>31358693679.060001</v>
      </c>
      <c r="F25" s="8">
        <f>VLOOKUP(C25,'Pivot - lag'!$I$4:$J$144,2,0)</f>
        <v>26005861056.07</v>
      </c>
      <c r="G25" s="8">
        <f>VLOOKUP(C25,'Pivot - lag'!$M$3:$N$144,2,0)</f>
        <v>7947690883.6099997</v>
      </c>
      <c r="H25" s="8">
        <f>VLOOKUP(C25,'Input-lag'!$K$3:$L$102,2,0)</f>
        <v>3909470688.3099999</v>
      </c>
      <c r="I25" s="8">
        <f>VLOOKUP(C25,'Input-lag'!temp_8,2,0)</f>
        <v>863167964.38</v>
      </c>
      <c r="K25" s="1">
        <f t="shared" si="1"/>
        <v>39722</v>
      </c>
      <c r="L25" s="7">
        <f t="shared" si="2"/>
        <v>0.80451915645507011</v>
      </c>
      <c r="M25" s="7">
        <f t="shared" si="3"/>
        <v>0.66719020931947037</v>
      </c>
      <c r="N25" s="7">
        <f t="shared" si="4"/>
        <v>0.20390101803626007</v>
      </c>
      <c r="O25" s="7">
        <f t="shared" si="5"/>
        <v>0.10029895034962007</v>
      </c>
      <c r="P25" s="7">
        <f t="shared" si="5"/>
        <v>2.2144900858729069E-2</v>
      </c>
    </row>
    <row r="26" spans="3:16" x14ac:dyDescent="0.25">
      <c r="C26" s="1">
        <f>'Input-lag'!H26</f>
        <v>39753</v>
      </c>
      <c r="D26" s="8">
        <f>VLOOKUP(C26,'Input-lag'!H$4:$I$102,2,0)</f>
        <v>32829619039.73</v>
      </c>
      <c r="E26" s="8">
        <f>VLOOKUP(C26,'Pivot - lag'!$E$4:$F$144,2,0)</f>
        <v>27240025302.790001</v>
      </c>
      <c r="F26" s="8">
        <f>VLOOKUP(C26,'Pivot - lag'!$I$4:$J$144,2,0)</f>
        <v>20986628151.540001</v>
      </c>
      <c r="G26" s="8">
        <f>VLOOKUP(C26,'Pivot - lag'!$M$3:$N$144,2,0)</f>
        <v>6263865667.6599998</v>
      </c>
      <c r="H26" s="8">
        <f>VLOOKUP(C26,'Input-lag'!$K$3:$L$102,2,0)</f>
        <v>2848084766.9000001</v>
      </c>
      <c r="I26" s="8">
        <f>VLOOKUP(C26,'Input-lag'!temp_8,2,0)</f>
        <v>346449062.85000002</v>
      </c>
      <c r="K26" s="1">
        <f t="shared" si="1"/>
        <v>39753</v>
      </c>
      <c r="L26" s="7">
        <f t="shared" si="2"/>
        <v>0.82973930552847597</v>
      </c>
      <c r="M26" s="7">
        <f t="shared" si="3"/>
        <v>0.63925896082261091</v>
      </c>
      <c r="N26" s="7">
        <f t="shared" si="4"/>
        <v>0.19079921884197154</v>
      </c>
      <c r="O26" s="7">
        <f t="shared" si="5"/>
        <v>8.6753512535533331E-2</v>
      </c>
      <c r="P26" s="7">
        <f t="shared" si="5"/>
        <v>1.0552941915979337E-2</v>
      </c>
    </row>
    <row r="27" spans="3:16" x14ac:dyDescent="0.25">
      <c r="C27" s="1">
        <f>'Input-lag'!H27</f>
        <v>39783</v>
      </c>
      <c r="D27" s="8">
        <f>VLOOKUP(C27,'Input-lag'!H$4:$I$102,2,0)</f>
        <v>26257543334.880001</v>
      </c>
      <c r="E27" s="8">
        <f>VLOOKUP(C27,'Pivot - lag'!$E$4:$F$144,2,0)</f>
        <v>20841409991.700005</v>
      </c>
      <c r="F27" s="8">
        <f>VLOOKUP(C27,'Pivot - lag'!$I$4:$J$144,2,0)</f>
        <v>16772316931.700003</v>
      </c>
      <c r="G27" s="8">
        <f>VLOOKUP(C27,'Pivot - lag'!$M$3:$N$144,2,0)</f>
        <v>5409841465.3100004</v>
      </c>
      <c r="H27" s="8">
        <f>VLOOKUP(C27,'Input-lag'!$K$3:$L$102,2,0)</f>
        <v>2716307694.77</v>
      </c>
      <c r="I27" s="8">
        <f>VLOOKUP(C27,'Input-lag'!temp_8,2,0)</f>
        <v>329342548.44</v>
      </c>
      <c r="K27" s="1">
        <f t="shared" si="1"/>
        <v>39783</v>
      </c>
      <c r="L27" s="7">
        <f t="shared" si="2"/>
        <v>0.79373038543231456</v>
      </c>
      <c r="M27" s="7">
        <f t="shared" si="3"/>
        <v>0.63876184903482536</v>
      </c>
      <c r="N27" s="7">
        <f t="shared" si="4"/>
        <v>0.20602999284109241</v>
      </c>
      <c r="O27" s="7">
        <f t="shared" si="5"/>
        <v>0.10344866083346459</v>
      </c>
      <c r="P27" s="7">
        <f t="shared" si="5"/>
        <v>1.2542778440453256E-2</v>
      </c>
    </row>
    <row r="28" spans="3:16" x14ac:dyDescent="0.25">
      <c r="C28" s="1">
        <f>'Input-lag'!H28</f>
        <v>39814</v>
      </c>
      <c r="D28" s="8">
        <f>VLOOKUP(C28,'Input-lag'!H$4:$I$102,2,0)</f>
        <v>40088863428.669998</v>
      </c>
      <c r="E28" s="8">
        <f>VLOOKUP(C28,'Pivot - lag'!$E$4:$F$144,2,0)</f>
        <v>32897715325.23</v>
      </c>
      <c r="F28" s="8">
        <f>VLOOKUP(C28,'Pivot - lag'!$I$4:$J$144,2,0)</f>
        <v>24624689128.59</v>
      </c>
      <c r="G28" s="8">
        <f>VLOOKUP(C28,'Pivot - lag'!$M$3:$N$144,2,0)</f>
        <v>8591092469.3799992</v>
      </c>
      <c r="H28" s="8">
        <f>VLOOKUP(C28,'Input-lag'!$K$3:$L$102,2,0)</f>
        <v>2341858898.6399999</v>
      </c>
      <c r="I28" s="8">
        <f>VLOOKUP(C28,'Input-lag'!temp_8,2,0)</f>
        <v>352645579.72000003</v>
      </c>
      <c r="K28" s="1">
        <f t="shared" si="1"/>
        <v>39814</v>
      </c>
      <c r="L28" s="7">
        <f t="shared" si="2"/>
        <v>0.82061980589110017</v>
      </c>
      <c r="M28" s="7">
        <f t="shared" si="3"/>
        <v>0.61425261338238335</v>
      </c>
      <c r="N28" s="7">
        <f t="shared" si="4"/>
        <v>0.21430122319796135</v>
      </c>
      <c r="O28" s="7">
        <f t="shared" si="5"/>
        <v>5.8416694771276388E-2</v>
      </c>
      <c r="P28" s="7">
        <f t="shared" si="5"/>
        <v>8.7965970985299027E-3</v>
      </c>
    </row>
    <row r="29" spans="3:16" x14ac:dyDescent="0.25">
      <c r="C29" s="1">
        <f>'Input-lag'!H29</f>
        <v>39845</v>
      </c>
      <c r="D29" s="8">
        <f>VLOOKUP(C29,'Input-lag'!H$4:$I$102,2,0)</f>
        <v>24388048591.91</v>
      </c>
      <c r="E29" s="8">
        <f>VLOOKUP(C29,'Pivot - lag'!$E$4:$F$144,2,0)</f>
        <v>17164701492.5</v>
      </c>
      <c r="F29" s="8">
        <f>VLOOKUP(C29,'Pivot - lag'!$I$4:$J$144,2,0)</f>
        <v>14158762603.860001</v>
      </c>
      <c r="G29" s="8">
        <f>VLOOKUP(C29,'Pivot - lag'!$M$3:$N$144,2,0)</f>
        <v>4307824965.3000002</v>
      </c>
      <c r="H29" s="8">
        <f>VLOOKUP(C29,'Input-lag'!$K$3:$L$102,2,0)</f>
        <v>4022859899.9899998</v>
      </c>
      <c r="I29" s="8">
        <f>VLOOKUP(C29,'Input-lag'!temp_8,2,0)</f>
        <v>291787119.26999998</v>
      </c>
      <c r="K29" s="1">
        <f t="shared" si="1"/>
        <v>39845</v>
      </c>
      <c r="L29" s="7">
        <f t="shared" si="2"/>
        <v>0.7038161100840955</v>
      </c>
      <c r="M29" s="7">
        <f t="shared" si="3"/>
        <v>0.58056152178394227</v>
      </c>
      <c r="N29" s="7">
        <f t="shared" si="4"/>
        <v>0.1766367222480027</v>
      </c>
      <c r="O29" s="7">
        <f t="shared" si="5"/>
        <v>0.16495210286420631</v>
      </c>
      <c r="P29" s="7">
        <f t="shared" si="5"/>
        <v>1.1964348773964292E-2</v>
      </c>
    </row>
    <row r="30" spans="3:16" x14ac:dyDescent="0.25">
      <c r="C30" s="1">
        <f>'Input-lag'!H30</f>
        <v>39873</v>
      </c>
      <c r="D30" s="8">
        <f>VLOOKUP(C30,'Input-lag'!H$4:$I$102,2,0)</f>
        <v>44753198527.510002</v>
      </c>
      <c r="E30" s="8">
        <f>VLOOKUP(C30,'Pivot - lag'!$E$4:$F$144,2,0)</f>
        <v>32646007910.57</v>
      </c>
      <c r="F30" s="8">
        <f>VLOOKUP(C30,'Pivot - lag'!$I$4:$J$144,2,0)</f>
        <v>27275317473.459999</v>
      </c>
      <c r="G30" s="8">
        <f>VLOOKUP(C30,'Pivot - lag'!$M$3:$N$144,2,0)</f>
        <v>9985509207.7099991</v>
      </c>
      <c r="H30" s="8">
        <f>VLOOKUP(C30,'Input-lag'!$K$3:$L$102,2,0)</f>
        <v>7282838476.5600004</v>
      </c>
      <c r="I30" s="8">
        <f>VLOOKUP(C30,'Input-lag'!temp_8,2,0)</f>
        <v>708211819.88</v>
      </c>
      <c r="K30" s="1">
        <f t="shared" si="1"/>
        <v>39873</v>
      </c>
      <c r="L30" s="7">
        <f t="shared" si="2"/>
        <v>0.72946759080252876</v>
      </c>
      <c r="M30" s="7">
        <f t="shared" si="3"/>
        <v>0.60946073958699809</v>
      </c>
      <c r="N30" s="7">
        <f t="shared" si="4"/>
        <v>0.22312392267497616</v>
      </c>
      <c r="O30" s="7">
        <f t="shared" si="5"/>
        <v>0.16273336244521619</v>
      </c>
      <c r="P30" s="7">
        <f t="shared" si="5"/>
        <v>1.5824831368078839E-2</v>
      </c>
    </row>
    <row r="31" spans="3:16" x14ac:dyDescent="0.25">
      <c r="C31" s="1">
        <f>'Input-lag'!H31</f>
        <v>39904</v>
      </c>
      <c r="D31" s="8">
        <f>VLOOKUP(C31,'Input-lag'!H$4:$I$102,2,0)</f>
        <v>89107406685.440002</v>
      </c>
      <c r="E31" s="8">
        <f>VLOOKUP(C31,'Pivot - lag'!$E$4:$F$144,2,0)</f>
        <v>68408727039.080009</v>
      </c>
      <c r="F31" s="8">
        <f>VLOOKUP(C31,'Pivot - lag'!$I$4:$J$144,2,0)</f>
        <v>59033003601.860008</v>
      </c>
      <c r="G31" s="8">
        <f>VLOOKUP(C31,'Pivot - lag'!$M$3:$N$144,2,0)</f>
        <v>21059327558.889999</v>
      </c>
      <c r="H31" s="8">
        <f>VLOOKUP(C31,'Input-lag'!$K$3:$L$102,2,0)</f>
        <v>13124113584.77</v>
      </c>
      <c r="I31" s="8">
        <f>VLOOKUP(C31,'Input-lag'!temp_8,2,0)</f>
        <v>980343507.52999997</v>
      </c>
      <c r="K31" s="1">
        <f t="shared" si="1"/>
        <v>39904</v>
      </c>
      <c r="L31" s="7">
        <f t="shared" si="2"/>
        <v>0.7677108961387592</v>
      </c>
      <c r="M31" s="7">
        <f t="shared" si="3"/>
        <v>0.66249266809271756</v>
      </c>
      <c r="N31" s="7">
        <f t="shared" si="4"/>
        <v>0.23633644320086647</v>
      </c>
      <c r="O31" s="7">
        <f t="shared" si="5"/>
        <v>0.14728420535343059</v>
      </c>
      <c r="P31" s="7">
        <f t="shared" si="5"/>
        <v>1.1001818412140889E-2</v>
      </c>
    </row>
    <row r="32" spans="3:16" x14ac:dyDescent="0.25">
      <c r="C32" s="1">
        <f>'Input-lag'!H32</f>
        <v>39934</v>
      </c>
      <c r="D32" s="8">
        <f>VLOOKUP(C32,'Input-lag'!H$4:$I$102,2,0)</f>
        <v>56341875537.339996</v>
      </c>
      <c r="E32" s="8">
        <f>VLOOKUP(C32,'Pivot - lag'!$E$4:$F$144,2,0)</f>
        <v>36074918280.239998</v>
      </c>
      <c r="F32" s="8">
        <f>VLOOKUP(C32,'Pivot - lag'!$I$4:$J$144,2,0)</f>
        <v>29187085765.059998</v>
      </c>
      <c r="G32" s="8">
        <f>VLOOKUP(C32,'Pivot - lag'!$M$3:$N$144,2,0)</f>
        <v>11006090698.6</v>
      </c>
      <c r="H32" s="8">
        <f>VLOOKUP(C32,'Input-lag'!$K$3:$L$102,2,0)</f>
        <v>14916253696.33</v>
      </c>
      <c r="I32" s="8">
        <f>VLOOKUP(C32,'Input-lag'!temp_8,2,0)</f>
        <v>513485115.45999998</v>
      </c>
      <c r="K32" s="1">
        <f t="shared" si="1"/>
        <v>39934</v>
      </c>
      <c r="L32" s="7">
        <f t="shared" si="2"/>
        <v>0.64028607383387015</v>
      </c>
      <c r="M32" s="7">
        <f t="shared" si="3"/>
        <v>0.51803539528457054</v>
      </c>
      <c r="N32" s="7">
        <f t="shared" si="4"/>
        <v>0.19534476965194081</v>
      </c>
      <c r="O32" s="7">
        <f t="shared" si="5"/>
        <v>0.26474542343632856</v>
      </c>
      <c r="P32" s="7">
        <f t="shared" si="5"/>
        <v>9.1137384150389716E-3</v>
      </c>
    </row>
    <row r="33" spans="2:16" x14ac:dyDescent="0.25">
      <c r="B33" s="12">
        <f>D33+H33</f>
        <v>197602456124.37</v>
      </c>
      <c r="C33" s="1">
        <f>'Input-lag'!H33</f>
        <v>39965</v>
      </c>
      <c r="D33" s="8">
        <f>VLOOKUP(C33,'Input-lag'!H$4:$I$102,2,0)</f>
        <v>126056334922.13</v>
      </c>
      <c r="E33" s="8">
        <f>VLOOKUP(C33,'Pivot - lag'!$E$4:$F$144,2,0)</f>
        <v>47800828048.669998</v>
      </c>
      <c r="F33" s="8">
        <f>VLOOKUP(C33,'Pivot - lag'!$I$4:$J$144,2,0)</f>
        <v>41142110326.32</v>
      </c>
      <c r="G33" s="8">
        <f>VLOOKUP(C33,'Pivot - lag'!$M$3:$N$144,2,0)</f>
        <v>13967560067</v>
      </c>
      <c r="H33" s="8">
        <f>VLOOKUP(C33,'Input-lag'!$K$3:$L$102,2,0)</f>
        <v>71546121202.240005</v>
      </c>
      <c r="I33" s="8">
        <f>VLOOKUP(C33,'Input-lag'!temp_8,2,0)</f>
        <v>750914738.05999994</v>
      </c>
      <c r="K33" s="1">
        <f t="shared" si="1"/>
        <v>39965</v>
      </c>
      <c r="L33" s="7">
        <f t="shared" si="2"/>
        <v>0.37920210894754686</v>
      </c>
      <c r="M33" s="7">
        <f t="shared" si="3"/>
        <v>0.32637876035135494</v>
      </c>
      <c r="N33" s="7">
        <f t="shared" si="4"/>
        <v>0.11080411052430103</v>
      </c>
      <c r="O33" s="7">
        <f t="shared" si="5"/>
        <v>0.56757259558939965</v>
      </c>
      <c r="P33" s="7">
        <f t="shared" si="5"/>
        <v>5.9569773984295971E-3</v>
      </c>
    </row>
    <row r="34" spans="2:16" x14ac:dyDescent="0.25">
      <c r="C34" s="1">
        <f>'Input-lag'!H34</f>
        <v>39995</v>
      </c>
      <c r="D34" s="8">
        <f>VLOOKUP(C34,'Input-lag'!H$4:$I$102,2,0)</f>
        <v>127916816916.89999</v>
      </c>
      <c r="E34" s="8">
        <f>VLOOKUP(C34,'Pivot - lag'!$E$4:$F$144,2,0)</f>
        <v>71000461836.590012</v>
      </c>
      <c r="F34" s="8">
        <f>VLOOKUP(C34,'Pivot - lag'!$I$4:$J$144,2,0)</f>
        <v>62469997317.860001</v>
      </c>
      <c r="G34" s="8">
        <f>VLOOKUP(C34,'Pivot - lag'!$M$3:$N$144,2,0)</f>
        <v>22149963934.57</v>
      </c>
      <c r="H34" s="8">
        <f>VLOOKUP(C34,'Input-lag'!$K$3:$L$102,2,0)</f>
        <v>48580167018.220001</v>
      </c>
      <c r="I34" s="8">
        <f>VLOOKUP(C34,'Input-lag'!temp_8,2,0)</f>
        <v>1145026720.3900001</v>
      </c>
      <c r="K34" s="1">
        <f t="shared" si="1"/>
        <v>39995</v>
      </c>
      <c r="L34" s="7">
        <f t="shared" si="2"/>
        <v>0.55505181842286477</v>
      </c>
      <c r="M34" s="7">
        <f t="shared" si="3"/>
        <v>0.48836422624902454</v>
      </c>
      <c r="N34" s="7">
        <f t="shared" si="4"/>
        <v>0.17315912378400977</v>
      </c>
      <c r="O34" s="7">
        <f t="shared" si="5"/>
        <v>0.37977936122175138</v>
      </c>
      <c r="P34" s="7">
        <f t="shared" si="5"/>
        <v>8.9513384399946133E-3</v>
      </c>
    </row>
    <row r="35" spans="2:16" x14ac:dyDescent="0.25">
      <c r="C35" s="1">
        <f>'Input-lag'!H35</f>
        <v>40026</v>
      </c>
      <c r="D35" s="8">
        <f>VLOOKUP(C35,'Input-lag'!H$4:$I$102,2,0)</f>
        <v>78436521989.979996</v>
      </c>
      <c r="E35" s="8">
        <f>VLOOKUP(C35,'Pivot - lag'!$E$4:$F$144,2,0)</f>
        <v>53760589759.599998</v>
      </c>
      <c r="F35" s="8">
        <f>VLOOKUP(C35,'Pivot - lag'!$I$4:$J$144,2,0)</f>
        <v>46530707556.220001</v>
      </c>
      <c r="G35" s="8">
        <f>VLOOKUP(C35,'Pivot - lag'!$M$3:$N$144,2,0)</f>
        <v>17966598426.119999</v>
      </c>
      <c r="H35" s="8">
        <f>VLOOKUP(C35,'Input-lag'!$K$3:$L$102,2,0)</f>
        <v>16641693291.17</v>
      </c>
      <c r="I35" s="8">
        <f>VLOOKUP(C35,'Input-lag'!temp_8,2,0)</f>
        <v>1022514881.83</v>
      </c>
      <c r="K35" s="1">
        <f t="shared" si="1"/>
        <v>40026</v>
      </c>
      <c r="L35" s="7">
        <f t="shared" si="2"/>
        <v>0.68540251907737237</v>
      </c>
      <c r="M35" s="7">
        <f t="shared" si="3"/>
        <v>0.59322757276468918</v>
      </c>
      <c r="N35" s="7">
        <f t="shared" si="4"/>
        <v>0.22905909097314606</v>
      </c>
      <c r="O35" s="7">
        <f t="shared" si="5"/>
        <v>0.21216765951575364</v>
      </c>
      <c r="P35" s="7">
        <f t="shared" si="5"/>
        <v>1.3036208846188042E-2</v>
      </c>
    </row>
    <row r="36" spans="2:16" x14ac:dyDescent="0.25">
      <c r="C36" s="1">
        <f>'Input-lag'!H36</f>
        <v>40057</v>
      </c>
      <c r="D36" s="8">
        <f>VLOOKUP(C36,'Input-lag'!H$4:$I$102,2,0)</f>
        <v>59684456334.959999</v>
      </c>
      <c r="E36" s="8">
        <f>VLOOKUP(C36,'Pivot - lag'!$E$4:$F$144,2,0)</f>
        <v>39894122778.360001</v>
      </c>
      <c r="F36" s="8">
        <f>VLOOKUP(C36,'Pivot - lag'!$I$4:$J$144,2,0)</f>
        <v>34767572988.950005</v>
      </c>
      <c r="G36" s="8">
        <f>VLOOKUP(C36,'Pivot - lag'!$M$3:$N$144,2,0)</f>
        <v>14871497530.26</v>
      </c>
      <c r="H36" s="8">
        <f>VLOOKUP(C36,'Input-lag'!$K$3:$L$102,2,0)</f>
        <v>13851899196.700001</v>
      </c>
      <c r="I36" s="8">
        <f>VLOOKUP(C36,'Input-lag'!temp_8,2,0)</f>
        <v>1099497321.99</v>
      </c>
      <c r="K36" s="1">
        <f t="shared" si="1"/>
        <v>40057</v>
      </c>
      <c r="L36" s="7">
        <f t="shared" si="2"/>
        <v>0.66841729368308134</v>
      </c>
      <c r="M36" s="7">
        <f t="shared" si="3"/>
        <v>0.58252307424613325</v>
      </c>
      <c r="N36" s="7">
        <f t="shared" si="4"/>
        <v>0.24916868550830817</v>
      </c>
      <c r="O36" s="7">
        <f t="shared" si="5"/>
        <v>0.23208553863606679</v>
      </c>
      <c r="P36" s="7">
        <f t="shared" si="5"/>
        <v>1.8421836932205959E-2</v>
      </c>
    </row>
    <row r="37" spans="2:16" x14ac:dyDescent="0.25">
      <c r="C37" s="1">
        <f>'Input-lag'!H37</f>
        <v>40087</v>
      </c>
      <c r="D37" s="8">
        <f>VLOOKUP(C37,'Input-lag'!H$4:$I$102,2,0)</f>
        <v>56386030208.150002</v>
      </c>
      <c r="E37" s="8">
        <f>VLOOKUP(C37,'Pivot - lag'!$E$4:$F$144,2,0)</f>
        <v>39812999208.309998</v>
      </c>
      <c r="F37" s="8">
        <f>VLOOKUP(C37,'Pivot - lag'!$I$4:$J$144,2,0)</f>
        <v>36252925794.540001</v>
      </c>
      <c r="G37" s="8">
        <f>VLOOKUP(C37,'Pivot - lag'!$M$3:$N$144,2,0)</f>
        <v>15019540836.5</v>
      </c>
      <c r="H37" s="8">
        <f>VLOOKUP(C37,'Input-lag'!$K$3:$L$102,2,0)</f>
        <v>12597168617.459999</v>
      </c>
      <c r="I37" s="8">
        <f>VLOOKUP(C37,'Input-lag'!temp_8,2,0)</f>
        <v>719266463.65999997</v>
      </c>
      <c r="K37" s="1">
        <f t="shared" si="1"/>
        <v>40087</v>
      </c>
      <c r="L37" s="7">
        <f t="shared" ref="L37:L68" si="6">E37/$D37</f>
        <v>0.70607913097161878</v>
      </c>
      <c r="M37" s="7">
        <f t="shared" ref="M37:M68" si="7">F37/$D37</f>
        <v>0.64294162331896221</v>
      </c>
      <c r="N37" s="7">
        <f t="shared" ref="N37:N68" si="8">G37/$D37</f>
        <v>0.26636989305782133</v>
      </c>
      <c r="O37" s="7">
        <f t="shared" si="5"/>
        <v>0.22340939007334501</v>
      </c>
      <c r="P37" s="7">
        <f t="shared" si="5"/>
        <v>1.2756111061637349E-2</v>
      </c>
    </row>
    <row r="38" spans="2:16" x14ac:dyDescent="0.25">
      <c r="C38" s="1">
        <f>'Input-lag'!H38</f>
        <v>40118</v>
      </c>
      <c r="D38" s="8">
        <f>VLOOKUP(C38,'Input-lag'!H$4:$I$102,2,0)</f>
        <v>37508648146.959999</v>
      </c>
      <c r="E38" s="8">
        <f>VLOOKUP(C38,'Pivot - lag'!$E$4:$F$144,2,0)</f>
        <v>27299803699.289993</v>
      </c>
      <c r="F38" s="8">
        <f>VLOOKUP(C38,'Pivot - lag'!$I$4:$J$144,2,0)</f>
        <v>23964218032.68</v>
      </c>
      <c r="G38" s="8">
        <f>VLOOKUP(C38,'Pivot - lag'!$M$3:$N$144,2,0)</f>
        <v>9801952065.9599991</v>
      </c>
      <c r="H38" s="8">
        <f>VLOOKUP(C38,'Input-lag'!$K$3:$L$102,2,0)</f>
        <v>7065936096.5500002</v>
      </c>
      <c r="I38" s="8">
        <f>VLOOKUP(C38,'Input-lag'!temp_8,2,0)</f>
        <v>752409534.13</v>
      </c>
      <c r="K38" s="1">
        <f t="shared" si="1"/>
        <v>40118</v>
      </c>
      <c r="L38" s="7">
        <f t="shared" si="6"/>
        <v>0.72782691587093595</v>
      </c>
      <c r="M38" s="7">
        <f t="shared" si="7"/>
        <v>0.6388984731944346</v>
      </c>
      <c r="N38" s="7">
        <f t="shared" si="8"/>
        <v>0.26132512234393679</v>
      </c>
      <c r="O38" s="7">
        <f t="shared" si="5"/>
        <v>0.18838151854648166</v>
      </c>
      <c r="P38" s="7">
        <f t="shared" si="5"/>
        <v>2.0059628147141881E-2</v>
      </c>
    </row>
    <row r="39" spans="2:16" x14ac:dyDescent="0.25">
      <c r="C39" s="1">
        <f>'Input-lag'!H39</f>
        <v>40148</v>
      </c>
      <c r="D39" s="8">
        <f>VLOOKUP(C39,'Input-lag'!H$4:$I$102,2,0)</f>
        <v>36508839962.290001</v>
      </c>
      <c r="E39" s="8">
        <f>VLOOKUP(C39,'Pivot - lag'!$E$4:$F$144,2,0)</f>
        <v>26456405845.639999</v>
      </c>
      <c r="F39" s="8">
        <f>VLOOKUP(C39,'Pivot - lag'!$I$4:$J$144,2,0)</f>
        <v>22409303287.959999</v>
      </c>
      <c r="G39" s="8">
        <f>VLOOKUP(C39,'Pivot - lag'!$M$3:$N$144,2,0)</f>
        <v>7919040750.3400002</v>
      </c>
      <c r="H39" s="8">
        <f>VLOOKUP(C39,'Input-lag'!$K$3:$L$102,2,0)</f>
        <v>6367737885.9099998</v>
      </c>
      <c r="I39" s="8">
        <f>VLOOKUP(C39,'Input-lag'!temp_8,2,0)</f>
        <v>591086562.80999994</v>
      </c>
      <c r="K39" s="1">
        <f t="shared" si="1"/>
        <v>40148</v>
      </c>
      <c r="L39" s="7">
        <f t="shared" si="6"/>
        <v>0.72465753151748546</v>
      </c>
      <c r="M39" s="7">
        <f t="shared" si="7"/>
        <v>0.61380485688141773</v>
      </c>
      <c r="N39" s="7">
        <f t="shared" si="8"/>
        <v>0.21690748757067005</v>
      </c>
      <c r="O39" s="7">
        <f t="shared" si="5"/>
        <v>0.17441633019529626</v>
      </c>
      <c r="P39" s="7">
        <f t="shared" si="5"/>
        <v>1.6190231281534379E-2</v>
      </c>
    </row>
    <row r="40" spans="2:16" x14ac:dyDescent="0.25">
      <c r="C40" s="1">
        <f>'Input-lag'!H40</f>
        <v>40179</v>
      </c>
      <c r="D40" s="8">
        <f>VLOOKUP(C40,'Input-lag'!H$4:$I$102,2,0)</f>
        <v>47221077996.639999</v>
      </c>
      <c r="E40" s="8">
        <f>VLOOKUP(C40,'Pivot - lag'!$E$4:$F$144,2,0)</f>
        <v>35319041802.149994</v>
      </c>
      <c r="F40" s="8">
        <f>VLOOKUP(C40,'Pivot - lag'!$I$4:$J$144,2,0)</f>
        <v>30473732956.160004</v>
      </c>
      <c r="G40" s="8">
        <f>VLOOKUP(C40,'Pivot - lag'!$M$3:$N$144,2,0)</f>
        <v>11776429345.26</v>
      </c>
      <c r="H40" s="8">
        <f>VLOOKUP(C40,'Input-lag'!$K$3:$L$102,2,0)</f>
        <v>7787526961.9899998</v>
      </c>
      <c r="I40" s="8">
        <f>VLOOKUP(C40,'Input-lag'!temp_8,2,0)</f>
        <v>722138217.29999995</v>
      </c>
      <c r="K40" s="1">
        <f t="shared" si="1"/>
        <v>40179</v>
      </c>
      <c r="L40" s="7">
        <f t="shared" si="6"/>
        <v>0.7479507732683085</v>
      </c>
      <c r="M40" s="7">
        <f t="shared" si="7"/>
        <v>0.6453417467159126</v>
      </c>
      <c r="N40" s="7">
        <f t="shared" si="8"/>
        <v>0.24938925253036257</v>
      </c>
      <c r="O40" s="7">
        <f t="shared" si="5"/>
        <v>0.16491633169713149</v>
      </c>
      <c r="P40" s="7">
        <f t="shared" si="5"/>
        <v>1.5292709271723604E-2</v>
      </c>
    </row>
    <row r="41" spans="2:16" x14ac:dyDescent="0.25">
      <c r="C41" s="1">
        <f>'Input-lag'!H41</f>
        <v>40210</v>
      </c>
      <c r="D41" s="8">
        <f>VLOOKUP(C41,'Input-lag'!H$4:$I$102,2,0)</f>
        <v>39245939454.400002</v>
      </c>
      <c r="E41" s="8">
        <f>VLOOKUP(C41,'Pivot - lag'!$E$4:$F$144,2,0)</f>
        <v>28320981212.270004</v>
      </c>
      <c r="F41" s="8">
        <f>VLOOKUP(C41,'Pivot - lag'!$I$4:$J$144,2,0)</f>
        <v>25122317383.700001</v>
      </c>
      <c r="G41" s="8">
        <f>VLOOKUP(C41,'Pivot - lag'!$M$3:$N$144,2,0)</f>
        <v>10182718045.91</v>
      </c>
      <c r="H41" s="8">
        <f>VLOOKUP(C41,'Input-lag'!$K$3:$L$102,2,0)</f>
        <v>7313276582.3500004</v>
      </c>
      <c r="I41" s="8">
        <f>VLOOKUP(C41,'Input-lag'!temp_8,2,0)</f>
        <v>730114182.90999997</v>
      </c>
      <c r="K41" s="1">
        <f t="shared" si="1"/>
        <v>40210</v>
      </c>
      <c r="L41" s="7">
        <f t="shared" si="6"/>
        <v>0.7216283163555367</v>
      </c>
      <c r="M41" s="7">
        <f t="shared" si="7"/>
        <v>0.64012526475228637</v>
      </c>
      <c r="N41" s="7">
        <f t="shared" si="8"/>
        <v>0.25945914883095961</v>
      </c>
      <c r="O41" s="7">
        <f t="shared" si="5"/>
        <v>0.18634479602271523</v>
      </c>
      <c r="P41" s="7">
        <f t="shared" si="5"/>
        <v>1.8603559834726908E-2</v>
      </c>
    </row>
    <row r="42" spans="2:16" x14ac:dyDescent="0.25">
      <c r="C42" s="1">
        <f>'Input-lag'!H42</f>
        <v>40238</v>
      </c>
      <c r="D42" s="8">
        <f>VLOOKUP(C42,'Input-lag'!H$4:$I$102,2,0)</f>
        <v>40750598821.720001</v>
      </c>
      <c r="E42" s="8">
        <f>VLOOKUP(C42,'Pivot - lag'!$E$4:$F$144,2,0)</f>
        <v>31459049797.27</v>
      </c>
      <c r="F42" s="8">
        <f>VLOOKUP(C42,'Pivot - lag'!$I$4:$J$144,2,0)</f>
        <v>28719429399.230003</v>
      </c>
      <c r="G42" s="8">
        <f>VLOOKUP(C42,'Pivot - lag'!$M$3:$N$144,2,0)</f>
        <v>10733753561.620001</v>
      </c>
      <c r="H42" s="8">
        <f>VLOOKUP(C42,'Input-lag'!$K$3:$L$102,2,0)</f>
        <v>5513307940.1800003</v>
      </c>
      <c r="I42" s="8">
        <f>VLOOKUP(C42,'Input-lag'!temp_8,2,0)</f>
        <v>822700181.63999999</v>
      </c>
      <c r="K42" s="1">
        <f t="shared" si="1"/>
        <v>40238</v>
      </c>
      <c r="L42" s="7">
        <f t="shared" si="6"/>
        <v>0.77198987761874016</v>
      </c>
      <c r="M42" s="7">
        <f t="shared" si="7"/>
        <v>0.70476091713093048</v>
      </c>
      <c r="N42" s="7">
        <f t="shared" si="8"/>
        <v>0.26340112469461252</v>
      </c>
      <c r="O42" s="7">
        <f t="shared" si="5"/>
        <v>0.13529391222691473</v>
      </c>
      <c r="P42" s="7">
        <f t="shared" si="5"/>
        <v>2.0188664839975362E-2</v>
      </c>
    </row>
    <row r="43" spans="2:16" x14ac:dyDescent="0.25">
      <c r="C43" s="1">
        <f>'Input-lag'!H43</f>
        <v>40269</v>
      </c>
      <c r="D43" s="8">
        <f>VLOOKUP(C43,'Input-lag'!H$4:$I$102,2,0)</f>
        <v>34495230505.029999</v>
      </c>
      <c r="E43" s="8">
        <f>VLOOKUP(C43,'Pivot - lag'!$E$4:$F$144,2,0)</f>
        <v>27234086431.32</v>
      </c>
      <c r="F43" s="8">
        <f>VLOOKUP(C43,'Pivot - lag'!$I$4:$J$144,2,0)</f>
        <v>24936256082.669998</v>
      </c>
      <c r="G43" s="8">
        <f>VLOOKUP(C43,'Pivot - lag'!$M$3:$N$144,2,0)</f>
        <v>8010432484.8699999</v>
      </c>
      <c r="H43" s="8">
        <f>VLOOKUP(C43,'Input-lag'!$K$3:$L$102,2,0)</f>
        <v>4384186680.7299995</v>
      </c>
      <c r="I43" s="8">
        <f>VLOOKUP(C43,'Input-lag'!temp_8,2,0)</f>
        <v>631906810.01999998</v>
      </c>
      <c r="K43" s="1">
        <f t="shared" si="1"/>
        <v>40269</v>
      </c>
      <c r="L43" s="7">
        <f t="shared" si="6"/>
        <v>0.78950295541143867</v>
      </c>
      <c r="M43" s="7">
        <f t="shared" si="7"/>
        <v>0.72288996819528029</v>
      </c>
      <c r="N43" s="7">
        <f t="shared" si="8"/>
        <v>0.23221855217642162</v>
      </c>
      <c r="O43" s="7">
        <f t="shared" si="5"/>
        <v>0.12709544527005581</v>
      </c>
      <c r="P43" s="7">
        <f t="shared" si="5"/>
        <v>1.8318671908218068E-2</v>
      </c>
    </row>
    <row r="44" spans="2:16" x14ac:dyDescent="0.25">
      <c r="C44" s="1">
        <f>'Input-lag'!H44</f>
        <v>40299</v>
      </c>
      <c r="D44" s="8">
        <f>VLOOKUP(C44,'Input-lag'!H$4:$I$102,2,0)</f>
        <v>34561761859.559998</v>
      </c>
      <c r="E44" s="8">
        <f>VLOOKUP(C44,'Pivot - lag'!$E$4:$F$144,2,0)</f>
        <v>26609020930.07</v>
      </c>
      <c r="F44" s="8">
        <f>VLOOKUP(C44,'Pivot - lag'!$I$4:$J$144,2,0)</f>
        <v>23855723365.02</v>
      </c>
      <c r="G44" s="8">
        <f>VLOOKUP(C44,'Pivot - lag'!$M$3:$N$144,2,0)</f>
        <v>9793443604.5200005</v>
      </c>
      <c r="H44" s="8">
        <f>VLOOKUP(C44,'Input-lag'!$K$3:$L$102,2,0)</f>
        <v>4878666055.8000002</v>
      </c>
      <c r="I44" s="8">
        <f>VLOOKUP(C44,'Input-lag'!temp_8,2,0)</f>
        <v>560343522.29999995</v>
      </c>
      <c r="K44" s="1">
        <f t="shared" si="1"/>
        <v>40299</v>
      </c>
      <c r="L44" s="7">
        <f t="shared" si="6"/>
        <v>0.76989769902918825</v>
      </c>
      <c r="M44" s="7">
        <f t="shared" si="7"/>
        <v>0.69023458531878512</v>
      </c>
      <c r="N44" s="7">
        <f t="shared" si="8"/>
        <v>0.28336065864683552</v>
      </c>
      <c r="O44" s="7">
        <f t="shared" si="5"/>
        <v>0.14115790958875932</v>
      </c>
      <c r="P44" s="7">
        <f t="shared" si="5"/>
        <v>1.6212817059990402E-2</v>
      </c>
    </row>
    <row r="45" spans="2:16" x14ac:dyDescent="0.25">
      <c r="C45" s="1">
        <f>'Input-lag'!H45</f>
        <v>40330</v>
      </c>
      <c r="D45" s="8">
        <f>VLOOKUP(C45,'Input-lag'!H$4:$I$102,2,0)</f>
        <v>33643649195.490002</v>
      </c>
      <c r="E45" s="8">
        <f>VLOOKUP(C45,'Pivot - lag'!$E$4:$F$144,2,0)</f>
        <v>26223578219.900002</v>
      </c>
      <c r="F45" s="8">
        <f>VLOOKUP(C45,'Pivot - lag'!$I$4:$J$144,2,0)</f>
        <v>23124403168.75</v>
      </c>
      <c r="G45" s="8">
        <f>VLOOKUP(C45,'Pivot - lag'!$M$3:$N$144,2,0)</f>
        <v>8799294787.6299992</v>
      </c>
      <c r="H45" s="8">
        <f>VLOOKUP(C45,'Input-lag'!$K$3:$L$102,2,0)</f>
        <v>4255466989.4200001</v>
      </c>
      <c r="I45" s="8">
        <f>VLOOKUP(C45,'Input-lag'!temp_8,2,0)</f>
        <v>701407413.24000001</v>
      </c>
      <c r="K45" s="1">
        <f t="shared" si="1"/>
        <v>40330</v>
      </c>
      <c r="L45" s="7">
        <f t="shared" si="6"/>
        <v>0.77945106571302991</v>
      </c>
      <c r="M45" s="7">
        <f t="shared" si="7"/>
        <v>0.68733338153608714</v>
      </c>
      <c r="N45" s="7">
        <f t="shared" si="8"/>
        <v>0.26154400601732475</v>
      </c>
      <c r="O45" s="7">
        <f t="shared" si="5"/>
        <v>0.12648648678664901</v>
      </c>
      <c r="P45" s="7">
        <f t="shared" si="5"/>
        <v>2.0848137167415987E-2</v>
      </c>
    </row>
    <row r="46" spans="2:16" x14ac:dyDescent="0.25">
      <c r="C46" s="1">
        <f>'Input-lag'!H46</f>
        <v>40360</v>
      </c>
      <c r="D46" s="8">
        <f>VLOOKUP(C46,'Input-lag'!H$4:$I$102,2,0)</f>
        <v>37058941299.720001</v>
      </c>
      <c r="E46" s="8">
        <f>VLOOKUP(C46,'Pivot - lag'!$E$4:$F$144,2,0)</f>
        <v>26520322604.389996</v>
      </c>
      <c r="F46" s="8">
        <f>VLOOKUP(C46,'Pivot - lag'!$I$4:$J$144,2,0)</f>
        <v>23335905743.639999</v>
      </c>
      <c r="G46" s="8">
        <f>VLOOKUP(C46,'Pivot - lag'!$M$3:$N$144,2,0)</f>
        <v>7934970468.3800001</v>
      </c>
      <c r="H46" s="8">
        <f>VLOOKUP(C46,'Input-lag'!$K$3:$L$102,2,0)</f>
        <v>7398138252.6400003</v>
      </c>
      <c r="I46" s="8">
        <f>VLOOKUP(C46,'Input-lag'!temp_8,2,0)</f>
        <v>526314688.00999999</v>
      </c>
      <c r="K46" s="1">
        <f t="shared" si="1"/>
        <v>40360</v>
      </c>
      <c r="L46" s="7">
        <f t="shared" si="6"/>
        <v>0.7156254786099453</v>
      </c>
      <c r="M46" s="7">
        <f t="shared" si="7"/>
        <v>0.62969704274353655</v>
      </c>
      <c r="N46" s="7">
        <f t="shared" si="8"/>
        <v>0.21411757028363768</v>
      </c>
      <c r="O46" s="7">
        <f t="shared" si="5"/>
        <v>0.19963166764010867</v>
      </c>
      <c r="P46" s="7">
        <f t="shared" si="5"/>
        <v>1.4202097241617006E-2</v>
      </c>
    </row>
    <row r="47" spans="2:16" x14ac:dyDescent="0.25">
      <c r="C47" s="1">
        <f>'Input-lag'!H47</f>
        <v>40391</v>
      </c>
      <c r="D47" s="8">
        <f>VLOOKUP(C47,'Input-lag'!H$4:$I$102,2,0)</f>
        <v>38950467364.989998</v>
      </c>
      <c r="E47" s="8">
        <f>VLOOKUP(C47,'Pivot - lag'!$E$4:$F$144,2,0)</f>
        <v>27609609986.340004</v>
      </c>
      <c r="F47" s="8">
        <f>VLOOKUP(C47,'Pivot - lag'!$I$4:$J$144,2,0)</f>
        <v>24661759514.200001</v>
      </c>
      <c r="G47" s="8">
        <f>VLOOKUP(C47,'Pivot - lag'!$M$3:$N$144,2,0)</f>
        <v>8650842881.4500008</v>
      </c>
      <c r="H47" s="8">
        <f>VLOOKUP(C47,'Input-lag'!$K$3:$L$102,2,0)</f>
        <v>7511074364.2700005</v>
      </c>
      <c r="I47" s="8">
        <f>VLOOKUP(C47,'Input-lag'!temp_8,2,0)</f>
        <v>668984431.85000002</v>
      </c>
      <c r="K47" s="1">
        <f t="shared" si="1"/>
        <v>40391</v>
      </c>
      <c r="L47" s="7">
        <f t="shared" si="6"/>
        <v>0.70883899100929548</v>
      </c>
      <c r="M47" s="7">
        <f t="shared" si="7"/>
        <v>0.63315696017467626</v>
      </c>
      <c r="N47" s="7">
        <f t="shared" si="8"/>
        <v>0.22209856432238018</v>
      </c>
      <c r="O47" s="7">
        <f t="shared" si="5"/>
        <v>0.19283656583338482</v>
      </c>
      <c r="P47" s="7">
        <f t="shared" si="5"/>
        <v>1.7175260712052609E-2</v>
      </c>
    </row>
    <row r="48" spans="2:16" x14ac:dyDescent="0.25">
      <c r="C48" s="1">
        <f>'Input-lag'!H48</f>
        <v>40422</v>
      </c>
      <c r="D48" s="8">
        <f>VLOOKUP(C48,'Input-lag'!H$4:$I$102,2,0)</f>
        <v>44231744040.459999</v>
      </c>
      <c r="E48" s="8">
        <f>VLOOKUP(C48,'Pivot - lag'!$E$4:$F$144,2,0)</f>
        <v>29617439853.449997</v>
      </c>
      <c r="F48" s="8">
        <f>VLOOKUP(C48,'Pivot - lag'!$I$4:$J$144,2,0)</f>
        <v>24683867685.949997</v>
      </c>
      <c r="G48" s="8">
        <f>VLOOKUP(C48,'Pivot - lag'!$M$3:$N$144,2,0)</f>
        <v>10264966285.639999</v>
      </c>
      <c r="H48" s="8">
        <f>VLOOKUP(C48,'Input-lag'!$K$3:$L$102,2,0)</f>
        <v>9514071989.3199997</v>
      </c>
      <c r="I48" s="8">
        <f>VLOOKUP(C48,'Input-lag'!temp_8,2,0)</f>
        <v>1042608524.67</v>
      </c>
      <c r="K48" s="1">
        <f t="shared" si="1"/>
        <v>40422</v>
      </c>
      <c r="L48" s="7">
        <f t="shared" si="6"/>
        <v>0.66959692627896616</v>
      </c>
      <c r="M48" s="7">
        <f t="shared" si="7"/>
        <v>0.55805775289735315</v>
      </c>
      <c r="N48" s="7">
        <f t="shared" si="8"/>
        <v>0.23207238394783508</v>
      </c>
      <c r="O48" s="7">
        <f t="shared" si="5"/>
        <v>0.21509601748050483</v>
      </c>
      <c r="P48" s="7">
        <f t="shared" si="5"/>
        <v>2.357149932221296E-2</v>
      </c>
    </row>
    <row r="49" spans="3:16" x14ac:dyDescent="0.25">
      <c r="C49" s="1">
        <f>'Input-lag'!H49</f>
        <v>40452</v>
      </c>
      <c r="D49" s="8">
        <f>VLOOKUP(C49,'Input-lag'!H$4:$I$102,2,0)</f>
        <v>66478903663.989998</v>
      </c>
      <c r="E49" s="8">
        <f>VLOOKUP(C49,'Pivot - lag'!$E$4:$F$144,2,0)</f>
        <v>48553977687.410004</v>
      </c>
      <c r="F49" s="8">
        <f>VLOOKUP(C49,'Pivot - lag'!$I$4:$J$144,2,0)</f>
        <v>41844668760.610001</v>
      </c>
      <c r="G49" s="8">
        <f>VLOOKUP(C49,'Pivot - lag'!$M$3:$N$144,2,0)</f>
        <v>12567511433.07</v>
      </c>
      <c r="H49" s="8">
        <f>VLOOKUP(C49,'Input-lag'!$K$3:$L$102,2,0)</f>
        <v>11239609971.59</v>
      </c>
      <c r="I49" s="8">
        <f>VLOOKUP(C49,'Input-lag'!temp_8,2,0)</f>
        <v>1340838185.2</v>
      </c>
      <c r="K49" s="1">
        <f t="shared" si="1"/>
        <v>40452</v>
      </c>
      <c r="L49" s="7">
        <f t="shared" si="6"/>
        <v>0.73036670298927497</v>
      </c>
      <c r="M49" s="7">
        <f t="shared" si="7"/>
        <v>0.62944282252470773</v>
      </c>
      <c r="N49" s="7">
        <f t="shared" si="8"/>
        <v>0.18904510664903632</v>
      </c>
      <c r="O49" s="7">
        <f t="shared" si="5"/>
        <v>0.16907032685736398</v>
      </c>
      <c r="P49" s="7">
        <f t="shared" si="5"/>
        <v>2.0169378724672012E-2</v>
      </c>
    </row>
    <row r="50" spans="3:16" x14ac:dyDescent="0.25">
      <c r="C50" s="1">
        <f>'Input-lag'!H50</f>
        <v>40483</v>
      </c>
      <c r="D50" s="8">
        <f>VLOOKUP(C50,'Input-lag'!H$4:$I$102,2,0)</f>
        <v>66148630556.470001</v>
      </c>
      <c r="E50" s="8">
        <f>VLOOKUP(C50,'Pivot - lag'!$E$4:$F$144,2,0)</f>
        <v>43379866845</v>
      </c>
      <c r="F50" s="8">
        <f>VLOOKUP(C50,'Pivot - lag'!$I$4:$J$144,2,0)</f>
        <v>37014631071.25</v>
      </c>
      <c r="G50" s="8">
        <f>VLOOKUP(C50,'Pivot - lag'!$M$3:$N$144,2,0)</f>
        <v>13640971298.67</v>
      </c>
      <c r="H50" s="8">
        <f>VLOOKUP(C50,'Input-lag'!$K$3:$L$102,2,0)</f>
        <v>14263271296.870001</v>
      </c>
      <c r="I50" s="8">
        <f>VLOOKUP(C50,'Input-lag'!temp_8,2,0)</f>
        <v>1494751501.72</v>
      </c>
      <c r="K50" s="1">
        <f t="shared" si="1"/>
        <v>40483</v>
      </c>
      <c r="L50" s="7">
        <f t="shared" si="6"/>
        <v>0.65579387630658992</v>
      </c>
      <c r="M50" s="7">
        <f t="shared" si="7"/>
        <v>0.5595676094859019</v>
      </c>
      <c r="N50" s="7">
        <f t="shared" si="8"/>
        <v>0.20621698716838782</v>
      </c>
      <c r="O50" s="7">
        <f t="shared" si="5"/>
        <v>0.21562458930564979</v>
      </c>
      <c r="P50" s="7">
        <f t="shared" si="5"/>
        <v>2.259686238619793E-2</v>
      </c>
    </row>
    <row r="51" spans="3:16" x14ac:dyDescent="0.25">
      <c r="C51" s="1">
        <f>'Input-lag'!H51</f>
        <v>40513</v>
      </c>
      <c r="D51" s="8">
        <f>VLOOKUP(C51,'Input-lag'!H$4:$I$102,2,0)</f>
        <v>69073769739.929993</v>
      </c>
      <c r="E51" s="8">
        <f>VLOOKUP(C51,'Pivot - lag'!$E$4:$F$144,2,0)</f>
        <v>43249158270.020004</v>
      </c>
      <c r="F51" s="8">
        <f>VLOOKUP(C51,'Pivot - lag'!$I$4:$J$144,2,0)</f>
        <v>35056160439.300003</v>
      </c>
      <c r="G51" s="8">
        <f>VLOOKUP(C51,'Pivot - lag'!$M$3:$N$144,2,0)</f>
        <v>12770630060.530001</v>
      </c>
      <c r="H51" s="8">
        <f>VLOOKUP(C51,'Input-lag'!$K$3:$L$102,2,0)</f>
        <v>16380557214.389999</v>
      </c>
      <c r="I51" s="8">
        <f>VLOOKUP(C51,'Input-lag'!temp_8,2,0)</f>
        <v>1607350392.05</v>
      </c>
      <c r="K51" s="1">
        <f t="shared" si="1"/>
        <v>40513</v>
      </c>
      <c r="L51" s="7">
        <f t="shared" si="6"/>
        <v>0.62612998295673794</v>
      </c>
      <c r="M51" s="7">
        <f t="shared" si="7"/>
        <v>0.50751769552016823</v>
      </c>
      <c r="N51" s="7">
        <f t="shared" si="8"/>
        <v>0.18488393073974052</v>
      </c>
      <c r="O51" s="7">
        <f t="shared" si="5"/>
        <v>0.23714584097645922</v>
      </c>
      <c r="P51" s="7">
        <f t="shared" si="5"/>
        <v>2.3270054582250878E-2</v>
      </c>
    </row>
    <row r="52" spans="3:16" x14ac:dyDescent="0.25">
      <c r="C52" s="1">
        <f>'Input-lag'!H52</f>
        <v>40544</v>
      </c>
      <c r="D52" s="8">
        <f>VLOOKUP(C52,'Input-lag'!H$4:$I$102,2,0)</f>
        <v>79153858723.479996</v>
      </c>
      <c r="E52" s="8">
        <f>VLOOKUP(C52,'Pivot - lag'!$E$4:$F$144,2,0)</f>
        <v>53353328128.620003</v>
      </c>
      <c r="F52" s="8">
        <f>VLOOKUP(C52,'Pivot - lag'!$I$4:$J$144,2,0)</f>
        <v>47334757648.860001</v>
      </c>
      <c r="G52" s="8">
        <f>VLOOKUP(C52,'Pivot - lag'!$M$3:$N$144,2,0)</f>
        <v>14069204024.26</v>
      </c>
      <c r="H52" s="8">
        <f>VLOOKUP(C52,'Input-lag'!$K$3:$L$102,2,0)</f>
        <v>17444293018.130001</v>
      </c>
      <c r="I52" s="8">
        <f>VLOOKUP(C52,'Input-lag'!temp_8,2,0)</f>
        <v>1869879274.6800001</v>
      </c>
      <c r="K52" s="1">
        <f t="shared" si="1"/>
        <v>40544</v>
      </c>
      <c r="L52" s="7">
        <f t="shared" si="6"/>
        <v>0.67404582655922252</v>
      </c>
      <c r="M52" s="7">
        <f t="shared" si="7"/>
        <v>0.59800947688755879</v>
      </c>
      <c r="N52" s="7">
        <f t="shared" si="8"/>
        <v>0.17774501775598905</v>
      </c>
      <c r="O52" s="7">
        <f t="shared" si="5"/>
        <v>0.22038461926500333</v>
      </c>
      <c r="P52" s="7">
        <f t="shared" si="5"/>
        <v>2.3623349573042657E-2</v>
      </c>
    </row>
    <row r="53" spans="3:16" x14ac:dyDescent="0.25">
      <c r="C53" s="1">
        <f>'Input-lag'!H53</f>
        <v>40575</v>
      </c>
      <c r="D53" s="8">
        <f>VLOOKUP(C53,'Input-lag'!H$4:$I$102,2,0)</f>
        <v>63764397417.18</v>
      </c>
      <c r="E53" s="8">
        <f>VLOOKUP(C53,'Pivot - lag'!$E$4:$F$144,2,0)</f>
        <v>44854076167.450005</v>
      </c>
      <c r="F53" s="8">
        <f>VLOOKUP(C53,'Pivot - lag'!$I$4:$J$144,2,0)</f>
        <v>37868286535.940002</v>
      </c>
      <c r="G53" s="8">
        <f>VLOOKUP(C53,'Pivot - lag'!$M$3:$N$144,2,0)</f>
        <v>14638512908.190001</v>
      </c>
      <c r="H53" s="8">
        <f>VLOOKUP(C53,'Input-lag'!$K$3:$L$102,2,0)</f>
        <v>11490900350.65</v>
      </c>
      <c r="I53" s="8">
        <f>VLOOKUP(C53,'Input-lag'!temp_8,2,0)</f>
        <v>1481460250.46</v>
      </c>
      <c r="K53" s="1">
        <f t="shared" si="1"/>
        <v>40575</v>
      </c>
      <c r="L53" s="7">
        <f t="shared" si="6"/>
        <v>0.70343448670880093</v>
      </c>
      <c r="M53" s="7">
        <f t="shared" si="7"/>
        <v>0.59387821527091189</v>
      </c>
      <c r="N53" s="7">
        <f t="shared" si="8"/>
        <v>0.22957188495669772</v>
      </c>
      <c r="O53" s="7">
        <f t="shared" si="5"/>
        <v>0.18020871859684529</v>
      </c>
      <c r="P53" s="7">
        <f t="shared" si="5"/>
        <v>2.3233345102714815E-2</v>
      </c>
    </row>
    <row r="54" spans="3:16" x14ac:dyDescent="0.25">
      <c r="C54" s="1">
        <f>'Input-lag'!H54</f>
        <v>40603</v>
      </c>
      <c r="D54" s="8">
        <f>VLOOKUP(C54,'Input-lag'!H$4:$I$102,2,0)</f>
        <v>48877979273.129997</v>
      </c>
      <c r="E54" s="8">
        <f>VLOOKUP(C54,'Pivot - lag'!$E$4:$F$144,2,0)</f>
        <v>35830274691.750008</v>
      </c>
      <c r="F54" s="8">
        <f>VLOOKUP(C54,'Pivot - lag'!$I$4:$J$144,2,0)</f>
        <v>30847095003.530003</v>
      </c>
      <c r="G54" s="8">
        <f>VLOOKUP(C54,'Pivot - lag'!$M$3:$N$144,2,0)</f>
        <v>12508600905.84</v>
      </c>
      <c r="H54" s="8">
        <f>VLOOKUP(C54,'Input-lag'!$K$3:$L$102,2,0)</f>
        <v>7652424808.5900002</v>
      </c>
      <c r="I54" s="8">
        <f>VLOOKUP(C54,'Input-lag'!temp_8,2,0)</f>
        <v>1085385963.24</v>
      </c>
      <c r="K54" s="1">
        <f t="shared" si="1"/>
        <v>40603</v>
      </c>
      <c r="L54" s="7">
        <f t="shared" si="6"/>
        <v>0.73305556458319487</v>
      </c>
      <c r="M54" s="7">
        <f t="shared" si="7"/>
        <v>0.63110413855606695</v>
      </c>
      <c r="N54" s="7">
        <f t="shared" si="8"/>
        <v>0.25591485351597654</v>
      </c>
      <c r="O54" s="7">
        <f t="shared" si="5"/>
        <v>0.1565618080450559</v>
      </c>
      <c r="P54" s="7">
        <f t="shared" si="5"/>
        <v>2.220603182416496E-2</v>
      </c>
    </row>
    <row r="55" spans="3:16" x14ac:dyDescent="0.25">
      <c r="C55" s="1">
        <f>'Input-lag'!H55</f>
        <v>40634</v>
      </c>
      <c r="D55" s="8">
        <f>VLOOKUP(C55,'Input-lag'!H$4:$I$102,2,0)</f>
        <v>50756307252.699997</v>
      </c>
      <c r="E55" s="8">
        <f>VLOOKUP(C55,'Pivot - lag'!$E$4:$F$144,2,0)</f>
        <v>36884767125.040001</v>
      </c>
      <c r="F55" s="8">
        <f>VLOOKUP(C55,'Pivot - lag'!$I$4:$J$144,2,0)</f>
        <v>31995951520.699997</v>
      </c>
      <c r="G55" s="8">
        <f>VLOOKUP(C55,'Pivot - lag'!$M$3:$N$144,2,0)</f>
        <v>9375011832.8899994</v>
      </c>
      <c r="H55" s="8">
        <f>VLOOKUP(C55,'Input-lag'!$K$3:$L$102,2,0)</f>
        <v>9394709143.4799995</v>
      </c>
      <c r="I55" s="8">
        <f>VLOOKUP(C55,'Input-lag'!temp_8,2,0)</f>
        <v>829446925.97000003</v>
      </c>
      <c r="K55" s="1">
        <f t="shared" si="1"/>
        <v>40634</v>
      </c>
      <c r="L55" s="7">
        <f t="shared" si="6"/>
        <v>0.72670312561160377</v>
      </c>
      <c r="M55" s="7">
        <f t="shared" si="7"/>
        <v>0.63038375430667215</v>
      </c>
      <c r="N55" s="7">
        <f t="shared" si="8"/>
        <v>0.18470634174024339</v>
      </c>
      <c r="O55" s="7">
        <f t="shared" si="5"/>
        <v>0.18509441785641814</v>
      </c>
      <c r="P55" s="7">
        <f t="shared" si="5"/>
        <v>1.6341750825970055E-2</v>
      </c>
    </row>
    <row r="56" spans="3:16" x14ac:dyDescent="0.25">
      <c r="C56" s="1">
        <f>'Input-lag'!H56</f>
        <v>40664</v>
      </c>
      <c r="D56" s="8">
        <f>VLOOKUP(C56,'Input-lag'!H$4:$I$102,2,0)</f>
        <v>30805015553.650002</v>
      </c>
      <c r="E56" s="8">
        <f>VLOOKUP(C56,'Pivot - lag'!$E$4:$F$144,2,0)</f>
        <v>21690523607.799999</v>
      </c>
      <c r="F56" s="8">
        <f>VLOOKUP(C56,'Pivot - lag'!$I$4:$J$144,2,0)</f>
        <v>18885096162.080002</v>
      </c>
      <c r="G56" s="8">
        <f>VLOOKUP(C56,'Pivot - lag'!$M$3:$N$144,2,0)</f>
        <v>7263200622.4200001</v>
      </c>
      <c r="H56" s="8">
        <f>VLOOKUP(C56,'Input-lag'!$K$3:$L$102,2,0)</f>
        <v>5833468204.71</v>
      </c>
      <c r="I56" s="8">
        <f>VLOOKUP(C56,'Input-lag'!temp_8,2,0)</f>
        <v>591091643.78999996</v>
      </c>
      <c r="K56" s="1">
        <f t="shared" si="1"/>
        <v>40664</v>
      </c>
      <c r="L56" s="7">
        <f t="shared" si="6"/>
        <v>0.70412311819884632</v>
      </c>
      <c r="M56" s="7">
        <f t="shared" si="7"/>
        <v>0.61305264167744788</v>
      </c>
      <c r="N56" s="7">
        <f t="shared" si="8"/>
        <v>0.23577980701780243</v>
      </c>
      <c r="O56" s="7">
        <f t="shared" si="5"/>
        <v>0.18936748123208813</v>
      </c>
      <c r="P56" s="7">
        <f t="shared" si="5"/>
        <v>1.9188162484792614E-2</v>
      </c>
    </row>
    <row r="57" spans="3:16" x14ac:dyDescent="0.25">
      <c r="C57" s="1">
        <f>'Input-lag'!H57</f>
        <v>40695</v>
      </c>
      <c r="D57" s="8">
        <f>VLOOKUP(C57,'Input-lag'!H$4:$I$102,2,0)</f>
        <v>28676295277.299999</v>
      </c>
      <c r="E57" s="8">
        <f>VLOOKUP(C57,'Pivot - lag'!$E$4:$F$144,2,0)</f>
        <v>20046661700.739998</v>
      </c>
      <c r="F57" s="8">
        <f>VLOOKUP(C57,'Pivot - lag'!$I$4:$J$144,2,0)</f>
        <v>17263633854.200001</v>
      </c>
      <c r="G57" s="8">
        <f>VLOOKUP(C57,'Pivot - lag'!$M$3:$N$144,2,0)</f>
        <v>6560805145.7200003</v>
      </c>
      <c r="H57" s="8">
        <f>VLOOKUP(C57,'Input-lag'!$K$3:$L$102,2,0)</f>
        <v>5749274469.8800001</v>
      </c>
      <c r="I57" s="8">
        <f>VLOOKUP(C57,'Input-lag'!temp_8,2,0)</f>
        <v>614267708.50999999</v>
      </c>
      <c r="K57" s="1">
        <f t="shared" si="1"/>
        <v>40695</v>
      </c>
      <c r="L57" s="7">
        <f t="shared" si="6"/>
        <v>0.69906734837567486</v>
      </c>
      <c r="M57" s="7">
        <f t="shared" si="7"/>
        <v>0.60201757888390139</v>
      </c>
      <c r="N57" s="7">
        <f t="shared" si="8"/>
        <v>0.22878844991226946</v>
      </c>
      <c r="O57" s="7">
        <f t="shared" si="5"/>
        <v>0.20048874564459848</v>
      </c>
      <c r="P57" s="7">
        <f t="shared" si="5"/>
        <v>2.1420748481281365E-2</v>
      </c>
    </row>
    <row r="58" spans="3:16" x14ac:dyDescent="0.25">
      <c r="C58" s="1">
        <f>'Input-lag'!H58</f>
        <v>40725</v>
      </c>
      <c r="D58" s="8">
        <f>VLOOKUP(C58,'Input-lag'!H$4:$I$102,2,0)</f>
        <v>32780042718.380001</v>
      </c>
      <c r="E58" s="8">
        <f>VLOOKUP(C58,'Pivot - lag'!$E$4:$F$144,2,0)</f>
        <v>23865091870.369999</v>
      </c>
      <c r="F58" s="8">
        <f>VLOOKUP(C58,'Pivot - lag'!$I$4:$J$144,2,0)</f>
        <v>20775371363.949997</v>
      </c>
      <c r="G58" s="8">
        <f>VLOOKUP(C58,'Pivot - lag'!$M$3:$N$144,2,0)</f>
        <v>7723507087.5699997</v>
      </c>
      <c r="H58" s="8">
        <f>VLOOKUP(C58,'Input-lag'!$K$3:$L$102,2,0)</f>
        <v>5857655726.2700005</v>
      </c>
      <c r="I58" s="8">
        <f>VLOOKUP(C58,'Input-lag'!temp_8,2,0)</f>
        <v>757313398.25999999</v>
      </c>
      <c r="K58" s="1">
        <f t="shared" si="1"/>
        <v>40725</v>
      </c>
      <c r="L58" s="7">
        <f t="shared" si="6"/>
        <v>0.72803724129952629</v>
      </c>
      <c r="M58" s="7">
        <f t="shared" si="7"/>
        <v>0.63378109487029743</v>
      </c>
      <c r="N58" s="7">
        <f t="shared" si="8"/>
        <v>0.23561613857322325</v>
      </c>
      <c r="O58" s="7">
        <f t="shared" si="5"/>
        <v>0.17869579294311205</v>
      </c>
      <c r="P58" s="7">
        <f t="shared" si="5"/>
        <v>2.3102880150774455E-2</v>
      </c>
    </row>
    <row r="59" spans="3:16" x14ac:dyDescent="0.25">
      <c r="C59" s="1">
        <f>'Input-lag'!H59</f>
        <v>40756</v>
      </c>
      <c r="D59" s="8">
        <f>VLOOKUP(C59,'Input-lag'!H$4:$I$102,2,0)</f>
        <v>28164427848.759998</v>
      </c>
      <c r="E59" s="8">
        <f>VLOOKUP(C59,'Pivot - lag'!$E$4:$F$144,2,0)</f>
        <v>19227300217.380001</v>
      </c>
      <c r="F59" s="8">
        <f>VLOOKUP(C59,'Pivot - lag'!$I$4:$J$144,2,0)</f>
        <v>16628425568.720001</v>
      </c>
      <c r="G59" s="8">
        <f>VLOOKUP(C59,'Pivot - lag'!$M$3:$N$144,2,0)</f>
        <v>5076597395.6099997</v>
      </c>
      <c r="H59" s="8">
        <f>VLOOKUP(C59,'Input-lag'!$K$3:$L$102,2,0)</f>
        <v>6097501802.75</v>
      </c>
      <c r="I59" s="8">
        <f>VLOOKUP(C59,'Input-lag'!temp_8,2,0)</f>
        <v>648715819.03999996</v>
      </c>
      <c r="K59" s="1">
        <f t="shared" si="1"/>
        <v>40756</v>
      </c>
      <c r="L59" s="7">
        <f t="shared" si="6"/>
        <v>0.68268030583218564</v>
      </c>
      <c r="M59" s="7">
        <f t="shared" si="7"/>
        <v>0.59040523237371945</v>
      </c>
      <c r="N59" s="7">
        <f t="shared" si="8"/>
        <v>0.18024855405800505</v>
      </c>
      <c r="O59" s="7">
        <f t="shared" si="5"/>
        <v>0.21649656209928853</v>
      </c>
      <c r="P59" s="7">
        <f t="shared" si="5"/>
        <v>2.3033161636498899E-2</v>
      </c>
    </row>
    <row r="60" spans="3:16" x14ac:dyDescent="0.25">
      <c r="C60" s="1">
        <f>'Input-lag'!H60</f>
        <v>40787</v>
      </c>
      <c r="D60" s="8">
        <f>VLOOKUP(C60,'Input-lag'!H$4:$I$102,2,0)</f>
        <v>35806727761.07</v>
      </c>
      <c r="E60" s="8">
        <f>VLOOKUP(C60,'Pivot - lag'!$E$4:$F$144,2,0)</f>
        <v>24060651555.790005</v>
      </c>
      <c r="F60" s="8">
        <f>VLOOKUP(C60,'Pivot - lag'!$I$4:$J$144,2,0)</f>
        <v>20110317816.27</v>
      </c>
      <c r="G60" s="8">
        <f>VLOOKUP(C60,'Pivot - lag'!$M$3:$N$144,2,0)</f>
        <v>8026484432.2399998</v>
      </c>
      <c r="H60" s="8">
        <f>VLOOKUP(C60,'Input-lag'!$K$3:$L$102,2,0)</f>
        <v>8570383969.2799997</v>
      </c>
      <c r="I60" s="8">
        <f>VLOOKUP(C60,'Input-lag'!temp_8,2,0)</f>
        <v>738808001.14999998</v>
      </c>
      <c r="K60" s="1">
        <f t="shared" si="1"/>
        <v>40787</v>
      </c>
      <c r="L60" s="7">
        <f t="shared" si="6"/>
        <v>0.67195896023622037</v>
      </c>
      <c r="M60" s="7">
        <f t="shared" si="7"/>
        <v>0.56163517511182515</v>
      </c>
      <c r="N60" s="7">
        <f t="shared" si="8"/>
        <v>0.2241613499507375</v>
      </c>
      <c r="O60" s="7">
        <f t="shared" si="5"/>
        <v>0.23935121987320893</v>
      </c>
      <c r="P60" s="7">
        <f t="shared" si="5"/>
        <v>2.0633217480242671E-2</v>
      </c>
    </row>
    <row r="61" spans="3:16" x14ac:dyDescent="0.25">
      <c r="C61" s="1">
        <f>'Input-lag'!H61</f>
        <v>40817</v>
      </c>
      <c r="D61" s="8">
        <f>VLOOKUP(C61,'Input-lag'!H$4:$I$102,2,0)</f>
        <v>43873920654.160004</v>
      </c>
      <c r="E61" s="8">
        <f>VLOOKUP(C61,'Pivot - lag'!$E$4:$F$144,2,0)</f>
        <v>31033821212.829994</v>
      </c>
      <c r="F61" s="8">
        <f>VLOOKUP(C61,'Pivot - lag'!$I$4:$J$144,2,0)</f>
        <v>26646989296.510002</v>
      </c>
      <c r="G61" s="8">
        <f>VLOOKUP(C61,'Pivot - lag'!$M$3:$N$144,2,0)</f>
        <v>9630208171.6000004</v>
      </c>
      <c r="H61" s="8">
        <f>VLOOKUP(C61,'Input-lag'!$K$3:$L$102,2,0)</f>
        <v>8222757284.5900002</v>
      </c>
      <c r="I61" s="8">
        <f>VLOOKUP(C61,'Input-lag'!temp_8,2,0)</f>
        <v>956590474.38</v>
      </c>
      <c r="K61" s="1">
        <f t="shared" si="1"/>
        <v>40817</v>
      </c>
      <c r="L61" s="7">
        <f t="shared" si="6"/>
        <v>0.70734096133000712</v>
      </c>
      <c r="M61" s="7">
        <f t="shared" si="7"/>
        <v>0.60735372857505066</v>
      </c>
      <c r="N61" s="7">
        <f t="shared" si="8"/>
        <v>0.21949732387745682</v>
      </c>
      <c r="O61" s="7">
        <f t="shared" si="5"/>
        <v>0.18741788201256504</v>
      </c>
      <c r="P61" s="7">
        <f t="shared" si="5"/>
        <v>2.1803168262996317E-2</v>
      </c>
    </row>
    <row r="62" spans="3:16" x14ac:dyDescent="0.25">
      <c r="C62" s="1">
        <f>'Input-lag'!H62</f>
        <v>40848</v>
      </c>
      <c r="D62" s="8">
        <f>VLOOKUP(C62,'Input-lag'!H$4:$I$102,2,0)</f>
        <v>48753124897.230003</v>
      </c>
      <c r="E62" s="8">
        <f>VLOOKUP(C62,'Pivot - lag'!$E$4:$F$144,2,0)</f>
        <v>30575938219.929993</v>
      </c>
      <c r="F62" s="8">
        <f>VLOOKUP(C62,'Pivot - lag'!$I$4:$J$144,2,0)</f>
        <v>24414679942.879997</v>
      </c>
      <c r="G62" s="8">
        <f>VLOOKUP(C62,'Pivot - lag'!$M$3:$N$144,2,0)</f>
        <v>11686443131.879999</v>
      </c>
      <c r="H62" s="8">
        <f>VLOOKUP(C62,'Input-lag'!$K$3:$L$102,2,0)</f>
        <v>12339709417.91</v>
      </c>
      <c r="I62" s="8">
        <f>VLOOKUP(C62,'Input-lag'!temp_8,2,0)</f>
        <v>1593261256.0899999</v>
      </c>
      <c r="K62" s="1">
        <f t="shared" si="1"/>
        <v>40848</v>
      </c>
      <c r="L62" s="7">
        <f t="shared" si="6"/>
        <v>0.62715853156865475</v>
      </c>
      <c r="M62" s="7">
        <f t="shared" si="7"/>
        <v>0.50078184720149421</v>
      </c>
      <c r="N62" s="7">
        <f t="shared" si="8"/>
        <v>0.23970654509869141</v>
      </c>
      <c r="O62" s="7">
        <f t="shared" si="5"/>
        <v>0.25310602025863377</v>
      </c>
      <c r="P62" s="7">
        <f t="shared" si="5"/>
        <v>3.2680187361293099E-2</v>
      </c>
    </row>
    <row r="63" spans="3:16" x14ac:dyDescent="0.25">
      <c r="C63" s="1">
        <f>'Input-lag'!H63</f>
        <v>40878</v>
      </c>
      <c r="D63" s="8">
        <f>VLOOKUP(C63,'Input-lag'!H$4:$I$102,2,0)</f>
        <v>60317961040.480003</v>
      </c>
      <c r="E63" s="8">
        <f>VLOOKUP(C63,'Pivot - lag'!$E$4:$F$144,2,0)</f>
        <v>39303489223.970001</v>
      </c>
      <c r="F63" s="8">
        <f>VLOOKUP(C63,'Pivot - lag'!$I$4:$J$144,2,0)</f>
        <v>33026093818.93</v>
      </c>
      <c r="G63" s="8">
        <f>VLOOKUP(C63,'Pivot - lag'!$M$3:$N$144,2,0)</f>
        <v>14402413671.309999</v>
      </c>
      <c r="H63" s="8">
        <f>VLOOKUP(C63,'Input-lag'!$K$3:$L$102,2,0)</f>
        <v>12933874632.5</v>
      </c>
      <c r="I63" s="8">
        <f>VLOOKUP(C63,'Input-lag'!temp_8,2,0)</f>
        <v>2303398729.9200001</v>
      </c>
      <c r="K63" s="1">
        <f t="shared" si="1"/>
        <v>40878</v>
      </c>
      <c r="L63" s="7">
        <f t="shared" si="6"/>
        <v>0.65160506996569434</v>
      </c>
      <c r="M63" s="7">
        <f t="shared" si="7"/>
        <v>0.54753332588225001</v>
      </c>
      <c r="N63" s="7">
        <f t="shared" si="8"/>
        <v>0.23877487605465297</v>
      </c>
      <c r="O63" s="7">
        <f t="shared" si="5"/>
        <v>0.21442824673433414</v>
      </c>
      <c r="P63" s="7">
        <f t="shared" si="5"/>
        <v>3.818760929889798E-2</v>
      </c>
    </row>
    <row r="64" spans="3:16" x14ac:dyDescent="0.25">
      <c r="C64" s="1">
        <f>'Input-lag'!H64</f>
        <v>40909</v>
      </c>
      <c r="D64" s="8">
        <f>VLOOKUP(C64,'Input-lag'!H$4:$I$102,2,0)</f>
        <v>72548286074.940002</v>
      </c>
      <c r="E64" s="8">
        <f>VLOOKUP(C64,'Pivot - lag'!$E$4:$F$144,2,0)</f>
        <v>48205975760.459999</v>
      </c>
      <c r="F64" s="8">
        <f>VLOOKUP(C64,'Pivot - lag'!$I$4:$J$144,2,0)</f>
        <v>42363665721.82</v>
      </c>
      <c r="G64" s="8">
        <f>VLOOKUP(C64,'Pivot - lag'!$M$3:$N$144,2,0)</f>
        <v>23209079451.07</v>
      </c>
      <c r="H64" s="8">
        <f>VLOOKUP(C64,'Input-lag'!$K$3:$L$102,2,0)</f>
        <v>16481604606.09</v>
      </c>
      <c r="I64" s="8">
        <f>VLOOKUP(C64,'Input-lag'!temp_8,2,0)</f>
        <v>1822022545.7</v>
      </c>
      <c r="K64" s="1">
        <f t="shared" si="1"/>
        <v>40909</v>
      </c>
      <c r="L64" s="7">
        <f t="shared" si="6"/>
        <v>0.66446746530531131</v>
      </c>
      <c r="M64" s="7">
        <f t="shared" si="7"/>
        <v>0.5839375127078773</v>
      </c>
      <c r="N64" s="7">
        <f t="shared" si="8"/>
        <v>0.31991216756100593</v>
      </c>
      <c r="O64" s="7">
        <f t="shared" si="5"/>
        <v>0.22718117129693516</v>
      </c>
      <c r="P64" s="7">
        <f t="shared" si="5"/>
        <v>2.5114618749475494E-2</v>
      </c>
    </row>
    <row r="65" spans="3:16" x14ac:dyDescent="0.25">
      <c r="C65" s="1">
        <f>'Input-lag'!H65</f>
        <v>40940</v>
      </c>
      <c r="D65" s="8">
        <f>VLOOKUP(C65,'Input-lag'!H$4:$I$102,2,0)</f>
        <v>56058928986.629997</v>
      </c>
      <c r="E65" s="8">
        <f>VLOOKUP(C65,'Pivot - lag'!$E$4:$F$144,2,0)</f>
        <v>33866907694.779995</v>
      </c>
      <c r="F65" s="8">
        <f>VLOOKUP(C65,'Pivot - lag'!$I$4:$J$144,2,0)</f>
        <v>28594313516.580002</v>
      </c>
      <c r="G65" s="8">
        <f>VLOOKUP(C65,'Pivot - lag'!$M$3:$N$144,2,0)</f>
        <v>15050460727.190001</v>
      </c>
      <c r="H65" s="8">
        <f>VLOOKUP(C65,'Input-lag'!$K$3:$L$102,2,0)</f>
        <v>14136133994.99</v>
      </c>
      <c r="I65" s="8">
        <f>VLOOKUP(C65,'Input-lag'!temp_8,2,0)</f>
        <v>2257480078.21</v>
      </c>
      <c r="K65" s="1">
        <f t="shared" si="1"/>
        <v>40940</v>
      </c>
      <c r="L65" s="7">
        <f t="shared" si="6"/>
        <v>0.60413048031754624</v>
      </c>
      <c r="M65" s="7">
        <f t="shared" si="7"/>
        <v>0.51007598670676924</v>
      </c>
      <c r="N65" s="7">
        <f t="shared" si="8"/>
        <v>0.2684757093875183</v>
      </c>
      <c r="O65" s="7">
        <f t="shared" si="5"/>
        <v>0.252165609485002</v>
      </c>
      <c r="P65" s="7">
        <f t="shared" si="5"/>
        <v>4.0269768242422309E-2</v>
      </c>
    </row>
    <row r="66" spans="3:16" x14ac:dyDescent="0.25">
      <c r="C66" s="1">
        <f>'Input-lag'!H66</f>
        <v>40969</v>
      </c>
      <c r="D66" s="8">
        <f>VLOOKUP(C66,'Input-lag'!H$4:$I$102,2,0)</f>
        <v>53815099982.089996</v>
      </c>
      <c r="E66" s="8">
        <f>VLOOKUP(C66,'Pivot - lag'!$E$4:$F$144,2,0)</f>
        <v>31924805261.230003</v>
      </c>
      <c r="F66" s="8">
        <f>VLOOKUP(C66,'Pivot - lag'!$I$4:$J$144,2,0)</f>
        <v>26813941319.43</v>
      </c>
      <c r="G66" s="8">
        <f>VLOOKUP(C66,'Pivot - lag'!$M$3:$N$144,2,0)</f>
        <v>14049256877.940001</v>
      </c>
      <c r="H66" s="8">
        <f>VLOOKUP(C66,'Input-lag'!$K$3:$L$102,2,0)</f>
        <v>14574301137.59</v>
      </c>
      <c r="I66" s="8">
        <f>VLOOKUP(C66,'Input-lag'!temp_8,2,0)</f>
        <v>1447607542.4300001</v>
      </c>
      <c r="K66" s="1">
        <f t="shared" si="1"/>
        <v>40969</v>
      </c>
      <c r="L66" s="7">
        <f t="shared" si="6"/>
        <v>0.59323136576638857</v>
      </c>
      <c r="M66" s="7">
        <f t="shared" si="7"/>
        <v>0.49826055007523629</v>
      </c>
      <c r="N66" s="7">
        <f t="shared" si="8"/>
        <v>0.26106533078291561</v>
      </c>
      <c r="O66" s="7">
        <f t="shared" si="5"/>
        <v>0.27082177943440444</v>
      </c>
      <c r="P66" s="7">
        <f t="shared" si="5"/>
        <v>2.6899653497099753E-2</v>
      </c>
    </row>
    <row r="67" spans="3:16" x14ac:dyDescent="0.25">
      <c r="C67" s="1">
        <f>'Input-lag'!H67</f>
        <v>41000</v>
      </c>
      <c r="D67" s="8">
        <f>VLOOKUP(C67,'Input-lag'!H$4:$I$102,2,0)</f>
        <v>85338937021.710007</v>
      </c>
      <c r="E67" s="8">
        <f>VLOOKUP(C67,'Pivot - lag'!$E$4:$F$144,2,0)</f>
        <v>56496777570.090012</v>
      </c>
      <c r="F67" s="8">
        <f>VLOOKUP(C67,'Pivot - lag'!$I$4:$J$144,2,0)</f>
        <v>49104945245.930008</v>
      </c>
      <c r="G67" s="8">
        <f>VLOOKUP(C67,'Pivot - lag'!$M$3:$N$144,2,0)</f>
        <v>30547686964.380001</v>
      </c>
      <c r="H67" s="8">
        <f>VLOOKUP(C67,'Input-lag'!$K$3:$L$102,2,0)</f>
        <v>15564169734.09</v>
      </c>
      <c r="I67" s="8">
        <f>VLOOKUP(C67,'Input-lag'!temp_8,2,0)</f>
        <v>2953526040.23</v>
      </c>
      <c r="K67" s="1">
        <f t="shared" si="1"/>
        <v>41000</v>
      </c>
      <c r="L67" s="7">
        <f t="shared" si="6"/>
        <v>0.66202813793798931</v>
      </c>
      <c r="M67" s="7">
        <f t="shared" si="7"/>
        <v>0.57541079089651459</v>
      </c>
      <c r="N67" s="7">
        <f t="shared" si="8"/>
        <v>0.35795720020052219</v>
      </c>
      <c r="O67" s="7">
        <f t="shared" si="5"/>
        <v>0.18238063745896571</v>
      </c>
      <c r="P67" s="7">
        <f t="shared" si="5"/>
        <v>3.4609360548733231E-2</v>
      </c>
    </row>
    <row r="68" spans="3:16" x14ac:dyDescent="0.25">
      <c r="C68" s="1">
        <f>'Input-lag'!H68</f>
        <v>41030</v>
      </c>
      <c r="D68" s="8">
        <f>VLOOKUP(C68,'Input-lag'!H$4:$I$102,2,0)</f>
        <v>45858172487.629997</v>
      </c>
      <c r="E68" s="8">
        <f>VLOOKUP(C68,'Pivot - lag'!$E$4:$F$144,2,0)</f>
        <v>23767072920.790001</v>
      </c>
      <c r="F68" s="8">
        <f>VLOOKUP(C68,'Pivot - lag'!$I$4:$J$144,2,0)</f>
        <v>20413263787.060001</v>
      </c>
      <c r="G68" s="8">
        <f>VLOOKUP(C68,'Pivot - lag'!$M$3:$N$144,2,0)</f>
        <v>10497979104.360001</v>
      </c>
      <c r="H68" s="8">
        <f>VLOOKUP(C68,'Input-lag'!$K$3:$L$102,2,0)</f>
        <v>15200655634.24</v>
      </c>
      <c r="I68" s="8">
        <f>VLOOKUP(C68,'Input-lag'!temp_8,2,0)</f>
        <v>1245552918.52</v>
      </c>
      <c r="K68" s="1">
        <f t="shared" si="1"/>
        <v>41030</v>
      </c>
      <c r="L68" s="7">
        <f t="shared" si="6"/>
        <v>0.51827344247529805</v>
      </c>
      <c r="M68" s="7">
        <f t="shared" si="7"/>
        <v>0.44513905983860069</v>
      </c>
      <c r="N68" s="7">
        <f t="shared" si="8"/>
        <v>0.22892275323862449</v>
      </c>
      <c r="O68" s="7">
        <f t="shared" si="5"/>
        <v>0.33147102925526084</v>
      </c>
      <c r="P68" s="7">
        <f t="shared" si="5"/>
        <v>2.7160980277964226E-2</v>
      </c>
    </row>
    <row r="69" spans="3:16" x14ac:dyDescent="0.25">
      <c r="C69" s="1">
        <f>'Input-lag'!H69</f>
        <v>41061</v>
      </c>
      <c r="D69" s="8">
        <f>VLOOKUP(C69,'Input-lag'!H$4:$I$102,2,0)</f>
        <v>64624114881.870003</v>
      </c>
      <c r="E69" s="8">
        <f>VLOOKUP(C69,'Pivot - lag'!$E$4:$F$144,2,0)</f>
        <v>38985406125.029999</v>
      </c>
      <c r="F69" s="8">
        <f>VLOOKUP(C69,'Pivot - lag'!$I$4:$J$144,2,0)</f>
        <v>33449699297.739998</v>
      </c>
      <c r="G69" s="8">
        <f>VLOOKUP(C69,'Pivot - lag'!$M$3:$N$144,2,0)</f>
        <v>20085553792.799999</v>
      </c>
      <c r="H69" s="8">
        <f>VLOOKUP(C69,'Input-lag'!$K$3:$L$102,2,0)</f>
        <v>16743096910.440001</v>
      </c>
      <c r="I69" s="8">
        <f>VLOOKUP(C69,'Input-lag'!temp_8,2,0)</f>
        <v>1540553806.8800001</v>
      </c>
      <c r="K69" s="1">
        <f t="shared" ref="K69:K102" si="9">C69</f>
        <v>41061</v>
      </c>
      <c r="L69" s="7">
        <f t="shared" ref="L69:L102" si="10">E69/$D69</f>
        <v>0.60326406321066961</v>
      </c>
      <c r="M69" s="7">
        <f t="shared" ref="M69:M102" si="11">F69/$D69</f>
        <v>0.51760398357307569</v>
      </c>
      <c r="N69" s="7">
        <f t="shared" ref="N69:N102" si="12">G69/$D69</f>
        <v>0.31080586294319845</v>
      </c>
      <c r="O69" s="7">
        <f t="shared" si="5"/>
        <v>0.25908435173225403</v>
      </c>
      <c r="P69" s="7">
        <f t="shared" si="5"/>
        <v>2.3838683279392897E-2</v>
      </c>
    </row>
    <row r="70" spans="3:16" x14ac:dyDescent="0.25">
      <c r="C70" s="1">
        <f>'Input-lag'!H70</f>
        <v>41091</v>
      </c>
      <c r="D70" s="8">
        <f>VLOOKUP(C70,'Input-lag'!H$4:$I$102,2,0)</f>
        <v>64031205593.419998</v>
      </c>
      <c r="E70" s="8">
        <f>VLOOKUP(C70,'Pivot - lag'!$E$4:$F$144,2,0)</f>
        <v>34051928501.080006</v>
      </c>
      <c r="F70" s="8">
        <f>VLOOKUP(C70,'Pivot - lag'!$I$4:$J$144,2,0)</f>
        <v>26319150770.580002</v>
      </c>
      <c r="G70" s="8">
        <f>VLOOKUP(C70,'Pivot - lag'!$M$3:$N$144,2,0)</f>
        <v>12490413319.5</v>
      </c>
      <c r="H70" s="8">
        <f>VLOOKUP(C70,'Input-lag'!$K$3:$L$102,2,0)</f>
        <v>18490738170.709999</v>
      </c>
      <c r="I70" s="8">
        <f>VLOOKUP(C70,'Input-lag'!temp_8,2,0)</f>
        <v>2089196644.4200001</v>
      </c>
      <c r="K70" s="1">
        <f t="shared" si="9"/>
        <v>41091</v>
      </c>
      <c r="L70" s="7">
        <f t="shared" si="10"/>
        <v>0.53180208283598618</v>
      </c>
      <c r="M70" s="7">
        <f t="shared" si="11"/>
        <v>0.41103631466349622</v>
      </c>
      <c r="N70" s="7">
        <f t="shared" si="12"/>
        <v>0.19506759561596548</v>
      </c>
      <c r="O70" s="7">
        <f t="shared" si="5"/>
        <v>0.28877697990134599</v>
      </c>
      <c r="P70" s="7">
        <f t="shared" si="5"/>
        <v>3.2627788670508667E-2</v>
      </c>
    </row>
    <row r="71" spans="3:16" x14ac:dyDescent="0.25">
      <c r="C71" s="1">
        <f>'Input-lag'!H71</f>
        <v>41122</v>
      </c>
      <c r="D71" s="8">
        <f>VLOOKUP(C71,'Input-lag'!H$4:$I$102,2,0)</f>
        <v>70029025970.190002</v>
      </c>
      <c r="E71" s="8">
        <f>VLOOKUP(C71,'Pivot - lag'!$E$4:$F$144,2,0)</f>
        <v>38782592583.130005</v>
      </c>
      <c r="F71" s="8">
        <f>VLOOKUP(C71,'Pivot - lag'!$I$4:$J$144,2,0)</f>
        <v>32382569281.389999</v>
      </c>
      <c r="G71" s="8">
        <f>VLOOKUP(C71,'Pivot - lag'!$M$3:$N$144,2,0)</f>
        <v>17722445723.59</v>
      </c>
      <c r="H71" s="8">
        <f>VLOOKUP(C71,'Input-lag'!$K$3:$L$102,2,0)</f>
        <v>19497067174.220001</v>
      </c>
      <c r="I71" s="8">
        <f>VLOOKUP(C71,'Input-lag'!temp_8,2,0)</f>
        <v>2184176355.4499998</v>
      </c>
      <c r="K71" s="1">
        <f t="shared" si="9"/>
        <v>41122</v>
      </c>
      <c r="L71" s="7">
        <f t="shared" si="10"/>
        <v>0.55380739694478975</v>
      </c>
      <c r="M71" s="7">
        <f t="shared" si="11"/>
        <v>0.46241638852973094</v>
      </c>
      <c r="N71" s="7">
        <f t="shared" si="12"/>
        <v>0.25307285769095378</v>
      </c>
      <c r="O71" s="7">
        <f t="shared" si="5"/>
        <v>0.27841408478992019</v>
      </c>
      <c r="P71" s="7">
        <f t="shared" si="5"/>
        <v>3.11895863920735E-2</v>
      </c>
    </row>
    <row r="72" spans="3:16" x14ac:dyDescent="0.25">
      <c r="C72" s="1">
        <f>'Input-lag'!H72</f>
        <v>41153</v>
      </c>
      <c r="D72" s="8">
        <f>VLOOKUP(C72,'Input-lag'!H$4:$I$102,2,0)</f>
        <v>78101172544.710007</v>
      </c>
      <c r="E72" s="8">
        <f>VLOOKUP(C72,'Pivot - lag'!$E$4:$F$144,2,0)</f>
        <v>41893866412.769997</v>
      </c>
      <c r="F72" s="8">
        <f>VLOOKUP(C72,'Pivot - lag'!$I$4:$J$144,2,0)</f>
        <v>34492756986.080002</v>
      </c>
      <c r="G72" s="8">
        <f>VLOOKUP(C72,'Pivot - lag'!$M$3:$N$144,2,0)</f>
        <v>15450764934.82</v>
      </c>
      <c r="H72" s="8">
        <f>VLOOKUP(C72,'Input-lag'!$K$3:$L$102,2,0)</f>
        <v>22876874384.77</v>
      </c>
      <c r="I72" s="8">
        <f>VLOOKUP(C72,'Input-lag'!temp_8,2,0)</f>
        <v>2621325386.98</v>
      </c>
      <c r="K72" s="1">
        <f t="shared" si="9"/>
        <v>41153</v>
      </c>
      <c r="L72" s="7">
        <f t="shared" si="10"/>
        <v>0.53640508903739337</v>
      </c>
      <c r="M72" s="7">
        <f t="shared" si="11"/>
        <v>0.44164198644180641</v>
      </c>
      <c r="N72" s="7">
        <f t="shared" si="12"/>
        <v>0.19783012765877508</v>
      </c>
      <c r="O72" s="7">
        <f t="shared" si="5"/>
        <v>0.29291332817921323</v>
      </c>
      <c r="P72" s="7">
        <f t="shared" si="5"/>
        <v>3.3563201442070402E-2</v>
      </c>
    </row>
    <row r="73" spans="3:16" x14ac:dyDescent="0.25">
      <c r="C73" s="1">
        <f>'Input-lag'!H73</f>
        <v>41183</v>
      </c>
      <c r="D73" s="8">
        <f>VLOOKUP(C73,'Input-lag'!H$4:$I$102,2,0)</f>
        <v>82853256609.399994</v>
      </c>
      <c r="E73" s="8">
        <f>VLOOKUP(C73,'Pivot - lag'!$E$4:$F$144,2,0)</f>
        <v>44179607235.949997</v>
      </c>
      <c r="F73" s="8">
        <f>VLOOKUP(C73,'Pivot - lag'!$I$4:$J$144,2,0)</f>
        <v>36818867903.32</v>
      </c>
      <c r="G73" s="8">
        <f>VLOOKUP(C73,'Pivot - lag'!$M$3:$N$144,2,0)</f>
        <v>15515154908.18</v>
      </c>
      <c r="H73" s="8">
        <f>VLOOKUP(C73,'Input-lag'!$K$3:$L$102,2,0)</f>
        <v>24895027083.639999</v>
      </c>
      <c r="I73" s="8">
        <f>VLOOKUP(C73,'Input-lag'!temp_8,2,0)</f>
        <v>2632400688.9699998</v>
      </c>
      <c r="K73" s="1">
        <f t="shared" si="9"/>
        <v>41183</v>
      </c>
      <c r="L73" s="7">
        <f t="shared" si="10"/>
        <v>0.53322716624439437</v>
      </c>
      <c r="M73" s="7">
        <f t="shared" si="11"/>
        <v>0.44438649016413884</v>
      </c>
      <c r="N73" s="7">
        <f t="shared" si="12"/>
        <v>0.18726065266600217</v>
      </c>
      <c r="O73" s="7">
        <f t="shared" si="5"/>
        <v>0.30047131642639102</v>
      </c>
      <c r="P73" s="7">
        <f t="shared" si="5"/>
        <v>3.1771843337191706E-2</v>
      </c>
    </row>
    <row r="74" spans="3:16" x14ac:dyDescent="0.25">
      <c r="C74" s="1">
        <f>'Input-lag'!H74</f>
        <v>41214</v>
      </c>
      <c r="D74" s="8">
        <f>VLOOKUP(C74,'Input-lag'!H$4:$I$102,2,0)</f>
        <v>59855355813.010002</v>
      </c>
      <c r="E74" s="8">
        <f>VLOOKUP(C74,'Pivot - lag'!$E$4:$F$144,2,0)</f>
        <v>34510631710.040001</v>
      </c>
      <c r="F74" s="8">
        <f>VLOOKUP(C74,'Pivot - lag'!$I$4:$J$144,2,0)</f>
        <v>27045561670.25</v>
      </c>
      <c r="G74" s="8">
        <f>VLOOKUP(C74,'Pivot - lag'!$M$3:$N$144,2,0)</f>
        <v>13208748904.610001</v>
      </c>
      <c r="H74" s="8">
        <f>VLOOKUP(C74,'Input-lag'!$K$3:$L$102,2,0)</f>
        <v>13041567478.99</v>
      </c>
      <c r="I74" s="8">
        <f>VLOOKUP(C74,'Input-lag'!temp_8,2,0)</f>
        <v>1969884029.05</v>
      </c>
      <c r="K74" s="1">
        <f t="shared" si="9"/>
        <v>41214</v>
      </c>
      <c r="L74" s="7">
        <f t="shared" si="10"/>
        <v>0.57656714660342656</v>
      </c>
      <c r="M74" s="7">
        <f t="shared" si="11"/>
        <v>0.45184864917921763</v>
      </c>
      <c r="N74" s="7">
        <f t="shared" si="12"/>
        <v>0.2206778111197692</v>
      </c>
      <c r="O74" s="7">
        <f t="shared" si="5"/>
        <v>0.21788472062102954</v>
      </c>
      <c r="P74" s="7">
        <f t="shared" si="5"/>
        <v>3.2910739603720325E-2</v>
      </c>
    </row>
    <row r="75" spans="3:16" x14ac:dyDescent="0.25">
      <c r="C75" s="1">
        <f>'Input-lag'!H75</f>
        <v>41244</v>
      </c>
      <c r="D75" s="8">
        <f>VLOOKUP(C75,'Input-lag'!H$4:$I$102,2,0)</f>
        <v>105127205844.42999</v>
      </c>
      <c r="E75" s="8">
        <f>VLOOKUP(C75,'Pivot - lag'!$E$4:$F$144,2,0)</f>
        <v>48158686883.839996</v>
      </c>
      <c r="F75" s="8">
        <f>VLOOKUP(C75,'Pivot - lag'!$I$4:$J$144,2,0)</f>
        <v>38377709156.639999</v>
      </c>
      <c r="G75" s="8">
        <f>VLOOKUP(C75,'Pivot - lag'!$M$3:$N$144,2,0)</f>
        <v>18561639674.389999</v>
      </c>
      <c r="H75" s="8">
        <f>VLOOKUP(C75,'Input-lag'!$K$3:$L$102,2,0)</f>
        <v>37186920455.010002</v>
      </c>
      <c r="I75" s="8">
        <f>VLOOKUP(C75,'Input-lag'!temp_8,2,0)</f>
        <v>3221286266.1399999</v>
      </c>
      <c r="K75" s="1">
        <f t="shared" si="9"/>
        <v>41244</v>
      </c>
      <c r="L75" s="7">
        <f t="shared" si="10"/>
        <v>0.45809918086386209</v>
      </c>
      <c r="M75" s="7">
        <f t="shared" si="11"/>
        <v>0.36505972786371155</v>
      </c>
      <c r="N75" s="7">
        <f t="shared" si="12"/>
        <v>0.17656361667081691</v>
      </c>
      <c r="O75" s="7">
        <f t="shared" si="5"/>
        <v>0.35373260571616627</v>
      </c>
      <c r="P75" s="7">
        <f t="shared" si="5"/>
        <v>3.0641794769157512E-2</v>
      </c>
    </row>
    <row r="76" spans="3:16" x14ac:dyDescent="0.25">
      <c r="C76" s="1">
        <f>'Input-lag'!H76</f>
        <v>41275</v>
      </c>
      <c r="D76" s="8">
        <f>VLOOKUP(C76,'Input-lag'!H$4:$I$102,2,0)</f>
        <v>65639534877.540001</v>
      </c>
      <c r="E76" s="8">
        <f>VLOOKUP(C76,'Pivot - lag'!$E$4:$F$144,2,0)</f>
        <v>28061391859.560001</v>
      </c>
      <c r="F76" s="8">
        <f>VLOOKUP(C76,'Pivot - lag'!$I$4:$J$144,2,0)</f>
        <v>22122050363.459999</v>
      </c>
      <c r="G76" s="8">
        <f>VLOOKUP(C76,'Pivot - lag'!$M$3:$N$144,2,0)</f>
        <v>5514998779.8199997</v>
      </c>
      <c r="H76" s="8">
        <f>VLOOKUP(C76,'Input-lag'!$K$3:$L$102,2,0)</f>
        <v>27443376640.200001</v>
      </c>
      <c r="I76" s="8">
        <f>VLOOKUP(C76,'Input-lag'!temp_8,2,0)</f>
        <v>1423282594.6900001</v>
      </c>
      <c r="K76" s="1">
        <f t="shared" si="9"/>
        <v>41275</v>
      </c>
      <c r="L76" s="7">
        <f t="shared" si="10"/>
        <v>0.42750747566862818</v>
      </c>
      <c r="M76" s="7">
        <f t="shared" si="11"/>
        <v>0.33702326509064801</v>
      </c>
      <c r="N76" s="7">
        <f t="shared" si="12"/>
        <v>8.4019467689846125E-2</v>
      </c>
      <c r="O76" s="7">
        <f t="shared" si="5"/>
        <v>0.41809218623196476</v>
      </c>
      <c r="P76" s="7">
        <f t="shared" si="5"/>
        <v>2.1683313224954117E-2</v>
      </c>
    </row>
    <row r="77" spans="3:16" x14ac:dyDescent="0.25">
      <c r="C77" s="1">
        <f>'Input-lag'!H77</f>
        <v>41306</v>
      </c>
      <c r="D77" s="8">
        <f>VLOOKUP(C77,'Input-lag'!H$4:$I$102,2,0)</f>
        <v>83795259138.630005</v>
      </c>
      <c r="E77" s="8">
        <f>VLOOKUP(C77,'Pivot - lag'!$E$4:$F$144,2,0)</f>
        <v>39917338888.109993</v>
      </c>
      <c r="F77" s="8">
        <f>VLOOKUP(C77,'Pivot - lag'!$I$4:$J$144,2,0)</f>
        <v>31398215000.349998</v>
      </c>
      <c r="G77" s="8">
        <f>VLOOKUP(C77,'Pivot - lag'!$M$3:$N$144,2,0)</f>
        <v>12330874909.370001</v>
      </c>
      <c r="H77" s="8">
        <f>VLOOKUP(C77,'Input-lag'!$K$3:$L$102,2,0)</f>
        <v>28358709079.119999</v>
      </c>
      <c r="I77" s="8">
        <f>VLOOKUP(C77,'Input-lag'!temp_8,2,0)</f>
        <v>2283134573.5300002</v>
      </c>
      <c r="K77" s="1">
        <f t="shared" si="9"/>
        <v>41306</v>
      </c>
      <c r="L77" s="7">
        <f t="shared" si="10"/>
        <v>0.47636750931304078</v>
      </c>
      <c r="M77" s="7">
        <f t="shared" si="11"/>
        <v>0.37470156812099736</v>
      </c>
      <c r="N77" s="7">
        <f t="shared" si="12"/>
        <v>0.14715480369802222</v>
      </c>
      <c r="O77" s="7">
        <f t="shared" si="5"/>
        <v>0.3384285623152456</v>
      </c>
      <c r="P77" s="7">
        <f t="shared" si="5"/>
        <v>2.7246584078853508E-2</v>
      </c>
    </row>
    <row r="78" spans="3:16" x14ac:dyDescent="0.25">
      <c r="C78" s="1">
        <f>'Input-lag'!H78</f>
        <v>41334</v>
      </c>
      <c r="D78" s="8">
        <f>VLOOKUP(C78,'Input-lag'!H$4:$I$102,2,0)</f>
        <v>75678490996.460007</v>
      </c>
      <c r="E78" s="8">
        <f>VLOOKUP(C78,'Pivot - lag'!$E$4:$F$144,2,0)</f>
        <v>40121731507.939995</v>
      </c>
      <c r="F78" s="8">
        <f>VLOOKUP(C78,'Pivot - lag'!$I$4:$J$144,2,0)</f>
        <v>31825324478.059998</v>
      </c>
      <c r="G78" s="8">
        <f>VLOOKUP(C78,'Pivot - lag'!$M$3:$N$144,2,0)</f>
        <v>11762868452.809999</v>
      </c>
      <c r="H78" s="8">
        <f>VLOOKUP(C78,'Input-lag'!$K$3:$L$102,2,0)</f>
        <v>21016931411.259998</v>
      </c>
      <c r="I78" s="8">
        <f>VLOOKUP(C78,'Input-lag'!temp_8,2,0)</f>
        <v>1853862175.5699999</v>
      </c>
      <c r="K78" s="1">
        <f t="shared" si="9"/>
        <v>41334</v>
      </c>
      <c r="L78" s="7">
        <f t="shared" si="10"/>
        <v>0.53016030023400917</v>
      </c>
      <c r="M78" s="7">
        <f t="shared" si="11"/>
        <v>0.4205332857330451</v>
      </c>
      <c r="N78" s="7">
        <f t="shared" si="12"/>
        <v>0.15543212209873777</v>
      </c>
      <c r="O78" s="7">
        <f t="shared" si="5"/>
        <v>0.27771340488598145</v>
      </c>
      <c r="P78" s="7">
        <f t="shared" si="5"/>
        <v>2.449655313101734E-2</v>
      </c>
    </row>
    <row r="79" spans="3:16" x14ac:dyDescent="0.25">
      <c r="C79" s="1">
        <f>'Input-lag'!H79</f>
        <v>41365</v>
      </c>
      <c r="D79" s="8">
        <f>VLOOKUP(C79,'Input-lag'!H$4:$I$102,2,0)</f>
        <v>65489883342.510002</v>
      </c>
      <c r="E79" s="8">
        <f>VLOOKUP(C79,'Pivot - lag'!$E$4:$F$144,2,0)</f>
        <v>32167431009.59</v>
      </c>
      <c r="F79" s="8">
        <f>VLOOKUP(C79,'Pivot - lag'!$I$4:$J$144,2,0)</f>
        <v>26205701340.690002</v>
      </c>
      <c r="G79" s="8">
        <f>VLOOKUP(C79,'Pivot - lag'!$M$3:$N$144,2,0)</f>
        <v>9980934177.1000004</v>
      </c>
      <c r="H79" s="8">
        <f>VLOOKUP(C79,'Input-lag'!$K$3:$L$102,2,0)</f>
        <v>21972503329.41</v>
      </c>
      <c r="I79" s="8">
        <f>VLOOKUP(C79,'Input-lag'!temp_8,2,0)</f>
        <v>1707781437.2</v>
      </c>
      <c r="K79" s="1">
        <f t="shared" si="9"/>
        <v>41365</v>
      </c>
      <c r="L79" s="7">
        <f t="shared" si="10"/>
        <v>0.49118168131946977</v>
      </c>
      <c r="M79" s="7">
        <f t="shared" si="11"/>
        <v>0.40014884747366275</v>
      </c>
      <c r="N79" s="7">
        <f t="shared" si="12"/>
        <v>0.15240421371496468</v>
      </c>
      <c r="O79" s="7">
        <f t="shared" si="5"/>
        <v>0.33550988653460423</v>
      </c>
      <c r="P79" s="7">
        <f t="shared" si="5"/>
        <v>2.6077026710650215E-2</v>
      </c>
    </row>
    <row r="80" spans="3:16" x14ac:dyDescent="0.25">
      <c r="C80" s="1">
        <f>'Input-lag'!H80</f>
        <v>41395</v>
      </c>
      <c r="D80" s="8">
        <f>VLOOKUP(C80,'Input-lag'!H$4:$I$102,2,0)</f>
        <v>71783179195.610001</v>
      </c>
      <c r="E80" s="8">
        <f>VLOOKUP(C80,'Pivot - lag'!$E$4:$F$144,2,0)</f>
        <v>36913559190.93</v>
      </c>
      <c r="F80" s="8">
        <f>VLOOKUP(C80,'Pivot - lag'!$I$4:$J$144,2,0)</f>
        <v>29347304016.630001</v>
      </c>
      <c r="G80" s="8">
        <f>VLOOKUP(C80,'Pivot - lag'!$M$3:$N$144,2,0)</f>
        <v>10647976949.73</v>
      </c>
      <c r="H80" s="8">
        <f>VLOOKUP(C80,'Input-lag'!$K$3:$L$102,2,0)</f>
        <v>21696546357.110001</v>
      </c>
      <c r="I80" s="8">
        <f>VLOOKUP(C80,'Input-lag'!temp_8,2,0)</f>
        <v>2167430489.98</v>
      </c>
      <c r="K80" s="1">
        <f t="shared" si="9"/>
        <v>41395</v>
      </c>
      <c r="L80" s="7">
        <f t="shared" si="10"/>
        <v>0.51423689511354909</v>
      </c>
      <c r="M80" s="7">
        <f t="shared" si="11"/>
        <v>0.40883260320162551</v>
      </c>
      <c r="N80" s="7">
        <f t="shared" si="12"/>
        <v>0.148335265574044</v>
      </c>
      <c r="O80" s="7">
        <f t="shared" si="5"/>
        <v>0.30225112066974158</v>
      </c>
      <c r="P80" s="7">
        <f t="shared" si="5"/>
        <v>3.0194127848165189E-2</v>
      </c>
    </row>
    <row r="81" spans="3:16" x14ac:dyDescent="0.25">
      <c r="C81" s="1">
        <f>'Input-lag'!H81</f>
        <v>41426</v>
      </c>
      <c r="D81" s="8">
        <f>VLOOKUP(C81,'Input-lag'!H$4:$I$102,2,0)</f>
        <v>71962352414.850006</v>
      </c>
      <c r="E81" s="8">
        <f>VLOOKUP(C81,'Pivot - lag'!$E$4:$F$144,2,0)</f>
        <v>38156334831.479996</v>
      </c>
      <c r="F81" s="8">
        <f>VLOOKUP(C81,'Pivot - lag'!$I$4:$J$144,2,0)</f>
        <v>31475187000.610001</v>
      </c>
      <c r="G81" s="8">
        <f>VLOOKUP(C81,'Pivot - lag'!$M$3:$N$144,2,0)</f>
        <v>16378355650.98</v>
      </c>
      <c r="H81" s="8">
        <f>VLOOKUP(C81,'Input-lag'!$K$3:$L$102,2,0)</f>
        <v>22199417142.48</v>
      </c>
      <c r="I81" s="8">
        <f>VLOOKUP(C81,'Input-lag'!temp_8,2,0)</f>
        <v>1785740932.23</v>
      </c>
      <c r="K81" s="1">
        <f t="shared" si="9"/>
        <v>41426</v>
      </c>
      <c r="L81" s="7">
        <f t="shared" si="10"/>
        <v>0.53022634128906176</v>
      </c>
      <c r="M81" s="7">
        <f t="shared" si="11"/>
        <v>0.43738407576174293</v>
      </c>
      <c r="N81" s="7">
        <f t="shared" si="12"/>
        <v>0.22759616801521063</v>
      </c>
      <c r="O81" s="7">
        <f t="shared" si="5"/>
        <v>0.30848654049695812</v>
      </c>
      <c r="P81" s="7">
        <f t="shared" si="5"/>
        <v>2.4814932701692754E-2</v>
      </c>
    </row>
    <row r="82" spans="3:16" x14ac:dyDescent="0.25">
      <c r="C82" s="1">
        <f>'Input-lag'!H82</f>
        <v>41456</v>
      </c>
      <c r="D82" s="8">
        <f>VLOOKUP(C82,'Input-lag'!H$4:$I$102,2,0)</f>
        <v>65362029192.18</v>
      </c>
      <c r="E82" s="8">
        <f>VLOOKUP(C82,'Pivot - lag'!$E$4:$F$144,2,0)</f>
        <v>35041617202.470001</v>
      </c>
      <c r="F82" s="8">
        <f>VLOOKUP(C82,'Pivot - lag'!$I$4:$J$144,2,0)</f>
        <v>28763554195</v>
      </c>
      <c r="G82" s="8">
        <f>VLOOKUP(C82,'Pivot - lag'!$M$3:$N$144,2,0)</f>
        <v>15177156622.67</v>
      </c>
      <c r="H82" s="8">
        <f>VLOOKUP(C82,'Input-lag'!$K$3:$L$102,2,0)</f>
        <v>19210507021.110001</v>
      </c>
      <c r="I82" s="8">
        <f>VLOOKUP(C82,'Input-lag'!temp_8,2,0)</f>
        <v>2166891536.6399999</v>
      </c>
      <c r="K82" s="1">
        <f t="shared" si="9"/>
        <v>41456</v>
      </c>
      <c r="L82" s="7">
        <f t="shared" si="10"/>
        <v>0.53611580967658246</v>
      </c>
      <c r="M82" s="7">
        <f t="shared" si="11"/>
        <v>0.44006519611605494</v>
      </c>
      <c r="N82" s="7">
        <f t="shared" si="12"/>
        <v>0.23220142964113813</v>
      </c>
      <c r="O82" s="7">
        <f t="shared" si="5"/>
        <v>0.29390928125298121</v>
      </c>
      <c r="P82" s="7">
        <f t="shared" si="5"/>
        <v>3.3152146030668975E-2</v>
      </c>
    </row>
    <row r="83" spans="3:16" x14ac:dyDescent="0.25">
      <c r="C83" s="1">
        <f>'Input-lag'!H83</f>
        <v>41487</v>
      </c>
      <c r="D83" s="8">
        <f>VLOOKUP(C83,'Input-lag'!H$4:$I$102,2,0)</f>
        <v>70737725860.339996</v>
      </c>
      <c r="E83" s="8">
        <f>VLOOKUP(C83,'Pivot - lag'!$E$4:$F$144,2,0)</f>
        <v>37107511523.769997</v>
      </c>
      <c r="F83" s="8">
        <f>VLOOKUP(C83,'Pivot - lag'!$I$4:$J$144,2,0)</f>
        <v>29530845936.25</v>
      </c>
      <c r="G83" s="8">
        <f>VLOOKUP(C83,'Pivot - lag'!$M$3:$N$144,2,0)</f>
        <v>16749167656.17</v>
      </c>
      <c r="H83" s="8">
        <f>VLOOKUP(C83,'Input-lag'!$K$3:$L$102,2,0)</f>
        <v>21283813715.68</v>
      </c>
      <c r="I83" s="8">
        <f>VLOOKUP(C83,'Input-lag'!temp_8,2,0)</f>
        <v>2292046134.2399998</v>
      </c>
      <c r="K83" s="1">
        <f t="shared" si="9"/>
        <v>41487</v>
      </c>
      <c r="L83" s="7">
        <f t="shared" si="10"/>
        <v>0.5245788025053657</v>
      </c>
      <c r="M83" s="7">
        <f t="shared" si="11"/>
        <v>0.41746954085792631</v>
      </c>
      <c r="N83" s="7">
        <f t="shared" si="12"/>
        <v>0.23677842979061098</v>
      </c>
      <c r="O83" s="7">
        <f t="shared" si="5"/>
        <v>0.30088348836236817</v>
      </c>
      <c r="P83" s="7">
        <f t="shared" si="5"/>
        <v>3.2402033092854408E-2</v>
      </c>
    </row>
    <row r="84" spans="3:16" x14ac:dyDescent="0.25">
      <c r="C84" s="1">
        <f>'Input-lag'!H84</f>
        <v>41518</v>
      </c>
      <c r="D84" s="8">
        <f>VLOOKUP(C84,'Input-lag'!H$4:$I$102,2,0)</f>
        <v>63694656425.440002</v>
      </c>
      <c r="E84" s="8">
        <f>VLOOKUP(C84,'Pivot - lag'!$E$4:$F$144,2,0)</f>
        <v>35118791554.82</v>
      </c>
      <c r="F84" s="8">
        <f>VLOOKUP(C84,'Pivot - lag'!$I$4:$J$144,2,0)</f>
        <v>27247840920.879997</v>
      </c>
      <c r="G84" s="8">
        <f>VLOOKUP(C84,'Pivot - lag'!$M$3:$N$144,2,0)</f>
        <v>15517116259.82</v>
      </c>
      <c r="H84" s="8">
        <f>VLOOKUP(C84,'Input-lag'!$K$3:$L$102,2,0)</f>
        <v>18067551518.43</v>
      </c>
      <c r="I84" s="8">
        <f>VLOOKUP(C84,'Input-lag'!temp_8,2,0)</f>
        <v>1691558930.4300001</v>
      </c>
      <c r="K84" s="1">
        <f t="shared" si="9"/>
        <v>41518</v>
      </c>
      <c r="L84" s="7">
        <f t="shared" si="10"/>
        <v>0.55136166086286253</v>
      </c>
      <c r="M84" s="7">
        <f t="shared" si="11"/>
        <v>0.42778849043288125</v>
      </c>
      <c r="N84" s="7">
        <f t="shared" si="12"/>
        <v>0.24361723778169839</v>
      </c>
      <c r="O84" s="7">
        <f t="shared" ref="O84:P102" si="13">H84/$D84</f>
        <v>0.28365882685276123</v>
      </c>
      <c r="P84" s="7">
        <f t="shared" si="13"/>
        <v>2.6557313052000105E-2</v>
      </c>
    </row>
    <row r="85" spans="3:16" x14ac:dyDescent="0.25">
      <c r="C85" s="1">
        <f>'Input-lag'!H85</f>
        <v>41548</v>
      </c>
      <c r="D85" s="8">
        <f>VLOOKUP(C85,'Input-lag'!H$4:$I$102,2,0)</f>
        <v>51117895079.279999</v>
      </c>
      <c r="E85" s="8">
        <f>VLOOKUP(C85,'Pivot - lag'!$E$4:$F$144,2,0)</f>
        <v>28064540906.029999</v>
      </c>
      <c r="F85" s="8">
        <f>VLOOKUP(C85,'Pivot - lag'!$I$4:$J$144,2,0)</f>
        <v>22898763123.93</v>
      </c>
      <c r="G85" s="8">
        <f>VLOOKUP(C85,'Pivot - lag'!$M$3:$N$144,2,0)</f>
        <v>12736272274.200001</v>
      </c>
      <c r="H85" s="8">
        <f>VLOOKUP(C85,'Input-lag'!$K$3:$L$102,2,0)</f>
        <v>14225597347.620001</v>
      </c>
      <c r="I85" s="8">
        <f>VLOOKUP(C85,'Input-lag'!temp_8,2,0)</f>
        <v>1368985059.04</v>
      </c>
      <c r="K85" s="1">
        <f t="shared" si="9"/>
        <v>41548</v>
      </c>
      <c r="L85" s="7">
        <f t="shared" si="10"/>
        <v>0.54901597302674554</v>
      </c>
      <c r="M85" s="7">
        <f t="shared" si="11"/>
        <v>0.44795982088886382</v>
      </c>
      <c r="N85" s="7">
        <f t="shared" si="12"/>
        <v>0.24915486552110575</v>
      </c>
      <c r="O85" s="7">
        <f t="shared" si="13"/>
        <v>0.27828996725231298</v>
      </c>
      <c r="P85" s="7">
        <f t="shared" si="13"/>
        <v>2.6780935657010278E-2</v>
      </c>
    </row>
    <row r="86" spans="3:16" x14ac:dyDescent="0.25">
      <c r="C86" s="1">
        <f>'Input-lag'!H86</f>
        <v>41579</v>
      </c>
      <c r="D86" s="8">
        <f>VLOOKUP(C86,'Input-lag'!H$4:$I$102,2,0)</f>
        <v>45895739831.089996</v>
      </c>
      <c r="E86" s="8">
        <f>VLOOKUP(C86,'Pivot - lag'!$E$4:$F$144,2,0)</f>
        <v>21637776229.040005</v>
      </c>
      <c r="F86" s="8">
        <f>VLOOKUP(C86,'Pivot - lag'!$I$4:$J$144,2,0)</f>
        <v>16433902304.59</v>
      </c>
      <c r="G86" s="8">
        <f>VLOOKUP(C86,'Pivot - lag'!$M$3:$N$144,2,0)</f>
        <v>9023886132.7900009</v>
      </c>
      <c r="H86" s="8">
        <f>VLOOKUP(C86,'Input-lag'!$K$3:$L$102,2,0)</f>
        <v>15678517420.42</v>
      </c>
      <c r="I86" s="8">
        <f>VLOOKUP(C86,'Input-lag'!temp_8,2,0)</f>
        <v>953042554.79999995</v>
      </c>
      <c r="K86" s="1">
        <f t="shared" si="9"/>
        <v>41579</v>
      </c>
      <c r="L86" s="7">
        <f t="shared" si="10"/>
        <v>0.4714550045096445</v>
      </c>
      <c r="M86" s="7">
        <f t="shared" si="11"/>
        <v>0.35807032123398946</v>
      </c>
      <c r="N86" s="7">
        <f t="shared" si="12"/>
        <v>0.19661707526669342</v>
      </c>
      <c r="O86" s="7">
        <f t="shared" si="13"/>
        <v>0.34161160661363382</v>
      </c>
      <c r="P86" s="7">
        <f t="shared" si="13"/>
        <v>2.0765381673930536E-2</v>
      </c>
    </row>
    <row r="87" spans="3:16" x14ac:dyDescent="0.25">
      <c r="C87" s="1">
        <f>'Input-lag'!H87</f>
        <v>41609</v>
      </c>
      <c r="D87" s="8">
        <f>VLOOKUP(C87,'Input-lag'!H$4:$I$102,2,0)</f>
        <v>37273656807.68</v>
      </c>
      <c r="E87" s="8">
        <f>VLOOKUP(C87,'Pivot - lag'!$E$4:$F$144,2,0)</f>
        <v>18895718293.77</v>
      </c>
      <c r="F87" s="8">
        <f>VLOOKUP(C87,'Pivot - lag'!$I$4:$J$144,2,0)</f>
        <v>14912657625.279999</v>
      </c>
      <c r="G87" s="8">
        <f>VLOOKUP(C87,'Pivot - lag'!$M$3:$N$144,2,0)</f>
        <v>7160448808.71</v>
      </c>
      <c r="H87" s="8">
        <f>VLOOKUP(C87,'Input-lag'!$K$3:$L$102,2,0)</f>
        <v>11069607939.91</v>
      </c>
      <c r="I87" s="8">
        <f>VLOOKUP(C87,'Input-lag'!temp_8,2,0)</f>
        <v>889724629.33000004</v>
      </c>
      <c r="K87" s="1">
        <f t="shared" si="9"/>
        <v>41609</v>
      </c>
      <c r="L87" s="7">
        <f t="shared" si="10"/>
        <v>0.50694565309934003</v>
      </c>
      <c r="M87" s="7">
        <f t="shared" si="11"/>
        <v>0.40008571475088917</v>
      </c>
      <c r="N87" s="7">
        <f t="shared" si="12"/>
        <v>0.19210481133245383</v>
      </c>
      <c r="O87" s="7">
        <f t="shared" si="13"/>
        <v>0.29698207495512424</v>
      </c>
      <c r="P87" s="7">
        <f t="shared" si="13"/>
        <v>2.3870065497482339E-2</v>
      </c>
    </row>
    <row r="88" spans="3:16" x14ac:dyDescent="0.25">
      <c r="C88" s="1">
        <f>'Input-lag'!H88</f>
        <v>41640</v>
      </c>
      <c r="D88" s="8">
        <f>VLOOKUP(C88,'Input-lag'!H$4:$I$102,2,0)</f>
        <v>36772692491.720001</v>
      </c>
      <c r="E88" s="8">
        <f>VLOOKUP(C88,'Pivot - lag'!$E$4:$F$144,2,0)</f>
        <v>15713305422.409998</v>
      </c>
      <c r="F88" s="8">
        <f>VLOOKUP(C88,'Pivot - lag'!$I$4:$J$144,2,0)</f>
        <v>12219132557.98</v>
      </c>
      <c r="G88" s="8">
        <f>VLOOKUP(C88,'Pivot - lag'!$M$3:$N$144,2,0)</f>
        <v>5970250118.0100002</v>
      </c>
      <c r="H88" s="8">
        <f>VLOOKUP(C88,'Input-lag'!$K$3:$L$102,2,0)</f>
        <v>15492498245.49</v>
      </c>
      <c r="I88" s="8">
        <f>VLOOKUP(C88,'Input-lag'!temp_8,2,0)</f>
        <v>682224095.88999999</v>
      </c>
      <c r="K88" s="1">
        <f t="shared" si="9"/>
        <v>41640</v>
      </c>
      <c r="L88" s="7">
        <f t="shared" si="10"/>
        <v>0.42730908067034029</v>
      </c>
      <c r="M88" s="7">
        <f t="shared" si="11"/>
        <v>0.33228822068798325</v>
      </c>
      <c r="N88" s="7">
        <f t="shared" si="12"/>
        <v>0.16235553377970091</v>
      </c>
      <c r="O88" s="7">
        <f t="shared" si="13"/>
        <v>0.42130442988308242</v>
      </c>
      <c r="P88" s="7">
        <f t="shared" si="13"/>
        <v>1.855246514906719E-2</v>
      </c>
    </row>
    <row r="89" spans="3:16" x14ac:dyDescent="0.25">
      <c r="C89" s="1">
        <f>'Input-lag'!H89</f>
        <v>41671</v>
      </c>
      <c r="D89" s="8">
        <f>VLOOKUP(C89,'Input-lag'!H$4:$I$102,2,0)</f>
        <v>27279227748.369999</v>
      </c>
      <c r="E89" s="8">
        <f>VLOOKUP(C89,'Pivot - lag'!$E$4:$F$144,2,0)</f>
        <v>11202490056.259998</v>
      </c>
      <c r="F89" s="8">
        <f>VLOOKUP(C89,'Pivot - lag'!$I$4:$J$144,2,0)</f>
        <v>8621087878.6100006</v>
      </c>
      <c r="G89" s="8">
        <f>VLOOKUP(C89,'Pivot - lag'!$M$3:$N$144,2,0)</f>
        <v>2787339203.8600001</v>
      </c>
      <c r="H89" s="8">
        <f>VLOOKUP(C89,'Input-lag'!$K$3:$L$102,2,0)</f>
        <v>10905734407.190001</v>
      </c>
      <c r="I89" s="8">
        <f>VLOOKUP(C89,'Input-lag'!temp_8,2,0)</f>
        <v>656304826.80999994</v>
      </c>
      <c r="K89" s="1">
        <f t="shared" si="9"/>
        <v>41671</v>
      </c>
      <c r="L89" s="7">
        <f t="shared" si="10"/>
        <v>0.41066008757998562</v>
      </c>
      <c r="M89" s="7">
        <f t="shared" si="11"/>
        <v>0.31603122926106775</v>
      </c>
      <c r="N89" s="7">
        <f t="shared" si="12"/>
        <v>0.10217808324968256</v>
      </c>
      <c r="O89" s="7">
        <f t="shared" si="13"/>
        <v>0.3997816400004815</v>
      </c>
      <c r="P89" s="7">
        <f t="shared" si="13"/>
        <v>2.4058775888522569E-2</v>
      </c>
    </row>
    <row r="90" spans="3:16" x14ac:dyDescent="0.25">
      <c r="C90" s="1">
        <f>'Input-lag'!H90</f>
        <v>41699</v>
      </c>
      <c r="D90" s="8">
        <f>VLOOKUP(C90,'Input-lag'!H$4:$I$102,2,0)</f>
        <v>26678236242.540001</v>
      </c>
      <c r="E90" s="8">
        <f>VLOOKUP(C90,'Pivot - lag'!$E$4:$F$144,2,0)</f>
        <v>12807228407.780001</v>
      </c>
      <c r="F90" s="8">
        <f>VLOOKUP(C90,'Pivot - lag'!$I$4:$J$144,2,0)</f>
        <v>10366757211.17</v>
      </c>
      <c r="G90" s="8">
        <f>VLOOKUP(C90,'Pivot - lag'!$M$3:$N$144,2,0)</f>
        <v>3860179857.6700001</v>
      </c>
      <c r="H90" s="8">
        <f>VLOOKUP(C90,'Input-lag'!$K$3:$L$102,2,0)</f>
        <v>9006227464.5200005</v>
      </c>
      <c r="I90" s="8">
        <f>VLOOKUP(C90,'Input-lag'!temp_8,2,0)</f>
        <v>682995391.41999996</v>
      </c>
      <c r="K90" s="1">
        <f t="shared" si="9"/>
        <v>41699</v>
      </c>
      <c r="L90" s="7">
        <f t="shared" si="10"/>
        <v>0.48006278568588912</v>
      </c>
      <c r="M90" s="7">
        <f t="shared" si="11"/>
        <v>0.38858480436722431</v>
      </c>
      <c r="N90" s="7">
        <f t="shared" si="12"/>
        <v>0.14469396786863739</v>
      </c>
      <c r="O90" s="7">
        <f t="shared" si="13"/>
        <v>0.33758706470104072</v>
      </c>
      <c r="P90" s="7">
        <f t="shared" si="13"/>
        <v>2.5601219856165904E-2</v>
      </c>
    </row>
    <row r="91" spans="3:16" x14ac:dyDescent="0.25">
      <c r="C91" s="1">
        <f>'Input-lag'!H91</f>
        <v>41730</v>
      </c>
      <c r="D91" s="8">
        <f>VLOOKUP(C91,'Input-lag'!H$4:$I$102,2,0)</f>
        <v>22770371557.509998</v>
      </c>
      <c r="E91" s="8">
        <f>VLOOKUP(C91,'Pivot - lag'!$E$4:$F$144,2,0)</f>
        <v>9445831116.8299999</v>
      </c>
      <c r="F91" s="8">
        <f>VLOOKUP(C91,'Pivot - lag'!$I$4:$J$144,2,0)</f>
        <v>7480643206.3700008</v>
      </c>
      <c r="G91" s="8">
        <f>VLOOKUP(C91,'Pivot - lag'!$M$3:$N$144,2,0)</f>
        <v>2723269728.27</v>
      </c>
      <c r="H91" s="8">
        <f>VLOOKUP(C91,'Input-lag'!$K$3:$L$102,2,0)</f>
        <v>9228070670.6800003</v>
      </c>
      <c r="I91" s="8">
        <f>VLOOKUP(C91,'Input-lag'!temp_8,2,0)</f>
        <v>539502272.57000005</v>
      </c>
      <c r="K91" s="1">
        <f t="shared" si="9"/>
        <v>41730</v>
      </c>
      <c r="L91" s="7">
        <f t="shared" si="10"/>
        <v>0.41482990705589201</v>
      </c>
      <c r="M91" s="7">
        <f t="shared" si="11"/>
        <v>0.3285253026054718</v>
      </c>
      <c r="N91" s="7">
        <f t="shared" si="12"/>
        <v>0.11959707031534259</v>
      </c>
      <c r="O91" s="7">
        <f t="shared" si="13"/>
        <v>0.40526658282115069</v>
      </c>
      <c r="P91" s="7">
        <f t="shared" si="13"/>
        <v>2.3693169485943869E-2</v>
      </c>
    </row>
    <row r="92" spans="3:16" x14ac:dyDescent="0.25">
      <c r="C92" s="1">
        <f>'Input-lag'!H92</f>
        <v>41760</v>
      </c>
      <c r="D92" s="8">
        <f>VLOOKUP(C92,'Input-lag'!H$4:$I$102,2,0)</f>
        <v>26290450001.990002</v>
      </c>
      <c r="E92" s="8">
        <f>VLOOKUP(C92,'Pivot - lag'!$E$4:$F$144,2,0)</f>
        <v>11658021191.040001</v>
      </c>
      <c r="F92" s="8">
        <f>VLOOKUP(C92,'Pivot - lag'!$I$4:$J$144,2,0)</f>
        <v>8875534568.9399986</v>
      </c>
      <c r="G92" s="8">
        <f>VLOOKUP(C92,'Pivot - lag'!$M$3:$N$144,2,0)</f>
        <v>3201052079.1599998</v>
      </c>
      <c r="H92" s="8">
        <f>VLOOKUP(C92,'Input-lag'!$K$3:$L$102,2,0)</f>
        <v>9943731080.6599998</v>
      </c>
      <c r="I92" s="8">
        <f>VLOOKUP(C92,'Input-lag'!temp_8,2,0)</f>
        <v>784392049.47000003</v>
      </c>
      <c r="K92" s="1">
        <f t="shared" si="9"/>
        <v>41760</v>
      </c>
      <c r="L92" s="7">
        <f t="shared" si="10"/>
        <v>0.44343178569243091</v>
      </c>
      <c r="M92" s="7">
        <f t="shared" si="11"/>
        <v>0.33759538418962715</v>
      </c>
      <c r="N92" s="7">
        <f t="shared" si="12"/>
        <v>0.12175721902507194</v>
      </c>
      <c r="O92" s="7">
        <f t="shared" si="13"/>
        <v>0.37822597482764003</v>
      </c>
      <c r="P92" s="7">
        <f t="shared" si="13"/>
        <v>2.9835626602459336E-2</v>
      </c>
    </row>
    <row r="93" spans="3:16" x14ac:dyDescent="0.25">
      <c r="C93" s="1">
        <f>'Input-lag'!H93</f>
        <v>41791</v>
      </c>
      <c r="D93" s="8">
        <f>VLOOKUP(C93,'Input-lag'!H$4:$I$102,2,0)</f>
        <v>26795968721.740002</v>
      </c>
      <c r="E93" s="8">
        <f>VLOOKUP(C93,'Pivot - lag'!$E$4:$F$144,2,0)</f>
        <v>10101047864.390001</v>
      </c>
      <c r="F93" s="8">
        <f>VLOOKUP(C93,'Pivot - lag'!$I$4:$J$144,2,0)</f>
        <v>7276873928.4300003</v>
      </c>
      <c r="G93" s="8">
        <f>VLOOKUP(C93,'Pivot - lag'!$M$3:$N$144,2,0)</f>
        <v>3493812279.3000002</v>
      </c>
      <c r="H93" s="8">
        <f>VLOOKUP(C93,'Input-lag'!$K$3:$L$102,2,0)</f>
        <v>11280710955.59</v>
      </c>
      <c r="I93" s="8">
        <f>VLOOKUP(C93,'Input-lag'!temp_8,2,0)</f>
        <v>795592961.65999997</v>
      </c>
      <c r="K93" s="1">
        <f t="shared" si="9"/>
        <v>41791</v>
      </c>
      <c r="L93" s="7">
        <f t="shared" si="10"/>
        <v>0.37696147391733809</v>
      </c>
      <c r="M93" s="7">
        <f t="shared" si="11"/>
        <v>0.27156599576585394</v>
      </c>
      <c r="N93" s="7">
        <f t="shared" si="12"/>
        <v>0.13038574255632018</v>
      </c>
      <c r="O93" s="7">
        <f t="shared" si="13"/>
        <v>0.42098537555157606</v>
      </c>
      <c r="P93" s="7">
        <f t="shared" si="13"/>
        <v>2.9690770649934466E-2</v>
      </c>
    </row>
    <row r="94" spans="3:16" x14ac:dyDescent="0.25">
      <c r="C94" s="1">
        <f>'Input-lag'!H94</f>
        <v>41821</v>
      </c>
      <c r="D94" s="8">
        <f>VLOOKUP(C94,'Input-lag'!H$4:$I$102,2,0)</f>
        <v>30892195848.830002</v>
      </c>
      <c r="E94" s="8">
        <f>VLOOKUP(C94,'Pivot - lag'!$E$4:$F$144,2,0)</f>
        <v>12260098921.190001</v>
      </c>
      <c r="F94" s="8">
        <f>VLOOKUP(C94,'Pivot - lag'!$I$4:$J$144,2,0)</f>
        <v>9468857132.3899994</v>
      </c>
      <c r="G94" s="8">
        <f>VLOOKUP(C94,'Pivot - lag'!$M$3:$N$144,2,0)</f>
        <v>3922236463.21</v>
      </c>
      <c r="H94" s="8">
        <f>VLOOKUP(C94,'Input-lag'!$K$3:$L$102,2,0)</f>
        <v>12840798608.01</v>
      </c>
      <c r="I94" s="8">
        <f>VLOOKUP(C94,'Input-lag'!temp_8,2,0)</f>
        <v>714415679.88</v>
      </c>
      <c r="K94" s="1">
        <f t="shared" si="9"/>
        <v>41821</v>
      </c>
      <c r="L94" s="7">
        <f t="shared" si="10"/>
        <v>0.39686718876134325</v>
      </c>
      <c r="M94" s="7">
        <f t="shared" si="11"/>
        <v>0.30651291927338403</v>
      </c>
      <c r="N94" s="7">
        <f t="shared" si="12"/>
        <v>0.12696528542041305</v>
      </c>
      <c r="O94" s="7">
        <f t="shared" si="13"/>
        <v>0.41566480643998399</v>
      </c>
      <c r="P94" s="7">
        <f t="shared" si="13"/>
        <v>2.3126089300222325E-2</v>
      </c>
    </row>
    <row r="95" spans="3:16" x14ac:dyDescent="0.25">
      <c r="C95" s="1">
        <f>'Input-lag'!H95</f>
        <v>41852</v>
      </c>
      <c r="D95" s="8">
        <f>VLOOKUP(C95,'Input-lag'!H$4:$I$102,2,0)</f>
        <v>35541456256.889999</v>
      </c>
      <c r="E95" s="8">
        <f>VLOOKUP(C95,'Pivot - lag'!$E$4:$F$144,2,0)</f>
        <v>13393116719.58</v>
      </c>
      <c r="F95" s="8">
        <f>VLOOKUP(C95,'Pivot - lag'!$I$4:$J$144,2,0)</f>
        <v>10030900283.66</v>
      </c>
      <c r="G95" s="8">
        <f>VLOOKUP(C95,'Pivot - lag'!$M$3:$N$144,2,0)</f>
        <v>4211266060.8699999</v>
      </c>
      <c r="H95" s="8">
        <f>VLOOKUP(C95,'Input-lag'!$K$3:$L$102,2,0)</f>
        <v>15576559728.469999</v>
      </c>
      <c r="I95" s="8">
        <f>VLOOKUP(C95,'Input-lag'!temp_8,2,0)</f>
        <v>766180521.16999996</v>
      </c>
      <c r="K95" s="1">
        <f t="shared" si="9"/>
        <v>41852</v>
      </c>
      <c r="L95" s="7">
        <f t="shared" si="10"/>
        <v>0.37683083728409794</v>
      </c>
      <c r="M95" s="7">
        <f t="shared" si="11"/>
        <v>0.28223098713675887</v>
      </c>
      <c r="N95" s="7">
        <f t="shared" si="12"/>
        <v>0.11848884385691461</v>
      </c>
      <c r="O95" s="7">
        <f t="shared" si="13"/>
        <v>0.43826453299730389</v>
      </c>
      <c r="P95" s="7">
        <f t="shared" si="13"/>
        <v>2.1557375579439562E-2</v>
      </c>
    </row>
    <row r="96" spans="3:16" x14ac:dyDescent="0.25">
      <c r="C96" s="1">
        <f>'Input-lag'!H96</f>
        <v>41883</v>
      </c>
      <c r="D96" s="8">
        <f>VLOOKUP(C96,'Input-lag'!H$4:$I$102,2,0)</f>
        <v>33356083132.919998</v>
      </c>
      <c r="E96" s="8">
        <f>VLOOKUP(C96,'Pivot - lag'!$E$4:$F$144,2,0)</f>
        <v>13038351452.110003</v>
      </c>
      <c r="F96" s="8">
        <f>VLOOKUP(C96,'Pivot - lag'!$I$4:$J$144,2,0)</f>
        <v>10020949088.049999</v>
      </c>
      <c r="G96" s="8">
        <f>VLOOKUP(C96,'Pivot - lag'!$M$3:$N$144,2,0)</f>
        <v>4257244054.8600001</v>
      </c>
      <c r="H96" s="8">
        <f>VLOOKUP(C96,'Input-lag'!$K$3:$L$102,2,0)</f>
        <v>14087004899.709999</v>
      </c>
      <c r="I96" s="8">
        <f>VLOOKUP(C96,'Input-lag'!temp_8,2,0)</f>
        <v>693663556.71000004</v>
      </c>
      <c r="K96" s="1">
        <f t="shared" si="9"/>
        <v>41883</v>
      </c>
      <c r="L96" s="7">
        <f t="shared" si="10"/>
        <v>0.39088376774196576</v>
      </c>
      <c r="M96" s="7">
        <f t="shared" si="11"/>
        <v>0.30042343545306915</v>
      </c>
      <c r="N96" s="7">
        <f t="shared" si="12"/>
        <v>0.12763021479156866</v>
      </c>
      <c r="O96" s="7">
        <f t="shared" si="13"/>
        <v>0.42232191482360115</v>
      </c>
      <c r="P96" s="7">
        <f t="shared" si="13"/>
        <v>2.0795713751696619E-2</v>
      </c>
    </row>
    <row r="97" spans="3:16" x14ac:dyDescent="0.25">
      <c r="C97" s="1">
        <f>'Input-lag'!H97</f>
        <v>41913</v>
      </c>
      <c r="D97" s="8">
        <f>VLOOKUP(C97,'Input-lag'!H$4:$I$102,2,0)</f>
        <v>39426526391.220001</v>
      </c>
      <c r="E97" s="8">
        <f>VLOOKUP(C97,'Pivot - lag'!$E$4:$F$144,2,0)</f>
        <v>19365462678.16</v>
      </c>
      <c r="F97" s="8">
        <f>VLOOKUP(C97,'Pivot - lag'!$I$4:$J$144,2,0)</f>
        <v>14710744669.390001</v>
      </c>
      <c r="G97" s="8">
        <f>VLOOKUP(C97,'Pivot - lag'!$M$3:$N$144,2,0)</f>
        <v>3899112245.7399998</v>
      </c>
      <c r="H97" s="8">
        <f>VLOOKUP(C97,'Input-lag'!$K$3:$L$102,2,0)</f>
        <v>13119687804.309999</v>
      </c>
      <c r="I97" s="8">
        <f>VLOOKUP(C97,'Input-lag'!temp_8,2,0)</f>
        <v>757494824.39999998</v>
      </c>
      <c r="K97" s="1">
        <f t="shared" si="9"/>
        <v>41913</v>
      </c>
      <c r="L97" s="7">
        <f t="shared" si="10"/>
        <v>0.49117851484051983</v>
      </c>
      <c r="M97" s="7">
        <f t="shared" si="11"/>
        <v>0.37311794915481006</v>
      </c>
      <c r="N97" s="7">
        <f t="shared" si="12"/>
        <v>9.889565738178506E-2</v>
      </c>
      <c r="O97" s="7">
        <f t="shared" si="13"/>
        <v>0.33276296456163729</v>
      </c>
      <c r="P97" s="7">
        <f t="shared" si="13"/>
        <v>1.9212821765822324E-2</v>
      </c>
    </row>
    <row r="98" spans="3:16" x14ac:dyDescent="0.25">
      <c r="C98" s="1">
        <f>'Input-lag'!H98</f>
        <v>41944</v>
      </c>
      <c r="D98" s="8">
        <f>VLOOKUP(C98,'Input-lag'!H$4:$I$102,2,0)</f>
        <v>38810259856.690002</v>
      </c>
      <c r="E98" s="8">
        <f>VLOOKUP(C98,'Pivot - lag'!$E$4:$F$144,2,0)</f>
        <v>14716925675.34</v>
      </c>
      <c r="F98" s="8">
        <f>VLOOKUP(C98,'Pivot - lag'!$I$4:$J$144,2,0)</f>
        <v>11245780454.17</v>
      </c>
      <c r="G98" s="8">
        <f>VLOOKUP(C98,'Pivot - lag'!$M$3:$N$144,2,0)</f>
        <v>3926294145.04</v>
      </c>
      <c r="H98" s="8">
        <f>VLOOKUP(C98,'Input-lag'!$K$3:$L$102,2,0)</f>
        <v>17933393094.610001</v>
      </c>
      <c r="I98" s="8">
        <f>VLOOKUP(C98,'Input-lag'!temp_8,2,0)</f>
        <v>755662317.37</v>
      </c>
      <c r="K98" s="1">
        <f t="shared" si="9"/>
        <v>41944</v>
      </c>
      <c r="L98" s="7">
        <f t="shared" si="10"/>
        <v>0.37920193602628349</v>
      </c>
      <c r="M98" s="7">
        <f t="shared" si="11"/>
        <v>0.28976308057961853</v>
      </c>
      <c r="N98" s="7">
        <f t="shared" si="12"/>
        <v>0.10116639670896706</v>
      </c>
      <c r="O98" s="7">
        <f t="shared" si="13"/>
        <v>0.46207866581750529</v>
      </c>
      <c r="P98" s="7">
        <f t="shared" si="13"/>
        <v>1.9470684302561842E-2</v>
      </c>
    </row>
    <row r="99" spans="3:16" x14ac:dyDescent="0.25">
      <c r="C99" s="1">
        <f>'Input-lag'!H99</f>
        <v>41974</v>
      </c>
      <c r="D99" s="8">
        <f>VLOOKUP(C99,'Input-lag'!H$4:$I$102,2,0)</f>
        <v>31524018987.950001</v>
      </c>
      <c r="E99" s="8">
        <f>VLOOKUP(C99,'Pivot - lag'!$E$4:$F$144,2,0)</f>
        <v>18525436829.699997</v>
      </c>
      <c r="F99" s="8">
        <f>VLOOKUP(C99,'Pivot - lag'!$I$4:$J$144,2,0)</f>
        <v>14945343134.59</v>
      </c>
      <c r="G99" s="8">
        <f>VLOOKUP(C99,'Pivot - lag'!$M$3:$N$144,2,0)</f>
        <v>4060384889.1599998</v>
      </c>
      <c r="H99" s="8">
        <f>VLOOKUP(C99,'Input-lag'!$K$3:$L$102,2,0)</f>
        <v>6826393495</v>
      </c>
      <c r="I99" s="8">
        <f>VLOOKUP(C99,'Input-lag'!temp_8,2,0)</f>
        <v>784810724.87</v>
      </c>
      <c r="K99" s="1">
        <f t="shared" si="9"/>
        <v>41974</v>
      </c>
      <c r="L99" s="7">
        <f t="shared" si="10"/>
        <v>0.58766100974565816</v>
      </c>
      <c r="M99" s="7">
        <f t="shared" si="11"/>
        <v>0.47409383747366829</v>
      </c>
      <c r="N99" s="7">
        <f t="shared" si="12"/>
        <v>0.12880289441241849</v>
      </c>
      <c r="O99" s="7">
        <f t="shared" si="13"/>
        <v>0.21654578680495581</v>
      </c>
      <c r="P99" s="7">
        <f t="shared" si="13"/>
        <v>2.4895643070447091E-2</v>
      </c>
    </row>
    <row r="100" spans="3:16" x14ac:dyDescent="0.25">
      <c r="C100" s="1">
        <f>'Input-lag'!H100</f>
        <v>42005</v>
      </c>
      <c r="D100" s="8">
        <f>VLOOKUP(C100,'Input-lag'!H$4:$I$102,2,0)</f>
        <v>43458210964.160004</v>
      </c>
      <c r="E100" s="8">
        <f>VLOOKUP(C100,'Pivot - lag'!$E$4:$F$144,2,0)</f>
        <v>14235878976.370001</v>
      </c>
      <c r="F100" s="8">
        <f>VLOOKUP(C100,'Pivot - lag'!$I$4:$J$144,2,0)</f>
        <v>10632578652.470001</v>
      </c>
      <c r="G100" s="8">
        <f>VLOOKUP(C100,'Pivot - lag'!$M$3:$N$144,2,0)</f>
        <v>3507360281.3800001</v>
      </c>
      <c r="H100" s="8">
        <f>VLOOKUP(C100,'Input-lag'!$K$3:$L$102,2,0)</f>
        <v>22766112030.75</v>
      </c>
      <c r="I100" s="8">
        <f>VLOOKUP(C100,'Input-lag'!temp_8,2,0)</f>
        <v>993991215.26999998</v>
      </c>
      <c r="K100" s="1">
        <f t="shared" si="9"/>
        <v>42005</v>
      </c>
      <c r="L100" s="7">
        <f t="shared" si="10"/>
        <v>0.32757627754419832</v>
      </c>
      <c r="M100" s="7">
        <f t="shared" si="11"/>
        <v>0.24466213441779025</v>
      </c>
      <c r="N100" s="7">
        <f t="shared" si="12"/>
        <v>8.0706504100514415E-2</v>
      </c>
      <c r="O100" s="7">
        <f t="shared" si="13"/>
        <v>0.52386215460008734</v>
      </c>
      <c r="P100" s="7">
        <f t="shared" si="13"/>
        <v>2.2872345483566838E-2</v>
      </c>
    </row>
    <row r="101" spans="3:16" x14ac:dyDescent="0.25">
      <c r="C101" s="1">
        <f>'Input-lag'!H101</f>
        <v>42036</v>
      </c>
      <c r="D101" s="8">
        <f>VLOOKUP(C101,'Input-lag'!H$4:$I$102,2,0)</f>
        <v>35989324161.910004</v>
      </c>
      <c r="E101" s="8">
        <f>VLOOKUP(C101,'Pivot - lag'!$E$4:$F$144,2,0)</f>
        <v>15896294717.43</v>
      </c>
      <c r="F101" s="8">
        <f>VLOOKUP(C101,'Pivot - lag'!$I$4:$J$144,2,0)</f>
        <v>12524626705.59</v>
      </c>
      <c r="G101" s="8">
        <f>VLOOKUP(C101,'Pivot - lag'!$M$3:$N$144,2,0)</f>
        <v>5302574418.9099998</v>
      </c>
      <c r="H101" s="8">
        <f>VLOOKUP(C101,'Input-lag'!$K$3:$L$102,2,0)</f>
        <v>13043428717.370001</v>
      </c>
      <c r="I101" s="8">
        <f>VLOOKUP(C101,'Input-lag'!temp_8,2,0)</f>
        <v>923852995.29999995</v>
      </c>
      <c r="K101" s="1">
        <f t="shared" si="9"/>
        <v>42036</v>
      </c>
      <c r="L101" s="7">
        <f t="shared" si="10"/>
        <v>0.44169472718951891</v>
      </c>
      <c r="M101" s="7">
        <f t="shared" si="11"/>
        <v>0.34800949996292735</v>
      </c>
      <c r="N101" s="7">
        <f t="shared" si="12"/>
        <v>0.14733742692845792</v>
      </c>
      <c r="O101" s="7">
        <f t="shared" si="13"/>
        <v>0.36242494187136653</v>
      </c>
      <c r="P101" s="7">
        <f t="shared" si="13"/>
        <v>2.5670195726480955E-2</v>
      </c>
    </row>
    <row r="102" spans="3:16" x14ac:dyDescent="0.25">
      <c r="C102" s="1">
        <f>'Input-lag'!H102</f>
        <v>42064</v>
      </c>
      <c r="D102" s="8">
        <f>VLOOKUP(C102,'Input-lag'!H$4:$I$102,2,0)</f>
        <v>35738947030.139999</v>
      </c>
      <c r="E102" s="8">
        <f>VLOOKUP(C102,'Pivot - lag'!$E$4:$F$144,2,0)</f>
        <v>14377805495.529999</v>
      </c>
      <c r="F102" s="8">
        <f>VLOOKUP(C102,'Pivot - lag'!$I$4:$J$144,2,0)</f>
        <v>10989454105.67</v>
      </c>
      <c r="G102" s="8">
        <f>VLOOKUP(C102,'Pivot - lag'!$M$3:$N$144,2,0)</f>
        <v>4795370179.5500002</v>
      </c>
      <c r="H102" s="8">
        <f>VLOOKUP(C102,'Input-lag'!$K$3:$L$102,2,0)</f>
        <v>14718339614.48</v>
      </c>
      <c r="I102" s="8">
        <f>VLOOKUP(C102,'Input-lag'!temp_8,2,0)</f>
        <v>986969341.98000002</v>
      </c>
      <c r="K102" s="1">
        <f t="shared" si="9"/>
        <v>42064</v>
      </c>
      <c r="L102" s="7">
        <f t="shared" si="10"/>
        <v>0.40230075842482582</v>
      </c>
      <c r="M102" s="7">
        <f t="shared" si="11"/>
        <v>0.30749238628665193</v>
      </c>
      <c r="N102" s="7">
        <f t="shared" si="12"/>
        <v>0.13417771305645587</v>
      </c>
      <c r="O102" s="7">
        <f t="shared" si="13"/>
        <v>0.41182913425142237</v>
      </c>
      <c r="P102" s="7">
        <f t="shared" si="13"/>
        <v>2.7616072212414418E-2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02"/>
  <sheetViews>
    <sheetView topLeftCell="F16" workbookViewId="0">
      <selection activeCell="R43" sqref="R43"/>
    </sheetView>
  </sheetViews>
  <sheetFormatPr defaultRowHeight="15" x14ac:dyDescent="0.25"/>
  <cols>
    <col min="2" max="2" width="16.28515625" bestFit="1" customWidth="1"/>
    <col min="3" max="3" width="14.7109375" customWidth="1"/>
    <col min="4" max="4" width="16.85546875" style="6" customWidth="1"/>
    <col min="5" max="9" width="16.85546875" customWidth="1"/>
    <col min="11" max="11" width="9.7109375" bestFit="1" customWidth="1"/>
  </cols>
  <sheetData>
    <row r="3" spans="3:16" x14ac:dyDescent="0.25">
      <c r="D3" s="9" t="s">
        <v>85</v>
      </c>
      <c r="E3" s="10" t="s">
        <v>90</v>
      </c>
      <c r="F3" s="10" t="s">
        <v>91</v>
      </c>
      <c r="G3" s="10" t="s">
        <v>92</v>
      </c>
      <c r="H3" s="10" t="s">
        <v>93</v>
      </c>
      <c r="I3" s="10" t="s">
        <v>94</v>
      </c>
      <c r="J3" s="10"/>
      <c r="K3" s="10"/>
      <c r="L3" s="10" t="s">
        <v>90</v>
      </c>
      <c r="M3" s="10" t="s">
        <v>91</v>
      </c>
      <c r="N3" s="10" t="s">
        <v>92</v>
      </c>
      <c r="O3" s="10" t="s">
        <v>93</v>
      </c>
      <c r="P3" s="10" t="s">
        <v>94</v>
      </c>
    </row>
    <row r="4" spans="3:16" x14ac:dyDescent="0.25">
      <c r="C4" s="1">
        <f>'Input-equal'!H4</f>
        <v>39083</v>
      </c>
      <c r="D4" s="8">
        <f>VLOOKUP(C4,'Input-equal'!temp,2,0)</f>
        <v>49068464062.099998</v>
      </c>
      <c r="E4" s="8">
        <f>VLOOKUP(C4,'Pivot-equal'!$C$4:$D$122,2,0)</f>
        <v>30025183870.150002</v>
      </c>
      <c r="F4" s="8">
        <f>VLOOKUP(C4,'Pivot-equal'!$G$3:$H$121,2,0)</f>
        <v>24746998505.490002</v>
      </c>
      <c r="G4" s="8">
        <f>VLOOKUP(C4,'Pivot-equal'!$K$3:$L$122,2,0)</f>
        <v>9008075393</v>
      </c>
      <c r="H4" s="8">
        <f>VLOOKUP(C4,'Input-equal'!temp_11,2,0)</f>
        <v>12755199686.66</v>
      </c>
      <c r="I4" s="8">
        <f>VLOOKUP(C4,'Input-equal'!$N$4:$O$101,2,0)</f>
        <v>804992277.03999996</v>
      </c>
      <c r="K4" s="1">
        <f>C4</f>
        <v>39083</v>
      </c>
      <c r="L4" s="7">
        <f>E4/$D4</f>
        <v>0.61190388662157369</v>
      </c>
      <c r="M4" s="7">
        <f>F4/$D4</f>
        <v>0.50433611441700577</v>
      </c>
      <c r="N4" s="7">
        <f>G4/$D4</f>
        <v>0.18358176815152746</v>
      </c>
      <c r="O4" s="7">
        <f>H4/$D4</f>
        <v>0.25994699305275365</v>
      </c>
      <c r="P4" s="7">
        <f t="shared" ref="O4:P19" si="0">I4/$D4</f>
        <v>1.6405491641662533E-2</v>
      </c>
    </row>
    <row r="5" spans="3:16" x14ac:dyDescent="0.25">
      <c r="C5" s="1">
        <f>'Input-equal'!H5</f>
        <v>39114</v>
      </c>
      <c r="D5" s="8">
        <f>VLOOKUP(C5,'Input-equal'!temp,2,0)</f>
        <v>46067240921.730003</v>
      </c>
      <c r="E5" s="8">
        <f>VLOOKUP(C5,'Pivot-equal'!$C$4:$D$122,2,0)</f>
        <v>30108179192.459999</v>
      </c>
      <c r="F5" s="8">
        <f>VLOOKUP(C5,'Pivot-equal'!$G$3:$H$121,2,0)</f>
        <v>23003134874.119999</v>
      </c>
      <c r="G5" s="8">
        <f>VLOOKUP(C5,'Pivot-equal'!$K$3:$L$122,2,0)</f>
        <v>8625817045</v>
      </c>
      <c r="H5" s="8">
        <f>VLOOKUP(C5,'Input-equal'!temp_11,2,0)</f>
        <v>10090446420</v>
      </c>
      <c r="I5" s="8">
        <f>VLOOKUP(C5,'Input-equal'!$N$4:$O$101,2,0)</f>
        <v>767266555.07000005</v>
      </c>
      <c r="K5" s="1">
        <f t="shared" ref="K5:K68" si="1">C5</f>
        <v>39114</v>
      </c>
      <c r="L5" s="7">
        <f t="shared" ref="L5:L36" si="2">E5/$D5</f>
        <v>0.65357027228122788</v>
      </c>
      <c r="M5" s="7">
        <f t="shared" ref="M5:M36" si="3">F5/$D5</f>
        <v>0.49933823719122233</v>
      </c>
      <c r="N5" s="7">
        <f t="shared" ref="N5:N36" si="4">G5/$D5</f>
        <v>0.18724405613211331</v>
      </c>
      <c r="O5" s="7">
        <f t="shared" si="0"/>
        <v>0.21903735101357716</v>
      </c>
      <c r="P5" s="7">
        <f t="shared" si="0"/>
        <v>1.665536159140972E-2</v>
      </c>
    </row>
    <row r="6" spans="3:16" x14ac:dyDescent="0.25">
      <c r="C6" s="1">
        <f>'Input-equal'!H6</f>
        <v>39142</v>
      </c>
      <c r="D6" s="8">
        <f>VLOOKUP(C6,'Input-equal'!temp,2,0)</f>
        <v>47629783273.940002</v>
      </c>
      <c r="E6" s="8">
        <f>VLOOKUP(C6,'Pivot-equal'!$C$4:$D$122,2,0)</f>
        <v>28183297166.309998</v>
      </c>
      <c r="F6" s="8">
        <f>VLOOKUP(C6,'Pivot-equal'!$G$3:$H$121,2,0)</f>
        <v>21409133997.16</v>
      </c>
      <c r="G6" s="8">
        <f>VLOOKUP(C6,'Pivot-equal'!$K$3:$L$122,2,0)</f>
        <v>7241357422</v>
      </c>
      <c r="H6" s="8">
        <f>VLOOKUP(C6,'Input-equal'!temp_11,2,0)</f>
        <v>14264823452.200001</v>
      </c>
      <c r="I6" s="8">
        <f>VLOOKUP(C6,'Input-equal'!$N$4:$O$101,2,0)</f>
        <v>764154396.39999998</v>
      </c>
      <c r="K6" s="1">
        <f t="shared" si="1"/>
        <v>39142</v>
      </c>
      <c r="L6" s="7">
        <f t="shared" si="2"/>
        <v>0.59171583889465462</v>
      </c>
      <c r="M6" s="7">
        <f t="shared" si="3"/>
        <v>0.44949047687298044</v>
      </c>
      <c r="N6" s="7">
        <f t="shared" si="4"/>
        <v>0.15203422993448748</v>
      </c>
      <c r="O6" s="7">
        <f t="shared" si="0"/>
        <v>0.29949377199884947</v>
      </c>
      <c r="P6" s="7">
        <f t="shared" si="0"/>
        <v>1.6043625309084639E-2</v>
      </c>
    </row>
    <row r="7" spans="3:16" x14ac:dyDescent="0.25">
      <c r="C7" s="1">
        <f>'Input-equal'!H7</f>
        <v>39173</v>
      </c>
      <c r="D7" s="8">
        <f>VLOOKUP(C7,'Input-equal'!temp,2,0)</f>
        <v>51130390876.290001</v>
      </c>
      <c r="E7" s="8">
        <f>VLOOKUP(C7,'Pivot-equal'!$C$4:$D$122,2,0)</f>
        <v>31533331514.700001</v>
      </c>
      <c r="F7" s="8">
        <f>VLOOKUP(C7,'Pivot-equal'!$G$3:$H$121,2,0)</f>
        <v>25337640295.240002</v>
      </c>
      <c r="G7" s="8">
        <f>VLOOKUP(C7,'Pivot-equal'!$K$3:$L$122,2,0)</f>
        <v>8435795278.75</v>
      </c>
      <c r="H7" s="8">
        <f>VLOOKUP(C7,'Input-equal'!temp_11,2,0)</f>
        <v>11172945973</v>
      </c>
      <c r="I7" s="8">
        <f>VLOOKUP(C7,'Input-equal'!$N$4:$O$101,2,0)</f>
        <v>1297352386.8</v>
      </c>
      <c r="K7" s="1">
        <f t="shared" si="1"/>
        <v>39173</v>
      </c>
      <c r="L7" s="7">
        <f t="shared" si="2"/>
        <v>0.61672385002874142</v>
      </c>
      <c r="M7" s="7">
        <f t="shared" si="3"/>
        <v>0.49554951294122573</v>
      </c>
      <c r="N7" s="7">
        <f t="shared" si="4"/>
        <v>0.16498593369177267</v>
      </c>
      <c r="O7" s="7">
        <f t="shared" si="0"/>
        <v>0.21851868881724271</v>
      </c>
      <c r="P7" s="7">
        <f t="shared" si="0"/>
        <v>2.5373410305799236E-2</v>
      </c>
    </row>
    <row r="8" spans="3:16" x14ac:dyDescent="0.25">
      <c r="C8" s="1">
        <f>'Input-equal'!H8</f>
        <v>39203</v>
      </c>
      <c r="D8" s="8">
        <f>VLOOKUP(C8,'Input-equal'!temp,2,0)</f>
        <v>58241869995.239998</v>
      </c>
      <c r="E8" s="8">
        <f>VLOOKUP(C8,'Pivot-equal'!$C$4:$D$122,2,0)</f>
        <v>36317976637.439995</v>
      </c>
      <c r="F8" s="8">
        <f>VLOOKUP(C8,'Pivot-equal'!$G$3:$H$121,2,0)</f>
        <v>27080727971.889999</v>
      </c>
      <c r="G8" s="8">
        <f>VLOOKUP(C8,'Pivot-equal'!$K$3:$L$122,2,0)</f>
        <v>8757031646.7099991</v>
      </c>
      <c r="H8" s="8">
        <f>VLOOKUP(C8,'Input-equal'!temp_11,2,0)</f>
        <v>13735083658</v>
      </c>
      <c r="I8" s="8">
        <f>VLOOKUP(C8,'Input-equal'!$N$4:$O$101,2,0)</f>
        <v>1198412583.6700001</v>
      </c>
      <c r="K8" s="1">
        <f t="shared" si="1"/>
        <v>39203</v>
      </c>
      <c r="L8" s="7">
        <f t="shared" si="2"/>
        <v>0.62357160991582516</v>
      </c>
      <c r="M8" s="7">
        <f t="shared" si="3"/>
        <v>0.46497009752783108</v>
      </c>
      <c r="N8" s="7">
        <f t="shared" si="4"/>
        <v>0.1503562926023099</v>
      </c>
      <c r="O8" s="7">
        <f t="shared" si="0"/>
        <v>0.23582834237847347</v>
      </c>
      <c r="P8" s="7">
        <f t="shared" si="0"/>
        <v>2.0576478464169233E-2</v>
      </c>
    </row>
    <row r="9" spans="3:16" x14ac:dyDescent="0.25">
      <c r="C9" s="1">
        <f>'Input-equal'!H9</f>
        <v>39234</v>
      </c>
      <c r="D9" s="8">
        <f>VLOOKUP(C9,'Input-equal'!temp,2,0)</f>
        <v>50433013414.199997</v>
      </c>
      <c r="E9" s="8">
        <f>VLOOKUP(C9,'Pivot-equal'!$C$4:$D$122,2,0)</f>
        <v>2020858084.21</v>
      </c>
      <c r="F9" s="8">
        <f>VLOOKUP(C9,'Pivot-equal'!$G$3:$H$121,2,0)</f>
        <v>1640096016</v>
      </c>
      <c r="G9" s="8">
        <f>VLOOKUP(C9,'Pivot-equal'!$K$3:$L$122,2,0)</f>
        <v>529500000</v>
      </c>
      <c r="H9" s="8">
        <f>VLOOKUP(C9,'Input-equal'!temp_11,2,0)</f>
        <v>48262039856</v>
      </c>
      <c r="I9" s="8" t="e">
        <f>VLOOKUP(C9,'Input-equal'!$N$4:$O$101,2,0)</f>
        <v>#N/A</v>
      </c>
      <c r="K9" s="1">
        <f t="shared" si="1"/>
        <v>39234</v>
      </c>
      <c r="L9" s="7">
        <f t="shared" si="2"/>
        <v>4.0070143491386219E-2</v>
      </c>
      <c r="M9" s="7">
        <f t="shared" si="3"/>
        <v>3.2520285919266763E-2</v>
      </c>
      <c r="N9" s="7">
        <f t="shared" si="4"/>
        <v>1.0499075192102504E-2</v>
      </c>
      <c r="O9" s="11">
        <f t="shared" si="0"/>
        <v>0.95695332459375237</v>
      </c>
      <c r="P9" s="11" t="e">
        <f t="shared" si="0"/>
        <v>#N/A</v>
      </c>
    </row>
    <row r="10" spans="3:16" x14ac:dyDescent="0.25">
      <c r="C10" s="1">
        <f>'Input-equal'!H10</f>
        <v>39264</v>
      </c>
      <c r="D10" s="8">
        <f>VLOOKUP(C10,'Input-equal'!temp,2,0)</f>
        <v>53229367946.120003</v>
      </c>
      <c r="E10" s="8">
        <f>VLOOKUP(C10,'Pivot-equal'!$C$4:$D$122,2,0)</f>
        <v>1914214423.7099998</v>
      </c>
      <c r="F10" s="8">
        <f>VLOOKUP(C10,'Pivot-equal'!$G$3:$H$121,2,0)</f>
        <v>1345164055.6900001</v>
      </c>
      <c r="G10" s="8">
        <f>VLOOKUP(C10,'Pivot-equal'!$K$3:$L$122,2,0)</f>
        <v>587402404.38</v>
      </c>
      <c r="H10" s="8">
        <f>VLOOKUP(C10,'Input-equal'!temp_11,2,0)</f>
        <v>49227506796</v>
      </c>
      <c r="I10" s="8">
        <f>VLOOKUP(C10,'Input-equal'!$N$4:$O$101,2,0)</f>
        <v>1344853100.0699999</v>
      </c>
      <c r="K10" s="1">
        <f t="shared" si="1"/>
        <v>39264</v>
      </c>
      <c r="L10" s="7">
        <f t="shared" si="2"/>
        <v>3.5961622269263312E-2</v>
      </c>
      <c r="M10" s="7">
        <f t="shared" si="3"/>
        <v>2.5271088265628218E-2</v>
      </c>
      <c r="N10" s="7">
        <f t="shared" si="4"/>
        <v>1.1035306768522638E-2</v>
      </c>
      <c r="O10" s="11">
        <f t="shared" si="0"/>
        <v>0.92481854839661481</v>
      </c>
      <c r="P10" s="11">
        <f t="shared" si="0"/>
        <v>2.5265246460023559E-2</v>
      </c>
    </row>
    <row r="11" spans="3:16" x14ac:dyDescent="0.25">
      <c r="C11" s="1">
        <f>'Input-equal'!H11</f>
        <v>39295</v>
      </c>
      <c r="D11" s="8">
        <f>VLOOKUP(C11,'Input-equal'!temp,2,0)</f>
        <v>55852222730.150002</v>
      </c>
      <c r="E11" s="8">
        <f>VLOOKUP(C11,'Pivot-equal'!$C$4:$D$122,2,0)</f>
        <v>36163124713.329994</v>
      </c>
      <c r="F11" s="8">
        <f>VLOOKUP(C11,'Pivot-equal'!$G$3:$H$121,2,0)</f>
        <v>26896585880.68</v>
      </c>
      <c r="G11" s="8">
        <f>VLOOKUP(C11,'Pivot-equal'!$K$3:$L$122,2,0)</f>
        <v>7970383527.0900002</v>
      </c>
      <c r="H11" s="8">
        <f>VLOOKUP(C11,'Input-equal'!temp_11,2,0)</f>
        <v>10763644956</v>
      </c>
      <c r="I11" s="8">
        <f>VLOOKUP(C11,'Input-equal'!$N$4:$O$101,2,0)</f>
        <v>1093178368.6700001</v>
      </c>
      <c r="K11" s="1">
        <f t="shared" si="1"/>
        <v>39295</v>
      </c>
      <c r="L11" s="7">
        <f t="shared" si="2"/>
        <v>0.64747870264809548</v>
      </c>
      <c r="M11" s="7">
        <f t="shared" si="3"/>
        <v>0.4815669738092761</v>
      </c>
      <c r="N11" s="7">
        <f t="shared" si="4"/>
        <v>0.14270485823991116</v>
      </c>
      <c r="O11" s="7">
        <f t="shared" si="0"/>
        <v>0.19271650132895421</v>
      </c>
      <c r="P11" s="7">
        <f t="shared" si="0"/>
        <v>1.9572692280335754E-2</v>
      </c>
    </row>
    <row r="12" spans="3:16" x14ac:dyDescent="0.25">
      <c r="C12" s="1">
        <f>'Input-equal'!H12</f>
        <v>39326</v>
      </c>
      <c r="D12" s="8">
        <f>VLOOKUP(C12,'Input-equal'!temp,2,0)</f>
        <v>59519283040.339996</v>
      </c>
      <c r="E12" s="8">
        <f>VLOOKUP(C12,'Pivot-equal'!$C$4:$D$122,2,0)</f>
        <v>39727850973.849991</v>
      </c>
      <c r="F12" s="8">
        <f>VLOOKUP(C12,'Pivot-equal'!$G$3:$H$121,2,0)</f>
        <v>31387723932.829998</v>
      </c>
      <c r="G12" s="8">
        <f>VLOOKUP(C12,'Pivot-equal'!$K$3:$L$122,2,0)</f>
        <v>11906421034.719999</v>
      </c>
      <c r="H12" s="8">
        <f>VLOOKUP(C12,'Input-equal'!temp_11,2,0)</f>
        <v>9103829164</v>
      </c>
      <c r="I12" s="8">
        <f>VLOOKUP(C12,'Input-equal'!$N$4:$O$101,2,0)</f>
        <v>1303633281.51</v>
      </c>
      <c r="K12" s="1">
        <f t="shared" si="1"/>
        <v>39326</v>
      </c>
      <c r="L12" s="7">
        <f t="shared" si="2"/>
        <v>0.66747865472310719</v>
      </c>
      <c r="M12" s="7">
        <f t="shared" si="3"/>
        <v>0.52735386465519996</v>
      </c>
      <c r="N12" s="7">
        <f t="shared" si="4"/>
        <v>0.20004308564419807</v>
      </c>
      <c r="O12" s="7">
        <f t="shared" si="0"/>
        <v>0.15295596147940418</v>
      </c>
      <c r="P12" s="7">
        <f t="shared" si="0"/>
        <v>2.1902704718846241E-2</v>
      </c>
    </row>
    <row r="13" spans="3:16" x14ac:dyDescent="0.25">
      <c r="C13" s="1">
        <f>'Input-equal'!H13</f>
        <v>39356</v>
      </c>
      <c r="D13" s="8">
        <f>VLOOKUP(C13,'Input-equal'!temp,2,0)</f>
        <v>53589853815.260002</v>
      </c>
      <c r="E13" s="8">
        <f>VLOOKUP(C13,'Pivot-equal'!$C$4:$D$122,2,0)</f>
        <v>34611207598.679993</v>
      </c>
      <c r="F13" s="8">
        <f>VLOOKUP(C13,'Pivot-equal'!$G$3:$H$121,2,0)</f>
        <v>25266524753.019997</v>
      </c>
      <c r="G13" s="8">
        <f>VLOOKUP(C13,'Pivot-equal'!$K$3:$L$122,2,0)</f>
        <v>7611233645.2799997</v>
      </c>
      <c r="H13" s="8">
        <f>VLOOKUP(C13,'Input-equal'!temp_11,2,0)</f>
        <v>11684087724</v>
      </c>
      <c r="I13" s="8">
        <f>VLOOKUP(C13,'Input-equal'!$N$4:$O$101,2,0)</f>
        <v>843311085.42999995</v>
      </c>
      <c r="K13" s="1">
        <f t="shared" si="1"/>
        <v>39356</v>
      </c>
      <c r="L13" s="7">
        <f t="shared" si="2"/>
        <v>0.64585374160554743</v>
      </c>
      <c r="M13" s="7">
        <f t="shared" si="3"/>
        <v>0.471479635681059</v>
      </c>
      <c r="N13" s="7">
        <f t="shared" si="4"/>
        <v>0.14202751273623851</v>
      </c>
      <c r="O13" s="7">
        <f t="shared" si="0"/>
        <v>0.21802798276476903</v>
      </c>
      <c r="P13" s="7">
        <f t="shared" si="0"/>
        <v>1.5736394585757624E-2</v>
      </c>
    </row>
    <row r="14" spans="3:16" x14ac:dyDescent="0.25">
      <c r="C14" s="1">
        <f>'Input-equal'!H14</f>
        <v>39387</v>
      </c>
      <c r="D14" s="8">
        <f>VLOOKUP(C14,'Input-equal'!temp,2,0)</f>
        <v>56318004683</v>
      </c>
      <c r="E14" s="8">
        <f>VLOOKUP(C14,'Pivot-equal'!$C$4:$D$122,2,0)</f>
        <v>38426581887.660004</v>
      </c>
      <c r="F14" s="8">
        <f>VLOOKUP(C14,'Pivot-equal'!$G$3:$H$121,2,0)</f>
        <v>27917519171.919998</v>
      </c>
      <c r="G14" s="8">
        <f>VLOOKUP(C14,'Pivot-equal'!$K$3:$L$122,2,0)</f>
        <v>9251362639</v>
      </c>
      <c r="H14" s="8">
        <f>VLOOKUP(C14,'Input-equal'!temp_11,2,0)</f>
        <v>10286727579.799999</v>
      </c>
      <c r="I14" s="8">
        <f>VLOOKUP(C14,'Input-equal'!$N$4:$O$101,2,0)</f>
        <v>1298540593.1300001</v>
      </c>
      <c r="K14" s="1">
        <f t="shared" si="1"/>
        <v>39387</v>
      </c>
      <c r="L14" s="7">
        <f t="shared" si="2"/>
        <v>0.68231433453570756</v>
      </c>
      <c r="M14" s="7">
        <f t="shared" si="3"/>
        <v>0.49571214976561667</v>
      </c>
      <c r="N14" s="7">
        <f t="shared" si="4"/>
        <v>0.16427007119789866</v>
      </c>
      <c r="O14" s="7">
        <f t="shared" si="0"/>
        <v>0.18265433297400047</v>
      </c>
      <c r="P14" s="7">
        <f t="shared" si="0"/>
        <v>2.3057290478225592E-2</v>
      </c>
    </row>
    <row r="15" spans="3:16" x14ac:dyDescent="0.25">
      <c r="C15" s="1">
        <f>'Input-equal'!H15</f>
        <v>39417</v>
      </c>
      <c r="D15" s="8">
        <f>VLOOKUP(C15,'Input-equal'!temp,2,0)</f>
        <v>70720993110.179993</v>
      </c>
      <c r="E15" s="8">
        <f>VLOOKUP(C15,'Pivot-equal'!$C$4:$D$122,2,0)</f>
        <v>45838564870.419991</v>
      </c>
      <c r="F15" s="8">
        <f>VLOOKUP(C15,'Pivot-equal'!$G$3:$H$121,2,0)</f>
        <v>35348140136.119995</v>
      </c>
      <c r="G15" s="8">
        <f>VLOOKUP(C15,'Pivot-equal'!$K$3:$L$122,2,0)</f>
        <v>12421827356.389999</v>
      </c>
      <c r="H15" s="8">
        <f>VLOOKUP(C15,'Input-equal'!temp_11,2,0)</f>
        <v>17719338930</v>
      </c>
      <c r="I15" s="8">
        <f>VLOOKUP(C15,'Input-equal'!$N$4:$O$101,2,0)</f>
        <v>1294464930.79</v>
      </c>
      <c r="K15" s="1">
        <f t="shared" si="1"/>
        <v>39417</v>
      </c>
      <c r="L15" s="7">
        <f t="shared" si="2"/>
        <v>0.64816065010577062</v>
      </c>
      <c r="M15" s="7">
        <f t="shared" si="3"/>
        <v>0.49982527933465598</v>
      </c>
      <c r="N15" s="7">
        <f t="shared" si="4"/>
        <v>0.17564554469756066</v>
      </c>
      <c r="O15" s="7">
        <f t="shared" si="0"/>
        <v>0.25055274467645133</v>
      </c>
      <c r="P15" s="7">
        <f t="shared" si="0"/>
        <v>1.8303828521939507E-2</v>
      </c>
    </row>
    <row r="16" spans="3:16" x14ac:dyDescent="0.25">
      <c r="C16" s="1">
        <f>'Input-equal'!H16</f>
        <v>39448</v>
      </c>
      <c r="D16" s="8">
        <f>VLOOKUP(C16,'Input-equal'!temp,2,0)</f>
        <v>55380966103.379997</v>
      </c>
      <c r="E16" s="8">
        <f>VLOOKUP(C16,'Pivot-equal'!$C$4:$D$122,2,0)</f>
        <v>36449458088.989998</v>
      </c>
      <c r="F16" s="8">
        <f>VLOOKUP(C16,'Pivot-equal'!$G$3:$H$121,2,0)</f>
        <v>26958404741.359997</v>
      </c>
      <c r="G16" s="8">
        <f>VLOOKUP(C16,'Pivot-equal'!$K$3:$L$122,2,0)</f>
        <v>8728590817.0499992</v>
      </c>
      <c r="H16" s="8">
        <f>VLOOKUP(C16,'Input-equal'!temp_11,2,0)</f>
        <v>11369438069</v>
      </c>
      <c r="I16" s="8">
        <f>VLOOKUP(C16,'Input-equal'!$N$4:$O$101,2,0)</f>
        <v>1595054076.3199999</v>
      </c>
      <c r="K16" s="1">
        <f t="shared" si="1"/>
        <v>39448</v>
      </c>
      <c r="L16" s="7">
        <f t="shared" si="2"/>
        <v>0.65815858143300654</v>
      </c>
      <c r="M16" s="7">
        <f t="shared" si="3"/>
        <v>0.48678104840274133</v>
      </c>
      <c r="N16" s="7">
        <f t="shared" si="4"/>
        <v>0.15760994130648215</v>
      </c>
      <c r="O16" s="7">
        <f t="shared" si="0"/>
        <v>0.20529504753991829</v>
      </c>
      <c r="P16" s="7">
        <f t="shared" si="0"/>
        <v>2.8801485213213913E-2</v>
      </c>
    </row>
    <row r="17" spans="3:16" x14ac:dyDescent="0.25">
      <c r="C17" s="1">
        <f>'Input-equal'!H17</f>
        <v>39479</v>
      </c>
      <c r="D17" s="8">
        <f>VLOOKUP(C17,'Input-equal'!temp,2,0)</f>
        <v>76264291344.479996</v>
      </c>
      <c r="E17" s="8">
        <f>VLOOKUP(C17,'Pivot-equal'!$C$4:$D$122,2,0)</f>
        <v>42640399806.709999</v>
      </c>
      <c r="F17" s="8">
        <f>VLOOKUP(C17,'Pivot-equal'!$G$3:$H$121,2,0)</f>
        <v>32555708285.060001</v>
      </c>
      <c r="G17" s="8">
        <f>VLOOKUP(C17,'Pivot-equal'!$K$3:$L$122,2,0)</f>
        <v>10940578643.9</v>
      </c>
      <c r="H17" s="8">
        <f>VLOOKUP(C17,'Input-equal'!temp_11,2,0)</f>
        <v>27291717471</v>
      </c>
      <c r="I17" s="8">
        <f>VLOOKUP(C17,'Input-equal'!$N$4:$O$101,2,0)</f>
        <v>1373760378.96</v>
      </c>
      <c r="K17" s="1">
        <f t="shared" si="1"/>
        <v>39479</v>
      </c>
      <c r="L17" s="7">
        <f t="shared" si="2"/>
        <v>0.55911356488066688</v>
      </c>
      <c r="M17" s="7">
        <f t="shared" si="3"/>
        <v>0.42688009960006507</v>
      </c>
      <c r="N17" s="7">
        <f t="shared" si="4"/>
        <v>0.14345611099278743</v>
      </c>
      <c r="O17" s="7">
        <f t="shared" si="0"/>
        <v>0.35785709130535798</v>
      </c>
      <c r="P17" s="7">
        <f t="shared" si="0"/>
        <v>1.8013153400387987E-2</v>
      </c>
    </row>
    <row r="18" spans="3:16" x14ac:dyDescent="0.25">
      <c r="C18" s="1">
        <f>'Input-equal'!H18</f>
        <v>39508</v>
      </c>
      <c r="D18" s="8">
        <f>VLOOKUP(C18,'Input-equal'!temp,2,0)</f>
        <v>54036130386.260002</v>
      </c>
      <c r="E18" s="8">
        <f>VLOOKUP(C18,'Pivot-equal'!$C$4:$D$122,2,0)</f>
        <v>29192521758.130001</v>
      </c>
      <c r="F18" s="8">
        <f>VLOOKUP(C18,'Pivot-equal'!$G$3:$H$121,2,0)</f>
        <v>24315835443.790001</v>
      </c>
      <c r="G18" s="8">
        <f>VLOOKUP(C18,'Pivot-equal'!$K$3:$L$122,2,0)</f>
        <v>7127437485.3199997</v>
      </c>
      <c r="H18" s="8">
        <f>VLOOKUP(C18,'Input-equal'!temp_11,2,0)</f>
        <v>18304362684</v>
      </c>
      <c r="I18" s="8">
        <f>VLOOKUP(C18,'Input-equal'!$N$4:$O$101,2,0)</f>
        <v>2632882569.0300002</v>
      </c>
      <c r="K18" s="1">
        <f t="shared" si="1"/>
        <v>39508</v>
      </c>
      <c r="L18" s="7">
        <f t="shared" si="2"/>
        <v>0.54024078980964385</v>
      </c>
      <c r="M18" s="7">
        <f t="shared" si="3"/>
        <v>0.44999216764738748</v>
      </c>
      <c r="N18" s="7">
        <f t="shared" si="4"/>
        <v>0.13190133035751805</v>
      </c>
      <c r="O18" s="7">
        <f t="shared" si="0"/>
        <v>0.33874303272934453</v>
      </c>
      <c r="P18" s="7">
        <f t="shared" si="0"/>
        <v>4.8724483974142502E-2</v>
      </c>
    </row>
    <row r="19" spans="3:16" x14ac:dyDescent="0.25">
      <c r="C19" s="1">
        <f>'Input-equal'!H19</f>
        <v>39539</v>
      </c>
      <c r="D19" s="8">
        <f>VLOOKUP(C19,'Input-equal'!temp,2,0)</f>
        <v>61021756747.739998</v>
      </c>
      <c r="E19" s="8">
        <f>VLOOKUP(C19,'Pivot-equal'!$C$4:$D$122,2,0)</f>
        <v>40499590498.020004</v>
      </c>
      <c r="F19" s="8">
        <f>VLOOKUP(C19,'Pivot-equal'!$G$3:$H$121,2,0)</f>
        <v>32138247792.009998</v>
      </c>
      <c r="G19" s="8">
        <f>VLOOKUP(C19,'Pivot-equal'!$K$3:$L$122,2,0)</f>
        <v>9380905884.8600006</v>
      </c>
      <c r="H19" s="8">
        <f>VLOOKUP(C19,'Input-equal'!temp_11,2,0)</f>
        <v>12460921559.299999</v>
      </c>
      <c r="I19" s="8">
        <f>VLOOKUP(C19,'Input-equal'!$N$4:$O$101,2,0)</f>
        <v>1976637598.26</v>
      </c>
      <c r="K19" s="1">
        <f t="shared" si="1"/>
        <v>39539</v>
      </c>
      <c r="L19" s="7">
        <f t="shared" si="2"/>
        <v>0.66369099574505364</v>
      </c>
      <c r="M19" s="7">
        <f t="shared" si="3"/>
        <v>0.52666867531964767</v>
      </c>
      <c r="N19" s="7">
        <f t="shared" si="4"/>
        <v>0.15373051162129042</v>
      </c>
      <c r="O19" s="7">
        <f t="shared" si="0"/>
        <v>0.20420456937699524</v>
      </c>
      <c r="P19" s="7">
        <f t="shared" si="0"/>
        <v>3.2392341741836313E-2</v>
      </c>
    </row>
    <row r="20" spans="3:16" x14ac:dyDescent="0.25">
      <c r="C20" s="1">
        <f>'Input-equal'!H20</f>
        <v>39569</v>
      </c>
      <c r="D20" s="8">
        <f>VLOOKUP(C20,'Input-equal'!temp,2,0)</f>
        <v>67752280712.029999</v>
      </c>
      <c r="E20" s="8">
        <f>VLOOKUP(C20,'Pivot-equal'!$C$4:$D$122,2,0)</f>
        <v>38150991945.059998</v>
      </c>
      <c r="F20" s="8">
        <f>VLOOKUP(C20,'Pivot-equal'!$G$3:$H$121,2,0)</f>
        <v>30863023102.57</v>
      </c>
      <c r="G20" s="8">
        <f>VLOOKUP(C20,'Pivot-equal'!$K$3:$L$122,2,0)</f>
        <v>12080553097.469999</v>
      </c>
      <c r="H20" s="8">
        <f>VLOOKUP(C20,'Input-equal'!temp_11,2,0)</f>
        <v>22906093935.959999</v>
      </c>
      <c r="I20" s="8">
        <f>VLOOKUP(C20,'Input-equal'!$N$4:$O$101,2,0)</f>
        <v>2171546574.1199999</v>
      </c>
      <c r="K20" s="1">
        <f t="shared" si="1"/>
        <v>39569</v>
      </c>
      <c r="L20" s="7">
        <f t="shared" si="2"/>
        <v>0.56309531641029997</v>
      </c>
      <c r="M20" s="7">
        <f t="shared" si="3"/>
        <v>0.45552744170706572</v>
      </c>
      <c r="N20" s="7">
        <f t="shared" si="4"/>
        <v>0.17830474443829303</v>
      </c>
      <c r="O20" s="7">
        <f t="shared" ref="O20:P83" si="5">H20/$D20</f>
        <v>0.33808594626236438</v>
      </c>
      <c r="P20" s="7">
        <f t="shared" si="5"/>
        <v>3.2051268994911092E-2</v>
      </c>
    </row>
    <row r="21" spans="3:16" x14ac:dyDescent="0.25">
      <c r="C21" s="1">
        <f>'Input-equal'!H21</f>
        <v>39600</v>
      </c>
      <c r="D21" s="8">
        <f>VLOOKUP(C21,'Input-equal'!temp,2,0)</f>
        <v>54754255797.940002</v>
      </c>
      <c r="E21" s="8">
        <f>VLOOKUP(C21,'Pivot-equal'!$C$4:$D$122,2,0)</f>
        <v>36274545496.419998</v>
      </c>
      <c r="F21" s="8">
        <f>VLOOKUP(C21,'Pivot-equal'!$G$3:$H$121,2,0)</f>
        <v>30441998963.41</v>
      </c>
      <c r="G21" s="8">
        <f>VLOOKUP(C21,'Pivot-equal'!$K$3:$L$122,2,0)</f>
        <v>11170458526.360001</v>
      </c>
      <c r="H21" s="8">
        <f>VLOOKUP(C21,'Input-equal'!temp_11,2,0)</f>
        <v>12792640351.440001</v>
      </c>
      <c r="I21" s="8">
        <f>VLOOKUP(C21,'Input-equal'!$N$4:$O$101,2,0)</f>
        <v>2141783350.53</v>
      </c>
      <c r="K21" s="1">
        <f t="shared" si="1"/>
        <v>39600</v>
      </c>
      <c r="L21" s="7">
        <f t="shared" si="2"/>
        <v>0.6624972793034426</v>
      </c>
      <c r="M21" s="7">
        <f t="shared" si="3"/>
        <v>0.55597502915116426</v>
      </c>
      <c r="N21" s="7">
        <f t="shared" si="4"/>
        <v>0.2040107816930691</v>
      </c>
      <c r="O21" s="7">
        <f t="shared" si="5"/>
        <v>0.23363737055707171</v>
      </c>
      <c r="P21" s="7">
        <f t="shared" si="5"/>
        <v>3.911629003659254E-2</v>
      </c>
    </row>
    <row r="22" spans="3:16" x14ac:dyDescent="0.25">
      <c r="C22" s="1">
        <f>'Input-equal'!H22</f>
        <v>39630</v>
      </c>
      <c r="D22" s="8">
        <f>VLOOKUP(C22,'Input-equal'!temp,2,0)</f>
        <v>39254673980.809998</v>
      </c>
      <c r="E22" s="8">
        <f>VLOOKUP(C22,'Pivot-equal'!$C$4:$D$122,2,0)</f>
        <v>25661699058.59</v>
      </c>
      <c r="F22" s="8">
        <f>VLOOKUP(C22,'Pivot-equal'!$G$3:$H$121,2,0)</f>
        <v>19657967882.41</v>
      </c>
      <c r="G22" s="8">
        <f>VLOOKUP(C22,'Pivot-equal'!$K$3:$L$122,2,0)</f>
        <v>5246259446.8599997</v>
      </c>
      <c r="H22" s="8">
        <f>VLOOKUP(C22,'Input-equal'!temp_11,2,0)</f>
        <v>8508893476.4399996</v>
      </c>
      <c r="I22" s="8">
        <f>VLOOKUP(C22,'Input-equal'!$N$4:$O$101,2,0)</f>
        <v>1275868064.53</v>
      </c>
      <c r="K22" s="1">
        <f t="shared" si="1"/>
        <v>39630</v>
      </c>
      <c r="L22" s="7">
        <f t="shared" si="2"/>
        <v>0.65372340300507792</v>
      </c>
      <c r="M22" s="7">
        <f t="shared" si="3"/>
        <v>0.50078031197049233</v>
      </c>
      <c r="N22" s="7">
        <f t="shared" si="4"/>
        <v>0.1336467461027617</v>
      </c>
      <c r="O22" s="7">
        <f t="shared" si="5"/>
        <v>0.21676128250612015</v>
      </c>
      <c r="P22" s="7">
        <f t="shared" si="5"/>
        <v>3.2502322275144088E-2</v>
      </c>
    </row>
    <row r="23" spans="3:16" x14ac:dyDescent="0.25">
      <c r="C23" s="1">
        <f>'Input-equal'!H23</f>
        <v>39661</v>
      </c>
      <c r="D23" s="8">
        <f>VLOOKUP(C23,'Input-equal'!temp,2,0)</f>
        <v>33987473164.599998</v>
      </c>
      <c r="E23" s="8">
        <f>VLOOKUP(C23,'Pivot-equal'!$C$4:$D$122,2,0)</f>
        <v>21967790863.110004</v>
      </c>
      <c r="F23" s="8">
        <f>VLOOKUP(C23,'Pivot-equal'!$G$3:$H$121,2,0)</f>
        <v>16728604606.980001</v>
      </c>
      <c r="G23" s="8">
        <f>VLOOKUP(C23,'Pivot-equal'!$K$3:$L$122,2,0)</f>
        <v>4827258509.6899996</v>
      </c>
      <c r="H23" s="8">
        <f>VLOOKUP(C23,'Input-equal'!temp_11,2,0)</f>
        <v>8102585690.9200001</v>
      </c>
      <c r="I23" s="8">
        <f>VLOOKUP(C23,'Input-equal'!$N$4:$O$101,2,0)</f>
        <v>1129226752.3399999</v>
      </c>
      <c r="K23" s="1">
        <f t="shared" si="1"/>
        <v>39661</v>
      </c>
      <c r="L23" s="7">
        <f t="shared" si="2"/>
        <v>0.64634963466453821</v>
      </c>
      <c r="M23" s="7">
        <f t="shared" si="3"/>
        <v>0.49219912660067505</v>
      </c>
      <c r="N23" s="7">
        <f t="shared" si="4"/>
        <v>0.14203052066600469</v>
      </c>
      <c r="O23" s="7">
        <f t="shared" si="5"/>
        <v>0.23839917877035152</v>
      </c>
      <c r="P23" s="7">
        <f t="shared" si="5"/>
        <v>3.3224792760297273E-2</v>
      </c>
    </row>
    <row r="24" spans="3:16" x14ac:dyDescent="0.25">
      <c r="C24" s="1">
        <f>'Input-equal'!H24</f>
        <v>39692</v>
      </c>
      <c r="D24" s="8">
        <f>VLOOKUP(C24,'Input-equal'!temp,2,0)</f>
        <v>41506327516.75</v>
      </c>
      <c r="E24" s="8">
        <f>VLOOKUP(C24,'Pivot-equal'!$C$4:$D$122,2,0)</f>
        <v>25821976249.259998</v>
      </c>
      <c r="F24" s="8">
        <f>VLOOKUP(C24,'Pivot-equal'!$G$3:$H$121,2,0)</f>
        <v>19841787823.889999</v>
      </c>
      <c r="G24" s="8">
        <f>VLOOKUP(C24,'Pivot-equal'!$K$3:$L$122,2,0)</f>
        <v>6826679614.1599998</v>
      </c>
      <c r="H24" s="8">
        <f>VLOOKUP(C24,'Input-equal'!temp_11,2,0)</f>
        <v>12108914961.860001</v>
      </c>
      <c r="I24" s="8">
        <f>VLOOKUP(C24,'Input-equal'!$N$4:$O$101,2,0)</f>
        <v>1116625914.01</v>
      </c>
      <c r="K24" s="1">
        <f t="shared" si="1"/>
        <v>39692</v>
      </c>
      <c r="L24" s="7">
        <f t="shared" si="2"/>
        <v>0.62212144013077197</v>
      </c>
      <c r="M24" s="7">
        <f t="shared" si="3"/>
        <v>0.47804248197778493</v>
      </c>
      <c r="N24" s="7">
        <f t="shared" si="4"/>
        <v>0.16447322667622361</v>
      </c>
      <c r="O24" s="7">
        <f t="shared" si="5"/>
        <v>0.2917366022559672</v>
      </c>
      <c r="P24" s="7">
        <f t="shared" si="5"/>
        <v>2.6902546691450414E-2</v>
      </c>
    </row>
    <row r="25" spans="3:16" x14ac:dyDescent="0.25">
      <c r="C25" s="1">
        <f>'Input-equal'!H25</f>
        <v>39722</v>
      </c>
      <c r="D25" s="8">
        <f>VLOOKUP(C25,'Input-equal'!temp,2,0)</f>
        <v>32554558169.93</v>
      </c>
      <c r="E25" s="8">
        <f>VLOOKUP(C25,'Pivot-equal'!$C$4:$D$122,2,0)</f>
        <v>17771952343.489994</v>
      </c>
      <c r="F25" s="8">
        <f>VLOOKUP(C25,'Pivot-equal'!$G$3:$H$121,2,0)</f>
        <v>13280775763.599998</v>
      </c>
      <c r="G25" s="8">
        <f>VLOOKUP(C25,'Pivot-equal'!$K$3:$L$122,2,0)</f>
        <v>3655203702.7600002</v>
      </c>
      <c r="H25" s="8">
        <f>VLOOKUP(C25,'Input-equal'!temp_11,2,0)</f>
        <v>11004808168.200001</v>
      </c>
      <c r="I25" s="8">
        <f>VLOOKUP(C25,'Input-equal'!$N$4:$O$101,2,0)</f>
        <v>1438213820.27</v>
      </c>
      <c r="K25" s="1">
        <f t="shared" si="1"/>
        <v>39722</v>
      </c>
      <c r="L25" s="7">
        <f t="shared" si="2"/>
        <v>0.5459128718848838</v>
      </c>
      <c r="M25" s="7">
        <f t="shared" si="3"/>
        <v>0.40795441591547038</v>
      </c>
      <c r="N25" s="7">
        <f t="shared" si="4"/>
        <v>0.11227932149102977</v>
      </c>
      <c r="O25" s="7">
        <f t="shared" si="5"/>
        <v>0.33804200661414363</v>
      </c>
      <c r="P25" s="7">
        <f t="shared" si="5"/>
        <v>4.4178569795441103E-2</v>
      </c>
    </row>
    <row r="26" spans="3:16" x14ac:dyDescent="0.25">
      <c r="C26" s="1">
        <f>'Input-equal'!H26</f>
        <v>39753</v>
      </c>
      <c r="D26" s="8">
        <f>VLOOKUP(C26,'Input-equal'!temp,2,0)</f>
        <v>27385866902.009998</v>
      </c>
      <c r="E26" s="8">
        <f>VLOOKUP(C26,'Pivot-equal'!$C$4:$D$122,2,0)</f>
        <v>17082411068.670002</v>
      </c>
      <c r="F26" s="8">
        <f>VLOOKUP(C26,'Pivot-equal'!$G$3:$H$121,2,0)</f>
        <v>13594411036.240002</v>
      </c>
      <c r="G26" s="8">
        <f>VLOOKUP(C26,'Pivot-equal'!$K$3:$L$122,2,0)</f>
        <v>4550926488.3800001</v>
      </c>
      <c r="H26" s="8">
        <f>VLOOKUP(C26,'Input-equal'!temp_11,2,0)</f>
        <v>6244262829</v>
      </c>
      <c r="I26" s="8">
        <f>VLOOKUP(C26,'Input-equal'!$N$4:$O$101,2,0)</f>
        <v>1592400863.3099999</v>
      </c>
      <c r="K26" s="1">
        <f t="shared" si="1"/>
        <v>39753</v>
      </c>
      <c r="L26" s="7">
        <f t="shared" si="2"/>
        <v>0.62376740271881737</v>
      </c>
      <c r="M26" s="7">
        <f t="shared" si="3"/>
        <v>0.49640243578494253</v>
      </c>
      <c r="N26" s="7">
        <f t="shared" si="4"/>
        <v>0.16617792325741504</v>
      </c>
      <c r="O26" s="7">
        <f t="shared" si="5"/>
        <v>0.22801041323039875</v>
      </c>
      <c r="P26" s="7">
        <f t="shared" si="5"/>
        <v>5.8146812332353991E-2</v>
      </c>
    </row>
    <row r="27" spans="3:16" x14ac:dyDescent="0.25">
      <c r="C27" s="1">
        <f>'Input-equal'!H27</f>
        <v>39783</v>
      </c>
      <c r="D27" s="8">
        <f>VLOOKUP(C27,'Input-equal'!temp,2,0)</f>
        <v>41233749209.5</v>
      </c>
      <c r="E27" s="8">
        <f>VLOOKUP(C27,'Pivot-equal'!$C$4:$D$122,2,0)</f>
        <v>29606036758.049999</v>
      </c>
      <c r="F27" s="8">
        <f>VLOOKUP(C27,'Pivot-equal'!$G$3:$H$121,2,0)</f>
        <v>22006804718.82</v>
      </c>
      <c r="G27" s="8">
        <f>VLOOKUP(C27,'Pivot-equal'!$K$3:$L$122,2,0)</f>
        <v>8422014425.4099998</v>
      </c>
      <c r="H27" s="8">
        <f>VLOOKUP(C27,'Input-equal'!temp_11,2,0)</f>
        <v>5749174682</v>
      </c>
      <c r="I27" s="8">
        <f>VLOOKUP(C27,'Input-equal'!$N$4:$O$101,2,0)</f>
        <v>1241364266.02</v>
      </c>
      <c r="K27" s="1">
        <f t="shared" si="1"/>
        <v>39783</v>
      </c>
      <c r="L27" s="7">
        <f t="shared" si="2"/>
        <v>0.71800496742675424</v>
      </c>
      <c r="M27" s="7">
        <f t="shared" si="3"/>
        <v>0.53370855526641681</v>
      </c>
      <c r="N27" s="7">
        <f t="shared" si="4"/>
        <v>0.2042505129140578</v>
      </c>
      <c r="O27" s="7">
        <f t="shared" si="5"/>
        <v>0.13942886087776432</v>
      </c>
      <c r="P27" s="7">
        <f t="shared" si="5"/>
        <v>3.0105539511163282E-2</v>
      </c>
    </row>
    <row r="28" spans="3:16" x14ac:dyDescent="0.25">
      <c r="C28" s="1">
        <f>'Input-equal'!H28</f>
        <v>39814</v>
      </c>
      <c r="D28" s="8">
        <f>VLOOKUP(C28,'Input-equal'!temp,2,0)</f>
        <v>26074589597.5</v>
      </c>
      <c r="E28" s="8">
        <f>VLOOKUP(C28,'Pivot-equal'!$C$4:$D$122,2,0)</f>
        <v>15573013109.779999</v>
      </c>
      <c r="F28" s="8">
        <f>VLOOKUP(C28,'Pivot-equal'!$G$3:$H$121,2,0)</f>
        <v>12534763717.26</v>
      </c>
      <c r="G28" s="8">
        <f>VLOOKUP(C28,'Pivot-equal'!$K$3:$L$122,2,0)</f>
        <v>3756680738.23</v>
      </c>
      <c r="H28" s="8">
        <f>VLOOKUP(C28,'Input-equal'!temp_11,2,0)</f>
        <v>4907185637</v>
      </c>
      <c r="I28" s="8">
        <f>VLOOKUP(C28,'Input-equal'!$N$4:$O$101,2,0)</f>
        <v>2230789746.77</v>
      </c>
      <c r="K28" s="1">
        <f t="shared" si="1"/>
        <v>39814</v>
      </c>
      <c r="L28" s="7">
        <f t="shared" si="2"/>
        <v>0.59724863747320955</v>
      </c>
      <c r="M28" s="7">
        <f t="shared" si="3"/>
        <v>0.48072717196138798</v>
      </c>
      <c r="N28" s="7">
        <f t="shared" si="4"/>
        <v>0.14407439565569177</v>
      </c>
      <c r="O28" s="7">
        <f t="shared" si="5"/>
        <v>0.18819800091774005</v>
      </c>
      <c r="P28" s="7">
        <f t="shared" si="5"/>
        <v>8.5554165231574164E-2</v>
      </c>
    </row>
    <row r="29" spans="3:16" x14ac:dyDescent="0.25">
      <c r="C29" s="1">
        <f>'Input-equal'!H29</f>
        <v>39845</v>
      </c>
      <c r="D29" s="8">
        <f>VLOOKUP(C29,'Input-equal'!temp,2,0)</f>
        <v>47498482306.410004</v>
      </c>
      <c r="E29" s="8">
        <f>VLOOKUP(C29,'Pivot-equal'!$C$4:$D$122,2,0)</f>
        <v>29878159863.969997</v>
      </c>
      <c r="F29" s="8">
        <f>VLOOKUP(C29,'Pivot-equal'!$G$3:$H$121,2,0)</f>
        <v>24776401311.380001</v>
      </c>
      <c r="G29" s="8">
        <f>VLOOKUP(C29,'Pivot-equal'!$K$3:$L$122,2,0)</f>
        <v>9511580945.1800003</v>
      </c>
      <c r="H29" s="8">
        <f>VLOOKUP(C29,'Input-equal'!temp_11,2,0)</f>
        <v>8316023418</v>
      </c>
      <c r="I29" s="8">
        <f>VLOOKUP(C29,'Input-equal'!$N$4:$O$101,2,0)</f>
        <v>5585035666.4899998</v>
      </c>
      <c r="K29" s="1">
        <f t="shared" si="1"/>
        <v>39845</v>
      </c>
      <c r="L29" s="7">
        <f t="shared" si="2"/>
        <v>0.6290339904173714</v>
      </c>
      <c r="M29" s="7">
        <f t="shared" si="3"/>
        <v>0.52162511533629319</v>
      </c>
      <c r="N29" s="7">
        <f t="shared" si="4"/>
        <v>0.20025020765550641</v>
      </c>
      <c r="O29" s="7">
        <f t="shared" si="5"/>
        <v>0.17507977127255997</v>
      </c>
      <c r="P29" s="7">
        <f t="shared" si="5"/>
        <v>0.11758345520307897</v>
      </c>
    </row>
    <row r="30" spans="3:16" x14ac:dyDescent="0.25">
      <c r="C30" s="1">
        <f>'Input-equal'!H30</f>
        <v>39873</v>
      </c>
      <c r="D30" s="8">
        <f>VLOOKUP(C30,'Input-equal'!temp,2,0)</f>
        <v>91030919352.979996</v>
      </c>
      <c r="E30" s="8">
        <f>VLOOKUP(C30,'Pivot-equal'!$C$4:$D$122,2,0)</f>
        <v>52300463711.150002</v>
      </c>
      <c r="F30" s="8">
        <f>VLOOKUP(C30,'Pivot-equal'!$G$3:$H$121,2,0)</f>
        <v>44588597188.129997</v>
      </c>
      <c r="G30" s="8">
        <f>VLOOKUP(C30,'Pivot-equal'!$K$3:$L$122,2,0)</f>
        <v>14453685921.889999</v>
      </c>
      <c r="H30" s="8">
        <f>VLOOKUP(C30,'Input-equal'!temp_11,2,0)</f>
        <v>22744846785</v>
      </c>
      <c r="I30" s="8">
        <f>VLOOKUP(C30,'Input-equal'!$N$4:$O$101,2,0)</f>
        <v>10006189041.65</v>
      </c>
      <c r="K30" s="1">
        <f t="shared" si="1"/>
        <v>39873</v>
      </c>
      <c r="L30" s="7">
        <f t="shared" si="2"/>
        <v>0.57453515885465889</v>
      </c>
      <c r="M30" s="7">
        <f t="shared" si="3"/>
        <v>0.48981815744641649</v>
      </c>
      <c r="N30" s="7">
        <f t="shared" si="4"/>
        <v>0.15877776501239788</v>
      </c>
      <c r="O30" s="7">
        <f t="shared" si="5"/>
        <v>0.24985847607234368</v>
      </c>
      <c r="P30" s="7">
        <f t="shared" si="5"/>
        <v>0.10992077321388094</v>
      </c>
    </row>
    <row r="31" spans="3:16" x14ac:dyDescent="0.25">
      <c r="C31" s="1">
        <f>'Input-equal'!H31</f>
        <v>39904</v>
      </c>
      <c r="D31" s="8">
        <f>VLOOKUP(C31,'Input-equal'!temp,2,0)</f>
        <v>58732734355.699997</v>
      </c>
      <c r="E31" s="8">
        <f>VLOOKUP(C31,'Pivot-equal'!$C$4:$D$122,2,0)</f>
        <v>32464719403.389999</v>
      </c>
      <c r="F31" s="8">
        <f>VLOOKUP(C31,'Pivot-equal'!$G$3:$H$121,2,0)</f>
        <v>25327691030.98</v>
      </c>
      <c r="G31" s="8">
        <f>VLOOKUP(C31,'Pivot-equal'!$K$3:$L$122,2,0)</f>
        <v>10866823472.32</v>
      </c>
      <c r="H31" s="8">
        <f>VLOOKUP(C31,'Input-equal'!temp_11,2,0)</f>
        <v>8532635208</v>
      </c>
      <c r="I31" s="8">
        <f>VLOOKUP(C31,'Input-equal'!$N$4:$O$101,2,0)</f>
        <v>11053668227.02</v>
      </c>
      <c r="K31" s="1">
        <f t="shared" si="1"/>
        <v>39904</v>
      </c>
      <c r="L31" s="7">
        <f t="shared" si="2"/>
        <v>0.55275341356960517</v>
      </c>
      <c r="M31" s="7">
        <f t="shared" si="3"/>
        <v>0.43123636773982332</v>
      </c>
      <c r="N31" s="7">
        <f t="shared" si="4"/>
        <v>0.1850215827941506</v>
      </c>
      <c r="O31" s="7">
        <f t="shared" si="5"/>
        <v>0.14527903905042538</v>
      </c>
      <c r="P31" s="7">
        <f t="shared" si="5"/>
        <v>0.18820285396685682</v>
      </c>
    </row>
    <row r="32" spans="3:16" x14ac:dyDescent="0.25">
      <c r="C32" s="1">
        <f>'Input-equal'!H32</f>
        <v>39934</v>
      </c>
      <c r="D32" s="8">
        <f>VLOOKUP(C32,'Input-equal'!temp,2,0)</f>
        <v>133840090442.36</v>
      </c>
      <c r="E32" s="8">
        <f>VLOOKUP(C32,'Pivot-equal'!$C$4:$D$122,2,0)</f>
        <v>59246266312.960007</v>
      </c>
      <c r="F32" s="8">
        <f>VLOOKUP(C32,'Pivot-equal'!$G$3:$H$121,2,0)</f>
        <v>48614350249.730003</v>
      </c>
      <c r="G32" s="8">
        <f>VLOOKUP(C32,'Pivot-equal'!$K$3:$L$122,2,0)</f>
        <v>16377153576.040001</v>
      </c>
      <c r="H32" s="8">
        <f>VLOOKUP(C32,'Input-equal'!temp_11,2,0)</f>
        <v>15344958750</v>
      </c>
      <c r="I32" s="8">
        <f>VLOOKUP(C32,'Input-equal'!$N$4:$O$101,2,0)</f>
        <v>45560165549.309998</v>
      </c>
      <c r="K32" s="1">
        <f t="shared" si="1"/>
        <v>39934</v>
      </c>
      <c r="L32" s="7">
        <f t="shared" si="2"/>
        <v>0.4426645717074974</v>
      </c>
      <c r="M32" s="7">
        <f t="shared" si="3"/>
        <v>0.36322711744330755</v>
      </c>
      <c r="N32" s="7">
        <f t="shared" si="4"/>
        <v>0.1223635871876001</v>
      </c>
      <c r="O32" s="7">
        <f t="shared" si="5"/>
        <v>0.11465143739280802</v>
      </c>
      <c r="P32" s="7">
        <f t="shared" si="5"/>
        <v>0.34040746235845593</v>
      </c>
    </row>
    <row r="33" spans="2:16" x14ac:dyDescent="0.25">
      <c r="B33" s="12">
        <f>D33+H33</f>
        <v>157348921600.09</v>
      </c>
      <c r="C33" s="1">
        <f>'Input-equal'!H33</f>
        <v>39965</v>
      </c>
      <c r="D33" s="8">
        <f>VLOOKUP(C33,'Input-equal'!temp,2,0)</f>
        <v>133396899527.09</v>
      </c>
      <c r="E33" s="8">
        <f>VLOOKUP(C33,'Pivot-equal'!$C$4:$D$122,2,0)</f>
        <v>62548319986.500008</v>
      </c>
      <c r="F33" s="8">
        <f>VLOOKUP(C33,'Pivot-equal'!$G$3:$H$121,2,0)</f>
        <v>50633928595.489998</v>
      </c>
      <c r="G33" s="8">
        <f>VLOOKUP(C33,'Pivot-equal'!$K$3:$L$122,2,0)</f>
        <v>18556306988.82</v>
      </c>
      <c r="H33" s="8">
        <f>VLOOKUP(C33,'Input-equal'!temp_11,2,0)</f>
        <v>23952022073</v>
      </c>
      <c r="I33" s="8">
        <f>VLOOKUP(C33,'Input-equal'!$N$4:$O$101,2,0)</f>
        <v>33182796527.880001</v>
      </c>
      <c r="K33" s="1">
        <f t="shared" si="1"/>
        <v>39965</v>
      </c>
      <c r="L33" s="7">
        <f t="shared" si="2"/>
        <v>0.46888885879838466</v>
      </c>
      <c r="M33" s="7">
        <f t="shared" si="3"/>
        <v>0.37957350414435498</v>
      </c>
      <c r="N33" s="7">
        <f t="shared" si="4"/>
        <v>0.13910598413159983</v>
      </c>
      <c r="O33" s="7">
        <f t="shared" si="5"/>
        <v>0.17955456354617799</v>
      </c>
      <c r="P33" s="7">
        <f t="shared" si="5"/>
        <v>0.24875238214319442</v>
      </c>
    </row>
    <row r="34" spans="2:16" x14ac:dyDescent="0.25">
      <c r="C34" s="1">
        <f>'Input-equal'!H34</f>
        <v>39995</v>
      </c>
      <c r="D34" s="8">
        <f>VLOOKUP(C34,'Input-equal'!temp,2,0)</f>
        <v>81085052853.800003</v>
      </c>
      <c r="E34" s="8">
        <f>VLOOKUP(C34,'Pivot-equal'!$C$4:$D$122,2,0)</f>
        <v>47492473410.860008</v>
      </c>
      <c r="F34" s="8">
        <f>VLOOKUP(C34,'Pivot-equal'!$G$3:$H$121,2,0)</f>
        <v>40903264377.350006</v>
      </c>
      <c r="G34" s="8">
        <f>VLOOKUP(C34,'Pivot-equal'!$K$3:$L$122,2,0)</f>
        <v>17780279923.57</v>
      </c>
      <c r="H34" s="8">
        <f>VLOOKUP(C34,'Input-equal'!temp_11,2,0)</f>
        <v>15630530955</v>
      </c>
      <c r="I34" s="8">
        <f>VLOOKUP(C34,'Input-equal'!$N$4:$O$101,2,0)</f>
        <v>9279188740.6499996</v>
      </c>
      <c r="K34" s="1">
        <f t="shared" si="1"/>
        <v>39995</v>
      </c>
      <c r="L34" s="7">
        <f t="shared" si="2"/>
        <v>0.5857118141920814</v>
      </c>
      <c r="M34" s="7">
        <f t="shared" si="3"/>
        <v>0.50444888345945127</v>
      </c>
      <c r="N34" s="7">
        <f t="shared" si="4"/>
        <v>0.21927937761388211</v>
      </c>
      <c r="O34" s="7">
        <f t="shared" si="5"/>
        <v>0.19276710571037736</v>
      </c>
      <c r="P34" s="7">
        <f t="shared" si="5"/>
        <v>0.11443772204700654</v>
      </c>
    </row>
    <row r="35" spans="2:16" x14ac:dyDescent="0.25">
      <c r="C35" s="1">
        <f>'Input-equal'!H35</f>
        <v>40026</v>
      </c>
      <c r="D35" s="8">
        <f>VLOOKUP(C35,'Input-equal'!temp,2,0)</f>
        <v>62725888062.300003</v>
      </c>
      <c r="E35" s="8">
        <f>VLOOKUP(C35,'Pivot-equal'!$C$4:$D$122,2,0)</f>
        <v>35622455938.389999</v>
      </c>
      <c r="F35" s="8">
        <f>VLOOKUP(C35,'Pivot-equal'!$G$3:$H$121,2,0)</f>
        <v>30196349339.740002</v>
      </c>
      <c r="G35" s="8">
        <f>VLOOKUP(C35,'Pivot-equal'!$K$3:$L$122,2,0)</f>
        <v>13559469118.879999</v>
      </c>
      <c r="H35" s="8">
        <f>VLOOKUP(C35,'Input-equal'!temp_11,2,0)</f>
        <v>10784987411</v>
      </c>
      <c r="I35" s="8">
        <f>VLOOKUP(C35,'Input-equal'!$N$4:$O$101,2,0)</f>
        <v>9233029230.7800007</v>
      </c>
      <c r="K35" s="1">
        <f t="shared" si="1"/>
        <v>40026</v>
      </c>
      <c r="L35" s="7">
        <f t="shared" si="2"/>
        <v>0.56790676128824846</v>
      </c>
      <c r="M35" s="7">
        <f t="shared" si="3"/>
        <v>0.48140170306953128</v>
      </c>
      <c r="N35" s="7">
        <f t="shared" si="4"/>
        <v>0.21617022154254067</v>
      </c>
      <c r="O35" s="7">
        <f t="shared" si="5"/>
        <v>0.17193837734570197</v>
      </c>
      <c r="P35" s="7">
        <f t="shared" si="5"/>
        <v>0.14719646889031943</v>
      </c>
    </row>
    <row r="36" spans="2:16" x14ac:dyDescent="0.25">
      <c r="C36" s="1">
        <f>'Input-equal'!H36</f>
        <v>40057</v>
      </c>
      <c r="D36" s="8">
        <f>VLOOKUP(C36,'Input-equal'!temp,2,0)</f>
        <v>58721966516.220001</v>
      </c>
      <c r="E36" s="8">
        <f>VLOOKUP(C36,'Pivot-equal'!$C$4:$D$122,2,0)</f>
        <v>29845785005.43</v>
      </c>
      <c r="F36" s="8">
        <f>VLOOKUP(C36,'Pivot-equal'!$G$3:$H$121,2,0)</f>
        <v>25413966746.16</v>
      </c>
      <c r="G36" s="8">
        <f>VLOOKUP(C36,'Pivot-equal'!$K$3:$L$122,2,0)</f>
        <v>9711261406.9500008</v>
      </c>
      <c r="H36" s="8">
        <f>VLOOKUP(C36,'Input-equal'!temp_11,2,0)</f>
        <v>15838054203</v>
      </c>
      <c r="I36" s="8">
        <f>VLOOKUP(C36,'Input-equal'!$N$4:$O$101,2,0)</f>
        <v>7338103685.1400003</v>
      </c>
      <c r="K36" s="1">
        <f t="shared" si="1"/>
        <v>40057</v>
      </c>
      <c r="L36" s="7">
        <f t="shared" si="2"/>
        <v>0.50825588405977662</v>
      </c>
      <c r="M36" s="7">
        <f t="shared" si="3"/>
        <v>0.43278466737213633</v>
      </c>
      <c r="N36" s="7">
        <f t="shared" si="4"/>
        <v>0.16537697872000909</v>
      </c>
      <c r="O36" s="7">
        <f t="shared" si="5"/>
        <v>0.26971259892369681</v>
      </c>
      <c r="P36" s="7">
        <f t="shared" si="5"/>
        <v>0.12496352081657708</v>
      </c>
    </row>
    <row r="37" spans="2:16" x14ac:dyDescent="0.25">
      <c r="C37" s="1">
        <f>'Input-equal'!H37</f>
        <v>40087</v>
      </c>
      <c r="D37" s="8">
        <f>VLOOKUP(C37,'Input-equal'!temp,2,0)</f>
        <v>40018067422.019997</v>
      </c>
      <c r="E37" s="8">
        <f>VLOOKUP(C37,'Pivot-equal'!$C$4:$D$122,2,0)</f>
        <v>18050212522.980003</v>
      </c>
      <c r="F37" s="8">
        <f>VLOOKUP(C37,'Pivot-equal'!$G$3:$H$121,2,0)</f>
        <v>15113923941.170002</v>
      </c>
      <c r="G37" s="8">
        <f>VLOOKUP(C37,'Pivot-equal'!$K$3:$L$122,2,0)</f>
        <v>7211282362.8500004</v>
      </c>
      <c r="H37" s="8">
        <f>VLOOKUP(C37,'Input-equal'!temp_11,2,0)</f>
        <v>13765119592</v>
      </c>
      <c r="I37" s="8">
        <f>VLOOKUP(C37,'Input-equal'!$N$4:$O$101,2,0)</f>
        <v>4378143399.8699999</v>
      </c>
      <c r="K37" s="1">
        <f t="shared" si="1"/>
        <v>40087</v>
      </c>
      <c r="L37" s="7">
        <f t="shared" ref="L37:L68" si="6">E37/$D37</f>
        <v>0.45105157959346753</v>
      </c>
      <c r="M37" s="7">
        <f t="shared" ref="M37:M68" si="7">F37/$D37</f>
        <v>0.37767750705656378</v>
      </c>
      <c r="N37" s="7">
        <f t="shared" ref="N37:N68" si="8">G37/$D37</f>
        <v>0.18020066503466337</v>
      </c>
      <c r="O37" s="7">
        <f t="shared" si="5"/>
        <v>0.34397262233672293</v>
      </c>
      <c r="P37" s="7">
        <f t="shared" si="5"/>
        <v>0.10940416871457717</v>
      </c>
    </row>
    <row r="38" spans="2:16" x14ac:dyDescent="0.25">
      <c r="C38" s="1">
        <f>'Input-equal'!H38</f>
        <v>40118</v>
      </c>
      <c r="D38" s="8">
        <f>VLOOKUP(C38,'Input-equal'!temp,2,0)</f>
        <v>39630338873.360001</v>
      </c>
      <c r="E38" s="8">
        <f>VLOOKUP(C38,'Pivot-equal'!$C$4:$D$122,2,0)</f>
        <v>21036921541.490002</v>
      </c>
      <c r="F38" s="8">
        <f>VLOOKUP(C38,'Pivot-equal'!$G$3:$H$121,2,0)</f>
        <v>17714705203.989998</v>
      </c>
      <c r="G38" s="8">
        <f>VLOOKUP(C38,'Pivot-equal'!$K$3:$L$122,2,0)</f>
        <v>7751269955.25</v>
      </c>
      <c r="H38" s="8">
        <f>VLOOKUP(C38,'Input-equal'!temp_11,2,0)</f>
        <v>10790428166</v>
      </c>
      <c r="I38" s="8">
        <f>VLOOKUP(C38,'Input-equal'!$N$4:$O$101,2,0)</f>
        <v>4231296613.1300001</v>
      </c>
      <c r="K38" s="1">
        <f t="shared" si="1"/>
        <v>40118</v>
      </c>
      <c r="L38" s="7">
        <f t="shared" si="6"/>
        <v>0.53082870698416551</v>
      </c>
      <c r="M38" s="7">
        <f t="shared" si="7"/>
        <v>0.44699858006760673</v>
      </c>
      <c r="N38" s="7">
        <f t="shared" si="8"/>
        <v>0.19558929283999887</v>
      </c>
      <c r="O38" s="7">
        <f t="shared" si="5"/>
        <v>0.27227695933868123</v>
      </c>
      <c r="P38" s="7">
        <f t="shared" si="5"/>
        <v>0.10676912520610136</v>
      </c>
    </row>
    <row r="39" spans="2:16" x14ac:dyDescent="0.25">
      <c r="C39" s="1">
        <f>'Input-equal'!H39</f>
        <v>40148</v>
      </c>
      <c r="D39" s="8">
        <f>VLOOKUP(C39,'Input-equal'!temp,2,0)</f>
        <v>49380885366.279999</v>
      </c>
      <c r="E39" s="8">
        <f>VLOOKUP(C39,'Pivot-equal'!$C$4:$D$122,2,0)</f>
        <v>27010034507.779999</v>
      </c>
      <c r="F39" s="8">
        <f>VLOOKUP(C39,'Pivot-equal'!$G$3:$H$121,2,0)</f>
        <v>22935300873.869999</v>
      </c>
      <c r="G39" s="8">
        <f>VLOOKUP(C39,'Pivot-equal'!$K$3:$L$122,2,0)</f>
        <v>11583901052.780001</v>
      </c>
      <c r="H39" s="8">
        <f>VLOOKUP(C39,'Input-equal'!temp_11,2,0)</f>
        <v>12468205867</v>
      </c>
      <c r="I39" s="8">
        <f>VLOOKUP(C39,'Input-equal'!$N$4:$O$101,2,0)</f>
        <v>4688992883.8400002</v>
      </c>
      <c r="K39" s="1">
        <f t="shared" si="1"/>
        <v>40148</v>
      </c>
      <c r="L39" s="7">
        <f t="shared" si="6"/>
        <v>0.54697347581831623</v>
      </c>
      <c r="M39" s="7">
        <f t="shared" si="7"/>
        <v>0.46445706073815135</v>
      </c>
      <c r="N39" s="7">
        <f t="shared" si="8"/>
        <v>0.23458269261186898</v>
      </c>
      <c r="O39" s="7">
        <f t="shared" si="5"/>
        <v>0.25249052896718577</v>
      </c>
      <c r="P39" s="7">
        <f t="shared" si="5"/>
        <v>9.4955626029376627E-2</v>
      </c>
    </row>
    <row r="40" spans="2:16" x14ac:dyDescent="0.25">
      <c r="C40" s="1">
        <f>'Input-equal'!H40</f>
        <v>40179</v>
      </c>
      <c r="D40" s="8">
        <f>VLOOKUP(C40,'Input-equal'!temp,2,0)</f>
        <v>41171224451.529999</v>
      </c>
      <c r="E40" s="8">
        <f>VLOOKUP(C40,'Pivot-equal'!$C$4:$D$122,2,0)</f>
        <v>23918183966.340004</v>
      </c>
      <c r="F40" s="8">
        <f>VLOOKUP(C40,'Pivot-equal'!$G$3:$H$121,2,0)</f>
        <v>20858919599.690002</v>
      </c>
      <c r="G40" s="8">
        <f>VLOOKUP(C40,'Pivot-equal'!$K$3:$L$122,2,0)</f>
        <v>9978849287.2000008</v>
      </c>
      <c r="H40" s="8">
        <f>VLOOKUP(C40,'Input-equal'!temp_11,2,0)</f>
        <v>8643108800</v>
      </c>
      <c r="I40" s="8">
        <f>VLOOKUP(C40,'Input-equal'!$N$4:$O$101,2,0)</f>
        <v>4125777185.8600001</v>
      </c>
      <c r="K40" s="1">
        <f t="shared" si="1"/>
        <v>40179</v>
      </c>
      <c r="L40" s="7">
        <f t="shared" si="6"/>
        <v>0.58094419791906771</v>
      </c>
      <c r="M40" s="7">
        <f t="shared" si="7"/>
        <v>0.50663831055709219</v>
      </c>
      <c r="N40" s="7">
        <f t="shared" si="8"/>
        <v>0.24237436268012594</v>
      </c>
      <c r="O40" s="7">
        <f t="shared" si="5"/>
        <v>0.20993081734004163</v>
      </c>
      <c r="P40" s="7">
        <f t="shared" si="5"/>
        <v>0.1002102133425055</v>
      </c>
    </row>
    <row r="41" spans="2:16" x14ac:dyDescent="0.25">
      <c r="C41" s="1">
        <f>'Input-equal'!H41</f>
        <v>40210</v>
      </c>
      <c r="D41" s="8">
        <f>VLOOKUP(C41,'Input-equal'!temp,2,0)</f>
        <v>43331380880.580002</v>
      </c>
      <c r="E41" s="8">
        <f>VLOOKUP(C41,'Pivot-equal'!$C$4:$D$122,2,0)</f>
        <v>25219459831.370003</v>
      </c>
      <c r="F41" s="8">
        <f>VLOOKUP(C41,'Pivot-equal'!$G$3:$H$121,2,0)</f>
        <v>22732499809.770004</v>
      </c>
      <c r="G41" s="8">
        <f>VLOOKUP(C41,'Pivot-equal'!$K$3:$L$122,2,0)</f>
        <v>9807430995.9200001</v>
      </c>
      <c r="H41" s="8">
        <f>VLOOKUP(C41,'Input-equal'!temp_11,2,0)</f>
        <v>10644755641</v>
      </c>
      <c r="I41" s="8">
        <f>VLOOKUP(C41,'Input-equal'!$N$4:$O$101,2,0)</f>
        <v>3147930164.52</v>
      </c>
      <c r="K41" s="1">
        <f t="shared" si="1"/>
        <v>40210</v>
      </c>
      <c r="L41" s="7">
        <f t="shared" si="6"/>
        <v>0.58201375813233569</v>
      </c>
      <c r="M41" s="7">
        <f t="shared" si="7"/>
        <v>0.52461978704117684</v>
      </c>
      <c r="N41" s="7">
        <f t="shared" si="8"/>
        <v>0.22633552858490683</v>
      </c>
      <c r="O41" s="7">
        <f t="shared" si="5"/>
        <v>0.24565927567221157</v>
      </c>
      <c r="P41" s="7">
        <f t="shared" si="5"/>
        <v>7.2647815521863987E-2</v>
      </c>
    </row>
    <row r="42" spans="2:16" x14ac:dyDescent="0.25">
      <c r="C42" s="1">
        <f>'Input-equal'!H42</f>
        <v>40238</v>
      </c>
      <c r="D42" s="8">
        <f>VLOOKUP(C42,'Input-equal'!temp,2,0)</f>
        <v>36714521904.68</v>
      </c>
      <c r="E42" s="8">
        <f>VLOOKUP(C42,'Pivot-equal'!$C$4:$D$122,2,0)</f>
        <v>18730250800.600002</v>
      </c>
      <c r="F42" s="8">
        <f>VLOOKUP(C42,'Pivot-equal'!$G$3:$H$121,2,0)</f>
        <v>16626538345.559999</v>
      </c>
      <c r="G42" s="8">
        <f>VLOOKUP(C42,'Pivot-equal'!$K$3:$L$122,2,0)</f>
        <v>7752148414.0900002</v>
      </c>
      <c r="H42" s="8">
        <f>VLOOKUP(C42,'Input-equal'!temp_11,2,0)</f>
        <v>12061455302</v>
      </c>
      <c r="I42" s="8">
        <f>VLOOKUP(C42,'Input-equal'!$N$4:$O$101,2,0)</f>
        <v>3145361847.5</v>
      </c>
      <c r="K42" s="1">
        <f t="shared" si="1"/>
        <v>40238</v>
      </c>
      <c r="L42" s="7">
        <f t="shared" si="6"/>
        <v>0.51015919121126996</v>
      </c>
      <c r="M42" s="7">
        <f t="shared" si="7"/>
        <v>0.45285999879629685</v>
      </c>
      <c r="N42" s="7">
        <f t="shared" si="8"/>
        <v>0.21114665292977255</v>
      </c>
      <c r="O42" s="7">
        <f t="shared" si="5"/>
        <v>0.32852001541282566</v>
      </c>
      <c r="P42" s="7">
        <f t="shared" si="5"/>
        <v>8.5670783230301598E-2</v>
      </c>
    </row>
    <row r="43" spans="2:16" x14ac:dyDescent="0.25">
      <c r="C43" s="1">
        <f>'Input-equal'!H43</f>
        <v>40269</v>
      </c>
      <c r="D43" s="8">
        <f>VLOOKUP(C43,'Input-equal'!temp,2,0)</f>
        <v>36544416365.050003</v>
      </c>
      <c r="E43" s="8">
        <f>VLOOKUP(C43,'Pivot-equal'!$C$4:$D$122,2,0)</f>
        <v>21401297125.709999</v>
      </c>
      <c r="F43" s="8">
        <f>VLOOKUP(C43,'Pivot-equal'!$G$3:$H$121,2,0)</f>
        <v>18926472017.360001</v>
      </c>
      <c r="G43" s="8">
        <f>VLOOKUP(C43,'Pivot-equal'!$K$3:$L$122,2,0)</f>
        <v>8759856160.0100002</v>
      </c>
      <c r="H43" s="8">
        <f>VLOOKUP(C43,'Input-equal'!temp_11,2,0)</f>
        <v>8738434979</v>
      </c>
      <c r="I43" s="8">
        <f>VLOOKUP(C43,'Input-equal'!$N$4:$O$101,2,0)</f>
        <v>3207869920.6599998</v>
      </c>
      <c r="K43" s="1">
        <f t="shared" si="1"/>
        <v>40269</v>
      </c>
      <c r="L43" s="7">
        <f t="shared" si="6"/>
        <v>0.5856242691613367</v>
      </c>
      <c r="M43" s="7">
        <f t="shared" si="7"/>
        <v>0.51790325034334705</v>
      </c>
      <c r="N43" s="7">
        <f t="shared" si="8"/>
        <v>0.23970436612000917</v>
      </c>
      <c r="O43" s="7">
        <f t="shared" si="5"/>
        <v>0.23911819774900497</v>
      </c>
      <c r="P43" s="7">
        <f t="shared" si="5"/>
        <v>8.7780028790606479E-2</v>
      </c>
    </row>
    <row r="44" spans="2:16" x14ac:dyDescent="0.25">
      <c r="C44" s="1">
        <f>'Input-equal'!H44</f>
        <v>40299</v>
      </c>
      <c r="D44" s="8">
        <f>VLOOKUP(C44,'Input-equal'!temp,2,0)</f>
        <v>36336611081.309998</v>
      </c>
      <c r="E44" s="8">
        <f>VLOOKUP(C44,'Pivot-equal'!$C$4:$D$122,2,0)</f>
        <v>22794601006.109997</v>
      </c>
      <c r="F44" s="8">
        <f>VLOOKUP(C44,'Pivot-equal'!$G$3:$H$121,2,0)</f>
        <v>19737345072.869999</v>
      </c>
      <c r="G44" s="8">
        <f>VLOOKUP(C44,'Pivot-equal'!$K$3:$L$122,2,0)</f>
        <v>7983117228.6700001</v>
      </c>
      <c r="H44" s="8">
        <f>VLOOKUP(C44,'Input-equal'!temp_11,2,0)</f>
        <v>7568970433</v>
      </c>
      <c r="I44" s="8">
        <f>VLOOKUP(C44,'Input-equal'!$N$4:$O$101,2,0)</f>
        <v>2918527916.4299998</v>
      </c>
      <c r="K44" s="1">
        <f t="shared" si="1"/>
        <v>40299</v>
      </c>
      <c r="L44" s="7">
        <f t="shared" si="6"/>
        <v>0.62731774724678624</v>
      </c>
      <c r="M44" s="7">
        <f t="shared" si="7"/>
        <v>0.54318067881190069</v>
      </c>
      <c r="N44" s="7">
        <f t="shared" si="8"/>
        <v>0.21969900304698955</v>
      </c>
      <c r="O44" s="7">
        <f t="shared" si="5"/>
        <v>0.20830149559250327</v>
      </c>
      <c r="P44" s="7">
        <f t="shared" si="5"/>
        <v>8.0319210558718449E-2</v>
      </c>
    </row>
    <row r="45" spans="2:16" x14ac:dyDescent="0.25">
      <c r="C45" s="1">
        <f>'Input-equal'!H45</f>
        <v>40330</v>
      </c>
      <c r="D45" s="8">
        <f>VLOOKUP(C45,'Input-equal'!temp,2,0)</f>
        <v>37643702495.970001</v>
      </c>
      <c r="E45" s="8">
        <f>VLOOKUP(C45,'Pivot-equal'!$C$4:$D$122,2,0)</f>
        <v>26357643573.190002</v>
      </c>
      <c r="F45" s="8">
        <f>VLOOKUP(C45,'Pivot-equal'!$G$3:$H$121,2,0)</f>
        <v>23095750779.380001</v>
      </c>
      <c r="G45" s="8">
        <f>VLOOKUP(C45,'Pivot-equal'!$K$3:$L$122,2,0)</f>
        <v>8159699856.3800001</v>
      </c>
      <c r="H45" s="8">
        <f>VLOOKUP(C45,'Input-equal'!temp_11,2,0)</f>
        <v>1496216485</v>
      </c>
      <c r="I45" s="8">
        <f>VLOOKUP(C45,'Input-equal'!$N$4:$O$101,2,0)</f>
        <v>5301984165.71</v>
      </c>
      <c r="K45" s="1">
        <f t="shared" si="1"/>
        <v>40330</v>
      </c>
      <c r="L45" s="7">
        <f t="shared" si="6"/>
        <v>0.70018733082941975</v>
      </c>
      <c r="M45" s="7">
        <f t="shared" si="7"/>
        <v>0.61353557827773575</v>
      </c>
      <c r="N45" s="7">
        <f t="shared" si="8"/>
        <v>0.21676135224088405</v>
      </c>
      <c r="O45" s="7">
        <f t="shared" si="5"/>
        <v>3.974679390690062E-2</v>
      </c>
      <c r="P45" s="7">
        <f t="shared" si="5"/>
        <v>0.14084651121333272</v>
      </c>
    </row>
    <row r="46" spans="2:16" x14ac:dyDescent="0.25">
      <c r="C46" s="1">
        <f>'Input-equal'!H46</f>
        <v>40360</v>
      </c>
      <c r="D46" s="8">
        <f>VLOOKUP(C46,'Input-equal'!temp,2,0)</f>
        <v>40829244339.580002</v>
      </c>
      <c r="E46" s="8">
        <f>VLOOKUP(C46,'Pivot-equal'!$C$4:$D$122,2,0)</f>
        <v>28451985439.279999</v>
      </c>
      <c r="F46" s="8">
        <f>VLOOKUP(C46,'Pivot-equal'!$G$3:$H$121,2,0)</f>
        <v>25054192083.110001</v>
      </c>
      <c r="G46" s="8">
        <f>VLOOKUP(C46,'Pivot-equal'!$K$3:$L$122,2,0)</f>
        <v>8955541938.4400005</v>
      </c>
      <c r="H46" s="8">
        <f>VLOOKUP(C46,'Input-equal'!temp_11,2,0)</f>
        <v>1567537459</v>
      </c>
      <c r="I46" s="8">
        <f>VLOOKUP(C46,'Input-equal'!$N$4:$O$101,2,0)</f>
        <v>4951045886.9799995</v>
      </c>
      <c r="K46" s="1">
        <f t="shared" si="1"/>
        <v>40360</v>
      </c>
      <c r="L46" s="7">
        <f t="shared" si="6"/>
        <v>0.69685309878974544</v>
      </c>
      <c r="M46" s="7">
        <f t="shared" si="7"/>
        <v>0.61363349942831014</v>
      </c>
      <c r="N46" s="7">
        <f t="shared" si="8"/>
        <v>0.21934135895232498</v>
      </c>
      <c r="O46" s="7">
        <f t="shared" si="5"/>
        <v>3.8392517039077895E-2</v>
      </c>
      <c r="P46" s="7">
        <f t="shared" si="5"/>
        <v>0.12126224638893059</v>
      </c>
    </row>
    <row r="47" spans="2:16" x14ac:dyDescent="0.25">
      <c r="C47" s="1">
        <f>'Input-equal'!H47</f>
        <v>40391</v>
      </c>
      <c r="D47" s="8">
        <f>VLOOKUP(C47,'Input-equal'!temp,2,0)</f>
        <v>46909004959.040001</v>
      </c>
      <c r="E47" s="8">
        <f>VLOOKUP(C47,'Pivot-equal'!$C$4:$D$122,2,0)</f>
        <v>30182508162.220001</v>
      </c>
      <c r="F47" s="8">
        <f>VLOOKUP(C47,'Pivot-equal'!$G$3:$H$121,2,0)</f>
        <v>25021597638.75</v>
      </c>
      <c r="G47" s="8">
        <f>VLOOKUP(C47,'Pivot-equal'!$K$3:$L$122,2,0)</f>
        <v>10445666888.360001</v>
      </c>
      <c r="H47" s="8">
        <f>VLOOKUP(C47,'Input-equal'!temp_11,2,0)</f>
        <v>2325261137</v>
      </c>
      <c r="I47" s="8">
        <f>VLOOKUP(C47,'Input-equal'!$N$4:$O$101,2,0)</f>
        <v>7575320361.9300003</v>
      </c>
      <c r="K47" s="1">
        <f t="shared" si="1"/>
        <v>40391</v>
      </c>
      <c r="L47" s="7">
        <f t="shared" si="6"/>
        <v>0.64342674052827942</v>
      </c>
      <c r="M47" s="7">
        <f t="shared" si="7"/>
        <v>0.5334071285587566</v>
      </c>
      <c r="N47" s="7">
        <f t="shared" si="8"/>
        <v>0.22267935330286684</v>
      </c>
      <c r="O47" s="7">
        <f t="shared" si="5"/>
        <v>4.9569611187241583E-2</v>
      </c>
      <c r="P47" s="7">
        <f t="shared" si="5"/>
        <v>0.1614896834529877</v>
      </c>
    </row>
    <row r="48" spans="2:16" x14ac:dyDescent="0.25">
      <c r="C48" s="1">
        <f>'Input-equal'!H48</f>
        <v>40422</v>
      </c>
      <c r="D48" s="8">
        <f>VLOOKUP(C48,'Input-equal'!temp,2,0)</f>
        <v>69384338986.350006</v>
      </c>
      <c r="E48" s="8">
        <f>VLOOKUP(C48,'Pivot-equal'!$C$4:$D$122,2,0)</f>
        <v>50042935375.950005</v>
      </c>
      <c r="F48" s="8">
        <f>VLOOKUP(C48,'Pivot-equal'!$G$3:$H$121,2,0)</f>
        <v>43137598077.989998</v>
      </c>
      <c r="G48" s="8">
        <f>VLOOKUP(C48,'Pivot-equal'!$K$3:$L$122,2,0)</f>
        <v>13523481421.540001</v>
      </c>
      <c r="H48" s="8">
        <f>VLOOKUP(C48,'Input-equal'!temp_11,2,0)</f>
        <v>1655819481</v>
      </c>
      <c r="I48" s="8">
        <f>VLOOKUP(C48,'Input-equal'!$N$4:$O$101,2,0)</f>
        <v>9668182653.7099991</v>
      </c>
      <c r="K48" s="1">
        <f t="shared" si="1"/>
        <v>40422</v>
      </c>
      <c r="L48" s="7">
        <f t="shared" si="6"/>
        <v>0.72124251822583418</v>
      </c>
      <c r="M48" s="7">
        <f t="shared" si="7"/>
        <v>0.62171952213130499</v>
      </c>
      <c r="N48" s="7">
        <f t="shared" si="8"/>
        <v>0.19490682795436703</v>
      </c>
      <c r="O48" s="7">
        <f t="shared" si="5"/>
        <v>2.386445565656754E-2</v>
      </c>
      <c r="P48" s="7">
        <f t="shared" si="5"/>
        <v>0.13934243368106486</v>
      </c>
    </row>
    <row r="49" spans="3:16" x14ac:dyDescent="0.25">
      <c r="C49" s="1">
        <f>'Input-equal'!H49</f>
        <v>40452</v>
      </c>
      <c r="D49" s="8">
        <f>VLOOKUP(C49,'Input-equal'!temp,2,0)</f>
        <v>68963882096.149994</v>
      </c>
      <c r="E49" s="8">
        <f>VLOOKUP(C49,'Pivot-equal'!$C$4:$D$122,2,0)</f>
        <v>44177303696.580002</v>
      </c>
      <c r="F49" s="8">
        <f>VLOOKUP(C49,'Pivot-equal'!$G$3:$H$121,2,0)</f>
        <v>37554288902.369995</v>
      </c>
      <c r="G49" s="8">
        <f>VLOOKUP(C49,'Pivot-equal'!$K$3:$L$122,2,0)</f>
        <v>13935891180.24</v>
      </c>
      <c r="H49" s="8">
        <f>VLOOKUP(C49,'Input-equal'!temp_11,2,0)</f>
        <v>2453232976</v>
      </c>
      <c r="I49" s="8">
        <f>VLOOKUP(C49,'Input-equal'!$N$4:$O$101,2,0)</f>
        <v>11073355450.33</v>
      </c>
      <c r="K49" s="1">
        <f t="shared" si="1"/>
        <v>40452</v>
      </c>
      <c r="L49" s="7">
        <f t="shared" si="6"/>
        <v>0.64058609164413993</v>
      </c>
      <c r="M49" s="7">
        <f t="shared" si="7"/>
        <v>0.54455010015259153</v>
      </c>
      <c r="N49" s="7">
        <f t="shared" si="8"/>
        <v>0.20207521323713287</v>
      </c>
      <c r="O49" s="7">
        <f t="shared" si="5"/>
        <v>3.5572721567206485E-2</v>
      </c>
      <c r="P49" s="7">
        <f t="shared" si="5"/>
        <v>0.16056746102099415</v>
      </c>
    </row>
    <row r="50" spans="3:16" x14ac:dyDescent="0.25">
      <c r="C50" s="1">
        <f>'Input-equal'!H50</f>
        <v>40483</v>
      </c>
      <c r="D50" s="8">
        <f>VLOOKUP(C50,'Input-equal'!temp,2,0)</f>
        <v>71397253151.929993</v>
      </c>
      <c r="E50" s="8">
        <f>VLOOKUP(C50,'Pivot-equal'!$C$4:$D$122,2,0)</f>
        <v>44633959622.000008</v>
      </c>
      <c r="F50" s="8">
        <f>VLOOKUP(C50,'Pivot-equal'!$G$3:$H$121,2,0)</f>
        <v>36330744156.989998</v>
      </c>
      <c r="G50" s="8">
        <f>VLOOKUP(C50,'Pivot-equal'!$K$3:$L$122,2,0)</f>
        <v>13909502726.82</v>
      </c>
      <c r="H50" s="8">
        <f>VLOOKUP(C50,'Input-equal'!temp_11,2,0)</f>
        <v>2036722469</v>
      </c>
      <c r="I50" s="8">
        <f>VLOOKUP(C50,'Input-equal'!$N$4:$O$101,2,0)</f>
        <v>10674086513.9</v>
      </c>
      <c r="K50" s="1">
        <f t="shared" si="1"/>
        <v>40483</v>
      </c>
      <c r="L50" s="7">
        <f t="shared" si="6"/>
        <v>0.62514953519319638</v>
      </c>
      <c r="M50" s="7">
        <f t="shared" si="7"/>
        <v>0.50885352801570505</v>
      </c>
      <c r="N50" s="7">
        <f t="shared" si="8"/>
        <v>0.19481845747232365</v>
      </c>
      <c r="O50" s="7">
        <f t="shared" si="5"/>
        <v>2.852662223105349E-2</v>
      </c>
      <c r="P50" s="7">
        <f t="shared" si="5"/>
        <v>0.14950276155843203</v>
      </c>
    </row>
    <row r="51" spans="3:16" x14ac:dyDescent="0.25">
      <c r="C51" s="1">
        <f>'Input-equal'!H51</f>
        <v>40513</v>
      </c>
      <c r="D51" s="8">
        <f>VLOOKUP(C51,'Input-equal'!temp,2,0)</f>
        <v>81193901238.820007</v>
      </c>
      <c r="E51" s="8">
        <f>VLOOKUP(C51,'Pivot-equal'!$C$4:$D$122,2,0)</f>
        <v>55384789442.399994</v>
      </c>
      <c r="F51" s="8">
        <f>VLOOKUP(C51,'Pivot-equal'!$G$3:$H$121,2,0)</f>
        <v>48267923274.330002</v>
      </c>
      <c r="G51" s="8">
        <f>VLOOKUP(C51,'Pivot-equal'!$K$3:$L$122,2,0)</f>
        <v>14878642995.780001</v>
      </c>
      <c r="H51" s="8">
        <f>VLOOKUP(C51,'Input-equal'!temp_11,2,0)</f>
        <v>1711261234</v>
      </c>
      <c r="I51" s="8">
        <f>VLOOKUP(C51,'Input-equal'!$N$4:$O$101,2,0)</f>
        <v>11160184048.27</v>
      </c>
      <c r="K51" s="1">
        <f t="shared" si="1"/>
        <v>40513</v>
      </c>
      <c r="L51" s="7">
        <f t="shared" si="6"/>
        <v>0.68212992105766324</v>
      </c>
      <c r="M51" s="7">
        <f t="shared" si="7"/>
        <v>0.59447720257161862</v>
      </c>
      <c r="N51" s="7">
        <f t="shared" si="8"/>
        <v>0.18324828304550417</v>
      </c>
      <c r="O51" s="7">
        <f t="shared" si="5"/>
        <v>2.1076228730118225E-2</v>
      </c>
      <c r="P51" s="7">
        <f t="shared" si="5"/>
        <v>0.13745101390613007</v>
      </c>
    </row>
    <row r="52" spans="3:16" x14ac:dyDescent="0.25">
      <c r="C52" s="1">
        <f>'Input-equal'!H52</f>
        <v>40544</v>
      </c>
      <c r="D52" s="8">
        <f>VLOOKUP(C52,'Input-equal'!temp,2,0)</f>
        <v>66493575674.870003</v>
      </c>
      <c r="E52" s="8">
        <f>VLOOKUP(C52,'Pivot-equal'!$C$4:$D$122,2,0)</f>
        <v>46227404593.440002</v>
      </c>
      <c r="F52" s="8">
        <f>VLOOKUP(C52,'Pivot-equal'!$G$3:$H$121,2,0)</f>
        <v>38924897504.110001</v>
      </c>
      <c r="G52" s="8">
        <f>VLOOKUP(C52,'Pivot-equal'!$K$3:$L$122,2,0)</f>
        <v>15157548488.809999</v>
      </c>
      <c r="H52" s="8">
        <f>VLOOKUP(C52,'Input-equal'!temp_11,2,0)</f>
        <v>2120138158</v>
      </c>
      <c r="I52" s="8">
        <f>VLOOKUP(C52,'Input-equal'!$N$4:$O$101,2,0)</f>
        <v>8517864186.6400003</v>
      </c>
      <c r="K52" s="1">
        <f t="shared" si="1"/>
        <v>40544</v>
      </c>
      <c r="L52" s="7">
        <f t="shared" si="6"/>
        <v>0.69521610357481167</v>
      </c>
      <c r="M52" s="7">
        <f t="shared" si="7"/>
        <v>0.58539335731377928</v>
      </c>
      <c r="N52" s="7">
        <f t="shared" si="8"/>
        <v>0.22795508190031824</v>
      </c>
      <c r="O52" s="7">
        <f t="shared" si="5"/>
        <v>3.1884857093062997E-2</v>
      </c>
      <c r="P52" s="7">
        <f t="shared" si="5"/>
        <v>0.12810055859064243</v>
      </c>
    </row>
    <row r="53" spans="3:16" x14ac:dyDescent="0.25">
      <c r="C53" s="1">
        <f>'Input-equal'!H53</f>
        <v>40575</v>
      </c>
      <c r="D53" s="8">
        <f>VLOOKUP(C53,'Input-equal'!temp,2,0)</f>
        <v>51211208108.309998</v>
      </c>
      <c r="E53" s="8">
        <f>VLOOKUP(C53,'Pivot-equal'!$C$4:$D$122,2,0)</f>
        <v>36643166088.080002</v>
      </c>
      <c r="F53" s="8">
        <f>VLOOKUP(C53,'Pivot-equal'!$G$3:$H$121,2,0)</f>
        <v>31432931957.270004</v>
      </c>
      <c r="G53" s="8">
        <f>VLOOKUP(C53,'Pivot-equal'!$K$3:$L$122,2,0)</f>
        <v>12839332402.040001</v>
      </c>
      <c r="H53" s="8">
        <f>VLOOKUP(C53,'Input-equal'!temp_11,2,0)</f>
        <v>2110053328</v>
      </c>
      <c r="I53" s="8">
        <f>VLOOKUP(C53,'Input-equal'!$N$4:$O$101,2,0)</f>
        <v>4479674519.2200003</v>
      </c>
      <c r="K53" s="1">
        <f t="shared" si="1"/>
        <v>40575</v>
      </c>
      <c r="L53" s="7">
        <f t="shared" si="6"/>
        <v>0.71553020211085294</v>
      </c>
      <c r="M53" s="7">
        <f t="shared" si="7"/>
        <v>0.61379008850543815</v>
      </c>
      <c r="N53" s="7">
        <f t="shared" si="8"/>
        <v>0.25071332773257843</v>
      </c>
      <c r="O53" s="7">
        <f t="shared" si="5"/>
        <v>4.1202959390009071E-2</v>
      </c>
      <c r="P53" s="7">
        <f t="shared" si="5"/>
        <v>8.7474494055005264E-2</v>
      </c>
    </row>
    <row r="54" spans="3:16" x14ac:dyDescent="0.25">
      <c r="C54" s="1">
        <f>'Input-equal'!H54</f>
        <v>40603</v>
      </c>
      <c r="D54" s="8">
        <f>VLOOKUP(C54,'Input-equal'!temp,2,0)</f>
        <v>52478992160.580002</v>
      </c>
      <c r="E54" s="8">
        <f>VLOOKUP(C54,'Pivot-equal'!$C$4:$D$122,2,0)</f>
        <v>38292325978.140007</v>
      </c>
      <c r="F54" s="8">
        <f>VLOOKUP(C54,'Pivot-equal'!$G$3:$H$121,2,0)</f>
        <v>33049785948.009998</v>
      </c>
      <c r="G54" s="8">
        <f>VLOOKUP(C54,'Pivot-equal'!$K$3:$L$122,2,0)</f>
        <v>9636191150.4599991</v>
      </c>
      <c r="H54" s="8">
        <f>VLOOKUP(C54,'Input-equal'!temp_11,2,0)</f>
        <v>1193495971</v>
      </c>
      <c r="I54" s="8">
        <f>VLOOKUP(C54,'Input-equal'!$N$4:$O$101,2,0)</f>
        <v>5797901031.5200005</v>
      </c>
      <c r="K54" s="1">
        <f t="shared" si="1"/>
        <v>40603</v>
      </c>
      <c r="L54" s="7">
        <f t="shared" si="6"/>
        <v>0.72966961448058409</v>
      </c>
      <c r="M54" s="7">
        <f t="shared" si="7"/>
        <v>0.6297717350760329</v>
      </c>
      <c r="N54" s="7">
        <f t="shared" si="8"/>
        <v>0.18361997351195891</v>
      </c>
      <c r="O54" s="7">
        <f t="shared" si="5"/>
        <v>2.2742356929188585E-2</v>
      </c>
      <c r="P54" s="7">
        <f t="shared" si="5"/>
        <v>0.1104804187888947</v>
      </c>
    </row>
    <row r="55" spans="3:16" x14ac:dyDescent="0.25">
      <c r="C55" s="1">
        <f>'Input-equal'!H55</f>
        <v>40634</v>
      </c>
      <c r="D55" s="8">
        <f>VLOOKUP(C55,'Input-equal'!temp,2,0)</f>
        <v>33088841042.959999</v>
      </c>
      <c r="E55" s="8">
        <f>VLOOKUP(C55,'Pivot-equal'!$C$4:$D$122,2,0)</f>
        <v>22351455715.170002</v>
      </c>
      <c r="F55" s="8">
        <f>VLOOKUP(C55,'Pivot-equal'!$G$3:$H$121,2,0)</f>
        <v>19178248214.91</v>
      </c>
      <c r="G55" s="8">
        <f>VLOOKUP(C55,'Pivot-equal'!$K$3:$L$122,2,0)</f>
        <v>7444150512.3199997</v>
      </c>
      <c r="H55" s="8">
        <f>VLOOKUP(C55,'Input-equal'!temp_11,2,0)</f>
        <v>2188332466</v>
      </c>
      <c r="I55" s="8">
        <f>VLOOKUP(C55,'Input-equal'!$N$4:$O$101,2,0)</f>
        <v>3228781954.9899998</v>
      </c>
      <c r="K55" s="1">
        <f t="shared" si="1"/>
        <v>40634</v>
      </c>
      <c r="L55" s="7">
        <f t="shared" si="6"/>
        <v>0.67549829521531435</v>
      </c>
      <c r="M55" s="7">
        <f t="shared" si="7"/>
        <v>0.57959866862699849</v>
      </c>
      <c r="N55" s="7">
        <f t="shared" si="8"/>
        <v>0.22497465241091669</v>
      </c>
      <c r="O55" s="7">
        <f t="shared" si="5"/>
        <v>6.6135059343989652E-2</v>
      </c>
      <c r="P55" s="7">
        <f t="shared" si="5"/>
        <v>9.7579179361344151E-2</v>
      </c>
    </row>
    <row r="56" spans="3:16" x14ac:dyDescent="0.25">
      <c r="C56" s="1">
        <f>'Input-equal'!H56</f>
        <v>40664</v>
      </c>
      <c r="D56" s="8">
        <f>VLOOKUP(C56,'Input-equal'!temp,2,0)</f>
        <v>30964833391.43</v>
      </c>
      <c r="E56" s="8">
        <f>VLOOKUP(C56,'Pivot-equal'!$C$4:$D$122,2,0)</f>
        <v>20570231744.970005</v>
      </c>
      <c r="F56" s="8">
        <f>VLOOKUP(C56,'Pivot-equal'!$G$3:$H$121,2,0)</f>
        <v>17640079186.739998</v>
      </c>
      <c r="G56" s="8">
        <f>VLOOKUP(C56,'Pivot-equal'!$K$3:$L$122,2,0)</f>
        <v>6796796476.5</v>
      </c>
      <c r="H56" s="8">
        <f>VLOOKUP(C56,'Input-equal'!temp_11,2,0)</f>
        <v>2161250449</v>
      </c>
      <c r="I56" s="8">
        <f>VLOOKUP(C56,'Input-equal'!$N$4:$O$101,2,0)</f>
        <v>3299942197.6599998</v>
      </c>
      <c r="K56" s="1">
        <f t="shared" si="1"/>
        <v>40664</v>
      </c>
      <c r="L56" s="7">
        <f t="shared" si="6"/>
        <v>0.66430945986175194</v>
      </c>
      <c r="M56" s="7">
        <f t="shared" si="7"/>
        <v>0.5696810625056411</v>
      </c>
      <c r="N56" s="7">
        <f t="shared" si="8"/>
        <v>0.21950050208831801</v>
      </c>
      <c r="O56" s="7">
        <f t="shared" si="5"/>
        <v>6.9796934531485638E-2</v>
      </c>
      <c r="P56" s="7">
        <f t="shared" si="5"/>
        <v>0.10657064276578056</v>
      </c>
    </row>
    <row r="57" spans="3:16" x14ac:dyDescent="0.25">
      <c r="C57" s="1">
        <f>'Input-equal'!H57</f>
        <v>40695</v>
      </c>
      <c r="D57" s="8">
        <f>VLOOKUP(C57,'Input-equal'!temp,2,0)</f>
        <v>34031377587.419998</v>
      </c>
      <c r="E57" s="8">
        <f>VLOOKUP(C57,'Pivot-equal'!$C$4:$D$122,2,0)</f>
        <v>24595603786.650002</v>
      </c>
      <c r="F57" s="8">
        <f>VLOOKUP(C57,'Pivot-equal'!$G$3:$H$121,2,0)</f>
        <v>21250587531.379997</v>
      </c>
      <c r="G57" s="8">
        <f>VLOOKUP(C57,'Pivot-equal'!$K$3:$L$122,2,0)</f>
        <v>8100182361.9399996</v>
      </c>
      <c r="H57" s="8">
        <f>VLOOKUP(C57,'Input-equal'!temp_11,2,0)</f>
        <v>1087066702</v>
      </c>
      <c r="I57" s="8">
        <f>VLOOKUP(C57,'Input-equal'!$N$4:$O$101,2,0)</f>
        <v>3706296422.1300001</v>
      </c>
      <c r="K57" s="1">
        <f t="shared" si="1"/>
        <v>40695</v>
      </c>
      <c r="L57" s="7">
        <f t="shared" si="6"/>
        <v>0.72273312249757371</v>
      </c>
      <c r="M57" s="7">
        <f t="shared" si="7"/>
        <v>0.62444100233060995</v>
      </c>
      <c r="N57" s="7">
        <f t="shared" si="8"/>
        <v>0.23802099521631778</v>
      </c>
      <c r="O57" s="7">
        <f t="shared" si="5"/>
        <v>3.1943070750149238E-2</v>
      </c>
      <c r="P57" s="7">
        <f t="shared" si="5"/>
        <v>0.10890821015426851</v>
      </c>
    </row>
    <row r="58" spans="3:16" x14ac:dyDescent="0.25">
      <c r="C58" s="1">
        <f>'Input-equal'!H58</f>
        <v>40725</v>
      </c>
      <c r="D58" s="8">
        <f>VLOOKUP(C58,'Input-equal'!temp,2,0)</f>
        <v>30621365146.98</v>
      </c>
      <c r="E58" s="8">
        <f>VLOOKUP(C58,'Pivot-equal'!$C$4:$D$122,2,0)</f>
        <v>20071516146.039997</v>
      </c>
      <c r="F58" s="8">
        <f>VLOOKUP(C58,'Pivot-equal'!$G$3:$H$121,2,0)</f>
        <v>17100427033.15</v>
      </c>
      <c r="G58" s="8">
        <f>VLOOKUP(C58,'Pivot-equal'!$K$3:$L$122,2,0)</f>
        <v>5308788048.8400002</v>
      </c>
      <c r="H58" s="8">
        <f>VLOOKUP(C58,'Input-equal'!temp_11,2,0)</f>
        <v>2279698435</v>
      </c>
      <c r="I58" s="8">
        <f>VLOOKUP(C58,'Input-equal'!$N$4:$O$101,2,0)</f>
        <v>3822528101.79</v>
      </c>
      <c r="K58" s="1">
        <f t="shared" si="1"/>
        <v>40725</v>
      </c>
      <c r="L58" s="7">
        <f t="shared" si="6"/>
        <v>0.65547424321869363</v>
      </c>
      <c r="M58" s="7">
        <f t="shared" si="7"/>
        <v>0.55844757250597343</v>
      </c>
      <c r="N58" s="7">
        <f t="shared" si="8"/>
        <v>0.1733687581647082</v>
      </c>
      <c r="O58" s="7">
        <f t="shared" si="5"/>
        <v>7.4447968732211559E-2</v>
      </c>
      <c r="P58" s="7">
        <f t="shared" si="5"/>
        <v>0.12483206034225397</v>
      </c>
    </row>
    <row r="59" spans="3:16" x14ac:dyDescent="0.25">
      <c r="C59" s="1">
        <f>'Input-equal'!H59</f>
        <v>40756</v>
      </c>
      <c r="D59" s="8">
        <f>VLOOKUP(C59,'Input-equal'!temp,2,0)</f>
        <v>38171516998.550003</v>
      </c>
      <c r="E59" s="8">
        <f>VLOOKUP(C59,'Pivot-equal'!$C$4:$D$122,2,0)</f>
        <v>26643806156.700001</v>
      </c>
      <c r="F59" s="8">
        <f>VLOOKUP(C59,'Pivot-equal'!$G$3:$H$121,2,0)</f>
        <v>22450886954</v>
      </c>
      <c r="G59" s="8">
        <f>VLOOKUP(C59,'Pivot-equal'!$K$3:$L$122,2,0)</f>
        <v>8975675585.0300007</v>
      </c>
      <c r="H59" s="8">
        <f>VLOOKUP(C59,'Input-equal'!temp_11,2,0)</f>
        <v>1994047984</v>
      </c>
      <c r="I59" s="8">
        <f>VLOOKUP(C59,'Input-equal'!$N$4:$O$101,2,0)</f>
        <v>4799907967.0299997</v>
      </c>
      <c r="K59" s="1">
        <f t="shared" si="1"/>
        <v>40756</v>
      </c>
      <c r="L59" s="7">
        <f t="shared" si="6"/>
        <v>0.69800228682847743</v>
      </c>
      <c r="M59" s="7">
        <f t="shared" si="7"/>
        <v>0.58815810110069311</v>
      </c>
      <c r="N59" s="7">
        <f t="shared" si="8"/>
        <v>0.23514065698177397</v>
      </c>
      <c r="O59" s="7">
        <f t="shared" si="5"/>
        <v>5.2239160001834525E-2</v>
      </c>
      <c r="P59" s="7">
        <f t="shared" si="5"/>
        <v>0.12574580065058275</v>
      </c>
    </row>
    <row r="60" spans="3:16" x14ac:dyDescent="0.25">
      <c r="C60" s="1">
        <f>'Input-equal'!H60</f>
        <v>40787</v>
      </c>
      <c r="D60" s="8">
        <f>VLOOKUP(C60,'Input-equal'!temp,2,0)</f>
        <v>45345536322.599998</v>
      </c>
      <c r="E60" s="8">
        <f>VLOOKUP(C60,'Pivot-equal'!$C$4:$D$122,2,0)</f>
        <v>31978531591.070004</v>
      </c>
      <c r="F60" s="8">
        <f>VLOOKUP(C60,'Pivot-equal'!$G$3:$H$121,2,0)</f>
        <v>27361561800.900002</v>
      </c>
      <c r="G60" s="8">
        <f>VLOOKUP(C60,'Pivot-equal'!$K$3:$L$122,2,0)</f>
        <v>9862037476.5100002</v>
      </c>
      <c r="H60" s="8">
        <f>VLOOKUP(C60,'Input-equal'!temp_11,2,0)</f>
        <v>876898783</v>
      </c>
      <c r="I60" s="8">
        <f>VLOOKUP(C60,'Input-equal'!$N$4:$O$101,2,0)</f>
        <v>6015934193.9200001</v>
      </c>
      <c r="K60" s="1">
        <f t="shared" si="1"/>
        <v>40787</v>
      </c>
      <c r="L60" s="7">
        <f t="shared" si="6"/>
        <v>0.70521895173025129</v>
      </c>
      <c r="M60" s="7">
        <f t="shared" si="7"/>
        <v>0.60340143749194408</v>
      </c>
      <c r="N60" s="7">
        <f t="shared" si="8"/>
        <v>0.21748640056540269</v>
      </c>
      <c r="O60" s="7">
        <f t="shared" si="5"/>
        <v>1.9338149994775955E-2</v>
      </c>
      <c r="P60" s="7">
        <f t="shared" si="5"/>
        <v>0.13266871850673617</v>
      </c>
    </row>
    <row r="61" spans="3:16" x14ac:dyDescent="0.25">
      <c r="C61" s="1">
        <f>'Input-equal'!H61</f>
        <v>40817</v>
      </c>
      <c r="D61" s="8">
        <f>VLOOKUP(C61,'Input-equal'!temp,2,0)</f>
        <v>51265734201.440002</v>
      </c>
      <c r="E61" s="8">
        <f>VLOOKUP(C61,'Pivot-equal'!$C$4:$D$122,2,0)</f>
        <v>30996359405.019997</v>
      </c>
      <c r="F61" s="8">
        <f>VLOOKUP(C61,'Pivot-equal'!$G$3:$H$121,2,0)</f>
        <v>24699811825.130001</v>
      </c>
      <c r="G61" s="8">
        <f>VLOOKUP(C61,'Pivot-equal'!$K$3:$L$122,2,0)</f>
        <v>11864275980.860001</v>
      </c>
      <c r="H61" s="8">
        <f>VLOOKUP(C61,'Input-equal'!temp_11,2,0)</f>
        <v>2285618285</v>
      </c>
      <c r="I61" s="8">
        <f>VLOOKUP(C61,'Input-equal'!$N$4:$O$101,2,0)</f>
        <v>9819343075.8999996</v>
      </c>
      <c r="K61" s="1">
        <f t="shared" si="1"/>
        <v>40817</v>
      </c>
      <c r="L61" s="7">
        <f t="shared" si="6"/>
        <v>0.60462138868869142</v>
      </c>
      <c r="M61" s="7">
        <f t="shared" si="7"/>
        <v>0.48179963107670093</v>
      </c>
      <c r="N61" s="7">
        <f t="shared" si="8"/>
        <v>0.2314270177862145</v>
      </c>
      <c r="O61" s="7">
        <f t="shared" si="5"/>
        <v>4.4583742349598485E-2</v>
      </c>
      <c r="P61" s="7">
        <f t="shared" si="5"/>
        <v>0.19153813417197066</v>
      </c>
    </row>
    <row r="62" spans="3:16" x14ac:dyDescent="0.25">
      <c r="C62" s="1">
        <f>'Input-equal'!H62</f>
        <v>40848</v>
      </c>
      <c r="D62" s="8">
        <f>VLOOKUP(C62,'Input-equal'!temp,2,0)</f>
        <v>62641454659.599998</v>
      </c>
      <c r="E62" s="8">
        <f>VLOOKUP(C62,'Pivot-equal'!$C$4:$D$122,2,0)</f>
        <v>39760085391.100006</v>
      </c>
      <c r="F62" s="8">
        <f>VLOOKUP(C62,'Pivot-equal'!$G$3:$H$121,2,0)</f>
        <v>33459411350.709999</v>
      </c>
      <c r="G62" s="8">
        <f>VLOOKUP(C62,'Pivot-equal'!$K$3:$L$122,2,0)</f>
        <v>14706099941.799999</v>
      </c>
      <c r="H62" s="8">
        <f>VLOOKUP(C62,'Input-equal'!temp_11,2,0)</f>
        <v>2095343206</v>
      </c>
      <c r="I62" s="8">
        <f>VLOOKUP(C62,'Input-equal'!$N$4:$O$101,2,0)</f>
        <v>10874766290.690001</v>
      </c>
      <c r="K62" s="1">
        <f t="shared" si="1"/>
        <v>40848</v>
      </c>
      <c r="L62" s="7">
        <f t="shared" si="6"/>
        <v>0.63472480974716072</v>
      </c>
      <c r="M62" s="7">
        <f t="shared" si="7"/>
        <v>0.53414167235629861</v>
      </c>
      <c r="N62" s="7">
        <f t="shared" si="8"/>
        <v>0.23476625856973524</v>
      </c>
      <c r="O62" s="7">
        <f t="shared" si="5"/>
        <v>3.3449785248224312E-2</v>
      </c>
      <c r="P62" s="7">
        <f t="shared" si="5"/>
        <v>0.17360334860971191</v>
      </c>
    </row>
    <row r="63" spans="3:16" x14ac:dyDescent="0.25">
      <c r="C63" s="1">
        <f>'Input-equal'!H63</f>
        <v>40878</v>
      </c>
      <c r="D63" s="8">
        <f>VLOOKUP(C63,'Input-equal'!temp,2,0)</f>
        <v>73851865080.610001</v>
      </c>
      <c r="E63" s="8">
        <f>VLOOKUP(C63,'Pivot-equal'!$C$4:$D$122,2,0)</f>
        <v>50207107917.200005</v>
      </c>
      <c r="F63" s="8">
        <f>VLOOKUP(C63,'Pivot-equal'!$G$3:$H$121,2,0)</f>
        <v>44194497888.770004</v>
      </c>
      <c r="G63" s="8">
        <f>VLOOKUP(C63,'Pivot-equal'!$K$3:$L$122,2,0)</f>
        <v>23937608890.639999</v>
      </c>
      <c r="H63" s="8">
        <f>VLOOKUP(C63,'Input-equal'!temp_11,2,0)</f>
        <v>1033984596</v>
      </c>
      <c r="I63" s="8">
        <f>VLOOKUP(C63,'Input-equal'!$N$4:$O$101,2,0)</f>
        <v>11437762942.92</v>
      </c>
      <c r="K63" s="1">
        <f t="shared" si="1"/>
        <v>40878</v>
      </c>
      <c r="L63" s="7">
        <f t="shared" si="6"/>
        <v>0.67983534149609459</v>
      </c>
      <c r="M63" s="7">
        <f t="shared" si="7"/>
        <v>0.59842087725924453</v>
      </c>
      <c r="N63" s="7">
        <f t="shared" si="8"/>
        <v>0.32413005229471015</v>
      </c>
      <c r="O63" s="7">
        <f t="shared" si="5"/>
        <v>1.4000791921387444E-2</v>
      </c>
      <c r="P63" s="7">
        <f t="shared" si="5"/>
        <v>0.15487439525644445</v>
      </c>
    </row>
    <row r="64" spans="3:16" x14ac:dyDescent="0.25">
      <c r="C64" s="1">
        <f>'Input-equal'!H64</f>
        <v>40909</v>
      </c>
      <c r="D64" s="8">
        <f>VLOOKUP(C64,'Input-equal'!temp,2,0)</f>
        <v>58331372757.360001</v>
      </c>
      <c r="E64" s="8">
        <f>VLOOKUP(C64,'Pivot-equal'!$C$4:$D$122,2,0)</f>
        <v>34362268311.120003</v>
      </c>
      <c r="F64" s="8">
        <f>VLOOKUP(C64,'Pivot-equal'!$G$3:$H$121,2,0)</f>
        <v>29007806067.68</v>
      </c>
      <c r="G64" s="8">
        <f>VLOOKUP(C64,'Pivot-equal'!$K$3:$L$122,2,0)</f>
        <v>15368979575.26</v>
      </c>
      <c r="H64" s="8">
        <f>VLOOKUP(C64,'Input-equal'!temp_11,2,0)</f>
        <v>1987883207</v>
      </c>
      <c r="I64" s="8">
        <f>VLOOKUP(C64,'Input-equal'!$N$4:$O$101,2,0)</f>
        <v>10782906686.82</v>
      </c>
      <c r="K64" s="1">
        <f t="shared" si="1"/>
        <v>40909</v>
      </c>
      <c r="L64" s="7">
        <f t="shared" si="6"/>
        <v>0.58908725591040234</v>
      </c>
      <c r="M64" s="7">
        <f t="shared" si="7"/>
        <v>0.49729338941401685</v>
      </c>
      <c r="N64" s="7">
        <f t="shared" si="8"/>
        <v>0.26347707672147674</v>
      </c>
      <c r="O64" s="7">
        <f t="shared" si="5"/>
        <v>3.407914322998986E-2</v>
      </c>
      <c r="P64" s="7">
        <f t="shared" si="5"/>
        <v>0.18485604190515917</v>
      </c>
    </row>
    <row r="65" spans="3:16" x14ac:dyDescent="0.25">
      <c r="C65" s="1">
        <f>'Input-equal'!H65</f>
        <v>40940</v>
      </c>
      <c r="D65" s="8">
        <f>VLOOKUP(C65,'Input-equal'!temp,2,0)</f>
        <v>56063681559.919998</v>
      </c>
      <c r="E65" s="8">
        <f>VLOOKUP(C65,'Pivot-equal'!$C$4:$D$122,2,0)</f>
        <v>32906311435.989998</v>
      </c>
      <c r="F65" s="8">
        <f>VLOOKUP(C65,'Pivot-equal'!$G$3:$H$121,2,0)</f>
        <v>27491822121.099998</v>
      </c>
      <c r="G65" s="8">
        <f>VLOOKUP(C65,'Pivot-equal'!$K$3:$L$122,2,0)</f>
        <v>14632091015.389999</v>
      </c>
      <c r="H65" s="8">
        <f>VLOOKUP(C65,'Input-equal'!temp_11,2,0)</f>
        <v>2030824500</v>
      </c>
      <c r="I65" s="8">
        <f>VLOOKUP(C65,'Input-equal'!$N$4:$O$101,2,0)</f>
        <v>10665615618.18</v>
      </c>
      <c r="K65" s="1">
        <f t="shared" si="1"/>
        <v>40940</v>
      </c>
      <c r="L65" s="7">
        <f t="shared" si="6"/>
        <v>0.58694524726886232</v>
      </c>
      <c r="M65" s="7">
        <f t="shared" si="7"/>
        <v>0.49036776316084707</v>
      </c>
      <c r="N65" s="7">
        <f t="shared" si="8"/>
        <v>0.26099054875216227</v>
      </c>
      <c r="O65" s="7">
        <f t="shared" si="5"/>
        <v>3.6223530875857411E-2</v>
      </c>
      <c r="P65" s="7">
        <f t="shared" si="5"/>
        <v>0.19024108516278501</v>
      </c>
    </row>
    <row r="66" spans="3:16" x14ac:dyDescent="0.25">
      <c r="C66" s="1">
        <f>'Input-equal'!H66</f>
        <v>40969</v>
      </c>
      <c r="D66" s="8">
        <f>VLOOKUP(C66,'Input-equal'!temp,2,0)</f>
        <v>86317495811.419998</v>
      </c>
      <c r="E66" s="8">
        <f>VLOOKUP(C66,'Pivot-equal'!$C$4:$D$122,2,0)</f>
        <v>56829158720.450005</v>
      </c>
      <c r="F66" s="8">
        <f>VLOOKUP(C66,'Pivot-equal'!$G$3:$H$121,2,0)</f>
        <v>49399023902</v>
      </c>
      <c r="G66" s="8">
        <f>VLOOKUP(C66,'Pivot-equal'!$K$3:$L$122,2,0)</f>
        <v>30737250033.549999</v>
      </c>
      <c r="H66" s="8">
        <f>VLOOKUP(C66,'Input-equal'!temp_11,2,0)</f>
        <v>715758973</v>
      </c>
      <c r="I66" s="8">
        <f>VLOOKUP(C66,'Input-equal'!$N$4:$O$101,2,0)</f>
        <v>13232369760.059999</v>
      </c>
      <c r="K66" s="1">
        <f t="shared" si="1"/>
        <v>40969</v>
      </c>
      <c r="L66" s="7">
        <f t="shared" si="6"/>
        <v>0.65837357984302625</v>
      </c>
      <c r="M66" s="7">
        <f t="shared" si="7"/>
        <v>0.57229445128856948</v>
      </c>
      <c r="N66" s="7">
        <f t="shared" si="8"/>
        <v>0.35609524748844013</v>
      </c>
      <c r="O66" s="7">
        <f t="shared" si="5"/>
        <v>8.292165641178198E-3</v>
      </c>
      <c r="P66" s="7">
        <f t="shared" si="5"/>
        <v>0.15329881428637701</v>
      </c>
    </row>
    <row r="67" spans="3:16" x14ac:dyDescent="0.25">
      <c r="C67" s="1">
        <f>'Input-equal'!H67</f>
        <v>41000</v>
      </c>
      <c r="D67" s="8">
        <f>VLOOKUP(C67,'Input-equal'!temp,2,0)</f>
        <v>48073485668.580002</v>
      </c>
      <c r="E67" s="8">
        <f>VLOOKUP(C67,'Pivot-equal'!$C$4:$D$122,2,0)</f>
        <v>24204177130.650005</v>
      </c>
      <c r="F67" s="8">
        <f>VLOOKUP(C67,'Pivot-equal'!$G$3:$H$121,2,0)</f>
        <v>20740945194.540001</v>
      </c>
      <c r="G67" s="8">
        <f>VLOOKUP(C67,'Pivot-equal'!$K$3:$L$122,2,0)</f>
        <v>10763728285.6</v>
      </c>
      <c r="H67" s="8">
        <f>VLOOKUP(C67,'Input-equal'!temp_11,2,0)</f>
        <v>2058237642</v>
      </c>
      <c r="I67" s="8">
        <f>VLOOKUP(C67,'Input-equal'!$N$4:$O$101,2,0)</f>
        <v>11436377319.02</v>
      </c>
      <c r="K67" s="1">
        <f t="shared" si="1"/>
        <v>41000</v>
      </c>
      <c r="L67" s="7">
        <f t="shared" si="6"/>
        <v>0.50348288238373851</v>
      </c>
      <c r="M67" s="7">
        <f t="shared" si="7"/>
        <v>0.43144250736317885</v>
      </c>
      <c r="N67" s="7">
        <f t="shared" si="8"/>
        <v>0.22390155687493629</v>
      </c>
      <c r="O67" s="7">
        <f t="shared" si="5"/>
        <v>4.2814404101869159E-2</v>
      </c>
      <c r="P67" s="7">
        <f t="shared" si="5"/>
        <v>0.23789365717856858</v>
      </c>
    </row>
    <row r="68" spans="3:16" x14ac:dyDescent="0.25">
      <c r="C68" s="1">
        <f>'Input-equal'!H68</f>
        <v>41030</v>
      </c>
      <c r="D68" s="8">
        <f>VLOOKUP(C68,'Input-equal'!temp,2,0)</f>
        <v>66663158668.949997</v>
      </c>
      <c r="E68" s="8">
        <f>VLOOKUP(C68,'Pivot-equal'!$C$4:$D$122,2,0)</f>
        <v>39777125640.900002</v>
      </c>
      <c r="F68" s="8">
        <f>VLOOKUP(C68,'Pivot-equal'!$G$3:$H$121,2,0)</f>
        <v>33981143082.620003</v>
      </c>
      <c r="G68" s="8">
        <f>VLOOKUP(C68,'Pivot-equal'!$K$3:$L$122,2,0)</f>
        <v>20542825807.290001</v>
      </c>
      <c r="H68" s="8">
        <f>VLOOKUP(C68,'Input-equal'!temp_11,2,0)</f>
        <v>1810114247</v>
      </c>
      <c r="I68" s="8">
        <f>VLOOKUP(C68,'Input-equal'!$N$4:$O$101,2,0)</f>
        <v>12081347035.17</v>
      </c>
      <c r="K68" s="1">
        <f t="shared" si="1"/>
        <v>41030</v>
      </c>
      <c r="L68" s="7">
        <f t="shared" si="6"/>
        <v>0.59668828233047966</v>
      </c>
      <c r="M68" s="7">
        <f t="shared" si="7"/>
        <v>0.50974396894948748</v>
      </c>
      <c r="N68" s="7">
        <f t="shared" si="8"/>
        <v>0.30815860240445414</v>
      </c>
      <c r="O68" s="7">
        <f t="shared" si="5"/>
        <v>2.7153142502428482E-2</v>
      </c>
      <c r="P68" s="7">
        <f t="shared" si="5"/>
        <v>0.181229741830358</v>
      </c>
    </row>
    <row r="69" spans="3:16" x14ac:dyDescent="0.25">
      <c r="C69" s="1">
        <f>'Input-equal'!H69</f>
        <v>41061</v>
      </c>
      <c r="D69" s="8">
        <f>VLOOKUP(C69,'Input-equal'!temp,2,0)</f>
        <v>65107512378.209999</v>
      </c>
      <c r="E69" s="8">
        <f>VLOOKUP(C69,'Pivot-equal'!$C$4:$D$122,2,0)</f>
        <v>34861145817.729996</v>
      </c>
      <c r="F69" s="8">
        <f>VLOOKUP(C69,'Pivot-equal'!$G$3:$H$121,2,0)</f>
        <v>26824272069.970001</v>
      </c>
      <c r="G69" s="8">
        <f>VLOOKUP(C69,'Pivot-equal'!$K$3:$L$122,2,0)</f>
        <v>12662763974.040001</v>
      </c>
      <c r="H69" s="8">
        <f>VLOOKUP(C69,'Input-equal'!temp_11,2,0)</f>
        <v>751265816</v>
      </c>
      <c r="I69" s="8">
        <f>VLOOKUP(C69,'Input-equal'!$N$4:$O$101,2,0)</f>
        <v>14308208134.940001</v>
      </c>
      <c r="K69" s="1">
        <f t="shared" ref="K69:K102" si="9">C69</f>
        <v>41061</v>
      </c>
      <c r="L69" s="7">
        <f t="shared" ref="L69:L102" si="10">E69/$D69</f>
        <v>0.53543968344576509</v>
      </c>
      <c r="M69" s="7">
        <f t="shared" ref="M69:M102" si="11">F69/$D69</f>
        <v>0.41199964627964303</v>
      </c>
      <c r="N69" s="7">
        <f t="shared" ref="N69:N102" si="12">G69/$D69</f>
        <v>0.19449005977193409</v>
      </c>
      <c r="O69" s="7">
        <f t="shared" si="5"/>
        <v>1.1538849950768992E-2</v>
      </c>
      <c r="P69" s="7">
        <f t="shared" si="5"/>
        <v>0.21976278331482729</v>
      </c>
    </row>
    <row r="70" spans="3:16" x14ac:dyDescent="0.25">
      <c r="C70" s="1">
        <f>'Input-equal'!H70</f>
        <v>41091</v>
      </c>
      <c r="D70" s="8">
        <f>VLOOKUP(C70,'Input-equal'!temp,2,0)</f>
        <v>71798949000.600006</v>
      </c>
      <c r="E70" s="8">
        <f>VLOOKUP(C70,'Pivot-equal'!$C$4:$D$122,2,0)</f>
        <v>39258236449.550011</v>
      </c>
      <c r="F70" s="8">
        <f>VLOOKUP(C70,'Pivot-equal'!$G$3:$H$121,2,0)</f>
        <v>32773125487.220001</v>
      </c>
      <c r="G70" s="8">
        <f>VLOOKUP(C70,'Pivot-equal'!$K$3:$L$122,2,0)</f>
        <v>18046078270.810001</v>
      </c>
      <c r="H70" s="8">
        <f>VLOOKUP(C70,'Input-equal'!temp_11,2,0)</f>
        <v>1485398807</v>
      </c>
      <c r="I70" s="8">
        <f>VLOOKUP(C70,'Input-equal'!$N$4:$O$101,2,0)</f>
        <v>15816521734.01</v>
      </c>
      <c r="K70" s="1">
        <f t="shared" si="9"/>
        <v>41091</v>
      </c>
      <c r="L70" s="7">
        <f t="shared" si="10"/>
        <v>0.54678009909618508</v>
      </c>
      <c r="M70" s="7">
        <f t="shared" si="11"/>
        <v>0.45645689725828892</v>
      </c>
      <c r="N70" s="7">
        <f t="shared" si="12"/>
        <v>0.25134181658646837</v>
      </c>
      <c r="O70" s="7">
        <f t="shared" si="5"/>
        <v>2.0688308501390276E-2</v>
      </c>
      <c r="P70" s="7">
        <f t="shared" si="5"/>
        <v>0.22028904258581591</v>
      </c>
    </row>
    <row r="71" spans="3:16" x14ac:dyDescent="0.25">
      <c r="C71" s="1">
        <f>'Input-equal'!H71</f>
        <v>41122</v>
      </c>
      <c r="D71" s="8">
        <f>VLOOKUP(C71,'Input-equal'!temp,2,0)</f>
        <v>80246484071.139999</v>
      </c>
      <c r="E71" s="8">
        <f>VLOOKUP(C71,'Pivot-equal'!$C$4:$D$122,2,0)</f>
        <v>42521773617.960007</v>
      </c>
      <c r="F71" s="8">
        <f>VLOOKUP(C71,'Pivot-equal'!$G$3:$H$121,2,0)</f>
        <v>34907658402.759995</v>
      </c>
      <c r="G71" s="8">
        <f>VLOOKUP(C71,'Pivot-equal'!$K$3:$L$122,2,0)</f>
        <v>15782096596.040001</v>
      </c>
      <c r="H71" s="8">
        <f>VLOOKUP(C71,'Input-equal'!temp_11,2,0)</f>
        <v>1821001924</v>
      </c>
      <c r="I71" s="8">
        <f>VLOOKUP(C71,'Input-equal'!$N$4:$O$101,2,0)</f>
        <v>18219129188.400002</v>
      </c>
      <c r="K71" s="1">
        <f t="shared" si="9"/>
        <v>41122</v>
      </c>
      <c r="L71" s="7">
        <f t="shared" si="10"/>
        <v>0.52988955354434797</v>
      </c>
      <c r="M71" s="7">
        <f t="shared" si="11"/>
        <v>0.43500545608719388</v>
      </c>
      <c r="N71" s="7">
        <f t="shared" si="12"/>
        <v>0.19667025638218466</v>
      </c>
      <c r="O71" s="7">
        <f t="shared" si="5"/>
        <v>2.269260697310611E-2</v>
      </c>
      <c r="P71" s="7">
        <f t="shared" si="5"/>
        <v>0.227039594311053</v>
      </c>
    </row>
    <row r="72" spans="3:16" x14ac:dyDescent="0.25">
      <c r="C72" s="1">
        <f>'Input-equal'!H72</f>
        <v>41153</v>
      </c>
      <c r="D72" s="8">
        <f>VLOOKUP(C72,'Input-equal'!temp,2,0)</f>
        <v>84049356738.059998</v>
      </c>
      <c r="E72" s="8">
        <f>VLOOKUP(C72,'Pivot-equal'!$C$4:$D$122,2,0)</f>
        <v>45617387707.220009</v>
      </c>
      <c r="F72" s="8">
        <f>VLOOKUP(C72,'Pivot-equal'!$G$3:$H$121,2,0)</f>
        <v>37833922333.900002</v>
      </c>
      <c r="G72" s="8">
        <f>VLOOKUP(C72,'Pivot-equal'!$K$3:$L$122,2,0)</f>
        <v>16358817450.4</v>
      </c>
      <c r="H72" s="8">
        <f>VLOOKUP(C72,'Input-equal'!temp_11,2,0)</f>
        <v>842537107</v>
      </c>
      <c r="I72" s="8">
        <f>VLOOKUP(C72,'Input-equal'!$N$4:$O$101,2,0)</f>
        <v>19205488149.990002</v>
      </c>
      <c r="K72" s="1">
        <f t="shared" si="9"/>
        <v>41153</v>
      </c>
      <c r="L72" s="7">
        <f t="shared" si="10"/>
        <v>0.542745233010964</v>
      </c>
      <c r="M72" s="7">
        <f t="shared" si="11"/>
        <v>0.4501393443356087</v>
      </c>
      <c r="N72" s="7">
        <f t="shared" si="12"/>
        <v>0.1946334640178424</v>
      </c>
      <c r="O72" s="7">
        <f t="shared" si="5"/>
        <v>1.0024313566441309E-2</v>
      </c>
      <c r="P72" s="7">
        <f t="shared" si="5"/>
        <v>0.22850250014219559</v>
      </c>
    </row>
    <row r="73" spans="3:16" x14ac:dyDescent="0.25">
      <c r="C73" s="1">
        <f>'Input-equal'!H73</f>
        <v>41183</v>
      </c>
      <c r="D73" s="8">
        <f>VLOOKUP(C73,'Input-equal'!temp,2,0)</f>
        <v>61818801001.650002</v>
      </c>
      <c r="E73" s="8">
        <f>VLOOKUP(C73,'Pivot-equal'!$C$4:$D$122,2,0)</f>
        <v>34976078939.440002</v>
      </c>
      <c r="F73" s="8">
        <f>VLOOKUP(C73,'Pivot-equal'!$G$3:$H$121,2,0)</f>
        <v>27466963094.949997</v>
      </c>
      <c r="G73" s="8">
        <f>VLOOKUP(C73,'Pivot-equal'!$K$3:$L$122,2,0)</f>
        <v>13583725455.1</v>
      </c>
      <c r="H73" s="8">
        <f>VLOOKUP(C73,'Input-equal'!temp_11,2,0)</f>
        <v>1649348778</v>
      </c>
      <c r="I73" s="8">
        <f>VLOOKUP(C73,'Input-equal'!$N$4:$O$101,2,0)</f>
        <v>10456958852.59</v>
      </c>
      <c r="K73" s="1">
        <f t="shared" si="9"/>
        <v>41183</v>
      </c>
      <c r="L73" s="7">
        <f t="shared" si="10"/>
        <v>0.56578384524970737</v>
      </c>
      <c r="M73" s="7">
        <f t="shared" si="11"/>
        <v>0.44431407031360698</v>
      </c>
      <c r="N73" s="7">
        <f t="shared" si="12"/>
        <v>0.21973453439735005</v>
      </c>
      <c r="O73" s="7">
        <f t="shared" si="5"/>
        <v>2.6680374761004783E-2</v>
      </c>
      <c r="P73" s="7">
        <f t="shared" si="5"/>
        <v>0.1691549930305328</v>
      </c>
    </row>
    <row r="74" spans="3:16" x14ac:dyDescent="0.25">
      <c r="C74" s="1">
        <f>'Input-equal'!H74</f>
        <v>41214</v>
      </c>
      <c r="D74" s="8">
        <f>VLOOKUP(C74,'Input-equal'!temp,2,0)</f>
        <v>107252324964.50999</v>
      </c>
      <c r="E74" s="8">
        <f>VLOOKUP(C74,'Pivot-equal'!$C$4:$D$122,2,0)</f>
        <v>48700322876.149994</v>
      </c>
      <c r="F74" s="8">
        <f>VLOOKUP(C74,'Pivot-equal'!$G$3:$H$121,2,0)</f>
        <v>38620874033.32</v>
      </c>
      <c r="G74" s="8">
        <f>VLOOKUP(C74,'Pivot-equal'!$K$3:$L$122,2,0)</f>
        <v>18702888793.82</v>
      </c>
      <c r="H74" s="8">
        <f>VLOOKUP(C74,'Input-equal'!temp_11,2,0)</f>
        <v>1786397242</v>
      </c>
      <c r="I74" s="8">
        <f>VLOOKUP(C74,'Input-equal'!$N$4:$O$101,2,0)</f>
        <v>31430630591.73</v>
      </c>
      <c r="K74" s="1">
        <f t="shared" si="9"/>
        <v>41214</v>
      </c>
      <c r="L74" s="7">
        <f t="shared" si="10"/>
        <v>0.45407242120173175</v>
      </c>
      <c r="M74" s="7">
        <f t="shared" si="11"/>
        <v>0.3600935834826865</v>
      </c>
      <c r="N74" s="7">
        <f t="shared" si="12"/>
        <v>0.17438212924529908</v>
      </c>
      <c r="O74" s="7">
        <f t="shared" si="5"/>
        <v>1.665602347166947E-2</v>
      </c>
      <c r="P74" s="7">
        <f t="shared" si="5"/>
        <v>0.29305313989352172</v>
      </c>
    </row>
    <row r="75" spans="3:16" x14ac:dyDescent="0.25">
      <c r="C75" s="1">
        <f>'Input-equal'!H75</f>
        <v>41244</v>
      </c>
      <c r="D75" s="8">
        <f>VLOOKUP(C75,'Input-equal'!temp,2,0)</f>
        <v>66763638723.230003</v>
      </c>
      <c r="E75" s="8">
        <f>VLOOKUP(C75,'Pivot-equal'!$C$4:$D$122,2,0)</f>
        <v>28819231552.900002</v>
      </c>
      <c r="F75" s="8">
        <f>VLOOKUP(C75,'Pivot-equal'!$G$3:$H$121,2,0)</f>
        <v>22657026327.110001</v>
      </c>
      <c r="G75" s="8">
        <f>VLOOKUP(C75,'Pivot-equal'!$K$3:$L$122,2,0)</f>
        <v>5990993955.3400002</v>
      </c>
      <c r="H75" s="8">
        <f>VLOOKUP(C75,'Input-equal'!temp_11,2,0)</f>
        <v>882436640</v>
      </c>
      <c r="I75" s="8">
        <f>VLOOKUP(C75,'Input-equal'!$N$4:$O$101,2,0)</f>
        <v>19867296101.330002</v>
      </c>
      <c r="K75" s="1">
        <f t="shared" si="9"/>
        <v>41244</v>
      </c>
      <c r="L75" s="7">
        <f t="shared" si="10"/>
        <v>0.4316605880690641</v>
      </c>
      <c r="M75" s="7">
        <f t="shared" si="11"/>
        <v>0.33936176578144811</v>
      </c>
      <c r="N75" s="7">
        <f t="shared" si="12"/>
        <v>8.9734383414537738E-2</v>
      </c>
      <c r="O75" s="7">
        <f t="shared" si="5"/>
        <v>1.3217323933738223E-2</v>
      </c>
      <c r="P75" s="7">
        <f t="shared" si="5"/>
        <v>0.29757659230783201</v>
      </c>
    </row>
    <row r="76" spans="3:16" x14ac:dyDescent="0.25">
      <c r="C76" s="1">
        <f>'Input-equal'!H76</f>
        <v>41275</v>
      </c>
      <c r="D76" s="8">
        <f>VLOOKUP(C76,'Input-equal'!temp,2,0)</f>
        <v>85482757320.820007</v>
      </c>
      <c r="E76" s="8">
        <f>VLOOKUP(C76,'Pivot-equal'!$C$4:$D$122,2,0)</f>
        <v>41056601881.519997</v>
      </c>
      <c r="F76" s="8">
        <f>VLOOKUP(C76,'Pivot-equal'!$G$3:$H$121,2,0)</f>
        <v>32173182892.220001</v>
      </c>
      <c r="G76" s="8">
        <f>VLOOKUP(C76,'Pivot-equal'!$K$3:$L$122,2,0)</f>
        <v>12960800578.620001</v>
      </c>
      <c r="H76" s="8">
        <f>VLOOKUP(C76,'Input-equal'!temp_11,2,0)</f>
        <v>1327173549</v>
      </c>
      <c r="I76" s="8">
        <f>VLOOKUP(C76,'Input-equal'!$N$4:$O$101,2,0)</f>
        <v>21485028132.099998</v>
      </c>
      <c r="K76" s="1">
        <f t="shared" si="9"/>
        <v>41275</v>
      </c>
      <c r="L76" s="7">
        <f t="shared" si="10"/>
        <v>0.48029103375120463</v>
      </c>
      <c r="M76" s="7">
        <f t="shared" si="11"/>
        <v>0.37637043891170746</v>
      </c>
      <c r="N76" s="7">
        <f t="shared" si="12"/>
        <v>0.15161888765447315</v>
      </c>
      <c r="O76" s="7">
        <f t="shared" si="5"/>
        <v>1.5525628683443933E-2</v>
      </c>
      <c r="P76" s="7">
        <f t="shared" si="5"/>
        <v>0.25133756567381044</v>
      </c>
    </row>
    <row r="77" spans="3:16" x14ac:dyDescent="0.25">
      <c r="C77" s="1">
        <f>'Input-equal'!H77</f>
        <v>41306</v>
      </c>
      <c r="D77" s="8">
        <f>VLOOKUP(C77,'Input-equal'!temp,2,0)</f>
        <v>77430427923.440002</v>
      </c>
      <c r="E77" s="8">
        <f>VLOOKUP(C77,'Pivot-equal'!$C$4:$D$122,2,0)</f>
        <v>40621858362.690002</v>
      </c>
      <c r="F77" s="8">
        <f>VLOOKUP(C77,'Pivot-equal'!$G$3:$H$121,2,0)</f>
        <v>32295164207.330002</v>
      </c>
      <c r="G77" s="8">
        <f>VLOOKUP(C77,'Pivot-equal'!$K$3:$L$122,2,0)</f>
        <v>12090154945.85</v>
      </c>
      <c r="H77" s="8">
        <f>VLOOKUP(C77,'Input-equal'!temp_11,2,0)</f>
        <v>1475078768</v>
      </c>
      <c r="I77" s="8">
        <f>VLOOKUP(C77,'Input-equal'!$N$4:$O$101,2,0)</f>
        <v>16529578836.889999</v>
      </c>
      <c r="K77" s="1">
        <f t="shared" si="9"/>
        <v>41306</v>
      </c>
      <c r="L77" s="7">
        <f t="shared" si="10"/>
        <v>0.52462396827840363</v>
      </c>
      <c r="M77" s="7">
        <f t="shared" si="11"/>
        <v>0.41708621627743192</v>
      </c>
      <c r="N77" s="7">
        <f t="shared" si="12"/>
        <v>0.15614216878414058</v>
      </c>
      <c r="O77" s="7">
        <f t="shared" si="5"/>
        <v>1.9050376028639501E-2</v>
      </c>
      <c r="P77" s="7">
        <f t="shared" si="5"/>
        <v>0.21347652699574077</v>
      </c>
    </row>
    <row r="78" spans="3:16" x14ac:dyDescent="0.25">
      <c r="C78" s="1">
        <f>'Input-equal'!H78</f>
        <v>41334</v>
      </c>
      <c r="D78" s="8">
        <f>VLOOKUP(C78,'Input-equal'!temp,2,0)</f>
        <v>66573031434.919998</v>
      </c>
      <c r="E78" s="8">
        <f>VLOOKUP(C78,'Pivot-equal'!$C$4:$D$122,2,0)</f>
        <v>32588531726.600002</v>
      </c>
      <c r="F78" s="8">
        <f>VLOOKUP(C78,'Pivot-equal'!$G$3:$H$121,2,0)</f>
        <v>26611199048.840004</v>
      </c>
      <c r="G78" s="8">
        <f>VLOOKUP(C78,'Pivot-equal'!$K$3:$L$122,2,0)</f>
        <v>10298222135.870001</v>
      </c>
      <c r="H78" s="8">
        <f>VLOOKUP(C78,'Input-equal'!temp_11,2,0)</f>
        <v>873595500</v>
      </c>
      <c r="I78" s="8">
        <f>VLOOKUP(C78,'Input-equal'!$N$4:$O$101,2,0)</f>
        <v>17101890565.92</v>
      </c>
      <c r="K78" s="1">
        <f t="shared" si="9"/>
        <v>41334</v>
      </c>
      <c r="L78" s="7">
        <f t="shared" si="10"/>
        <v>0.48951551437848634</v>
      </c>
      <c r="M78" s="7">
        <f t="shared" si="11"/>
        <v>0.39972941708166609</v>
      </c>
      <c r="N78" s="7">
        <f t="shared" si="12"/>
        <v>0.15469059938989357</v>
      </c>
      <c r="O78" s="7">
        <f t="shared" si="5"/>
        <v>1.3122363232835558E-2</v>
      </c>
      <c r="P78" s="7">
        <f t="shared" si="5"/>
        <v>0.25688916663857114</v>
      </c>
    </row>
    <row r="79" spans="3:16" x14ac:dyDescent="0.25">
      <c r="C79" s="1">
        <f>'Input-equal'!H79</f>
        <v>41365</v>
      </c>
      <c r="D79" s="8">
        <f>VLOOKUP(C79,'Input-equal'!temp,2,0)</f>
        <v>73548428684.190002</v>
      </c>
      <c r="E79" s="8">
        <f>VLOOKUP(C79,'Pivot-equal'!$C$4:$D$122,2,0)</f>
        <v>37376512403.469994</v>
      </c>
      <c r="F79" s="8">
        <f>VLOOKUP(C79,'Pivot-equal'!$G$3:$H$121,2,0)</f>
        <v>29789895298.389999</v>
      </c>
      <c r="G79" s="8">
        <f>VLOOKUP(C79,'Pivot-equal'!$K$3:$L$122,2,0)</f>
        <v>10983062364.98</v>
      </c>
      <c r="H79" s="8">
        <f>VLOOKUP(C79,'Input-equal'!temp_11,2,0)</f>
        <v>1534207191</v>
      </c>
      <c r="I79" s="8">
        <f>VLOOKUP(C79,'Input-equal'!$N$4:$O$101,2,0)</f>
        <v>17313570300.029999</v>
      </c>
      <c r="K79" s="1">
        <f t="shared" si="9"/>
        <v>41365</v>
      </c>
      <c r="L79" s="7">
        <f t="shared" si="10"/>
        <v>0.50818913567767987</v>
      </c>
      <c r="M79" s="7">
        <f t="shared" si="11"/>
        <v>0.40503782108391456</v>
      </c>
      <c r="N79" s="7">
        <f t="shared" si="12"/>
        <v>0.14933102666462436</v>
      </c>
      <c r="O79" s="7">
        <f t="shared" si="5"/>
        <v>2.085982281943426E-2</v>
      </c>
      <c r="P79" s="7">
        <f t="shared" si="5"/>
        <v>0.23540367360359027</v>
      </c>
    </row>
    <row r="80" spans="3:16" x14ac:dyDescent="0.25">
      <c r="C80" s="1">
        <f>'Input-equal'!H80</f>
        <v>41395</v>
      </c>
      <c r="D80" s="8">
        <f>VLOOKUP(C80,'Input-equal'!temp,2,0)</f>
        <v>73509211252.020004</v>
      </c>
      <c r="E80" s="8">
        <f>VLOOKUP(C80,'Pivot-equal'!$C$4:$D$122,2,0)</f>
        <v>38541437156.089996</v>
      </c>
      <c r="F80" s="8">
        <f>VLOOKUP(C80,'Pivot-equal'!$G$3:$H$121,2,0)</f>
        <v>31823204951.040001</v>
      </c>
      <c r="G80" s="8">
        <f>VLOOKUP(C80,'Pivot-equal'!$K$3:$L$122,2,0)</f>
        <v>16565187107.59</v>
      </c>
      <c r="H80" s="8">
        <f>VLOOKUP(C80,'Input-equal'!temp_11,2,0)</f>
        <v>1288259374</v>
      </c>
      <c r="I80" s="8">
        <f>VLOOKUP(C80,'Input-equal'!$N$4:$O$101,2,0)</f>
        <v>18085571772.66</v>
      </c>
      <c r="K80" s="1">
        <f t="shared" si="9"/>
        <v>41395</v>
      </c>
      <c r="L80" s="7">
        <f t="shared" si="10"/>
        <v>0.52430758675880762</v>
      </c>
      <c r="M80" s="7">
        <f t="shared" si="11"/>
        <v>0.43291452062975999</v>
      </c>
      <c r="N80" s="7">
        <f t="shared" si="12"/>
        <v>0.22534845396174477</v>
      </c>
      <c r="O80" s="7">
        <f t="shared" si="5"/>
        <v>1.7525142115636549E-2</v>
      </c>
      <c r="P80" s="7">
        <f t="shared" si="5"/>
        <v>0.24603136756093291</v>
      </c>
    </row>
    <row r="81" spans="3:16" x14ac:dyDescent="0.25">
      <c r="C81" s="1">
        <f>'Input-equal'!H81</f>
        <v>41426</v>
      </c>
      <c r="D81" s="8">
        <f>VLOOKUP(C81,'Input-equal'!temp,2,0)</f>
        <v>66542000148.940002</v>
      </c>
      <c r="E81" s="8">
        <f>VLOOKUP(C81,'Pivot-equal'!$C$4:$D$122,2,0)</f>
        <v>35492363841.889999</v>
      </c>
      <c r="F81" s="8">
        <f>VLOOKUP(C81,'Pivot-equal'!$G$3:$H$121,2,0)</f>
        <v>29184629174.119999</v>
      </c>
      <c r="G81" s="8">
        <f>VLOOKUP(C81,'Pivot-equal'!$K$3:$L$122,2,0)</f>
        <v>15486832649.959999</v>
      </c>
      <c r="H81" s="8">
        <f>VLOOKUP(C81,'Input-equal'!temp_11,2,0)</f>
        <v>967290699</v>
      </c>
      <c r="I81" s="8">
        <f>VLOOKUP(C81,'Input-equal'!$N$4:$O$101,2,0)</f>
        <v>16273944179.76</v>
      </c>
      <c r="K81" s="1">
        <f t="shared" si="9"/>
        <v>41426</v>
      </c>
      <c r="L81" s="7">
        <f t="shared" si="10"/>
        <v>0.5333828824268575</v>
      </c>
      <c r="M81" s="7">
        <f t="shared" si="11"/>
        <v>0.43858959918241808</v>
      </c>
      <c r="N81" s="7">
        <f t="shared" si="12"/>
        <v>0.23273770874479344</v>
      </c>
      <c r="O81" s="7">
        <f t="shared" si="5"/>
        <v>1.4536543789410104E-2</v>
      </c>
      <c r="P81" s="7">
        <f t="shared" si="5"/>
        <v>0.24456650150783363</v>
      </c>
    </row>
    <row r="82" spans="3:16" x14ac:dyDescent="0.25">
      <c r="C82" s="1">
        <f>'Input-equal'!H82</f>
        <v>41456</v>
      </c>
      <c r="D82" s="8">
        <f>VLOOKUP(C82,'Input-equal'!temp,2,0)</f>
        <v>71866974614.360001</v>
      </c>
      <c r="E82" s="8">
        <f>VLOOKUP(C82,'Pivot-equal'!$C$4:$D$122,2,0)</f>
        <v>37466696964.239998</v>
      </c>
      <c r="F82" s="8">
        <f>VLOOKUP(C82,'Pivot-equal'!$G$3:$H$121,2,0)</f>
        <v>29824408490.139999</v>
      </c>
      <c r="G82" s="8">
        <f>VLOOKUP(C82,'Pivot-equal'!$K$3:$L$122,2,0)</f>
        <v>16978552578.67</v>
      </c>
      <c r="H82" s="8">
        <f>VLOOKUP(C82,'Input-equal'!temp_11,2,0)</f>
        <v>689921868</v>
      </c>
      <c r="I82" s="8">
        <f>VLOOKUP(C82,'Input-equal'!$N$4:$O$101,2,0)</f>
        <v>18755440365.549999</v>
      </c>
      <c r="K82" s="1">
        <f t="shared" si="9"/>
        <v>41456</v>
      </c>
      <c r="L82" s="7">
        <f t="shared" si="10"/>
        <v>0.52133399472132003</v>
      </c>
      <c r="M82" s="7">
        <f t="shared" si="11"/>
        <v>0.41499462931587877</v>
      </c>
      <c r="N82" s="7">
        <f t="shared" si="12"/>
        <v>0.2362497192872991</v>
      </c>
      <c r="O82" s="7">
        <f t="shared" si="5"/>
        <v>9.5999848567737568E-3</v>
      </c>
      <c r="P82" s="7">
        <f t="shared" si="5"/>
        <v>0.26097439701882769</v>
      </c>
    </row>
    <row r="83" spans="3:16" x14ac:dyDescent="0.25">
      <c r="C83" s="1">
        <f>'Input-equal'!H83</f>
        <v>41487</v>
      </c>
      <c r="D83" s="8">
        <f>VLOOKUP(C83,'Input-equal'!temp,2,0)</f>
        <v>65043206114.970001</v>
      </c>
      <c r="E83" s="8">
        <f>VLOOKUP(C83,'Pivot-equal'!$C$4:$D$122,2,0)</f>
        <v>35770897100.520004</v>
      </c>
      <c r="F83" s="8">
        <f>VLOOKUP(C83,'Pivot-equal'!$G$3:$H$121,2,0)</f>
        <v>27875191616.209999</v>
      </c>
      <c r="G83" s="8">
        <f>VLOOKUP(C83,'Pivot-equal'!$K$3:$L$122,2,0)</f>
        <v>16043754924.049999</v>
      </c>
      <c r="H83" s="8">
        <f>VLOOKUP(C83,'Input-equal'!temp_11,2,0)</f>
        <v>1050686660</v>
      </c>
      <c r="I83" s="8">
        <f>VLOOKUP(C83,'Input-equal'!$N$4:$O$101,2,0)</f>
        <v>14735430738.82</v>
      </c>
      <c r="K83" s="1">
        <f t="shared" si="9"/>
        <v>41487</v>
      </c>
      <c r="L83" s="7">
        <f t="shared" si="10"/>
        <v>0.54995593294235179</v>
      </c>
      <c r="M83" s="7">
        <f t="shared" si="11"/>
        <v>0.42856423108876229</v>
      </c>
      <c r="N83" s="7">
        <f t="shared" si="12"/>
        <v>0.24666303957543467</v>
      </c>
      <c r="O83" s="7">
        <f t="shared" si="5"/>
        <v>1.6153672654801367E-2</v>
      </c>
      <c r="P83" s="7">
        <f t="shared" si="5"/>
        <v>0.22654834561466322</v>
      </c>
    </row>
    <row r="84" spans="3:16" x14ac:dyDescent="0.25">
      <c r="C84" s="1">
        <f>'Input-equal'!H84</f>
        <v>41518</v>
      </c>
      <c r="D84" s="8">
        <f>VLOOKUP(C84,'Input-equal'!temp,2,0)</f>
        <v>52117579911.449997</v>
      </c>
      <c r="E84" s="8">
        <f>VLOOKUP(C84,'Pivot-equal'!$C$4:$D$122,2,0)</f>
        <v>28474515807.220001</v>
      </c>
      <c r="F84" s="8">
        <f>VLOOKUP(C84,'Pivot-equal'!$G$3:$H$121,2,0)</f>
        <v>23217757702.279999</v>
      </c>
      <c r="G84" s="8">
        <f>VLOOKUP(C84,'Pivot-equal'!$K$3:$L$122,2,0)</f>
        <v>12954391824.35</v>
      </c>
      <c r="H84" s="8">
        <f>VLOOKUP(C84,'Input-equal'!temp_11,2,0)</f>
        <v>760592802</v>
      </c>
      <c r="I84" s="8">
        <f>VLOOKUP(C84,'Input-equal'!$N$4:$O$101,2,0)</f>
        <v>11965840960.209999</v>
      </c>
      <c r="K84" s="1">
        <f t="shared" si="9"/>
        <v>41518</v>
      </c>
      <c r="L84" s="7">
        <f t="shared" si="10"/>
        <v>0.54635145867477775</v>
      </c>
      <c r="M84" s="7">
        <f t="shared" si="11"/>
        <v>0.44548802422767836</v>
      </c>
      <c r="N84" s="7">
        <f t="shared" si="12"/>
        <v>0.24856088571956081</v>
      </c>
      <c r="O84" s="7">
        <f t="shared" ref="O84:P102" si="13">H84/$D84</f>
        <v>1.4593785883617002E-2</v>
      </c>
      <c r="P84" s="7">
        <f t="shared" si="13"/>
        <v>0.22959318104448587</v>
      </c>
    </row>
    <row r="85" spans="3:16" x14ac:dyDescent="0.25">
      <c r="C85" s="1">
        <f>'Input-equal'!H85</f>
        <v>41548</v>
      </c>
      <c r="D85" s="8">
        <f>VLOOKUP(C85,'Input-equal'!temp,2,0)</f>
        <v>47175834172.419998</v>
      </c>
      <c r="E85" s="8">
        <f>VLOOKUP(C85,'Pivot-equal'!$C$4:$D$122,2,0)</f>
        <v>21846439126.260002</v>
      </c>
      <c r="F85" s="8">
        <f>VLOOKUP(C85,'Pivot-equal'!$G$3:$H$121,2,0)</f>
        <v>16622350119.240002</v>
      </c>
      <c r="G85" s="8">
        <f>VLOOKUP(C85,'Pivot-equal'!$K$3:$L$122,2,0)</f>
        <v>9148941452.2000008</v>
      </c>
      <c r="H85" s="8">
        <f>VLOOKUP(C85,'Input-equal'!temp_11,2,0)</f>
        <v>1114601890</v>
      </c>
      <c r="I85" s="8">
        <f>VLOOKUP(C85,'Input-equal'!$N$4:$O$101,2,0)</f>
        <v>12862580723.85</v>
      </c>
      <c r="K85" s="1">
        <f t="shared" si="9"/>
        <v>41548</v>
      </c>
      <c r="L85" s="7">
        <f t="shared" si="10"/>
        <v>0.46308538067212168</v>
      </c>
      <c r="M85" s="7">
        <f t="shared" si="11"/>
        <v>0.35234883305906189</v>
      </c>
      <c r="N85" s="7">
        <f t="shared" si="12"/>
        <v>0.19393279658314272</v>
      </c>
      <c r="O85" s="7">
        <f t="shared" si="13"/>
        <v>2.3626543325684743E-2</v>
      </c>
      <c r="P85" s="7">
        <f t="shared" si="13"/>
        <v>0.27265189793654437</v>
      </c>
    </row>
    <row r="86" spans="3:16" x14ac:dyDescent="0.25">
      <c r="C86" s="1">
        <f>'Input-equal'!H86</f>
        <v>41579</v>
      </c>
      <c r="D86" s="8">
        <f>VLOOKUP(C86,'Input-equal'!temp,2,0)</f>
        <v>38757040631.290001</v>
      </c>
      <c r="E86" s="8">
        <f>VLOOKUP(C86,'Pivot-equal'!$C$4:$D$122,2,0)</f>
        <v>19735518182.900002</v>
      </c>
      <c r="F86" s="8">
        <f>VLOOKUP(C86,'Pivot-equal'!$G$3:$H$121,2,0)</f>
        <v>15129673981.85</v>
      </c>
      <c r="G86" s="8">
        <f>VLOOKUP(C86,'Pivot-equal'!$K$3:$L$122,2,0)</f>
        <v>7277980089.6000004</v>
      </c>
      <c r="H86" s="8">
        <f>VLOOKUP(C86,'Input-equal'!temp_11,2,0)</f>
        <v>1144678013</v>
      </c>
      <c r="I86" s="8">
        <f>VLOOKUP(C86,'Input-equal'!$N$4:$O$101,2,0)</f>
        <v>9165938632.2299995</v>
      </c>
      <c r="K86" s="1">
        <f t="shared" si="9"/>
        <v>41579</v>
      </c>
      <c r="L86" s="7">
        <f t="shared" si="10"/>
        <v>0.5092111745747373</v>
      </c>
      <c r="M86" s="7">
        <f t="shared" si="11"/>
        <v>0.39037227134507407</v>
      </c>
      <c r="N86" s="7">
        <f t="shared" si="12"/>
        <v>0.18778472171903177</v>
      </c>
      <c r="O86" s="7">
        <f t="shared" si="13"/>
        <v>2.9534711483514529E-2</v>
      </c>
      <c r="P86" s="7">
        <f t="shared" si="13"/>
        <v>0.23649738171262735</v>
      </c>
    </row>
    <row r="87" spans="3:16" x14ac:dyDescent="0.25">
      <c r="C87" s="1">
        <f>'Input-equal'!H87</f>
        <v>41609</v>
      </c>
      <c r="D87" s="8">
        <f>VLOOKUP(C87,'Input-equal'!temp,2,0)</f>
        <v>37790142776.290001</v>
      </c>
      <c r="E87" s="8">
        <f>VLOOKUP(C87,'Pivot-equal'!$C$4:$D$122,2,0)</f>
        <v>17148936693.369997</v>
      </c>
      <c r="F87" s="8">
        <f>VLOOKUP(C87,'Pivot-equal'!$G$3:$H$121,2,0)</f>
        <v>12929026951.82</v>
      </c>
      <c r="G87" s="8">
        <f>VLOOKUP(C87,'Pivot-equal'!$K$3:$L$122,2,0)</f>
        <v>6588450968.0200005</v>
      </c>
      <c r="H87" s="8">
        <f>VLOOKUP(C87,'Input-equal'!temp_11,2,0)</f>
        <v>856201500</v>
      </c>
      <c r="I87" s="8">
        <f>VLOOKUP(C87,'Input-equal'!$N$4:$O$101,2,0)</f>
        <v>10518511717.99</v>
      </c>
      <c r="K87" s="1">
        <f t="shared" si="9"/>
        <v>41609</v>
      </c>
      <c r="L87" s="7">
        <f t="shared" si="10"/>
        <v>0.45379391115001161</v>
      </c>
      <c r="M87" s="7">
        <f t="shared" si="11"/>
        <v>0.34212696756287014</v>
      </c>
      <c r="N87" s="7">
        <f t="shared" si="12"/>
        <v>0.17434310865196506</v>
      </c>
      <c r="O87" s="7">
        <f t="shared" si="13"/>
        <v>2.2656741602394562E-2</v>
      </c>
      <c r="P87" s="7">
        <f t="shared" si="13"/>
        <v>0.27834008937879545</v>
      </c>
    </row>
    <row r="88" spans="3:16" x14ac:dyDescent="0.25">
      <c r="C88" s="1">
        <f>'Input-equal'!H88</f>
        <v>41640</v>
      </c>
      <c r="D88" s="8">
        <f>VLOOKUP(C88,'Input-equal'!temp,2,0)</f>
        <v>28108964119.139999</v>
      </c>
      <c r="E88" s="8">
        <f>VLOOKUP(C88,'Pivot-equal'!$C$4:$D$122,2,0)</f>
        <v>11561109174.170002</v>
      </c>
      <c r="F88" s="8">
        <f>VLOOKUP(C88,'Pivot-equal'!$G$3:$H$121,2,0)</f>
        <v>8967497119.7200012</v>
      </c>
      <c r="G88" s="8">
        <f>VLOOKUP(C88,'Pivot-equal'!$K$3:$L$122,2,0)</f>
        <v>3105702600.8000002</v>
      </c>
      <c r="H88" s="8">
        <f>VLOOKUP(C88,'Input-equal'!temp_11,2,0)</f>
        <v>690934900</v>
      </c>
      <c r="I88" s="8">
        <f>VLOOKUP(C88,'Input-equal'!$N$4:$O$101,2,0)</f>
        <v>9006175235.8600006</v>
      </c>
      <c r="K88" s="1">
        <f t="shared" si="9"/>
        <v>41640</v>
      </c>
      <c r="L88" s="7">
        <f t="shared" si="10"/>
        <v>0.41129616606176511</v>
      </c>
      <c r="M88" s="7">
        <f t="shared" si="11"/>
        <v>0.3190262395195787</v>
      </c>
      <c r="N88" s="7">
        <f t="shared" si="12"/>
        <v>0.11048797770122237</v>
      </c>
      <c r="O88" s="7">
        <f t="shared" si="13"/>
        <v>2.4580589205332102E-2</v>
      </c>
      <c r="P88" s="7">
        <f t="shared" si="13"/>
        <v>0.32040224597702277</v>
      </c>
    </row>
    <row r="89" spans="3:16" x14ac:dyDescent="0.25">
      <c r="C89" s="1">
        <f>'Input-equal'!H89</f>
        <v>41671</v>
      </c>
      <c r="D89" s="8">
        <f>VLOOKUP(C89,'Input-equal'!temp,2,0)</f>
        <v>27585216807.849998</v>
      </c>
      <c r="E89" s="8">
        <f>VLOOKUP(C89,'Pivot-equal'!$C$4:$D$122,2,0)</f>
        <v>13447219374.819998</v>
      </c>
      <c r="F89" s="8">
        <f>VLOOKUP(C89,'Pivot-equal'!$G$3:$H$121,2,0)</f>
        <v>10862978588.139999</v>
      </c>
      <c r="G89" s="8">
        <f>VLOOKUP(C89,'Pivot-equal'!$K$3:$L$122,2,0)</f>
        <v>4228977520.5</v>
      </c>
      <c r="H89" s="8">
        <f>VLOOKUP(C89,'Input-equal'!temp_11,2,0)</f>
        <v>732302230</v>
      </c>
      <c r="I89" s="8">
        <f>VLOOKUP(C89,'Input-equal'!$N$4:$O$101,2,0)</f>
        <v>6917280577.9399996</v>
      </c>
      <c r="K89" s="1">
        <f t="shared" si="9"/>
        <v>41671</v>
      </c>
      <c r="L89" s="7">
        <f t="shared" si="10"/>
        <v>0.48747919831441333</v>
      </c>
      <c r="M89" s="7">
        <f t="shared" si="11"/>
        <v>0.39379710747999969</v>
      </c>
      <c r="N89" s="7">
        <f t="shared" si="12"/>
        <v>0.15330593737789833</v>
      </c>
      <c r="O89" s="7">
        <f t="shared" si="13"/>
        <v>2.6546908625043209E-2</v>
      </c>
      <c r="P89" s="7">
        <f t="shared" si="13"/>
        <v>0.25076042092123529</v>
      </c>
    </row>
    <row r="90" spans="3:16" x14ac:dyDescent="0.25">
      <c r="C90" s="1">
        <f>'Input-equal'!H90</f>
        <v>41699</v>
      </c>
      <c r="D90" s="8">
        <f>VLOOKUP(C90,'Input-equal'!temp,2,0)</f>
        <v>23463509422.790001</v>
      </c>
      <c r="E90" s="8">
        <f>VLOOKUP(C90,'Pivot-equal'!$C$4:$D$122,2,0)</f>
        <v>9860110204.4599991</v>
      </c>
      <c r="F90" s="8">
        <f>VLOOKUP(C90,'Pivot-equal'!$G$3:$H$121,2,0)</f>
        <v>7601988463.4200001</v>
      </c>
      <c r="G90" s="8">
        <f>VLOOKUP(C90,'Pivot-equal'!$K$3:$L$122,2,0)</f>
        <v>2771745679.8800001</v>
      </c>
      <c r="H90" s="8">
        <f>VLOOKUP(C90,'Input-equal'!temp_11,2,0)</f>
        <v>619867269</v>
      </c>
      <c r="I90" s="8">
        <f>VLOOKUP(C90,'Input-equal'!$N$4:$O$101,2,0)</f>
        <v>7075975646.0799999</v>
      </c>
      <c r="K90" s="1">
        <f t="shared" si="9"/>
        <v>41699</v>
      </c>
      <c r="L90" s="7">
        <f t="shared" si="10"/>
        <v>0.42023168941995176</v>
      </c>
      <c r="M90" s="7">
        <f t="shared" si="11"/>
        <v>0.32399196243151174</v>
      </c>
      <c r="N90" s="7">
        <f t="shared" si="12"/>
        <v>0.11813005590663331</v>
      </c>
      <c r="O90" s="7">
        <f t="shared" si="13"/>
        <v>2.6418352763458552E-2</v>
      </c>
      <c r="P90" s="7">
        <f t="shared" si="13"/>
        <v>0.30157362731114457</v>
      </c>
    </row>
    <row r="91" spans="3:16" x14ac:dyDescent="0.25">
      <c r="C91" s="1">
        <f>'Input-equal'!H91</f>
        <v>41730</v>
      </c>
      <c r="D91" s="8">
        <f>VLOOKUP(C91,'Input-equal'!temp,2,0)</f>
        <v>27198516722.27</v>
      </c>
      <c r="E91" s="8">
        <f>VLOOKUP(C91,'Pivot-equal'!$C$4:$D$122,2,0)</f>
        <v>12276303521.109999</v>
      </c>
      <c r="F91" s="8">
        <f>VLOOKUP(C91,'Pivot-equal'!$G$3:$H$121,2,0)</f>
        <v>9017573459.2299995</v>
      </c>
      <c r="G91" s="8">
        <f>VLOOKUP(C91,'Pivot-equal'!$K$3:$L$122,2,0)</f>
        <v>3281937556.02</v>
      </c>
      <c r="H91" s="8">
        <f>VLOOKUP(C91,'Input-equal'!temp_11,2,0)</f>
        <v>800224200</v>
      </c>
      <c r="I91" s="8">
        <f>VLOOKUP(C91,'Input-equal'!$N$4:$O$101,2,0)</f>
        <v>8041639908.1300001</v>
      </c>
      <c r="K91" s="1">
        <f t="shared" si="9"/>
        <v>41730</v>
      </c>
      <c r="L91" s="7">
        <f t="shared" si="10"/>
        <v>0.45135930192319007</v>
      </c>
      <c r="M91" s="7">
        <f t="shared" si="11"/>
        <v>0.33154651598505952</v>
      </c>
      <c r="N91" s="7">
        <f t="shared" si="12"/>
        <v>0.12066604916483431</v>
      </c>
      <c r="O91" s="7">
        <f t="shared" si="13"/>
        <v>2.9421611780203465E-2</v>
      </c>
      <c r="P91" s="7">
        <f t="shared" si="13"/>
        <v>0.29566464929852398</v>
      </c>
    </row>
    <row r="92" spans="3:16" x14ac:dyDescent="0.25">
      <c r="C92" s="1">
        <f>'Input-equal'!H92</f>
        <v>41760</v>
      </c>
      <c r="D92" s="8">
        <f>VLOOKUP(C92,'Input-equal'!temp,2,0)</f>
        <v>27487631130.209999</v>
      </c>
      <c r="E92" s="8">
        <f>VLOOKUP(C92,'Pivot-equal'!$C$4:$D$122,2,0)</f>
        <v>10540781524.629999</v>
      </c>
      <c r="F92" s="8">
        <f>VLOOKUP(C92,'Pivot-equal'!$G$3:$H$121,2,0)</f>
        <v>7511955198.1200008</v>
      </c>
      <c r="G92" s="8">
        <f>VLOOKUP(C92,'Pivot-equal'!$K$3:$L$122,2,0)</f>
        <v>3701376306.8000002</v>
      </c>
      <c r="H92" s="8">
        <f>VLOOKUP(C92,'Input-equal'!temp_11,2,0)</f>
        <v>603934000</v>
      </c>
      <c r="I92" s="8">
        <f>VLOOKUP(C92,'Input-equal'!$N$4:$O$101,2,0)</f>
        <v>8490172743.6300001</v>
      </c>
      <c r="K92" s="1">
        <f t="shared" si="9"/>
        <v>41760</v>
      </c>
      <c r="L92" s="7">
        <f t="shared" si="10"/>
        <v>0.38347362399829577</v>
      </c>
      <c r="M92" s="7">
        <f t="shared" si="11"/>
        <v>0.27328492450060798</v>
      </c>
      <c r="N92" s="7">
        <f t="shared" si="12"/>
        <v>0.13465606727864013</v>
      </c>
      <c r="O92" s="7">
        <f t="shared" si="13"/>
        <v>2.197111846921769E-2</v>
      </c>
      <c r="P92" s="7">
        <f t="shared" si="13"/>
        <v>0.30887247807611051</v>
      </c>
    </row>
    <row r="93" spans="3:16" x14ac:dyDescent="0.25">
      <c r="C93" s="1">
        <f>'Input-equal'!H93</f>
        <v>41791</v>
      </c>
      <c r="D93" s="8">
        <f>VLOOKUP(C93,'Input-equal'!temp,2,0)</f>
        <v>31582304306.349998</v>
      </c>
      <c r="E93" s="8">
        <f>VLOOKUP(C93,'Pivot-equal'!$C$4:$D$122,2,0)</f>
        <v>13048715246.830002</v>
      </c>
      <c r="F93" s="8">
        <f>VLOOKUP(C93,'Pivot-equal'!$G$3:$H$121,2,0)</f>
        <v>9698417154.789999</v>
      </c>
      <c r="G93" s="8">
        <f>VLOOKUP(C93,'Pivot-equal'!$K$3:$L$122,2,0)</f>
        <v>4119664079.48</v>
      </c>
      <c r="H93" s="8">
        <f>VLOOKUP(C93,'Input-equal'!temp_11,2,0)</f>
        <v>565998636</v>
      </c>
      <c r="I93" s="8">
        <f>VLOOKUP(C93,'Input-equal'!$N$4:$O$101,2,0)</f>
        <v>9636568337.5599995</v>
      </c>
      <c r="K93" s="1">
        <f t="shared" si="9"/>
        <v>41791</v>
      </c>
      <c r="L93" s="7">
        <f t="shared" si="10"/>
        <v>0.41316539541436825</v>
      </c>
      <c r="M93" s="7">
        <f t="shared" si="11"/>
        <v>0.3070838992847022</v>
      </c>
      <c r="N93" s="7">
        <f t="shared" si="12"/>
        <v>0.13044216278581333</v>
      </c>
      <c r="O93" s="7">
        <f t="shared" si="13"/>
        <v>1.7921385042389045E-2</v>
      </c>
      <c r="P93" s="7">
        <f t="shared" si="13"/>
        <v>0.30512556158299231</v>
      </c>
    </row>
    <row r="94" spans="3:16" x14ac:dyDescent="0.25">
      <c r="C94" s="1">
        <f>'Input-equal'!H94</f>
        <v>41821</v>
      </c>
      <c r="D94" s="8">
        <f>VLOOKUP(C94,'Input-equal'!temp,2,0)</f>
        <v>36447478522.989998</v>
      </c>
      <c r="E94" s="8">
        <f>VLOOKUP(C94,'Pivot-equal'!$C$4:$D$122,2,0)</f>
        <v>14180443501.41</v>
      </c>
      <c r="F94" s="8">
        <f>VLOOKUP(C94,'Pivot-equal'!$G$3:$H$121,2,0)</f>
        <v>10365356857.860001</v>
      </c>
      <c r="G94" s="8">
        <f>VLOOKUP(C94,'Pivot-equal'!$K$3:$L$122,2,0)</f>
        <v>4404846709.1300001</v>
      </c>
      <c r="H94" s="8">
        <f>VLOOKUP(C94,'Input-equal'!temp_11,2,0)</f>
        <v>766012000</v>
      </c>
      <c r="I94" s="8">
        <f>VLOOKUP(C94,'Input-equal'!$N$4:$O$101,2,0)</f>
        <v>11123399110.24</v>
      </c>
      <c r="K94" s="1">
        <f t="shared" si="9"/>
        <v>41821</v>
      </c>
      <c r="L94" s="7">
        <f t="shared" si="10"/>
        <v>0.38906514458785929</v>
      </c>
      <c r="M94" s="7">
        <f t="shared" si="11"/>
        <v>0.28439160342249298</v>
      </c>
      <c r="N94" s="7">
        <f t="shared" si="12"/>
        <v>0.12085463487828252</v>
      </c>
      <c r="O94" s="7">
        <f t="shared" si="13"/>
        <v>2.1016872251308747E-2</v>
      </c>
      <c r="P94" s="7">
        <f t="shared" si="13"/>
        <v>0.30518981177871296</v>
      </c>
    </row>
    <row r="95" spans="3:16" x14ac:dyDescent="0.25">
      <c r="C95" s="1">
        <f>'Input-equal'!H95</f>
        <v>41852</v>
      </c>
      <c r="D95" s="8">
        <f>VLOOKUP(C95,'Input-equal'!temp,2,0)</f>
        <v>34332054961.080002</v>
      </c>
      <c r="E95" s="8">
        <f>VLOOKUP(C95,'Pivot-equal'!$C$4:$D$122,2,0)</f>
        <v>13791297844.579998</v>
      </c>
      <c r="F95" s="8">
        <f>VLOOKUP(C95,'Pivot-equal'!$G$3:$H$121,2,0)</f>
        <v>10185763886.950001</v>
      </c>
      <c r="G95" s="8">
        <f>VLOOKUP(C95,'Pivot-equal'!$K$3:$L$122,2,0)</f>
        <v>4351012772.2799997</v>
      </c>
      <c r="H95" s="8">
        <f>VLOOKUP(C95,'Input-equal'!temp_11,2,0)</f>
        <v>866330115</v>
      </c>
      <c r="I95" s="8">
        <f>VLOOKUP(C95,'Input-equal'!$N$4:$O$101,2,0)</f>
        <v>10202403453.049999</v>
      </c>
      <c r="K95" s="1">
        <f t="shared" si="9"/>
        <v>41852</v>
      </c>
      <c r="L95" s="7">
        <f t="shared" si="10"/>
        <v>0.40170324381148426</v>
      </c>
      <c r="M95" s="7">
        <f t="shared" si="11"/>
        <v>0.29668378133778861</v>
      </c>
      <c r="N95" s="7">
        <f t="shared" si="12"/>
        <v>0.12673324615180936</v>
      </c>
      <c r="O95" s="7">
        <f t="shared" si="13"/>
        <v>2.5233855531866696E-2</v>
      </c>
      <c r="P95" s="7">
        <f t="shared" si="13"/>
        <v>0.29716844694020778</v>
      </c>
    </row>
    <row r="96" spans="3:16" x14ac:dyDescent="0.25">
      <c r="C96" s="1">
        <f>'Input-equal'!H96</f>
        <v>41883</v>
      </c>
      <c r="D96" s="8">
        <f>VLOOKUP(C96,'Input-equal'!temp,2,0)</f>
        <v>40347506692.199997</v>
      </c>
      <c r="E96" s="8">
        <f>VLOOKUP(C96,'Pivot-equal'!$C$4:$D$122,2,0)</f>
        <v>20418529374.110001</v>
      </c>
      <c r="F96" s="8">
        <f>VLOOKUP(C96,'Pivot-equal'!$G$3:$H$121,2,0)</f>
        <v>15191127020.780001</v>
      </c>
      <c r="G96" s="8">
        <f>VLOOKUP(C96,'Pivot-equal'!$K$3:$L$122,2,0)</f>
        <v>4282578991.9000001</v>
      </c>
      <c r="H96" s="8">
        <f>VLOOKUP(C96,'Input-equal'!temp_11,2,0)</f>
        <v>692754683</v>
      </c>
      <c r="I96" s="8">
        <f>VLOOKUP(C96,'Input-equal'!$N$4:$O$101,2,0)</f>
        <v>8745227871.8199997</v>
      </c>
      <c r="K96" s="1">
        <f t="shared" si="9"/>
        <v>41883</v>
      </c>
      <c r="L96" s="7">
        <f t="shared" si="10"/>
        <v>0.50606669527010262</v>
      </c>
      <c r="M96" s="7">
        <f t="shared" si="11"/>
        <v>0.37650720617432248</v>
      </c>
      <c r="N96" s="7">
        <f t="shared" si="12"/>
        <v>0.10614234541357448</v>
      </c>
      <c r="O96" s="7">
        <f t="shared" si="13"/>
        <v>1.7169702412712498E-2</v>
      </c>
      <c r="P96" s="7">
        <f t="shared" si="13"/>
        <v>0.21674766519118346</v>
      </c>
    </row>
    <row r="97" spans="3:16" x14ac:dyDescent="0.25">
      <c r="C97" s="1">
        <f>'Input-equal'!H97</f>
        <v>41913</v>
      </c>
      <c r="D97" s="8">
        <f>VLOOKUP(C97,'Input-equal'!temp,2,0)</f>
        <v>40323740351.139999</v>
      </c>
      <c r="E97" s="8">
        <f>VLOOKUP(C97,'Pivot-equal'!$C$4:$D$122,2,0)</f>
        <v>16591290665.489998</v>
      </c>
      <c r="F97" s="8">
        <f>VLOOKUP(C97,'Pivot-equal'!$G$3:$H$121,2,0)</f>
        <v>12022533710.82</v>
      </c>
      <c r="G97" s="8">
        <f>VLOOKUP(C97,'Pivot-equal'!$K$3:$L$122,2,0)</f>
        <v>4328284495.8800001</v>
      </c>
      <c r="H97" s="8">
        <f>VLOOKUP(C97,'Input-equal'!temp_11,2,0)</f>
        <v>1116288094</v>
      </c>
      <c r="I97" s="8">
        <f>VLOOKUP(C97,'Input-equal'!$N$4:$O$101,2,0)</f>
        <v>12085672777.809999</v>
      </c>
      <c r="K97" s="1">
        <f t="shared" si="9"/>
        <v>41913</v>
      </c>
      <c r="L97" s="7">
        <f t="shared" si="10"/>
        <v>0.41145217484818325</v>
      </c>
      <c r="M97" s="7">
        <f t="shared" si="11"/>
        <v>0.29815026101565772</v>
      </c>
      <c r="N97" s="7">
        <f t="shared" si="12"/>
        <v>0.10733836837032491</v>
      </c>
      <c r="O97" s="7">
        <f t="shared" si="13"/>
        <v>2.7683148544240668E-2</v>
      </c>
      <c r="P97" s="7">
        <f t="shared" si="13"/>
        <v>0.29971606484338259</v>
      </c>
    </row>
    <row r="98" spans="3:16" x14ac:dyDescent="0.25">
      <c r="C98" s="1">
        <f>'Input-equal'!H98</f>
        <v>41944</v>
      </c>
      <c r="D98" s="8">
        <f>VLOOKUP(C98,'Input-equal'!temp,2,0)</f>
        <v>32492729674.279999</v>
      </c>
      <c r="E98" s="8">
        <f>VLOOKUP(C98,'Pivot-equal'!$C$4:$D$122,2,0)</f>
        <v>19050839925.150002</v>
      </c>
      <c r="F98" s="8">
        <f>VLOOKUP(C98,'Pivot-equal'!$G$3:$H$121,2,0)</f>
        <v>15143920247.16</v>
      </c>
      <c r="G98" s="8">
        <f>VLOOKUP(C98,'Pivot-equal'!$K$3:$L$122,2,0)</f>
        <v>4110188403.46</v>
      </c>
      <c r="H98" s="8">
        <f>VLOOKUP(C98,'Input-equal'!temp_11,2,0)</f>
        <v>831784416</v>
      </c>
      <c r="I98" s="8">
        <f>VLOOKUP(C98,'Input-equal'!$N$4:$O$101,2,0)</f>
        <v>4219267889.8299999</v>
      </c>
      <c r="K98" s="1">
        <f t="shared" si="9"/>
        <v>41944</v>
      </c>
      <c r="L98" s="7">
        <f t="shared" si="10"/>
        <v>0.58631084910757492</v>
      </c>
      <c r="M98" s="7">
        <f t="shared" si="11"/>
        <v>0.46607103801276961</v>
      </c>
      <c r="N98" s="7">
        <f t="shared" si="12"/>
        <v>0.12649563285886281</v>
      </c>
      <c r="O98" s="7">
        <f t="shared" si="13"/>
        <v>2.559909322294977E-2</v>
      </c>
      <c r="P98" s="7">
        <f t="shared" si="13"/>
        <v>0.12985267572548118</v>
      </c>
    </row>
    <row r="99" spans="3:16" x14ac:dyDescent="0.25">
      <c r="C99" s="1">
        <f>'Input-equal'!H99</f>
        <v>41974</v>
      </c>
      <c r="D99" s="8">
        <f>VLOOKUP(C99,'Input-equal'!temp,2,0)</f>
        <v>44253011751.110001</v>
      </c>
      <c r="E99" s="8">
        <f>VLOOKUP(C99,'Pivot-equal'!$C$4:$D$122,2,0)</f>
        <v>16969236987.160002</v>
      </c>
      <c r="F99" s="8">
        <f>VLOOKUP(C99,'Pivot-equal'!$G$3:$H$121,2,0)</f>
        <v>12192486905.27</v>
      </c>
      <c r="G99" s="8">
        <f>VLOOKUP(C99,'Pivot-equal'!$K$3:$L$122,2,0)</f>
        <v>3928850698.1300001</v>
      </c>
      <c r="H99" s="8">
        <f>VLOOKUP(C99,'Input-equal'!temp_11,2,0)</f>
        <v>624271500</v>
      </c>
      <c r="I99" s="8">
        <f>VLOOKUP(C99,'Input-equal'!$N$4:$O$101,2,0)</f>
        <v>15367345362.059999</v>
      </c>
      <c r="K99" s="1">
        <f t="shared" si="9"/>
        <v>41974</v>
      </c>
      <c r="L99" s="7">
        <f t="shared" si="10"/>
        <v>0.38345948254548712</v>
      </c>
      <c r="M99" s="7">
        <f t="shared" si="11"/>
        <v>0.2755176749063678</v>
      </c>
      <c r="N99" s="7">
        <f t="shared" si="12"/>
        <v>8.8781543733720061E-2</v>
      </c>
      <c r="O99" s="7">
        <f t="shared" si="13"/>
        <v>1.4106870364237783E-2</v>
      </c>
      <c r="P99" s="7">
        <f t="shared" si="13"/>
        <v>0.34726100561222345</v>
      </c>
    </row>
    <row r="100" spans="3:16" x14ac:dyDescent="0.25">
      <c r="C100" s="1">
        <f>'Input-equal'!H100</f>
        <v>42005</v>
      </c>
      <c r="D100" s="8">
        <f>VLOOKUP(C100,'Input-equal'!temp,2,0)</f>
        <v>36980630899.18</v>
      </c>
      <c r="E100" s="8">
        <f>VLOOKUP(C100,'Pivot-equal'!$C$4:$D$122,2,0)</f>
        <v>17220019925.009998</v>
      </c>
      <c r="F100" s="8">
        <f>VLOOKUP(C100,'Pivot-equal'!$G$3:$H$121,2,0)</f>
        <v>13355633418.48</v>
      </c>
      <c r="G100" s="8">
        <f>VLOOKUP(C100,'Pivot-equal'!$K$3:$L$122,2,0)</f>
        <v>5489190091.1700001</v>
      </c>
      <c r="H100" s="8">
        <f>VLOOKUP(C100,'Input-equal'!temp_11,2,0)</f>
        <v>855334400</v>
      </c>
      <c r="I100" s="8">
        <f>VLOOKUP(C100,'Input-equal'!$N$4:$O$101,2,0)</f>
        <v>8692846973.4500008</v>
      </c>
      <c r="K100" s="1">
        <f t="shared" si="9"/>
        <v>42005</v>
      </c>
      <c r="L100" s="7">
        <f t="shared" si="10"/>
        <v>0.46564970651681964</v>
      </c>
      <c r="M100" s="7">
        <f t="shared" si="11"/>
        <v>0.36115212460521173</v>
      </c>
      <c r="N100" s="7">
        <f t="shared" si="12"/>
        <v>0.14843419264898794</v>
      </c>
      <c r="O100" s="7">
        <f t="shared" si="13"/>
        <v>2.3129253860808687E-2</v>
      </c>
      <c r="P100" s="7">
        <f t="shared" si="13"/>
        <v>0.23506486401352211</v>
      </c>
    </row>
    <row r="101" spans="3:16" x14ac:dyDescent="0.25">
      <c r="C101" s="1">
        <f>'Input-equal'!H101</f>
        <v>42036</v>
      </c>
      <c r="D101" s="8">
        <f>VLOOKUP(C101,'Input-equal'!temp,2,0)</f>
        <v>36583983679.550003</v>
      </c>
      <c r="E101" s="8">
        <f>VLOOKUP(C101,'Pivot-equal'!$C$4:$D$122,2,0)</f>
        <v>16016008212.179998</v>
      </c>
      <c r="F101" s="8">
        <f>VLOOKUP(C101,'Pivot-equal'!$G$3:$H$121,2,0)</f>
        <v>11671526842.16</v>
      </c>
      <c r="G101" s="8">
        <f>VLOOKUP(C101,'Pivot-equal'!$K$3:$L$122,2,0)</f>
        <v>5063985040.1199999</v>
      </c>
      <c r="H101" s="8">
        <f>VLOOKUP(C101,'Input-equal'!temp_11,2,0)</f>
        <v>697783000</v>
      </c>
      <c r="I101" s="8">
        <f>VLOOKUP(C101,'Input-equal'!$N$4:$O$101,2,0)</f>
        <v>9207094804.5400009</v>
      </c>
      <c r="K101" s="1">
        <f t="shared" si="9"/>
        <v>42036</v>
      </c>
      <c r="L101" s="7">
        <f t="shared" si="10"/>
        <v>0.43778743049059332</v>
      </c>
      <c r="M101" s="7">
        <f t="shared" si="11"/>
        <v>0.31903378659892195</v>
      </c>
      <c r="N101" s="7">
        <f t="shared" si="12"/>
        <v>0.13842082055570962</v>
      </c>
      <c r="O101" s="7">
        <f t="shared" si="13"/>
        <v>1.9073455917542739E-2</v>
      </c>
      <c r="P101" s="7">
        <f t="shared" si="13"/>
        <v>0.25167009927589307</v>
      </c>
    </row>
    <row r="102" spans="3:16" x14ac:dyDescent="0.25">
      <c r="C102" s="1">
        <f>'Input-equal'!H102</f>
        <v>42064</v>
      </c>
      <c r="D102" s="8">
        <f>VLOOKUP(C102,'Input-equal'!temp,2,0)</f>
        <v>23910707870.450001</v>
      </c>
      <c r="E102" s="8">
        <f>VLOOKUP(C102,'Pivot-equal'!$C$4:$D$122,2,0)</f>
        <v>11103071609.139999</v>
      </c>
      <c r="F102" s="8">
        <f>VLOOKUP(C102,'Pivot-equal'!$G$3:$H$121,2,0)</f>
        <v>8844462338.1399994</v>
      </c>
      <c r="G102" s="8">
        <f>VLOOKUP(C102,'Pivot-equal'!$K$3:$L$122,2,0)</f>
        <v>4009024386</v>
      </c>
      <c r="H102" s="8">
        <f>VLOOKUP(C102,'Input-equal'!temp_11,2,0)</f>
        <v>869290480</v>
      </c>
      <c r="I102" s="8">
        <f>VLOOKUP(C102,'Input-equal'!$N$4:$O$101,2,0)</f>
        <v>4983311763.4899998</v>
      </c>
      <c r="K102" s="1">
        <f t="shared" si="9"/>
        <v>42064</v>
      </c>
      <c r="L102" s="7">
        <f t="shared" si="10"/>
        <v>0.46435562130980268</v>
      </c>
      <c r="M102" s="7">
        <f t="shared" si="11"/>
        <v>0.36989546215277092</v>
      </c>
      <c r="N102" s="7">
        <f t="shared" si="12"/>
        <v>0.16766648681926077</v>
      </c>
      <c r="O102" s="7">
        <f t="shared" si="13"/>
        <v>3.6355698238206946E-2</v>
      </c>
      <c r="P102" s="7">
        <f t="shared" si="13"/>
        <v>0.20841339330018813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N144"/>
  <sheetViews>
    <sheetView workbookViewId="0">
      <selection activeCell="S35" sqref="S35"/>
    </sheetView>
  </sheetViews>
  <sheetFormatPr defaultRowHeight="15" x14ac:dyDescent="0.25"/>
  <cols>
    <col min="5" max="5" width="13.140625" bestFit="1" customWidth="1"/>
    <col min="6" max="6" width="19.140625" bestFit="1" customWidth="1"/>
    <col min="9" max="9" width="13.140625" customWidth="1"/>
    <col min="10" max="10" width="19.140625" bestFit="1" customWidth="1"/>
    <col min="13" max="13" width="13.140625" bestFit="1" customWidth="1"/>
    <col min="14" max="14" width="19.140625" bestFit="1" customWidth="1"/>
  </cols>
  <sheetData>
    <row r="1" spans="5:14" x14ac:dyDescent="0.25">
      <c r="I1" s="2" t="s">
        <v>3</v>
      </c>
      <c r="J1" t="s">
        <v>87</v>
      </c>
      <c r="M1" s="2" t="s">
        <v>3</v>
      </c>
      <c r="N1" s="5">
        <v>1</v>
      </c>
    </row>
    <row r="2" spans="5:14" x14ac:dyDescent="0.25">
      <c r="E2" t="s">
        <v>86</v>
      </c>
      <c r="I2" t="s">
        <v>88</v>
      </c>
      <c r="M2" t="s">
        <v>89</v>
      </c>
    </row>
    <row r="3" spans="5:14" x14ac:dyDescent="0.25">
      <c r="E3" s="2" t="s">
        <v>82</v>
      </c>
      <c r="F3" t="s">
        <v>84</v>
      </c>
      <c r="I3" s="2" t="s">
        <v>82</v>
      </c>
      <c r="J3" t="s">
        <v>84</v>
      </c>
      <c r="M3" s="2" t="s">
        <v>82</v>
      </c>
      <c r="N3" t="s">
        <v>84</v>
      </c>
    </row>
    <row r="4" spans="5:14" x14ac:dyDescent="0.25">
      <c r="E4" s="3">
        <v>37773</v>
      </c>
      <c r="F4" s="4">
        <v>115261387726.93999</v>
      </c>
      <c r="I4" s="3">
        <v>37773</v>
      </c>
      <c r="J4" s="4">
        <v>101650726785.31</v>
      </c>
      <c r="M4" s="3">
        <v>37773</v>
      </c>
      <c r="N4" s="4">
        <v>29346009324.57</v>
      </c>
    </row>
    <row r="5" spans="5:14" x14ac:dyDescent="0.25">
      <c r="E5" s="3">
        <v>37803</v>
      </c>
      <c r="F5" s="4">
        <v>123060141445.62001</v>
      </c>
      <c r="I5" s="3">
        <v>37803</v>
      </c>
      <c r="J5" s="4">
        <v>108737512858.56001</v>
      </c>
      <c r="M5" s="3">
        <v>37803</v>
      </c>
      <c r="N5" s="4">
        <v>29203480041.400002</v>
      </c>
    </row>
    <row r="6" spans="5:14" x14ac:dyDescent="0.25">
      <c r="E6" s="3">
        <v>37834</v>
      </c>
      <c r="F6" s="4">
        <v>126522100246.59</v>
      </c>
      <c r="I6" s="3">
        <v>37834</v>
      </c>
      <c r="J6" s="4">
        <v>109579193078.28001</v>
      </c>
      <c r="M6" s="3">
        <v>37834</v>
      </c>
      <c r="N6" s="4">
        <v>31589484729.220001</v>
      </c>
    </row>
    <row r="7" spans="5:14" x14ac:dyDescent="0.25">
      <c r="E7" s="3">
        <v>37865</v>
      </c>
      <c r="F7" s="4">
        <v>107980970161.14001</v>
      </c>
      <c r="I7" s="3">
        <v>37865</v>
      </c>
      <c r="J7" s="4">
        <v>88387756825.5</v>
      </c>
      <c r="M7" s="3">
        <v>37865</v>
      </c>
      <c r="N7" s="4">
        <v>23343172196.529999</v>
      </c>
    </row>
    <row r="8" spans="5:14" x14ac:dyDescent="0.25">
      <c r="E8" s="3">
        <v>37895</v>
      </c>
      <c r="F8" s="4">
        <v>115953203482.42003</v>
      </c>
      <c r="I8" s="3">
        <v>37895</v>
      </c>
      <c r="J8" s="4">
        <v>98264652545.570007</v>
      </c>
      <c r="M8" s="3">
        <v>37895</v>
      </c>
      <c r="N8" s="4">
        <v>31820990055.02</v>
      </c>
    </row>
    <row r="9" spans="5:14" x14ac:dyDescent="0.25">
      <c r="E9" s="3">
        <v>37926</v>
      </c>
      <c r="F9" s="4">
        <v>72608285357.429993</v>
      </c>
      <c r="I9" s="3">
        <v>37926</v>
      </c>
      <c r="J9" s="4">
        <v>57457813666.779999</v>
      </c>
      <c r="M9" s="3">
        <v>37926</v>
      </c>
      <c r="N9" s="4">
        <v>14035831776.82</v>
      </c>
    </row>
    <row r="10" spans="5:14" x14ac:dyDescent="0.25">
      <c r="E10" s="3">
        <v>37956</v>
      </c>
      <c r="F10" s="4">
        <v>54863651613.760002</v>
      </c>
      <c r="I10" s="3">
        <v>37956</v>
      </c>
      <c r="J10" s="4">
        <v>44033317109.029999</v>
      </c>
      <c r="M10" s="3">
        <v>37956</v>
      </c>
      <c r="N10" s="4">
        <v>11117075517.34</v>
      </c>
    </row>
    <row r="11" spans="5:14" x14ac:dyDescent="0.25">
      <c r="E11" s="3">
        <v>37987</v>
      </c>
      <c r="F11" s="4">
        <v>53819292215.44001</v>
      </c>
      <c r="I11" s="3">
        <v>37987</v>
      </c>
      <c r="J11" s="4">
        <v>45686681353.330002</v>
      </c>
      <c r="M11" s="3">
        <v>37987</v>
      </c>
      <c r="N11" s="4">
        <v>13196343605.73</v>
      </c>
    </row>
    <row r="12" spans="5:14" x14ac:dyDescent="0.25">
      <c r="E12" s="3">
        <v>38018</v>
      </c>
      <c r="F12" s="4">
        <v>39839014484.800003</v>
      </c>
      <c r="I12" s="3">
        <v>38018</v>
      </c>
      <c r="J12" s="4">
        <v>31999197993.349998</v>
      </c>
      <c r="M12" s="3">
        <v>38018</v>
      </c>
      <c r="N12" s="4">
        <v>11231015625.76</v>
      </c>
    </row>
    <row r="13" spans="5:14" x14ac:dyDescent="0.25">
      <c r="E13" s="3">
        <v>38047</v>
      </c>
      <c r="F13" s="4">
        <v>40059162294.409996</v>
      </c>
      <c r="I13" s="3">
        <v>38047</v>
      </c>
      <c r="J13" s="4">
        <v>33136650518.93</v>
      </c>
      <c r="M13" s="3">
        <v>38047</v>
      </c>
      <c r="N13" s="4">
        <v>12648473634.91</v>
      </c>
    </row>
    <row r="14" spans="5:14" x14ac:dyDescent="0.25">
      <c r="E14" s="3">
        <v>38078</v>
      </c>
      <c r="F14" s="4">
        <v>36386487058.970001</v>
      </c>
      <c r="I14" s="3">
        <v>38078</v>
      </c>
      <c r="J14" s="4">
        <v>31283665800.760002</v>
      </c>
      <c r="M14" s="3">
        <v>38078</v>
      </c>
      <c r="N14" s="4">
        <v>13767718999.52</v>
      </c>
    </row>
    <row r="15" spans="5:14" x14ac:dyDescent="0.25">
      <c r="E15" s="3">
        <v>38108</v>
      </c>
      <c r="F15" s="4">
        <v>55537422002.269997</v>
      </c>
      <c r="I15" s="3">
        <v>38108</v>
      </c>
      <c r="J15" s="4">
        <v>49403474213.259995</v>
      </c>
      <c r="M15" s="3">
        <v>38108</v>
      </c>
      <c r="N15" s="4">
        <v>16189427785.290001</v>
      </c>
    </row>
    <row r="16" spans="5:14" x14ac:dyDescent="0.25">
      <c r="E16" s="3">
        <v>38139</v>
      </c>
      <c r="F16" s="4">
        <v>49442332564.380005</v>
      </c>
      <c r="I16" s="3">
        <v>38139</v>
      </c>
      <c r="J16" s="4">
        <v>41709315715.120003</v>
      </c>
      <c r="M16" s="3">
        <v>38139</v>
      </c>
      <c r="N16" s="4">
        <v>15256199593.17</v>
      </c>
    </row>
    <row r="17" spans="5:14" x14ac:dyDescent="0.25">
      <c r="E17" s="3">
        <v>38169</v>
      </c>
      <c r="F17" s="4">
        <v>45851213635.059998</v>
      </c>
      <c r="I17" s="3">
        <v>38169</v>
      </c>
      <c r="J17" s="4">
        <v>38544505614.349998</v>
      </c>
      <c r="M17" s="3">
        <v>38169</v>
      </c>
      <c r="N17" s="4">
        <v>12407380467.74</v>
      </c>
    </row>
    <row r="18" spans="5:14" x14ac:dyDescent="0.25">
      <c r="E18" s="3">
        <v>38200</v>
      </c>
      <c r="F18" s="4">
        <v>34992147394.459999</v>
      </c>
      <c r="I18" s="3">
        <v>38200</v>
      </c>
      <c r="J18" s="4">
        <v>29443503219.689999</v>
      </c>
      <c r="M18" s="3">
        <v>38200</v>
      </c>
      <c r="N18" s="4">
        <v>9536604948.9400005</v>
      </c>
    </row>
    <row r="19" spans="5:14" x14ac:dyDescent="0.25">
      <c r="E19" s="3">
        <v>38231</v>
      </c>
      <c r="F19" s="4">
        <v>29934416913.950005</v>
      </c>
      <c r="I19" s="3">
        <v>38231</v>
      </c>
      <c r="J19" s="4">
        <v>25396317992.700005</v>
      </c>
      <c r="M19" s="3">
        <v>38231</v>
      </c>
      <c r="N19" s="4">
        <v>9785050909.1900005</v>
      </c>
    </row>
    <row r="20" spans="5:14" x14ac:dyDescent="0.25">
      <c r="E20" s="3">
        <v>38261</v>
      </c>
      <c r="F20" s="4">
        <v>30867872559.879997</v>
      </c>
      <c r="I20" s="3">
        <v>38261</v>
      </c>
      <c r="J20" s="4">
        <v>25575124112.809998</v>
      </c>
      <c r="M20" s="3">
        <v>38261</v>
      </c>
      <c r="N20" s="4">
        <v>9131387615.3299999</v>
      </c>
    </row>
    <row r="21" spans="5:14" x14ac:dyDescent="0.25">
      <c r="E21" s="3">
        <v>38292</v>
      </c>
      <c r="F21" s="4">
        <v>26320435927.430004</v>
      </c>
      <c r="I21" s="3">
        <v>38292</v>
      </c>
      <c r="J21" s="4">
        <v>21553989777.180004</v>
      </c>
      <c r="M21" s="3">
        <v>38292</v>
      </c>
      <c r="N21" s="4">
        <v>8238855635.6999998</v>
      </c>
    </row>
    <row r="22" spans="5:14" x14ac:dyDescent="0.25">
      <c r="E22" s="3">
        <v>38322</v>
      </c>
      <c r="F22" s="4">
        <v>26037864709.359993</v>
      </c>
      <c r="I22" s="3">
        <v>38322</v>
      </c>
      <c r="J22" s="4">
        <v>19806918257.659996</v>
      </c>
      <c r="M22" s="3">
        <v>38322</v>
      </c>
      <c r="N22" s="4">
        <v>7182449750.2799997</v>
      </c>
    </row>
    <row r="23" spans="5:14" x14ac:dyDescent="0.25">
      <c r="E23" s="3">
        <v>38353</v>
      </c>
      <c r="F23" s="4">
        <v>28519931820.98</v>
      </c>
      <c r="I23" s="3">
        <v>38353</v>
      </c>
      <c r="J23" s="4">
        <v>22160480495.099998</v>
      </c>
      <c r="M23" s="3">
        <v>38353</v>
      </c>
      <c r="N23" s="4">
        <v>7728778433.3199997</v>
      </c>
    </row>
    <row r="24" spans="5:14" x14ac:dyDescent="0.25">
      <c r="E24" s="3">
        <v>38384</v>
      </c>
      <c r="F24" s="4">
        <v>27072147752.57</v>
      </c>
      <c r="I24" s="3">
        <v>38384</v>
      </c>
      <c r="J24" s="4">
        <v>20549353743.279999</v>
      </c>
      <c r="M24" s="3">
        <v>38384</v>
      </c>
      <c r="N24" s="4">
        <v>6548421686.8000002</v>
      </c>
    </row>
    <row r="25" spans="5:14" x14ac:dyDescent="0.25">
      <c r="E25" s="3">
        <v>38412</v>
      </c>
      <c r="F25" s="4">
        <v>23429751444.030003</v>
      </c>
      <c r="I25" s="3">
        <v>38412</v>
      </c>
      <c r="J25" s="4">
        <v>17765987671.200001</v>
      </c>
      <c r="M25" s="3">
        <v>38412</v>
      </c>
      <c r="N25" s="4">
        <v>5448667036.9300003</v>
      </c>
    </row>
    <row r="26" spans="5:14" x14ac:dyDescent="0.25">
      <c r="E26" s="3">
        <v>38443</v>
      </c>
      <c r="F26" s="4">
        <v>24805613405.75</v>
      </c>
      <c r="I26" s="3">
        <v>38443</v>
      </c>
      <c r="J26" s="4">
        <v>18634086102.939999</v>
      </c>
      <c r="M26" s="3">
        <v>38443</v>
      </c>
      <c r="N26" s="4">
        <v>6200760652.5699997</v>
      </c>
    </row>
    <row r="27" spans="5:14" x14ac:dyDescent="0.25">
      <c r="E27" s="3">
        <v>38473</v>
      </c>
      <c r="F27" s="4">
        <v>27999446210.920006</v>
      </c>
      <c r="I27" s="3">
        <v>38473</v>
      </c>
      <c r="J27" s="4">
        <v>22356887498.610001</v>
      </c>
      <c r="M27" s="3">
        <v>38473</v>
      </c>
      <c r="N27" s="4">
        <v>8249856689.5500002</v>
      </c>
    </row>
    <row r="28" spans="5:14" x14ac:dyDescent="0.25">
      <c r="E28" s="3">
        <v>38504</v>
      </c>
      <c r="F28" s="4">
        <v>28220898707.010002</v>
      </c>
      <c r="I28" s="3">
        <v>38504</v>
      </c>
      <c r="J28" s="4">
        <v>22395611235.139999</v>
      </c>
      <c r="M28" s="3">
        <v>38504</v>
      </c>
      <c r="N28" s="4">
        <v>8151630322.04</v>
      </c>
    </row>
    <row r="29" spans="5:14" x14ac:dyDescent="0.25">
      <c r="E29" s="3">
        <v>38534</v>
      </c>
      <c r="F29" s="4">
        <v>28019024256.770004</v>
      </c>
      <c r="I29" s="3">
        <v>38534</v>
      </c>
      <c r="J29" s="4">
        <v>22405959627.620003</v>
      </c>
      <c r="M29" s="3">
        <v>38534</v>
      </c>
      <c r="N29" s="4">
        <v>8430888883.8800001</v>
      </c>
    </row>
    <row r="30" spans="5:14" x14ac:dyDescent="0.25">
      <c r="E30" s="3">
        <v>38565</v>
      </c>
      <c r="F30" s="4">
        <v>37645694004.099998</v>
      </c>
      <c r="I30" s="3">
        <v>38565</v>
      </c>
      <c r="J30" s="4">
        <v>30891577692.140003</v>
      </c>
      <c r="M30" s="3">
        <v>38565</v>
      </c>
      <c r="N30" s="4">
        <v>11555724329.280001</v>
      </c>
    </row>
    <row r="31" spans="5:14" x14ac:dyDescent="0.25">
      <c r="E31" s="3">
        <v>38596</v>
      </c>
      <c r="F31" s="4">
        <v>41334020458.619995</v>
      </c>
      <c r="I31" s="3">
        <v>38596</v>
      </c>
      <c r="J31" s="4">
        <v>33710738362.989998</v>
      </c>
      <c r="M31" s="3">
        <v>38596</v>
      </c>
      <c r="N31" s="4">
        <v>12483873401.42</v>
      </c>
    </row>
    <row r="32" spans="5:14" x14ac:dyDescent="0.25">
      <c r="E32" s="3">
        <v>38626</v>
      </c>
      <c r="F32" s="4">
        <v>45877911808.199997</v>
      </c>
      <c r="I32" s="3">
        <v>38626</v>
      </c>
      <c r="J32" s="4">
        <v>37477466816.790001</v>
      </c>
      <c r="M32" s="3">
        <v>38626</v>
      </c>
      <c r="N32" s="4">
        <v>14134133218</v>
      </c>
    </row>
    <row r="33" spans="5:14" x14ac:dyDescent="0.25">
      <c r="E33" s="3">
        <v>38657</v>
      </c>
      <c r="F33" s="4">
        <v>37340460710.949997</v>
      </c>
      <c r="I33" s="3">
        <v>38657</v>
      </c>
      <c r="J33" s="4">
        <v>30938782043.859997</v>
      </c>
      <c r="M33" s="3">
        <v>38657</v>
      </c>
      <c r="N33" s="4">
        <v>12566705288.139999</v>
      </c>
    </row>
    <row r="34" spans="5:14" x14ac:dyDescent="0.25">
      <c r="E34" s="3">
        <v>38687</v>
      </c>
      <c r="F34" s="4">
        <v>6932219536.9999981</v>
      </c>
      <c r="I34" s="3">
        <v>38687</v>
      </c>
      <c r="J34" s="4">
        <v>5792209150.5499992</v>
      </c>
      <c r="M34" s="3">
        <v>38687</v>
      </c>
      <c r="N34" s="4">
        <v>4141302512.48</v>
      </c>
    </row>
    <row r="35" spans="5:14" x14ac:dyDescent="0.25">
      <c r="E35" s="3">
        <v>38718</v>
      </c>
      <c r="F35" s="4">
        <v>33934438338.84</v>
      </c>
      <c r="I35" s="3">
        <v>38718</v>
      </c>
      <c r="J35" s="4">
        <v>28992696376.43</v>
      </c>
      <c r="M35" s="3">
        <v>38718</v>
      </c>
      <c r="N35" s="4">
        <v>10973844334.49</v>
      </c>
    </row>
    <row r="36" spans="5:14" x14ac:dyDescent="0.25">
      <c r="E36" s="3">
        <v>38749</v>
      </c>
      <c r="F36" s="4">
        <v>34556451629.459999</v>
      </c>
      <c r="I36" s="3">
        <v>38749</v>
      </c>
      <c r="J36" s="4">
        <v>27693537738.630001</v>
      </c>
      <c r="M36" s="3">
        <v>38749</v>
      </c>
      <c r="N36" s="4">
        <v>10358305289.91</v>
      </c>
    </row>
    <row r="37" spans="5:14" x14ac:dyDescent="0.25">
      <c r="E37" s="3">
        <v>38777</v>
      </c>
      <c r="F37" s="4">
        <v>27912279340.23</v>
      </c>
      <c r="I37" s="3">
        <v>38777</v>
      </c>
      <c r="J37" s="4">
        <v>20456310081.77</v>
      </c>
      <c r="M37" s="3">
        <v>38777</v>
      </c>
      <c r="N37" s="4">
        <v>6978704255.8400002</v>
      </c>
    </row>
    <row r="38" spans="5:14" x14ac:dyDescent="0.25">
      <c r="E38" s="3">
        <v>38808</v>
      </c>
      <c r="F38" s="4">
        <v>29556218777.250004</v>
      </c>
      <c r="I38" s="3">
        <v>38808</v>
      </c>
      <c r="J38" s="4">
        <v>23370088973.910004</v>
      </c>
      <c r="M38" s="3">
        <v>38808</v>
      </c>
      <c r="N38" s="4">
        <v>8722494308.0400009</v>
      </c>
    </row>
    <row r="39" spans="5:14" x14ac:dyDescent="0.25">
      <c r="E39" s="3">
        <v>38838</v>
      </c>
      <c r="F39" s="4">
        <v>34241868575.949997</v>
      </c>
      <c r="I39" s="3">
        <v>38838</v>
      </c>
      <c r="J39" s="4">
        <v>27304729358.610001</v>
      </c>
      <c r="M39" s="3">
        <v>38838</v>
      </c>
      <c r="N39" s="4">
        <v>9582564990.2199993</v>
      </c>
    </row>
    <row r="40" spans="5:14" x14ac:dyDescent="0.25">
      <c r="E40" s="3">
        <v>38869</v>
      </c>
      <c r="F40" s="4">
        <v>30209991194.459999</v>
      </c>
      <c r="I40" s="3">
        <v>38869</v>
      </c>
      <c r="J40" s="4">
        <v>22694786754.549999</v>
      </c>
      <c r="M40" s="3">
        <v>38869</v>
      </c>
      <c r="N40" s="4">
        <v>6730657877.1899996</v>
      </c>
    </row>
    <row r="41" spans="5:14" x14ac:dyDescent="0.25">
      <c r="E41" s="3">
        <v>38899</v>
      </c>
      <c r="F41" s="4">
        <v>34360715759.759995</v>
      </c>
      <c r="I41" s="3">
        <v>38899</v>
      </c>
      <c r="J41" s="4">
        <v>27129130060.010002</v>
      </c>
      <c r="M41" s="3">
        <v>38899</v>
      </c>
      <c r="N41" s="4">
        <v>8965396007.8700008</v>
      </c>
    </row>
    <row r="42" spans="5:14" x14ac:dyDescent="0.25">
      <c r="E42" s="3">
        <v>38930</v>
      </c>
      <c r="F42" s="4">
        <v>30074332553.720001</v>
      </c>
      <c r="I42" s="3">
        <v>38930</v>
      </c>
      <c r="J42" s="4">
        <v>23813751457.099998</v>
      </c>
      <c r="M42" s="3">
        <v>38930</v>
      </c>
      <c r="N42" s="4">
        <v>7937895190.9099998</v>
      </c>
    </row>
    <row r="43" spans="5:14" x14ac:dyDescent="0.25">
      <c r="E43" s="3">
        <v>39022</v>
      </c>
      <c r="F43" s="4">
        <v>38836175077.209991</v>
      </c>
      <c r="I43" s="3">
        <v>39022</v>
      </c>
      <c r="J43" s="4">
        <v>32297036342.179996</v>
      </c>
      <c r="M43" s="3">
        <v>39022</v>
      </c>
      <c r="N43" s="4">
        <v>12881299848.049999</v>
      </c>
    </row>
    <row r="44" spans="5:14" x14ac:dyDescent="0.25">
      <c r="E44" s="3">
        <v>39052</v>
      </c>
      <c r="F44" s="4">
        <v>36582039954.099998</v>
      </c>
      <c r="I44" s="3">
        <v>39052</v>
      </c>
      <c r="J44" s="4">
        <v>30152205837.760002</v>
      </c>
      <c r="M44" s="3">
        <v>39052</v>
      </c>
      <c r="N44" s="4">
        <v>11369922533.33</v>
      </c>
    </row>
    <row r="45" spans="5:14" x14ac:dyDescent="0.25">
      <c r="E45" s="3">
        <v>39083</v>
      </c>
      <c r="F45" s="4">
        <v>40280509023.150002</v>
      </c>
      <c r="I45" s="3">
        <v>39083</v>
      </c>
      <c r="J45" s="4">
        <v>32982461525.719997</v>
      </c>
      <c r="M45" s="3">
        <v>39083</v>
      </c>
      <c r="N45" s="4">
        <v>12068562737.24</v>
      </c>
    </row>
    <row r="46" spans="5:14" x14ac:dyDescent="0.25">
      <c r="E46" s="3">
        <v>39114</v>
      </c>
      <c r="F46" s="4">
        <v>44459010974.660011</v>
      </c>
      <c r="I46" s="3">
        <v>39114</v>
      </c>
      <c r="J46" s="4">
        <v>37335367110.779999</v>
      </c>
      <c r="M46" s="3">
        <v>39114</v>
      </c>
      <c r="N46" s="4">
        <v>14906336717.870001</v>
      </c>
    </row>
    <row r="47" spans="5:14" x14ac:dyDescent="0.25">
      <c r="E47" s="3">
        <v>39142</v>
      </c>
      <c r="F47" s="4">
        <v>39699963461.440002</v>
      </c>
      <c r="I47" s="3">
        <v>39142</v>
      </c>
      <c r="J47" s="4">
        <v>31729643578.310001</v>
      </c>
      <c r="M47" s="3">
        <v>39142</v>
      </c>
      <c r="N47" s="4">
        <v>11915399053.1</v>
      </c>
    </row>
    <row r="48" spans="5:14" x14ac:dyDescent="0.25">
      <c r="E48" s="3">
        <v>39173</v>
      </c>
      <c r="F48" s="4">
        <v>44612018493.380005</v>
      </c>
      <c r="I48" s="3">
        <v>39173</v>
      </c>
      <c r="J48" s="4">
        <v>36456608651.970001</v>
      </c>
      <c r="M48" s="3">
        <v>39173</v>
      </c>
      <c r="N48" s="4">
        <v>13440547910.5</v>
      </c>
    </row>
    <row r="49" spans="5:14" x14ac:dyDescent="0.25">
      <c r="E49" s="3">
        <v>39203</v>
      </c>
      <c r="F49" s="4">
        <v>45163385837.460007</v>
      </c>
      <c r="I49" s="3">
        <v>39203</v>
      </c>
      <c r="J49" s="4">
        <v>38184312925.010002</v>
      </c>
      <c r="M49" s="3">
        <v>39203</v>
      </c>
      <c r="N49" s="4">
        <v>14589989652.360001</v>
      </c>
    </row>
    <row r="50" spans="5:14" x14ac:dyDescent="0.25">
      <c r="E50" s="3">
        <v>39234</v>
      </c>
      <c r="F50" s="4">
        <v>51753074291.699997</v>
      </c>
      <c r="I50" s="3">
        <v>39234</v>
      </c>
      <c r="J50" s="4">
        <v>41821075321.049995</v>
      </c>
      <c r="M50" s="3">
        <v>39234</v>
      </c>
      <c r="N50" s="4">
        <v>15230409440.049999</v>
      </c>
    </row>
    <row r="51" spans="5:14" x14ac:dyDescent="0.25">
      <c r="E51" s="3">
        <v>39264</v>
      </c>
      <c r="F51" s="4">
        <v>54801492236.05999</v>
      </c>
      <c r="I51" s="3">
        <v>39264</v>
      </c>
      <c r="J51" s="4">
        <v>45598191085.659996</v>
      </c>
      <c r="M51" s="3">
        <v>39264</v>
      </c>
      <c r="N51" s="4">
        <v>17586653532.040001</v>
      </c>
    </row>
    <row r="52" spans="5:14" x14ac:dyDescent="0.25">
      <c r="E52" s="3">
        <v>39295</v>
      </c>
      <c r="F52" s="4">
        <v>54076499065.469986</v>
      </c>
      <c r="I52" s="3">
        <v>39295</v>
      </c>
      <c r="J52" s="4">
        <v>43577028327.099991</v>
      </c>
      <c r="M52" s="3">
        <v>39295</v>
      </c>
      <c r="N52" s="4">
        <v>15188068031.41</v>
      </c>
    </row>
    <row r="53" spans="5:14" x14ac:dyDescent="0.25">
      <c r="E53" s="3">
        <v>39326</v>
      </c>
      <c r="F53" s="4">
        <v>48436392044.020004</v>
      </c>
      <c r="I53" s="3">
        <v>39326</v>
      </c>
      <c r="J53" s="4">
        <v>38360575429.730003</v>
      </c>
      <c r="M53" s="3">
        <v>39326</v>
      </c>
      <c r="N53" s="4">
        <v>13829268759.76</v>
      </c>
    </row>
    <row r="54" spans="5:14" x14ac:dyDescent="0.25">
      <c r="E54" s="3">
        <v>39356</v>
      </c>
      <c r="F54" s="4">
        <v>49150688193.139999</v>
      </c>
      <c r="I54" s="3">
        <v>39356</v>
      </c>
      <c r="J54" s="4">
        <v>40189480222.099998</v>
      </c>
      <c r="M54" s="3">
        <v>39356</v>
      </c>
      <c r="N54" s="4">
        <v>16061360740.030001</v>
      </c>
    </row>
    <row r="55" spans="5:14" x14ac:dyDescent="0.25">
      <c r="E55" s="3">
        <v>39387</v>
      </c>
      <c r="F55" s="4">
        <v>47384230622.669998</v>
      </c>
      <c r="I55" s="3">
        <v>39387</v>
      </c>
      <c r="J55" s="4">
        <v>37132352987.849998</v>
      </c>
      <c r="M55" s="3">
        <v>39387</v>
      </c>
      <c r="N55" s="4">
        <v>13009808173.709999</v>
      </c>
    </row>
    <row r="56" spans="5:14" x14ac:dyDescent="0.25">
      <c r="E56" s="3">
        <v>39417</v>
      </c>
      <c r="F56" s="4">
        <v>46640588044.619995</v>
      </c>
      <c r="I56" s="3">
        <v>39417</v>
      </c>
      <c r="J56" s="4">
        <v>35423645321.739998</v>
      </c>
      <c r="M56" s="3">
        <v>39417</v>
      </c>
      <c r="N56" s="4">
        <v>12603633651.940001</v>
      </c>
    </row>
    <row r="57" spans="5:14" x14ac:dyDescent="0.25">
      <c r="E57" s="3">
        <v>39448</v>
      </c>
      <c r="F57" s="4">
        <v>65017340144.210007</v>
      </c>
      <c r="I57" s="3">
        <v>39448</v>
      </c>
      <c r="J57" s="4">
        <v>52356321979.840004</v>
      </c>
      <c r="M57" s="3">
        <v>39448</v>
      </c>
      <c r="N57" s="4">
        <v>19245031368.959999</v>
      </c>
    </row>
    <row r="58" spans="5:14" x14ac:dyDescent="0.25">
      <c r="E58" s="3">
        <v>39479</v>
      </c>
      <c r="F58" s="4">
        <v>48202780379.819992</v>
      </c>
      <c r="I58" s="3">
        <v>39479</v>
      </c>
      <c r="J58" s="4">
        <v>38429714675.949997</v>
      </c>
      <c r="M58" s="3">
        <v>39479</v>
      </c>
      <c r="N58" s="4">
        <v>14202157043.27</v>
      </c>
    </row>
    <row r="59" spans="5:14" x14ac:dyDescent="0.25">
      <c r="E59" s="3">
        <v>39508</v>
      </c>
      <c r="F59" s="4">
        <v>71980932056.040009</v>
      </c>
      <c r="I59" s="3">
        <v>39508</v>
      </c>
      <c r="J59" s="4">
        <v>57933017059.870003</v>
      </c>
      <c r="M59" s="3">
        <v>39508</v>
      </c>
      <c r="N59" s="4">
        <v>18869156796.220001</v>
      </c>
    </row>
    <row r="60" spans="5:14" x14ac:dyDescent="0.25">
      <c r="E60" s="3">
        <v>39539</v>
      </c>
      <c r="F60" s="4">
        <v>47078096575.229996</v>
      </c>
      <c r="I60" s="3">
        <v>39539</v>
      </c>
      <c r="J60" s="4">
        <v>37934628259.07</v>
      </c>
      <c r="M60" s="3">
        <v>39539</v>
      </c>
      <c r="N60" s="4">
        <v>9926586445.7800007</v>
      </c>
    </row>
    <row r="61" spans="5:14" x14ac:dyDescent="0.25">
      <c r="E61" s="3">
        <v>39569</v>
      </c>
      <c r="F61" s="4">
        <v>52635172551.659988</v>
      </c>
      <c r="I61" s="3">
        <v>39569</v>
      </c>
      <c r="J61" s="4">
        <v>42014894318.319992</v>
      </c>
      <c r="M61" s="3">
        <v>39569</v>
      </c>
      <c r="N61" s="4">
        <v>13677637389.280001</v>
      </c>
    </row>
    <row r="62" spans="5:14" x14ac:dyDescent="0.25">
      <c r="E62" s="3">
        <v>39600</v>
      </c>
      <c r="F62" s="4">
        <v>61635508716.530006</v>
      </c>
      <c r="I62" s="3">
        <v>39600</v>
      </c>
      <c r="J62" s="4">
        <v>50039968636.970001</v>
      </c>
      <c r="M62" s="3">
        <v>39600</v>
      </c>
      <c r="N62" s="4">
        <v>16065557997.07</v>
      </c>
    </row>
    <row r="63" spans="5:14" x14ac:dyDescent="0.25">
      <c r="E63" s="3">
        <v>39630</v>
      </c>
      <c r="F63" s="4">
        <v>45591009988.510002</v>
      </c>
      <c r="I63" s="3">
        <v>39630</v>
      </c>
      <c r="J63" s="4">
        <v>38759941326.599998</v>
      </c>
      <c r="M63" s="3">
        <v>39630</v>
      </c>
      <c r="N63" s="4">
        <v>12448685404.389999</v>
      </c>
    </row>
    <row r="64" spans="5:14" x14ac:dyDescent="0.25">
      <c r="E64" s="3">
        <v>39661</v>
      </c>
      <c r="F64" s="4">
        <v>31436623958.66</v>
      </c>
      <c r="I64" s="3">
        <v>39661</v>
      </c>
      <c r="J64" s="4">
        <v>25442840100.120003</v>
      </c>
      <c r="M64" s="3">
        <v>39661</v>
      </c>
      <c r="N64" s="4">
        <v>6812598633.46</v>
      </c>
    </row>
    <row r="65" spans="5:14" x14ac:dyDescent="0.25">
      <c r="E65" s="3">
        <v>39692</v>
      </c>
      <c r="F65" s="4">
        <v>26526543059.549999</v>
      </c>
      <c r="I65" s="3">
        <v>39692</v>
      </c>
      <c r="J65" s="4">
        <v>21598906300.810001</v>
      </c>
      <c r="M65" s="3">
        <v>39692</v>
      </c>
      <c r="N65" s="4">
        <v>5479074775.4300003</v>
      </c>
    </row>
    <row r="66" spans="5:14" x14ac:dyDescent="0.25">
      <c r="E66" s="3">
        <v>39722</v>
      </c>
      <c r="F66" s="4">
        <v>31358693679.060001</v>
      </c>
      <c r="I66" s="3">
        <v>39722</v>
      </c>
      <c r="J66" s="4">
        <v>26005861056.07</v>
      </c>
      <c r="M66" s="3">
        <v>39722</v>
      </c>
      <c r="N66" s="4">
        <v>7947690883.6099997</v>
      </c>
    </row>
    <row r="67" spans="5:14" x14ac:dyDescent="0.25">
      <c r="E67" s="3">
        <v>39753</v>
      </c>
      <c r="F67" s="4">
        <v>27240025302.790001</v>
      </c>
      <c r="I67" s="3">
        <v>39753</v>
      </c>
      <c r="J67" s="4">
        <v>20986628151.540001</v>
      </c>
      <c r="M67" s="3">
        <v>39753</v>
      </c>
      <c r="N67" s="4">
        <v>6263865667.6599998</v>
      </c>
    </row>
    <row r="68" spans="5:14" x14ac:dyDescent="0.25">
      <c r="E68" s="3">
        <v>39783</v>
      </c>
      <c r="F68" s="4">
        <v>20841409991.700005</v>
      </c>
      <c r="I68" s="3">
        <v>39783</v>
      </c>
      <c r="J68" s="4">
        <v>16772316931.700003</v>
      </c>
      <c r="M68" s="3">
        <v>39783</v>
      </c>
      <c r="N68" s="4">
        <v>5409841465.3100004</v>
      </c>
    </row>
    <row r="69" spans="5:14" x14ac:dyDescent="0.25">
      <c r="E69" s="3">
        <v>39814</v>
      </c>
      <c r="F69" s="4">
        <v>32897715325.23</v>
      </c>
      <c r="I69" s="3">
        <v>39814</v>
      </c>
      <c r="J69" s="4">
        <v>24624689128.59</v>
      </c>
      <c r="M69" s="3">
        <v>39814</v>
      </c>
      <c r="N69" s="4">
        <v>8591092469.3799992</v>
      </c>
    </row>
    <row r="70" spans="5:14" x14ac:dyDescent="0.25">
      <c r="E70" s="3">
        <v>39845</v>
      </c>
      <c r="F70" s="4">
        <v>17164701492.5</v>
      </c>
      <c r="I70" s="3">
        <v>39845</v>
      </c>
      <c r="J70" s="4">
        <v>14158762603.860001</v>
      </c>
      <c r="M70" s="3">
        <v>39845</v>
      </c>
      <c r="N70" s="4">
        <v>4307824965.3000002</v>
      </c>
    </row>
    <row r="71" spans="5:14" x14ac:dyDescent="0.25">
      <c r="E71" s="3">
        <v>39873</v>
      </c>
      <c r="F71" s="4">
        <v>32646007910.57</v>
      </c>
      <c r="I71" s="3">
        <v>39873</v>
      </c>
      <c r="J71" s="4">
        <v>27275317473.459999</v>
      </c>
      <c r="M71" s="3">
        <v>39873</v>
      </c>
      <c r="N71" s="4">
        <v>9985509207.7099991</v>
      </c>
    </row>
    <row r="72" spans="5:14" x14ac:dyDescent="0.25">
      <c r="E72" s="3">
        <v>39904</v>
      </c>
      <c r="F72" s="4">
        <v>68408727039.080009</v>
      </c>
      <c r="I72" s="3">
        <v>39904</v>
      </c>
      <c r="J72" s="4">
        <v>59033003601.860008</v>
      </c>
      <c r="M72" s="3">
        <v>39904</v>
      </c>
      <c r="N72" s="4">
        <v>21059327558.889999</v>
      </c>
    </row>
    <row r="73" spans="5:14" x14ac:dyDescent="0.25">
      <c r="E73" s="3">
        <v>39934</v>
      </c>
      <c r="F73" s="4">
        <v>36074918280.239998</v>
      </c>
      <c r="I73" s="3">
        <v>39934</v>
      </c>
      <c r="J73" s="4">
        <v>29187085765.059998</v>
      </c>
      <c r="M73" s="3">
        <v>39934</v>
      </c>
      <c r="N73" s="4">
        <v>11006090698.6</v>
      </c>
    </row>
    <row r="74" spans="5:14" x14ac:dyDescent="0.25">
      <c r="E74" s="3">
        <v>39965</v>
      </c>
      <c r="F74" s="4">
        <v>47800828048.669998</v>
      </c>
      <c r="I74" s="3">
        <v>39965</v>
      </c>
      <c r="J74" s="4">
        <v>41142110326.32</v>
      </c>
      <c r="M74" s="3">
        <v>39965</v>
      </c>
      <c r="N74" s="4">
        <v>13967560067</v>
      </c>
    </row>
    <row r="75" spans="5:14" x14ac:dyDescent="0.25">
      <c r="E75" s="3">
        <v>39995</v>
      </c>
      <c r="F75" s="4">
        <v>71000461836.590012</v>
      </c>
      <c r="I75" s="3">
        <v>39995</v>
      </c>
      <c r="J75" s="4">
        <v>62469997317.860001</v>
      </c>
      <c r="M75" s="3">
        <v>39995</v>
      </c>
      <c r="N75" s="4">
        <v>22149963934.57</v>
      </c>
    </row>
    <row r="76" spans="5:14" x14ac:dyDescent="0.25">
      <c r="E76" s="3">
        <v>40026</v>
      </c>
      <c r="F76" s="4">
        <v>53760589759.599998</v>
      </c>
      <c r="I76" s="3">
        <v>40026</v>
      </c>
      <c r="J76" s="4">
        <v>46530707556.220001</v>
      </c>
      <c r="M76" s="3">
        <v>40026</v>
      </c>
      <c r="N76" s="4">
        <v>17966598426.119999</v>
      </c>
    </row>
    <row r="77" spans="5:14" x14ac:dyDescent="0.25">
      <c r="E77" s="3">
        <v>40057</v>
      </c>
      <c r="F77" s="4">
        <v>39894122778.360001</v>
      </c>
      <c r="I77" s="3">
        <v>40057</v>
      </c>
      <c r="J77" s="4">
        <v>34767572988.950005</v>
      </c>
      <c r="M77" s="3">
        <v>40057</v>
      </c>
      <c r="N77" s="4">
        <v>14871497530.26</v>
      </c>
    </row>
    <row r="78" spans="5:14" x14ac:dyDescent="0.25">
      <c r="E78" s="3">
        <v>40087</v>
      </c>
      <c r="F78" s="4">
        <v>39812999208.309998</v>
      </c>
      <c r="I78" s="3">
        <v>40087</v>
      </c>
      <c r="J78" s="4">
        <v>36252925794.540001</v>
      </c>
      <c r="M78" s="3">
        <v>40087</v>
      </c>
      <c r="N78" s="4">
        <v>15019540836.5</v>
      </c>
    </row>
    <row r="79" spans="5:14" x14ac:dyDescent="0.25">
      <c r="E79" s="3">
        <v>40118</v>
      </c>
      <c r="F79" s="4">
        <v>27299803699.289993</v>
      </c>
      <c r="I79" s="3">
        <v>40118</v>
      </c>
      <c r="J79" s="4">
        <v>23964218032.68</v>
      </c>
      <c r="M79" s="3">
        <v>40118</v>
      </c>
      <c r="N79" s="4">
        <v>9801952065.9599991</v>
      </c>
    </row>
    <row r="80" spans="5:14" x14ac:dyDescent="0.25">
      <c r="E80" s="3">
        <v>40148</v>
      </c>
      <c r="F80" s="4">
        <v>26456405845.639999</v>
      </c>
      <c r="I80" s="3">
        <v>40148</v>
      </c>
      <c r="J80" s="4">
        <v>22409303287.959999</v>
      </c>
      <c r="M80" s="3">
        <v>40148</v>
      </c>
      <c r="N80" s="4">
        <v>7919040750.3400002</v>
      </c>
    </row>
    <row r="81" spans="5:14" x14ac:dyDescent="0.25">
      <c r="E81" s="3">
        <v>40179</v>
      </c>
      <c r="F81" s="4">
        <v>35319041802.149994</v>
      </c>
      <c r="I81" s="3">
        <v>40179</v>
      </c>
      <c r="J81" s="4">
        <v>30473732956.160004</v>
      </c>
      <c r="M81" s="3">
        <v>40179</v>
      </c>
      <c r="N81" s="4">
        <v>11776429345.26</v>
      </c>
    </row>
    <row r="82" spans="5:14" x14ac:dyDescent="0.25">
      <c r="E82" s="3">
        <v>40210</v>
      </c>
      <c r="F82" s="4">
        <v>28320981212.270004</v>
      </c>
      <c r="I82" s="3">
        <v>40210</v>
      </c>
      <c r="J82" s="4">
        <v>25122317383.700001</v>
      </c>
      <c r="M82" s="3">
        <v>40210</v>
      </c>
      <c r="N82" s="4">
        <v>10182718045.91</v>
      </c>
    </row>
    <row r="83" spans="5:14" x14ac:dyDescent="0.25">
      <c r="E83" s="3">
        <v>40238</v>
      </c>
      <c r="F83" s="4">
        <v>31459049797.27</v>
      </c>
      <c r="I83" s="3">
        <v>40238</v>
      </c>
      <c r="J83" s="4">
        <v>28719429399.230003</v>
      </c>
      <c r="M83" s="3">
        <v>40238</v>
      </c>
      <c r="N83" s="4">
        <v>10733753561.620001</v>
      </c>
    </row>
    <row r="84" spans="5:14" x14ac:dyDescent="0.25">
      <c r="E84" s="3">
        <v>40269</v>
      </c>
      <c r="F84" s="4">
        <v>27234086431.32</v>
      </c>
      <c r="I84" s="3">
        <v>40269</v>
      </c>
      <c r="J84" s="4">
        <v>24936256082.669998</v>
      </c>
      <c r="M84" s="3">
        <v>40269</v>
      </c>
      <c r="N84" s="4">
        <v>8010432484.8699999</v>
      </c>
    </row>
    <row r="85" spans="5:14" x14ac:dyDescent="0.25">
      <c r="E85" s="3">
        <v>40299</v>
      </c>
      <c r="F85" s="4">
        <v>26609020930.07</v>
      </c>
      <c r="I85" s="3">
        <v>40299</v>
      </c>
      <c r="J85" s="4">
        <v>23855723365.02</v>
      </c>
      <c r="M85" s="3">
        <v>40299</v>
      </c>
      <c r="N85" s="4">
        <v>9793443604.5200005</v>
      </c>
    </row>
    <row r="86" spans="5:14" x14ac:dyDescent="0.25">
      <c r="E86" s="3">
        <v>40330</v>
      </c>
      <c r="F86" s="4">
        <v>26223578219.900002</v>
      </c>
      <c r="I86" s="3">
        <v>40330</v>
      </c>
      <c r="J86" s="4">
        <v>23124403168.75</v>
      </c>
      <c r="M86" s="3">
        <v>40330</v>
      </c>
      <c r="N86" s="4">
        <v>8799294787.6299992</v>
      </c>
    </row>
    <row r="87" spans="5:14" x14ac:dyDescent="0.25">
      <c r="E87" s="3">
        <v>40360</v>
      </c>
      <c r="F87" s="4">
        <v>26520322604.389996</v>
      </c>
      <c r="I87" s="3">
        <v>40360</v>
      </c>
      <c r="J87" s="4">
        <v>23335905743.639999</v>
      </c>
      <c r="M87" s="3">
        <v>40360</v>
      </c>
      <c r="N87" s="4">
        <v>7934970468.3800001</v>
      </c>
    </row>
    <row r="88" spans="5:14" x14ac:dyDescent="0.25">
      <c r="E88" s="3">
        <v>40391</v>
      </c>
      <c r="F88" s="4">
        <v>27609609986.340004</v>
      </c>
      <c r="I88" s="3">
        <v>40391</v>
      </c>
      <c r="J88" s="4">
        <v>24661759514.200001</v>
      </c>
      <c r="M88" s="3">
        <v>40391</v>
      </c>
      <c r="N88" s="4">
        <v>8650842881.4500008</v>
      </c>
    </row>
    <row r="89" spans="5:14" x14ac:dyDescent="0.25">
      <c r="E89" s="3">
        <v>40422</v>
      </c>
      <c r="F89" s="4">
        <v>29617439853.449997</v>
      </c>
      <c r="I89" s="3">
        <v>40422</v>
      </c>
      <c r="J89" s="4">
        <v>24683867685.949997</v>
      </c>
      <c r="M89" s="3">
        <v>40422</v>
      </c>
      <c r="N89" s="4">
        <v>10264966285.639999</v>
      </c>
    </row>
    <row r="90" spans="5:14" x14ac:dyDescent="0.25">
      <c r="E90" s="3">
        <v>40452</v>
      </c>
      <c r="F90" s="4">
        <v>48553977687.410004</v>
      </c>
      <c r="I90" s="3">
        <v>40452</v>
      </c>
      <c r="J90" s="4">
        <v>41844668760.610001</v>
      </c>
      <c r="M90" s="3">
        <v>40452</v>
      </c>
      <c r="N90" s="4">
        <v>12567511433.07</v>
      </c>
    </row>
    <row r="91" spans="5:14" x14ac:dyDescent="0.25">
      <c r="E91" s="3">
        <v>40483</v>
      </c>
      <c r="F91" s="4">
        <v>43379866845</v>
      </c>
      <c r="I91" s="3">
        <v>40483</v>
      </c>
      <c r="J91" s="4">
        <v>37014631071.25</v>
      </c>
      <c r="M91" s="3">
        <v>40483</v>
      </c>
      <c r="N91" s="4">
        <v>13640971298.67</v>
      </c>
    </row>
    <row r="92" spans="5:14" x14ac:dyDescent="0.25">
      <c r="E92" s="3">
        <v>40513</v>
      </c>
      <c r="F92" s="4">
        <v>43249158270.020004</v>
      </c>
      <c r="I92" s="3">
        <v>40513</v>
      </c>
      <c r="J92" s="4">
        <v>35056160439.300003</v>
      </c>
      <c r="M92" s="3">
        <v>40513</v>
      </c>
      <c r="N92" s="4">
        <v>12770630060.530001</v>
      </c>
    </row>
    <row r="93" spans="5:14" x14ac:dyDescent="0.25">
      <c r="E93" s="3">
        <v>40544</v>
      </c>
      <c r="F93" s="4">
        <v>53353328128.620003</v>
      </c>
      <c r="I93" s="3">
        <v>40544</v>
      </c>
      <c r="J93" s="4">
        <v>47334757648.860001</v>
      </c>
      <c r="M93" s="3">
        <v>40544</v>
      </c>
      <c r="N93" s="4">
        <v>14069204024.26</v>
      </c>
    </row>
    <row r="94" spans="5:14" x14ac:dyDescent="0.25">
      <c r="E94" s="3">
        <v>40575</v>
      </c>
      <c r="F94" s="4">
        <v>44854076167.450005</v>
      </c>
      <c r="I94" s="3">
        <v>40575</v>
      </c>
      <c r="J94" s="4">
        <v>37868286535.940002</v>
      </c>
      <c r="M94" s="3">
        <v>40575</v>
      </c>
      <c r="N94" s="4">
        <v>14638512908.190001</v>
      </c>
    </row>
    <row r="95" spans="5:14" x14ac:dyDescent="0.25">
      <c r="E95" s="3">
        <v>40603</v>
      </c>
      <c r="F95" s="4">
        <v>35830274691.750008</v>
      </c>
      <c r="I95" s="3">
        <v>40603</v>
      </c>
      <c r="J95" s="4">
        <v>30847095003.530003</v>
      </c>
      <c r="M95" s="3">
        <v>40603</v>
      </c>
      <c r="N95" s="4">
        <v>12508600905.84</v>
      </c>
    </row>
    <row r="96" spans="5:14" x14ac:dyDescent="0.25">
      <c r="E96" s="3">
        <v>40634</v>
      </c>
      <c r="F96" s="4">
        <v>36884767125.040001</v>
      </c>
      <c r="I96" s="3">
        <v>40634</v>
      </c>
      <c r="J96" s="4">
        <v>31995951520.699997</v>
      </c>
      <c r="M96" s="3">
        <v>40634</v>
      </c>
      <c r="N96" s="4">
        <v>9375011832.8899994</v>
      </c>
    </row>
    <row r="97" spans="5:14" x14ac:dyDescent="0.25">
      <c r="E97" s="3">
        <v>40664</v>
      </c>
      <c r="F97" s="4">
        <v>21690523607.799999</v>
      </c>
      <c r="I97" s="3">
        <v>40664</v>
      </c>
      <c r="J97" s="4">
        <v>18885096162.080002</v>
      </c>
      <c r="M97" s="3">
        <v>40664</v>
      </c>
      <c r="N97" s="4">
        <v>7263200622.4200001</v>
      </c>
    </row>
    <row r="98" spans="5:14" x14ac:dyDescent="0.25">
      <c r="E98" s="3">
        <v>40695</v>
      </c>
      <c r="F98" s="4">
        <v>20046661700.739998</v>
      </c>
      <c r="I98" s="3">
        <v>40695</v>
      </c>
      <c r="J98" s="4">
        <v>17263633854.200001</v>
      </c>
      <c r="M98" s="3">
        <v>40695</v>
      </c>
      <c r="N98" s="4">
        <v>6560805145.7200003</v>
      </c>
    </row>
    <row r="99" spans="5:14" x14ac:dyDescent="0.25">
      <c r="E99" s="3">
        <v>40725</v>
      </c>
      <c r="F99" s="4">
        <v>23865091870.369999</v>
      </c>
      <c r="I99" s="3">
        <v>40725</v>
      </c>
      <c r="J99" s="4">
        <v>20775371363.949997</v>
      </c>
      <c r="M99" s="3">
        <v>40725</v>
      </c>
      <c r="N99" s="4">
        <v>7723507087.5699997</v>
      </c>
    </row>
    <row r="100" spans="5:14" x14ac:dyDescent="0.25">
      <c r="E100" s="3">
        <v>40756</v>
      </c>
      <c r="F100" s="4">
        <v>19227300217.380001</v>
      </c>
      <c r="I100" s="3">
        <v>40756</v>
      </c>
      <c r="J100" s="4">
        <v>16628425568.720001</v>
      </c>
      <c r="M100" s="3">
        <v>40756</v>
      </c>
      <c r="N100" s="4">
        <v>5076597395.6099997</v>
      </c>
    </row>
    <row r="101" spans="5:14" x14ac:dyDescent="0.25">
      <c r="E101" s="3">
        <v>40787</v>
      </c>
      <c r="F101" s="4">
        <v>24060651555.790005</v>
      </c>
      <c r="I101" s="3">
        <v>40787</v>
      </c>
      <c r="J101" s="4">
        <v>20110317816.27</v>
      </c>
      <c r="M101" s="3">
        <v>40787</v>
      </c>
      <c r="N101" s="4">
        <v>8026484432.2399998</v>
      </c>
    </row>
    <row r="102" spans="5:14" x14ac:dyDescent="0.25">
      <c r="E102" s="3">
        <v>40817</v>
      </c>
      <c r="F102" s="4">
        <v>31033821212.829994</v>
      </c>
      <c r="I102" s="3">
        <v>40817</v>
      </c>
      <c r="J102" s="4">
        <v>26646989296.510002</v>
      </c>
      <c r="M102" s="3">
        <v>40817</v>
      </c>
      <c r="N102" s="4">
        <v>9630208171.6000004</v>
      </c>
    </row>
    <row r="103" spans="5:14" x14ac:dyDescent="0.25">
      <c r="E103" s="3">
        <v>40848</v>
      </c>
      <c r="F103" s="4">
        <v>30575938219.929993</v>
      </c>
      <c r="I103" s="3">
        <v>40848</v>
      </c>
      <c r="J103" s="4">
        <v>24414679942.879997</v>
      </c>
      <c r="M103" s="3">
        <v>40848</v>
      </c>
      <c r="N103" s="4">
        <v>11686443131.879999</v>
      </c>
    </row>
    <row r="104" spans="5:14" x14ac:dyDescent="0.25">
      <c r="E104" s="3">
        <v>40878</v>
      </c>
      <c r="F104" s="4">
        <v>39303489223.970001</v>
      </c>
      <c r="I104" s="3">
        <v>40878</v>
      </c>
      <c r="J104" s="4">
        <v>33026093818.93</v>
      </c>
      <c r="M104" s="3">
        <v>40878</v>
      </c>
      <c r="N104" s="4">
        <v>14402413671.309999</v>
      </c>
    </row>
    <row r="105" spans="5:14" x14ac:dyDescent="0.25">
      <c r="E105" s="3">
        <v>40909</v>
      </c>
      <c r="F105" s="4">
        <v>48205975760.459999</v>
      </c>
      <c r="I105" s="3">
        <v>40909</v>
      </c>
      <c r="J105" s="4">
        <v>42363665721.82</v>
      </c>
      <c r="M105" s="3">
        <v>40909</v>
      </c>
      <c r="N105" s="4">
        <v>23209079451.07</v>
      </c>
    </row>
    <row r="106" spans="5:14" x14ac:dyDescent="0.25">
      <c r="E106" s="3">
        <v>40940</v>
      </c>
      <c r="F106" s="4">
        <v>33866907694.779995</v>
      </c>
      <c r="I106" s="3">
        <v>40940</v>
      </c>
      <c r="J106" s="4">
        <v>28594313516.580002</v>
      </c>
      <c r="M106" s="3">
        <v>40940</v>
      </c>
      <c r="N106" s="4">
        <v>15050460727.190001</v>
      </c>
    </row>
    <row r="107" spans="5:14" x14ac:dyDescent="0.25">
      <c r="E107" s="3">
        <v>40969</v>
      </c>
      <c r="F107" s="4">
        <v>31924805261.230003</v>
      </c>
      <c r="I107" s="3">
        <v>40969</v>
      </c>
      <c r="J107" s="4">
        <v>26813941319.43</v>
      </c>
      <c r="M107" s="3">
        <v>40969</v>
      </c>
      <c r="N107" s="4">
        <v>14049256877.940001</v>
      </c>
    </row>
    <row r="108" spans="5:14" x14ac:dyDescent="0.25">
      <c r="E108" s="3">
        <v>41000</v>
      </c>
      <c r="F108" s="4">
        <v>56496777570.090012</v>
      </c>
      <c r="I108" s="3">
        <v>41000</v>
      </c>
      <c r="J108" s="4">
        <v>49104945245.930008</v>
      </c>
      <c r="M108" s="3">
        <v>41000</v>
      </c>
      <c r="N108" s="4">
        <v>30547686964.380001</v>
      </c>
    </row>
    <row r="109" spans="5:14" x14ac:dyDescent="0.25">
      <c r="E109" s="3">
        <v>41030</v>
      </c>
      <c r="F109" s="4">
        <v>23767072920.790001</v>
      </c>
      <c r="I109" s="3">
        <v>41030</v>
      </c>
      <c r="J109" s="4">
        <v>20413263787.060001</v>
      </c>
      <c r="M109" s="3">
        <v>41030</v>
      </c>
      <c r="N109" s="4">
        <v>10497979104.360001</v>
      </c>
    </row>
    <row r="110" spans="5:14" x14ac:dyDescent="0.25">
      <c r="E110" s="3">
        <v>41061</v>
      </c>
      <c r="F110" s="4">
        <v>38985406125.029999</v>
      </c>
      <c r="I110" s="3">
        <v>41061</v>
      </c>
      <c r="J110" s="4">
        <v>33449699297.739998</v>
      </c>
      <c r="M110" s="3">
        <v>41061</v>
      </c>
      <c r="N110" s="4">
        <v>20085553792.799999</v>
      </c>
    </row>
    <row r="111" spans="5:14" x14ac:dyDescent="0.25">
      <c r="E111" s="3">
        <v>41091</v>
      </c>
      <c r="F111" s="4">
        <v>34051928501.080006</v>
      </c>
      <c r="I111" s="3">
        <v>41091</v>
      </c>
      <c r="J111" s="4">
        <v>26319150770.580002</v>
      </c>
      <c r="M111" s="3">
        <v>41091</v>
      </c>
      <c r="N111" s="4">
        <v>12490413319.5</v>
      </c>
    </row>
    <row r="112" spans="5:14" x14ac:dyDescent="0.25">
      <c r="E112" s="3">
        <v>41122</v>
      </c>
      <c r="F112" s="4">
        <v>38782592583.130005</v>
      </c>
      <c r="I112" s="3">
        <v>41122</v>
      </c>
      <c r="J112" s="4">
        <v>32382569281.389999</v>
      </c>
      <c r="M112" s="3">
        <v>41122</v>
      </c>
      <c r="N112" s="4">
        <v>17722445723.59</v>
      </c>
    </row>
    <row r="113" spans="5:14" x14ac:dyDescent="0.25">
      <c r="E113" s="3">
        <v>41153</v>
      </c>
      <c r="F113" s="4">
        <v>41893866412.769997</v>
      </c>
      <c r="I113" s="3">
        <v>41153</v>
      </c>
      <c r="J113" s="4">
        <v>34492756986.080002</v>
      </c>
      <c r="M113" s="3">
        <v>41153</v>
      </c>
      <c r="N113" s="4">
        <v>15450764934.82</v>
      </c>
    </row>
    <row r="114" spans="5:14" x14ac:dyDescent="0.25">
      <c r="E114" s="3">
        <v>41183</v>
      </c>
      <c r="F114" s="4">
        <v>44179607235.949997</v>
      </c>
      <c r="I114" s="3">
        <v>41183</v>
      </c>
      <c r="J114" s="4">
        <v>36818867903.32</v>
      </c>
      <c r="M114" s="3">
        <v>41183</v>
      </c>
      <c r="N114" s="4">
        <v>15515154908.18</v>
      </c>
    </row>
    <row r="115" spans="5:14" x14ac:dyDescent="0.25">
      <c r="E115" s="3">
        <v>41214</v>
      </c>
      <c r="F115" s="4">
        <v>34510631710.040001</v>
      </c>
      <c r="I115" s="3">
        <v>41214</v>
      </c>
      <c r="J115" s="4">
        <v>27045561670.25</v>
      </c>
      <c r="M115" s="3">
        <v>41214</v>
      </c>
      <c r="N115" s="4">
        <v>13208748904.610001</v>
      </c>
    </row>
    <row r="116" spans="5:14" x14ac:dyDescent="0.25">
      <c r="E116" s="3">
        <v>41244</v>
      </c>
      <c r="F116" s="4">
        <v>48158686883.839996</v>
      </c>
      <c r="I116" s="3">
        <v>41244</v>
      </c>
      <c r="J116" s="4">
        <v>38377709156.639999</v>
      </c>
      <c r="M116" s="3">
        <v>41244</v>
      </c>
      <c r="N116" s="4">
        <v>18561639674.389999</v>
      </c>
    </row>
    <row r="117" spans="5:14" x14ac:dyDescent="0.25">
      <c r="E117" s="3">
        <v>41275</v>
      </c>
      <c r="F117" s="4">
        <v>28061391859.560001</v>
      </c>
      <c r="I117" s="3">
        <v>41275</v>
      </c>
      <c r="J117" s="4">
        <v>22122050363.459999</v>
      </c>
      <c r="M117" s="3">
        <v>41275</v>
      </c>
      <c r="N117" s="4">
        <v>5514998779.8199997</v>
      </c>
    </row>
    <row r="118" spans="5:14" x14ac:dyDescent="0.25">
      <c r="E118" s="3">
        <v>41306</v>
      </c>
      <c r="F118" s="4">
        <v>39917338888.109993</v>
      </c>
      <c r="I118" s="3">
        <v>41306</v>
      </c>
      <c r="J118" s="4">
        <v>31398215000.349998</v>
      </c>
      <c r="M118" s="3">
        <v>41306</v>
      </c>
      <c r="N118" s="4">
        <v>12330874909.370001</v>
      </c>
    </row>
    <row r="119" spans="5:14" x14ac:dyDescent="0.25">
      <c r="E119" s="3">
        <v>41334</v>
      </c>
      <c r="F119" s="4">
        <v>40121731507.939995</v>
      </c>
      <c r="I119" s="3">
        <v>41334</v>
      </c>
      <c r="J119" s="4">
        <v>31825324478.059998</v>
      </c>
      <c r="M119" s="3">
        <v>41334</v>
      </c>
      <c r="N119" s="4">
        <v>11762868452.809999</v>
      </c>
    </row>
    <row r="120" spans="5:14" x14ac:dyDescent="0.25">
      <c r="E120" s="3">
        <v>41365</v>
      </c>
      <c r="F120" s="4">
        <v>32167431009.59</v>
      </c>
      <c r="I120" s="3">
        <v>41365</v>
      </c>
      <c r="J120" s="4">
        <v>26205701340.690002</v>
      </c>
      <c r="M120" s="3">
        <v>41365</v>
      </c>
      <c r="N120" s="4">
        <v>9980934177.1000004</v>
      </c>
    </row>
    <row r="121" spans="5:14" x14ac:dyDescent="0.25">
      <c r="E121" s="3">
        <v>41395</v>
      </c>
      <c r="F121" s="4">
        <v>36913559190.93</v>
      </c>
      <c r="I121" s="3">
        <v>41395</v>
      </c>
      <c r="J121" s="4">
        <v>29347304016.630001</v>
      </c>
      <c r="M121" s="3">
        <v>41395</v>
      </c>
      <c r="N121" s="4">
        <v>10647976949.73</v>
      </c>
    </row>
    <row r="122" spans="5:14" x14ac:dyDescent="0.25">
      <c r="E122" s="3">
        <v>41426</v>
      </c>
      <c r="F122" s="4">
        <v>38156334831.479996</v>
      </c>
      <c r="I122" s="3">
        <v>41426</v>
      </c>
      <c r="J122" s="4">
        <v>31475187000.610001</v>
      </c>
      <c r="M122" s="3">
        <v>41426</v>
      </c>
      <c r="N122" s="4">
        <v>16378355650.98</v>
      </c>
    </row>
    <row r="123" spans="5:14" x14ac:dyDescent="0.25">
      <c r="E123" s="3">
        <v>41456</v>
      </c>
      <c r="F123" s="4">
        <v>35041617202.470001</v>
      </c>
      <c r="I123" s="3">
        <v>41456</v>
      </c>
      <c r="J123" s="4">
        <v>28763554195</v>
      </c>
      <c r="M123" s="3">
        <v>41456</v>
      </c>
      <c r="N123" s="4">
        <v>15177156622.67</v>
      </c>
    </row>
    <row r="124" spans="5:14" x14ac:dyDescent="0.25">
      <c r="E124" s="3">
        <v>41487</v>
      </c>
      <c r="F124" s="4">
        <v>37107511523.769997</v>
      </c>
      <c r="I124" s="3">
        <v>41487</v>
      </c>
      <c r="J124" s="4">
        <v>29530845936.25</v>
      </c>
      <c r="M124" s="3">
        <v>41487</v>
      </c>
      <c r="N124" s="4">
        <v>16749167656.17</v>
      </c>
    </row>
    <row r="125" spans="5:14" x14ac:dyDescent="0.25">
      <c r="E125" s="3">
        <v>41518</v>
      </c>
      <c r="F125" s="4">
        <v>35118791554.82</v>
      </c>
      <c r="I125" s="3">
        <v>41518</v>
      </c>
      <c r="J125" s="4">
        <v>27247840920.879997</v>
      </c>
      <c r="M125" s="3">
        <v>41518</v>
      </c>
      <c r="N125" s="4">
        <v>15517116259.82</v>
      </c>
    </row>
    <row r="126" spans="5:14" x14ac:dyDescent="0.25">
      <c r="E126" s="3">
        <v>41548</v>
      </c>
      <c r="F126" s="4">
        <v>28064540906.029999</v>
      </c>
      <c r="I126" s="3">
        <v>41548</v>
      </c>
      <c r="J126" s="4">
        <v>22898763123.93</v>
      </c>
      <c r="M126" s="3">
        <v>41548</v>
      </c>
      <c r="N126" s="4">
        <v>12736272274.200001</v>
      </c>
    </row>
    <row r="127" spans="5:14" x14ac:dyDescent="0.25">
      <c r="E127" s="3">
        <v>41579</v>
      </c>
      <c r="F127" s="4">
        <v>21637776229.040005</v>
      </c>
      <c r="I127" s="3">
        <v>41579</v>
      </c>
      <c r="J127" s="4">
        <v>16433902304.59</v>
      </c>
      <c r="M127" s="3">
        <v>41579</v>
      </c>
      <c r="N127" s="4">
        <v>9023886132.7900009</v>
      </c>
    </row>
    <row r="128" spans="5:14" x14ac:dyDescent="0.25">
      <c r="E128" s="3">
        <v>41609</v>
      </c>
      <c r="F128" s="4">
        <v>18895718293.77</v>
      </c>
      <c r="I128" s="3">
        <v>41609</v>
      </c>
      <c r="J128" s="4">
        <v>14912657625.279999</v>
      </c>
      <c r="M128" s="3">
        <v>41609</v>
      </c>
      <c r="N128" s="4">
        <v>7160448808.71</v>
      </c>
    </row>
    <row r="129" spans="5:14" x14ac:dyDescent="0.25">
      <c r="E129" s="3">
        <v>41640</v>
      </c>
      <c r="F129" s="4">
        <v>15713305422.409998</v>
      </c>
      <c r="I129" s="3">
        <v>41640</v>
      </c>
      <c r="J129" s="4">
        <v>12219132557.98</v>
      </c>
      <c r="M129" s="3">
        <v>41640</v>
      </c>
      <c r="N129" s="4">
        <v>5970250118.0100002</v>
      </c>
    </row>
    <row r="130" spans="5:14" x14ac:dyDescent="0.25">
      <c r="E130" s="3">
        <v>41671</v>
      </c>
      <c r="F130" s="4">
        <v>11202490056.259998</v>
      </c>
      <c r="I130" s="3">
        <v>41671</v>
      </c>
      <c r="J130" s="4">
        <v>8621087878.6100006</v>
      </c>
      <c r="M130" s="3">
        <v>41671</v>
      </c>
      <c r="N130" s="4">
        <v>2787339203.8600001</v>
      </c>
    </row>
    <row r="131" spans="5:14" x14ac:dyDescent="0.25">
      <c r="E131" s="3">
        <v>41699</v>
      </c>
      <c r="F131" s="4">
        <v>12807228407.780001</v>
      </c>
      <c r="I131" s="3">
        <v>41699</v>
      </c>
      <c r="J131" s="4">
        <v>10366757211.17</v>
      </c>
      <c r="M131" s="3">
        <v>41699</v>
      </c>
      <c r="N131" s="4">
        <v>3860179857.6700001</v>
      </c>
    </row>
    <row r="132" spans="5:14" x14ac:dyDescent="0.25">
      <c r="E132" s="3">
        <v>41730</v>
      </c>
      <c r="F132" s="4">
        <v>9445831116.8299999</v>
      </c>
      <c r="I132" s="3">
        <v>41730</v>
      </c>
      <c r="J132" s="4">
        <v>7480643206.3700008</v>
      </c>
      <c r="M132" s="3">
        <v>41730</v>
      </c>
      <c r="N132" s="4">
        <v>2723269728.27</v>
      </c>
    </row>
    <row r="133" spans="5:14" x14ac:dyDescent="0.25">
      <c r="E133" s="3">
        <v>41760</v>
      </c>
      <c r="F133" s="4">
        <v>11658021191.040001</v>
      </c>
      <c r="I133" s="3">
        <v>41760</v>
      </c>
      <c r="J133" s="4">
        <v>8875534568.9399986</v>
      </c>
      <c r="M133" s="3">
        <v>41760</v>
      </c>
      <c r="N133" s="4">
        <v>3201052079.1599998</v>
      </c>
    </row>
    <row r="134" spans="5:14" x14ac:dyDescent="0.25">
      <c r="E134" s="3">
        <v>41791</v>
      </c>
      <c r="F134" s="4">
        <v>10101047864.390001</v>
      </c>
      <c r="I134" s="3">
        <v>41791</v>
      </c>
      <c r="J134" s="4">
        <v>7276873928.4300003</v>
      </c>
      <c r="M134" s="3">
        <v>41791</v>
      </c>
      <c r="N134" s="4">
        <v>3493812279.3000002</v>
      </c>
    </row>
    <row r="135" spans="5:14" x14ac:dyDescent="0.25">
      <c r="E135" s="3">
        <v>41821</v>
      </c>
      <c r="F135" s="4">
        <v>12260098921.190001</v>
      </c>
      <c r="I135" s="3">
        <v>41821</v>
      </c>
      <c r="J135" s="4">
        <v>9468857132.3899994</v>
      </c>
      <c r="M135" s="3">
        <v>41821</v>
      </c>
      <c r="N135" s="4">
        <v>3922236463.21</v>
      </c>
    </row>
    <row r="136" spans="5:14" x14ac:dyDescent="0.25">
      <c r="E136" s="3">
        <v>41852</v>
      </c>
      <c r="F136" s="4">
        <v>13393116719.58</v>
      </c>
      <c r="I136" s="3">
        <v>41852</v>
      </c>
      <c r="J136" s="4">
        <v>10030900283.66</v>
      </c>
      <c r="M136" s="3">
        <v>41852</v>
      </c>
      <c r="N136" s="4">
        <v>4211266060.8699999</v>
      </c>
    </row>
    <row r="137" spans="5:14" x14ac:dyDescent="0.25">
      <c r="E137" s="3">
        <v>41883</v>
      </c>
      <c r="F137" s="4">
        <v>13038351452.110003</v>
      </c>
      <c r="I137" s="3">
        <v>41883</v>
      </c>
      <c r="J137" s="4">
        <v>10020949088.049999</v>
      </c>
      <c r="M137" s="3">
        <v>41883</v>
      </c>
      <c r="N137" s="4">
        <v>4257244054.8600001</v>
      </c>
    </row>
    <row r="138" spans="5:14" x14ac:dyDescent="0.25">
      <c r="E138" s="3">
        <v>41913</v>
      </c>
      <c r="F138" s="4">
        <v>19365462678.16</v>
      </c>
      <c r="I138" s="3">
        <v>41913</v>
      </c>
      <c r="J138" s="4">
        <v>14710744669.390001</v>
      </c>
      <c r="M138" s="3">
        <v>41913</v>
      </c>
      <c r="N138" s="4">
        <v>3899112245.7399998</v>
      </c>
    </row>
    <row r="139" spans="5:14" x14ac:dyDescent="0.25">
      <c r="E139" s="3">
        <v>41944</v>
      </c>
      <c r="F139" s="4">
        <v>14716925675.34</v>
      </c>
      <c r="I139" s="3">
        <v>41944</v>
      </c>
      <c r="J139" s="4">
        <v>11245780454.17</v>
      </c>
      <c r="M139" s="3">
        <v>41944</v>
      </c>
      <c r="N139" s="4">
        <v>3926294145.04</v>
      </c>
    </row>
    <row r="140" spans="5:14" x14ac:dyDescent="0.25">
      <c r="E140" s="3">
        <v>41974</v>
      </c>
      <c r="F140" s="4">
        <v>18525436829.699997</v>
      </c>
      <c r="I140" s="3">
        <v>41974</v>
      </c>
      <c r="J140" s="4">
        <v>14945343134.59</v>
      </c>
      <c r="M140" s="3">
        <v>41974</v>
      </c>
      <c r="N140" s="4">
        <v>4060384889.1599998</v>
      </c>
    </row>
    <row r="141" spans="5:14" x14ac:dyDescent="0.25">
      <c r="E141" s="3">
        <v>42005</v>
      </c>
      <c r="F141" s="4">
        <v>14235878976.370001</v>
      </c>
      <c r="I141" s="3">
        <v>42005</v>
      </c>
      <c r="J141" s="4">
        <v>10632578652.470001</v>
      </c>
      <c r="M141" s="3">
        <v>42005</v>
      </c>
      <c r="N141" s="4">
        <v>3507360281.3800001</v>
      </c>
    </row>
    <row r="142" spans="5:14" x14ac:dyDescent="0.25">
      <c r="E142" s="3">
        <v>42036</v>
      </c>
      <c r="F142" s="4">
        <v>15896294717.43</v>
      </c>
      <c r="I142" s="3">
        <v>42036</v>
      </c>
      <c r="J142" s="4">
        <v>12524626705.59</v>
      </c>
      <c r="M142" s="3">
        <v>42036</v>
      </c>
      <c r="N142" s="4">
        <v>5302574418.9099998</v>
      </c>
    </row>
    <row r="143" spans="5:14" x14ac:dyDescent="0.25">
      <c r="E143" s="3">
        <v>42064</v>
      </c>
      <c r="F143" s="4">
        <v>14377805495.529999</v>
      </c>
      <c r="I143" s="3">
        <v>42064</v>
      </c>
      <c r="J143" s="4">
        <v>10989454105.67</v>
      </c>
      <c r="M143" s="3">
        <v>42064</v>
      </c>
      <c r="N143" s="4">
        <v>4795370179.5500002</v>
      </c>
    </row>
    <row r="144" spans="5:14" x14ac:dyDescent="0.25">
      <c r="E144" s="3" t="s">
        <v>83</v>
      </c>
      <c r="F144" s="4">
        <v>5309605657569.8809</v>
      </c>
      <c r="I144" s="3" t="s">
        <v>83</v>
      </c>
      <c r="J144" s="4">
        <v>4395887814663.6616</v>
      </c>
      <c r="M144" s="3" t="s">
        <v>83</v>
      </c>
      <c r="N144" s="4">
        <v>1627966640732.8701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403"/>
  <sheetViews>
    <sheetView workbookViewId="0">
      <selection activeCell="H3" sqref="H3"/>
    </sheetView>
  </sheetViews>
  <sheetFormatPr defaultRowHeight="15" x14ac:dyDescent="0.25"/>
  <cols>
    <col min="2" max="2" width="47" bestFit="1" customWidth="1"/>
    <col min="3" max="3" width="9.7109375" customWidth="1"/>
    <col min="4" max="4" width="12.28515625" bestFit="1" customWidth="1"/>
    <col min="5" max="5" width="5.28515625" bestFit="1" customWidth="1"/>
    <col min="8" max="8" width="9.7109375" bestFit="1" customWidth="1"/>
    <col min="9" max="9" width="12.28515625" bestFit="1" customWidth="1"/>
    <col min="11" max="11" width="9.7109375" bestFit="1" customWidth="1"/>
    <col min="12" max="12" width="12.28515625" bestFit="1" customWidth="1"/>
    <col min="14" max="14" width="9.7109375" bestFit="1" customWidth="1"/>
    <col min="15" max="15" width="12.28515625" bestFit="1" customWidth="1"/>
  </cols>
  <sheetData>
    <row r="2" spans="2:15" x14ac:dyDescent="0.25">
      <c r="H2" t="s">
        <v>95</v>
      </c>
      <c r="K2" t="s">
        <v>96</v>
      </c>
      <c r="N2" t="s">
        <v>97</v>
      </c>
    </row>
    <row r="3" spans="2:15" x14ac:dyDescent="0.25">
      <c r="B3" t="s">
        <v>0</v>
      </c>
      <c r="C3" t="s">
        <v>1</v>
      </c>
      <c r="D3" t="s">
        <v>2</v>
      </c>
      <c r="E3" t="s">
        <v>3</v>
      </c>
      <c r="H3" t="s">
        <v>1</v>
      </c>
      <c r="I3" t="s">
        <v>2</v>
      </c>
      <c r="K3" t="s">
        <v>1</v>
      </c>
      <c r="L3" t="s">
        <v>2</v>
      </c>
      <c r="N3" s="1" t="s">
        <v>1</v>
      </c>
      <c r="O3" t="s">
        <v>2</v>
      </c>
    </row>
    <row r="4" spans="2:15" x14ac:dyDescent="0.25">
      <c r="B4" s="1" t="s">
        <v>6</v>
      </c>
      <c r="C4" s="1">
        <v>37773</v>
      </c>
      <c r="D4">
        <v>29346009324.57</v>
      </c>
      <c r="E4">
        <v>1</v>
      </c>
      <c r="H4" s="1">
        <v>39083</v>
      </c>
      <c r="I4">
        <v>48986973755.699997</v>
      </c>
      <c r="K4" s="1">
        <v>39083</v>
      </c>
      <c r="L4">
        <v>1805491105.6700001</v>
      </c>
      <c r="N4" s="1">
        <v>39083</v>
      </c>
      <c r="O4">
        <v>929023441.75</v>
      </c>
    </row>
    <row r="5" spans="2:15" x14ac:dyDescent="0.25">
      <c r="B5" s="1" t="s">
        <v>16</v>
      </c>
      <c r="C5" s="1">
        <v>37773</v>
      </c>
      <c r="D5">
        <v>25594894422.529999</v>
      </c>
      <c r="E5">
        <v>2</v>
      </c>
      <c r="H5" s="1">
        <v>39114</v>
      </c>
      <c r="I5">
        <v>52453433791.699997</v>
      </c>
      <c r="K5" s="1">
        <v>39114</v>
      </c>
      <c r="L5">
        <v>1679990333.1500001</v>
      </c>
      <c r="N5" s="1">
        <v>39114</v>
      </c>
      <c r="O5">
        <v>668892203</v>
      </c>
    </row>
    <row r="6" spans="2:15" x14ac:dyDescent="0.25">
      <c r="B6" s="1" t="s">
        <v>7</v>
      </c>
      <c r="C6" s="1">
        <v>37773</v>
      </c>
      <c r="D6">
        <v>23300241072.73</v>
      </c>
      <c r="E6">
        <v>3</v>
      </c>
      <c r="H6" s="1">
        <v>39142</v>
      </c>
      <c r="I6">
        <v>47757143575.32</v>
      </c>
      <c r="K6" s="1">
        <v>39142</v>
      </c>
      <c r="L6">
        <v>1672712786.0699999</v>
      </c>
      <c r="N6" s="1">
        <v>39142</v>
      </c>
      <c r="O6">
        <v>754011170.92999995</v>
      </c>
    </row>
    <row r="7" spans="2:15" x14ac:dyDescent="0.25">
      <c r="B7" s="1" t="s">
        <v>17</v>
      </c>
      <c r="C7" s="1">
        <v>37773</v>
      </c>
      <c r="D7">
        <v>17817818276.099998</v>
      </c>
      <c r="E7">
        <v>4</v>
      </c>
      <c r="H7" s="1">
        <v>39173</v>
      </c>
      <c r="I7">
        <v>52540646459.18</v>
      </c>
      <c r="K7" s="1">
        <v>39173</v>
      </c>
      <c r="L7">
        <v>1582934759.3800001</v>
      </c>
      <c r="N7" s="1">
        <v>39173</v>
      </c>
      <c r="O7">
        <v>684270187.71000004</v>
      </c>
    </row>
    <row r="8" spans="2:15" x14ac:dyDescent="0.25">
      <c r="B8" s="1" t="s">
        <v>25</v>
      </c>
      <c r="C8" s="1">
        <v>37773</v>
      </c>
      <c r="D8">
        <v>5591763689.3800001</v>
      </c>
      <c r="E8">
        <v>5</v>
      </c>
      <c r="H8" s="1">
        <v>39203</v>
      </c>
      <c r="I8">
        <v>55030123991.339996</v>
      </c>
      <c r="K8" s="1">
        <v>39203</v>
      </c>
      <c r="L8">
        <v>2772906165.9000001</v>
      </c>
      <c r="N8" s="1">
        <v>39203</v>
      </c>
      <c r="O8">
        <v>794614133.75</v>
      </c>
    </row>
    <row r="9" spans="2:15" x14ac:dyDescent="0.25">
      <c r="B9" s="1" t="s">
        <v>12</v>
      </c>
      <c r="C9" s="1">
        <v>37773</v>
      </c>
      <c r="D9">
        <v>4371995001.1899996</v>
      </c>
      <c r="E9">
        <v>6</v>
      </c>
      <c r="H9" s="1">
        <v>39234</v>
      </c>
      <c r="I9">
        <v>63791156452.68</v>
      </c>
      <c r="K9" s="1">
        <v>39234</v>
      </c>
      <c r="L9">
        <v>2796352573.5599999</v>
      </c>
      <c r="N9" s="1">
        <v>39234</v>
      </c>
      <c r="O9">
        <v>713138493.69000006</v>
      </c>
    </row>
    <row r="10" spans="2:15" x14ac:dyDescent="0.25">
      <c r="B10" s="1" t="s">
        <v>18</v>
      </c>
      <c r="C10" s="1">
        <v>37773</v>
      </c>
      <c r="D10">
        <v>3031001736.98</v>
      </c>
      <c r="E10">
        <v>7</v>
      </c>
      <c r="H10" s="1">
        <v>39264</v>
      </c>
      <c r="I10">
        <v>66543383648.120003</v>
      </c>
      <c r="K10" s="1">
        <v>39264</v>
      </c>
      <c r="L10">
        <v>2979151994.4400001</v>
      </c>
      <c r="N10" s="1">
        <v>39264</v>
      </c>
      <c r="O10">
        <v>970794020.49000001</v>
      </c>
    </row>
    <row r="11" spans="2:15" x14ac:dyDescent="0.25">
      <c r="B11" s="1" t="s">
        <v>13</v>
      </c>
      <c r="C11" s="1">
        <v>37773</v>
      </c>
      <c r="D11">
        <v>2386757053.25</v>
      </c>
      <c r="E11">
        <v>8</v>
      </c>
      <c r="H11" s="1">
        <v>39295</v>
      </c>
      <c r="I11">
        <v>66841769232.779999</v>
      </c>
      <c r="K11" s="1">
        <v>39295</v>
      </c>
      <c r="L11">
        <v>3267541007.4200001</v>
      </c>
      <c r="N11" s="1">
        <v>39295</v>
      </c>
      <c r="O11">
        <v>710262083.82000005</v>
      </c>
    </row>
    <row r="12" spans="2:15" x14ac:dyDescent="0.25">
      <c r="B12" s="1" t="s">
        <v>57</v>
      </c>
      <c r="C12" s="1">
        <v>37773</v>
      </c>
      <c r="D12">
        <v>2160965900.48</v>
      </c>
      <c r="E12">
        <v>9</v>
      </c>
      <c r="H12" s="1">
        <v>39326</v>
      </c>
      <c r="I12">
        <v>58844726717.25</v>
      </c>
      <c r="K12" s="1">
        <v>39326</v>
      </c>
      <c r="L12">
        <v>2575823371.0500002</v>
      </c>
      <c r="N12" s="1">
        <v>39326</v>
      </c>
      <c r="O12">
        <v>779034200.88999999</v>
      </c>
    </row>
    <row r="13" spans="2:15" x14ac:dyDescent="0.25">
      <c r="B13" s="1" t="s">
        <v>9</v>
      </c>
      <c r="C13" s="1">
        <v>37773</v>
      </c>
      <c r="D13">
        <v>1659941249.73</v>
      </c>
      <c r="E13">
        <v>10</v>
      </c>
      <c r="H13" s="1">
        <v>39356</v>
      </c>
      <c r="I13">
        <v>61720788837.040001</v>
      </c>
      <c r="K13" s="1">
        <v>39356</v>
      </c>
      <c r="L13">
        <v>2569971167.4499998</v>
      </c>
      <c r="N13" s="1">
        <v>39356</v>
      </c>
      <c r="O13">
        <v>707016336.28999996</v>
      </c>
    </row>
    <row r="14" spans="2:15" x14ac:dyDescent="0.25">
      <c r="B14" s="1" t="s">
        <v>16</v>
      </c>
      <c r="C14" s="1">
        <v>37803</v>
      </c>
      <c r="D14">
        <v>29203480041.400002</v>
      </c>
      <c r="E14">
        <v>1</v>
      </c>
      <c r="H14" s="1">
        <v>39387</v>
      </c>
      <c r="I14">
        <v>57017095444.980003</v>
      </c>
      <c r="K14" s="1">
        <v>39387</v>
      </c>
      <c r="L14">
        <v>2060441341.49</v>
      </c>
      <c r="N14" s="1">
        <v>39387</v>
      </c>
      <c r="O14">
        <v>714635575.74000001</v>
      </c>
    </row>
    <row r="15" spans="2:15" x14ac:dyDescent="0.25">
      <c r="B15" s="1" t="s">
        <v>6</v>
      </c>
      <c r="C15" s="1">
        <v>37803</v>
      </c>
      <c r="D15">
        <v>29172965695.619999</v>
      </c>
      <c r="E15">
        <v>2</v>
      </c>
      <c r="H15" s="1">
        <v>39417</v>
      </c>
      <c r="I15">
        <v>57339598522.279999</v>
      </c>
      <c r="K15" s="1">
        <v>39417</v>
      </c>
      <c r="L15">
        <v>2642277157.3299999</v>
      </c>
      <c r="N15" s="1">
        <v>39417</v>
      </c>
      <c r="O15">
        <v>632137460.79999995</v>
      </c>
    </row>
    <row r="16" spans="2:15" x14ac:dyDescent="0.25">
      <c r="B16" s="1" t="s">
        <v>7</v>
      </c>
      <c r="C16" s="1">
        <v>37803</v>
      </c>
      <c r="D16">
        <v>23865657170.52</v>
      </c>
      <c r="E16">
        <v>3</v>
      </c>
      <c r="H16" s="1">
        <v>39448</v>
      </c>
      <c r="I16">
        <v>77064970164.339996</v>
      </c>
      <c r="K16" s="1">
        <v>39448</v>
      </c>
      <c r="L16">
        <v>2742976340.8400002</v>
      </c>
      <c r="N16" s="1">
        <v>39448</v>
      </c>
      <c r="O16">
        <v>806190228.41999996</v>
      </c>
    </row>
    <row r="17" spans="2:15" x14ac:dyDescent="0.25">
      <c r="B17" s="1" t="s">
        <v>17</v>
      </c>
      <c r="C17" s="1">
        <v>37803</v>
      </c>
      <c r="D17">
        <v>20341432059.669998</v>
      </c>
      <c r="E17">
        <v>4</v>
      </c>
      <c r="H17" s="1">
        <v>39479</v>
      </c>
      <c r="I17">
        <v>58904329066.650002</v>
      </c>
      <c r="K17" s="1">
        <v>39479</v>
      </c>
      <c r="L17">
        <v>3365807073.5500002</v>
      </c>
      <c r="N17" s="1">
        <v>39479</v>
      </c>
      <c r="O17">
        <v>791862987.95000005</v>
      </c>
    </row>
    <row r="18" spans="2:15" x14ac:dyDescent="0.25">
      <c r="B18" s="1" t="s">
        <v>25</v>
      </c>
      <c r="C18" s="1">
        <v>37803</v>
      </c>
      <c r="D18">
        <v>6153977891.3500004</v>
      </c>
      <c r="E18">
        <v>5</v>
      </c>
      <c r="H18" s="1">
        <v>39508</v>
      </c>
      <c r="I18">
        <v>82288506502.539993</v>
      </c>
      <c r="K18" s="1">
        <v>39508</v>
      </c>
      <c r="L18">
        <v>2534262717.98</v>
      </c>
      <c r="N18" s="1">
        <v>39508</v>
      </c>
      <c r="O18">
        <v>705417996.09000003</v>
      </c>
    </row>
    <row r="19" spans="2:15" x14ac:dyDescent="0.25">
      <c r="B19" s="1" t="s">
        <v>12</v>
      </c>
      <c r="C19" s="1">
        <v>37803</v>
      </c>
      <c r="D19">
        <v>3946035702.4200001</v>
      </c>
      <c r="E19">
        <v>6</v>
      </c>
      <c r="H19" s="1">
        <v>39539</v>
      </c>
      <c r="I19">
        <v>56946711891.239998</v>
      </c>
      <c r="K19" s="1">
        <v>39539</v>
      </c>
      <c r="L19">
        <v>4627286735.46</v>
      </c>
      <c r="N19" s="1">
        <v>39539</v>
      </c>
      <c r="O19">
        <v>689568022.57000005</v>
      </c>
    </row>
    <row r="20" spans="2:15" x14ac:dyDescent="0.25">
      <c r="B20" s="1" t="s">
        <v>13</v>
      </c>
      <c r="C20" s="1">
        <v>37803</v>
      </c>
      <c r="D20">
        <v>3743886848.1799998</v>
      </c>
      <c r="E20">
        <v>7</v>
      </c>
      <c r="H20" s="1">
        <v>39569</v>
      </c>
      <c r="I20">
        <v>63162385903.519997</v>
      </c>
      <c r="K20" s="1">
        <v>39569</v>
      </c>
      <c r="L20">
        <v>4716019657.6199999</v>
      </c>
      <c r="N20" s="1">
        <v>39569</v>
      </c>
      <c r="O20">
        <v>854349995.38999999</v>
      </c>
    </row>
    <row r="21" spans="2:15" x14ac:dyDescent="0.25">
      <c r="B21" s="1" t="s">
        <v>18</v>
      </c>
      <c r="C21" s="1">
        <v>37803</v>
      </c>
      <c r="D21">
        <v>2415574600.1999998</v>
      </c>
      <c r="E21">
        <v>8</v>
      </c>
      <c r="H21" s="1">
        <v>39600</v>
      </c>
      <c r="I21">
        <v>72602408533.720001</v>
      </c>
      <c r="K21" s="1">
        <v>39600</v>
      </c>
      <c r="L21">
        <v>4606226475.4300003</v>
      </c>
      <c r="N21" s="1">
        <v>39600</v>
      </c>
      <c r="O21">
        <v>991873864.08000004</v>
      </c>
    </row>
    <row r="22" spans="2:15" x14ac:dyDescent="0.25">
      <c r="B22" s="1" t="s">
        <v>4</v>
      </c>
      <c r="C22" s="1">
        <v>37803</v>
      </c>
      <c r="D22">
        <v>2259153579.3499999</v>
      </c>
      <c r="E22">
        <v>9</v>
      </c>
      <c r="H22" s="1">
        <v>39630</v>
      </c>
      <c r="I22">
        <v>55712916044.559998</v>
      </c>
      <c r="K22" s="1">
        <v>39630</v>
      </c>
      <c r="L22">
        <v>4590315319.1099997</v>
      </c>
      <c r="N22" s="1">
        <v>39630</v>
      </c>
      <c r="O22">
        <v>838953095.21000004</v>
      </c>
    </row>
    <row r="23" spans="2:15" x14ac:dyDescent="0.25">
      <c r="B23" s="1" t="s">
        <v>57</v>
      </c>
      <c r="C23" s="1">
        <v>37803</v>
      </c>
      <c r="D23">
        <v>1957977856.9100001</v>
      </c>
      <c r="E23">
        <v>10</v>
      </c>
      <c r="H23" s="1">
        <v>39661</v>
      </c>
      <c r="I23">
        <v>38900118248.239998</v>
      </c>
      <c r="K23" s="1">
        <v>39661</v>
      </c>
      <c r="L23">
        <v>2735541204.4699998</v>
      </c>
      <c r="N23" s="1">
        <v>39661</v>
      </c>
      <c r="O23">
        <v>743781943.44000006</v>
      </c>
    </row>
    <row r="24" spans="2:15" x14ac:dyDescent="0.25">
      <c r="B24" s="1" t="s">
        <v>6</v>
      </c>
      <c r="C24" s="1">
        <v>37834</v>
      </c>
      <c r="D24">
        <v>31589484729.220001</v>
      </c>
      <c r="E24">
        <v>1</v>
      </c>
      <c r="H24" s="1">
        <v>39692</v>
      </c>
      <c r="I24">
        <v>32713650876.889999</v>
      </c>
      <c r="K24" s="1">
        <v>39692</v>
      </c>
      <c r="L24">
        <v>2494839817.1700001</v>
      </c>
      <c r="N24" s="1">
        <v>39692</v>
      </c>
      <c r="O24">
        <v>861617170.63</v>
      </c>
    </row>
    <row r="25" spans="2:15" x14ac:dyDescent="0.25">
      <c r="B25" s="1" t="s">
        <v>16</v>
      </c>
      <c r="C25" s="1">
        <v>37834</v>
      </c>
      <c r="D25">
        <v>26773551949.470001</v>
      </c>
      <c r="E25">
        <v>2</v>
      </c>
      <c r="H25" s="1">
        <v>39722</v>
      </c>
      <c r="I25">
        <v>38978181473.309998</v>
      </c>
      <c r="K25" s="1">
        <v>39722</v>
      </c>
      <c r="L25">
        <v>3909470688.3099999</v>
      </c>
      <c r="N25" s="1">
        <v>39722</v>
      </c>
      <c r="O25">
        <v>863167964.38</v>
      </c>
    </row>
    <row r="26" spans="2:15" x14ac:dyDescent="0.25">
      <c r="B26" s="1" t="s">
        <v>7</v>
      </c>
      <c r="C26" s="1">
        <v>37834</v>
      </c>
      <c r="D26">
        <v>25312850976.130001</v>
      </c>
      <c r="E26">
        <v>3</v>
      </c>
      <c r="H26" s="1">
        <v>39753</v>
      </c>
      <c r="I26">
        <v>32829619039.73</v>
      </c>
      <c r="K26" s="1">
        <v>39753</v>
      </c>
      <c r="L26">
        <v>2848084766.9000001</v>
      </c>
      <c r="N26" s="1">
        <v>39753</v>
      </c>
      <c r="O26">
        <v>346449062.85000002</v>
      </c>
    </row>
    <row r="27" spans="2:15" x14ac:dyDescent="0.25">
      <c r="B27" s="1" t="s">
        <v>17</v>
      </c>
      <c r="C27" s="1">
        <v>37834</v>
      </c>
      <c r="D27">
        <v>19350033281.610001</v>
      </c>
      <c r="E27">
        <v>4</v>
      </c>
      <c r="H27" s="1">
        <v>39783</v>
      </c>
      <c r="I27">
        <v>26257543334.880001</v>
      </c>
      <c r="K27" s="1">
        <v>39783</v>
      </c>
      <c r="L27">
        <v>2716307694.77</v>
      </c>
      <c r="N27" s="1">
        <v>39783</v>
      </c>
      <c r="O27">
        <v>329342548.44</v>
      </c>
    </row>
    <row r="28" spans="2:15" x14ac:dyDescent="0.25">
      <c r="B28" s="1" t="s">
        <v>25</v>
      </c>
      <c r="C28" s="1">
        <v>37834</v>
      </c>
      <c r="D28">
        <v>6553272141.8500004</v>
      </c>
      <c r="E28">
        <v>5</v>
      </c>
      <c r="H28" s="1">
        <v>39814</v>
      </c>
      <c r="I28">
        <v>40088863428.669998</v>
      </c>
      <c r="K28" s="1">
        <v>39814</v>
      </c>
      <c r="L28">
        <v>2341858898.6399999</v>
      </c>
      <c r="N28" s="1">
        <v>39814</v>
      </c>
      <c r="O28">
        <v>352645579.72000003</v>
      </c>
    </row>
    <row r="29" spans="2:15" x14ac:dyDescent="0.25">
      <c r="B29" s="1" t="s">
        <v>12</v>
      </c>
      <c r="C29" s="1">
        <v>37834</v>
      </c>
      <c r="D29">
        <v>5198344897.3400002</v>
      </c>
      <c r="E29">
        <v>6</v>
      </c>
      <c r="H29" s="1">
        <v>39845</v>
      </c>
      <c r="I29">
        <v>24388048591.91</v>
      </c>
      <c r="K29" s="1">
        <v>39845</v>
      </c>
      <c r="L29">
        <v>4022859899.9899998</v>
      </c>
      <c r="N29" s="1">
        <v>39845</v>
      </c>
      <c r="O29">
        <v>291787119.26999998</v>
      </c>
    </row>
    <row r="30" spans="2:15" x14ac:dyDescent="0.25">
      <c r="B30" s="1" t="s">
        <v>4</v>
      </c>
      <c r="C30" s="1">
        <v>37834</v>
      </c>
      <c r="D30">
        <v>3791741304.1500001</v>
      </c>
      <c r="E30">
        <v>7</v>
      </c>
      <c r="H30" s="1">
        <v>39873</v>
      </c>
      <c r="I30">
        <v>44753198527.510002</v>
      </c>
      <c r="K30" s="1">
        <v>39873</v>
      </c>
      <c r="L30">
        <v>7282838476.5600004</v>
      </c>
      <c r="N30" s="1">
        <v>39873</v>
      </c>
      <c r="O30">
        <v>708211819.88</v>
      </c>
    </row>
    <row r="31" spans="2:15" x14ac:dyDescent="0.25">
      <c r="B31" s="1" t="s">
        <v>18</v>
      </c>
      <c r="C31" s="1">
        <v>37834</v>
      </c>
      <c r="D31">
        <v>3097950638.54</v>
      </c>
      <c r="E31">
        <v>8</v>
      </c>
      <c r="H31" s="1">
        <v>39904</v>
      </c>
      <c r="I31">
        <v>89107406685.440002</v>
      </c>
      <c r="K31" s="1">
        <v>39904</v>
      </c>
      <c r="L31">
        <v>13124113584.77</v>
      </c>
      <c r="N31" s="1">
        <v>39904</v>
      </c>
      <c r="O31">
        <v>980343507.52999997</v>
      </c>
    </row>
    <row r="32" spans="2:15" x14ac:dyDescent="0.25">
      <c r="B32" s="1" t="s">
        <v>13</v>
      </c>
      <c r="C32" s="1">
        <v>37834</v>
      </c>
      <c r="D32">
        <v>2957240670.1599998</v>
      </c>
      <c r="E32">
        <v>9</v>
      </c>
      <c r="H32" s="1">
        <v>39934</v>
      </c>
      <c r="I32">
        <v>56341875537.339996</v>
      </c>
      <c r="K32" s="1">
        <v>39934</v>
      </c>
      <c r="L32">
        <v>14916253696.33</v>
      </c>
      <c r="N32" s="1">
        <v>39934</v>
      </c>
      <c r="O32">
        <v>513485115.45999998</v>
      </c>
    </row>
    <row r="33" spans="2:15" x14ac:dyDescent="0.25">
      <c r="B33" s="1" t="s">
        <v>9</v>
      </c>
      <c r="C33" s="1">
        <v>37834</v>
      </c>
      <c r="D33">
        <v>1897629658.1199999</v>
      </c>
      <c r="E33">
        <v>10</v>
      </c>
      <c r="H33" s="1">
        <v>39965</v>
      </c>
      <c r="I33">
        <v>126056334922.13</v>
      </c>
      <c r="K33" s="1">
        <v>39965</v>
      </c>
      <c r="L33">
        <v>71546121202.240005</v>
      </c>
      <c r="N33" s="1">
        <v>39965</v>
      </c>
      <c r="O33">
        <v>750914738.05999994</v>
      </c>
    </row>
    <row r="34" spans="2:15" x14ac:dyDescent="0.25">
      <c r="B34" s="1" t="s">
        <v>16</v>
      </c>
      <c r="C34" s="1">
        <v>37865</v>
      </c>
      <c r="D34">
        <v>23343172196.529999</v>
      </c>
      <c r="E34">
        <v>1</v>
      </c>
      <c r="H34" s="1">
        <v>39995</v>
      </c>
      <c r="I34">
        <v>127916816916.89999</v>
      </c>
      <c r="K34" s="1">
        <v>39995</v>
      </c>
      <c r="L34">
        <v>48580167018.220001</v>
      </c>
      <c r="N34" s="1">
        <v>39995</v>
      </c>
      <c r="O34">
        <v>1145026720.3900001</v>
      </c>
    </row>
    <row r="35" spans="2:15" x14ac:dyDescent="0.25">
      <c r="B35" s="1" t="s">
        <v>6</v>
      </c>
      <c r="C35" s="1">
        <v>37865</v>
      </c>
      <c r="D35">
        <v>23275697073.029999</v>
      </c>
      <c r="E35">
        <v>2</v>
      </c>
      <c r="H35" s="1">
        <v>40026</v>
      </c>
      <c r="I35">
        <v>78436521989.979996</v>
      </c>
      <c r="K35" s="1">
        <v>40026</v>
      </c>
      <c r="L35">
        <v>16641693291.17</v>
      </c>
      <c r="N35" s="1">
        <v>40026</v>
      </c>
      <c r="O35">
        <v>1022514881.83</v>
      </c>
    </row>
    <row r="36" spans="2:15" x14ac:dyDescent="0.25">
      <c r="B36" s="1" t="s">
        <v>7</v>
      </c>
      <c r="C36" s="1">
        <v>37865</v>
      </c>
      <c r="D36">
        <v>19826816440.5</v>
      </c>
      <c r="E36">
        <v>3</v>
      </c>
      <c r="H36" s="1">
        <v>40057</v>
      </c>
      <c r="I36">
        <v>59684456334.959999</v>
      </c>
      <c r="K36" s="1">
        <v>40057</v>
      </c>
      <c r="L36">
        <v>13851899196.700001</v>
      </c>
      <c r="N36" s="1">
        <v>40057</v>
      </c>
      <c r="O36">
        <v>1099497321.99</v>
      </c>
    </row>
    <row r="37" spans="2:15" x14ac:dyDescent="0.25">
      <c r="B37" s="1" t="s">
        <v>17</v>
      </c>
      <c r="C37" s="1">
        <v>37865</v>
      </c>
      <c r="D37">
        <v>14426975099.549999</v>
      </c>
      <c r="E37">
        <v>4</v>
      </c>
      <c r="H37" s="1">
        <v>40087</v>
      </c>
      <c r="I37">
        <v>56386030208.150002</v>
      </c>
      <c r="K37" s="1">
        <v>40087</v>
      </c>
      <c r="L37">
        <v>12597168617.459999</v>
      </c>
      <c r="N37" s="1">
        <v>40087</v>
      </c>
      <c r="O37">
        <v>719266463.65999997</v>
      </c>
    </row>
    <row r="38" spans="2:15" x14ac:dyDescent="0.25">
      <c r="B38" s="1" t="s">
        <v>25</v>
      </c>
      <c r="C38" s="1">
        <v>37865</v>
      </c>
      <c r="D38">
        <v>7515096015.8900003</v>
      </c>
      <c r="E38">
        <v>5</v>
      </c>
      <c r="H38" s="1">
        <v>40118</v>
      </c>
      <c r="I38">
        <v>37508648146.959999</v>
      </c>
      <c r="K38" s="1">
        <v>40118</v>
      </c>
      <c r="L38">
        <v>7065936096.5500002</v>
      </c>
      <c r="N38" s="1">
        <v>40118</v>
      </c>
      <c r="O38">
        <v>752409534.13</v>
      </c>
    </row>
    <row r="39" spans="2:15" x14ac:dyDescent="0.25">
      <c r="B39" s="1" t="s">
        <v>12</v>
      </c>
      <c r="C39" s="1">
        <v>37865</v>
      </c>
      <c r="D39">
        <v>5929568065.8800001</v>
      </c>
      <c r="E39">
        <v>6</v>
      </c>
      <c r="H39" s="1">
        <v>40148</v>
      </c>
      <c r="I39">
        <v>36508839962.290001</v>
      </c>
      <c r="K39" s="1">
        <v>40148</v>
      </c>
      <c r="L39">
        <v>6367737885.9099998</v>
      </c>
      <c r="N39" s="1">
        <v>40148</v>
      </c>
      <c r="O39">
        <v>591086562.80999994</v>
      </c>
    </row>
    <row r="40" spans="2:15" x14ac:dyDescent="0.25">
      <c r="B40" s="1" t="s">
        <v>18</v>
      </c>
      <c r="C40" s="1">
        <v>37865</v>
      </c>
      <c r="D40">
        <v>4567955305.6700001</v>
      </c>
      <c r="E40">
        <v>7</v>
      </c>
      <c r="H40" s="1">
        <v>40179</v>
      </c>
      <c r="I40">
        <v>47221077996.639999</v>
      </c>
      <c r="K40" s="1">
        <v>40179</v>
      </c>
      <c r="L40">
        <v>7787526961.9899998</v>
      </c>
      <c r="N40" s="1">
        <v>40179</v>
      </c>
      <c r="O40">
        <v>722138217.29999995</v>
      </c>
    </row>
    <row r="41" spans="2:15" x14ac:dyDescent="0.25">
      <c r="B41" s="1" t="s">
        <v>4</v>
      </c>
      <c r="C41" s="1">
        <v>37865</v>
      </c>
      <c r="D41">
        <v>4028777568.02</v>
      </c>
      <c r="E41">
        <v>8</v>
      </c>
      <c r="H41" s="1">
        <v>40210</v>
      </c>
      <c r="I41">
        <v>39245939454.400002</v>
      </c>
      <c r="K41" s="1">
        <v>40210</v>
      </c>
      <c r="L41">
        <v>7313276582.3500004</v>
      </c>
      <c r="N41" s="1">
        <v>40210</v>
      </c>
      <c r="O41">
        <v>730114182.90999997</v>
      </c>
    </row>
    <row r="42" spans="2:15" x14ac:dyDescent="0.25">
      <c r="B42" s="1" t="s">
        <v>13</v>
      </c>
      <c r="C42" s="1">
        <v>37865</v>
      </c>
      <c r="D42">
        <v>3062034416.1900001</v>
      </c>
      <c r="E42">
        <v>9</v>
      </c>
      <c r="H42" s="1">
        <v>40238</v>
      </c>
      <c r="I42">
        <v>40750598821.720001</v>
      </c>
      <c r="K42" s="1">
        <v>40238</v>
      </c>
      <c r="L42">
        <v>5513307940.1800003</v>
      </c>
      <c r="N42" s="1">
        <v>40238</v>
      </c>
      <c r="O42">
        <v>822700181.63999999</v>
      </c>
    </row>
    <row r="43" spans="2:15" x14ac:dyDescent="0.25">
      <c r="B43" s="1" t="s">
        <v>35</v>
      </c>
      <c r="C43" s="1">
        <v>37865</v>
      </c>
      <c r="D43">
        <v>2004877979.8800001</v>
      </c>
      <c r="E43">
        <v>10</v>
      </c>
      <c r="H43" s="1">
        <v>40269</v>
      </c>
      <c r="I43">
        <v>34495230505.029999</v>
      </c>
      <c r="K43" s="1">
        <v>40269</v>
      </c>
      <c r="L43">
        <v>4384186680.7299995</v>
      </c>
      <c r="N43" s="1">
        <v>40269</v>
      </c>
      <c r="O43">
        <v>631906810.01999998</v>
      </c>
    </row>
    <row r="44" spans="2:15" x14ac:dyDescent="0.25">
      <c r="B44" s="1" t="s">
        <v>16</v>
      </c>
      <c r="C44" s="1">
        <v>37895</v>
      </c>
      <c r="D44">
        <v>31820990055.02</v>
      </c>
      <c r="E44">
        <v>1</v>
      </c>
      <c r="H44" s="1">
        <v>40299</v>
      </c>
      <c r="I44">
        <v>34561761859.559998</v>
      </c>
      <c r="K44" s="1">
        <v>40299</v>
      </c>
      <c r="L44">
        <v>4878666055.8000002</v>
      </c>
      <c r="N44" s="1">
        <v>40299</v>
      </c>
      <c r="O44">
        <v>560343522.29999995</v>
      </c>
    </row>
    <row r="45" spans="2:15" x14ac:dyDescent="0.25">
      <c r="B45" s="1" t="s">
        <v>17</v>
      </c>
      <c r="C45" s="1">
        <v>37895</v>
      </c>
      <c r="D45">
        <v>23304462130.580002</v>
      </c>
      <c r="E45">
        <v>2</v>
      </c>
      <c r="H45" s="1">
        <v>40330</v>
      </c>
      <c r="I45">
        <v>33643649195.490002</v>
      </c>
      <c r="K45" s="1">
        <v>40330</v>
      </c>
      <c r="L45">
        <v>4255466989.4200001</v>
      </c>
      <c r="N45" s="1">
        <v>40330</v>
      </c>
      <c r="O45">
        <v>701407413.24000001</v>
      </c>
    </row>
    <row r="46" spans="2:15" x14ac:dyDescent="0.25">
      <c r="B46" s="1" t="s">
        <v>6</v>
      </c>
      <c r="C46" s="1">
        <v>37895</v>
      </c>
      <c r="D46">
        <v>19607994570.57</v>
      </c>
      <c r="E46">
        <v>3</v>
      </c>
      <c r="H46" s="1">
        <v>40360</v>
      </c>
      <c r="I46">
        <v>37058941299.720001</v>
      </c>
      <c r="K46" s="1">
        <v>40360</v>
      </c>
      <c r="L46">
        <v>7398138252.6400003</v>
      </c>
      <c r="N46" s="1">
        <v>40360</v>
      </c>
      <c r="O46">
        <v>526314688.00999999</v>
      </c>
    </row>
    <row r="47" spans="2:15" x14ac:dyDescent="0.25">
      <c r="B47" s="1" t="s">
        <v>7</v>
      </c>
      <c r="C47" s="1">
        <v>37895</v>
      </c>
      <c r="D47">
        <v>15233136435.33</v>
      </c>
      <c r="E47">
        <v>4</v>
      </c>
      <c r="H47" s="1">
        <v>40391</v>
      </c>
      <c r="I47">
        <v>38950467364.989998</v>
      </c>
      <c r="K47" s="1">
        <v>40391</v>
      </c>
      <c r="L47">
        <v>7511074364.2700005</v>
      </c>
      <c r="N47" s="1">
        <v>40391</v>
      </c>
      <c r="O47">
        <v>668984431.85000002</v>
      </c>
    </row>
    <row r="48" spans="2:15" x14ac:dyDescent="0.25">
      <c r="B48" s="1" t="s">
        <v>25</v>
      </c>
      <c r="C48" s="1">
        <v>37895</v>
      </c>
      <c r="D48">
        <v>8298069354.0699997</v>
      </c>
      <c r="E48">
        <v>5</v>
      </c>
      <c r="H48" s="1">
        <v>40422</v>
      </c>
      <c r="I48">
        <v>44231744040.459999</v>
      </c>
      <c r="K48" s="1">
        <v>40422</v>
      </c>
      <c r="L48">
        <v>9514071989.3199997</v>
      </c>
      <c r="N48" s="1">
        <v>40422</v>
      </c>
      <c r="O48">
        <v>1042608524.67</v>
      </c>
    </row>
    <row r="49" spans="2:15" x14ac:dyDescent="0.25">
      <c r="B49" s="1" t="s">
        <v>4</v>
      </c>
      <c r="C49" s="1">
        <v>37895</v>
      </c>
      <c r="D49">
        <v>5956711121.5</v>
      </c>
      <c r="E49">
        <v>6</v>
      </c>
      <c r="H49" s="1">
        <v>40452</v>
      </c>
      <c r="I49">
        <v>66478903663.989998</v>
      </c>
      <c r="K49" s="1">
        <v>40452</v>
      </c>
      <c r="L49">
        <v>11239609971.59</v>
      </c>
      <c r="N49" s="1">
        <v>40452</v>
      </c>
      <c r="O49">
        <v>1340838185.2</v>
      </c>
    </row>
    <row r="50" spans="2:15" x14ac:dyDescent="0.25">
      <c r="B50" s="1" t="s">
        <v>12</v>
      </c>
      <c r="C50" s="1">
        <v>37895</v>
      </c>
      <c r="D50">
        <v>3618514005.9400001</v>
      </c>
      <c r="E50">
        <v>7</v>
      </c>
      <c r="H50" s="1">
        <v>40483</v>
      </c>
      <c r="I50">
        <v>66148630556.470001</v>
      </c>
      <c r="K50" s="1">
        <v>40483</v>
      </c>
      <c r="L50">
        <v>14263271296.870001</v>
      </c>
      <c r="N50" s="1">
        <v>40483</v>
      </c>
      <c r="O50">
        <v>1494751501.72</v>
      </c>
    </row>
    <row r="51" spans="2:15" x14ac:dyDescent="0.25">
      <c r="B51" s="1" t="s">
        <v>13</v>
      </c>
      <c r="C51" s="1">
        <v>37895</v>
      </c>
      <c r="D51">
        <v>3106236145.0700002</v>
      </c>
      <c r="E51">
        <v>8</v>
      </c>
      <c r="H51" s="1">
        <v>40513</v>
      </c>
      <c r="I51">
        <v>69073769739.929993</v>
      </c>
      <c r="K51" s="1">
        <v>40513</v>
      </c>
      <c r="L51">
        <v>16380557214.389999</v>
      </c>
      <c r="N51" s="1">
        <v>40513</v>
      </c>
      <c r="O51">
        <v>1607350392.05</v>
      </c>
    </row>
    <row r="52" spans="2:15" x14ac:dyDescent="0.25">
      <c r="B52" s="1" t="s">
        <v>18</v>
      </c>
      <c r="C52" s="1">
        <v>37895</v>
      </c>
      <c r="D52">
        <v>2584077491.52</v>
      </c>
      <c r="E52">
        <v>9</v>
      </c>
      <c r="H52" s="1">
        <v>40544</v>
      </c>
      <c r="I52">
        <v>79153858723.479996</v>
      </c>
      <c r="K52" s="1">
        <v>40544</v>
      </c>
      <c r="L52">
        <v>17444293018.130001</v>
      </c>
      <c r="N52" s="1">
        <v>40544</v>
      </c>
      <c r="O52">
        <v>1869879274.6800001</v>
      </c>
    </row>
    <row r="53" spans="2:15" x14ac:dyDescent="0.25">
      <c r="B53" s="1" t="s">
        <v>57</v>
      </c>
      <c r="C53" s="1">
        <v>37895</v>
      </c>
      <c r="D53">
        <v>2423012172.8200002</v>
      </c>
      <c r="E53">
        <v>10</v>
      </c>
      <c r="H53" s="1">
        <v>40575</v>
      </c>
      <c r="I53">
        <v>63764397417.18</v>
      </c>
      <c r="K53" s="1">
        <v>40575</v>
      </c>
      <c r="L53">
        <v>11490900350.65</v>
      </c>
      <c r="N53" s="1">
        <v>40575</v>
      </c>
      <c r="O53">
        <v>1481460250.46</v>
      </c>
    </row>
    <row r="54" spans="2:15" x14ac:dyDescent="0.25">
      <c r="B54" s="1" t="s">
        <v>6</v>
      </c>
      <c r="C54" s="1">
        <v>37926</v>
      </c>
      <c r="D54">
        <v>14035831776.82</v>
      </c>
      <c r="E54">
        <v>1</v>
      </c>
      <c r="H54" s="1">
        <v>40603</v>
      </c>
      <c r="I54">
        <v>48877979273.129997</v>
      </c>
      <c r="K54" s="1">
        <v>40603</v>
      </c>
      <c r="L54">
        <v>7652424808.5900002</v>
      </c>
      <c r="N54" s="1">
        <v>40603</v>
      </c>
      <c r="O54">
        <v>1085385963.24</v>
      </c>
    </row>
    <row r="55" spans="2:15" x14ac:dyDescent="0.25">
      <c r="B55" s="1" t="s">
        <v>16</v>
      </c>
      <c r="C55" s="1">
        <v>37926</v>
      </c>
      <c r="D55">
        <v>13967974843.139999</v>
      </c>
      <c r="E55">
        <v>2</v>
      </c>
      <c r="H55" s="1">
        <v>40634</v>
      </c>
      <c r="I55">
        <v>50756307252.699997</v>
      </c>
      <c r="K55" s="1">
        <v>40634</v>
      </c>
      <c r="L55">
        <v>9394709143.4799995</v>
      </c>
      <c r="N55" s="1">
        <v>40634</v>
      </c>
      <c r="O55">
        <v>829446925.97000003</v>
      </c>
    </row>
    <row r="56" spans="2:15" x14ac:dyDescent="0.25">
      <c r="B56" s="1" t="s">
        <v>17</v>
      </c>
      <c r="C56" s="1">
        <v>37926</v>
      </c>
      <c r="D56">
        <v>11162561398.85</v>
      </c>
      <c r="E56">
        <v>3</v>
      </c>
      <c r="H56" s="1">
        <v>40664</v>
      </c>
      <c r="I56">
        <v>30805015553.650002</v>
      </c>
      <c r="K56" s="1">
        <v>40664</v>
      </c>
      <c r="L56">
        <v>5833468204.71</v>
      </c>
      <c r="N56" s="1">
        <v>40664</v>
      </c>
      <c r="O56">
        <v>591091643.78999996</v>
      </c>
    </row>
    <row r="57" spans="2:15" x14ac:dyDescent="0.25">
      <c r="B57" s="1" t="s">
        <v>7</v>
      </c>
      <c r="C57" s="1">
        <v>37926</v>
      </c>
      <c r="D57">
        <v>11145599480.370001</v>
      </c>
      <c r="E57">
        <v>4</v>
      </c>
      <c r="H57" s="1">
        <v>40695</v>
      </c>
      <c r="I57">
        <v>28676295277.299999</v>
      </c>
      <c r="K57" s="1">
        <v>40695</v>
      </c>
      <c r="L57">
        <v>5749274469.8800001</v>
      </c>
      <c r="N57" s="1">
        <v>40695</v>
      </c>
      <c r="O57">
        <v>614267708.50999999</v>
      </c>
    </row>
    <row r="58" spans="2:15" x14ac:dyDescent="0.25">
      <c r="B58" s="1" t="s">
        <v>25</v>
      </c>
      <c r="C58" s="1">
        <v>37926</v>
      </c>
      <c r="D58">
        <v>7145846167.6000004</v>
      </c>
      <c r="E58">
        <v>5</v>
      </c>
      <c r="H58" s="1">
        <v>40725</v>
      </c>
      <c r="I58">
        <v>32780042718.380001</v>
      </c>
      <c r="K58" s="1">
        <v>40725</v>
      </c>
      <c r="L58">
        <v>5857655726.2700005</v>
      </c>
      <c r="N58" s="1">
        <v>40725</v>
      </c>
      <c r="O58">
        <v>757313398.25999999</v>
      </c>
    </row>
    <row r="59" spans="2:15" x14ac:dyDescent="0.25">
      <c r="B59" s="1" t="s">
        <v>4</v>
      </c>
      <c r="C59" s="1">
        <v>37926</v>
      </c>
      <c r="D59">
        <v>5672773548.6700001</v>
      </c>
      <c r="E59">
        <v>6</v>
      </c>
      <c r="H59" s="1">
        <v>40756</v>
      </c>
      <c r="I59">
        <v>28164427848.759998</v>
      </c>
      <c r="K59" s="1">
        <v>40756</v>
      </c>
      <c r="L59">
        <v>6097501802.75</v>
      </c>
      <c r="N59" s="1">
        <v>40756</v>
      </c>
      <c r="O59">
        <v>648715819.03999996</v>
      </c>
    </row>
    <row r="60" spans="2:15" x14ac:dyDescent="0.25">
      <c r="B60" s="1" t="s">
        <v>13</v>
      </c>
      <c r="C60" s="1">
        <v>37926</v>
      </c>
      <c r="D60">
        <v>4312143095.29</v>
      </c>
      <c r="E60">
        <v>7</v>
      </c>
      <c r="H60" s="1">
        <v>40787</v>
      </c>
      <c r="I60">
        <v>35806727761.07</v>
      </c>
      <c r="K60" s="1">
        <v>40787</v>
      </c>
      <c r="L60">
        <v>8570383969.2799997</v>
      </c>
      <c r="N60" s="1">
        <v>40787</v>
      </c>
      <c r="O60">
        <v>738808001.14999998</v>
      </c>
    </row>
    <row r="61" spans="2:15" x14ac:dyDescent="0.25">
      <c r="B61" s="1" t="s">
        <v>9</v>
      </c>
      <c r="C61" s="1">
        <v>37926</v>
      </c>
      <c r="D61">
        <v>1885440241.96</v>
      </c>
      <c r="E61">
        <v>8</v>
      </c>
      <c r="H61" s="1">
        <v>40817</v>
      </c>
      <c r="I61">
        <v>43873920654.160004</v>
      </c>
      <c r="K61" s="1">
        <v>40817</v>
      </c>
      <c r="L61">
        <v>8222757284.5900002</v>
      </c>
      <c r="N61" s="1">
        <v>40817</v>
      </c>
      <c r="O61">
        <v>956590474.38</v>
      </c>
    </row>
    <row r="62" spans="2:15" x14ac:dyDescent="0.25">
      <c r="B62" s="1" t="s">
        <v>12</v>
      </c>
      <c r="C62" s="1">
        <v>37926</v>
      </c>
      <c r="D62">
        <v>1663051773.1099999</v>
      </c>
      <c r="E62">
        <v>9</v>
      </c>
      <c r="H62" s="1">
        <v>40848</v>
      </c>
      <c r="I62">
        <v>48753124897.230003</v>
      </c>
      <c r="K62" s="1">
        <v>40848</v>
      </c>
      <c r="L62">
        <v>12339709417.91</v>
      </c>
      <c r="N62" s="1">
        <v>40848</v>
      </c>
      <c r="O62">
        <v>1593261256.0899999</v>
      </c>
    </row>
    <row r="63" spans="2:15" x14ac:dyDescent="0.25">
      <c r="B63" s="1" t="s">
        <v>57</v>
      </c>
      <c r="C63" s="1">
        <v>37926</v>
      </c>
      <c r="D63">
        <v>1617063031.6199999</v>
      </c>
      <c r="E63">
        <v>10</v>
      </c>
      <c r="H63" s="1">
        <v>40878</v>
      </c>
      <c r="I63">
        <v>60317961040.480003</v>
      </c>
      <c r="K63" s="1">
        <v>40878</v>
      </c>
      <c r="L63">
        <v>12933874632.5</v>
      </c>
      <c r="N63" s="1">
        <v>40878</v>
      </c>
      <c r="O63">
        <v>2303398729.9200001</v>
      </c>
    </row>
    <row r="64" spans="2:15" x14ac:dyDescent="0.25">
      <c r="B64" s="1" t="s">
        <v>16</v>
      </c>
      <c r="C64" s="1">
        <v>37956</v>
      </c>
      <c r="D64">
        <v>11117075517.34</v>
      </c>
      <c r="E64">
        <v>1</v>
      </c>
      <c r="H64" s="1">
        <v>40909</v>
      </c>
      <c r="I64">
        <v>72548286074.940002</v>
      </c>
      <c r="K64" s="1">
        <v>40909</v>
      </c>
      <c r="L64">
        <v>16481604606.09</v>
      </c>
      <c r="N64" s="1">
        <v>40909</v>
      </c>
      <c r="O64">
        <v>1822022545.7</v>
      </c>
    </row>
    <row r="65" spans="2:15" x14ac:dyDescent="0.25">
      <c r="B65" s="1" t="s">
        <v>6</v>
      </c>
      <c r="C65" s="1">
        <v>37956</v>
      </c>
      <c r="D65">
        <v>10254546587</v>
      </c>
      <c r="E65">
        <v>2</v>
      </c>
      <c r="H65" s="1">
        <v>40940</v>
      </c>
      <c r="I65">
        <v>56058928986.629997</v>
      </c>
      <c r="K65" s="1">
        <v>40940</v>
      </c>
      <c r="L65">
        <v>14136133994.99</v>
      </c>
      <c r="N65" s="1">
        <v>40940</v>
      </c>
      <c r="O65">
        <v>2257480078.21</v>
      </c>
    </row>
    <row r="66" spans="2:15" x14ac:dyDescent="0.25">
      <c r="B66" s="1" t="s">
        <v>17</v>
      </c>
      <c r="C66" s="1">
        <v>37956</v>
      </c>
      <c r="D66">
        <v>9589883533.4500008</v>
      </c>
      <c r="E66">
        <v>3</v>
      </c>
      <c r="H66" s="1">
        <v>40969</v>
      </c>
      <c r="I66">
        <v>53815099982.089996</v>
      </c>
      <c r="K66" s="1">
        <v>40969</v>
      </c>
      <c r="L66">
        <v>14574301137.59</v>
      </c>
      <c r="N66" s="1">
        <v>40969</v>
      </c>
      <c r="O66">
        <v>1447607542.4300001</v>
      </c>
    </row>
    <row r="67" spans="2:15" x14ac:dyDescent="0.25">
      <c r="B67" s="1" t="s">
        <v>7</v>
      </c>
      <c r="C67" s="1">
        <v>37956</v>
      </c>
      <c r="D67">
        <v>8284866996.75</v>
      </c>
      <c r="E67">
        <v>4</v>
      </c>
      <c r="H67" s="1">
        <v>41000</v>
      </c>
      <c r="I67">
        <v>85338937021.710007</v>
      </c>
      <c r="K67" s="1">
        <v>41000</v>
      </c>
      <c r="L67">
        <v>15564169734.09</v>
      </c>
      <c r="N67" s="1">
        <v>41000</v>
      </c>
      <c r="O67">
        <v>2953526040.23</v>
      </c>
    </row>
    <row r="68" spans="2:15" x14ac:dyDescent="0.25">
      <c r="B68" s="1" t="s">
        <v>4</v>
      </c>
      <c r="C68" s="1">
        <v>37956</v>
      </c>
      <c r="D68">
        <v>4786944474.4899998</v>
      </c>
      <c r="E68">
        <v>5</v>
      </c>
      <c r="H68" s="1">
        <v>41030</v>
      </c>
      <c r="I68">
        <v>45858172487.629997</v>
      </c>
      <c r="K68" s="1">
        <v>41030</v>
      </c>
      <c r="L68">
        <v>15200655634.24</v>
      </c>
      <c r="N68" s="1">
        <v>41030</v>
      </c>
      <c r="O68">
        <v>1245552918.52</v>
      </c>
    </row>
    <row r="69" spans="2:15" x14ac:dyDescent="0.25">
      <c r="B69" s="1" t="s">
        <v>25</v>
      </c>
      <c r="C69" s="1">
        <v>37956</v>
      </c>
      <c r="D69">
        <v>4320462524.4099998</v>
      </c>
      <c r="E69">
        <v>6</v>
      </c>
      <c r="H69" s="1">
        <v>41061</v>
      </c>
      <c r="I69">
        <v>64624114881.870003</v>
      </c>
      <c r="K69" s="1">
        <v>41061</v>
      </c>
      <c r="L69">
        <v>16743096910.440001</v>
      </c>
      <c r="N69" s="1">
        <v>41061</v>
      </c>
      <c r="O69">
        <v>1540553806.8800001</v>
      </c>
    </row>
    <row r="70" spans="2:15" x14ac:dyDescent="0.25">
      <c r="B70" s="1" t="s">
        <v>57</v>
      </c>
      <c r="C70" s="1">
        <v>37956</v>
      </c>
      <c r="D70">
        <v>1782826073.9200001</v>
      </c>
      <c r="E70">
        <v>7</v>
      </c>
      <c r="H70" s="1">
        <v>41091</v>
      </c>
      <c r="I70">
        <v>64031205593.419998</v>
      </c>
      <c r="K70" s="1">
        <v>41091</v>
      </c>
      <c r="L70">
        <v>18490738170.709999</v>
      </c>
      <c r="N70" s="1">
        <v>41091</v>
      </c>
      <c r="O70">
        <v>2089196644.4200001</v>
      </c>
    </row>
    <row r="71" spans="2:15" x14ac:dyDescent="0.25">
      <c r="B71" s="1" t="s">
        <v>12</v>
      </c>
      <c r="C71" s="1">
        <v>37956</v>
      </c>
      <c r="D71">
        <v>1667103888.1500001</v>
      </c>
      <c r="E71">
        <v>8</v>
      </c>
      <c r="H71" s="1">
        <v>41122</v>
      </c>
      <c r="I71">
        <v>70029025970.190002</v>
      </c>
      <c r="K71" s="1">
        <v>41122</v>
      </c>
      <c r="L71">
        <v>19497067174.220001</v>
      </c>
      <c r="N71" s="1">
        <v>41122</v>
      </c>
      <c r="O71">
        <v>2184176355.4499998</v>
      </c>
    </row>
    <row r="72" spans="2:15" x14ac:dyDescent="0.25">
      <c r="B72" s="1" t="s">
        <v>13</v>
      </c>
      <c r="C72" s="1">
        <v>37956</v>
      </c>
      <c r="D72">
        <v>1531991100.9300001</v>
      </c>
      <c r="E72">
        <v>9</v>
      </c>
      <c r="H72" s="1">
        <v>41153</v>
      </c>
      <c r="I72">
        <v>78101172544.710007</v>
      </c>
      <c r="K72" s="1">
        <v>41153</v>
      </c>
      <c r="L72">
        <v>22876874384.77</v>
      </c>
      <c r="N72" s="1">
        <v>41153</v>
      </c>
      <c r="O72">
        <v>2621325386.98</v>
      </c>
    </row>
    <row r="73" spans="2:15" x14ac:dyDescent="0.25">
      <c r="B73" s="1" t="s">
        <v>9</v>
      </c>
      <c r="C73" s="1">
        <v>37956</v>
      </c>
      <c r="D73">
        <v>1527950917.3199999</v>
      </c>
      <c r="E73">
        <v>10</v>
      </c>
      <c r="H73" s="1">
        <v>41183</v>
      </c>
      <c r="I73">
        <v>82853256609.399994</v>
      </c>
      <c r="K73" s="1">
        <v>41183</v>
      </c>
      <c r="L73">
        <v>24895027083.639999</v>
      </c>
      <c r="N73" s="1">
        <v>41183</v>
      </c>
      <c r="O73">
        <v>2632400688.9699998</v>
      </c>
    </row>
    <row r="74" spans="2:15" x14ac:dyDescent="0.25">
      <c r="B74" s="1" t="s">
        <v>6</v>
      </c>
      <c r="C74" s="1">
        <v>37987</v>
      </c>
      <c r="D74">
        <v>13196343605.73</v>
      </c>
      <c r="E74">
        <v>1</v>
      </c>
      <c r="H74" s="1">
        <v>41214</v>
      </c>
      <c r="I74">
        <v>59855355813.010002</v>
      </c>
      <c r="K74" s="1">
        <v>41214</v>
      </c>
      <c r="L74">
        <v>13041567478.99</v>
      </c>
      <c r="N74" s="1">
        <v>41214</v>
      </c>
      <c r="O74">
        <v>1969884029.05</v>
      </c>
    </row>
    <row r="75" spans="2:15" x14ac:dyDescent="0.25">
      <c r="B75" s="1" t="s">
        <v>7</v>
      </c>
      <c r="C75" s="1">
        <v>37987</v>
      </c>
      <c r="D75">
        <v>11409757594.76</v>
      </c>
      <c r="E75">
        <v>2</v>
      </c>
      <c r="H75" s="1">
        <v>41244</v>
      </c>
      <c r="I75">
        <v>105127205844.42999</v>
      </c>
      <c r="K75" s="1">
        <v>41244</v>
      </c>
      <c r="L75">
        <v>37186920455.010002</v>
      </c>
      <c r="N75" s="1">
        <v>41244</v>
      </c>
      <c r="O75">
        <v>3221286266.1399999</v>
      </c>
    </row>
    <row r="76" spans="2:15" x14ac:dyDescent="0.25">
      <c r="B76" s="1" t="s">
        <v>16</v>
      </c>
      <c r="C76" s="1">
        <v>37987</v>
      </c>
      <c r="D76">
        <v>9311164762.7999992</v>
      </c>
      <c r="E76">
        <v>3</v>
      </c>
      <c r="H76" s="1">
        <v>41275</v>
      </c>
      <c r="I76">
        <v>65639534877.540001</v>
      </c>
      <c r="K76" s="1">
        <v>41275</v>
      </c>
      <c r="L76">
        <v>27443376640.200001</v>
      </c>
      <c r="N76" s="1">
        <v>41275</v>
      </c>
      <c r="O76">
        <v>1423282594.6900001</v>
      </c>
    </row>
    <row r="77" spans="2:15" x14ac:dyDescent="0.25">
      <c r="B77" s="1" t="s">
        <v>17</v>
      </c>
      <c r="C77" s="1">
        <v>37987</v>
      </c>
      <c r="D77">
        <v>8617995788.6800003</v>
      </c>
      <c r="E77">
        <v>4</v>
      </c>
      <c r="H77" s="1">
        <v>41306</v>
      </c>
      <c r="I77">
        <v>83795259138.630005</v>
      </c>
      <c r="K77" s="1">
        <v>41306</v>
      </c>
      <c r="L77">
        <v>28358709079.119999</v>
      </c>
      <c r="N77" s="1">
        <v>41306</v>
      </c>
      <c r="O77">
        <v>2283134573.5300002</v>
      </c>
    </row>
    <row r="78" spans="2:15" x14ac:dyDescent="0.25">
      <c r="B78" s="1" t="s">
        <v>25</v>
      </c>
      <c r="C78" s="1">
        <v>37987</v>
      </c>
      <c r="D78">
        <v>3151419601.3600001</v>
      </c>
      <c r="E78">
        <v>5</v>
      </c>
      <c r="H78" s="1">
        <v>41334</v>
      </c>
      <c r="I78">
        <v>75678490996.460007</v>
      </c>
      <c r="K78" s="1">
        <v>41334</v>
      </c>
      <c r="L78">
        <v>21016931411.259998</v>
      </c>
      <c r="N78" s="1">
        <v>41334</v>
      </c>
      <c r="O78">
        <v>1853862175.5699999</v>
      </c>
    </row>
    <row r="79" spans="2:15" x14ac:dyDescent="0.25">
      <c r="B79" s="1" t="s">
        <v>13</v>
      </c>
      <c r="C79" s="1">
        <v>37987</v>
      </c>
      <c r="D79">
        <v>2478144609.0799999</v>
      </c>
      <c r="E79">
        <v>6</v>
      </c>
      <c r="H79" s="1">
        <v>41365</v>
      </c>
      <c r="I79">
        <v>65489883342.510002</v>
      </c>
      <c r="K79" s="1">
        <v>41365</v>
      </c>
      <c r="L79">
        <v>21972503329.41</v>
      </c>
      <c r="N79" s="1">
        <v>41365</v>
      </c>
      <c r="O79">
        <v>1707781437.2</v>
      </c>
    </row>
    <row r="80" spans="2:15" x14ac:dyDescent="0.25">
      <c r="B80" s="1" t="s">
        <v>4</v>
      </c>
      <c r="C80" s="1">
        <v>37987</v>
      </c>
      <c r="D80">
        <v>2334610514.6199999</v>
      </c>
      <c r="E80">
        <v>7</v>
      </c>
      <c r="H80" s="1">
        <v>41395</v>
      </c>
      <c r="I80">
        <v>71783179195.610001</v>
      </c>
      <c r="K80" s="1">
        <v>41395</v>
      </c>
      <c r="L80">
        <v>21696546357.110001</v>
      </c>
      <c r="N80" s="1">
        <v>41395</v>
      </c>
      <c r="O80">
        <v>2167430489.98</v>
      </c>
    </row>
    <row r="81" spans="2:15" x14ac:dyDescent="0.25">
      <c r="B81" s="1" t="s">
        <v>12</v>
      </c>
      <c r="C81" s="1">
        <v>37987</v>
      </c>
      <c r="D81">
        <v>1254293674.6300001</v>
      </c>
      <c r="E81">
        <v>8</v>
      </c>
      <c r="H81" s="1">
        <v>41426</v>
      </c>
      <c r="I81">
        <v>71962352414.850006</v>
      </c>
      <c r="K81" s="1">
        <v>41426</v>
      </c>
      <c r="L81">
        <v>22199417142.48</v>
      </c>
      <c r="N81" s="1">
        <v>41426</v>
      </c>
      <c r="O81">
        <v>1785740932.23</v>
      </c>
    </row>
    <row r="82" spans="2:15" x14ac:dyDescent="0.25">
      <c r="B82" s="1" t="s">
        <v>98</v>
      </c>
      <c r="C82" s="1">
        <v>37987</v>
      </c>
      <c r="D82">
        <v>1084814450.73</v>
      </c>
      <c r="E82">
        <v>9</v>
      </c>
      <c r="H82" s="1">
        <v>41456</v>
      </c>
      <c r="I82">
        <v>65362029192.18</v>
      </c>
      <c r="K82" s="1">
        <v>41456</v>
      </c>
      <c r="L82">
        <v>19210507021.110001</v>
      </c>
      <c r="N82" s="1">
        <v>41456</v>
      </c>
      <c r="O82">
        <v>2166891536.6399999</v>
      </c>
    </row>
    <row r="83" spans="2:15" x14ac:dyDescent="0.25">
      <c r="B83" s="1" t="s">
        <v>9</v>
      </c>
      <c r="C83" s="1">
        <v>37987</v>
      </c>
      <c r="D83">
        <v>980747613.04999995</v>
      </c>
      <c r="E83">
        <v>10</v>
      </c>
      <c r="H83" s="1">
        <v>41487</v>
      </c>
      <c r="I83">
        <v>70737725860.339996</v>
      </c>
      <c r="K83" s="1">
        <v>41487</v>
      </c>
      <c r="L83">
        <v>21283813715.68</v>
      </c>
      <c r="N83" s="1">
        <v>41487</v>
      </c>
      <c r="O83">
        <v>2292046134.2399998</v>
      </c>
    </row>
    <row r="84" spans="2:15" x14ac:dyDescent="0.25">
      <c r="B84" s="1" t="s">
        <v>6</v>
      </c>
      <c r="C84" s="1">
        <v>38018</v>
      </c>
      <c r="D84">
        <v>11231015625.76</v>
      </c>
      <c r="E84">
        <v>1</v>
      </c>
      <c r="H84" s="1">
        <v>41518</v>
      </c>
      <c r="I84">
        <v>63694656425.440002</v>
      </c>
      <c r="K84" s="1">
        <v>41518</v>
      </c>
      <c r="L84">
        <v>18067551518.43</v>
      </c>
      <c r="N84" s="1">
        <v>41518</v>
      </c>
      <c r="O84">
        <v>1691558930.4300001</v>
      </c>
    </row>
    <row r="85" spans="2:15" x14ac:dyDescent="0.25">
      <c r="B85" s="1" t="s">
        <v>7</v>
      </c>
      <c r="C85" s="1">
        <v>38018</v>
      </c>
      <c r="D85">
        <v>9452100315.2600002</v>
      </c>
      <c r="E85">
        <v>2</v>
      </c>
      <c r="H85" s="1">
        <v>41548</v>
      </c>
      <c r="I85">
        <v>51117895079.279999</v>
      </c>
      <c r="K85" s="1">
        <v>41548</v>
      </c>
      <c r="L85">
        <v>14225597347.620001</v>
      </c>
      <c r="N85" s="1">
        <v>41548</v>
      </c>
      <c r="O85">
        <v>1368985059.04</v>
      </c>
    </row>
    <row r="86" spans="2:15" x14ac:dyDescent="0.25">
      <c r="B86" s="1" t="s">
        <v>16</v>
      </c>
      <c r="C86" s="1">
        <v>38018</v>
      </c>
      <c r="D86">
        <v>4530064544.6499996</v>
      </c>
      <c r="E86">
        <v>3</v>
      </c>
      <c r="H86" s="1">
        <v>41579</v>
      </c>
      <c r="I86">
        <v>45895739831.089996</v>
      </c>
      <c r="K86" s="1">
        <v>41579</v>
      </c>
      <c r="L86">
        <v>15678517420.42</v>
      </c>
      <c r="N86" s="1">
        <v>41579</v>
      </c>
      <c r="O86">
        <v>953042554.79999995</v>
      </c>
    </row>
    <row r="87" spans="2:15" x14ac:dyDescent="0.25">
      <c r="B87" s="1" t="s">
        <v>17</v>
      </c>
      <c r="C87" s="1">
        <v>38018</v>
      </c>
      <c r="D87">
        <v>4417879288.3599997</v>
      </c>
      <c r="E87">
        <v>4</v>
      </c>
      <c r="H87" s="1">
        <v>41609</v>
      </c>
      <c r="I87">
        <v>37273656807.68</v>
      </c>
      <c r="K87" s="1">
        <v>41609</v>
      </c>
      <c r="L87">
        <v>11069607939.91</v>
      </c>
      <c r="N87" s="1">
        <v>41609</v>
      </c>
      <c r="O87">
        <v>889724629.33000004</v>
      </c>
    </row>
    <row r="88" spans="2:15" x14ac:dyDescent="0.25">
      <c r="B88" s="1" t="s">
        <v>4</v>
      </c>
      <c r="C88" s="1">
        <v>38018</v>
      </c>
      <c r="D88">
        <v>2368138219.3200002</v>
      </c>
      <c r="E88">
        <v>5</v>
      </c>
      <c r="H88" s="1">
        <v>41640</v>
      </c>
      <c r="I88">
        <v>36772692491.720001</v>
      </c>
      <c r="K88" s="1">
        <v>41640</v>
      </c>
      <c r="L88">
        <v>15492498245.49</v>
      </c>
      <c r="N88" s="1">
        <v>41640</v>
      </c>
      <c r="O88">
        <v>682224095.88999999</v>
      </c>
    </row>
    <row r="89" spans="2:15" x14ac:dyDescent="0.25">
      <c r="B89" s="1" t="s">
        <v>25</v>
      </c>
      <c r="C89" s="1">
        <v>38018</v>
      </c>
      <c r="D89">
        <v>2100740735.3499999</v>
      </c>
      <c r="E89">
        <v>6</v>
      </c>
      <c r="H89" s="1">
        <v>41671</v>
      </c>
      <c r="I89">
        <v>27279227748.369999</v>
      </c>
      <c r="K89" s="1">
        <v>41671</v>
      </c>
      <c r="L89">
        <v>10905734407.190001</v>
      </c>
      <c r="N89" s="1">
        <v>41671</v>
      </c>
      <c r="O89">
        <v>656304826.80999994</v>
      </c>
    </row>
    <row r="90" spans="2:15" x14ac:dyDescent="0.25">
      <c r="B90" s="1" t="s">
        <v>13</v>
      </c>
      <c r="C90" s="1">
        <v>38018</v>
      </c>
      <c r="D90">
        <v>1872089561.9200001</v>
      </c>
      <c r="E90">
        <v>7</v>
      </c>
      <c r="H90" s="1">
        <v>41699</v>
      </c>
      <c r="I90">
        <v>26678236242.540001</v>
      </c>
      <c r="K90" s="1">
        <v>41699</v>
      </c>
      <c r="L90">
        <v>9006227464.5200005</v>
      </c>
      <c r="N90" s="1">
        <v>41699</v>
      </c>
      <c r="O90">
        <v>682995391.41999996</v>
      </c>
    </row>
    <row r="91" spans="2:15" x14ac:dyDescent="0.25">
      <c r="B91" s="1" t="s">
        <v>12</v>
      </c>
      <c r="C91" s="1">
        <v>38018</v>
      </c>
      <c r="D91">
        <v>1616933411.3</v>
      </c>
      <c r="E91">
        <v>8</v>
      </c>
      <c r="H91" s="1">
        <v>41730</v>
      </c>
      <c r="I91">
        <v>22770371557.509998</v>
      </c>
      <c r="K91" s="1">
        <v>41730</v>
      </c>
      <c r="L91">
        <v>9228070670.6800003</v>
      </c>
      <c r="N91" s="1">
        <v>41730</v>
      </c>
      <c r="O91">
        <v>539502272.57000005</v>
      </c>
    </row>
    <row r="92" spans="2:15" x14ac:dyDescent="0.25">
      <c r="B92" s="1" t="s">
        <v>31</v>
      </c>
      <c r="C92" s="1">
        <v>38018</v>
      </c>
      <c r="D92">
        <v>1147507516.5799999</v>
      </c>
      <c r="E92">
        <v>9</v>
      </c>
      <c r="H92" s="1">
        <v>41760</v>
      </c>
      <c r="I92">
        <v>26290450001.990002</v>
      </c>
      <c r="K92" s="1">
        <v>41760</v>
      </c>
      <c r="L92">
        <v>9943731080.6599998</v>
      </c>
      <c r="N92" s="1">
        <v>41760</v>
      </c>
      <c r="O92">
        <v>784392049.47000003</v>
      </c>
    </row>
    <row r="93" spans="2:15" x14ac:dyDescent="0.25">
      <c r="B93" s="1" t="s">
        <v>57</v>
      </c>
      <c r="C93" s="1">
        <v>38018</v>
      </c>
      <c r="D93">
        <v>1102545266.3</v>
      </c>
      <c r="E93">
        <v>10</v>
      </c>
      <c r="H93" s="1">
        <v>41791</v>
      </c>
      <c r="I93">
        <v>26795968721.740002</v>
      </c>
      <c r="K93" s="1">
        <v>41791</v>
      </c>
      <c r="L93">
        <v>11280710955.59</v>
      </c>
      <c r="N93" s="1">
        <v>41791</v>
      </c>
      <c r="O93">
        <v>795592961.65999997</v>
      </c>
    </row>
    <row r="94" spans="2:15" x14ac:dyDescent="0.25">
      <c r="B94" s="1" t="s">
        <v>6</v>
      </c>
      <c r="C94" s="1">
        <v>38047</v>
      </c>
      <c r="D94">
        <v>12648473634.91</v>
      </c>
      <c r="E94">
        <v>1</v>
      </c>
      <c r="H94" s="1">
        <v>41821</v>
      </c>
      <c r="I94">
        <v>30892195848.830002</v>
      </c>
      <c r="K94" s="1">
        <v>41821</v>
      </c>
      <c r="L94">
        <v>12840798608.01</v>
      </c>
      <c r="N94" s="1">
        <v>41821</v>
      </c>
      <c r="O94">
        <v>714415679.88</v>
      </c>
    </row>
    <row r="95" spans="2:15" x14ac:dyDescent="0.25">
      <c r="B95" s="1" t="s">
        <v>7</v>
      </c>
      <c r="C95" s="1">
        <v>38047</v>
      </c>
      <c r="D95">
        <v>11307603614.940001</v>
      </c>
      <c r="E95">
        <v>2</v>
      </c>
      <c r="H95" s="1">
        <v>41852</v>
      </c>
      <c r="I95">
        <v>35541456256.889999</v>
      </c>
      <c r="K95" s="1">
        <v>41852</v>
      </c>
      <c r="L95">
        <v>15576559728.469999</v>
      </c>
      <c r="N95" s="1">
        <v>41852</v>
      </c>
      <c r="O95">
        <v>766180521.16999996</v>
      </c>
    </row>
    <row r="96" spans="2:15" x14ac:dyDescent="0.25">
      <c r="B96" s="1" t="s">
        <v>16</v>
      </c>
      <c r="C96" s="1">
        <v>38047</v>
      </c>
      <c r="D96">
        <v>3475012158.8600001</v>
      </c>
      <c r="E96">
        <v>3</v>
      </c>
      <c r="H96" s="1">
        <v>41883</v>
      </c>
      <c r="I96">
        <v>33356083132.919998</v>
      </c>
      <c r="K96" s="1">
        <v>41883</v>
      </c>
      <c r="L96">
        <v>14087004899.709999</v>
      </c>
      <c r="N96" s="1">
        <v>41883</v>
      </c>
      <c r="O96">
        <v>693663556.71000004</v>
      </c>
    </row>
    <row r="97" spans="2:15" x14ac:dyDescent="0.25">
      <c r="B97" s="1" t="s">
        <v>17</v>
      </c>
      <c r="C97" s="1">
        <v>38047</v>
      </c>
      <c r="D97">
        <v>3105251049.5100002</v>
      </c>
      <c r="E97">
        <v>4</v>
      </c>
      <c r="H97" s="1">
        <v>41913</v>
      </c>
      <c r="I97">
        <v>39426526391.220001</v>
      </c>
      <c r="K97" s="1">
        <v>41913</v>
      </c>
      <c r="L97">
        <v>13119687804.309999</v>
      </c>
      <c r="N97" s="1">
        <v>41913</v>
      </c>
      <c r="O97">
        <v>757494824.39999998</v>
      </c>
    </row>
    <row r="98" spans="2:15" x14ac:dyDescent="0.25">
      <c r="B98" s="1" t="s">
        <v>13</v>
      </c>
      <c r="C98" s="1">
        <v>38047</v>
      </c>
      <c r="D98">
        <v>2600310060.71</v>
      </c>
      <c r="E98">
        <v>5</v>
      </c>
      <c r="H98" s="1">
        <v>41944</v>
      </c>
      <c r="I98">
        <v>38810259856.690002</v>
      </c>
      <c r="K98" s="1">
        <v>41944</v>
      </c>
      <c r="L98">
        <v>17933393094.610001</v>
      </c>
      <c r="N98" s="1">
        <v>41944</v>
      </c>
      <c r="O98">
        <v>755662317.37</v>
      </c>
    </row>
    <row r="99" spans="2:15" x14ac:dyDescent="0.25">
      <c r="B99" s="1" t="s">
        <v>4</v>
      </c>
      <c r="C99" s="1">
        <v>38047</v>
      </c>
      <c r="D99">
        <v>2487358580.54</v>
      </c>
      <c r="E99">
        <v>6</v>
      </c>
      <c r="H99" s="1">
        <v>41974</v>
      </c>
      <c r="I99">
        <v>31524018987.950001</v>
      </c>
      <c r="K99" s="1">
        <v>41974</v>
      </c>
      <c r="L99">
        <v>6826393495</v>
      </c>
      <c r="N99" s="1">
        <v>41974</v>
      </c>
      <c r="O99">
        <v>784810724.87</v>
      </c>
    </row>
    <row r="100" spans="2:15" x14ac:dyDescent="0.25">
      <c r="B100" s="1" t="s">
        <v>25</v>
      </c>
      <c r="C100" s="1">
        <v>38047</v>
      </c>
      <c r="D100">
        <v>1435016521.97</v>
      </c>
      <c r="E100">
        <v>7</v>
      </c>
      <c r="H100" s="1">
        <v>42005</v>
      </c>
      <c r="I100">
        <v>43458210964.160004</v>
      </c>
      <c r="K100" s="1">
        <v>42005</v>
      </c>
      <c r="L100">
        <v>22766112030.75</v>
      </c>
      <c r="N100" s="1">
        <v>42005</v>
      </c>
      <c r="O100">
        <v>993991215.26999998</v>
      </c>
    </row>
    <row r="101" spans="2:15" x14ac:dyDescent="0.25">
      <c r="B101" s="1" t="s">
        <v>12</v>
      </c>
      <c r="C101" s="1">
        <v>38047</v>
      </c>
      <c r="D101">
        <v>1294632427.0599999</v>
      </c>
      <c r="E101">
        <v>8</v>
      </c>
      <c r="H101" s="1">
        <v>42036</v>
      </c>
      <c r="I101">
        <v>35989324161.910004</v>
      </c>
      <c r="K101" s="1">
        <v>42036</v>
      </c>
      <c r="L101">
        <v>13043428717.370001</v>
      </c>
      <c r="N101" s="1">
        <v>42036</v>
      </c>
      <c r="O101">
        <v>923852995.29999995</v>
      </c>
    </row>
    <row r="102" spans="2:15" x14ac:dyDescent="0.25">
      <c r="B102" s="1" t="s">
        <v>57</v>
      </c>
      <c r="C102" s="1">
        <v>38047</v>
      </c>
      <c r="D102">
        <v>979260156.20000005</v>
      </c>
      <c r="E102">
        <v>9</v>
      </c>
      <c r="H102" s="1">
        <v>42064</v>
      </c>
      <c r="I102">
        <v>35738947030.139999</v>
      </c>
      <c r="K102" s="1">
        <v>42064</v>
      </c>
      <c r="L102">
        <v>14718339614.48</v>
      </c>
      <c r="N102" s="1">
        <v>42064</v>
      </c>
      <c r="O102">
        <v>986969341.98000002</v>
      </c>
    </row>
    <row r="103" spans="2:15" x14ac:dyDescent="0.25">
      <c r="B103" s="1" t="s">
        <v>9</v>
      </c>
      <c r="C103" s="1">
        <v>38047</v>
      </c>
      <c r="D103">
        <v>726244089.71000004</v>
      </c>
      <c r="E103">
        <v>10</v>
      </c>
      <c r="H103" s="1"/>
    </row>
    <row r="104" spans="2:15" x14ac:dyDescent="0.25">
      <c r="B104" s="1" t="s">
        <v>6</v>
      </c>
      <c r="C104" s="1">
        <v>38078</v>
      </c>
      <c r="D104">
        <v>13767718999.52</v>
      </c>
      <c r="E104">
        <v>1</v>
      </c>
      <c r="H104" s="1"/>
    </row>
    <row r="105" spans="2:15" x14ac:dyDescent="0.25">
      <c r="B105" s="1" t="s">
        <v>7</v>
      </c>
      <c r="C105" s="1">
        <v>38078</v>
      </c>
      <c r="D105">
        <v>11373820582.950001</v>
      </c>
      <c r="E105">
        <v>2</v>
      </c>
      <c r="H105" s="1"/>
    </row>
    <row r="106" spans="2:15" x14ac:dyDescent="0.25">
      <c r="B106" s="1" t="s">
        <v>4</v>
      </c>
      <c r="C106" s="1">
        <v>38078</v>
      </c>
      <c r="D106">
        <v>2284894619.5900002</v>
      </c>
      <c r="E106">
        <v>3</v>
      </c>
      <c r="H106" s="1"/>
    </row>
    <row r="107" spans="2:15" x14ac:dyDescent="0.25">
      <c r="B107" s="1" t="s">
        <v>25</v>
      </c>
      <c r="C107" s="1">
        <v>38078</v>
      </c>
      <c r="D107">
        <v>2008197969.97</v>
      </c>
      <c r="E107">
        <v>4</v>
      </c>
      <c r="H107" s="1"/>
    </row>
    <row r="108" spans="2:15" x14ac:dyDescent="0.25">
      <c r="B108" s="1" t="s">
        <v>16</v>
      </c>
      <c r="C108" s="1">
        <v>38078</v>
      </c>
      <c r="D108">
        <v>1849033628.73</v>
      </c>
      <c r="E108">
        <v>5</v>
      </c>
      <c r="H108" s="1"/>
    </row>
    <row r="109" spans="2:15" x14ac:dyDescent="0.25">
      <c r="B109" s="1" t="s">
        <v>12</v>
      </c>
      <c r="C109" s="1">
        <v>38078</v>
      </c>
      <c r="D109">
        <v>1302384256.4400001</v>
      </c>
      <c r="E109">
        <v>6</v>
      </c>
      <c r="H109" s="1"/>
    </row>
    <row r="110" spans="2:15" x14ac:dyDescent="0.25">
      <c r="B110" s="1" t="s">
        <v>13</v>
      </c>
      <c r="C110" s="1">
        <v>38078</v>
      </c>
      <c r="D110">
        <v>1154919820.49</v>
      </c>
      <c r="E110">
        <v>7</v>
      </c>
      <c r="H110" s="1"/>
    </row>
    <row r="111" spans="2:15" x14ac:dyDescent="0.25">
      <c r="B111" s="1" t="s">
        <v>17</v>
      </c>
      <c r="C111" s="1">
        <v>38078</v>
      </c>
      <c r="D111">
        <v>1116001703.6800001</v>
      </c>
      <c r="E111">
        <v>8</v>
      </c>
      <c r="H111" s="1"/>
    </row>
    <row r="112" spans="2:15" x14ac:dyDescent="0.25">
      <c r="B112" s="1" t="s">
        <v>9</v>
      </c>
      <c r="C112" s="1">
        <v>38078</v>
      </c>
      <c r="D112">
        <v>771109081.96000004</v>
      </c>
      <c r="E112">
        <v>9</v>
      </c>
      <c r="H112" s="1"/>
    </row>
    <row r="113" spans="2:8" x14ac:dyDescent="0.25">
      <c r="B113" s="1" t="s">
        <v>18</v>
      </c>
      <c r="C113" s="1">
        <v>38078</v>
      </c>
      <c r="D113">
        <v>758406395.63999999</v>
      </c>
      <c r="E113">
        <v>10</v>
      </c>
      <c r="H113" s="1"/>
    </row>
    <row r="114" spans="2:8" x14ac:dyDescent="0.25">
      <c r="B114" s="1" t="s">
        <v>6</v>
      </c>
      <c r="C114" s="1">
        <v>38108</v>
      </c>
      <c r="D114">
        <v>16189427785.290001</v>
      </c>
      <c r="E114">
        <v>1</v>
      </c>
      <c r="H114" s="1"/>
    </row>
    <row r="115" spans="2:8" x14ac:dyDescent="0.25">
      <c r="B115" s="1" t="s">
        <v>7</v>
      </c>
      <c r="C115" s="1">
        <v>38108</v>
      </c>
      <c r="D115">
        <v>11452206892.49</v>
      </c>
      <c r="E115">
        <v>2</v>
      </c>
      <c r="H115" s="1"/>
    </row>
    <row r="116" spans="2:8" x14ac:dyDescent="0.25">
      <c r="B116" s="1" t="s">
        <v>16</v>
      </c>
      <c r="C116" s="1">
        <v>38108</v>
      </c>
      <c r="D116">
        <v>9504942509.5300007</v>
      </c>
      <c r="E116">
        <v>3</v>
      </c>
      <c r="H116" s="1"/>
    </row>
    <row r="117" spans="2:8" x14ac:dyDescent="0.25">
      <c r="B117" s="1" t="s">
        <v>17</v>
      </c>
      <c r="C117" s="1">
        <v>38108</v>
      </c>
      <c r="D117">
        <v>8971864064.2900009</v>
      </c>
      <c r="E117">
        <v>4</v>
      </c>
      <c r="H117" s="1"/>
    </row>
    <row r="118" spans="2:8" x14ac:dyDescent="0.25">
      <c r="B118" s="1" t="s">
        <v>4</v>
      </c>
      <c r="C118" s="1">
        <v>38108</v>
      </c>
      <c r="D118">
        <v>3285032961.6599998</v>
      </c>
      <c r="E118">
        <v>5</v>
      </c>
      <c r="H118" s="1"/>
    </row>
    <row r="119" spans="2:8" x14ac:dyDescent="0.25">
      <c r="B119" s="1" t="s">
        <v>12</v>
      </c>
      <c r="C119" s="1">
        <v>38108</v>
      </c>
      <c r="D119">
        <v>1595357433.5999999</v>
      </c>
      <c r="E119">
        <v>6</v>
      </c>
      <c r="H119" s="1"/>
    </row>
    <row r="120" spans="2:8" x14ac:dyDescent="0.25">
      <c r="B120" s="1" t="s">
        <v>25</v>
      </c>
      <c r="C120" s="1">
        <v>38108</v>
      </c>
      <c r="D120">
        <v>1453780757.1600001</v>
      </c>
      <c r="E120">
        <v>7</v>
      </c>
      <c r="H120" s="1"/>
    </row>
    <row r="121" spans="2:8" x14ac:dyDescent="0.25">
      <c r="B121" s="1" t="s">
        <v>18</v>
      </c>
      <c r="C121" s="1">
        <v>38108</v>
      </c>
      <c r="D121">
        <v>1051966876.52</v>
      </c>
      <c r="E121">
        <v>8</v>
      </c>
      <c r="H121" s="1"/>
    </row>
    <row r="122" spans="2:8" x14ac:dyDescent="0.25">
      <c r="B122" s="1" t="s">
        <v>57</v>
      </c>
      <c r="C122" s="1">
        <v>38108</v>
      </c>
      <c r="D122">
        <v>1041533333.22</v>
      </c>
      <c r="E122">
        <v>9</v>
      </c>
    </row>
    <row r="123" spans="2:8" x14ac:dyDescent="0.25">
      <c r="B123" s="1" t="s">
        <v>9</v>
      </c>
      <c r="C123" s="1">
        <v>38108</v>
      </c>
      <c r="D123">
        <v>991309388.50999999</v>
      </c>
      <c r="E123">
        <v>10</v>
      </c>
    </row>
    <row r="124" spans="2:8" x14ac:dyDescent="0.25">
      <c r="B124" s="1" t="s">
        <v>6</v>
      </c>
      <c r="C124" s="1">
        <v>38139</v>
      </c>
      <c r="D124">
        <v>15256199593.17</v>
      </c>
      <c r="E124">
        <v>1</v>
      </c>
    </row>
    <row r="125" spans="2:8" x14ac:dyDescent="0.25">
      <c r="B125" s="1" t="s">
        <v>7</v>
      </c>
      <c r="C125" s="1">
        <v>38139</v>
      </c>
      <c r="D125">
        <v>10261824878.860001</v>
      </c>
      <c r="E125">
        <v>2</v>
      </c>
    </row>
    <row r="126" spans="2:8" x14ac:dyDescent="0.25">
      <c r="B126" s="1" t="s">
        <v>16</v>
      </c>
      <c r="C126" s="1">
        <v>38139</v>
      </c>
      <c r="D126">
        <v>6706818586.9700003</v>
      </c>
      <c r="E126">
        <v>3</v>
      </c>
    </row>
    <row r="127" spans="2:8" x14ac:dyDescent="0.25">
      <c r="B127" s="1" t="s">
        <v>17</v>
      </c>
      <c r="C127" s="1">
        <v>38139</v>
      </c>
      <c r="D127">
        <v>5955115177.5200005</v>
      </c>
      <c r="E127">
        <v>4</v>
      </c>
    </row>
    <row r="128" spans="2:8" x14ac:dyDescent="0.25">
      <c r="B128" s="1" t="s">
        <v>4</v>
      </c>
      <c r="C128" s="1">
        <v>38139</v>
      </c>
      <c r="D128">
        <v>3529357478.5999999</v>
      </c>
      <c r="E128">
        <v>5</v>
      </c>
    </row>
    <row r="129" spans="2:5" x14ac:dyDescent="0.25">
      <c r="B129" s="1" t="s">
        <v>25</v>
      </c>
      <c r="C129" s="1">
        <v>38139</v>
      </c>
      <c r="D129">
        <v>2787328884.0300002</v>
      </c>
      <c r="E129">
        <v>6</v>
      </c>
    </row>
    <row r="130" spans="2:5" x14ac:dyDescent="0.25">
      <c r="B130" s="1" t="s">
        <v>12</v>
      </c>
      <c r="C130" s="1">
        <v>38139</v>
      </c>
      <c r="D130">
        <v>1965057030.0799999</v>
      </c>
      <c r="E130">
        <v>7</v>
      </c>
    </row>
    <row r="131" spans="2:5" x14ac:dyDescent="0.25">
      <c r="B131" s="1" t="s">
        <v>18</v>
      </c>
      <c r="C131" s="1">
        <v>38139</v>
      </c>
      <c r="D131">
        <v>1240838109.6500001</v>
      </c>
      <c r="E131">
        <v>8</v>
      </c>
    </row>
    <row r="132" spans="2:5" x14ac:dyDescent="0.25">
      <c r="B132" s="1" t="s">
        <v>9</v>
      </c>
      <c r="C132" s="1">
        <v>38139</v>
      </c>
      <c r="D132">
        <v>896114085.15999997</v>
      </c>
      <c r="E132">
        <v>9</v>
      </c>
    </row>
    <row r="133" spans="2:5" x14ac:dyDescent="0.25">
      <c r="B133" s="1" t="s">
        <v>57</v>
      </c>
      <c r="C133" s="1">
        <v>38139</v>
      </c>
      <c r="D133">
        <v>843678740.34000003</v>
      </c>
      <c r="E133">
        <v>10</v>
      </c>
    </row>
    <row r="134" spans="2:5" x14ac:dyDescent="0.25">
      <c r="B134" s="1" t="s">
        <v>6</v>
      </c>
      <c r="C134" s="1">
        <v>38169</v>
      </c>
      <c r="D134">
        <v>12407380467.74</v>
      </c>
      <c r="E134">
        <v>1</v>
      </c>
    </row>
    <row r="135" spans="2:5" x14ac:dyDescent="0.25">
      <c r="B135" s="1" t="s">
        <v>7</v>
      </c>
      <c r="C135" s="1">
        <v>38169</v>
      </c>
      <c r="D135">
        <v>9249527769.5100002</v>
      </c>
      <c r="E135">
        <v>2</v>
      </c>
    </row>
    <row r="136" spans="2:5" x14ac:dyDescent="0.25">
      <c r="B136" s="1" t="s">
        <v>16</v>
      </c>
      <c r="C136" s="1">
        <v>38169</v>
      </c>
      <c r="D136">
        <v>7396016245.1400003</v>
      </c>
      <c r="E136">
        <v>3</v>
      </c>
    </row>
    <row r="137" spans="2:5" x14ac:dyDescent="0.25">
      <c r="B137" s="1" t="s">
        <v>17</v>
      </c>
      <c r="C137" s="1">
        <v>38169</v>
      </c>
      <c r="D137">
        <v>5987766742.6999998</v>
      </c>
      <c r="E137">
        <v>4</v>
      </c>
    </row>
    <row r="138" spans="2:5" x14ac:dyDescent="0.25">
      <c r="B138" s="1" t="s">
        <v>4</v>
      </c>
      <c r="C138" s="1">
        <v>38169</v>
      </c>
      <c r="D138">
        <v>3503814389.2600002</v>
      </c>
      <c r="E138">
        <v>5</v>
      </c>
    </row>
    <row r="139" spans="2:5" x14ac:dyDescent="0.25">
      <c r="B139" s="1" t="s">
        <v>25</v>
      </c>
      <c r="C139" s="1">
        <v>38169</v>
      </c>
      <c r="D139">
        <v>2115295841.5</v>
      </c>
      <c r="E139">
        <v>6</v>
      </c>
    </row>
    <row r="140" spans="2:5" x14ac:dyDescent="0.25">
      <c r="B140" s="1" t="s">
        <v>13</v>
      </c>
      <c r="C140" s="1">
        <v>38169</v>
      </c>
      <c r="D140">
        <v>1597395760.1099999</v>
      </c>
      <c r="E140">
        <v>7</v>
      </c>
    </row>
    <row r="141" spans="2:5" x14ac:dyDescent="0.25">
      <c r="B141" s="1" t="s">
        <v>12</v>
      </c>
      <c r="C141" s="1">
        <v>38169</v>
      </c>
      <c r="D141">
        <v>1433903943.5799999</v>
      </c>
      <c r="E141">
        <v>8</v>
      </c>
    </row>
    <row r="142" spans="2:5" x14ac:dyDescent="0.25">
      <c r="B142" s="1" t="s">
        <v>9</v>
      </c>
      <c r="C142" s="1">
        <v>38169</v>
      </c>
      <c r="D142">
        <v>1210792209.96</v>
      </c>
      <c r="E142">
        <v>9</v>
      </c>
    </row>
    <row r="143" spans="2:5" x14ac:dyDescent="0.25">
      <c r="B143" s="1" t="s">
        <v>18</v>
      </c>
      <c r="C143" s="1">
        <v>38169</v>
      </c>
      <c r="D143">
        <v>949320265.55999994</v>
      </c>
      <c r="E143">
        <v>10</v>
      </c>
    </row>
    <row r="144" spans="2:5" x14ac:dyDescent="0.25">
      <c r="B144" s="1" t="s">
        <v>6</v>
      </c>
      <c r="C144" s="1">
        <v>38200</v>
      </c>
      <c r="D144">
        <v>9536604948.9400005</v>
      </c>
      <c r="E144">
        <v>1</v>
      </c>
    </row>
    <row r="145" spans="2:5" x14ac:dyDescent="0.25">
      <c r="B145" s="1" t="s">
        <v>7</v>
      </c>
      <c r="C145" s="1">
        <v>38200</v>
      </c>
      <c r="D145">
        <v>7770091037.8599997</v>
      </c>
      <c r="E145">
        <v>2</v>
      </c>
    </row>
    <row r="146" spans="2:5" x14ac:dyDescent="0.25">
      <c r="B146" s="1" t="s">
        <v>16</v>
      </c>
      <c r="C146" s="1">
        <v>38200</v>
      </c>
      <c r="D146">
        <v>5574591540.25</v>
      </c>
      <c r="E146">
        <v>3</v>
      </c>
    </row>
    <row r="147" spans="2:5" x14ac:dyDescent="0.25">
      <c r="B147" s="1" t="s">
        <v>17</v>
      </c>
      <c r="C147" s="1">
        <v>38200</v>
      </c>
      <c r="D147">
        <v>4380249369.75</v>
      </c>
      <c r="E147">
        <v>4</v>
      </c>
    </row>
    <row r="148" spans="2:5" x14ac:dyDescent="0.25">
      <c r="B148" s="1" t="s">
        <v>4</v>
      </c>
      <c r="C148" s="1">
        <v>38200</v>
      </c>
      <c r="D148">
        <v>2181966322.8899999</v>
      </c>
      <c r="E148">
        <v>5</v>
      </c>
    </row>
    <row r="149" spans="2:5" x14ac:dyDescent="0.25">
      <c r="B149" s="1" t="s">
        <v>25</v>
      </c>
      <c r="C149" s="1">
        <v>38200</v>
      </c>
      <c r="D149">
        <v>1946508724.6099999</v>
      </c>
      <c r="E149">
        <v>6</v>
      </c>
    </row>
    <row r="150" spans="2:5" x14ac:dyDescent="0.25">
      <c r="B150" s="1" t="s">
        <v>57</v>
      </c>
      <c r="C150" s="1">
        <v>38200</v>
      </c>
      <c r="D150">
        <v>979790921.73000002</v>
      </c>
      <c r="E150">
        <v>7</v>
      </c>
    </row>
    <row r="151" spans="2:5" x14ac:dyDescent="0.25">
      <c r="B151" s="1" t="s">
        <v>12</v>
      </c>
      <c r="C151" s="1">
        <v>38200</v>
      </c>
      <c r="D151">
        <v>969465042.34000003</v>
      </c>
      <c r="E151">
        <v>8</v>
      </c>
    </row>
    <row r="152" spans="2:5" x14ac:dyDescent="0.25">
      <c r="B152" s="1" t="s">
        <v>9</v>
      </c>
      <c r="C152" s="1">
        <v>38200</v>
      </c>
      <c r="D152">
        <v>905512217.89999998</v>
      </c>
      <c r="E152">
        <v>9</v>
      </c>
    </row>
    <row r="153" spans="2:5" x14ac:dyDescent="0.25">
      <c r="B153" s="1" t="s">
        <v>18</v>
      </c>
      <c r="C153" s="1">
        <v>38200</v>
      </c>
      <c r="D153">
        <v>747367268.19000006</v>
      </c>
      <c r="E153">
        <v>10</v>
      </c>
    </row>
    <row r="154" spans="2:5" x14ac:dyDescent="0.25">
      <c r="B154" s="1" t="s">
        <v>6</v>
      </c>
      <c r="C154" s="1">
        <v>38231</v>
      </c>
      <c r="D154">
        <v>9785050909.1900005</v>
      </c>
      <c r="E154">
        <v>1</v>
      </c>
    </row>
    <row r="155" spans="2:5" x14ac:dyDescent="0.25">
      <c r="B155" s="1" t="s">
        <v>7</v>
      </c>
      <c r="C155" s="1">
        <v>38231</v>
      </c>
      <c r="D155">
        <v>8096770488.9700003</v>
      </c>
      <c r="E155">
        <v>2</v>
      </c>
    </row>
    <row r="156" spans="2:5" x14ac:dyDescent="0.25">
      <c r="B156" s="1" t="s">
        <v>16</v>
      </c>
      <c r="C156" s="1">
        <v>38231</v>
      </c>
      <c r="D156">
        <v>3141483417.9899998</v>
      </c>
      <c r="E156">
        <v>3</v>
      </c>
    </row>
    <row r="157" spans="2:5" x14ac:dyDescent="0.25">
      <c r="B157" s="1" t="s">
        <v>17</v>
      </c>
      <c r="C157" s="1">
        <v>38231</v>
      </c>
      <c r="D157">
        <v>2189526792.29</v>
      </c>
      <c r="E157">
        <v>4</v>
      </c>
    </row>
    <row r="158" spans="2:5" x14ac:dyDescent="0.25">
      <c r="B158" s="1" t="s">
        <v>4</v>
      </c>
      <c r="C158" s="1">
        <v>38231</v>
      </c>
      <c r="D158">
        <v>2183486384.2600002</v>
      </c>
      <c r="E158">
        <v>5</v>
      </c>
    </row>
    <row r="159" spans="2:5" x14ac:dyDescent="0.25">
      <c r="B159" s="1" t="s">
        <v>25</v>
      </c>
      <c r="C159" s="1">
        <v>38231</v>
      </c>
      <c r="D159">
        <v>1314841883.22</v>
      </c>
      <c r="E159">
        <v>6</v>
      </c>
    </row>
    <row r="160" spans="2:5" x14ac:dyDescent="0.25">
      <c r="B160" s="1" t="s">
        <v>12</v>
      </c>
      <c r="C160" s="1">
        <v>38231</v>
      </c>
      <c r="D160">
        <v>977772680.30999994</v>
      </c>
      <c r="E160">
        <v>7</v>
      </c>
    </row>
    <row r="161" spans="2:5" x14ac:dyDescent="0.25">
      <c r="B161" s="1" t="s">
        <v>57</v>
      </c>
      <c r="C161" s="1">
        <v>38231</v>
      </c>
      <c r="D161">
        <v>902065292.52999997</v>
      </c>
      <c r="E161">
        <v>8</v>
      </c>
    </row>
    <row r="162" spans="2:5" x14ac:dyDescent="0.25">
      <c r="B162" s="1" t="s">
        <v>9</v>
      </c>
      <c r="C162" s="1">
        <v>38231</v>
      </c>
      <c r="D162">
        <v>761655238.01999998</v>
      </c>
      <c r="E162">
        <v>9</v>
      </c>
    </row>
    <row r="163" spans="2:5" x14ac:dyDescent="0.25">
      <c r="B163" s="1" t="s">
        <v>18</v>
      </c>
      <c r="C163" s="1">
        <v>38231</v>
      </c>
      <c r="D163">
        <v>581763827.16999996</v>
      </c>
      <c r="E163">
        <v>10</v>
      </c>
    </row>
    <row r="164" spans="2:5" x14ac:dyDescent="0.25">
      <c r="B164" s="1" t="s">
        <v>6</v>
      </c>
      <c r="C164" s="1">
        <v>38261</v>
      </c>
      <c r="D164">
        <v>9131387615.3299999</v>
      </c>
      <c r="E164">
        <v>1</v>
      </c>
    </row>
    <row r="165" spans="2:5" x14ac:dyDescent="0.25">
      <c r="B165" s="1" t="s">
        <v>7</v>
      </c>
      <c r="C165" s="1">
        <v>38261</v>
      </c>
      <c r="D165">
        <v>7344628182.6999998</v>
      </c>
      <c r="E165">
        <v>2</v>
      </c>
    </row>
    <row r="166" spans="2:5" x14ac:dyDescent="0.25">
      <c r="B166" s="1" t="s">
        <v>16</v>
      </c>
      <c r="C166" s="1">
        <v>38261</v>
      </c>
      <c r="D166">
        <v>3643512500.7800002</v>
      </c>
      <c r="E166">
        <v>3</v>
      </c>
    </row>
    <row r="167" spans="2:5" x14ac:dyDescent="0.25">
      <c r="B167" s="1" t="s">
        <v>17</v>
      </c>
      <c r="C167" s="1">
        <v>38261</v>
      </c>
      <c r="D167">
        <v>2846023471.5300002</v>
      </c>
      <c r="E167">
        <v>4</v>
      </c>
    </row>
    <row r="168" spans="2:5" x14ac:dyDescent="0.25">
      <c r="B168" s="1" t="s">
        <v>4</v>
      </c>
      <c r="C168" s="1">
        <v>38261</v>
      </c>
      <c r="D168">
        <v>2609572342.4699998</v>
      </c>
      <c r="E168">
        <v>5</v>
      </c>
    </row>
    <row r="169" spans="2:5" x14ac:dyDescent="0.25">
      <c r="B169" s="1" t="s">
        <v>25</v>
      </c>
      <c r="C169" s="1">
        <v>38261</v>
      </c>
      <c r="D169">
        <v>1530308531.2</v>
      </c>
      <c r="E169">
        <v>6</v>
      </c>
    </row>
    <row r="170" spans="2:5" x14ac:dyDescent="0.25">
      <c r="B170" s="1" t="s">
        <v>12</v>
      </c>
      <c r="C170" s="1">
        <v>38261</v>
      </c>
      <c r="D170">
        <v>1119369329.79</v>
      </c>
      <c r="E170">
        <v>7</v>
      </c>
    </row>
    <row r="171" spans="2:5" x14ac:dyDescent="0.25">
      <c r="B171" s="1" t="s">
        <v>13</v>
      </c>
      <c r="C171" s="1">
        <v>38261</v>
      </c>
      <c r="D171">
        <v>1086448833.99</v>
      </c>
      <c r="E171">
        <v>8</v>
      </c>
    </row>
    <row r="172" spans="2:5" x14ac:dyDescent="0.25">
      <c r="B172" s="1" t="s">
        <v>9</v>
      </c>
      <c r="C172" s="1">
        <v>38261</v>
      </c>
      <c r="D172">
        <v>835517781.16999996</v>
      </c>
      <c r="E172">
        <v>9</v>
      </c>
    </row>
    <row r="173" spans="2:5" x14ac:dyDescent="0.25">
      <c r="B173" s="1" t="s">
        <v>18</v>
      </c>
      <c r="C173" s="1">
        <v>38261</v>
      </c>
      <c r="D173">
        <v>721103970.91999996</v>
      </c>
      <c r="E173">
        <v>10</v>
      </c>
    </row>
    <row r="174" spans="2:5" x14ac:dyDescent="0.25">
      <c r="B174" s="1" t="s">
        <v>6</v>
      </c>
      <c r="C174" s="1">
        <v>38292</v>
      </c>
      <c r="D174">
        <v>8238855635.6999998</v>
      </c>
      <c r="E174">
        <v>1</v>
      </c>
    </row>
    <row r="175" spans="2:5" x14ac:dyDescent="0.25">
      <c r="B175" s="1" t="s">
        <v>7</v>
      </c>
      <c r="C175" s="1">
        <v>38292</v>
      </c>
      <c r="D175">
        <v>6206174286.2700005</v>
      </c>
      <c r="E175">
        <v>2</v>
      </c>
    </row>
    <row r="176" spans="2:5" x14ac:dyDescent="0.25">
      <c r="B176" s="1" t="s">
        <v>16</v>
      </c>
      <c r="C176" s="1">
        <v>38292</v>
      </c>
      <c r="D176">
        <v>2867262552.0799999</v>
      </c>
      <c r="E176">
        <v>3</v>
      </c>
    </row>
    <row r="177" spans="2:5" x14ac:dyDescent="0.25">
      <c r="B177" s="1" t="s">
        <v>17</v>
      </c>
      <c r="C177" s="1">
        <v>38292</v>
      </c>
      <c r="D177">
        <v>2141612616.1400001</v>
      </c>
      <c r="E177">
        <v>4</v>
      </c>
    </row>
    <row r="178" spans="2:5" x14ac:dyDescent="0.25">
      <c r="B178" s="1" t="s">
        <v>25</v>
      </c>
      <c r="C178" s="1">
        <v>38292</v>
      </c>
      <c r="D178">
        <v>2100084686.99</v>
      </c>
      <c r="E178">
        <v>5</v>
      </c>
    </row>
    <row r="179" spans="2:5" x14ac:dyDescent="0.25">
      <c r="B179" s="1" t="s">
        <v>4</v>
      </c>
      <c r="C179" s="1">
        <v>38292</v>
      </c>
      <c r="D179">
        <v>1273064147.8699999</v>
      </c>
      <c r="E179">
        <v>6</v>
      </c>
    </row>
    <row r="180" spans="2:5" x14ac:dyDescent="0.25">
      <c r="B180" s="1" t="s">
        <v>13</v>
      </c>
      <c r="C180" s="1">
        <v>38292</v>
      </c>
      <c r="D180">
        <v>1204020887.5699999</v>
      </c>
      <c r="E180">
        <v>7</v>
      </c>
    </row>
    <row r="181" spans="2:5" x14ac:dyDescent="0.25">
      <c r="B181" s="1" t="s">
        <v>12</v>
      </c>
      <c r="C181" s="1">
        <v>38292</v>
      </c>
      <c r="D181">
        <v>1038774031.25</v>
      </c>
      <c r="E181">
        <v>8</v>
      </c>
    </row>
    <row r="182" spans="2:5" x14ac:dyDescent="0.25">
      <c r="B182" s="1" t="s">
        <v>9</v>
      </c>
      <c r="C182" s="1">
        <v>38292</v>
      </c>
      <c r="D182">
        <v>669807736.55999994</v>
      </c>
      <c r="E182">
        <v>9</v>
      </c>
    </row>
    <row r="183" spans="2:5" x14ac:dyDescent="0.25">
      <c r="B183" s="1" t="s">
        <v>57</v>
      </c>
      <c r="C183" s="1">
        <v>38292</v>
      </c>
      <c r="D183">
        <v>580779347</v>
      </c>
      <c r="E183">
        <v>10</v>
      </c>
    </row>
    <row r="184" spans="2:5" x14ac:dyDescent="0.25">
      <c r="B184" s="1" t="s">
        <v>6</v>
      </c>
      <c r="C184" s="1">
        <v>38322</v>
      </c>
      <c r="D184">
        <v>7182449750.2799997</v>
      </c>
      <c r="E184">
        <v>1</v>
      </c>
    </row>
    <row r="185" spans="2:5" x14ac:dyDescent="0.25">
      <c r="B185" s="1" t="s">
        <v>7</v>
      </c>
      <c r="C185" s="1">
        <v>38322</v>
      </c>
      <c r="D185">
        <v>5221389376.7700005</v>
      </c>
      <c r="E185">
        <v>2</v>
      </c>
    </row>
    <row r="186" spans="2:5" x14ac:dyDescent="0.25">
      <c r="B186" s="1" t="s">
        <v>16</v>
      </c>
      <c r="C186" s="1">
        <v>38322</v>
      </c>
      <c r="D186">
        <v>3111033356.3099999</v>
      </c>
      <c r="E186">
        <v>3</v>
      </c>
    </row>
    <row r="187" spans="2:5" x14ac:dyDescent="0.25">
      <c r="B187" s="1" t="s">
        <v>17</v>
      </c>
      <c r="C187" s="1">
        <v>38322</v>
      </c>
      <c r="D187">
        <v>2296991670.52</v>
      </c>
      <c r="E187">
        <v>4</v>
      </c>
    </row>
    <row r="188" spans="2:5" x14ac:dyDescent="0.25">
      <c r="B188" s="1" t="s">
        <v>4</v>
      </c>
      <c r="C188" s="1">
        <v>38322</v>
      </c>
      <c r="D188">
        <v>1995054103.78</v>
      </c>
      <c r="E188">
        <v>5</v>
      </c>
    </row>
    <row r="189" spans="2:5" x14ac:dyDescent="0.25">
      <c r="B189" s="1" t="s">
        <v>25</v>
      </c>
      <c r="C189" s="1">
        <v>38322</v>
      </c>
      <c r="D189">
        <v>1933615871.8099999</v>
      </c>
      <c r="E189">
        <v>6</v>
      </c>
    </row>
    <row r="190" spans="2:5" x14ac:dyDescent="0.25">
      <c r="B190" s="1" t="s">
        <v>13</v>
      </c>
      <c r="C190" s="1">
        <v>38322</v>
      </c>
      <c r="D190">
        <v>1783657058.3</v>
      </c>
      <c r="E190">
        <v>7</v>
      </c>
    </row>
    <row r="191" spans="2:5" x14ac:dyDescent="0.25">
      <c r="B191" s="1" t="s">
        <v>12</v>
      </c>
      <c r="C191" s="1">
        <v>38322</v>
      </c>
      <c r="D191">
        <v>1111679216.8499999</v>
      </c>
      <c r="E191">
        <v>8</v>
      </c>
    </row>
    <row r="192" spans="2:5" x14ac:dyDescent="0.25">
      <c r="B192" s="1" t="s">
        <v>9</v>
      </c>
      <c r="C192" s="1">
        <v>38322</v>
      </c>
      <c r="D192">
        <v>782734237.75999999</v>
      </c>
      <c r="E192">
        <v>9</v>
      </c>
    </row>
    <row r="193" spans="2:5" x14ac:dyDescent="0.25">
      <c r="B193" s="1" t="s">
        <v>18</v>
      </c>
      <c r="C193" s="1">
        <v>38322</v>
      </c>
      <c r="D193">
        <v>619260066.98000002</v>
      </c>
      <c r="E193">
        <v>10</v>
      </c>
    </row>
    <row r="194" spans="2:5" x14ac:dyDescent="0.25">
      <c r="B194" s="1" t="s">
        <v>6</v>
      </c>
      <c r="C194" s="1">
        <v>38353</v>
      </c>
      <c r="D194">
        <v>7728778433.3199997</v>
      </c>
      <c r="E194">
        <v>1</v>
      </c>
    </row>
    <row r="195" spans="2:5" x14ac:dyDescent="0.25">
      <c r="B195" s="1" t="s">
        <v>7</v>
      </c>
      <c r="C195" s="1">
        <v>38353</v>
      </c>
      <c r="D195">
        <v>6335052438.8400002</v>
      </c>
      <c r="E195">
        <v>2</v>
      </c>
    </row>
    <row r="196" spans="2:5" x14ac:dyDescent="0.25">
      <c r="B196" s="1" t="s">
        <v>16</v>
      </c>
      <c r="C196" s="1">
        <v>38353</v>
      </c>
      <c r="D196">
        <v>3252992728.7199998</v>
      </c>
      <c r="E196">
        <v>3</v>
      </c>
    </row>
    <row r="197" spans="2:5" x14ac:dyDescent="0.25">
      <c r="B197" s="1" t="s">
        <v>4</v>
      </c>
      <c r="C197" s="1">
        <v>38353</v>
      </c>
      <c r="D197">
        <v>2515865062.46</v>
      </c>
      <c r="E197">
        <v>4</v>
      </c>
    </row>
    <row r="198" spans="2:5" x14ac:dyDescent="0.25">
      <c r="B198" s="1" t="s">
        <v>25</v>
      </c>
      <c r="C198" s="1">
        <v>38353</v>
      </c>
      <c r="D198">
        <v>2327791831.7600002</v>
      </c>
      <c r="E198">
        <v>5</v>
      </c>
    </row>
    <row r="199" spans="2:5" x14ac:dyDescent="0.25">
      <c r="B199" s="1" t="s">
        <v>17</v>
      </c>
      <c r="C199" s="1">
        <v>38353</v>
      </c>
      <c r="D199">
        <v>2301561192.1199999</v>
      </c>
      <c r="E199">
        <v>6</v>
      </c>
    </row>
    <row r="200" spans="2:5" x14ac:dyDescent="0.25">
      <c r="B200" s="1" t="s">
        <v>13</v>
      </c>
      <c r="C200" s="1">
        <v>38353</v>
      </c>
      <c r="D200">
        <v>1446986653.54</v>
      </c>
      <c r="E200">
        <v>7</v>
      </c>
    </row>
    <row r="201" spans="2:5" x14ac:dyDescent="0.25">
      <c r="B201" s="1" t="s">
        <v>98</v>
      </c>
      <c r="C201" s="1">
        <v>38353</v>
      </c>
      <c r="D201">
        <v>1044130065.28</v>
      </c>
      <c r="E201">
        <v>8</v>
      </c>
    </row>
    <row r="202" spans="2:5" x14ac:dyDescent="0.25">
      <c r="B202" s="1" t="s">
        <v>12</v>
      </c>
      <c r="C202" s="1">
        <v>38353</v>
      </c>
      <c r="D202">
        <v>893087634.78999996</v>
      </c>
      <c r="E202">
        <v>9</v>
      </c>
    </row>
    <row r="203" spans="2:5" x14ac:dyDescent="0.25">
      <c r="B203" s="1" t="s">
        <v>9</v>
      </c>
      <c r="C203" s="1">
        <v>38353</v>
      </c>
      <c r="D203">
        <v>673685780.14999998</v>
      </c>
      <c r="E203">
        <v>10</v>
      </c>
    </row>
    <row r="204" spans="2:5" x14ac:dyDescent="0.25">
      <c r="B204" s="1" t="s">
        <v>6</v>
      </c>
      <c r="C204" s="1">
        <v>38384</v>
      </c>
      <c r="D204">
        <v>6548421686.8000002</v>
      </c>
      <c r="E204">
        <v>1</v>
      </c>
    </row>
    <row r="205" spans="2:5" x14ac:dyDescent="0.25">
      <c r="B205" s="1" t="s">
        <v>7</v>
      </c>
      <c r="C205" s="1">
        <v>38384</v>
      </c>
      <c r="D205">
        <v>4899040406.6099997</v>
      </c>
      <c r="E205">
        <v>2</v>
      </c>
    </row>
    <row r="206" spans="2:5" x14ac:dyDescent="0.25">
      <c r="B206" s="1" t="s">
        <v>16</v>
      </c>
      <c r="C206" s="1">
        <v>38384</v>
      </c>
      <c r="D206">
        <v>3820090499.29</v>
      </c>
      <c r="E206">
        <v>3</v>
      </c>
    </row>
    <row r="207" spans="2:5" x14ac:dyDescent="0.25">
      <c r="B207" s="1" t="s">
        <v>17</v>
      </c>
      <c r="C207" s="1">
        <v>38384</v>
      </c>
      <c r="D207">
        <v>2940366449.5</v>
      </c>
      <c r="E207">
        <v>4</v>
      </c>
    </row>
    <row r="208" spans="2:5" x14ac:dyDescent="0.25">
      <c r="B208" s="1" t="s">
        <v>25</v>
      </c>
      <c r="C208" s="1">
        <v>38384</v>
      </c>
      <c r="D208">
        <v>2341434701.0799999</v>
      </c>
      <c r="E208">
        <v>5</v>
      </c>
    </row>
    <row r="209" spans="2:5" x14ac:dyDescent="0.25">
      <c r="B209" s="1" t="s">
        <v>4</v>
      </c>
      <c r="C209" s="1">
        <v>38384</v>
      </c>
      <c r="D209">
        <v>2186951567.29</v>
      </c>
      <c r="E209">
        <v>6</v>
      </c>
    </row>
    <row r="210" spans="2:5" x14ac:dyDescent="0.25">
      <c r="B210" s="1" t="s">
        <v>12</v>
      </c>
      <c r="C210" s="1">
        <v>38384</v>
      </c>
      <c r="D210">
        <v>1584384715.02</v>
      </c>
      <c r="E210">
        <v>7</v>
      </c>
    </row>
    <row r="211" spans="2:5" x14ac:dyDescent="0.25">
      <c r="B211" s="1" t="s">
        <v>13</v>
      </c>
      <c r="C211" s="1">
        <v>38384</v>
      </c>
      <c r="D211">
        <v>1193168889.51</v>
      </c>
      <c r="E211">
        <v>8</v>
      </c>
    </row>
    <row r="212" spans="2:5" x14ac:dyDescent="0.25">
      <c r="B212" s="1" t="s">
        <v>57</v>
      </c>
      <c r="C212" s="1">
        <v>38384</v>
      </c>
      <c r="D212">
        <v>878150368.83000004</v>
      </c>
      <c r="E212">
        <v>9</v>
      </c>
    </row>
    <row r="213" spans="2:5" x14ac:dyDescent="0.25">
      <c r="B213" s="1" t="s">
        <v>9</v>
      </c>
      <c r="C213" s="1">
        <v>38384</v>
      </c>
      <c r="D213">
        <v>680138468.63999999</v>
      </c>
      <c r="E213">
        <v>10</v>
      </c>
    </row>
    <row r="214" spans="2:5" x14ac:dyDescent="0.25">
      <c r="B214" s="1" t="s">
        <v>6</v>
      </c>
      <c r="C214" s="1">
        <v>38412</v>
      </c>
      <c r="D214">
        <v>5448667036.9300003</v>
      </c>
      <c r="E214">
        <v>1</v>
      </c>
    </row>
    <row r="215" spans="2:5" x14ac:dyDescent="0.25">
      <c r="B215" s="1" t="s">
        <v>7</v>
      </c>
      <c r="C215" s="1">
        <v>38412</v>
      </c>
      <c r="D215">
        <v>4257395851.2199998</v>
      </c>
      <c r="E215">
        <v>2</v>
      </c>
    </row>
    <row r="216" spans="2:5" x14ac:dyDescent="0.25">
      <c r="B216" s="1" t="s">
        <v>16</v>
      </c>
      <c r="C216" s="1">
        <v>38412</v>
      </c>
      <c r="D216">
        <v>3426361699.8299999</v>
      </c>
      <c r="E216">
        <v>3</v>
      </c>
    </row>
    <row r="217" spans="2:5" x14ac:dyDescent="0.25">
      <c r="B217" s="1" t="s">
        <v>4</v>
      </c>
      <c r="C217" s="1">
        <v>38412</v>
      </c>
      <c r="D217">
        <v>2345087914.6999998</v>
      </c>
      <c r="E217">
        <v>4</v>
      </c>
    </row>
    <row r="218" spans="2:5" x14ac:dyDescent="0.25">
      <c r="B218" s="1" t="s">
        <v>17</v>
      </c>
      <c r="C218" s="1">
        <v>38412</v>
      </c>
      <c r="D218">
        <v>2288475168.52</v>
      </c>
      <c r="E218">
        <v>5</v>
      </c>
    </row>
    <row r="219" spans="2:5" x14ac:dyDescent="0.25">
      <c r="B219" s="1" t="s">
        <v>25</v>
      </c>
      <c r="C219" s="1">
        <v>38412</v>
      </c>
      <c r="D219">
        <v>1607330806.52</v>
      </c>
      <c r="E219">
        <v>6</v>
      </c>
    </row>
    <row r="220" spans="2:5" x14ac:dyDescent="0.25">
      <c r="B220" s="1" t="s">
        <v>13</v>
      </c>
      <c r="C220" s="1">
        <v>38412</v>
      </c>
      <c r="D220">
        <v>1346533603.22</v>
      </c>
      <c r="E220">
        <v>7</v>
      </c>
    </row>
    <row r="221" spans="2:5" x14ac:dyDescent="0.25">
      <c r="B221" s="1" t="s">
        <v>12</v>
      </c>
      <c r="C221" s="1">
        <v>38412</v>
      </c>
      <c r="D221">
        <v>1156931085.5699999</v>
      </c>
      <c r="E221">
        <v>8</v>
      </c>
    </row>
    <row r="222" spans="2:5" x14ac:dyDescent="0.25">
      <c r="B222" s="1" t="s">
        <v>9</v>
      </c>
      <c r="C222" s="1">
        <v>38412</v>
      </c>
      <c r="D222">
        <v>887176881.39999998</v>
      </c>
      <c r="E222">
        <v>9</v>
      </c>
    </row>
    <row r="223" spans="2:5" x14ac:dyDescent="0.25">
      <c r="B223" s="1" t="s">
        <v>57</v>
      </c>
      <c r="C223" s="1">
        <v>38412</v>
      </c>
      <c r="D223">
        <v>665791396.12</v>
      </c>
      <c r="E223">
        <v>10</v>
      </c>
    </row>
    <row r="224" spans="2:5" x14ac:dyDescent="0.25">
      <c r="B224" s="1" t="s">
        <v>6</v>
      </c>
      <c r="C224" s="1">
        <v>38443</v>
      </c>
      <c r="D224">
        <v>6200760652.5699997</v>
      </c>
      <c r="E224">
        <v>1</v>
      </c>
    </row>
    <row r="225" spans="2:5" x14ac:dyDescent="0.25">
      <c r="B225" s="1" t="s">
        <v>7</v>
      </c>
      <c r="C225" s="1">
        <v>38443</v>
      </c>
      <c r="D225">
        <v>4545288580.9300003</v>
      </c>
      <c r="E225">
        <v>2</v>
      </c>
    </row>
    <row r="226" spans="2:5" x14ac:dyDescent="0.25">
      <c r="B226" s="1" t="s">
        <v>16</v>
      </c>
      <c r="C226" s="1">
        <v>38443</v>
      </c>
      <c r="D226">
        <v>3290452093.5100002</v>
      </c>
      <c r="E226">
        <v>3</v>
      </c>
    </row>
    <row r="227" spans="2:5" x14ac:dyDescent="0.25">
      <c r="B227" s="1" t="s">
        <v>4</v>
      </c>
      <c r="C227" s="1">
        <v>38443</v>
      </c>
      <c r="D227">
        <v>2356943759.25</v>
      </c>
      <c r="E227">
        <v>4</v>
      </c>
    </row>
    <row r="228" spans="2:5" x14ac:dyDescent="0.25">
      <c r="B228" s="1" t="s">
        <v>17</v>
      </c>
      <c r="C228" s="1">
        <v>38443</v>
      </c>
      <c r="D228">
        <v>2240641016.6799998</v>
      </c>
      <c r="E228">
        <v>5</v>
      </c>
    </row>
    <row r="229" spans="2:5" x14ac:dyDescent="0.25">
      <c r="B229" s="1" t="s">
        <v>25</v>
      </c>
      <c r="C229" s="1">
        <v>38443</v>
      </c>
      <c r="D229">
        <v>2162657746.1500001</v>
      </c>
      <c r="E229">
        <v>6</v>
      </c>
    </row>
    <row r="230" spans="2:5" x14ac:dyDescent="0.25">
      <c r="B230" s="1" t="s">
        <v>12</v>
      </c>
      <c r="C230" s="1">
        <v>38443</v>
      </c>
      <c r="D230">
        <v>1240894459.51</v>
      </c>
      <c r="E230">
        <v>7</v>
      </c>
    </row>
    <row r="231" spans="2:5" x14ac:dyDescent="0.25">
      <c r="B231" s="1" t="s">
        <v>57</v>
      </c>
      <c r="C231" s="1">
        <v>38443</v>
      </c>
      <c r="D231">
        <v>1030204361.03</v>
      </c>
      <c r="E231">
        <v>8</v>
      </c>
    </row>
    <row r="232" spans="2:5" x14ac:dyDescent="0.25">
      <c r="B232" s="1" t="s">
        <v>13</v>
      </c>
      <c r="C232" s="1">
        <v>38443</v>
      </c>
      <c r="D232">
        <v>981874479.55999994</v>
      </c>
      <c r="E232">
        <v>9</v>
      </c>
    </row>
    <row r="233" spans="2:5" x14ac:dyDescent="0.25">
      <c r="B233" s="1" t="s">
        <v>9</v>
      </c>
      <c r="C233" s="1">
        <v>38443</v>
      </c>
      <c r="D233">
        <v>755896256.55999994</v>
      </c>
      <c r="E233">
        <v>10</v>
      </c>
    </row>
    <row r="234" spans="2:5" x14ac:dyDescent="0.25">
      <c r="B234" s="1" t="s">
        <v>6</v>
      </c>
      <c r="C234" s="1">
        <v>38473</v>
      </c>
      <c r="D234">
        <v>8249856689.5500002</v>
      </c>
      <c r="E234">
        <v>1</v>
      </c>
    </row>
    <row r="235" spans="2:5" x14ac:dyDescent="0.25">
      <c r="B235" s="1" t="s">
        <v>7</v>
      </c>
      <c r="C235" s="1">
        <v>38473</v>
      </c>
      <c r="D235">
        <v>5978111138.7600002</v>
      </c>
      <c r="E235">
        <v>2</v>
      </c>
    </row>
    <row r="236" spans="2:5" x14ac:dyDescent="0.25">
      <c r="B236" s="1" t="s">
        <v>4</v>
      </c>
      <c r="C236" s="1">
        <v>38473</v>
      </c>
      <c r="D236">
        <v>2749158412.5700002</v>
      </c>
      <c r="E236">
        <v>3</v>
      </c>
    </row>
    <row r="237" spans="2:5" x14ac:dyDescent="0.25">
      <c r="B237" s="1" t="s">
        <v>13</v>
      </c>
      <c r="C237" s="1">
        <v>38473</v>
      </c>
      <c r="D237">
        <v>2698667569.0799999</v>
      </c>
      <c r="E237">
        <v>4</v>
      </c>
    </row>
    <row r="238" spans="2:5" x14ac:dyDescent="0.25">
      <c r="B238" s="1" t="s">
        <v>25</v>
      </c>
      <c r="C238" s="1">
        <v>38473</v>
      </c>
      <c r="D238">
        <v>2681093688.6500001</v>
      </c>
      <c r="E238">
        <v>5</v>
      </c>
    </row>
    <row r="239" spans="2:5" x14ac:dyDescent="0.25">
      <c r="B239" s="1" t="s">
        <v>12</v>
      </c>
      <c r="C239" s="1">
        <v>38473</v>
      </c>
      <c r="D239">
        <v>1533778537.5599999</v>
      </c>
      <c r="E239">
        <v>6</v>
      </c>
    </row>
    <row r="240" spans="2:5" x14ac:dyDescent="0.25">
      <c r="B240" s="1" t="s">
        <v>16</v>
      </c>
      <c r="C240" s="1">
        <v>38473</v>
      </c>
      <c r="D240">
        <v>1423590125.0899999</v>
      </c>
      <c r="E240">
        <v>7</v>
      </c>
    </row>
    <row r="241" spans="2:5" x14ac:dyDescent="0.25">
      <c r="B241" s="1" t="s">
        <v>57</v>
      </c>
      <c r="C241" s="1">
        <v>38473</v>
      </c>
      <c r="D241">
        <v>1259546433.72</v>
      </c>
      <c r="E241">
        <v>8</v>
      </c>
    </row>
    <row r="242" spans="2:5" x14ac:dyDescent="0.25">
      <c r="B242" s="1" t="s">
        <v>9</v>
      </c>
      <c r="C242" s="1">
        <v>38473</v>
      </c>
      <c r="D242">
        <v>730140954.38</v>
      </c>
      <c r="E242">
        <v>9</v>
      </c>
    </row>
    <row r="243" spans="2:5" x14ac:dyDescent="0.25">
      <c r="B243" s="1" t="s">
        <v>18</v>
      </c>
      <c r="C243" s="1">
        <v>38473</v>
      </c>
      <c r="D243">
        <v>695502661.55999994</v>
      </c>
      <c r="E243">
        <v>10</v>
      </c>
    </row>
    <row r="244" spans="2:5" x14ac:dyDescent="0.25">
      <c r="B244" s="1" t="s">
        <v>6</v>
      </c>
      <c r="C244" s="1">
        <v>38504</v>
      </c>
      <c r="D244">
        <v>8151630322.04</v>
      </c>
      <c r="E244">
        <v>1</v>
      </c>
    </row>
    <row r="245" spans="2:5" x14ac:dyDescent="0.25">
      <c r="B245" s="1" t="s">
        <v>7</v>
      </c>
      <c r="C245" s="1">
        <v>38504</v>
      </c>
      <c r="D245">
        <v>6496219206.3999996</v>
      </c>
      <c r="E245">
        <v>2</v>
      </c>
    </row>
    <row r="246" spans="2:5" x14ac:dyDescent="0.25">
      <c r="B246" s="1" t="s">
        <v>4</v>
      </c>
      <c r="C246" s="1">
        <v>38504</v>
      </c>
      <c r="D246">
        <v>3150126026.8400002</v>
      </c>
      <c r="E246">
        <v>3</v>
      </c>
    </row>
    <row r="247" spans="2:5" x14ac:dyDescent="0.25">
      <c r="B247" s="1" t="s">
        <v>13</v>
      </c>
      <c r="C247" s="1">
        <v>38504</v>
      </c>
      <c r="D247">
        <v>2489603680.48</v>
      </c>
      <c r="E247">
        <v>4</v>
      </c>
    </row>
    <row r="248" spans="2:5" x14ac:dyDescent="0.25">
      <c r="B248" s="1" t="s">
        <v>16</v>
      </c>
      <c r="C248" s="1">
        <v>38504</v>
      </c>
      <c r="D248">
        <v>2108031999.3800001</v>
      </c>
      <c r="E248">
        <v>5</v>
      </c>
    </row>
    <row r="249" spans="2:5" x14ac:dyDescent="0.25">
      <c r="B249" s="1" t="s">
        <v>25</v>
      </c>
      <c r="C249" s="1">
        <v>38504</v>
      </c>
      <c r="D249">
        <v>1560042290.1199999</v>
      </c>
      <c r="E249">
        <v>6</v>
      </c>
    </row>
    <row r="250" spans="2:5" x14ac:dyDescent="0.25">
      <c r="B250" s="1" t="s">
        <v>57</v>
      </c>
      <c r="C250" s="1">
        <v>38504</v>
      </c>
      <c r="D250">
        <v>1394421152.3599999</v>
      </c>
      <c r="E250">
        <v>7</v>
      </c>
    </row>
    <row r="251" spans="2:5" x14ac:dyDescent="0.25">
      <c r="B251" s="1" t="s">
        <v>12</v>
      </c>
      <c r="C251" s="1">
        <v>38504</v>
      </c>
      <c r="D251">
        <v>1153524647.54</v>
      </c>
      <c r="E251">
        <v>8</v>
      </c>
    </row>
    <row r="252" spans="2:5" x14ac:dyDescent="0.25">
      <c r="B252" s="1" t="s">
        <v>14</v>
      </c>
      <c r="C252" s="1">
        <v>38504</v>
      </c>
      <c r="D252">
        <v>861824321.49000001</v>
      </c>
      <c r="E252">
        <v>9</v>
      </c>
    </row>
    <row r="253" spans="2:5" x14ac:dyDescent="0.25">
      <c r="B253" s="1" t="s">
        <v>17</v>
      </c>
      <c r="C253" s="1">
        <v>38504</v>
      </c>
      <c r="D253">
        <v>855475060.36000001</v>
      </c>
      <c r="E253">
        <v>10</v>
      </c>
    </row>
    <row r="254" spans="2:5" x14ac:dyDescent="0.25">
      <c r="B254" s="1" t="s">
        <v>6</v>
      </c>
      <c r="C254" s="1">
        <v>38534</v>
      </c>
      <c r="D254">
        <v>8430888883.8800001</v>
      </c>
      <c r="E254">
        <v>1</v>
      </c>
    </row>
    <row r="255" spans="2:5" x14ac:dyDescent="0.25">
      <c r="B255" s="1" t="s">
        <v>7</v>
      </c>
      <c r="C255" s="1">
        <v>38534</v>
      </c>
      <c r="D255">
        <v>6969425037.3100004</v>
      </c>
      <c r="E255">
        <v>2</v>
      </c>
    </row>
    <row r="256" spans="2:5" x14ac:dyDescent="0.25">
      <c r="B256" s="1" t="s">
        <v>4</v>
      </c>
      <c r="C256" s="1">
        <v>38534</v>
      </c>
      <c r="D256">
        <v>3004249409.73</v>
      </c>
      <c r="E256">
        <v>3</v>
      </c>
    </row>
    <row r="257" spans="2:5" x14ac:dyDescent="0.25">
      <c r="B257" s="1" t="s">
        <v>13</v>
      </c>
      <c r="C257" s="1">
        <v>38534</v>
      </c>
      <c r="D257">
        <v>2018954754.2</v>
      </c>
      <c r="E257">
        <v>4</v>
      </c>
    </row>
    <row r="258" spans="2:5" x14ac:dyDescent="0.25">
      <c r="B258" s="1" t="s">
        <v>16</v>
      </c>
      <c r="C258" s="1">
        <v>38534</v>
      </c>
      <c r="D258">
        <v>1982441542.5</v>
      </c>
      <c r="E258">
        <v>5</v>
      </c>
    </row>
    <row r="259" spans="2:5" x14ac:dyDescent="0.25">
      <c r="B259" s="1" t="s">
        <v>25</v>
      </c>
      <c r="C259" s="1">
        <v>38534</v>
      </c>
      <c r="D259">
        <v>1723209508.3699999</v>
      </c>
      <c r="E259">
        <v>6</v>
      </c>
    </row>
    <row r="260" spans="2:5" x14ac:dyDescent="0.25">
      <c r="B260" s="1" t="s">
        <v>57</v>
      </c>
      <c r="C260" s="1">
        <v>38534</v>
      </c>
      <c r="D260">
        <v>1275430461.9200001</v>
      </c>
      <c r="E260">
        <v>7</v>
      </c>
    </row>
    <row r="261" spans="2:5" x14ac:dyDescent="0.25">
      <c r="B261" s="1" t="s">
        <v>12</v>
      </c>
      <c r="C261" s="1">
        <v>38534</v>
      </c>
      <c r="D261">
        <v>977044639.59000003</v>
      </c>
      <c r="E261">
        <v>8</v>
      </c>
    </row>
    <row r="262" spans="2:5" x14ac:dyDescent="0.25">
      <c r="B262" s="1" t="s">
        <v>9</v>
      </c>
      <c r="C262" s="1">
        <v>38534</v>
      </c>
      <c r="D262">
        <v>849576275.61000001</v>
      </c>
      <c r="E262">
        <v>9</v>
      </c>
    </row>
    <row r="263" spans="2:5" x14ac:dyDescent="0.25">
      <c r="B263" s="1" t="s">
        <v>18</v>
      </c>
      <c r="C263" s="1">
        <v>38534</v>
      </c>
      <c r="D263">
        <v>787803743.65999997</v>
      </c>
      <c r="E263">
        <v>10</v>
      </c>
    </row>
    <row r="264" spans="2:5" x14ac:dyDescent="0.25">
      <c r="B264" s="1" t="s">
        <v>6</v>
      </c>
      <c r="C264" s="1">
        <v>38565</v>
      </c>
      <c r="D264">
        <v>11555724329.280001</v>
      </c>
      <c r="E264">
        <v>1</v>
      </c>
    </row>
    <row r="265" spans="2:5" x14ac:dyDescent="0.25">
      <c r="B265" s="1" t="s">
        <v>7</v>
      </c>
      <c r="C265" s="1">
        <v>38565</v>
      </c>
      <c r="D265">
        <v>10109655227.870001</v>
      </c>
      <c r="E265">
        <v>2</v>
      </c>
    </row>
    <row r="266" spans="2:5" x14ac:dyDescent="0.25">
      <c r="B266" s="1" t="s">
        <v>13</v>
      </c>
      <c r="C266" s="1">
        <v>38565</v>
      </c>
      <c r="D266">
        <v>3487218958.5599999</v>
      </c>
      <c r="E266">
        <v>3</v>
      </c>
    </row>
    <row r="267" spans="2:5" x14ac:dyDescent="0.25">
      <c r="B267" s="1" t="s">
        <v>4</v>
      </c>
      <c r="C267" s="1">
        <v>38565</v>
      </c>
      <c r="D267">
        <v>3050278249.8699999</v>
      </c>
      <c r="E267">
        <v>4</v>
      </c>
    </row>
    <row r="268" spans="2:5" x14ac:dyDescent="0.25">
      <c r="B268" s="1" t="s">
        <v>16</v>
      </c>
      <c r="C268" s="1">
        <v>38565</v>
      </c>
      <c r="D268">
        <v>2688700926.5599999</v>
      </c>
      <c r="E268">
        <v>5</v>
      </c>
    </row>
    <row r="269" spans="2:5" x14ac:dyDescent="0.25">
      <c r="B269" s="1" t="s">
        <v>25</v>
      </c>
      <c r="C269" s="1">
        <v>38565</v>
      </c>
      <c r="D269">
        <v>1927742772.05</v>
      </c>
      <c r="E269">
        <v>6</v>
      </c>
    </row>
    <row r="270" spans="2:5" x14ac:dyDescent="0.25">
      <c r="B270" s="1" t="s">
        <v>12</v>
      </c>
      <c r="C270" s="1">
        <v>38565</v>
      </c>
      <c r="D270">
        <v>1437691276.5</v>
      </c>
      <c r="E270">
        <v>7</v>
      </c>
    </row>
    <row r="271" spans="2:5" x14ac:dyDescent="0.25">
      <c r="B271" s="1" t="s">
        <v>57</v>
      </c>
      <c r="C271" s="1">
        <v>38565</v>
      </c>
      <c r="D271">
        <v>1201400093.04</v>
      </c>
      <c r="E271">
        <v>8</v>
      </c>
    </row>
    <row r="272" spans="2:5" x14ac:dyDescent="0.25">
      <c r="B272" s="1" t="s">
        <v>17</v>
      </c>
      <c r="C272" s="1">
        <v>38565</v>
      </c>
      <c r="D272">
        <v>1113176333.8399999</v>
      </c>
      <c r="E272">
        <v>9</v>
      </c>
    </row>
    <row r="273" spans="2:5" x14ac:dyDescent="0.25">
      <c r="B273" s="1" t="s">
        <v>18</v>
      </c>
      <c r="C273" s="1">
        <v>38565</v>
      </c>
      <c r="D273">
        <v>1074105836.53</v>
      </c>
      <c r="E273">
        <v>10</v>
      </c>
    </row>
    <row r="274" spans="2:5" x14ac:dyDescent="0.25">
      <c r="B274" s="1" t="s">
        <v>6</v>
      </c>
      <c r="C274" s="1">
        <v>38596</v>
      </c>
      <c r="D274">
        <v>12483873401.42</v>
      </c>
      <c r="E274">
        <v>1</v>
      </c>
    </row>
    <row r="275" spans="2:5" x14ac:dyDescent="0.25">
      <c r="B275" s="1" t="s">
        <v>7</v>
      </c>
      <c r="C275" s="1">
        <v>38596</v>
      </c>
      <c r="D275">
        <v>10660200646.540001</v>
      </c>
      <c r="E275">
        <v>2</v>
      </c>
    </row>
    <row r="276" spans="2:5" x14ac:dyDescent="0.25">
      <c r="B276" s="1" t="s">
        <v>13</v>
      </c>
      <c r="C276" s="1">
        <v>38596</v>
      </c>
      <c r="D276">
        <v>3665390255.1300001</v>
      </c>
      <c r="E276">
        <v>3</v>
      </c>
    </row>
    <row r="277" spans="2:5" x14ac:dyDescent="0.25">
      <c r="B277" s="1" t="s">
        <v>4</v>
      </c>
      <c r="C277" s="1">
        <v>38596</v>
      </c>
      <c r="D277">
        <v>3625468599.8899999</v>
      </c>
      <c r="E277">
        <v>4</v>
      </c>
    </row>
    <row r="278" spans="2:5" x14ac:dyDescent="0.25">
      <c r="B278" s="1" t="s">
        <v>16</v>
      </c>
      <c r="C278" s="1">
        <v>38596</v>
      </c>
      <c r="D278">
        <v>3275805460.0100002</v>
      </c>
      <c r="E278">
        <v>5</v>
      </c>
    </row>
    <row r="279" spans="2:5" x14ac:dyDescent="0.25">
      <c r="B279" s="1" t="s">
        <v>25</v>
      </c>
      <c r="C279" s="1">
        <v>38596</v>
      </c>
      <c r="D279">
        <v>2905608116.7800002</v>
      </c>
      <c r="E279">
        <v>6</v>
      </c>
    </row>
    <row r="280" spans="2:5" x14ac:dyDescent="0.25">
      <c r="B280" s="1" t="s">
        <v>17</v>
      </c>
      <c r="C280" s="1">
        <v>38596</v>
      </c>
      <c r="D280">
        <v>1284343140.3699999</v>
      </c>
      <c r="E280">
        <v>7</v>
      </c>
    </row>
    <row r="281" spans="2:5" x14ac:dyDescent="0.25">
      <c r="B281" s="1" t="s">
        <v>12</v>
      </c>
      <c r="C281" s="1">
        <v>38596</v>
      </c>
      <c r="D281">
        <v>1164280047.74</v>
      </c>
      <c r="E281">
        <v>8</v>
      </c>
    </row>
    <row r="282" spans="2:5" x14ac:dyDescent="0.25">
      <c r="B282" s="1" t="s">
        <v>57</v>
      </c>
      <c r="C282" s="1">
        <v>38596</v>
      </c>
      <c r="D282">
        <v>1156528305.9200001</v>
      </c>
      <c r="E282">
        <v>9</v>
      </c>
    </row>
    <row r="283" spans="2:5" x14ac:dyDescent="0.25">
      <c r="B283" s="1" t="s">
        <v>18</v>
      </c>
      <c r="C283" s="1">
        <v>38596</v>
      </c>
      <c r="D283">
        <v>1112522484.8199999</v>
      </c>
      <c r="E283">
        <v>10</v>
      </c>
    </row>
    <row r="284" spans="2:5" x14ac:dyDescent="0.25">
      <c r="B284" s="1" t="s">
        <v>6</v>
      </c>
      <c r="C284" s="1">
        <v>38626</v>
      </c>
      <c r="D284">
        <v>14134133218</v>
      </c>
      <c r="E284">
        <v>1</v>
      </c>
    </row>
    <row r="285" spans="2:5" x14ac:dyDescent="0.25">
      <c r="B285" s="1" t="s">
        <v>7</v>
      </c>
      <c r="C285" s="1">
        <v>38626</v>
      </c>
      <c r="D285">
        <v>11843596722.15</v>
      </c>
      <c r="E285">
        <v>2</v>
      </c>
    </row>
    <row r="286" spans="2:5" x14ac:dyDescent="0.25">
      <c r="B286" s="1" t="s">
        <v>4</v>
      </c>
      <c r="C286" s="1">
        <v>38626</v>
      </c>
      <c r="D286">
        <v>4600153330.3000002</v>
      </c>
      <c r="E286">
        <v>3</v>
      </c>
    </row>
    <row r="287" spans="2:5" x14ac:dyDescent="0.25">
      <c r="B287" s="1" t="s">
        <v>16</v>
      </c>
      <c r="C287" s="1">
        <v>38626</v>
      </c>
      <c r="D287">
        <v>4126653580.0100002</v>
      </c>
      <c r="E287">
        <v>4</v>
      </c>
    </row>
    <row r="288" spans="2:5" x14ac:dyDescent="0.25">
      <c r="B288" s="1" t="s">
        <v>13</v>
      </c>
      <c r="C288" s="1">
        <v>38626</v>
      </c>
      <c r="D288">
        <v>2772929966.3299999</v>
      </c>
      <c r="E288">
        <v>5</v>
      </c>
    </row>
    <row r="289" spans="2:5" x14ac:dyDescent="0.25">
      <c r="B289" s="1" t="s">
        <v>25</v>
      </c>
      <c r="C289" s="1">
        <v>38626</v>
      </c>
      <c r="D289">
        <v>1975709975.3199999</v>
      </c>
      <c r="E289">
        <v>6</v>
      </c>
    </row>
    <row r="290" spans="2:5" x14ac:dyDescent="0.25">
      <c r="B290" s="1" t="s">
        <v>17</v>
      </c>
      <c r="C290" s="1">
        <v>38626</v>
      </c>
      <c r="D290">
        <v>1945707796.5999999</v>
      </c>
      <c r="E290">
        <v>7</v>
      </c>
    </row>
    <row r="291" spans="2:5" x14ac:dyDescent="0.25">
      <c r="B291" s="1" t="s">
        <v>9</v>
      </c>
      <c r="C291" s="1">
        <v>38626</v>
      </c>
      <c r="D291">
        <v>1688999836.3399999</v>
      </c>
      <c r="E291">
        <v>8</v>
      </c>
    </row>
    <row r="292" spans="2:5" x14ac:dyDescent="0.25">
      <c r="B292" s="1" t="s">
        <v>12</v>
      </c>
      <c r="C292" s="1">
        <v>38626</v>
      </c>
      <c r="D292">
        <v>1409329134.6700001</v>
      </c>
      <c r="E292">
        <v>9</v>
      </c>
    </row>
    <row r="293" spans="2:5" x14ac:dyDescent="0.25">
      <c r="B293" s="1" t="s">
        <v>57</v>
      </c>
      <c r="C293" s="1">
        <v>38626</v>
      </c>
      <c r="D293">
        <v>1380698248.48</v>
      </c>
      <c r="E293">
        <v>10</v>
      </c>
    </row>
    <row r="294" spans="2:5" x14ac:dyDescent="0.25">
      <c r="B294" s="1" t="s">
        <v>6</v>
      </c>
      <c r="C294" s="1">
        <v>38657</v>
      </c>
      <c r="D294">
        <v>12566705288.139999</v>
      </c>
      <c r="E294">
        <v>1</v>
      </c>
    </row>
    <row r="295" spans="2:5" x14ac:dyDescent="0.25">
      <c r="B295" s="1" t="s">
        <v>7</v>
      </c>
      <c r="C295" s="1">
        <v>38657</v>
      </c>
      <c r="D295">
        <v>10651056537.49</v>
      </c>
      <c r="E295">
        <v>2</v>
      </c>
    </row>
    <row r="296" spans="2:5" x14ac:dyDescent="0.25">
      <c r="B296" s="1" t="s">
        <v>4</v>
      </c>
      <c r="C296" s="1">
        <v>38657</v>
      </c>
      <c r="D296">
        <v>2821211812.6599998</v>
      </c>
      <c r="E296">
        <v>3</v>
      </c>
    </row>
    <row r="297" spans="2:5" x14ac:dyDescent="0.25">
      <c r="B297" s="1" t="s">
        <v>13</v>
      </c>
      <c r="C297" s="1">
        <v>38657</v>
      </c>
      <c r="D297">
        <v>2457582090.1799998</v>
      </c>
      <c r="E297">
        <v>4</v>
      </c>
    </row>
    <row r="298" spans="2:5" x14ac:dyDescent="0.25">
      <c r="B298" s="1" t="s">
        <v>16</v>
      </c>
      <c r="C298" s="1">
        <v>38657</v>
      </c>
      <c r="D298">
        <v>2442226315.3899999</v>
      </c>
      <c r="E298">
        <v>5</v>
      </c>
    </row>
    <row r="299" spans="2:5" x14ac:dyDescent="0.25">
      <c r="B299" s="1" t="s">
        <v>25</v>
      </c>
      <c r="C299" s="1">
        <v>38657</v>
      </c>
      <c r="D299">
        <v>1727565585.48</v>
      </c>
      <c r="E299">
        <v>6</v>
      </c>
    </row>
    <row r="300" spans="2:5" x14ac:dyDescent="0.25">
      <c r="B300" s="1" t="s">
        <v>12</v>
      </c>
      <c r="C300" s="1">
        <v>38657</v>
      </c>
      <c r="D300">
        <v>1318196737.45</v>
      </c>
      <c r="E300">
        <v>7</v>
      </c>
    </row>
    <row r="301" spans="2:5" x14ac:dyDescent="0.25">
      <c r="B301" s="1" t="s">
        <v>9</v>
      </c>
      <c r="C301" s="1">
        <v>38657</v>
      </c>
      <c r="D301">
        <v>1280788007.3599999</v>
      </c>
      <c r="E301">
        <v>8</v>
      </c>
    </row>
    <row r="302" spans="2:5" x14ac:dyDescent="0.25">
      <c r="B302" s="1" t="s">
        <v>57</v>
      </c>
      <c r="C302" s="1">
        <v>38657</v>
      </c>
      <c r="D302">
        <v>1269296283.4100001</v>
      </c>
      <c r="E302">
        <v>9</v>
      </c>
    </row>
    <row r="303" spans="2:5" x14ac:dyDescent="0.25">
      <c r="B303" s="1" t="s">
        <v>18</v>
      </c>
      <c r="C303" s="1">
        <v>38657</v>
      </c>
      <c r="D303">
        <v>805832053.38999999</v>
      </c>
      <c r="E303">
        <v>10</v>
      </c>
    </row>
    <row r="304" spans="2:5" x14ac:dyDescent="0.25">
      <c r="B304" s="1" t="s">
        <v>7</v>
      </c>
      <c r="C304" s="1">
        <v>38687</v>
      </c>
      <c r="D304">
        <v>2070651256.24</v>
      </c>
      <c r="E304">
        <v>1</v>
      </c>
    </row>
    <row r="305" spans="2:5" x14ac:dyDescent="0.25">
      <c r="B305" s="1" t="s">
        <v>6</v>
      </c>
      <c r="C305" s="1">
        <v>38687</v>
      </c>
      <c r="D305">
        <v>2070651256.24</v>
      </c>
      <c r="E305">
        <v>1</v>
      </c>
    </row>
    <row r="306" spans="2:5" x14ac:dyDescent="0.25">
      <c r="B306" s="1" t="s">
        <v>25</v>
      </c>
      <c r="C306" s="1">
        <v>38687</v>
      </c>
      <c r="D306">
        <v>725327641.04999995</v>
      </c>
      <c r="E306">
        <v>3</v>
      </c>
    </row>
    <row r="307" spans="2:5" x14ac:dyDescent="0.25">
      <c r="B307" s="1" t="s">
        <v>9</v>
      </c>
      <c r="C307" s="1">
        <v>38687</v>
      </c>
      <c r="D307">
        <v>538393225.62</v>
      </c>
      <c r="E307">
        <v>4</v>
      </c>
    </row>
    <row r="308" spans="2:5" x14ac:dyDescent="0.25">
      <c r="B308" s="1" t="s">
        <v>5</v>
      </c>
      <c r="C308" s="1">
        <v>38687</v>
      </c>
      <c r="D308">
        <v>387185771.39999998</v>
      </c>
      <c r="E308">
        <v>5</v>
      </c>
    </row>
    <row r="309" spans="2:5" x14ac:dyDescent="0.25">
      <c r="B309" s="1" t="s">
        <v>12</v>
      </c>
      <c r="C309" s="1">
        <v>38687</v>
      </c>
      <c r="D309">
        <v>364911443</v>
      </c>
      <c r="E309">
        <v>6</v>
      </c>
    </row>
    <row r="310" spans="2:5" x14ac:dyDescent="0.25">
      <c r="B310" s="1" t="s">
        <v>22</v>
      </c>
      <c r="C310" s="1">
        <v>38687</v>
      </c>
      <c r="D310">
        <v>270607282.56999999</v>
      </c>
      <c r="E310">
        <v>7</v>
      </c>
    </row>
    <row r="311" spans="2:5" x14ac:dyDescent="0.25">
      <c r="B311" s="1" t="s">
        <v>57</v>
      </c>
      <c r="C311" s="1">
        <v>38687</v>
      </c>
      <c r="D311">
        <v>233071797.31999999</v>
      </c>
      <c r="E311">
        <v>8</v>
      </c>
    </row>
    <row r="312" spans="2:5" x14ac:dyDescent="0.25">
      <c r="B312" s="1" t="s">
        <v>35</v>
      </c>
      <c r="C312" s="1">
        <v>38687</v>
      </c>
      <c r="D312">
        <v>205137323.12</v>
      </c>
      <c r="E312">
        <v>9</v>
      </c>
    </row>
    <row r="313" spans="2:5" x14ac:dyDescent="0.25">
      <c r="B313" s="1" t="s">
        <v>16</v>
      </c>
      <c r="C313" s="1">
        <v>38687</v>
      </c>
      <c r="D313">
        <v>66282540.439999998</v>
      </c>
      <c r="E313">
        <v>10</v>
      </c>
    </row>
    <row r="314" spans="2:5" x14ac:dyDescent="0.25">
      <c r="B314" s="1" t="s">
        <v>6</v>
      </c>
      <c r="C314" s="1">
        <v>38718</v>
      </c>
      <c r="D314">
        <v>10973844334.49</v>
      </c>
      <c r="E314">
        <v>1</v>
      </c>
    </row>
    <row r="315" spans="2:5" x14ac:dyDescent="0.25">
      <c r="B315" s="1" t="s">
        <v>7</v>
      </c>
      <c r="C315" s="1">
        <v>38718</v>
      </c>
      <c r="D315">
        <v>8758732482.6900005</v>
      </c>
      <c r="E315">
        <v>2</v>
      </c>
    </row>
    <row r="316" spans="2:5" x14ac:dyDescent="0.25">
      <c r="B316" s="1" t="s">
        <v>13</v>
      </c>
      <c r="C316" s="1">
        <v>38718</v>
      </c>
      <c r="D316">
        <v>3453825775.5799999</v>
      </c>
      <c r="E316">
        <v>3</v>
      </c>
    </row>
    <row r="317" spans="2:5" x14ac:dyDescent="0.25">
      <c r="B317" s="1" t="s">
        <v>16</v>
      </c>
      <c r="C317" s="1">
        <v>38718</v>
      </c>
      <c r="D317">
        <v>3000853088.4299998</v>
      </c>
      <c r="E317">
        <v>4</v>
      </c>
    </row>
    <row r="318" spans="2:5" x14ac:dyDescent="0.25">
      <c r="B318" s="1" t="s">
        <v>4</v>
      </c>
      <c r="C318" s="1">
        <v>38718</v>
      </c>
      <c r="D318">
        <v>2805440695.2399998</v>
      </c>
      <c r="E318">
        <v>5</v>
      </c>
    </row>
    <row r="319" spans="2:5" x14ac:dyDescent="0.25">
      <c r="B319" s="1" t="s">
        <v>25</v>
      </c>
      <c r="C319" s="1">
        <v>38718</v>
      </c>
      <c r="D319">
        <v>1589051101.3399999</v>
      </c>
      <c r="E319">
        <v>6</v>
      </c>
    </row>
    <row r="320" spans="2:5" x14ac:dyDescent="0.25">
      <c r="B320" s="1" t="s">
        <v>9</v>
      </c>
      <c r="C320" s="1">
        <v>38718</v>
      </c>
      <c r="D320">
        <v>1190759562.4300001</v>
      </c>
      <c r="E320">
        <v>7</v>
      </c>
    </row>
    <row r="321" spans="2:5" x14ac:dyDescent="0.25">
      <c r="B321" s="1" t="s">
        <v>12</v>
      </c>
      <c r="C321" s="1">
        <v>38718</v>
      </c>
      <c r="D321">
        <v>759528959.26999998</v>
      </c>
      <c r="E321">
        <v>8</v>
      </c>
    </row>
    <row r="322" spans="2:5" x14ac:dyDescent="0.25">
      <c r="B322" s="1" t="s">
        <v>17</v>
      </c>
      <c r="C322" s="1">
        <v>38718</v>
      </c>
      <c r="D322">
        <v>705864383.04999995</v>
      </c>
      <c r="E322">
        <v>9</v>
      </c>
    </row>
    <row r="323" spans="2:5" x14ac:dyDescent="0.25">
      <c r="B323" s="1" t="s">
        <v>18</v>
      </c>
      <c r="C323" s="1">
        <v>38718</v>
      </c>
      <c r="D323">
        <v>696537956.32000005</v>
      </c>
      <c r="E323">
        <v>10</v>
      </c>
    </row>
    <row r="324" spans="2:5" x14ac:dyDescent="0.25">
      <c r="B324" s="1" t="s">
        <v>6</v>
      </c>
      <c r="C324" s="1">
        <v>38749</v>
      </c>
      <c r="D324">
        <v>10358305289.91</v>
      </c>
      <c r="E324">
        <v>1</v>
      </c>
    </row>
    <row r="325" spans="2:5" x14ac:dyDescent="0.25">
      <c r="B325" s="1" t="s">
        <v>7</v>
      </c>
      <c r="C325" s="1">
        <v>38749</v>
      </c>
      <c r="D325">
        <v>9032989047.8700008</v>
      </c>
      <c r="E325">
        <v>2</v>
      </c>
    </row>
    <row r="326" spans="2:5" x14ac:dyDescent="0.25">
      <c r="B326" s="1" t="s">
        <v>4</v>
      </c>
      <c r="C326" s="1">
        <v>38749</v>
      </c>
      <c r="D326">
        <v>3027644368.0700002</v>
      </c>
      <c r="E326">
        <v>3</v>
      </c>
    </row>
    <row r="327" spans="2:5" x14ac:dyDescent="0.25">
      <c r="B327" s="1" t="s">
        <v>16</v>
      </c>
      <c r="C327" s="1">
        <v>38749</v>
      </c>
      <c r="D327">
        <v>2639469374.9000001</v>
      </c>
      <c r="E327">
        <v>4</v>
      </c>
    </row>
    <row r="328" spans="2:5" x14ac:dyDescent="0.25">
      <c r="B328" s="1" t="s">
        <v>13</v>
      </c>
      <c r="C328" s="1">
        <v>38749</v>
      </c>
      <c r="D328">
        <v>2635129657.8800001</v>
      </c>
      <c r="E328">
        <v>5</v>
      </c>
    </row>
    <row r="329" spans="2:5" x14ac:dyDescent="0.25">
      <c r="B329" s="1" t="s">
        <v>57</v>
      </c>
      <c r="C329" s="1">
        <v>38749</v>
      </c>
      <c r="D329">
        <v>2338045896.1799998</v>
      </c>
      <c r="E329">
        <v>6</v>
      </c>
    </row>
    <row r="330" spans="2:5" x14ac:dyDescent="0.25">
      <c r="B330" s="1" t="s">
        <v>25</v>
      </c>
      <c r="C330" s="1">
        <v>38749</v>
      </c>
      <c r="D330">
        <v>1915009538.51</v>
      </c>
      <c r="E330">
        <v>7</v>
      </c>
    </row>
    <row r="331" spans="2:5" x14ac:dyDescent="0.25">
      <c r="B331" s="1" t="s">
        <v>9</v>
      </c>
      <c r="C331" s="1">
        <v>38749</v>
      </c>
      <c r="D331">
        <v>990721792.80999994</v>
      </c>
      <c r="E331">
        <v>8</v>
      </c>
    </row>
    <row r="332" spans="2:5" x14ac:dyDescent="0.25">
      <c r="B332" s="1" t="s">
        <v>17</v>
      </c>
      <c r="C332" s="1">
        <v>38749</v>
      </c>
      <c r="D332">
        <v>810137866.02999997</v>
      </c>
      <c r="E332">
        <v>9</v>
      </c>
    </row>
    <row r="333" spans="2:5" x14ac:dyDescent="0.25">
      <c r="B333" s="1" t="s">
        <v>18</v>
      </c>
      <c r="C333" s="1">
        <v>38749</v>
      </c>
      <c r="D333">
        <v>808998797.29999995</v>
      </c>
      <c r="E333">
        <v>10</v>
      </c>
    </row>
    <row r="334" spans="2:5" x14ac:dyDescent="0.25">
      <c r="B334" s="1" t="s">
        <v>6</v>
      </c>
      <c r="C334" s="1">
        <v>38777</v>
      </c>
      <c r="D334">
        <v>6978704255.8400002</v>
      </c>
      <c r="E334">
        <v>1</v>
      </c>
    </row>
    <row r="335" spans="2:5" x14ac:dyDescent="0.25">
      <c r="B335" s="1" t="s">
        <v>7</v>
      </c>
      <c r="C335" s="1">
        <v>38777</v>
      </c>
      <c r="D335">
        <v>5495137439.1999998</v>
      </c>
      <c r="E335">
        <v>2</v>
      </c>
    </row>
    <row r="336" spans="2:5" x14ac:dyDescent="0.25">
      <c r="B336" s="1" t="s">
        <v>16</v>
      </c>
      <c r="C336" s="1">
        <v>38777</v>
      </c>
      <c r="D336">
        <v>3042261494.9299998</v>
      </c>
      <c r="E336">
        <v>3</v>
      </c>
    </row>
    <row r="337" spans="2:5" x14ac:dyDescent="0.25">
      <c r="B337" s="1" t="s">
        <v>13</v>
      </c>
      <c r="C337" s="1">
        <v>38777</v>
      </c>
      <c r="D337">
        <v>2631894145.25</v>
      </c>
      <c r="E337">
        <v>4</v>
      </c>
    </row>
    <row r="338" spans="2:5" x14ac:dyDescent="0.25">
      <c r="B338" s="1" t="s">
        <v>4</v>
      </c>
      <c r="C338" s="1">
        <v>38777</v>
      </c>
      <c r="D338">
        <v>2308312746.5500002</v>
      </c>
      <c r="E338">
        <v>5</v>
      </c>
    </row>
    <row r="339" spans="2:5" x14ac:dyDescent="0.25">
      <c r="B339" s="1" t="s">
        <v>57</v>
      </c>
      <c r="C339" s="1">
        <v>38777</v>
      </c>
      <c r="D339">
        <v>1883780544.9400001</v>
      </c>
      <c r="E339">
        <v>6</v>
      </c>
    </row>
    <row r="340" spans="2:5" x14ac:dyDescent="0.25">
      <c r="B340" s="1" t="s">
        <v>25</v>
      </c>
      <c r="C340" s="1">
        <v>38777</v>
      </c>
      <c r="D340">
        <v>1740811595.75</v>
      </c>
      <c r="E340">
        <v>7</v>
      </c>
    </row>
    <row r="341" spans="2:5" x14ac:dyDescent="0.25">
      <c r="B341" s="1" t="s">
        <v>17</v>
      </c>
      <c r="C341" s="1">
        <v>38777</v>
      </c>
      <c r="D341">
        <v>1589118989.3299999</v>
      </c>
      <c r="E341">
        <v>8</v>
      </c>
    </row>
    <row r="342" spans="2:5" x14ac:dyDescent="0.25">
      <c r="B342" s="1" t="s">
        <v>30</v>
      </c>
      <c r="C342" s="1">
        <v>38777</v>
      </c>
      <c r="D342">
        <v>1121784551.25</v>
      </c>
      <c r="E342">
        <v>9</v>
      </c>
    </row>
    <row r="343" spans="2:5" x14ac:dyDescent="0.25">
      <c r="B343" s="1" t="s">
        <v>9</v>
      </c>
      <c r="C343" s="1">
        <v>38777</v>
      </c>
      <c r="D343">
        <v>1120473577.1900001</v>
      </c>
      <c r="E343">
        <v>10</v>
      </c>
    </row>
    <row r="344" spans="2:5" x14ac:dyDescent="0.25">
      <c r="B344" s="1" t="s">
        <v>6</v>
      </c>
      <c r="C344" s="1">
        <v>38808</v>
      </c>
      <c r="D344">
        <v>8722494308.0400009</v>
      </c>
      <c r="E344">
        <v>1</v>
      </c>
    </row>
    <row r="345" spans="2:5" x14ac:dyDescent="0.25">
      <c r="B345" s="1" t="s">
        <v>7</v>
      </c>
      <c r="C345" s="1">
        <v>38808</v>
      </c>
      <c r="D345">
        <v>7674012077.6199999</v>
      </c>
      <c r="E345">
        <v>2</v>
      </c>
    </row>
    <row r="346" spans="2:5" x14ac:dyDescent="0.25">
      <c r="B346" s="1" t="s">
        <v>16</v>
      </c>
      <c r="C346" s="1">
        <v>38808</v>
      </c>
      <c r="D346">
        <v>2565179780.52</v>
      </c>
      <c r="E346">
        <v>3</v>
      </c>
    </row>
    <row r="347" spans="2:5" x14ac:dyDescent="0.25">
      <c r="B347" s="1" t="s">
        <v>57</v>
      </c>
      <c r="C347" s="1">
        <v>38808</v>
      </c>
      <c r="D347">
        <v>2287379973.8099999</v>
      </c>
      <c r="E347">
        <v>4</v>
      </c>
    </row>
    <row r="348" spans="2:5" x14ac:dyDescent="0.25">
      <c r="B348" s="1" t="s">
        <v>4</v>
      </c>
      <c r="C348" s="1">
        <v>38808</v>
      </c>
      <c r="D348">
        <v>2121022833.9200001</v>
      </c>
      <c r="E348">
        <v>5</v>
      </c>
    </row>
    <row r="349" spans="2:5" x14ac:dyDescent="0.25">
      <c r="B349" s="1" t="s">
        <v>13</v>
      </c>
      <c r="C349" s="1">
        <v>38808</v>
      </c>
      <c r="D349">
        <v>1808443576.4000001</v>
      </c>
      <c r="E349">
        <v>6</v>
      </c>
    </row>
    <row r="350" spans="2:5" x14ac:dyDescent="0.25">
      <c r="B350" s="1" t="s">
        <v>25</v>
      </c>
      <c r="C350" s="1">
        <v>38808</v>
      </c>
      <c r="D350">
        <v>1318407636.3199999</v>
      </c>
      <c r="E350">
        <v>7</v>
      </c>
    </row>
    <row r="351" spans="2:5" x14ac:dyDescent="0.25">
      <c r="B351" s="1" t="s">
        <v>17</v>
      </c>
      <c r="C351" s="1">
        <v>38808</v>
      </c>
      <c r="D351">
        <v>1253851453.8900001</v>
      </c>
      <c r="E351">
        <v>8</v>
      </c>
    </row>
    <row r="352" spans="2:5" x14ac:dyDescent="0.25">
      <c r="B352" s="1" t="s">
        <v>9</v>
      </c>
      <c r="C352" s="1">
        <v>38808</v>
      </c>
      <c r="D352">
        <v>994577512.00999999</v>
      </c>
      <c r="E352">
        <v>9</v>
      </c>
    </row>
    <row r="353" spans="2:5" x14ac:dyDescent="0.25">
      <c r="B353" s="1" t="s">
        <v>30</v>
      </c>
      <c r="C353" s="1">
        <v>38808</v>
      </c>
      <c r="D353">
        <v>810849624.72000003</v>
      </c>
      <c r="E353">
        <v>10</v>
      </c>
    </row>
    <row r="354" spans="2:5" x14ac:dyDescent="0.25">
      <c r="B354" s="1" t="s">
        <v>6</v>
      </c>
      <c r="C354" s="1">
        <v>38838</v>
      </c>
      <c r="D354">
        <v>9582564990.2199993</v>
      </c>
      <c r="E354">
        <v>1</v>
      </c>
    </row>
    <row r="355" spans="2:5" x14ac:dyDescent="0.25">
      <c r="B355" s="1" t="s">
        <v>7</v>
      </c>
      <c r="C355" s="1">
        <v>38838</v>
      </c>
      <c r="D355">
        <v>8585208581.6700001</v>
      </c>
      <c r="E355">
        <v>2</v>
      </c>
    </row>
    <row r="356" spans="2:5" x14ac:dyDescent="0.25">
      <c r="B356" s="1" t="s">
        <v>4</v>
      </c>
      <c r="C356" s="1">
        <v>38838</v>
      </c>
      <c r="D356">
        <v>3190920607.3299999</v>
      </c>
      <c r="E356">
        <v>3</v>
      </c>
    </row>
    <row r="357" spans="2:5" x14ac:dyDescent="0.25">
      <c r="B357" s="1" t="s">
        <v>13</v>
      </c>
      <c r="C357" s="1">
        <v>38838</v>
      </c>
      <c r="D357">
        <v>3088788943.8800001</v>
      </c>
      <c r="E357">
        <v>4</v>
      </c>
    </row>
    <row r="358" spans="2:5" x14ac:dyDescent="0.25">
      <c r="B358" s="1" t="s">
        <v>16</v>
      </c>
      <c r="C358" s="1">
        <v>38838</v>
      </c>
      <c r="D358">
        <v>2857246235.5100002</v>
      </c>
      <c r="E358">
        <v>5</v>
      </c>
    </row>
    <row r="359" spans="2:5" x14ac:dyDescent="0.25">
      <c r="B359" s="1" t="s">
        <v>57</v>
      </c>
      <c r="C359" s="1">
        <v>38838</v>
      </c>
      <c r="D359">
        <v>1855245672.23</v>
      </c>
      <c r="E359">
        <v>6</v>
      </c>
    </row>
    <row r="360" spans="2:5" x14ac:dyDescent="0.25">
      <c r="B360" s="1" t="s">
        <v>25</v>
      </c>
      <c r="C360" s="1">
        <v>38838</v>
      </c>
      <c r="D360">
        <v>1682540462.5999999</v>
      </c>
      <c r="E360">
        <v>7</v>
      </c>
    </row>
    <row r="361" spans="2:5" x14ac:dyDescent="0.25">
      <c r="B361" s="1" t="s">
        <v>21</v>
      </c>
      <c r="C361" s="1">
        <v>38838</v>
      </c>
      <c r="D361">
        <v>1208592361.22</v>
      </c>
      <c r="E361">
        <v>8</v>
      </c>
    </row>
    <row r="362" spans="2:5" x14ac:dyDescent="0.25">
      <c r="B362" s="1" t="s">
        <v>9</v>
      </c>
      <c r="C362" s="1">
        <v>38838</v>
      </c>
      <c r="D362">
        <v>1106072232.51</v>
      </c>
      <c r="E362">
        <v>9</v>
      </c>
    </row>
    <row r="363" spans="2:5" x14ac:dyDescent="0.25">
      <c r="B363" s="1" t="s">
        <v>12</v>
      </c>
      <c r="C363" s="1">
        <v>38838</v>
      </c>
      <c r="D363">
        <v>1084688488.78</v>
      </c>
      <c r="E363">
        <v>10</v>
      </c>
    </row>
    <row r="364" spans="2:5" x14ac:dyDescent="0.25">
      <c r="B364" s="1" t="s">
        <v>6</v>
      </c>
      <c r="C364" s="1">
        <v>38869</v>
      </c>
      <c r="D364">
        <v>6730657877.1899996</v>
      </c>
      <c r="E364">
        <v>1</v>
      </c>
    </row>
    <row r="365" spans="2:5" x14ac:dyDescent="0.25">
      <c r="B365" s="1" t="s">
        <v>7</v>
      </c>
      <c r="C365" s="1">
        <v>38869</v>
      </c>
      <c r="D365">
        <v>5813663933.3800001</v>
      </c>
      <c r="E365">
        <v>2</v>
      </c>
    </row>
    <row r="366" spans="2:5" x14ac:dyDescent="0.25">
      <c r="B366" s="1" t="s">
        <v>4</v>
      </c>
      <c r="C366" s="1">
        <v>38869</v>
      </c>
      <c r="D366">
        <v>4271244319.7399998</v>
      </c>
      <c r="E366">
        <v>3</v>
      </c>
    </row>
    <row r="367" spans="2:5" x14ac:dyDescent="0.25">
      <c r="B367" s="1" t="s">
        <v>25</v>
      </c>
      <c r="C367" s="1">
        <v>38869</v>
      </c>
      <c r="D367">
        <v>2990450428.04</v>
      </c>
      <c r="E367">
        <v>4</v>
      </c>
    </row>
    <row r="368" spans="2:5" x14ac:dyDescent="0.25">
      <c r="B368" s="1" t="s">
        <v>16</v>
      </c>
      <c r="C368" s="1">
        <v>38869</v>
      </c>
      <c r="D368">
        <v>2888770196.1999998</v>
      </c>
      <c r="E368">
        <v>5</v>
      </c>
    </row>
    <row r="369" spans="2:5" x14ac:dyDescent="0.25">
      <c r="B369" s="1" t="s">
        <v>13</v>
      </c>
      <c r="C369" s="1">
        <v>38869</v>
      </c>
      <c r="D369">
        <v>2311888321.9299998</v>
      </c>
      <c r="E369">
        <v>6</v>
      </c>
    </row>
    <row r="370" spans="2:5" x14ac:dyDescent="0.25">
      <c r="B370" s="1" t="s">
        <v>57</v>
      </c>
      <c r="C370" s="1">
        <v>38869</v>
      </c>
      <c r="D370">
        <v>2038759426.5999999</v>
      </c>
      <c r="E370">
        <v>7</v>
      </c>
    </row>
    <row r="371" spans="2:5" x14ac:dyDescent="0.25">
      <c r="B371" s="1" t="s">
        <v>9</v>
      </c>
      <c r="C371" s="1">
        <v>38869</v>
      </c>
      <c r="D371">
        <v>1289293850.24</v>
      </c>
      <c r="E371">
        <v>8</v>
      </c>
    </row>
    <row r="372" spans="2:5" x14ac:dyDescent="0.25">
      <c r="B372" s="1" t="s">
        <v>12</v>
      </c>
      <c r="C372" s="1">
        <v>38869</v>
      </c>
      <c r="D372">
        <v>954021072.17999995</v>
      </c>
      <c r="E372">
        <v>9</v>
      </c>
    </row>
    <row r="373" spans="2:5" x14ac:dyDescent="0.25">
      <c r="B373" s="1" t="s">
        <v>30</v>
      </c>
      <c r="C373" s="1">
        <v>38869</v>
      </c>
      <c r="D373">
        <v>921241768.96000004</v>
      </c>
      <c r="E373">
        <v>10</v>
      </c>
    </row>
    <row r="374" spans="2:5" x14ac:dyDescent="0.25">
      <c r="B374" s="1" t="s">
        <v>6</v>
      </c>
      <c r="C374" s="1">
        <v>38899</v>
      </c>
      <c r="D374">
        <v>8965396007.8700008</v>
      </c>
      <c r="E374">
        <v>1</v>
      </c>
    </row>
    <row r="375" spans="2:5" x14ac:dyDescent="0.25">
      <c r="B375" s="1" t="s">
        <v>7</v>
      </c>
      <c r="C375" s="1">
        <v>38899</v>
      </c>
      <c r="D375">
        <v>8021599510.5100002</v>
      </c>
      <c r="E375">
        <v>2</v>
      </c>
    </row>
    <row r="376" spans="2:5" x14ac:dyDescent="0.25">
      <c r="B376" s="1" t="s">
        <v>4</v>
      </c>
      <c r="C376" s="1">
        <v>38899</v>
      </c>
      <c r="D376">
        <v>4259554318.7399998</v>
      </c>
      <c r="E376">
        <v>3</v>
      </c>
    </row>
    <row r="377" spans="2:5" x14ac:dyDescent="0.25">
      <c r="B377" s="1" t="s">
        <v>25</v>
      </c>
      <c r="C377" s="1">
        <v>38899</v>
      </c>
      <c r="D377">
        <v>3176378793.3400002</v>
      </c>
      <c r="E377">
        <v>4</v>
      </c>
    </row>
    <row r="378" spans="2:5" x14ac:dyDescent="0.25">
      <c r="B378" s="1" t="s">
        <v>16</v>
      </c>
      <c r="C378" s="1">
        <v>38899</v>
      </c>
      <c r="D378">
        <v>2706201429.5500002</v>
      </c>
      <c r="E378">
        <v>5</v>
      </c>
    </row>
    <row r="379" spans="2:5" x14ac:dyDescent="0.25">
      <c r="B379" s="1" t="s">
        <v>13</v>
      </c>
      <c r="C379" s="1">
        <v>38899</v>
      </c>
      <c r="D379">
        <v>2539917398.6199999</v>
      </c>
      <c r="E379">
        <v>6</v>
      </c>
    </row>
    <row r="380" spans="2:5" x14ac:dyDescent="0.25">
      <c r="B380" s="1" t="s">
        <v>9</v>
      </c>
      <c r="C380" s="1">
        <v>38899</v>
      </c>
      <c r="D380">
        <v>1567093191.0799999</v>
      </c>
      <c r="E380">
        <v>7</v>
      </c>
    </row>
    <row r="381" spans="2:5" x14ac:dyDescent="0.25">
      <c r="B381" s="1" t="s">
        <v>57</v>
      </c>
      <c r="C381" s="1">
        <v>38899</v>
      </c>
      <c r="D381">
        <v>1485499260.4200001</v>
      </c>
      <c r="E381">
        <v>8</v>
      </c>
    </row>
    <row r="382" spans="2:5" x14ac:dyDescent="0.25">
      <c r="B382" s="1" t="s">
        <v>12</v>
      </c>
      <c r="C382" s="1">
        <v>38899</v>
      </c>
      <c r="D382">
        <v>839725062.69000006</v>
      </c>
      <c r="E382">
        <v>9</v>
      </c>
    </row>
    <row r="383" spans="2:5" x14ac:dyDescent="0.25">
      <c r="B383" s="1" t="s">
        <v>30</v>
      </c>
      <c r="C383" s="1">
        <v>38899</v>
      </c>
      <c r="D383">
        <v>799350786.94000006</v>
      </c>
      <c r="E383">
        <v>10</v>
      </c>
    </row>
    <row r="384" spans="2:5" x14ac:dyDescent="0.25">
      <c r="B384" s="1" t="s">
        <v>6</v>
      </c>
      <c r="C384" s="1">
        <v>38930</v>
      </c>
      <c r="D384">
        <v>7937895190.9099998</v>
      </c>
      <c r="E384">
        <v>1</v>
      </c>
    </row>
    <row r="385" spans="2:5" x14ac:dyDescent="0.25">
      <c r="B385" s="1" t="s">
        <v>7</v>
      </c>
      <c r="C385" s="1">
        <v>38930</v>
      </c>
      <c r="D385">
        <v>7482650729.9300003</v>
      </c>
      <c r="E385">
        <v>2</v>
      </c>
    </row>
    <row r="386" spans="2:5" x14ac:dyDescent="0.25">
      <c r="B386" s="1" t="s">
        <v>4</v>
      </c>
      <c r="C386" s="1">
        <v>38930</v>
      </c>
      <c r="D386">
        <v>3924938406.6100001</v>
      </c>
      <c r="E386">
        <v>3</v>
      </c>
    </row>
    <row r="387" spans="2:5" x14ac:dyDescent="0.25">
      <c r="B387" s="1" t="s">
        <v>13</v>
      </c>
      <c r="C387" s="1">
        <v>38930</v>
      </c>
      <c r="D387">
        <v>2443448786.8000002</v>
      </c>
      <c r="E387">
        <v>4</v>
      </c>
    </row>
    <row r="388" spans="2:5" x14ac:dyDescent="0.25">
      <c r="B388" s="1" t="s">
        <v>16</v>
      </c>
      <c r="C388" s="1">
        <v>38930</v>
      </c>
      <c r="D388">
        <v>2024818342.8499999</v>
      </c>
      <c r="E388">
        <v>5</v>
      </c>
    </row>
    <row r="389" spans="2:5" x14ac:dyDescent="0.25">
      <c r="B389" s="1" t="s">
        <v>25</v>
      </c>
      <c r="C389" s="1">
        <v>38930</v>
      </c>
      <c r="D389">
        <v>1925461790.45</v>
      </c>
      <c r="E389">
        <v>6</v>
      </c>
    </row>
    <row r="390" spans="2:5" x14ac:dyDescent="0.25">
      <c r="B390" s="1" t="s">
        <v>57</v>
      </c>
      <c r="C390" s="1">
        <v>38930</v>
      </c>
      <c r="D390">
        <v>1752991870.7</v>
      </c>
      <c r="E390">
        <v>7</v>
      </c>
    </row>
    <row r="391" spans="2:5" x14ac:dyDescent="0.25">
      <c r="B391" s="1" t="s">
        <v>18</v>
      </c>
      <c r="C391" s="1">
        <v>38930</v>
      </c>
      <c r="D391">
        <v>914924139.89999998</v>
      </c>
      <c r="E391">
        <v>8</v>
      </c>
    </row>
    <row r="392" spans="2:5" x14ac:dyDescent="0.25">
      <c r="B392" s="1" t="s">
        <v>9</v>
      </c>
      <c r="C392" s="1">
        <v>38930</v>
      </c>
      <c r="D392">
        <v>854038458.64999998</v>
      </c>
      <c r="E392">
        <v>9</v>
      </c>
    </row>
    <row r="393" spans="2:5" x14ac:dyDescent="0.25">
      <c r="B393" s="1" t="s">
        <v>12</v>
      </c>
      <c r="C393" s="1">
        <v>38930</v>
      </c>
      <c r="D393">
        <v>813164836.91999996</v>
      </c>
      <c r="E393">
        <v>10</v>
      </c>
    </row>
    <row r="394" spans="2:5" x14ac:dyDescent="0.25">
      <c r="B394" s="1" t="s">
        <v>6</v>
      </c>
      <c r="C394" s="1">
        <v>39022</v>
      </c>
      <c r="D394">
        <v>12881299848.049999</v>
      </c>
      <c r="E394">
        <v>1</v>
      </c>
    </row>
    <row r="395" spans="2:5" x14ac:dyDescent="0.25">
      <c r="B395" s="1" t="s">
        <v>7</v>
      </c>
      <c r="C395" s="1">
        <v>39022</v>
      </c>
      <c r="D395">
        <v>11793300856.860001</v>
      </c>
      <c r="E395">
        <v>2</v>
      </c>
    </row>
    <row r="396" spans="2:5" x14ac:dyDescent="0.25">
      <c r="B396" s="1" t="s">
        <v>4</v>
      </c>
      <c r="C396" s="1">
        <v>39022</v>
      </c>
      <c r="D396">
        <v>3004026765.3299999</v>
      </c>
      <c r="E396">
        <v>3</v>
      </c>
    </row>
    <row r="397" spans="2:5" x14ac:dyDescent="0.25">
      <c r="B397" s="1" t="s">
        <v>13</v>
      </c>
      <c r="C397" s="1">
        <v>39022</v>
      </c>
      <c r="D397">
        <v>2534609295.7800002</v>
      </c>
      <c r="E397">
        <v>4</v>
      </c>
    </row>
    <row r="398" spans="2:5" x14ac:dyDescent="0.25">
      <c r="B398" s="1" t="s">
        <v>16</v>
      </c>
      <c r="C398" s="1">
        <v>39022</v>
      </c>
      <c r="D398">
        <v>2083799576.1600001</v>
      </c>
      <c r="E398">
        <v>5</v>
      </c>
    </row>
    <row r="399" spans="2:5" x14ac:dyDescent="0.25">
      <c r="B399" s="1" t="s">
        <v>25</v>
      </c>
      <c r="C399" s="1">
        <v>39022</v>
      </c>
      <c r="D399">
        <v>1937299624.6199999</v>
      </c>
      <c r="E399">
        <v>6</v>
      </c>
    </row>
    <row r="400" spans="2:5" x14ac:dyDescent="0.25">
      <c r="B400" s="1" t="s">
        <v>57</v>
      </c>
      <c r="C400" s="1">
        <v>39022</v>
      </c>
      <c r="D400">
        <v>1566716834.5999999</v>
      </c>
      <c r="E400">
        <v>7</v>
      </c>
    </row>
    <row r="401" spans="2:5" x14ac:dyDescent="0.25">
      <c r="B401" s="1" t="s">
        <v>30</v>
      </c>
      <c r="C401" s="1">
        <v>39022</v>
      </c>
      <c r="D401">
        <v>1043534022.4400001</v>
      </c>
      <c r="E401">
        <v>8</v>
      </c>
    </row>
    <row r="402" spans="2:5" x14ac:dyDescent="0.25">
      <c r="B402" s="1" t="s">
        <v>9</v>
      </c>
      <c r="C402" s="1">
        <v>39022</v>
      </c>
      <c r="D402">
        <v>1030972708.28</v>
      </c>
      <c r="E402">
        <v>9</v>
      </c>
    </row>
    <row r="403" spans="2:5" x14ac:dyDescent="0.25">
      <c r="B403" s="1" t="s">
        <v>21</v>
      </c>
      <c r="C403" s="1">
        <v>39022</v>
      </c>
      <c r="D403">
        <v>960615545.09000003</v>
      </c>
      <c r="E403">
        <v>10</v>
      </c>
    </row>
    <row r="404" spans="2:5" x14ac:dyDescent="0.25">
      <c r="B404" s="1" t="s">
        <v>6</v>
      </c>
      <c r="C404" s="1">
        <v>39052</v>
      </c>
      <c r="D404">
        <v>11369922533.33</v>
      </c>
      <c r="E404">
        <v>1</v>
      </c>
    </row>
    <row r="405" spans="2:5" x14ac:dyDescent="0.25">
      <c r="B405" s="1" t="s">
        <v>7</v>
      </c>
      <c r="C405" s="1">
        <v>39052</v>
      </c>
      <c r="D405">
        <v>10270535420.92</v>
      </c>
      <c r="E405">
        <v>2</v>
      </c>
    </row>
    <row r="406" spans="2:5" x14ac:dyDescent="0.25">
      <c r="B406" s="1" t="s">
        <v>4</v>
      </c>
      <c r="C406" s="1">
        <v>39052</v>
      </c>
      <c r="D406">
        <v>3359214384.9000001</v>
      </c>
      <c r="E406">
        <v>3</v>
      </c>
    </row>
    <row r="407" spans="2:5" x14ac:dyDescent="0.25">
      <c r="B407" s="1" t="s">
        <v>13</v>
      </c>
      <c r="C407" s="1">
        <v>39052</v>
      </c>
      <c r="D407">
        <v>2906462369.3699999</v>
      </c>
      <c r="E407">
        <v>4</v>
      </c>
    </row>
    <row r="408" spans="2:5" x14ac:dyDescent="0.25">
      <c r="B408" s="1" t="s">
        <v>25</v>
      </c>
      <c r="C408" s="1">
        <v>39052</v>
      </c>
      <c r="D408">
        <v>2246071129.2399998</v>
      </c>
      <c r="E408">
        <v>5</v>
      </c>
    </row>
    <row r="409" spans="2:5" x14ac:dyDescent="0.25">
      <c r="B409" s="1" t="s">
        <v>16</v>
      </c>
      <c r="C409" s="1">
        <v>39052</v>
      </c>
      <c r="D409">
        <v>2013738300.99</v>
      </c>
      <c r="E409">
        <v>6</v>
      </c>
    </row>
    <row r="410" spans="2:5" x14ac:dyDescent="0.25">
      <c r="B410" s="1" t="s">
        <v>57</v>
      </c>
      <c r="C410" s="1">
        <v>39052</v>
      </c>
      <c r="D410">
        <v>1843249690.05</v>
      </c>
      <c r="E410">
        <v>7</v>
      </c>
    </row>
    <row r="411" spans="2:5" x14ac:dyDescent="0.25">
      <c r="B411" s="1" t="s">
        <v>9</v>
      </c>
      <c r="C411" s="1">
        <v>39052</v>
      </c>
      <c r="D411">
        <v>1040302257.8200001</v>
      </c>
      <c r="E411">
        <v>8</v>
      </c>
    </row>
    <row r="412" spans="2:5" x14ac:dyDescent="0.25">
      <c r="B412" s="1" t="s">
        <v>21</v>
      </c>
      <c r="C412" s="1">
        <v>39052</v>
      </c>
      <c r="D412">
        <v>781372045.30999994</v>
      </c>
      <c r="E412">
        <v>9</v>
      </c>
    </row>
    <row r="413" spans="2:5" x14ac:dyDescent="0.25">
      <c r="B413" s="1" t="s">
        <v>18</v>
      </c>
      <c r="C413" s="1">
        <v>39052</v>
      </c>
      <c r="D413">
        <v>751171822.16999996</v>
      </c>
      <c r="E413">
        <v>10</v>
      </c>
    </row>
    <row r="414" spans="2:5" x14ac:dyDescent="0.25">
      <c r="B414" s="1" t="s">
        <v>6</v>
      </c>
      <c r="C414" s="1">
        <v>39083</v>
      </c>
      <c r="D414">
        <v>12068562737.24</v>
      </c>
      <c r="E414">
        <v>1</v>
      </c>
    </row>
    <row r="415" spans="2:5" x14ac:dyDescent="0.25">
      <c r="B415" s="1" t="s">
        <v>7</v>
      </c>
      <c r="C415" s="1">
        <v>39083</v>
      </c>
      <c r="D415">
        <v>11681700587.98</v>
      </c>
      <c r="E415">
        <v>2</v>
      </c>
    </row>
    <row r="416" spans="2:5" x14ac:dyDescent="0.25">
      <c r="B416" s="1" t="s">
        <v>13</v>
      </c>
      <c r="C416" s="1">
        <v>39083</v>
      </c>
      <c r="D416">
        <v>3297592150.5500002</v>
      </c>
      <c r="E416">
        <v>3</v>
      </c>
    </row>
    <row r="417" spans="2:5" x14ac:dyDescent="0.25">
      <c r="B417" s="1" t="s">
        <v>57</v>
      </c>
      <c r="C417" s="1">
        <v>39083</v>
      </c>
      <c r="D417">
        <v>2997445484.7600002</v>
      </c>
      <c r="E417">
        <v>4</v>
      </c>
    </row>
    <row r="418" spans="2:5" x14ac:dyDescent="0.25">
      <c r="B418" s="1" t="s">
        <v>4</v>
      </c>
      <c r="C418" s="1">
        <v>39083</v>
      </c>
      <c r="D418">
        <v>2937160565.1900001</v>
      </c>
      <c r="E418">
        <v>5</v>
      </c>
    </row>
    <row r="419" spans="2:5" x14ac:dyDescent="0.25">
      <c r="B419" s="1" t="s">
        <v>16</v>
      </c>
      <c r="C419" s="1">
        <v>39083</v>
      </c>
      <c r="D419">
        <v>2688316844.1700001</v>
      </c>
      <c r="E419">
        <v>6</v>
      </c>
    </row>
    <row r="420" spans="2:5" x14ac:dyDescent="0.25">
      <c r="B420" s="1" t="s">
        <v>25</v>
      </c>
      <c r="C420" s="1">
        <v>39083</v>
      </c>
      <c r="D420">
        <v>1624971289.8099999</v>
      </c>
      <c r="E420">
        <v>7</v>
      </c>
    </row>
    <row r="421" spans="2:5" x14ac:dyDescent="0.25">
      <c r="B421" s="1" t="s">
        <v>9</v>
      </c>
      <c r="C421" s="1">
        <v>39083</v>
      </c>
      <c r="D421">
        <v>1126766081.78</v>
      </c>
      <c r="E421">
        <v>8</v>
      </c>
    </row>
    <row r="422" spans="2:5" x14ac:dyDescent="0.25">
      <c r="B422" s="1" t="s">
        <v>14</v>
      </c>
      <c r="C422" s="1">
        <v>39083</v>
      </c>
      <c r="D422">
        <v>964007367.75999999</v>
      </c>
      <c r="E422">
        <v>9</v>
      </c>
    </row>
    <row r="423" spans="2:5" x14ac:dyDescent="0.25">
      <c r="B423" s="1" t="s">
        <v>21</v>
      </c>
      <c r="C423" s="1">
        <v>39083</v>
      </c>
      <c r="D423">
        <v>893985913.90999997</v>
      </c>
      <c r="E423">
        <v>10</v>
      </c>
    </row>
    <row r="424" spans="2:5" x14ac:dyDescent="0.25">
      <c r="B424" s="1" t="s">
        <v>6</v>
      </c>
      <c r="C424" s="1">
        <v>39114</v>
      </c>
      <c r="D424">
        <v>14906336717.870001</v>
      </c>
      <c r="E424">
        <v>1</v>
      </c>
    </row>
    <row r="425" spans="2:5" x14ac:dyDescent="0.25">
      <c r="B425" s="1" t="s">
        <v>7</v>
      </c>
      <c r="C425" s="1">
        <v>39114</v>
      </c>
      <c r="D425">
        <v>14601314801.620001</v>
      </c>
      <c r="E425">
        <v>2</v>
      </c>
    </row>
    <row r="426" spans="2:5" x14ac:dyDescent="0.25">
      <c r="B426" s="1" t="s">
        <v>4</v>
      </c>
      <c r="C426" s="1">
        <v>39114</v>
      </c>
      <c r="D426">
        <v>2925521620.21</v>
      </c>
      <c r="E426">
        <v>3</v>
      </c>
    </row>
    <row r="427" spans="2:5" x14ac:dyDescent="0.25">
      <c r="B427" s="1" t="s">
        <v>25</v>
      </c>
      <c r="C427" s="1">
        <v>39114</v>
      </c>
      <c r="D427">
        <v>2460469083.1599998</v>
      </c>
      <c r="E427">
        <v>4</v>
      </c>
    </row>
    <row r="428" spans="2:5" x14ac:dyDescent="0.25">
      <c r="B428" s="1" t="s">
        <v>13</v>
      </c>
      <c r="C428" s="1">
        <v>39114</v>
      </c>
      <c r="D428">
        <v>2441724887.9200001</v>
      </c>
      <c r="E428">
        <v>5</v>
      </c>
    </row>
    <row r="429" spans="2:5" x14ac:dyDescent="0.25">
      <c r="B429" s="1" t="s">
        <v>16</v>
      </c>
      <c r="C429" s="1">
        <v>39114</v>
      </c>
      <c r="D429">
        <v>2138867218.3299999</v>
      </c>
      <c r="E429">
        <v>6</v>
      </c>
    </row>
    <row r="430" spans="2:5" x14ac:dyDescent="0.25">
      <c r="B430" s="1" t="s">
        <v>57</v>
      </c>
      <c r="C430" s="1">
        <v>39114</v>
      </c>
      <c r="D430">
        <v>1681152905.8</v>
      </c>
      <c r="E430">
        <v>7</v>
      </c>
    </row>
    <row r="431" spans="2:5" x14ac:dyDescent="0.25">
      <c r="B431" s="1" t="s">
        <v>30</v>
      </c>
      <c r="C431" s="1">
        <v>39114</v>
      </c>
      <c r="D431">
        <v>1318374534.23</v>
      </c>
      <c r="E431">
        <v>8</v>
      </c>
    </row>
    <row r="432" spans="2:5" x14ac:dyDescent="0.25">
      <c r="B432" s="1" t="s">
        <v>9</v>
      </c>
      <c r="C432" s="1">
        <v>39114</v>
      </c>
      <c r="D432">
        <v>1083466444.1900001</v>
      </c>
      <c r="E432">
        <v>9</v>
      </c>
    </row>
    <row r="433" spans="2:5" x14ac:dyDescent="0.25">
      <c r="B433" s="1" t="s">
        <v>21</v>
      </c>
      <c r="C433" s="1">
        <v>39114</v>
      </c>
      <c r="D433">
        <v>901782761.33000004</v>
      </c>
      <c r="E433">
        <v>10</v>
      </c>
    </row>
    <row r="434" spans="2:5" x14ac:dyDescent="0.25">
      <c r="B434" s="1" t="s">
        <v>6</v>
      </c>
      <c r="C434" s="1">
        <v>39142</v>
      </c>
      <c r="D434">
        <v>11915399053.1</v>
      </c>
      <c r="E434">
        <v>1</v>
      </c>
    </row>
    <row r="435" spans="2:5" x14ac:dyDescent="0.25">
      <c r="B435" s="1" t="s">
        <v>7</v>
      </c>
      <c r="C435" s="1">
        <v>39142</v>
      </c>
      <c r="D435">
        <v>9206220291.1299992</v>
      </c>
      <c r="E435">
        <v>2</v>
      </c>
    </row>
    <row r="436" spans="2:5" x14ac:dyDescent="0.25">
      <c r="B436" s="1" t="s">
        <v>4</v>
      </c>
      <c r="C436" s="1">
        <v>39142</v>
      </c>
      <c r="D436">
        <v>3890208424.1700001</v>
      </c>
      <c r="E436">
        <v>3</v>
      </c>
    </row>
    <row r="437" spans="2:5" x14ac:dyDescent="0.25">
      <c r="B437" s="1" t="s">
        <v>16</v>
      </c>
      <c r="C437" s="1">
        <v>39142</v>
      </c>
      <c r="D437">
        <v>3732500424.5999999</v>
      </c>
      <c r="E437">
        <v>4</v>
      </c>
    </row>
    <row r="438" spans="2:5" x14ac:dyDescent="0.25">
      <c r="B438" s="1" t="s">
        <v>13</v>
      </c>
      <c r="C438" s="1">
        <v>39142</v>
      </c>
      <c r="D438">
        <v>2985315385.3099999</v>
      </c>
      <c r="E438">
        <v>5</v>
      </c>
    </row>
    <row r="439" spans="2:5" x14ac:dyDescent="0.25">
      <c r="B439" s="1" t="s">
        <v>57</v>
      </c>
      <c r="C439" s="1">
        <v>39142</v>
      </c>
      <c r="D439">
        <v>2779190717.4200001</v>
      </c>
      <c r="E439">
        <v>6</v>
      </c>
    </row>
    <row r="440" spans="2:5" x14ac:dyDescent="0.25">
      <c r="B440" s="1" t="s">
        <v>25</v>
      </c>
      <c r="C440" s="1">
        <v>39142</v>
      </c>
      <c r="D440">
        <v>1783123280.8499999</v>
      </c>
      <c r="E440">
        <v>7</v>
      </c>
    </row>
    <row r="441" spans="2:5" x14ac:dyDescent="0.25">
      <c r="B441" s="1" t="s">
        <v>9</v>
      </c>
      <c r="C441" s="1">
        <v>39142</v>
      </c>
      <c r="D441">
        <v>1400648261.4300001</v>
      </c>
      <c r="E441">
        <v>8</v>
      </c>
    </row>
    <row r="442" spans="2:5" x14ac:dyDescent="0.25">
      <c r="B442" s="1" t="s">
        <v>21</v>
      </c>
      <c r="C442" s="1">
        <v>39142</v>
      </c>
      <c r="D442">
        <v>1076526508.7</v>
      </c>
      <c r="E442">
        <v>9</v>
      </c>
    </row>
    <row r="443" spans="2:5" x14ac:dyDescent="0.25">
      <c r="B443" s="1" t="s">
        <v>12</v>
      </c>
      <c r="C443" s="1">
        <v>39142</v>
      </c>
      <c r="D443">
        <v>930831114.73000002</v>
      </c>
      <c r="E443">
        <v>10</v>
      </c>
    </row>
    <row r="444" spans="2:5" x14ac:dyDescent="0.25">
      <c r="B444" s="1" t="s">
        <v>6</v>
      </c>
      <c r="C444" s="1">
        <v>39173</v>
      </c>
      <c r="D444">
        <v>13440547910.5</v>
      </c>
      <c r="E444">
        <v>1</v>
      </c>
    </row>
    <row r="445" spans="2:5" x14ac:dyDescent="0.25">
      <c r="B445" s="1" t="s">
        <v>7</v>
      </c>
      <c r="C445" s="1">
        <v>39173</v>
      </c>
      <c r="D445">
        <v>12829856145.469999</v>
      </c>
      <c r="E445">
        <v>2</v>
      </c>
    </row>
    <row r="446" spans="2:5" x14ac:dyDescent="0.25">
      <c r="B446" s="1" t="s">
        <v>4</v>
      </c>
      <c r="C446" s="1">
        <v>39173</v>
      </c>
      <c r="D446">
        <v>3851199610.8499999</v>
      </c>
      <c r="E446">
        <v>3</v>
      </c>
    </row>
    <row r="447" spans="2:5" x14ac:dyDescent="0.25">
      <c r="B447" s="1" t="s">
        <v>16</v>
      </c>
      <c r="C447" s="1">
        <v>39173</v>
      </c>
      <c r="D447">
        <v>3377397645.52</v>
      </c>
      <c r="E447">
        <v>4</v>
      </c>
    </row>
    <row r="448" spans="2:5" x14ac:dyDescent="0.25">
      <c r="B448" s="1" t="s">
        <v>13</v>
      </c>
      <c r="C448" s="1">
        <v>39173</v>
      </c>
      <c r="D448">
        <v>2957607339.6300001</v>
      </c>
      <c r="E448">
        <v>5</v>
      </c>
    </row>
    <row r="449" spans="2:5" x14ac:dyDescent="0.25">
      <c r="B449" s="1" t="s">
        <v>30</v>
      </c>
      <c r="C449" s="1">
        <v>39173</v>
      </c>
      <c r="D449">
        <v>2050143179.3699999</v>
      </c>
      <c r="E449">
        <v>6</v>
      </c>
    </row>
    <row r="450" spans="2:5" x14ac:dyDescent="0.25">
      <c r="B450" s="1" t="s">
        <v>57</v>
      </c>
      <c r="C450" s="1">
        <v>39173</v>
      </c>
      <c r="D450">
        <v>1966470786.1099999</v>
      </c>
      <c r="E450">
        <v>7</v>
      </c>
    </row>
    <row r="451" spans="2:5" x14ac:dyDescent="0.25">
      <c r="B451" s="1" t="s">
        <v>25</v>
      </c>
      <c r="C451" s="1">
        <v>39173</v>
      </c>
      <c r="D451">
        <v>1754639598.27</v>
      </c>
      <c r="E451">
        <v>8</v>
      </c>
    </row>
    <row r="452" spans="2:5" x14ac:dyDescent="0.25">
      <c r="B452" s="1" t="s">
        <v>9</v>
      </c>
      <c r="C452" s="1">
        <v>39173</v>
      </c>
      <c r="D452">
        <v>1447487916.3299999</v>
      </c>
      <c r="E452">
        <v>9</v>
      </c>
    </row>
    <row r="453" spans="2:5" x14ac:dyDescent="0.25">
      <c r="B453" s="1" t="s">
        <v>18</v>
      </c>
      <c r="C453" s="1">
        <v>39173</v>
      </c>
      <c r="D453">
        <v>936668361.33000004</v>
      </c>
      <c r="E453">
        <v>10</v>
      </c>
    </row>
    <row r="454" spans="2:5" x14ac:dyDescent="0.25">
      <c r="B454" s="1" t="s">
        <v>6</v>
      </c>
      <c r="C454" s="1">
        <v>39203</v>
      </c>
      <c r="D454">
        <v>14589989652.360001</v>
      </c>
      <c r="E454">
        <v>1</v>
      </c>
    </row>
    <row r="455" spans="2:5" x14ac:dyDescent="0.25">
      <c r="B455" s="1" t="s">
        <v>7</v>
      </c>
      <c r="C455" s="1">
        <v>39203</v>
      </c>
      <c r="D455">
        <v>14193408528.25</v>
      </c>
      <c r="E455">
        <v>2</v>
      </c>
    </row>
    <row r="456" spans="2:5" x14ac:dyDescent="0.25">
      <c r="B456" s="1" t="s">
        <v>4</v>
      </c>
      <c r="C456" s="1">
        <v>39203</v>
      </c>
      <c r="D456">
        <v>3561719799.3400002</v>
      </c>
      <c r="E456">
        <v>3</v>
      </c>
    </row>
    <row r="457" spans="2:5" x14ac:dyDescent="0.25">
      <c r="B457" s="1" t="s">
        <v>16</v>
      </c>
      <c r="C457" s="1">
        <v>39203</v>
      </c>
      <c r="D457">
        <v>3438763278.0799999</v>
      </c>
      <c r="E457">
        <v>4</v>
      </c>
    </row>
    <row r="458" spans="2:5" x14ac:dyDescent="0.25">
      <c r="B458" s="1" t="s">
        <v>13</v>
      </c>
      <c r="C458" s="1">
        <v>39203</v>
      </c>
      <c r="D458">
        <v>2400431666.98</v>
      </c>
      <c r="E458">
        <v>5</v>
      </c>
    </row>
    <row r="459" spans="2:5" x14ac:dyDescent="0.25">
      <c r="B459" s="1" t="s">
        <v>57</v>
      </c>
      <c r="C459" s="1">
        <v>39203</v>
      </c>
      <c r="D459">
        <v>2073037813.0799999</v>
      </c>
      <c r="E459">
        <v>6</v>
      </c>
    </row>
    <row r="460" spans="2:5" x14ac:dyDescent="0.25">
      <c r="B460" s="1" t="s">
        <v>58</v>
      </c>
      <c r="C460" s="1">
        <v>39203</v>
      </c>
      <c r="D460">
        <v>1477365224.1900001</v>
      </c>
      <c r="E460">
        <v>7</v>
      </c>
    </row>
    <row r="461" spans="2:5" x14ac:dyDescent="0.25">
      <c r="B461" s="1" t="s">
        <v>25</v>
      </c>
      <c r="C461" s="1">
        <v>39203</v>
      </c>
      <c r="D461">
        <v>1294136276.6199999</v>
      </c>
      <c r="E461">
        <v>8</v>
      </c>
    </row>
    <row r="462" spans="2:5" x14ac:dyDescent="0.25">
      <c r="B462" s="1" t="s">
        <v>18</v>
      </c>
      <c r="C462" s="1">
        <v>39203</v>
      </c>
      <c r="D462">
        <v>1081593381.96</v>
      </c>
      <c r="E462">
        <v>9</v>
      </c>
    </row>
    <row r="463" spans="2:5" x14ac:dyDescent="0.25">
      <c r="B463" s="1" t="s">
        <v>21</v>
      </c>
      <c r="C463" s="1">
        <v>39203</v>
      </c>
      <c r="D463">
        <v>1052940216.6</v>
      </c>
      <c r="E463">
        <v>10</v>
      </c>
    </row>
    <row r="464" spans="2:5" x14ac:dyDescent="0.25">
      <c r="B464" s="1" t="s">
        <v>6</v>
      </c>
      <c r="C464" s="1">
        <v>39234</v>
      </c>
      <c r="D464">
        <v>15230409440.049999</v>
      </c>
      <c r="E464">
        <v>1</v>
      </c>
    </row>
    <row r="465" spans="2:5" x14ac:dyDescent="0.25">
      <c r="B465" s="1" t="s">
        <v>7</v>
      </c>
      <c r="C465" s="1">
        <v>39234</v>
      </c>
      <c r="D465">
        <v>14703375942.889999</v>
      </c>
      <c r="E465">
        <v>2</v>
      </c>
    </row>
    <row r="466" spans="2:5" x14ac:dyDescent="0.25">
      <c r="B466" s="1" t="s">
        <v>16</v>
      </c>
      <c r="C466" s="1">
        <v>39234</v>
      </c>
      <c r="D466">
        <v>4704588320.8599997</v>
      </c>
      <c r="E466">
        <v>3</v>
      </c>
    </row>
    <row r="467" spans="2:5" x14ac:dyDescent="0.25">
      <c r="B467" s="1" t="s">
        <v>13</v>
      </c>
      <c r="C467" s="1">
        <v>39234</v>
      </c>
      <c r="D467">
        <v>3991515759.6700001</v>
      </c>
      <c r="E467">
        <v>4</v>
      </c>
    </row>
    <row r="468" spans="2:5" x14ac:dyDescent="0.25">
      <c r="B468" s="1" t="s">
        <v>4</v>
      </c>
      <c r="C468" s="1">
        <v>39234</v>
      </c>
      <c r="D468">
        <v>3191185857.5799999</v>
      </c>
      <c r="E468">
        <v>5</v>
      </c>
    </row>
    <row r="469" spans="2:5" x14ac:dyDescent="0.25">
      <c r="B469" s="1" t="s">
        <v>57</v>
      </c>
      <c r="C469" s="1">
        <v>39234</v>
      </c>
      <c r="D469">
        <v>3057896153.2199998</v>
      </c>
      <c r="E469">
        <v>6</v>
      </c>
    </row>
    <row r="470" spans="2:5" x14ac:dyDescent="0.25">
      <c r="B470" s="1" t="s">
        <v>25</v>
      </c>
      <c r="C470" s="1">
        <v>39234</v>
      </c>
      <c r="D470">
        <v>2404088259.6199999</v>
      </c>
      <c r="E470">
        <v>7</v>
      </c>
    </row>
    <row r="471" spans="2:5" x14ac:dyDescent="0.25">
      <c r="B471" s="1" t="s">
        <v>30</v>
      </c>
      <c r="C471" s="1">
        <v>39234</v>
      </c>
      <c r="D471">
        <v>1615440788.0799999</v>
      </c>
      <c r="E471">
        <v>8</v>
      </c>
    </row>
    <row r="472" spans="2:5" x14ac:dyDescent="0.25">
      <c r="B472" s="1" t="s">
        <v>58</v>
      </c>
      <c r="C472" s="1">
        <v>39234</v>
      </c>
      <c r="D472">
        <v>1553581133.7</v>
      </c>
      <c r="E472">
        <v>9</v>
      </c>
    </row>
    <row r="473" spans="2:5" x14ac:dyDescent="0.25">
      <c r="B473" s="1" t="s">
        <v>12</v>
      </c>
      <c r="C473" s="1">
        <v>39234</v>
      </c>
      <c r="D473">
        <v>1300992636.03</v>
      </c>
      <c r="E473">
        <v>10</v>
      </c>
    </row>
    <row r="474" spans="2:5" x14ac:dyDescent="0.25">
      <c r="B474" s="1" t="s">
        <v>6</v>
      </c>
      <c r="C474" s="1">
        <v>39264</v>
      </c>
      <c r="D474">
        <v>17586653532.040001</v>
      </c>
      <c r="E474">
        <v>1</v>
      </c>
    </row>
    <row r="475" spans="2:5" x14ac:dyDescent="0.25">
      <c r="B475" s="1" t="s">
        <v>7</v>
      </c>
      <c r="C475" s="1">
        <v>39264</v>
      </c>
      <c r="D475">
        <v>17142662362.059999</v>
      </c>
      <c r="E475">
        <v>2</v>
      </c>
    </row>
    <row r="476" spans="2:5" x14ac:dyDescent="0.25">
      <c r="B476" s="1" t="s">
        <v>16</v>
      </c>
      <c r="C476" s="1">
        <v>39264</v>
      </c>
      <c r="D476">
        <v>4300836247.1300001</v>
      </c>
      <c r="E476">
        <v>3</v>
      </c>
    </row>
    <row r="477" spans="2:5" x14ac:dyDescent="0.25">
      <c r="B477" s="1" t="s">
        <v>4</v>
      </c>
      <c r="C477" s="1">
        <v>39264</v>
      </c>
      <c r="D477">
        <v>3836560339.73</v>
      </c>
      <c r="E477">
        <v>4</v>
      </c>
    </row>
    <row r="478" spans="2:5" x14ac:dyDescent="0.25">
      <c r="B478" s="1" t="s">
        <v>13</v>
      </c>
      <c r="C478" s="1">
        <v>39264</v>
      </c>
      <c r="D478">
        <v>2731478604.6999998</v>
      </c>
      <c r="E478">
        <v>5</v>
      </c>
    </row>
    <row r="479" spans="2:5" x14ac:dyDescent="0.25">
      <c r="B479" s="1" t="s">
        <v>57</v>
      </c>
      <c r="C479" s="1">
        <v>39264</v>
      </c>
      <c r="D479">
        <v>2307181922.4299998</v>
      </c>
      <c r="E479">
        <v>6</v>
      </c>
    </row>
    <row r="480" spans="2:5" x14ac:dyDescent="0.25">
      <c r="B480" s="1" t="s">
        <v>25</v>
      </c>
      <c r="C480" s="1">
        <v>39264</v>
      </c>
      <c r="D480">
        <v>2278819237.3600001</v>
      </c>
      <c r="E480">
        <v>7</v>
      </c>
    </row>
    <row r="481" spans="2:5" x14ac:dyDescent="0.25">
      <c r="B481" s="1" t="s">
        <v>58</v>
      </c>
      <c r="C481" s="1">
        <v>39264</v>
      </c>
      <c r="D481">
        <v>1906852083.95</v>
      </c>
      <c r="E481">
        <v>8</v>
      </c>
    </row>
    <row r="482" spans="2:5" x14ac:dyDescent="0.25">
      <c r="B482" s="1" t="s">
        <v>21</v>
      </c>
      <c r="C482" s="1">
        <v>39264</v>
      </c>
      <c r="D482">
        <v>1394224530.9200001</v>
      </c>
      <c r="E482">
        <v>9</v>
      </c>
    </row>
    <row r="483" spans="2:5" x14ac:dyDescent="0.25">
      <c r="B483" s="1" t="s">
        <v>30</v>
      </c>
      <c r="C483" s="1">
        <v>39264</v>
      </c>
      <c r="D483">
        <v>1316223375.74</v>
      </c>
      <c r="E483">
        <v>10</v>
      </c>
    </row>
    <row r="484" spans="2:5" x14ac:dyDescent="0.25">
      <c r="B484" s="1" t="s">
        <v>6</v>
      </c>
      <c r="C484" s="1">
        <v>39295</v>
      </c>
      <c r="D484">
        <v>15188068031.41</v>
      </c>
      <c r="E484">
        <v>1</v>
      </c>
    </row>
    <row r="485" spans="2:5" x14ac:dyDescent="0.25">
      <c r="B485" s="1" t="s">
        <v>7</v>
      </c>
      <c r="C485" s="1">
        <v>39295</v>
      </c>
      <c r="D485">
        <v>14698388639.51</v>
      </c>
      <c r="E485">
        <v>2</v>
      </c>
    </row>
    <row r="486" spans="2:5" x14ac:dyDescent="0.25">
      <c r="B486" s="1" t="s">
        <v>13</v>
      </c>
      <c r="C486" s="1">
        <v>39295</v>
      </c>
      <c r="D486">
        <v>6018415234.2799997</v>
      </c>
      <c r="E486">
        <v>3</v>
      </c>
    </row>
    <row r="487" spans="2:5" x14ac:dyDescent="0.25">
      <c r="B487" s="1" t="s">
        <v>16</v>
      </c>
      <c r="C487" s="1">
        <v>39295</v>
      </c>
      <c r="D487">
        <v>4368969208.9799995</v>
      </c>
      <c r="E487">
        <v>4</v>
      </c>
    </row>
    <row r="488" spans="2:5" x14ac:dyDescent="0.25">
      <c r="B488" s="1" t="s">
        <v>4</v>
      </c>
      <c r="C488" s="1">
        <v>39295</v>
      </c>
      <c r="D488">
        <v>3303187212.9200001</v>
      </c>
      <c r="E488">
        <v>5</v>
      </c>
    </row>
    <row r="489" spans="2:5" x14ac:dyDescent="0.25">
      <c r="B489" s="1" t="s">
        <v>57</v>
      </c>
      <c r="C489" s="1">
        <v>39295</v>
      </c>
      <c r="D489">
        <v>2842855885.04</v>
      </c>
      <c r="E489">
        <v>6</v>
      </c>
    </row>
    <row r="490" spans="2:5" x14ac:dyDescent="0.25">
      <c r="B490" s="1" t="s">
        <v>30</v>
      </c>
      <c r="C490" s="1">
        <v>39295</v>
      </c>
      <c r="D490">
        <v>2292513360.1999998</v>
      </c>
      <c r="E490">
        <v>7</v>
      </c>
    </row>
    <row r="491" spans="2:5" x14ac:dyDescent="0.25">
      <c r="B491" s="1" t="s">
        <v>25</v>
      </c>
      <c r="C491" s="1">
        <v>39295</v>
      </c>
      <c r="D491">
        <v>1841737385.8499999</v>
      </c>
      <c r="E491">
        <v>8</v>
      </c>
    </row>
    <row r="492" spans="2:5" x14ac:dyDescent="0.25">
      <c r="B492" s="1" t="s">
        <v>31</v>
      </c>
      <c r="C492" s="1">
        <v>39295</v>
      </c>
      <c r="D492">
        <v>1807624275.1300001</v>
      </c>
      <c r="E492">
        <v>9</v>
      </c>
    </row>
    <row r="493" spans="2:5" x14ac:dyDescent="0.25">
      <c r="B493" s="1" t="s">
        <v>58</v>
      </c>
      <c r="C493" s="1">
        <v>39295</v>
      </c>
      <c r="D493">
        <v>1714739832.1500001</v>
      </c>
      <c r="E493">
        <v>10</v>
      </c>
    </row>
    <row r="494" spans="2:5" x14ac:dyDescent="0.25">
      <c r="B494" s="1" t="s">
        <v>6</v>
      </c>
      <c r="C494" s="1">
        <v>39326</v>
      </c>
      <c r="D494">
        <v>13829268759.76</v>
      </c>
      <c r="E494">
        <v>1</v>
      </c>
    </row>
    <row r="495" spans="2:5" x14ac:dyDescent="0.25">
      <c r="B495" s="1" t="s">
        <v>7</v>
      </c>
      <c r="C495" s="1">
        <v>39326</v>
      </c>
      <c r="D495">
        <v>10643238075.370001</v>
      </c>
      <c r="E495">
        <v>2</v>
      </c>
    </row>
    <row r="496" spans="2:5" x14ac:dyDescent="0.25">
      <c r="B496" s="1" t="s">
        <v>13</v>
      </c>
      <c r="C496" s="1">
        <v>39326</v>
      </c>
      <c r="D496">
        <v>5143069384.9799995</v>
      </c>
      <c r="E496">
        <v>3</v>
      </c>
    </row>
    <row r="497" spans="2:5" x14ac:dyDescent="0.25">
      <c r="B497" s="1" t="s">
        <v>16</v>
      </c>
      <c r="C497" s="1">
        <v>39326</v>
      </c>
      <c r="D497">
        <v>4890121630.1499996</v>
      </c>
      <c r="E497">
        <v>4</v>
      </c>
    </row>
    <row r="498" spans="2:5" x14ac:dyDescent="0.25">
      <c r="B498" s="1" t="s">
        <v>4</v>
      </c>
      <c r="C498" s="1">
        <v>39326</v>
      </c>
      <c r="D498">
        <v>3854877579.4699998</v>
      </c>
      <c r="E498">
        <v>5</v>
      </c>
    </row>
    <row r="499" spans="2:5" x14ac:dyDescent="0.25">
      <c r="B499" s="1" t="s">
        <v>25</v>
      </c>
      <c r="C499" s="1">
        <v>39326</v>
      </c>
      <c r="D499">
        <v>2847267157.4000001</v>
      </c>
      <c r="E499">
        <v>6</v>
      </c>
    </row>
    <row r="500" spans="2:5" x14ac:dyDescent="0.25">
      <c r="B500" s="1" t="s">
        <v>57</v>
      </c>
      <c r="C500" s="1">
        <v>39326</v>
      </c>
      <c r="D500">
        <v>2458473903.25</v>
      </c>
      <c r="E500">
        <v>7</v>
      </c>
    </row>
    <row r="501" spans="2:5" x14ac:dyDescent="0.25">
      <c r="B501" s="1" t="s">
        <v>21</v>
      </c>
      <c r="C501" s="1">
        <v>39326</v>
      </c>
      <c r="D501">
        <v>1994254729.6099999</v>
      </c>
      <c r="E501">
        <v>8</v>
      </c>
    </row>
    <row r="502" spans="2:5" x14ac:dyDescent="0.25">
      <c r="B502" s="1" t="s">
        <v>58</v>
      </c>
      <c r="C502" s="1">
        <v>39326</v>
      </c>
      <c r="D502">
        <v>1388548009.76</v>
      </c>
      <c r="E502">
        <v>9</v>
      </c>
    </row>
    <row r="503" spans="2:5" x14ac:dyDescent="0.25">
      <c r="B503" s="1" t="s">
        <v>31</v>
      </c>
      <c r="C503" s="1">
        <v>39326</v>
      </c>
      <c r="D503">
        <v>1387272814.27</v>
      </c>
      <c r="E503">
        <v>10</v>
      </c>
    </row>
    <row r="504" spans="2:5" x14ac:dyDescent="0.25">
      <c r="B504" s="1" t="s">
        <v>6</v>
      </c>
      <c r="C504" s="1">
        <v>39356</v>
      </c>
      <c r="D504">
        <v>16061360740.030001</v>
      </c>
      <c r="E504">
        <v>1</v>
      </c>
    </row>
    <row r="505" spans="2:5" x14ac:dyDescent="0.25">
      <c r="B505" s="1" t="s">
        <v>7</v>
      </c>
      <c r="C505" s="1">
        <v>39356</v>
      </c>
      <c r="D505">
        <v>12406881529.92</v>
      </c>
      <c r="E505">
        <v>2</v>
      </c>
    </row>
    <row r="506" spans="2:5" x14ac:dyDescent="0.25">
      <c r="B506" s="1" t="s">
        <v>13</v>
      </c>
      <c r="C506" s="1">
        <v>39356</v>
      </c>
      <c r="D506">
        <v>4689720335.75</v>
      </c>
      <c r="E506">
        <v>3</v>
      </c>
    </row>
    <row r="507" spans="2:5" x14ac:dyDescent="0.25">
      <c r="B507" s="1" t="s">
        <v>4</v>
      </c>
      <c r="C507" s="1">
        <v>39356</v>
      </c>
      <c r="D507">
        <v>4057104000.5</v>
      </c>
      <c r="E507">
        <v>4</v>
      </c>
    </row>
    <row r="508" spans="2:5" x14ac:dyDescent="0.25">
      <c r="B508" s="1" t="s">
        <v>16</v>
      </c>
      <c r="C508" s="1">
        <v>39356</v>
      </c>
      <c r="D508">
        <v>2974413615.9000001</v>
      </c>
      <c r="E508">
        <v>5</v>
      </c>
    </row>
    <row r="509" spans="2:5" x14ac:dyDescent="0.25">
      <c r="B509" s="1" t="s">
        <v>57</v>
      </c>
      <c r="C509" s="1">
        <v>39356</v>
      </c>
      <c r="D509">
        <v>2052835599.0899999</v>
      </c>
      <c r="E509">
        <v>6</v>
      </c>
    </row>
    <row r="510" spans="2:5" x14ac:dyDescent="0.25">
      <c r="B510" s="1" t="s">
        <v>25</v>
      </c>
      <c r="C510" s="1">
        <v>39356</v>
      </c>
      <c r="D510">
        <v>1932771583.74</v>
      </c>
      <c r="E510">
        <v>7</v>
      </c>
    </row>
    <row r="511" spans="2:5" x14ac:dyDescent="0.25">
      <c r="B511" s="1" t="s">
        <v>31</v>
      </c>
      <c r="C511" s="1">
        <v>39356</v>
      </c>
      <c r="D511">
        <v>1716047375.54</v>
      </c>
      <c r="E511">
        <v>8</v>
      </c>
    </row>
    <row r="512" spans="2:5" x14ac:dyDescent="0.25">
      <c r="B512" s="1" t="s">
        <v>12</v>
      </c>
      <c r="C512" s="1">
        <v>39356</v>
      </c>
      <c r="D512">
        <v>1632374005.76</v>
      </c>
      <c r="E512">
        <v>9</v>
      </c>
    </row>
    <row r="513" spans="2:5" x14ac:dyDescent="0.25">
      <c r="B513" s="1" t="s">
        <v>30</v>
      </c>
      <c r="C513" s="1">
        <v>39356</v>
      </c>
      <c r="D513">
        <v>1627179406.9100001</v>
      </c>
      <c r="E513">
        <v>10</v>
      </c>
    </row>
    <row r="514" spans="2:5" x14ac:dyDescent="0.25">
      <c r="B514" s="1" t="s">
        <v>6</v>
      </c>
      <c r="C514" s="1">
        <v>39387</v>
      </c>
      <c r="D514">
        <v>13009808173.709999</v>
      </c>
      <c r="E514">
        <v>1</v>
      </c>
    </row>
    <row r="515" spans="2:5" x14ac:dyDescent="0.25">
      <c r="B515" s="1" t="s">
        <v>7</v>
      </c>
      <c r="C515" s="1">
        <v>39387</v>
      </c>
      <c r="D515">
        <v>11532643036.76</v>
      </c>
      <c r="E515">
        <v>2</v>
      </c>
    </row>
    <row r="516" spans="2:5" x14ac:dyDescent="0.25">
      <c r="B516" s="1" t="s">
        <v>13</v>
      </c>
      <c r="C516" s="1">
        <v>39387</v>
      </c>
      <c r="D516">
        <v>5477637374.3699999</v>
      </c>
      <c r="E516">
        <v>3</v>
      </c>
    </row>
    <row r="517" spans="2:5" x14ac:dyDescent="0.25">
      <c r="B517" s="1" t="s">
        <v>16</v>
      </c>
      <c r="C517" s="1">
        <v>39387</v>
      </c>
      <c r="D517">
        <v>4106468626.3499999</v>
      </c>
      <c r="E517">
        <v>4</v>
      </c>
    </row>
    <row r="518" spans="2:5" x14ac:dyDescent="0.25">
      <c r="B518" s="1" t="s">
        <v>30</v>
      </c>
      <c r="C518" s="1">
        <v>39387</v>
      </c>
      <c r="D518">
        <v>3005795776.6599998</v>
      </c>
      <c r="E518">
        <v>5</v>
      </c>
    </row>
    <row r="519" spans="2:5" x14ac:dyDescent="0.25">
      <c r="B519" s="1" t="s">
        <v>4</v>
      </c>
      <c r="C519" s="1">
        <v>39387</v>
      </c>
      <c r="D519">
        <v>2440915374.0100002</v>
      </c>
      <c r="E519">
        <v>6</v>
      </c>
    </row>
    <row r="520" spans="2:5" x14ac:dyDescent="0.25">
      <c r="B520" s="1" t="s">
        <v>57</v>
      </c>
      <c r="C520" s="1">
        <v>39387</v>
      </c>
      <c r="D520">
        <v>2295059599.6599998</v>
      </c>
      <c r="E520">
        <v>7</v>
      </c>
    </row>
    <row r="521" spans="2:5" x14ac:dyDescent="0.25">
      <c r="B521" s="1" t="s">
        <v>25</v>
      </c>
      <c r="C521" s="1">
        <v>39387</v>
      </c>
      <c r="D521">
        <v>1898061596.96</v>
      </c>
      <c r="E521">
        <v>8</v>
      </c>
    </row>
    <row r="522" spans="2:5" x14ac:dyDescent="0.25">
      <c r="B522" s="1" t="s">
        <v>21</v>
      </c>
      <c r="C522" s="1">
        <v>39387</v>
      </c>
      <c r="D522">
        <v>1833683351.3399999</v>
      </c>
      <c r="E522">
        <v>9</v>
      </c>
    </row>
    <row r="523" spans="2:5" x14ac:dyDescent="0.25">
      <c r="B523" s="1" t="s">
        <v>12</v>
      </c>
      <c r="C523" s="1">
        <v>39387</v>
      </c>
      <c r="D523">
        <v>1784157712.8499999</v>
      </c>
      <c r="E523">
        <v>10</v>
      </c>
    </row>
    <row r="524" spans="2:5" x14ac:dyDescent="0.25">
      <c r="B524" s="1" t="s">
        <v>6</v>
      </c>
      <c r="C524" s="1">
        <v>39417</v>
      </c>
      <c r="D524">
        <v>12603633651.940001</v>
      </c>
      <c r="E524">
        <v>1</v>
      </c>
    </row>
    <row r="525" spans="2:5" x14ac:dyDescent="0.25">
      <c r="B525" s="1" t="s">
        <v>7</v>
      </c>
      <c r="C525" s="1">
        <v>39417</v>
      </c>
      <c r="D525">
        <v>8830293939.6599998</v>
      </c>
      <c r="E525">
        <v>2</v>
      </c>
    </row>
    <row r="526" spans="2:5" x14ac:dyDescent="0.25">
      <c r="B526" s="1" t="s">
        <v>13</v>
      </c>
      <c r="C526" s="1">
        <v>39417</v>
      </c>
      <c r="D526">
        <v>6128983567.5500002</v>
      </c>
      <c r="E526">
        <v>3</v>
      </c>
    </row>
    <row r="527" spans="2:5" x14ac:dyDescent="0.25">
      <c r="B527" s="1" t="s">
        <v>16</v>
      </c>
      <c r="C527" s="1">
        <v>39417</v>
      </c>
      <c r="D527">
        <v>4784499832.4499998</v>
      </c>
      <c r="E527">
        <v>4</v>
      </c>
    </row>
    <row r="528" spans="2:5" x14ac:dyDescent="0.25">
      <c r="B528" s="1" t="s">
        <v>4</v>
      </c>
      <c r="C528" s="1">
        <v>39417</v>
      </c>
      <c r="D528">
        <v>3076234330.1399999</v>
      </c>
      <c r="E528">
        <v>5</v>
      </c>
    </row>
    <row r="529" spans="2:5" x14ac:dyDescent="0.25">
      <c r="B529" s="1" t="s">
        <v>21</v>
      </c>
      <c r="C529" s="1">
        <v>39417</v>
      </c>
      <c r="D529">
        <v>2979385823.8600001</v>
      </c>
      <c r="E529">
        <v>6</v>
      </c>
    </row>
    <row r="530" spans="2:5" x14ac:dyDescent="0.25">
      <c r="B530" s="1" t="s">
        <v>57</v>
      </c>
      <c r="C530" s="1">
        <v>39417</v>
      </c>
      <c r="D530">
        <v>2878585849.6500001</v>
      </c>
      <c r="E530">
        <v>7</v>
      </c>
    </row>
    <row r="531" spans="2:5" x14ac:dyDescent="0.25">
      <c r="B531" s="1" t="s">
        <v>25</v>
      </c>
      <c r="C531" s="1">
        <v>39417</v>
      </c>
      <c r="D531">
        <v>2238443049.8499999</v>
      </c>
      <c r="E531">
        <v>8</v>
      </c>
    </row>
    <row r="532" spans="2:5" x14ac:dyDescent="0.25">
      <c r="B532" s="1" t="s">
        <v>58</v>
      </c>
      <c r="C532" s="1">
        <v>39417</v>
      </c>
      <c r="D532">
        <v>1587214030.9300001</v>
      </c>
      <c r="E532">
        <v>9</v>
      </c>
    </row>
    <row r="533" spans="2:5" x14ac:dyDescent="0.25">
      <c r="B533" s="1" t="s">
        <v>12</v>
      </c>
      <c r="C533" s="1">
        <v>39417</v>
      </c>
      <c r="D533">
        <v>1533313968.5899999</v>
      </c>
      <c r="E533">
        <v>10</v>
      </c>
    </row>
    <row r="534" spans="2:5" x14ac:dyDescent="0.25">
      <c r="B534" s="1" t="s">
        <v>6</v>
      </c>
      <c r="C534" s="1">
        <v>39448</v>
      </c>
      <c r="D534">
        <v>19245031368.959999</v>
      </c>
      <c r="E534">
        <v>1</v>
      </c>
    </row>
    <row r="535" spans="2:5" x14ac:dyDescent="0.25">
      <c r="B535" s="1" t="s">
        <v>7</v>
      </c>
      <c r="C535" s="1">
        <v>39448</v>
      </c>
      <c r="D535">
        <v>16764636099.889999</v>
      </c>
      <c r="E535">
        <v>2</v>
      </c>
    </row>
    <row r="536" spans="2:5" x14ac:dyDescent="0.25">
      <c r="B536" s="1" t="s">
        <v>16</v>
      </c>
      <c r="C536" s="1">
        <v>39448</v>
      </c>
      <c r="D536">
        <v>7492129106.8599997</v>
      </c>
      <c r="E536">
        <v>3</v>
      </c>
    </row>
    <row r="537" spans="2:5" x14ac:dyDescent="0.25">
      <c r="B537" s="1" t="s">
        <v>13</v>
      </c>
      <c r="C537" s="1">
        <v>39448</v>
      </c>
      <c r="D537">
        <v>5922081670.7299995</v>
      </c>
      <c r="E537">
        <v>4</v>
      </c>
    </row>
    <row r="538" spans="2:5" x14ac:dyDescent="0.25">
      <c r="B538" s="1" t="s">
        <v>4</v>
      </c>
      <c r="C538" s="1">
        <v>39448</v>
      </c>
      <c r="D538">
        <v>2932443733.4000001</v>
      </c>
      <c r="E538">
        <v>5</v>
      </c>
    </row>
    <row r="539" spans="2:5" x14ac:dyDescent="0.25">
      <c r="B539" s="1" t="s">
        <v>25</v>
      </c>
      <c r="C539" s="1">
        <v>39448</v>
      </c>
      <c r="D539">
        <v>2777009284.9299998</v>
      </c>
      <c r="E539">
        <v>6</v>
      </c>
    </row>
    <row r="540" spans="2:5" x14ac:dyDescent="0.25">
      <c r="B540" s="1" t="s">
        <v>21</v>
      </c>
      <c r="C540" s="1">
        <v>39448</v>
      </c>
      <c r="D540">
        <v>2709598977.0999999</v>
      </c>
      <c r="E540">
        <v>7</v>
      </c>
    </row>
    <row r="541" spans="2:5" x14ac:dyDescent="0.25">
      <c r="B541" s="1" t="s">
        <v>57</v>
      </c>
      <c r="C541" s="1">
        <v>39448</v>
      </c>
      <c r="D541">
        <v>2693818093.54</v>
      </c>
      <c r="E541">
        <v>8</v>
      </c>
    </row>
    <row r="542" spans="2:5" x14ac:dyDescent="0.25">
      <c r="B542" s="1" t="s">
        <v>30</v>
      </c>
      <c r="C542" s="1">
        <v>39448</v>
      </c>
      <c r="D542">
        <v>2331516295</v>
      </c>
      <c r="E542">
        <v>9</v>
      </c>
    </row>
    <row r="543" spans="2:5" x14ac:dyDescent="0.25">
      <c r="B543" s="1" t="s">
        <v>14</v>
      </c>
      <c r="C543" s="1">
        <v>39448</v>
      </c>
      <c r="D543">
        <v>2149075513.8000002</v>
      </c>
      <c r="E543">
        <v>10</v>
      </c>
    </row>
    <row r="544" spans="2:5" x14ac:dyDescent="0.25">
      <c r="B544" s="1" t="s">
        <v>6</v>
      </c>
      <c r="C544" s="1">
        <v>39479</v>
      </c>
      <c r="D544">
        <v>14202157043.27</v>
      </c>
      <c r="E544">
        <v>1</v>
      </c>
    </row>
    <row r="545" spans="2:5" x14ac:dyDescent="0.25">
      <c r="B545" s="1" t="s">
        <v>7</v>
      </c>
      <c r="C545" s="1">
        <v>39479</v>
      </c>
      <c r="D545">
        <v>12621973781.870001</v>
      </c>
      <c r="E545">
        <v>2</v>
      </c>
    </row>
    <row r="546" spans="2:5" x14ac:dyDescent="0.25">
      <c r="B546" s="1" t="s">
        <v>13</v>
      </c>
      <c r="C546" s="1">
        <v>39479</v>
      </c>
      <c r="D546">
        <v>5195462052.75</v>
      </c>
      <c r="E546">
        <v>3</v>
      </c>
    </row>
    <row r="547" spans="2:5" x14ac:dyDescent="0.25">
      <c r="B547" s="1" t="s">
        <v>16</v>
      </c>
      <c r="C547" s="1">
        <v>39479</v>
      </c>
      <c r="D547">
        <v>3462535631.8600001</v>
      </c>
      <c r="E547">
        <v>4</v>
      </c>
    </row>
    <row r="548" spans="2:5" x14ac:dyDescent="0.25">
      <c r="B548" s="1" t="s">
        <v>4</v>
      </c>
      <c r="C548" s="1">
        <v>39479</v>
      </c>
      <c r="D548">
        <v>2947586166.1999998</v>
      </c>
      <c r="E548">
        <v>5</v>
      </c>
    </row>
    <row r="549" spans="2:5" x14ac:dyDescent="0.25">
      <c r="B549" s="1" t="s">
        <v>57</v>
      </c>
      <c r="C549" s="1">
        <v>39479</v>
      </c>
      <c r="D549">
        <v>2827494752.0799999</v>
      </c>
      <c r="E549">
        <v>6</v>
      </c>
    </row>
    <row r="550" spans="2:5" x14ac:dyDescent="0.25">
      <c r="B550" s="1" t="s">
        <v>25</v>
      </c>
      <c r="C550" s="1">
        <v>39479</v>
      </c>
      <c r="D550">
        <v>2775332433.4299998</v>
      </c>
      <c r="E550">
        <v>7</v>
      </c>
    </row>
    <row r="551" spans="2:5" x14ac:dyDescent="0.25">
      <c r="B551" s="1" t="s">
        <v>30</v>
      </c>
      <c r="C551" s="1">
        <v>39479</v>
      </c>
      <c r="D551">
        <v>1603611344.5899999</v>
      </c>
      <c r="E551">
        <v>8</v>
      </c>
    </row>
    <row r="552" spans="2:5" x14ac:dyDescent="0.25">
      <c r="B552" s="1" t="s">
        <v>58</v>
      </c>
      <c r="C552" s="1">
        <v>39479</v>
      </c>
      <c r="D552">
        <v>1429750310.99</v>
      </c>
      <c r="E552">
        <v>9</v>
      </c>
    </row>
    <row r="553" spans="2:5" x14ac:dyDescent="0.25">
      <c r="B553" s="1" t="s">
        <v>21</v>
      </c>
      <c r="C553" s="1">
        <v>39479</v>
      </c>
      <c r="D553">
        <v>1136876862.78</v>
      </c>
      <c r="E553">
        <v>10</v>
      </c>
    </row>
    <row r="554" spans="2:5" x14ac:dyDescent="0.25">
      <c r="B554" s="1" t="s">
        <v>6</v>
      </c>
      <c r="C554" s="1">
        <v>39508</v>
      </c>
      <c r="D554">
        <v>18869156796.220001</v>
      </c>
      <c r="E554">
        <v>1</v>
      </c>
    </row>
    <row r="555" spans="2:5" x14ac:dyDescent="0.25">
      <c r="B555" s="1" t="s">
        <v>7</v>
      </c>
      <c r="C555" s="1">
        <v>39508</v>
      </c>
      <c r="D555">
        <v>15666973862.35</v>
      </c>
      <c r="E555">
        <v>2</v>
      </c>
    </row>
    <row r="556" spans="2:5" x14ac:dyDescent="0.25">
      <c r="B556" s="1" t="s">
        <v>13</v>
      </c>
      <c r="C556" s="1">
        <v>39508</v>
      </c>
      <c r="D556">
        <v>10463321114.809999</v>
      </c>
      <c r="E556">
        <v>3</v>
      </c>
    </row>
    <row r="557" spans="2:5" x14ac:dyDescent="0.25">
      <c r="B557" s="1" t="s">
        <v>16</v>
      </c>
      <c r="C557" s="1">
        <v>39508</v>
      </c>
      <c r="D557">
        <v>8263551375.8699999</v>
      </c>
      <c r="E557">
        <v>4</v>
      </c>
    </row>
    <row r="558" spans="2:5" x14ac:dyDescent="0.25">
      <c r="B558" s="1" t="s">
        <v>57</v>
      </c>
      <c r="C558" s="1">
        <v>39508</v>
      </c>
      <c r="D558">
        <v>4670013910.6199999</v>
      </c>
      <c r="E558">
        <v>5</v>
      </c>
    </row>
    <row r="559" spans="2:5" x14ac:dyDescent="0.25">
      <c r="B559" s="1" t="s">
        <v>4</v>
      </c>
      <c r="C559" s="1">
        <v>39508</v>
      </c>
      <c r="D559">
        <v>4475362907.0500002</v>
      </c>
      <c r="E559">
        <v>6</v>
      </c>
    </row>
    <row r="560" spans="2:5" x14ac:dyDescent="0.25">
      <c r="B560" s="1" t="s">
        <v>30</v>
      </c>
      <c r="C560" s="1">
        <v>39508</v>
      </c>
      <c r="D560">
        <v>3021716833.79</v>
      </c>
      <c r="E560">
        <v>7</v>
      </c>
    </row>
    <row r="561" spans="2:5" x14ac:dyDescent="0.25">
      <c r="B561" s="1" t="s">
        <v>25</v>
      </c>
      <c r="C561" s="1">
        <v>39508</v>
      </c>
      <c r="D561">
        <v>2956410222.3499999</v>
      </c>
      <c r="E561">
        <v>8</v>
      </c>
    </row>
    <row r="562" spans="2:5" x14ac:dyDescent="0.25">
      <c r="B562" s="1" t="s">
        <v>12</v>
      </c>
      <c r="C562" s="1">
        <v>39508</v>
      </c>
      <c r="D562">
        <v>2148417999.02</v>
      </c>
      <c r="E562">
        <v>9</v>
      </c>
    </row>
    <row r="563" spans="2:5" x14ac:dyDescent="0.25">
      <c r="B563" s="1" t="s">
        <v>21</v>
      </c>
      <c r="C563" s="1">
        <v>39508</v>
      </c>
      <c r="D563">
        <v>1446007033.96</v>
      </c>
      <c r="E563">
        <v>10</v>
      </c>
    </row>
    <row r="564" spans="2:5" x14ac:dyDescent="0.25">
      <c r="B564" s="1" t="s">
        <v>6</v>
      </c>
      <c r="C564" s="1">
        <v>39539</v>
      </c>
      <c r="D564">
        <v>9926586445.7800007</v>
      </c>
      <c r="E564">
        <v>1</v>
      </c>
    </row>
    <row r="565" spans="2:5" x14ac:dyDescent="0.25">
      <c r="B565" s="1" t="s">
        <v>7</v>
      </c>
      <c r="C565" s="1">
        <v>39539</v>
      </c>
      <c r="D565">
        <v>9604764183.2199993</v>
      </c>
      <c r="E565">
        <v>2</v>
      </c>
    </row>
    <row r="566" spans="2:5" x14ac:dyDescent="0.25">
      <c r="B566" s="1" t="s">
        <v>13</v>
      </c>
      <c r="C566" s="1">
        <v>39539</v>
      </c>
      <c r="D566">
        <v>8335762574.4099998</v>
      </c>
      <c r="E566">
        <v>3</v>
      </c>
    </row>
    <row r="567" spans="2:5" x14ac:dyDescent="0.25">
      <c r="B567" s="1" t="s">
        <v>4</v>
      </c>
      <c r="C567" s="1">
        <v>39539</v>
      </c>
      <c r="D567">
        <v>7148555769.2600002</v>
      </c>
      <c r="E567">
        <v>4</v>
      </c>
    </row>
    <row r="568" spans="2:5" x14ac:dyDescent="0.25">
      <c r="B568" s="1" t="s">
        <v>16</v>
      </c>
      <c r="C568" s="1">
        <v>39539</v>
      </c>
      <c r="D568">
        <v>2918959286.4000001</v>
      </c>
      <c r="E568">
        <v>5</v>
      </c>
    </row>
    <row r="569" spans="2:5" x14ac:dyDescent="0.25">
      <c r="B569" s="1" t="s">
        <v>25</v>
      </c>
      <c r="C569" s="1">
        <v>39539</v>
      </c>
      <c r="D569">
        <v>2689977192.96</v>
      </c>
      <c r="E569">
        <v>6</v>
      </c>
    </row>
    <row r="570" spans="2:5" x14ac:dyDescent="0.25">
      <c r="B570" s="1" t="s">
        <v>14</v>
      </c>
      <c r="C570" s="1">
        <v>39539</v>
      </c>
      <c r="D570">
        <v>2282514196.4699998</v>
      </c>
      <c r="E570">
        <v>7</v>
      </c>
    </row>
    <row r="571" spans="2:5" x14ac:dyDescent="0.25">
      <c r="B571" s="1" t="s">
        <v>58</v>
      </c>
      <c r="C571" s="1">
        <v>39539</v>
      </c>
      <c r="D571">
        <v>1448382903.7</v>
      </c>
      <c r="E571">
        <v>8</v>
      </c>
    </row>
    <row r="572" spans="2:5" x14ac:dyDescent="0.25">
      <c r="B572" s="1" t="s">
        <v>30</v>
      </c>
      <c r="C572" s="1">
        <v>39539</v>
      </c>
      <c r="D572">
        <v>1435114914.6099999</v>
      </c>
      <c r="E572">
        <v>9</v>
      </c>
    </row>
    <row r="573" spans="2:5" x14ac:dyDescent="0.25">
      <c r="B573" s="1" t="s">
        <v>57</v>
      </c>
      <c r="C573" s="1">
        <v>39539</v>
      </c>
      <c r="D573">
        <v>1287479108.4200001</v>
      </c>
      <c r="E573">
        <v>10</v>
      </c>
    </row>
    <row r="574" spans="2:5" x14ac:dyDescent="0.25">
      <c r="B574" s="1" t="s">
        <v>6</v>
      </c>
      <c r="C574" s="1">
        <v>39569</v>
      </c>
      <c r="D574">
        <v>13677637389.280001</v>
      </c>
      <c r="E574">
        <v>1</v>
      </c>
    </row>
    <row r="575" spans="2:5" x14ac:dyDescent="0.25">
      <c r="B575" s="1" t="s">
        <v>7</v>
      </c>
      <c r="C575" s="1">
        <v>39569</v>
      </c>
      <c r="D575">
        <v>11260841584.469999</v>
      </c>
      <c r="E575">
        <v>2</v>
      </c>
    </row>
    <row r="576" spans="2:5" x14ac:dyDescent="0.25">
      <c r="B576" s="1" t="s">
        <v>13</v>
      </c>
      <c r="C576" s="1">
        <v>39569</v>
      </c>
      <c r="D576">
        <v>7725471901.6400003</v>
      </c>
      <c r="E576">
        <v>3</v>
      </c>
    </row>
    <row r="577" spans="2:5" x14ac:dyDescent="0.25">
      <c r="B577" s="1" t="s">
        <v>4</v>
      </c>
      <c r="C577" s="1">
        <v>39569</v>
      </c>
      <c r="D577">
        <v>5086138597.2299995</v>
      </c>
      <c r="E577">
        <v>4</v>
      </c>
    </row>
    <row r="578" spans="2:5" x14ac:dyDescent="0.25">
      <c r="B578" s="1" t="s">
        <v>16</v>
      </c>
      <c r="C578" s="1">
        <v>39569</v>
      </c>
      <c r="D578">
        <v>4264804845.6999998</v>
      </c>
      <c r="E578">
        <v>5</v>
      </c>
    </row>
    <row r="579" spans="2:5" x14ac:dyDescent="0.25">
      <c r="B579" s="1" t="s">
        <v>25</v>
      </c>
      <c r="C579" s="1">
        <v>39569</v>
      </c>
      <c r="D579">
        <v>3658268824.0300002</v>
      </c>
      <c r="E579">
        <v>6</v>
      </c>
    </row>
    <row r="580" spans="2:5" x14ac:dyDescent="0.25">
      <c r="B580" s="1" t="s">
        <v>57</v>
      </c>
      <c r="C580" s="1">
        <v>39569</v>
      </c>
      <c r="D580">
        <v>2994126799.2199998</v>
      </c>
      <c r="E580">
        <v>7</v>
      </c>
    </row>
    <row r="581" spans="2:5" x14ac:dyDescent="0.25">
      <c r="B581" s="1" t="s">
        <v>58</v>
      </c>
      <c r="C581" s="1">
        <v>39569</v>
      </c>
      <c r="D581">
        <v>1694093260.71</v>
      </c>
      <c r="E581">
        <v>8</v>
      </c>
    </row>
    <row r="582" spans="2:5" x14ac:dyDescent="0.25">
      <c r="B582" s="1" t="s">
        <v>12</v>
      </c>
      <c r="C582" s="1">
        <v>39569</v>
      </c>
      <c r="D582">
        <v>1350233547.8599999</v>
      </c>
      <c r="E582">
        <v>9</v>
      </c>
    </row>
    <row r="583" spans="2:5" x14ac:dyDescent="0.25">
      <c r="B583" s="1" t="s">
        <v>14</v>
      </c>
      <c r="C583" s="1">
        <v>39569</v>
      </c>
      <c r="D583">
        <v>923555801.51999998</v>
      </c>
      <c r="E583">
        <v>10</v>
      </c>
    </row>
    <row r="584" spans="2:5" x14ac:dyDescent="0.25">
      <c r="B584" s="1" t="s">
        <v>6</v>
      </c>
      <c r="C584" s="1">
        <v>39600</v>
      </c>
      <c r="D584">
        <v>16065557997.07</v>
      </c>
      <c r="E584">
        <v>1</v>
      </c>
    </row>
    <row r="585" spans="2:5" x14ac:dyDescent="0.25">
      <c r="B585" s="1" t="s">
        <v>7</v>
      </c>
      <c r="C585" s="1">
        <v>39600</v>
      </c>
      <c r="D585">
        <v>11100913368.030001</v>
      </c>
      <c r="E585">
        <v>2</v>
      </c>
    </row>
    <row r="586" spans="2:5" x14ac:dyDescent="0.25">
      <c r="B586" s="1" t="s">
        <v>16</v>
      </c>
      <c r="C586" s="1">
        <v>39600</v>
      </c>
      <c r="D586">
        <v>9252210769.0799999</v>
      </c>
      <c r="E586">
        <v>3</v>
      </c>
    </row>
    <row r="587" spans="2:5" x14ac:dyDescent="0.25">
      <c r="B587" s="1" t="s">
        <v>13</v>
      </c>
      <c r="C587" s="1">
        <v>39600</v>
      </c>
      <c r="D587">
        <v>9073366756.0400009</v>
      </c>
      <c r="E587">
        <v>4</v>
      </c>
    </row>
    <row r="588" spans="2:5" x14ac:dyDescent="0.25">
      <c r="B588" s="1" t="s">
        <v>4</v>
      </c>
      <c r="C588" s="1">
        <v>39600</v>
      </c>
      <c r="D588">
        <v>4547919746.75</v>
      </c>
      <c r="E588">
        <v>5</v>
      </c>
    </row>
    <row r="589" spans="2:5" x14ac:dyDescent="0.25">
      <c r="B589" s="1" t="s">
        <v>25</v>
      </c>
      <c r="C589" s="1">
        <v>39600</v>
      </c>
      <c r="D589">
        <v>3305671422.6199999</v>
      </c>
      <c r="E589">
        <v>6</v>
      </c>
    </row>
    <row r="590" spans="2:5" x14ac:dyDescent="0.25">
      <c r="B590" s="1" t="s">
        <v>14</v>
      </c>
      <c r="C590" s="1">
        <v>39600</v>
      </c>
      <c r="D590">
        <v>3073082012.29</v>
      </c>
      <c r="E590">
        <v>7</v>
      </c>
    </row>
    <row r="591" spans="2:5" x14ac:dyDescent="0.25">
      <c r="B591" s="1" t="s">
        <v>57</v>
      </c>
      <c r="C591" s="1">
        <v>39600</v>
      </c>
      <c r="D591">
        <v>2181523294.0300002</v>
      </c>
      <c r="E591">
        <v>8</v>
      </c>
    </row>
    <row r="592" spans="2:5" x14ac:dyDescent="0.25">
      <c r="B592" s="1" t="s">
        <v>12</v>
      </c>
      <c r="C592" s="1">
        <v>39600</v>
      </c>
      <c r="D592">
        <v>1971286047.4300001</v>
      </c>
      <c r="E592">
        <v>9</v>
      </c>
    </row>
    <row r="593" spans="2:5" x14ac:dyDescent="0.25">
      <c r="B593" s="1" t="s">
        <v>58</v>
      </c>
      <c r="C593" s="1">
        <v>39600</v>
      </c>
      <c r="D593">
        <v>1063977303.1900001</v>
      </c>
      <c r="E593">
        <v>10</v>
      </c>
    </row>
    <row r="594" spans="2:5" x14ac:dyDescent="0.25">
      <c r="B594" s="1" t="s">
        <v>13</v>
      </c>
      <c r="C594" s="1">
        <v>39630</v>
      </c>
      <c r="D594">
        <v>12448685404.389999</v>
      </c>
      <c r="E594">
        <v>1</v>
      </c>
    </row>
    <row r="595" spans="2:5" x14ac:dyDescent="0.25">
      <c r="B595" s="1" t="s">
        <v>6</v>
      </c>
      <c r="C595" s="1">
        <v>39630</v>
      </c>
      <c r="D595">
        <v>8671992289.8500004</v>
      </c>
      <c r="E595">
        <v>2</v>
      </c>
    </row>
    <row r="596" spans="2:5" x14ac:dyDescent="0.25">
      <c r="B596" s="1" t="s">
        <v>16</v>
      </c>
      <c r="C596" s="1">
        <v>39630</v>
      </c>
      <c r="D596">
        <v>7601730535.4399996</v>
      </c>
      <c r="E596">
        <v>3</v>
      </c>
    </row>
    <row r="597" spans="2:5" x14ac:dyDescent="0.25">
      <c r="B597" s="1" t="s">
        <v>7</v>
      </c>
      <c r="C597" s="1">
        <v>39630</v>
      </c>
      <c r="D597">
        <v>5626585790.7399998</v>
      </c>
      <c r="E597">
        <v>4</v>
      </c>
    </row>
    <row r="598" spans="2:5" x14ac:dyDescent="0.25">
      <c r="B598" s="1" t="s">
        <v>4</v>
      </c>
      <c r="C598" s="1">
        <v>39630</v>
      </c>
      <c r="D598">
        <v>4410947306.1800003</v>
      </c>
      <c r="E598">
        <v>5</v>
      </c>
    </row>
    <row r="599" spans="2:5" x14ac:dyDescent="0.25">
      <c r="B599" s="1" t="s">
        <v>17</v>
      </c>
      <c r="C599" s="1">
        <v>39630</v>
      </c>
      <c r="D599">
        <v>2184280083.5799999</v>
      </c>
      <c r="E599">
        <v>6</v>
      </c>
    </row>
    <row r="600" spans="2:5" x14ac:dyDescent="0.25">
      <c r="B600" s="1" t="s">
        <v>58</v>
      </c>
      <c r="C600" s="1">
        <v>39630</v>
      </c>
      <c r="D600">
        <v>1798969583.0799999</v>
      </c>
      <c r="E600">
        <v>7</v>
      </c>
    </row>
    <row r="601" spans="2:5" x14ac:dyDescent="0.25">
      <c r="B601" s="1" t="s">
        <v>57</v>
      </c>
      <c r="C601" s="1">
        <v>39630</v>
      </c>
      <c r="D601">
        <v>1033094421.8</v>
      </c>
      <c r="E601">
        <v>8</v>
      </c>
    </row>
    <row r="602" spans="2:5" x14ac:dyDescent="0.25">
      <c r="B602" s="1" t="s">
        <v>25</v>
      </c>
      <c r="C602" s="1">
        <v>39630</v>
      </c>
      <c r="D602">
        <v>1030762827.8099999</v>
      </c>
      <c r="E602">
        <v>9</v>
      </c>
    </row>
    <row r="603" spans="2:5" x14ac:dyDescent="0.25">
      <c r="B603" s="1" t="s">
        <v>14</v>
      </c>
      <c r="C603" s="1">
        <v>39630</v>
      </c>
      <c r="D603">
        <v>783961745.63999999</v>
      </c>
      <c r="E603">
        <v>10</v>
      </c>
    </row>
    <row r="604" spans="2:5" x14ac:dyDescent="0.25">
      <c r="B604" s="1" t="s">
        <v>6</v>
      </c>
      <c r="C604" s="1">
        <v>39661</v>
      </c>
      <c r="D604">
        <v>6812598633.46</v>
      </c>
      <c r="E604">
        <v>1</v>
      </c>
    </row>
    <row r="605" spans="2:5" x14ac:dyDescent="0.25">
      <c r="B605" s="1" t="s">
        <v>13</v>
      </c>
      <c r="C605" s="1">
        <v>39661</v>
      </c>
      <c r="D605">
        <v>5651126697.8800001</v>
      </c>
      <c r="E605">
        <v>2</v>
      </c>
    </row>
    <row r="606" spans="2:5" x14ac:dyDescent="0.25">
      <c r="B606" s="1" t="s">
        <v>7</v>
      </c>
      <c r="C606" s="1">
        <v>39661</v>
      </c>
      <c r="D606">
        <v>5186273977.5699997</v>
      </c>
      <c r="E606">
        <v>3</v>
      </c>
    </row>
    <row r="607" spans="2:5" x14ac:dyDescent="0.25">
      <c r="B607" s="1" t="s">
        <v>16</v>
      </c>
      <c r="C607" s="1">
        <v>39661</v>
      </c>
      <c r="D607">
        <v>4660286494.7399998</v>
      </c>
      <c r="E607">
        <v>4</v>
      </c>
    </row>
    <row r="608" spans="2:5" x14ac:dyDescent="0.25">
      <c r="B608" s="1" t="s">
        <v>4</v>
      </c>
      <c r="C608" s="1">
        <v>39661</v>
      </c>
      <c r="D608">
        <v>3132554296.4699998</v>
      </c>
      <c r="E608">
        <v>5</v>
      </c>
    </row>
    <row r="609" spans="2:5" x14ac:dyDescent="0.25">
      <c r="B609" s="1" t="s">
        <v>58</v>
      </c>
      <c r="C609" s="1">
        <v>39661</v>
      </c>
      <c r="D609">
        <v>1499404802.6700001</v>
      </c>
      <c r="E609">
        <v>6</v>
      </c>
    </row>
    <row r="610" spans="2:5" x14ac:dyDescent="0.25">
      <c r="B610" s="1" t="s">
        <v>57</v>
      </c>
      <c r="C610" s="1">
        <v>39661</v>
      </c>
      <c r="D610">
        <v>1386167136.9100001</v>
      </c>
      <c r="E610">
        <v>7</v>
      </c>
    </row>
    <row r="611" spans="2:5" x14ac:dyDescent="0.25">
      <c r="B611" s="1" t="s">
        <v>25</v>
      </c>
      <c r="C611" s="1">
        <v>39661</v>
      </c>
      <c r="D611">
        <v>1268489048.78</v>
      </c>
      <c r="E611">
        <v>8</v>
      </c>
    </row>
    <row r="612" spans="2:5" x14ac:dyDescent="0.25">
      <c r="B612" s="1" t="s">
        <v>12</v>
      </c>
      <c r="C612" s="1">
        <v>39661</v>
      </c>
      <c r="D612">
        <v>1010293780.8</v>
      </c>
      <c r="E612">
        <v>9</v>
      </c>
    </row>
    <row r="613" spans="2:5" x14ac:dyDescent="0.25">
      <c r="B613" s="1" t="s">
        <v>30</v>
      </c>
      <c r="C613" s="1">
        <v>39661</v>
      </c>
      <c r="D613">
        <v>829429089.38</v>
      </c>
      <c r="E613">
        <v>10</v>
      </c>
    </row>
    <row r="614" spans="2:5" x14ac:dyDescent="0.25">
      <c r="B614" s="1" t="s">
        <v>13</v>
      </c>
      <c r="C614" s="1">
        <v>39692</v>
      </c>
      <c r="D614">
        <v>5479074775.4300003</v>
      </c>
      <c r="E614">
        <v>1</v>
      </c>
    </row>
    <row r="615" spans="2:5" x14ac:dyDescent="0.25">
      <c r="B615" s="1" t="s">
        <v>16</v>
      </c>
      <c r="C615" s="1">
        <v>39692</v>
      </c>
      <c r="D615">
        <v>5241802901.2700005</v>
      </c>
      <c r="E615">
        <v>2</v>
      </c>
    </row>
    <row r="616" spans="2:5" x14ac:dyDescent="0.25">
      <c r="B616" s="1" t="s">
        <v>6</v>
      </c>
      <c r="C616" s="1">
        <v>39692</v>
      </c>
      <c r="D616">
        <v>4829389929.1999998</v>
      </c>
      <c r="E616">
        <v>3</v>
      </c>
    </row>
    <row r="617" spans="2:5" x14ac:dyDescent="0.25">
      <c r="B617" s="1" t="s">
        <v>7</v>
      </c>
      <c r="C617" s="1">
        <v>39692</v>
      </c>
      <c r="D617">
        <v>3597810473.3000002</v>
      </c>
      <c r="E617">
        <v>4</v>
      </c>
    </row>
    <row r="618" spans="2:5" x14ac:dyDescent="0.25">
      <c r="B618" s="1" t="s">
        <v>4</v>
      </c>
      <c r="C618" s="1">
        <v>39692</v>
      </c>
      <c r="D618">
        <v>2450828221.6100001</v>
      </c>
      <c r="E618">
        <v>5</v>
      </c>
    </row>
    <row r="619" spans="2:5" x14ac:dyDescent="0.25">
      <c r="B619" s="1" t="s">
        <v>58</v>
      </c>
      <c r="C619" s="1">
        <v>39692</v>
      </c>
      <c r="D619">
        <v>1321486905.6099999</v>
      </c>
      <c r="E619">
        <v>6</v>
      </c>
    </row>
    <row r="620" spans="2:5" x14ac:dyDescent="0.25">
      <c r="B620" s="1" t="s">
        <v>57</v>
      </c>
      <c r="C620" s="1">
        <v>39692</v>
      </c>
      <c r="D620">
        <v>1212867361.9300001</v>
      </c>
      <c r="E620">
        <v>7</v>
      </c>
    </row>
    <row r="621" spans="2:5" x14ac:dyDescent="0.25">
      <c r="B621" s="1" t="s">
        <v>25</v>
      </c>
      <c r="C621" s="1">
        <v>39692</v>
      </c>
      <c r="D621">
        <v>997632890.15999997</v>
      </c>
      <c r="E621">
        <v>8</v>
      </c>
    </row>
    <row r="622" spans="2:5" x14ac:dyDescent="0.25">
      <c r="B622" s="1" t="s">
        <v>12</v>
      </c>
      <c r="C622" s="1">
        <v>39692</v>
      </c>
      <c r="D622">
        <v>823242354.52999997</v>
      </c>
      <c r="E622">
        <v>9</v>
      </c>
    </row>
    <row r="623" spans="2:5" x14ac:dyDescent="0.25">
      <c r="B623" s="1" t="s">
        <v>14</v>
      </c>
      <c r="C623" s="1">
        <v>39692</v>
      </c>
      <c r="D623">
        <v>572407246.50999999</v>
      </c>
      <c r="E623">
        <v>10</v>
      </c>
    </row>
    <row r="624" spans="2:5" x14ac:dyDescent="0.25">
      <c r="B624" s="1" t="s">
        <v>16</v>
      </c>
      <c r="C624" s="1">
        <v>39722</v>
      </c>
      <c r="D624">
        <v>7947690883.6099997</v>
      </c>
      <c r="E624">
        <v>1</v>
      </c>
    </row>
    <row r="625" spans="2:5" x14ac:dyDescent="0.25">
      <c r="B625" s="1" t="s">
        <v>6</v>
      </c>
      <c r="C625" s="1">
        <v>39722</v>
      </c>
      <c r="D625">
        <v>6371042917.5200005</v>
      </c>
      <c r="E625">
        <v>2</v>
      </c>
    </row>
    <row r="626" spans="2:5" x14ac:dyDescent="0.25">
      <c r="B626" s="1" t="s">
        <v>13</v>
      </c>
      <c r="C626" s="1">
        <v>39722</v>
      </c>
      <c r="D626">
        <v>5895526086.3699999</v>
      </c>
      <c r="E626">
        <v>3</v>
      </c>
    </row>
    <row r="627" spans="2:5" x14ac:dyDescent="0.25">
      <c r="B627" s="1" t="s">
        <v>7</v>
      </c>
      <c r="C627" s="1">
        <v>39722</v>
      </c>
      <c r="D627">
        <v>3209041996.9899998</v>
      </c>
      <c r="E627">
        <v>4</v>
      </c>
    </row>
    <row r="628" spans="2:5" x14ac:dyDescent="0.25">
      <c r="B628" s="1" t="s">
        <v>4</v>
      </c>
      <c r="C628" s="1">
        <v>39722</v>
      </c>
      <c r="D628">
        <v>2582559171.5799999</v>
      </c>
      <c r="E628">
        <v>5</v>
      </c>
    </row>
    <row r="629" spans="2:5" x14ac:dyDescent="0.25">
      <c r="B629" s="1" t="s">
        <v>57</v>
      </c>
      <c r="C629" s="1">
        <v>39722</v>
      </c>
      <c r="D629">
        <v>1360853316.3699999</v>
      </c>
      <c r="E629">
        <v>6</v>
      </c>
    </row>
    <row r="630" spans="2:5" x14ac:dyDescent="0.25">
      <c r="B630" s="1" t="s">
        <v>58</v>
      </c>
      <c r="C630" s="1">
        <v>39722</v>
      </c>
      <c r="D630">
        <v>1248096513.3399999</v>
      </c>
      <c r="E630">
        <v>7</v>
      </c>
    </row>
    <row r="631" spans="2:5" x14ac:dyDescent="0.25">
      <c r="B631" s="1" t="s">
        <v>25</v>
      </c>
      <c r="C631" s="1">
        <v>39722</v>
      </c>
      <c r="D631">
        <v>1136669931.97</v>
      </c>
      <c r="E631">
        <v>8</v>
      </c>
    </row>
    <row r="632" spans="2:5" x14ac:dyDescent="0.25">
      <c r="B632" s="1" t="s">
        <v>12</v>
      </c>
      <c r="C632" s="1">
        <v>39722</v>
      </c>
      <c r="D632">
        <v>1002288580.52</v>
      </c>
      <c r="E632">
        <v>9</v>
      </c>
    </row>
    <row r="633" spans="2:5" x14ac:dyDescent="0.25">
      <c r="B633" s="1" t="s">
        <v>14</v>
      </c>
      <c r="C633" s="1">
        <v>39722</v>
      </c>
      <c r="D633">
        <v>604924280.78999996</v>
      </c>
      <c r="E633">
        <v>10</v>
      </c>
    </row>
    <row r="634" spans="2:5" x14ac:dyDescent="0.25">
      <c r="B634" s="1" t="s">
        <v>13</v>
      </c>
      <c r="C634" s="1">
        <v>39753</v>
      </c>
      <c r="D634">
        <v>6263865667.6599998</v>
      </c>
      <c r="E634">
        <v>1</v>
      </c>
    </row>
    <row r="635" spans="2:5" x14ac:dyDescent="0.25">
      <c r="B635" s="1" t="s">
        <v>6</v>
      </c>
      <c r="C635" s="1">
        <v>39753</v>
      </c>
      <c r="D635">
        <v>4738956185.4300003</v>
      </c>
      <c r="E635">
        <v>2</v>
      </c>
    </row>
    <row r="636" spans="2:5" x14ac:dyDescent="0.25">
      <c r="B636" s="1" t="s">
        <v>4</v>
      </c>
      <c r="C636" s="1">
        <v>39753</v>
      </c>
      <c r="D636">
        <v>4205013863.8099999</v>
      </c>
      <c r="E636">
        <v>3</v>
      </c>
    </row>
    <row r="637" spans="2:5" x14ac:dyDescent="0.25">
      <c r="B637" s="1" t="s">
        <v>7</v>
      </c>
      <c r="C637" s="1">
        <v>39753</v>
      </c>
      <c r="D637">
        <v>3683826115.2199998</v>
      </c>
      <c r="E637">
        <v>4</v>
      </c>
    </row>
    <row r="638" spans="2:5" x14ac:dyDescent="0.25">
      <c r="B638" s="1" t="s">
        <v>14</v>
      </c>
      <c r="C638" s="1">
        <v>39753</v>
      </c>
      <c r="D638">
        <v>2094966319.4200001</v>
      </c>
      <c r="E638">
        <v>5</v>
      </c>
    </row>
    <row r="639" spans="2:5" x14ac:dyDescent="0.25">
      <c r="B639" s="1" t="s">
        <v>16</v>
      </c>
      <c r="C639" s="1">
        <v>39753</v>
      </c>
      <c r="D639">
        <v>1912251961.98</v>
      </c>
      <c r="E639">
        <v>6</v>
      </c>
    </row>
    <row r="640" spans="2:5" x14ac:dyDescent="0.25">
      <c r="B640" s="1" t="s">
        <v>25</v>
      </c>
      <c r="C640" s="1">
        <v>39753</v>
      </c>
      <c r="D640">
        <v>1470669632.5</v>
      </c>
      <c r="E640">
        <v>7</v>
      </c>
    </row>
    <row r="641" spans="2:5" x14ac:dyDescent="0.25">
      <c r="B641" s="1" t="s">
        <v>57</v>
      </c>
      <c r="C641" s="1">
        <v>39753</v>
      </c>
      <c r="D641">
        <v>1224686047.46</v>
      </c>
      <c r="E641">
        <v>8</v>
      </c>
    </row>
    <row r="642" spans="2:5" x14ac:dyDescent="0.25">
      <c r="B642" s="1" t="s">
        <v>58</v>
      </c>
      <c r="C642" s="1">
        <v>39753</v>
      </c>
      <c r="D642">
        <v>843395611.76999998</v>
      </c>
      <c r="E642">
        <v>9</v>
      </c>
    </row>
    <row r="643" spans="2:5" x14ac:dyDescent="0.25">
      <c r="B643" s="1" t="s">
        <v>12</v>
      </c>
      <c r="C643" s="1">
        <v>39753</v>
      </c>
      <c r="D643">
        <v>802393897.53999996</v>
      </c>
      <c r="E643">
        <v>10</v>
      </c>
    </row>
    <row r="644" spans="2:5" x14ac:dyDescent="0.25">
      <c r="B644" s="1" t="s">
        <v>13</v>
      </c>
      <c r="C644" s="1">
        <v>39783</v>
      </c>
      <c r="D644">
        <v>5409841465.3100004</v>
      </c>
      <c r="E644">
        <v>1</v>
      </c>
    </row>
    <row r="645" spans="2:5" x14ac:dyDescent="0.25">
      <c r="B645" s="1" t="s">
        <v>6</v>
      </c>
      <c r="C645" s="1">
        <v>39783</v>
      </c>
      <c r="D645">
        <v>4017794117.1599998</v>
      </c>
      <c r="E645">
        <v>2</v>
      </c>
    </row>
    <row r="646" spans="2:5" x14ac:dyDescent="0.25">
      <c r="B646" s="1" t="s">
        <v>16</v>
      </c>
      <c r="C646" s="1">
        <v>39783</v>
      </c>
      <c r="D646">
        <v>2663611458.3400002</v>
      </c>
      <c r="E646">
        <v>3</v>
      </c>
    </row>
    <row r="647" spans="2:5" x14ac:dyDescent="0.25">
      <c r="B647" s="1" t="s">
        <v>4</v>
      </c>
      <c r="C647" s="1">
        <v>39783</v>
      </c>
      <c r="D647">
        <v>2522728386.54</v>
      </c>
      <c r="E647">
        <v>4</v>
      </c>
    </row>
    <row r="648" spans="2:5" x14ac:dyDescent="0.25">
      <c r="B648" s="1" t="s">
        <v>7</v>
      </c>
      <c r="C648" s="1">
        <v>39783</v>
      </c>
      <c r="D648">
        <v>2158341504.3499999</v>
      </c>
      <c r="E648">
        <v>5</v>
      </c>
    </row>
    <row r="649" spans="2:5" x14ac:dyDescent="0.25">
      <c r="B649" s="1" t="s">
        <v>57</v>
      </c>
      <c r="C649" s="1">
        <v>39783</v>
      </c>
      <c r="D649">
        <v>1270133878.5</v>
      </c>
      <c r="E649">
        <v>6</v>
      </c>
    </row>
    <row r="650" spans="2:5" x14ac:dyDescent="0.25">
      <c r="B650" s="1" t="s">
        <v>14</v>
      </c>
      <c r="C650" s="1">
        <v>39783</v>
      </c>
      <c r="D650">
        <v>1047883427.5599999</v>
      </c>
      <c r="E650">
        <v>7</v>
      </c>
    </row>
    <row r="651" spans="2:5" x14ac:dyDescent="0.25">
      <c r="B651" s="1" t="s">
        <v>25</v>
      </c>
      <c r="C651" s="1">
        <v>39783</v>
      </c>
      <c r="D651">
        <v>620839697.44000006</v>
      </c>
      <c r="E651">
        <v>8</v>
      </c>
    </row>
    <row r="652" spans="2:5" x14ac:dyDescent="0.25">
      <c r="B652" s="1" t="s">
        <v>12</v>
      </c>
      <c r="C652" s="1">
        <v>39783</v>
      </c>
      <c r="D652">
        <v>587970707.45000005</v>
      </c>
      <c r="E652">
        <v>9</v>
      </c>
    </row>
    <row r="653" spans="2:5" x14ac:dyDescent="0.25">
      <c r="B653" s="1" t="s">
        <v>58</v>
      </c>
      <c r="C653" s="1">
        <v>39783</v>
      </c>
      <c r="D653">
        <v>542265349.04999995</v>
      </c>
      <c r="E653">
        <v>10</v>
      </c>
    </row>
    <row r="654" spans="2:5" x14ac:dyDescent="0.25">
      <c r="B654" s="1" t="s">
        <v>16</v>
      </c>
      <c r="C654" s="1">
        <v>39814</v>
      </c>
      <c r="D654">
        <v>8591092469.3799992</v>
      </c>
      <c r="E654">
        <v>1</v>
      </c>
    </row>
    <row r="655" spans="2:5" x14ac:dyDescent="0.25">
      <c r="B655" s="1" t="s">
        <v>13</v>
      </c>
      <c r="C655" s="1">
        <v>39814</v>
      </c>
      <c r="D655">
        <v>5863270817.7600002</v>
      </c>
      <c r="E655">
        <v>2</v>
      </c>
    </row>
    <row r="656" spans="2:5" x14ac:dyDescent="0.25">
      <c r="B656" s="1" t="s">
        <v>6</v>
      </c>
      <c r="C656" s="1">
        <v>39814</v>
      </c>
      <c r="D656">
        <v>3978802044.6900001</v>
      </c>
      <c r="E656">
        <v>3</v>
      </c>
    </row>
    <row r="657" spans="2:5" x14ac:dyDescent="0.25">
      <c r="B657" s="1" t="s">
        <v>4</v>
      </c>
      <c r="C657" s="1">
        <v>39814</v>
      </c>
      <c r="D657">
        <v>3221876765.6700001</v>
      </c>
      <c r="E657">
        <v>4</v>
      </c>
    </row>
    <row r="658" spans="2:5" x14ac:dyDescent="0.25">
      <c r="B658" s="1" t="s">
        <v>7</v>
      </c>
      <c r="C658" s="1">
        <v>39814</v>
      </c>
      <c r="D658">
        <v>2969647031.0900002</v>
      </c>
      <c r="E658">
        <v>5</v>
      </c>
    </row>
    <row r="659" spans="2:5" x14ac:dyDescent="0.25">
      <c r="B659" s="1" t="s">
        <v>37</v>
      </c>
      <c r="C659" s="1">
        <v>39814</v>
      </c>
      <c r="D659">
        <v>2255179789.8299999</v>
      </c>
      <c r="E659">
        <v>6</v>
      </c>
    </row>
    <row r="660" spans="2:5" x14ac:dyDescent="0.25">
      <c r="B660" s="1" t="s">
        <v>21</v>
      </c>
      <c r="C660" s="1">
        <v>39814</v>
      </c>
      <c r="D660">
        <v>1726263195.97</v>
      </c>
      <c r="E660">
        <v>7</v>
      </c>
    </row>
    <row r="661" spans="2:5" x14ac:dyDescent="0.25">
      <c r="B661" s="1" t="s">
        <v>61</v>
      </c>
      <c r="C661" s="1">
        <v>39814</v>
      </c>
      <c r="D661">
        <v>1515379715.46</v>
      </c>
      <c r="E661">
        <v>8</v>
      </c>
    </row>
    <row r="662" spans="2:5" x14ac:dyDescent="0.25">
      <c r="B662" s="1" t="s">
        <v>57</v>
      </c>
      <c r="C662" s="1">
        <v>39814</v>
      </c>
      <c r="D662">
        <v>1464856783.98</v>
      </c>
      <c r="E662">
        <v>9</v>
      </c>
    </row>
    <row r="663" spans="2:5" x14ac:dyDescent="0.25">
      <c r="B663" s="1" t="s">
        <v>25</v>
      </c>
      <c r="C663" s="1">
        <v>39814</v>
      </c>
      <c r="D663">
        <v>1311346711.4000001</v>
      </c>
      <c r="E663">
        <v>10</v>
      </c>
    </row>
    <row r="664" spans="2:5" x14ac:dyDescent="0.25">
      <c r="B664" s="1" t="s">
        <v>6</v>
      </c>
      <c r="C664" s="1">
        <v>39845</v>
      </c>
      <c r="D664">
        <v>4307824965.3000002</v>
      </c>
      <c r="E664">
        <v>1</v>
      </c>
    </row>
    <row r="665" spans="2:5" x14ac:dyDescent="0.25">
      <c r="B665" s="1" t="s">
        <v>13</v>
      </c>
      <c r="C665" s="1">
        <v>39845</v>
      </c>
      <c r="D665">
        <v>3776829710.1700001</v>
      </c>
      <c r="E665">
        <v>2</v>
      </c>
    </row>
    <row r="666" spans="2:5" x14ac:dyDescent="0.25">
      <c r="B666" s="1" t="s">
        <v>7</v>
      </c>
      <c r="C666" s="1">
        <v>39845</v>
      </c>
      <c r="D666">
        <v>3317104858.1599998</v>
      </c>
      <c r="E666">
        <v>3</v>
      </c>
    </row>
    <row r="667" spans="2:5" x14ac:dyDescent="0.25">
      <c r="B667" s="1" t="s">
        <v>4</v>
      </c>
      <c r="C667" s="1">
        <v>39845</v>
      </c>
      <c r="D667">
        <v>1793714935.3299999</v>
      </c>
      <c r="E667">
        <v>4</v>
      </c>
    </row>
    <row r="668" spans="2:5" x14ac:dyDescent="0.25">
      <c r="B668" s="1" t="s">
        <v>16</v>
      </c>
      <c r="C668" s="1">
        <v>39845</v>
      </c>
      <c r="D668">
        <v>963288134.89999998</v>
      </c>
      <c r="E668">
        <v>5</v>
      </c>
    </row>
    <row r="669" spans="2:5" x14ac:dyDescent="0.25">
      <c r="B669" s="1" t="s">
        <v>57</v>
      </c>
      <c r="C669" s="1">
        <v>39845</v>
      </c>
      <c r="D669">
        <v>724463965.13</v>
      </c>
      <c r="E669">
        <v>6</v>
      </c>
    </row>
    <row r="670" spans="2:5" x14ac:dyDescent="0.25">
      <c r="B670" s="1" t="s">
        <v>58</v>
      </c>
      <c r="C670" s="1">
        <v>39845</v>
      </c>
      <c r="D670">
        <v>596455268.49000001</v>
      </c>
      <c r="E670">
        <v>7</v>
      </c>
    </row>
    <row r="671" spans="2:5" x14ac:dyDescent="0.25">
      <c r="B671" s="1" t="s">
        <v>99</v>
      </c>
      <c r="C671" s="1">
        <v>39845</v>
      </c>
      <c r="D671">
        <v>583492367.36000001</v>
      </c>
      <c r="E671">
        <v>8</v>
      </c>
    </row>
    <row r="672" spans="2:5" x14ac:dyDescent="0.25">
      <c r="B672" s="1" t="s">
        <v>12</v>
      </c>
      <c r="C672" s="1">
        <v>39845</v>
      </c>
      <c r="D672">
        <v>552621931.66999996</v>
      </c>
      <c r="E672">
        <v>9</v>
      </c>
    </row>
    <row r="673" spans="2:5" x14ac:dyDescent="0.25">
      <c r="B673" s="1" t="s">
        <v>25</v>
      </c>
      <c r="C673" s="1">
        <v>39845</v>
      </c>
      <c r="D673">
        <v>548905355.99000001</v>
      </c>
      <c r="E673">
        <v>10</v>
      </c>
    </row>
    <row r="674" spans="2:5" x14ac:dyDescent="0.25">
      <c r="B674" s="1" t="s">
        <v>6</v>
      </c>
      <c r="C674" s="1">
        <v>39873</v>
      </c>
      <c r="D674">
        <v>9985509207.7099991</v>
      </c>
      <c r="E674">
        <v>1</v>
      </c>
    </row>
    <row r="675" spans="2:5" x14ac:dyDescent="0.25">
      <c r="B675" s="1" t="s">
        <v>13</v>
      </c>
      <c r="C675" s="1">
        <v>39873</v>
      </c>
      <c r="D675">
        <v>9560375140.2900009</v>
      </c>
      <c r="E675">
        <v>2</v>
      </c>
    </row>
    <row r="676" spans="2:5" x14ac:dyDescent="0.25">
      <c r="B676" s="1" t="s">
        <v>16</v>
      </c>
      <c r="C676" s="1">
        <v>39873</v>
      </c>
      <c r="D676">
        <v>2858414927.5</v>
      </c>
      <c r="E676">
        <v>3</v>
      </c>
    </row>
    <row r="677" spans="2:5" x14ac:dyDescent="0.25">
      <c r="B677" s="1" t="s">
        <v>4</v>
      </c>
      <c r="C677" s="1">
        <v>39873</v>
      </c>
      <c r="D677">
        <v>2641345634.0700002</v>
      </c>
      <c r="E677">
        <v>4</v>
      </c>
    </row>
    <row r="678" spans="2:5" x14ac:dyDescent="0.25">
      <c r="B678" s="1" t="s">
        <v>57</v>
      </c>
      <c r="C678" s="1">
        <v>39873</v>
      </c>
      <c r="D678">
        <v>2229672563.8899999</v>
      </c>
      <c r="E678">
        <v>5</v>
      </c>
    </row>
    <row r="679" spans="2:5" x14ac:dyDescent="0.25">
      <c r="B679" s="1" t="s">
        <v>12</v>
      </c>
      <c r="C679" s="1">
        <v>39873</v>
      </c>
      <c r="D679">
        <v>1559389357.8900001</v>
      </c>
      <c r="E679">
        <v>6</v>
      </c>
    </row>
    <row r="680" spans="2:5" x14ac:dyDescent="0.25">
      <c r="B680" s="1" t="s">
        <v>14</v>
      </c>
      <c r="C680" s="1">
        <v>39873</v>
      </c>
      <c r="D680">
        <v>1254259027.49</v>
      </c>
      <c r="E680">
        <v>7</v>
      </c>
    </row>
    <row r="681" spans="2:5" x14ac:dyDescent="0.25">
      <c r="B681" s="1" t="s">
        <v>58</v>
      </c>
      <c r="C681" s="1">
        <v>39873</v>
      </c>
      <c r="D681">
        <v>956909872.99000001</v>
      </c>
      <c r="E681">
        <v>8</v>
      </c>
    </row>
    <row r="682" spans="2:5" x14ac:dyDescent="0.25">
      <c r="B682" s="1" t="s">
        <v>99</v>
      </c>
      <c r="C682" s="1">
        <v>39873</v>
      </c>
      <c r="D682">
        <v>841723160.23000002</v>
      </c>
      <c r="E682">
        <v>9</v>
      </c>
    </row>
    <row r="683" spans="2:5" x14ac:dyDescent="0.25">
      <c r="B683" s="1" t="s">
        <v>21</v>
      </c>
      <c r="C683" s="1">
        <v>39873</v>
      </c>
      <c r="D683">
        <v>758409018.50999999</v>
      </c>
      <c r="E683">
        <v>10</v>
      </c>
    </row>
    <row r="684" spans="2:5" x14ac:dyDescent="0.25">
      <c r="B684" s="1" t="s">
        <v>6</v>
      </c>
      <c r="C684" s="1">
        <v>39904</v>
      </c>
      <c r="D684">
        <v>21059327558.889999</v>
      </c>
      <c r="E684">
        <v>1</v>
      </c>
    </row>
    <row r="685" spans="2:5" x14ac:dyDescent="0.25">
      <c r="B685" s="1" t="s">
        <v>13</v>
      </c>
      <c r="C685" s="1">
        <v>39904</v>
      </c>
      <c r="D685">
        <v>16026314793.370001</v>
      </c>
      <c r="E685">
        <v>2</v>
      </c>
    </row>
    <row r="686" spans="2:5" x14ac:dyDescent="0.25">
      <c r="B686" s="1" t="s">
        <v>16</v>
      </c>
      <c r="C686" s="1">
        <v>39904</v>
      </c>
      <c r="D686">
        <v>13915310789.370001</v>
      </c>
      <c r="E686">
        <v>3</v>
      </c>
    </row>
    <row r="687" spans="2:5" x14ac:dyDescent="0.25">
      <c r="B687" s="1" t="s">
        <v>4</v>
      </c>
      <c r="C687" s="1">
        <v>39904</v>
      </c>
      <c r="D687">
        <v>4624280742.8000002</v>
      </c>
      <c r="E687">
        <v>4</v>
      </c>
    </row>
    <row r="688" spans="2:5" x14ac:dyDescent="0.25">
      <c r="B688" s="1" t="s">
        <v>57</v>
      </c>
      <c r="C688" s="1">
        <v>39904</v>
      </c>
      <c r="D688">
        <v>3407769717.4299998</v>
      </c>
      <c r="E688">
        <v>5</v>
      </c>
    </row>
    <row r="689" spans="2:5" x14ac:dyDescent="0.25">
      <c r="B689" s="1" t="s">
        <v>25</v>
      </c>
      <c r="C689" s="1">
        <v>39904</v>
      </c>
      <c r="D689">
        <v>2441399554.0999999</v>
      </c>
      <c r="E689">
        <v>6</v>
      </c>
    </row>
    <row r="690" spans="2:5" x14ac:dyDescent="0.25">
      <c r="B690" s="1" t="s">
        <v>21</v>
      </c>
      <c r="C690" s="1">
        <v>39904</v>
      </c>
      <c r="D690">
        <v>1922349871.71</v>
      </c>
      <c r="E690">
        <v>7</v>
      </c>
    </row>
    <row r="691" spans="2:5" x14ac:dyDescent="0.25">
      <c r="B691" s="1" t="s">
        <v>14</v>
      </c>
      <c r="C691" s="1">
        <v>39904</v>
      </c>
      <c r="D691">
        <v>1737171982.3699999</v>
      </c>
      <c r="E691">
        <v>8</v>
      </c>
    </row>
    <row r="692" spans="2:5" x14ac:dyDescent="0.25">
      <c r="B692" s="1" t="s">
        <v>12</v>
      </c>
      <c r="C692" s="1">
        <v>39904</v>
      </c>
      <c r="D692">
        <v>1643661737.3099999</v>
      </c>
      <c r="E692">
        <v>9</v>
      </c>
    </row>
    <row r="693" spans="2:5" x14ac:dyDescent="0.25">
      <c r="B693" s="1" t="s">
        <v>58</v>
      </c>
      <c r="C693" s="1">
        <v>39904</v>
      </c>
      <c r="D693">
        <v>1631140291.73</v>
      </c>
      <c r="E693">
        <v>10</v>
      </c>
    </row>
    <row r="694" spans="2:5" x14ac:dyDescent="0.25">
      <c r="B694" s="1" t="s">
        <v>13</v>
      </c>
      <c r="C694" s="1">
        <v>39934</v>
      </c>
      <c r="D694">
        <v>11006090698.6</v>
      </c>
      <c r="E694">
        <v>1</v>
      </c>
    </row>
    <row r="695" spans="2:5" x14ac:dyDescent="0.25">
      <c r="B695" s="1" t="s">
        <v>6</v>
      </c>
      <c r="C695" s="1">
        <v>39934</v>
      </c>
      <c r="D695">
        <v>10133406434.110001</v>
      </c>
      <c r="E695">
        <v>2</v>
      </c>
    </row>
    <row r="696" spans="2:5" x14ac:dyDescent="0.25">
      <c r="B696" s="1" t="s">
        <v>5</v>
      </c>
      <c r="C696" s="1">
        <v>39934</v>
      </c>
      <c r="D696">
        <v>2815227706.5700002</v>
      </c>
      <c r="E696">
        <v>3</v>
      </c>
    </row>
    <row r="697" spans="2:5" x14ac:dyDescent="0.25">
      <c r="B697" s="1" t="s">
        <v>57</v>
      </c>
      <c r="C697" s="1">
        <v>39934</v>
      </c>
      <c r="D697">
        <v>2714587852.3600001</v>
      </c>
      <c r="E697">
        <v>4</v>
      </c>
    </row>
    <row r="698" spans="2:5" x14ac:dyDescent="0.25">
      <c r="B698" s="1" t="s">
        <v>4</v>
      </c>
      <c r="C698" s="1">
        <v>39934</v>
      </c>
      <c r="D698">
        <v>2517773073.4200001</v>
      </c>
      <c r="E698">
        <v>5</v>
      </c>
    </row>
    <row r="699" spans="2:5" x14ac:dyDescent="0.25">
      <c r="B699" s="1" t="s">
        <v>16</v>
      </c>
      <c r="C699" s="1">
        <v>39934</v>
      </c>
      <c r="D699">
        <v>2061482709.0799999</v>
      </c>
      <c r="E699">
        <v>6</v>
      </c>
    </row>
    <row r="700" spans="2:5" x14ac:dyDescent="0.25">
      <c r="B700" s="1" t="s">
        <v>58</v>
      </c>
      <c r="C700" s="1">
        <v>39934</v>
      </c>
      <c r="D700">
        <v>1520805155.21</v>
      </c>
      <c r="E700">
        <v>7</v>
      </c>
    </row>
    <row r="701" spans="2:5" x14ac:dyDescent="0.25">
      <c r="B701" s="1" t="s">
        <v>12</v>
      </c>
      <c r="C701" s="1">
        <v>39934</v>
      </c>
      <c r="D701">
        <v>1193867589.9300001</v>
      </c>
      <c r="E701">
        <v>8</v>
      </c>
    </row>
    <row r="702" spans="2:5" x14ac:dyDescent="0.25">
      <c r="B702" s="1" t="s">
        <v>25</v>
      </c>
      <c r="C702" s="1">
        <v>39934</v>
      </c>
      <c r="D702">
        <v>1082714427.5699999</v>
      </c>
      <c r="E702">
        <v>9</v>
      </c>
    </row>
    <row r="703" spans="2:5" x14ac:dyDescent="0.25">
      <c r="B703" s="1" t="s">
        <v>14</v>
      </c>
      <c r="C703" s="1">
        <v>39934</v>
      </c>
      <c r="D703">
        <v>1028962633.39</v>
      </c>
      <c r="E703">
        <v>10</v>
      </c>
    </row>
    <row r="704" spans="2:5" x14ac:dyDescent="0.25">
      <c r="B704" s="1" t="s">
        <v>6</v>
      </c>
      <c r="C704" s="1">
        <v>39965</v>
      </c>
      <c r="D704">
        <v>13967560067</v>
      </c>
      <c r="E704">
        <v>1</v>
      </c>
    </row>
    <row r="705" spans="2:5" x14ac:dyDescent="0.25">
      <c r="B705" s="1" t="s">
        <v>13</v>
      </c>
      <c r="C705" s="1">
        <v>39965</v>
      </c>
      <c r="D705">
        <v>13334297680.540001</v>
      </c>
      <c r="E705">
        <v>2</v>
      </c>
    </row>
    <row r="706" spans="2:5" x14ac:dyDescent="0.25">
      <c r="B706" s="1" t="s">
        <v>16</v>
      </c>
      <c r="C706" s="1">
        <v>39965</v>
      </c>
      <c r="D706">
        <v>6570942270.1400003</v>
      </c>
      <c r="E706">
        <v>3</v>
      </c>
    </row>
    <row r="707" spans="2:5" x14ac:dyDescent="0.25">
      <c r="B707" s="1" t="s">
        <v>4</v>
      </c>
      <c r="C707" s="1">
        <v>39965</v>
      </c>
      <c r="D707">
        <v>4279745468.29</v>
      </c>
      <c r="E707">
        <v>4</v>
      </c>
    </row>
    <row r="708" spans="2:5" x14ac:dyDescent="0.25">
      <c r="B708" s="1" t="s">
        <v>57</v>
      </c>
      <c r="C708" s="1">
        <v>39965</v>
      </c>
      <c r="D708">
        <v>2989564840.3499999</v>
      </c>
      <c r="E708">
        <v>5</v>
      </c>
    </row>
    <row r="709" spans="2:5" x14ac:dyDescent="0.25">
      <c r="B709" s="1" t="s">
        <v>12</v>
      </c>
      <c r="C709" s="1">
        <v>39965</v>
      </c>
      <c r="D709">
        <v>1665474577.04</v>
      </c>
      <c r="E709">
        <v>6</v>
      </c>
    </row>
    <row r="710" spans="2:5" x14ac:dyDescent="0.25">
      <c r="B710" s="1" t="s">
        <v>25</v>
      </c>
      <c r="C710" s="1">
        <v>39965</v>
      </c>
      <c r="D710">
        <v>1562894759.0899999</v>
      </c>
      <c r="E710">
        <v>7</v>
      </c>
    </row>
    <row r="711" spans="2:5" x14ac:dyDescent="0.25">
      <c r="B711" s="1" t="s">
        <v>5</v>
      </c>
      <c r="C711" s="1">
        <v>39965</v>
      </c>
      <c r="D711">
        <v>1515846536.6400001</v>
      </c>
      <c r="E711">
        <v>8</v>
      </c>
    </row>
    <row r="712" spans="2:5" x14ac:dyDescent="0.25">
      <c r="B712" s="1" t="s">
        <v>61</v>
      </c>
      <c r="C712" s="1">
        <v>39965</v>
      </c>
      <c r="D712">
        <v>978379602</v>
      </c>
      <c r="E712">
        <v>9</v>
      </c>
    </row>
    <row r="713" spans="2:5" x14ac:dyDescent="0.25">
      <c r="B713" s="1" t="s">
        <v>14</v>
      </c>
      <c r="C713" s="1">
        <v>39965</v>
      </c>
      <c r="D713">
        <v>936122247.58000004</v>
      </c>
      <c r="E713">
        <v>10</v>
      </c>
    </row>
    <row r="714" spans="2:5" x14ac:dyDescent="0.25">
      <c r="B714" s="1" t="s">
        <v>6</v>
      </c>
      <c r="C714" s="1">
        <v>39995</v>
      </c>
      <c r="D714">
        <v>22149963934.57</v>
      </c>
      <c r="E714">
        <v>1</v>
      </c>
    </row>
    <row r="715" spans="2:5" x14ac:dyDescent="0.25">
      <c r="B715" s="1" t="s">
        <v>13</v>
      </c>
      <c r="C715" s="1">
        <v>39995</v>
      </c>
      <c r="D715">
        <v>19469168924.950001</v>
      </c>
      <c r="E715">
        <v>2</v>
      </c>
    </row>
    <row r="716" spans="2:5" x14ac:dyDescent="0.25">
      <c r="B716" s="1" t="s">
        <v>16</v>
      </c>
      <c r="C716" s="1">
        <v>39995</v>
      </c>
      <c r="D716">
        <v>12432036389.190001</v>
      </c>
      <c r="E716">
        <v>3</v>
      </c>
    </row>
    <row r="717" spans="2:5" x14ac:dyDescent="0.25">
      <c r="B717" s="1" t="s">
        <v>4</v>
      </c>
      <c r="C717" s="1">
        <v>39995</v>
      </c>
      <c r="D717">
        <v>4725751938.4200001</v>
      </c>
      <c r="E717">
        <v>4</v>
      </c>
    </row>
    <row r="718" spans="2:5" x14ac:dyDescent="0.25">
      <c r="B718" s="1" t="s">
        <v>57</v>
      </c>
      <c r="C718" s="1">
        <v>39995</v>
      </c>
      <c r="D718">
        <v>3693076130.73</v>
      </c>
      <c r="E718">
        <v>5</v>
      </c>
    </row>
    <row r="719" spans="2:5" x14ac:dyDescent="0.25">
      <c r="B719" s="1" t="s">
        <v>25</v>
      </c>
      <c r="C719" s="1">
        <v>39995</v>
      </c>
      <c r="D719">
        <v>2869622330.21</v>
      </c>
      <c r="E719">
        <v>6</v>
      </c>
    </row>
    <row r="720" spans="2:5" x14ac:dyDescent="0.25">
      <c r="B720" s="1" t="s">
        <v>12</v>
      </c>
      <c r="C720" s="1">
        <v>39995</v>
      </c>
      <c r="D720">
        <v>2100851837.9300001</v>
      </c>
      <c r="E720">
        <v>7</v>
      </c>
    </row>
    <row r="721" spans="2:5" x14ac:dyDescent="0.25">
      <c r="B721" s="1" t="s">
        <v>5</v>
      </c>
      <c r="C721" s="1">
        <v>39995</v>
      </c>
      <c r="D721">
        <v>1870162161.0899999</v>
      </c>
      <c r="E721">
        <v>8</v>
      </c>
    </row>
    <row r="722" spans="2:5" x14ac:dyDescent="0.25">
      <c r="B722" s="1" t="s">
        <v>14</v>
      </c>
      <c r="C722" s="1">
        <v>39995</v>
      </c>
      <c r="D722">
        <v>883955249.34000003</v>
      </c>
      <c r="E722">
        <v>9</v>
      </c>
    </row>
    <row r="723" spans="2:5" x14ac:dyDescent="0.25">
      <c r="B723" s="1" t="s">
        <v>21</v>
      </c>
      <c r="C723" s="1">
        <v>39995</v>
      </c>
      <c r="D723">
        <v>805872940.15999997</v>
      </c>
      <c r="E723">
        <v>10</v>
      </c>
    </row>
    <row r="724" spans="2:5" x14ac:dyDescent="0.25">
      <c r="B724" s="1" t="s">
        <v>6</v>
      </c>
      <c r="C724" s="1">
        <v>40026</v>
      </c>
      <c r="D724">
        <v>17966598426.119999</v>
      </c>
      <c r="E724">
        <v>1</v>
      </c>
    </row>
    <row r="725" spans="2:5" x14ac:dyDescent="0.25">
      <c r="B725" s="1" t="s">
        <v>13</v>
      </c>
      <c r="C725" s="1">
        <v>40026</v>
      </c>
      <c r="D725">
        <v>17016611877.120001</v>
      </c>
      <c r="E725">
        <v>2</v>
      </c>
    </row>
    <row r="726" spans="2:5" x14ac:dyDescent="0.25">
      <c r="B726" s="1" t="s">
        <v>57</v>
      </c>
      <c r="C726" s="1">
        <v>40026</v>
      </c>
      <c r="D726">
        <v>4882309364.7299995</v>
      </c>
      <c r="E726">
        <v>3</v>
      </c>
    </row>
    <row r="727" spans="2:5" x14ac:dyDescent="0.25">
      <c r="B727" s="1" t="s">
        <v>4</v>
      </c>
      <c r="C727" s="1">
        <v>40026</v>
      </c>
      <c r="D727">
        <v>4435636881.6199999</v>
      </c>
      <c r="E727">
        <v>4</v>
      </c>
    </row>
    <row r="728" spans="2:5" x14ac:dyDescent="0.25">
      <c r="B728" s="1" t="s">
        <v>25</v>
      </c>
      <c r="C728" s="1">
        <v>40026</v>
      </c>
      <c r="D728">
        <v>2229551006.6300001</v>
      </c>
      <c r="E728">
        <v>5</v>
      </c>
    </row>
    <row r="729" spans="2:5" x14ac:dyDescent="0.25">
      <c r="B729" s="1" t="s">
        <v>16</v>
      </c>
      <c r="C729" s="1">
        <v>40026</v>
      </c>
      <c r="D729">
        <v>2216974394.5</v>
      </c>
      <c r="E729">
        <v>6</v>
      </c>
    </row>
    <row r="730" spans="2:5" x14ac:dyDescent="0.25">
      <c r="B730" s="1" t="s">
        <v>5</v>
      </c>
      <c r="C730" s="1">
        <v>40026</v>
      </c>
      <c r="D730">
        <v>2009262252.27</v>
      </c>
      <c r="E730">
        <v>7</v>
      </c>
    </row>
    <row r="731" spans="2:5" x14ac:dyDescent="0.25">
      <c r="B731" s="1" t="s">
        <v>12</v>
      </c>
      <c r="C731" s="1">
        <v>40026</v>
      </c>
      <c r="D731">
        <v>1257913308.8199999</v>
      </c>
      <c r="E731">
        <v>8</v>
      </c>
    </row>
    <row r="732" spans="2:5" x14ac:dyDescent="0.25">
      <c r="B732" s="1" t="s">
        <v>99</v>
      </c>
      <c r="C732" s="1">
        <v>40026</v>
      </c>
      <c r="D732">
        <v>913654412.88</v>
      </c>
      <c r="E732">
        <v>9</v>
      </c>
    </row>
    <row r="733" spans="2:5" x14ac:dyDescent="0.25">
      <c r="B733" s="1" t="s">
        <v>21</v>
      </c>
      <c r="C733" s="1">
        <v>40026</v>
      </c>
      <c r="D733">
        <v>832077834.90999997</v>
      </c>
      <c r="E733">
        <v>10</v>
      </c>
    </row>
    <row r="734" spans="2:5" x14ac:dyDescent="0.25">
      <c r="B734" s="1" t="s">
        <v>13</v>
      </c>
      <c r="C734" s="1">
        <v>40057</v>
      </c>
      <c r="D734">
        <v>14871497530.26</v>
      </c>
      <c r="E734">
        <v>1</v>
      </c>
    </row>
    <row r="735" spans="2:5" x14ac:dyDescent="0.25">
      <c r="B735" s="1" t="s">
        <v>6</v>
      </c>
      <c r="C735" s="1">
        <v>40057</v>
      </c>
      <c r="D735">
        <v>12633222435.5</v>
      </c>
      <c r="E735">
        <v>2</v>
      </c>
    </row>
    <row r="736" spans="2:5" x14ac:dyDescent="0.25">
      <c r="B736" s="1" t="s">
        <v>16</v>
      </c>
      <c r="C736" s="1">
        <v>40057</v>
      </c>
      <c r="D736">
        <v>3261193412.1100001</v>
      </c>
      <c r="E736">
        <v>3</v>
      </c>
    </row>
    <row r="737" spans="2:5" x14ac:dyDescent="0.25">
      <c r="B737" s="1" t="s">
        <v>4</v>
      </c>
      <c r="C737" s="1">
        <v>40057</v>
      </c>
      <c r="D737">
        <v>2143517990.47</v>
      </c>
      <c r="E737">
        <v>4</v>
      </c>
    </row>
    <row r="738" spans="2:5" x14ac:dyDescent="0.25">
      <c r="B738" s="1" t="s">
        <v>57</v>
      </c>
      <c r="C738" s="1">
        <v>40057</v>
      </c>
      <c r="D738">
        <v>1858141620.6099999</v>
      </c>
      <c r="E738">
        <v>5</v>
      </c>
    </row>
    <row r="739" spans="2:5" x14ac:dyDescent="0.25">
      <c r="B739" s="1" t="s">
        <v>5</v>
      </c>
      <c r="C739" s="1">
        <v>40057</v>
      </c>
      <c r="D739">
        <v>1517335208.99</v>
      </c>
      <c r="E739">
        <v>6</v>
      </c>
    </row>
    <row r="740" spans="2:5" x14ac:dyDescent="0.25">
      <c r="B740" s="1" t="s">
        <v>25</v>
      </c>
      <c r="C740" s="1">
        <v>40057</v>
      </c>
      <c r="D740">
        <v>1462808894.8</v>
      </c>
      <c r="E740">
        <v>7</v>
      </c>
    </row>
    <row r="741" spans="2:5" x14ac:dyDescent="0.25">
      <c r="B741" s="1" t="s">
        <v>12</v>
      </c>
      <c r="C741" s="1">
        <v>40057</v>
      </c>
      <c r="D741">
        <v>1018336962.6</v>
      </c>
      <c r="E741">
        <v>8</v>
      </c>
    </row>
    <row r="742" spans="2:5" x14ac:dyDescent="0.25">
      <c r="B742" s="1" t="s">
        <v>21</v>
      </c>
      <c r="C742" s="1">
        <v>40057</v>
      </c>
      <c r="D742">
        <v>570372803.38999999</v>
      </c>
      <c r="E742">
        <v>9</v>
      </c>
    </row>
    <row r="743" spans="2:5" x14ac:dyDescent="0.25">
      <c r="B743" s="1" t="s">
        <v>99</v>
      </c>
      <c r="C743" s="1">
        <v>40057</v>
      </c>
      <c r="D743">
        <v>557695919.63</v>
      </c>
      <c r="E743">
        <v>10</v>
      </c>
    </row>
    <row r="744" spans="2:5" x14ac:dyDescent="0.25">
      <c r="B744" s="1" t="s">
        <v>6</v>
      </c>
      <c r="C744" s="1">
        <v>40087</v>
      </c>
      <c r="D744">
        <v>15019540836.5</v>
      </c>
      <c r="E744">
        <v>1</v>
      </c>
    </row>
    <row r="745" spans="2:5" x14ac:dyDescent="0.25">
      <c r="B745" s="1" t="s">
        <v>13</v>
      </c>
      <c r="C745" s="1">
        <v>40087</v>
      </c>
      <c r="D745">
        <v>10137828616.16</v>
      </c>
      <c r="E745">
        <v>2</v>
      </c>
    </row>
    <row r="746" spans="2:5" x14ac:dyDescent="0.25">
      <c r="B746" s="1" t="s">
        <v>16</v>
      </c>
      <c r="C746" s="1">
        <v>40087</v>
      </c>
      <c r="D746">
        <v>7619424641.3100004</v>
      </c>
      <c r="E746">
        <v>3</v>
      </c>
    </row>
    <row r="747" spans="2:5" x14ac:dyDescent="0.25">
      <c r="B747" s="1" t="s">
        <v>4</v>
      </c>
      <c r="C747" s="1">
        <v>40087</v>
      </c>
      <c r="D747">
        <v>1856130817.8</v>
      </c>
      <c r="E747">
        <v>4</v>
      </c>
    </row>
    <row r="748" spans="2:5" x14ac:dyDescent="0.25">
      <c r="B748" s="1" t="s">
        <v>57</v>
      </c>
      <c r="C748" s="1">
        <v>40087</v>
      </c>
      <c r="D748">
        <v>1620000882.77</v>
      </c>
      <c r="E748">
        <v>5</v>
      </c>
    </row>
    <row r="749" spans="2:5" x14ac:dyDescent="0.25">
      <c r="B749" s="1" t="s">
        <v>25</v>
      </c>
      <c r="C749" s="1">
        <v>40087</v>
      </c>
      <c r="D749">
        <v>1436034214.4200001</v>
      </c>
      <c r="E749">
        <v>6</v>
      </c>
    </row>
    <row r="750" spans="2:5" x14ac:dyDescent="0.25">
      <c r="B750" s="1" t="s">
        <v>12</v>
      </c>
      <c r="C750" s="1">
        <v>40087</v>
      </c>
      <c r="D750">
        <v>732944580.41999996</v>
      </c>
      <c r="E750">
        <v>7</v>
      </c>
    </row>
    <row r="751" spans="2:5" x14ac:dyDescent="0.25">
      <c r="B751" s="1" t="s">
        <v>5</v>
      </c>
      <c r="C751" s="1">
        <v>40087</v>
      </c>
      <c r="D751">
        <v>619067015.65999997</v>
      </c>
      <c r="E751">
        <v>8</v>
      </c>
    </row>
    <row r="752" spans="2:5" x14ac:dyDescent="0.25">
      <c r="B752" s="1" t="s">
        <v>22</v>
      </c>
      <c r="C752" s="1">
        <v>40087</v>
      </c>
      <c r="D752">
        <v>391522691.43000001</v>
      </c>
      <c r="E752">
        <v>9</v>
      </c>
    </row>
    <row r="753" spans="2:5" x14ac:dyDescent="0.25">
      <c r="B753" s="1" t="s">
        <v>8</v>
      </c>
      <c r="C753" s="1">
        <v>40087</v>
      </c>
      <c r="D753">
        <v>380504911.83999997</v>
      </c>
      <c r="E753">
        <v>10</v>
      </c>
    </row>
    <row r="754" spans="2:5" x14ac:dyDescent="0.25">
      <c r="B754" s="1" t="s">
        <v>13</v>
      </c>
      <c r="C754" s="1">
        <v>40118</v>
      </c>
      <c r="D754">
        <v>9801952065.9599991</v>
      </c>
      <c r="E754">
        <v>1</v>
      </c>
    </row>
    <row r="755" spans="2:5" x14ac:dyDescent="0.25">
      <c r="B755" s="1" t="s">
        <v>6</v>
      </c>
      <c r="C755" s="1">
        <v>40118</v>
      </c>
      <c r="D755">
        <v>8644667946.5900002</v>
      </c>
      <c r="E755">
        <v>2</v>
      </c>
    </row>
    <row r="756" spans="2:5" x14ac:dyDescent="0.25">
      <c r="B756" s="1" t="s">
        <v>16</v>
      </c>
      <c r="C756" s="1">
        <v>40118</v>
      </c>
      <c r="D756">
        <v>2580145583.5</v>
      </c>
      <c r="E756">
        <v>3</v>
      </c>
    </row>
    <row r="757" spans="2:5" x14ac:dyDescent="0.25">
      <c r="B757" s="1" t="s">
        <v>25</v>
      </c>
      <c r="C757" s="1">
        <v>40118</v>
      </c>
      <c r="D757">
        <v>1785454973.51</v>
      </c>
      <c r="E757">
        <v>4</v>
      </c>
    </row>
    <row r="758" spans="2:5" x14ac:dyDescent="0.25">
      <c r="B758" s="1" t="s">
        <v>57</v>
      </c>
      <c r="C758" s="1">
        <v>40118</v>
      </c>
      <c r="D758">
        <v>1151997463.1199999</v>
      </c>
      <c r="E758">
        <v>5</v>
      </c>
    </row>
    <row r="759" spans="2:5" x14ac:dyDescent="0.25">
      <c r="B759" s="1" t="s">
        <v>12</v>
      </c>
      <c r="C759" s="1">
        <v>40118</v>
      </c>
      <c r="D759">
        <v>1021924928.27</v>
      </c>
      <c r="E759">
        <v>6</v>
      </c>
    </row>
    <row r="760" spans="2:5" x14ac:dyDescent="0.25">
      <c r="B760" s="1" t="s">
        <v>4</v>
      </c>
      <c r="C760" s="1">
        <v>40118</v>
      </c>
      <c r="D760">
        <v>993808959.69000006</v>
      </c>
      <c r="E760">
        <v>7</v>
      </c>
    </row>
    <row r="761" spans="2:5" x14ac:dyDescent="0.25">
      <c r="B761" s="1" t="s">
        <v>5</v>
      </c>
      <c r="C761" s="1">
        <v>40118</v>
      </c>
      <c r="D761">
        <v>593395364.09000003</v>
      </c>
      <c r="E761">
        <v>8</v>
      </c>
    </row>
    <row r="762" spans="2:5" x14ac:dyDescent="0.25">
      <c r="B762" s="1" t="s">
        <v>8</v>
      </c>
      <c r="C762" s="1">
        <v>40118</v>
      </c>
      <c r="D762">
        <v>414165881.75999999</v>
      </c>
      <c r="E762">
        <v>9</v>
      </c>
    </row>
    <row r="763" spans="2:5" x14ac:dyDescent="0.25">
      <c r="B763" s="1" t="s">
        <v>22</v>
      </c>
      <c r="C763" s="1">
        <v>40118</v>
      </c>
      <c r="D763">
        <v>312290532.80000001</v>
      </c>
      <c r="E763">
        <v>10</v>
      </c>
    </row>
    <row r="764" spans="2:5" x14ac:dyDescent="0.25">
      <c r="B764" s="1" t="s">
        <v>13</v>
      </c>
      <c r="C764" s="1">
        <v>40148</v>
      </c>
      <c r="D764">
        <v>7919040750.3400002</v>
      </c>
      <c r="E764">
        <v>1</v>
      </c>
    </row>
    <row r="765" spans="2:5" x14ac:dyDescent="0.25">
      <c r="B765" s="1" t="s">
        <v>16</v>
      </c>
      <c r="C765" s="1">
        <v>40148</v>
      </c>
      <c r="D765">
        <v>7118044551.6300001</v>
      </c>
      <c r="E765">
        <v>2</v>
      </c>
    </row>
    <row r="766" spans="2:5" x14ac:dyDescent="0.25">
      <c r="B766" s="1" t="s">
        <v>6</v>
      </c>
      <c r="C766" s="1">
        <v>40148</v>
      </c>
      <c r="D766">
        <v>4214804757.3099999</v>
      </c>
      <c r="E766">
        <v>3</v>
      </c>
    </row>
    <row r="767" spans="2:5" x14ac:dyDescent="0.25">
      <c r="B767" s="1" t="s">
        <v>25</v>
      </c>
      <c r="C767" s="1">
        <v>40148</v>
      </c>
      <c r="D767">
        <v>1884115395.5999999</v>
      </c>
      <c r="E767">
        <v>4</v>
      </c>
    </row>
    <row r="768" spans="2:5" x14ac:dyDescent="0.25">
      <c r="B768" s="1" t="s">
        <v>57</v>
      </c>
      <c r="C768" s="1">
        <v>40148</v>
      </c>
      <c r="D768">
        <v>1273297833.0799999</v>
      </c>
      <c r="E768">
        <v>5</v>
      </c>
    </row>
    <row r="769" spans="2:5" x14ac:dyDescent="0.25">
      <c r="B769" s="1" t="s">
        <v>4</v>
      </c>
      <c r="C769" s="1">
        <v>40148</v>
      </c>
      <c r="D769">
        <v>1162636164.0999999</v>
      </c>
      <c r="E769">
        <v>6</v>
      </c>
    </row>
    <row r="770" spans="2:5" x14ac:dyDescent="0.25">
      <c r="B770" s="1" t="s">
        <v>21</v>
      </c>
      <c r="C770" s="1">
        <v>40148</v>
      </c>
      <c r="D770">
        <v>995351291.99000001</v>
      </c>
      <c r="E770">
        <v>7</v>
      </c>
    </row>
    <row r="771" spans="2:5" x14ac:dyDescent="0.25">
      <c r="B771" s="1" t="s">
        <v>12</v>
      </c>
      <c r="C771" s="1">
        <v>40148</v>
      </c>
      <c r="D771">
        <v>872600518.03999996</v>
      </c>
      <c r="E771">
        <v>8</v>
      </c>
    </row>
    <row r="772" spans="2:5" x14ac:dyDescent="0.25">
      <c r="B772" s="1" t="s">
        <v>5</v>
      </c>
      <c r="C772" s="1">
        <v>40148</v>
      </c>
      <c r="D772">
        <v>667107726.84000003</v>
      </c>
      <c r="E772">
        <v>9</v>
      </c>
    </row>
    <row r="773" spans="2:5" x14ac:dyDescent="0.25">
      <c r="B773" s="1" t="s">
        <v>58</v>
      </c>
      <c r="C773" s="1">
        <v>40148</v>
      </c>
      <c r="D773">
        <v>349406856.70999998</v>
      </c>
      <c r="E773">
        <v>10</v>
      </c>
    </row>
    <row r="774" spans="2:5" x14ac:dyDescent="0.25">
      <c r="B774" s="1" t="s">
        <v>13</v>
      </c>
      <c r="C774" s="1">
        <v>40179</v>
      </c>
      <c r="D774">
        <v>11776429345.26</v>
      </c>
      <c r="E774">
        <v>1</v>
      </c>
    </row>
    <row r="775" spans="2:5" x14ac:dyDescent="0.25">
      <c r="B775" s="1" t="s">
        <v>6</v>
      </c>
      <c r="C775" s="1">
        <v>40179</v>
      </c>
      <c r="D775">
        <v>10974897215.700001</v>
      </c>
      <c r="E775">
        <v>2</v>
      </c>
    </row>
    <row r="776" spans="2:5" x14ac:dyDescent="0.25">
      <c r="B776" s="1" t="s">
        <v>16</v>
      </c>
      <c r="C776" s="1">
        <v>40179</v>
      </c>
      <c r="D776">
        <v>4323523894.3900003</v>
      </c>
      <c r="E776">
        <v>3</v>
      </c>
    </row>
    <row r="777" spans="2:5" x14ac:dyDescent="0.25">
      <c r="B777" s="1" t="s">
        <v>25</v>
      </c>
      <c r="C777" s="1">
        <v>40179</v>
      </c>
      <c r="D777">
        <v>1770204493.27</v>
      </c>
      <c r="E777">
        <v>4</v>
      </c>
    </row>
    <row r="778" spans="2:5" x14ac:dyDescent="0.25">
      <c r="B778" s="1" t="s">
        <v>4</v>
      </c>
      <c r="C778" s="1">
        <v>40179</v>
      </c>
      <c r="D778">
        <v>1628678007.54</v>
      </c>
      <c r="E778">
        <v>5</v>
      </c>
    </row>
    <row r="779" spans="2:5" x14ac:dyDescent="0.25">
      <c r="B779" s="1" t="s">
        <v>57</v>
      </c>
      <c r="C779" s="1">
        <v>40179</v>
      </c>
      <c r="D779">
        <v>1217766175.1800001</v>
      </c>
      <c r="E779">
        <v>6</v>
      </c>
    </row>
    <row r="780" spans="2:5" x14ac:dyDescent="0.25">
      <c r="B780" s="1" t="s">
        <v>5</v>
      </c>
      <c r="C780" s="1">
        <v>40179</v>
      </c>
      <c r="D780">
        <v>1200958066.97</v>
      </c>
      <c r="E780">
        <v>7</v>
      </c>
    </row>
    <row r="781" spans="2:5" x14ac:dyDescent="0.25">
      <c r="B781" s="1" t="s">
        <v>12</v>
      </c>
      <c r="C781" s="1">
        <v>40179</v>
      </c>
      <c r="D781">
        <v>1196133935.4400001</v>
      </c>
      <c r="E781">
        <v>8</v>
      </c>
    </row>
    <row r="782" spans="2:5" x14ac:dyDescent="0.25">
      <c r="B782" s="1" t="s">
        <v>37</v>
      </c>
      <c r="C782" s="1">
        <v>40179</v>
      </c>
      <c r="D782">
        <v>809317697.84000003</v>
      </c>
      <c r="E782">
        <v>9</v>
      </c>
    </row>
    <row r="783" spans="2:5" x14ac:dyDescent="0.25">
      <c r="B783" s="1" t="s">
        <v>22</v>
      </c>
      <c r="C783" s="1">
        <v>40179</v>
      </c>
      <c r="D783">
        <v>421132970.56</v>
      </c>
      <c r="E783">
        <v>10</v>
      </c>
    </row>
    <row r="784" spans="2:5" x14ac:dyDescent="0.25">
      <c r="B784" s="1" t="s">
        <v>13</v>
      </c>
      <c r="C784" s="1">
        <v>40210</v>
      </c>
      <c r="D784">
        <v>10182718045.91</v>
      </c>
      <c r="E784">
        <v>1</v>
      </c>
    </row>
    <row r="785" spans="2:5" x14ac:dyDescent="0.25">
      <c r="B785" s="1" t="s">
        <v>6</v>
      </c>
      <c r="C785" s="1">
        <v>40210</v>
      </c>
      <c r="D785">
        <v>8441306507.9300003</v>
      </c>
      <c r="E785">
        <v>2</v>
      </c>
    </row>
    <row r="786" spans="2:5" x14ac:dyDescent="0.25">
      <c r="B786" s="1" t="s">
        <v>16</v>
      </c>
      <c r="C786" s="1">
        <v>40210</v>
      </c>
      <c r="D786">
        <v>3172118257.73</v>
      </c>
      <c r="E786">
        <v>3</v>
      </c>
    </row>
    <row r="787" spans="2:5" x14ac:dyDescent="0.25">
      <c r="B787" s="1" t="s">
        <v>25</v>
      </c>
      <c r="C787" s="1">
        <v>40210</v>
      </c>
      <c r="D787">
        <v>1937402814.29</v>
      </c>
      <c r="E787">
        <v>4</v>
      </c>
    </row>
    <row r="788" spans="2:5" x14ac:dyDescent="0.25">
      <c r="B788" s="1" t="s">
        <v>4</v>
      </c>
      <c r="C788" s="1">
        <v>40210</v>
      </c>
      <c r="D788">
        <v>1388771757.8399999</v>
      </c>
      <c r="E788">
        <v>5</v>
      </c>
    </row>
    <row r="789" spans="2:5" x14ac:dyDescent="0.25">
      <c r="B789" s="1" t="s">
        <v>12</v>
      </c>
      <c r="C789" s="1">
        <v>40210</v>
      </c>
      <c r="D789">
        <v>925689123.63</v>
      </c>
      <c r="E789">
        <v>6</v>
      </c>
    </row>
    <row r="790" spans="2:5" x14ac:dyDescent="0.25">
      <c r="B790" s="1" t="s">
        <v>57</v>
      </c>
      <c r="C790" s="1">
        <v>40210</v>
      </c>
      <c r="D790">
        <v>903822744.26999998</v>
      </c>
      <c r="E790">
        <v>7</v>
      </c>
    </row>
    <row r="791" spans="2:5" x14ac:dyDescent="0.25">
      <c r="B791" s="1" t="s">
        <v>5</v>
      </c>
      <c r="C791" s="1">
        <v>40210</v>
      </c>
      <c r="D791">
        <v>558505182.92999995</v>
      </c>
      <c r="E791">
        <v>8</v>
      </c>
    </row>
    <row r="792" spans="2:5" x14ac:dyDescent="0.25">
      <c r="B792" s="1" t="s">
        <v>22</v>
      </c>
      <c r="C792" s="1">
        <v>40210</v>
      </c>
      <c r="D792">
        <v>497769158.43000001</v>
      </c>
      <c r="E792">
        <v>9</v>
      </c>
    </row>
    <row r="793" spans="2:5" x14ac:dyDescent="0.25">
      <c r="B793" s="1" t="s">
        <v>60</v>
      </c>
      <c r="C793" s="1">
        <v>40210</v>
      </c>
      <c r="D793">
        <v>312877619.31</v>
      </c>
      <c r="E793">
        <v>10</v>
      </c>
    </row>
    <row r="794" spans="2:5" x14ac:dyDescent="0.25">
      <c r="B794" s="1" t="s">
        <v>13</v>
      </c>
      <c r="C794" s="1">
        <v>40238</v>
      </c>
      <c r="D794">
        <v>10733753561.620001</v>
      </c>
      <c r="E794">
        <v>1</v>
      </c>
    </row>
    <row r="795" spans="2:5" x14ac:dyDescent="0.25">
      <c r="B795" s="1" t="s">
        <v>6</v>
      </c>
      <c r="C795" s="1">
        <v>40238</v>
      </c>
      <c r="D795">
        <v>8684327168.7800007</v>
      </c>
      <c r="E795">
        <v>2</v>
      </c>
    </row>
    <row r="796" spans="2:5" x14ac:dyDescent="0.25">
      <c r="B796" s="1" t="s">
        <v>16</v>
      </c>
      <c r="C796" s="1">
        <v>40238</v>
      </c>
      <c r="D796">
        <v>4898965309.4399996</v>
      </c>
      <c r="E796">
        <v>3</v>
      </c>
    </row>
    <row r="797" spans="2:5" x14ac:dyDescent="0.25">
      <c r="B797" s="1" t="s">
        <v>25</v>
      </c>
      <c r="C797" s="1">
        <v>40238</v>
      </c>
      <c r="D797">
        <v>2201280079.0100002</v>
      </c>
      <c r="E797">
        <v>4</v>
      </c>
    </row>
    <row r="798" spans="2:5" x14ac:dyDescent="0.25">
      <c r="B798" s="1" t="s">
        <v>4</v>
      </c>
      <c r="C798" s="1">
        <v>40238</v>
      </c>
      <c r="D798">
        <v>2201103280.3800001</v>
      </c>
      <c r="E798">
        <v>5</v>
      </c>
    </row>
    <row r="799" spans="2:5" x14ac:dyDescent="0.25">
      <c r="B799" s="1" t="s">
        <v>57</v>
      </c>
      <c r="C799" s="1">
        <v>40238</v>
      </c>
      <c r="D799">
        <v>730114015.47000003</v>
      </c>
      <c r="E799">
        <v>6</v>
      </c>
    </row>
    <row r="800" spans="2:5" x14ac:dyDescent="0.25">
      <c r="B800" s="1" t="s">
        <v>12</v>
      </c>
      <c r="C800" s="1">
        <v>40238</v>
      </c>
      <c r="D800">
        <v>626985782.29999995</v>
      </c>
      <c r="E800">
        <v>7</v>
      </c>
    </row>
    <row r="801" spans="2:5" x14ac:dyDescent="0.25">
      <c r="B801" s="1" t="s">
        <v>5</v>
      </c>
      <c r="C801" s="1">
        <v>40238</v>
      </c>
      <c r="D801">
        <v>612143303.38</v>
      </c>
      <c r="E801">
        <v>8</v>
      </c>
    </row>
    <row r="802" spans="2:5" x14ac:dyDescent="0.25">
      <c r="B802" s="1" t="s">
        <v>22</v>
      </c>
      <c r="C802" s="1">
        <v>40238</v>
      </c>
      <c r="D802">
        <v>447502320.58999997</v>
      </c>
      <c r="E802">
        <v>9</v>
      </c>
    </row>
    <row r="803" spans="2:5" x14ac:dyDescent="0.25">
      <c r="B803" s="1" t="s">
        <v>8</v>
      </c>
      <c r="C803" s="1">
        <v>40238</v>
      </c>
      <c r="D803">
        <v>322874976.30000001</v>
      </c>
      <c r="E803">
        <v>10</v>
      </c>
    </row>
    <row r="804" spans="2:5" x14ac:dyDescent="0.25">
      <c r="B804" s="1" t="s">
        <v>13</v>
      </c>
      <c r="C804" s="1">
        <v>40269</v>
      </c>
      <c r="D804">
        <v>8010432484.8699999</v>
      </c>
      <c r="E804">
        <v>1</v>
      </c>
    </row>
    <row r="805" spans="2:5" x14ac:dyDescent="0.25">
      <c r="B805" s="1" t="s">
        <v>16</v>
      </c>
      <c r="C805" s="1">
        <v>40269</v>
      </c>
      <c r="D805">
        <v>7889927073.7299995</v>
      </c>
      <c r="E805">
        <v>2</v>
      </c>
    </row>
    <row r="806" spans="2:5" x14ac:dyDescent="0.25">
      <c r="B806" s="1" t="s">
        <v>6</v>
      </c>
      <c r="C806" s="1">
        <v>40269</v>
      </c>
      <c r="D806">
        <v>6534294055.0100002</v>
      </c>
      <c r="E806">
        <v>3</v>
      </c>
    </row>
    <row r="807" spans="2:5" x14ac:dyDescent="0.25">
      <c r="B807" s="1" t="s">
        <v>4</v>
      </c>
      <c r="C807" s="1">
        <v>40269</v>
      </c>
      <c r="D807">
        <v>1500451371.27</v>
      </c>
      <c r="E807">
        <v>4</v>
      </c>
    </row>
    <row r="808" spans="2:5" x14ac:dyDescent="0.25">
      <c r="B808" s="1" t="s">
        <v>25</v>
      </c>
      <c r="C808" s="1">
        <v>40269</v>
      </c>
      <c r="D808">
        <v>1001151097.79</v>
      </c>
      <c r="E808">
        <v>5</v>
      </c>
    </row>
    <row r="809" spans="2:5" x14ac:dyDescent="0.25">
      <c r="B809" s="1" t="s">
        <v>5</v>
      </c>
      <c r="C809" s="1">
        <v>40269</v>
      </c>
      <c r="D809">
        <v>642473994.00999999</v>
      </c>
      <c r="E809">
        <v>6</v>
      </c>
    </row>
    <row r="810" spans="2:5" x14ac:dyDescent="0.25">
      <c r="B810" s="1" t="s">
        <v>12</v>
      </c>
      <c r="C810" s="1">
        <v>40269</v>
      </c>
      <c r="D810">
        <v>533160065.02999997</v>
      </c>
      <c r="E810">
        <v>7</v>
      </c>
    </row>
    <row r="811" spans="2:5" x14ac:dyDescent="0.25">
      <c r="B811" s="1" t="s">
        <v>57</v>
      </c>
      <c r="C811" s="1">
        <v>40269</v>
      </c>
      <c r="D811">
        <v>508230714.5</v>
      </c>
      <c r="E811">
        <v>8</v>
      </c>
    </row>
    <row r="812" spans="2:5" x14ac:dyDescent="0.25">
      <c r="B812" s="1" t="s">
        <v>22</v>
      </c>
      <c r="C812" s="1">
        <v>40269</v>
      </c>
      <c r="D812">
        <v>357183770.66000003</v>
      </c>
      <c r="E812">
        <v>9</v>
      </c>
    </row>
    <row r="813" spans="2:5" x14ac:dyDescent="0.25">
      <c r="B813" s="1" t="s">
        <v>8</v>
      </c>
      <c r="C813" s="1">
        <v>40269</v>
      </c>
      <c r="D813">
        <v>256781804.44999999</v>
      </c>
      <c r="E813">
        <v>10</v>
      </c>
    </row>
    <row r="814" spans="2:5" x14ac:dyDescent="0.25">
      <c r="B814" s="1" t="s">
        <v>13</v>
      </c>
      <c r="C814" s="1">
        <v>40299</v>
      </c>
      <c r="D814">
        <v>9793443604.5200005</v>
      </c>
      <c r="E814">
        <v>1</v>
      </c>
    </row>
    <row r="815" spans="2:5" x14ac:dyDescent="0.25">
      <c r="B815" s="1" t="s">
        <v>6</v>
      </c>
      <c r="C815" s="1">
        <v>40299</v>
      </c>
      <c r="D815">
        <v>8650479347.9599991</v>
      </c>
      <c r="E815">
        <v>2</v>
      </c>
    </row>
    <row r="816" spans="2:5" x14ac:dyDescent="0.25">
      <c r="B816" s="1" t="s">
        <v>16</v>
      </c>
      <c r="C816" s="1">
        <v>40299</v>
      </c>
      <c r="D816">
        <v>2776414384.9000001</v>
      </c>
      <c r="E816">
        <v>3</v>
      </c>
    </row>
    <row r="817" spans="2:5" x14ac:dyDescent="0.25">
      <c r="B817" s="1" t="s">
        <v>25</v>
      </c>
      <c r="C817" s="1">
        <v>40299</v>
      </c>
      <c r="D817">
        <v>1373292642.55</v>
      </c>
      <c r="E817">
        <v>4</v>
      </c>
    </row>
    <row r="818" spans="2:5" x14ac:dyDescent="0.25">
      <c r="B818" s="1" t="s">
        <v>4</v>
      </c>
      <c r="C818" s="1">
        <v>40299</v>
      </c>
      <c r="D818">
        <v>1262093385.0899999</v>
      </c>
      <c r="E818">
        <v>5</v>
      </c>
    </row>
    <row r="819" spans="2:5" x14ac:dyDescent="0.25">
      <c r="B819" s="1" t="s">
        <v>57</v>
      </c>
      <c r="C819" s="1">
        <v>40299</v>
      </c>
      <c r="D819">
        <v>799912498.09000003</v>
      </c>
      <c r="E819">
        <v>6</v>
      </c>
    </row>
    <row r="820" spans="2:5" x14ac:dyDescent="0.25">
      <c r="B820" s="1" t="s">
        <v>5</v>
      </c>
      <c r="C820" s="1">
        <v>40299</v>
      </c>
      <c r="D820">
        <v>648973588.63999999</v>
      </c>
      <c r="E820">
        <v>7</v>
      </c>
    </row>
    <row r="821" spans="2:5" x14ac:dyDescent="0.25">
      <c r="B821" s="1" t="s">
        <v>12</v>
      </c>
      <c r="C821" s="1">
        <v>40299</v>
      </c>
      <c r="D821">
        <v>609364105.82000005</v>
      </c>
      <c r="E821">
        <v>8</v>
      </c>
    </row>
    <row r="822" spans="2:5" x14ac:dyDescent="0.25">
      <c r="B822" s="1" t="s">
        <v>22</v>
      </c>
      <c r="C822" s="1">
        <v>40299</v>
      </c>
      <c r="D822">
        <v>374451577.42000002</v>
      </c>
      <c r="E822">
        <v>9</v>
      </c>
    </row>
    <row r="823" spans="2:5" x14ac:dyDescent="0.25">
      <c r="B823" s="1" t="s">
        <v>65</v>
      </c>
      <c r="C823" s="1">
        <v>40299</v>
      </c>
      <c r="D823">
        <v>320595795.07999998</v>
      </c>
      <c r="E823">
        <v>10</v>
      </c>
    </row>
    <row r="824" spans="2:5" x14ac:dyDescent="0.25">
      <c r="B824" s="1" t="s">
        <v>13</v>
      </c>
      <c r="C824" s="1">
        <v>40330</v>
      </c>
      <c r="D824">
        <v>8799294787.6299992</v>
      </c>
      <c r="E824">
        <v>1</v>
      </c>
    </row>
    <row r="825" spans="2:5" x14ac:dyDescent="0.25">
      <c r="B825" s="1" t="s">
        <v>6</v>
      </c>
      <c r="C825" s="1">
        <v>40330</v>
      </c>
      <c r="D825">
        <v>8154661116.96</v>
      </c>
      <c r="E825">
        <v>2</v>
      </c>
    </row>
    <row r="826" spans="2:5" x14ac:dyDescent="0.25">
      <c r="B826" s="1" t="s">
        <v>16</v>
      </c>
      <c r="C826" s="1">
        <v>40330</v>
      </c>
      <c r="D826">
        <v>3622024666.25</v>
      </c>
      <c r="E826">
        <v>3</v>
      </c>
    </row>
    <row r="827" spans="2:5" x14ac:dyDescent="0.25">
      <c r="B827" s="1" t="s">
        <v>25</v>
      </c>
      <c r="C827" s="1">
        <v>40330</v>
      </c>
      <c r="D827">
        <v>1375076321.3399999</v>
      </c>
      <c r="E827">
        <v>4</v>
      </c>
    </row>
    <row r="828" spans="2:5" x14ac:dyDescent="0.25">
      <c r="B828" s="1" t="s">
        <v>4</v>
      </c>
      <c r="C828" s="1">
        <v>40330</v>
      </c>
      <c r="D828">
        <v>1173346276.5699999</v>
      </c>
      <c r="E828">
        <v>5</v>
      </c>
    </row>
    <row r="829" spans="2:5" x14ac:dyDescent="0.25">
      <c r="B829" s="1" t="s">
        <v>5</v>
      </c>
      <c r="C829" s="1">
        <v>40330</v>
      </c>
      <c r="D829">
        <v>917979863.50999999</v>
      </c>
      <c r="E829">
        <v>6</v>
      </c>
    </row>
    <row r="830" spans="2:5" x14ac:dyDescent="0.25">
      <c r="B830" s="1" t="s">
        <v>57</v>
      </c>
      <c r="C830" s="1">
        <v>40330</v>
      </c>
      <c r="D830">
        <v>851895011.08000004</v>
      </c>
      <c r="E830">
        <v>7</v>
      </c>
    </row>
    <row r="831" spans="2:5" x14ac:dyDescent="0.25">
      <c r="B831" s="1" t="s">
        <v>12</v>
      </c>
      <c r="C831" s="1">
        <v>40330</v>
      </c>
      <c r="D831">
        <v>748753735.46000004</v>
      </c>
      <c r="E831">
        <v>8</v>
      </c>
    </row>
    <row r="832" spans="2:5" x14ac:dyDescent="0.25">
      <c r="B832" s="1" t="s">
        <v>65</v>
      </c>
      <c r="C832" s="1">
        <v>40330</v>
      </c>
      <c r="D832">
        <v>326270703.69999999</v>
      </c>
      <c r="E832">
        <v>9</v>
      </c>
    </row>
    <row r="833" spans="2:5" x14ac:dyDescent="0.25">
      <c r="B833" s="1" t="s">
        <v>21</v>
      </c>
      <c r="C833" s="1">
        <v>40330</v>
      </c>
      <c r="D833">
        <v>254275737.40000001</v>
      </c>
      <c r="E833">
        <v>10</v>
      </c>
    </row>
    <row r="834" spans="2:5" x14ac:dyDescent="0.25">
      <c r="B834" s="1" t="s">
        <v>13</v>
      </c>
      <c r="C834" s="1">
        <v>40360</v>
      </c>
      <c r="D834">
        <v>7934970468.3800001</v>
      </c>
      <c r="E834">
        <v>1</v>
      </c>
    </row>
    <row r="835" spans="2:5" x14ac:dyDescent="0.25">
      <c r="B835" s="1" t="s">
        <v>6</v>
      </c>
      <c r="C835" s="1">
        <v>40360</v>
      </c>
      <c r="D835">
        <v>7241081757.5200005</v>
      </c>
      <c r="E835">
        <v>2</v>
      </c>
    </row>
    <row r="836" spans="2:5" x14ac:dyDescent="0.25">
      <c r="B836" s="1" t="s">
        <v>16</v>
      </c>
      <c r="C836" s="1">
        <v>40360</v>
      </c>
      <c r="D836">
        <v>5027427171.6099997</v>
      </c>
      <c r="E836">
        <v>3</v>
      </c>
    </row>
    <row r="837" spans="2:5" x14ac:dyDescent="0.25">
      <c r="B837" s="1" t="s">
        <v>25</v>
      </c>
      <c r="C837" s="1">
        <v>40360</v>
      </c>
      <c r="D837">
        <v>1866229299.05</v>
      </c>
      <c r="E837">
        <v>4</v>
      </c>
    </row>
    <row r="838" spans="2:5" x14ac:dyDescent="0.25">
      <c r="B838" s="1" t="s">
        <v>4</v>
      </c>
      <c r="C838" s="1">
        <v>40360</v>
      </c>
      <c r="D838">
        <v>1266197047.0799999</v>
      </c>
      <c r="E838">
        <v>5</v>
      </c>
    </row>
    <row r="839" spans="2:5" x14ac:dyDescent="0.25">
      <c r="B839" s="1" t="s">
        <v>5</v>
      </c>
      <c r="C839" s="1">
        <v>40360</v>
      </c>
      <c r="D839">
        <v>944390561.76999998</v>
      </c>
      <c r="E839">
        <v>6</v>
      </c>
    </row>
    <row r="840" spans="2:5" x14ac:dyDescent="0.25">
      <c r="B840" s="1" t="s">
        <v>12</v>
      </c>
      <c r="C840" s="1">
        <v>40360</v>
      </c>
      <c r="D840">
        <v>918705846.91999996</v>
      </c>
      <c r="E840">
        <v>7</v>
      </c>
    </row>
    <row r="841" spans="2:5" x14ac:dyDescent="0.25">
      <c r="B841" s="1" t="s">
        <v>57</v>
      </c>
      <c r="C841" s="1">
        <v>40360</v>
      </c>
      <c r="D841">
        <v>775601724.25999999</v>
      </c>
      <c r="E841">
        <v>8</v>
      </c>
    </row>
    <row r="842" spans="2:5" x14ac:dyDescent="0.25">
      <c r="B842" s="1" t="s">
        <v>65</v>
      </c>
      <c r="C842" s="1">
        <v>40360</v>
      </c>
      <c r="D842">
        <v>300443074.45999998</v>
      </c>
      <c r="E842">
        <v>9</v>
      </c>
    </row>
    <row r="843" spans="2:5" x14ac:dyDescent="0.25">
      <c r="B843" s="1" t="s">
        <v>22</v>
      </c>
      <c r="C843" s="1">
        <v>40360</v>
      </c>
      <c r="D843">
        <v>245275653.34</v>
      </c>
      <c r="E843">
        <v>10</v>
      </c>
    </row>
    <row r="844" spans="2:5" x14ac:dyDescent="0.25">
      <c r="B844" s="1" t="s">
        <v>13</v>
      </c>
      <c r="C844" s="1">
        <v>40391</v>
      </c>
      <c r="D844">
        <v>8650842881.4500008</v>
      </c>
      <c r="E844">
        <v>1</v>
      </c>
    </row>
    <row r="845" spans="2:5" x14ac:dyDescent="0.25">
      <c r="B845" s="1" t="s">
        <v>6</v>
      </c>
      <c r="C845" s="1">
        <v>40391</v>
      </c>
      <c r="D845">
        <v>6535117770.4499998</v>
      </c>
      <c r="E845">
        <v>2</v>
      </c>
    </row>
    <row r="846" spans="2:5" x14ac:dyDescent="0.25">
      <c r="B846" s="1" t="s">
        <v>16</v>
      </c>
      <c r="C846" s="1">
        <v>40391</v>
      </c>
      <c r="D846">
        <v>5545327746.9499998</v>
      </c>
      <c r="E846">
        <v>3</v>
      </c>
    </row>
    <row r="847" spans="2:5" x14ac:dyDescent="0.25">
      <c r="B847" s="1" t="s">
        <v>25</v>
      </c>
      <c r="C847" s="1">
        <v>40391</v>
      </c>
      <c r="D847">
        <v>2503047050.4899998</v>
      </c>
      <c r="E847">
        <v>4</v>
      </c>
    </row>
    <row r="848" spans="2:5" x14ac:dyDescent="0.25">
      <c r="B848" s="1" t="s">
        <v>4</v>
      </c>
      <c r="C848" s="1">
        <v>40391</v>
      </c>
      <c r="D848">
        <v>1427424064.8599999</v>
      </c>
      <c r="E848">
        <v>5</v>
      </c>
    </row>
    <row r="849" spans="2:5" x14ac:dyDescent="0.25">
      <c r="B849" s="1" t="s">
        <v>5</v>
      </c>
      <c r="C849" s="1">
        <v>40391</v>
      </c>
      <c r="D849">
        <v>932411839.5</v>
      </c>
      <c r="E849">
        <v>6</v>
      </c>
    </row>
    <row r="850" spans="2:5" x14ac:dyDescent="0.25">
      <c r="B850" s="1" t="s">
        <v>57</v>
      </c>
      <c r="C850" s="1">
        <v>40391</v>
      </c>
      <c r="D850">
        <v>649866638.75999999</v>
      </c>
      <c r="E850">
        <v>7</v>
      </c>
    </row>
    <row r="851" spans="2:5" x14ac:dyDescent="0.25">
      <c r="B851" s="1" t="s">
        <v>12</v>
      </c>
      <c r="C851" s="1">
        <v>40391</v>
      </c>
      <c r="D851">
        <v>619739523.94000006</v>
      </c>
      <c r="E851">
        <v>8</v>
      </c>
    </row>
    <row r="852" spans="2:5" x14ac:dyDescent="0.25">
      <c r="B852" s="1" t="s">
        <v>65</v>
      </c>
      <c r="C852" s="1">
        <v>40391</v>
      </c>
      <c r="D852">
        <v>480853769.99000001</v>
      </c>
      <c r="E852">
        <v>9</v>
      </c>
    </row>
    <row r="853" spans="2:5" x14ac:dyDescent="0.25">
      <c r="B853" s="1" t="s">
        <v>60</v>
      </c>
      <c r="C853" s="1">
        <v>40391</v>
      </c>
      <c r="D853">
        <v>264978699.94999999</v>
      </c>
      <c r="E853">
        <v>10</v>
      </c>
    </row>
    <row r="854" spans="2:5" x14ac:dyDescent="0.25">
      <c r="B854" s="1" t="s">
        <v>13</v>
      </c>
      <c r="C854" s="1">
        <v>40422</v>
      </c>
      <c r="D854">
        <v>10264966285.639999</v>
      </c>
      <c r="E854">
        <v>1</v>
      </c>
    </row>
    <row r="855" spans="2:5" x14ac:dyDescent="0.25">
      <c r="B855" s="1" t="s">
        <v>6</v>
      </c>
      <c r="C855" s="1">
        <v>40422</v>
      </c>
      <c r="D855">
        <v>6666240706.8299999</v>
      </c>
      <c r="E855">
        <v>2</v>
      </c>
    </row>
    <row r="856" spans="2:5" x14ac:dyDescent="0.25">
      <c r="B856" s="1" t="s">
        <v>25</v>
      </c>
      <c r="C856" s="1">
        <v>40422</v>
      </c>
      <c r="D856">
        <v>2676228021.5100002</v>
      </c>
      <c r="E856">
        <v>3</v>
      </c>
    </row>
    <row r="857" spans="2:5" x14ac:dyDescent="0.25">
      <c r="B857" s="1" t="s">
        <v>4</v>
      </c>
      <c r="C857" s="1">
        <v>40422</v>
      </c>
      <c r="D857">
        <v>2621195325.3299999</v>
      </c>
      <c r="E857">
        <v>4</v>
      </c>
    </row>
    <row r="858" spans="2:5" x14ac:dyDescent="0.25">
      <c r="B858" s="1" t="s">
        <v>16</v>
      </c>
      <c r="C858" s="1">
        <v>40422</v>
      </c>
      <c r="D858">
        <v>2455237346.6399999</v>
      </c>
      <c r="E858">
        <v>5</v>
      </c>
    </row>
    <row r="859" spans="2:5" x14ac:dyDescent="0.25">
      <c r="B859" s="1" t="s">
        <v>12</v>
      </c>
      <c r="C859" s="1">
        <v>40422</v>
      </c>
      <c r="D859">
        <v>1433781043.1500001</v>
      </c>
      <c r="E859">
        <v>6</v>
      </c>
    </row>
    <row r="860" spans="2:5" x14ac:dyDescent="0.25">
      <c r="B860" s="1" t="s">
        <v>5</v>
      </c>
      <c r="C860" s="1">
        <v>40422</v>
      </c>
      <c r="D860">
        <v>1342708519.8399999</v>
      </c>
      <c r="E860">
        <v>7</v>
      </c>
    </row>
    <row r="861" spans="2:5" x14ac:dyDescent="0.25">
      <c r="B861" s="1" t="s">
        <v>57</v>
      </c>
      <c r="C861" s="1">
        <v>40422</v>
      </c>
      <c r="D861">
        <v>1023917028.28</v>
      </c>
      <c r="E861">
        <v>8</v>
      </c>
    </row>
    <row r="862" spans="2:5" x14ac:dyDescent="0.25">
      <c r="B862" s="1" t="s">
        <v>68</v>
      </c>
      <c r="C862" s="1">
        <v>40422</v>
      </c>
      <c r="D862">
        <v>593439306.13</v>
      </c>
      <c r="E862">
        <v>9</v>
      </c>
    </row>
    <row r="863" spans="2:5" x14ac:dyDescent="0.25">
      <c r="B863" s="1" t="s">
        <v>65</v>
      </c>
      <c r="C863" s="1">
        <v>40422</v>
      </c>
      <c r="D863">
        <v>539726270.10000002</v>
      </c>
      <c r="E863">
        <v>10</v>
      </c>
    </row>
    <row r="864" spans="2:5" x14ac:dyDescent="0.25">
      <c r="B864" s="1" t="s">
        <v>16</v>
      </c>
      <c r="C864" s="1">
        <v>40452</v>
      </c>
      <c r="D864">
        <v>12567511433.07</v>
      </c>
      <c r="E864">
        <v>1</v>
      </c>
    </row>
    <row r="865" spans="2:5" x14ac:dyDescent="0.25">
      <c r="B865" s="1" t="s">
        <v>13</v>
      </c>
      <c r="C865" s="1">
        <v>40452</v>
      </c>
      <c r="D865">
        <v>12423016925.08</v>
      </c>
      <c r="E865">
        <v>2</v>
      </c>
    </row>
    <row r="866" spans="2:5" x14ac:dyDescent="0.25">
      <c r="B866" s="1" t="s">
        <v>6</v>
      </c>
      <c r="C866" s="1">
        <v>40452</v>
      </c>
      <c r="D866">
        <v>8770914673.4699993</v>
      </c>
      <c r="E866">
        <v>3</v>
      </c>
    </row>
    <row r="867" spans="2:5" x14ac:dyDescent="0.25">
      <c r="B867" s="1" t="s">
        <v>4</v>
      </c>
      <c r="C867" s="1">
        <v>40452</v>
      </c>
      <c r="D867">
        <v>4455208312.8599997</v>
      </c>
      <c r="E867">
        <v>4</v>
      </c>
    </row>
    <row r="868" spans="2:5" x14ac:dyDescent="0.25">
      <c r="B868" s="1" t="s">
        <v>25</v>
      </c>
      <c r="C868" s="1">
        <v>40452</v>
      </c>
      <c r="D868">
        <v>3628017416.1300001</v>
      </c>
      <c r="E868">
        <v>5</v>
      </c>
    </row>
    <row r="869" spans="2:5" x14ac:dyDescent="0.25">
      <c r="B869" s="1" t="s">
        <v>12</v>
      </c>
      <c r="C869" s="1">
        <v>40452</v>
      </c>
      <c r="D869">
        <v>2078576416.8699999</v>
      </c>
      <c r="E869">
        <v>6</v>
      </c>
    </row>
    <row r="870" spans="2:5" x14ac:dyDescent="0.25">
      <c r="B870" s="1" t="s">
        <v>5</v>
      </c>
      <c r="C870" s="1">
        <v>40452</v>
      </c>
      <c r="D870">
        <v>1723198955.49</v>
      </c>
      <c r="E870">
        <v>7</v>
      </c>
    </row>
    <row r="871" spans="2:5" x14ac:dyDescent="0.25">
      <c r="B871" s="1" t="s">
        <v>57</v>
      </c>
      <c r="C871" s="1">
        <v>40452</v>
      </c>
      <c r="D871">
        <v>1111899953.1300001</v>
      </c>
      <c r="E871">
        <v>8</v>
      </c>
    </row>
    <row r="872" spans="2:5" x14ac:dyDescent="0.25">
      <c r="B872" s="1" t="s">
        <v>65</v>
      </c>
      <c r="C872" s="1">
        <v>40452</v>
      </c>
      <c r="D872">
        <v>963061126.65999997</v>
      </c>
      <c r="E872">
        <v>9</v>
      </c>
    </row>
    <row r="873" spans="2:5" x14ac:dyDescent="0.25">
      <c r="B873" s="1" t="s">
        <v>69</v>
      </c>
      <c r="C873" s="1">
        <v>40452</v>
      </c>
      <c r="D873">
        <v>832572474.64999998</v>
      </c>
      <c r="E873">
        <v>10</v>
      </c>
    </row>
    <row r="874" spans="2:5" x14ac:dyDescent="0.25">
      <c r="B874" s="1" t="s">
        <v>13</v>
      </c>
      <c r="C874" s="1">
        <v>40483</v>
      </c>
      <c r="D874">
        <v>13640971298.67</v>
      </c>
      <c r="E874">
        <v>1</v>
      </c>
    </row>
    <row r="875" spans="2:5" x14ac:dyDescent="0.25">
      <c r="B875" s="1" t="s">
        <v>6</v>
      </c>
      <c r="C875" s="1">
        <v>40483</v>
      </c>
      <c r="D875">
        <v>7047136981.0299997</v>
      </c>
      <c r="E875">
        <v>2</v>
      </c>
    </row>
    <row r="876" spans="2:5" x14ac:dyDescent="0.25">
      <c r="B876" s="1" t="s">
        <v>16</v>
      </c>
      <c r="C876" s="1">
        <v>40483</v>
      </c>
      <c r="D876">
        <v>7014707935.25</v>
      </c>
      <c r="E876">
        <v>3</v>
      </c>
    </row>
    <row r="877" spans="2:5" x14ac:dyDescent="0.25">
      <c r="B877" s="1" t="s">
        <v>25</v>
      </c>
      <c r="C877" s="1">
        <v>40483</v>
      </c>
      <c r="D877">
        <v>4793824904.6700001</v>
      </c>
      <c r="E877">
        <v>4</v>
      </c>
    </row>
    <row r="878" spans="2:5" x14ac:dyDescent="0.25">
      <c r="B878" s="1" t="s">
        <v>4</v>
      </c>
      <c r="C878" s="1">
        <v>40483</v>
      </c>
      <c r="D878">
        <v>4517989951.6300001</v>
      </c>
      <c r="E878">
        <v>5</v>
      </c>
    </row>
    <row r="879" spans="2:5" x14ac:dyDescent="0.25">
      <c r="B879" s="1" t="s">
        <v>5</v>
      </c>
      <c r="C879" s="1">
        <v>40483</v>
      </c>
      <c r="D879">
        <v>1750513489.3299999</v>
      </c>
      <c r="E879">
        <v>6</v>
      </c>
    </row>
    <row r="880" spans="2:5" x14ac:dyDescent="0.25">
      <c r="B880" s="1" t="s">
        <v>12</v>
      </c>
      <c r="C880" s="1">
        <v>40483</v>
      </c>
      <c r="D880">
        <v>1581926551.48</v>
      </c>
      <c r="E880">
        <v>7</v>
      </c>
    </row>
    <row r="881" spans="2:5" x14ac:dyDescent="0.25">
      <c r="B881" s="1" t="s">
        <v>57</v>
      </c>
      <c r="C881" s="1">
        <v>40483</v>
      </c>
      <c r="D881">
        <v>1232242691.3499999</v>
      </c>
      <c r="E881">
        <v>8</v>
      </c>
    </row>
    <row r="882" spans="2:5" x14ac:dyDescent="0.25">
      <c r="B882" s="1" t="s">
        <v>69</v>
      </c>
      <c r="C882" s="1">
        <v>40483</v>
      </c>
      <c r="D882">
        <v>982787840.32000005</v>
      </c>
      <c r="E882">
        <v>9</v>
      </c>
    </row>
    <row r="883" spans="2:5" x14ac:dyDescent="0.25">
      <c r="B883" s="1" t="s">
        <v>65</v>
      </c>
      <c r="C883" s="1">
        <v>40483</v>
      </c>
      <c r="D883">
        <v>817765201.26999998</v>
      </c>
      <c r="E883">
        <v>10</v>
      </c>
    </row>
    <row r="884" spans="2:5" x14ac:dyDescent="0.25">
      <c r="B884" s="1" t="s">
        <v>13</v>
      </c>
      <c r="C884" s="1">
        <v>40513</v>
      </c>
      <c r="D884">
        <v>12770630060.530001</v>
      </c>
      <c r="E884">
        <v>1</v>
      </c>
    </row>
    <row r="885" spans="2:5" x14ac:dyDescent="0.25">
      <c r="B885" s="1" t="s">
        <v>6</v>
      </c>
      <c r="C885" s="1">
        <v>40513</v>
      </c>
      <c r="D885">
        <v>8048055292.0600004</v>
      </c>
      <c r="E885">
        <v>2</v>
      </c>
    </row>
    <row r="886" spans="2:5" x14ac:dyDescent="0.25">
      <c r="B886" s="1" t="s">
        <v>16</v>
      </c>
      <c r="C886" s="1">
        <v>40513</v>
      </c>
      <c r="D886">
        <v>5641916957.5299997</v>
      </c>
      <c r="E886">
        <v>3</v>
      </c>
    </row>
    <row r="887" spans="2:5" x14ac:dyDescent="0.25">
      <c r="B887" s="1" t="s">
        <v>25</v>
      </c>
      <c r="C887" s="1">
        <v>40513</v>
      </c>
      <c r="D887">
        <v>4603146722.4499998</v>
      </c>
      <c r="E887">
        <v>4</v>
      </c>
    </row>
    <row r="888" spans="2:5" x14ac:dyDescent="0.25">
      <c r="B888" s="1" t="s">
        <v>4</v>
      </c>
      <c r="C888" s="1">
        <v>40513</v>
      </c>
      <c r="D888">
        <v>3992411406.73</v>
      </c>
      <c r="E888">
        <v>5</v>
      </c>
    </row>
    <row r="889" spans="2:5" x14ac:dyDescent="0.25">
      <c r="B889" s="1" t="s">
        <v>5</v>
      </c>
      <c r="C889" s="1">
        <v>40513</v>
      </c>
      <c r="D889">
        <v>2184526963.1799998</v>
      </c>
      <c r="E889">
        <v>6</v>
      </c>
    </row>
    <row r="890" spans="2:5" x14ac:dyDescent="0.25">
      <c r="B890" s="1" t="s">
        <v>69</v>
      </c>
      <c r="C890" s="1">
        <v>40513</v>
      </c>
      <c r="D890">
        <v>1748243152.5</v>
      </c>
      <c r="E890">
        <v>7</v>
      </c>
    </row>
    <row r="891" spans="2:5" x14ac:dyDescent="0.25">
      <c r="B891" s="1" t="s">
        <v>12</v>
      </c>
      <c r="C891" s="1">
        <v>40513</v>
      </c>
      <c r="D891">
        <v>1648670960.6600001</v>
      </c>
      <c r="E891">
        <v>8</v>
      </c>
    </row>
    <row r="892" spans="2:5" x14ac:dyDescent="0.25">
      <c r="B892" s="1" t="s">
        <v>57</v>
      </c>
      <c r="C892" s="1">
        <v>40513</v>
      </c>
      <c r="D892">
        <v>1577607632.71</v>
      </c>
      <c r="E892">
        <v>9</v>
      </c>
    </row>
    <row r="893" spans="2:5" x14ac:dyDescent="0.25">
      <c r="B893" s="1" t="s">
        <v>76</v>
      </c>
      <c r="C893" s="1">
        <v>40513</v>
      </c>
      <c r="D893">
        <v>1033949121.67</v>
      </c>
      <c r="E893">
        <v>10</v>
      </c>
    </row>
    <row r="894" spans="2:5" x14ac:dyDescent="0.25">
      <c r="B894" s="1" t="s">
        <v>13</v>
      </c>
      <c r="C894" s="1">
        <v>40544</v>
      </c>
      <c r="D894">
        <v>14069204024.26</v>
      </c>
      <c r="E894">
        <v>1</v>
      </c>
    </row>
    <row r="895" spans="2:5" x14ac:dyDescent="0.25">
      <c r="B895" s="1" t="s">
        <v>16</v>
      </c>
      <c r="C895" s="1">
        <v>40544</v>
      </c>
      <c r="D895">
        <v>13133524612.870001</v>
      </c>
      <c r="E895">
        <v>2</v>
      </c>
    </row>
    <row r="896" spans="2:5" x14ac:dyDescent="0.25">
      <c r="B896" s="1" t="s">
        <v>6</v>
      </c>
      <c r="C896" s="1">
        <v>40544</v>
      </c>
      <c r="D896">
        <v>11641848064.200001</v>
      </c>
      <c r="E896">
        <v>3</v>
      </c>
    </row>
    <row r="897" spans="2:5" x14ac:dyDescent="0.25">
      <c r="B897" s="1" t="s">
        <v>4</v>
      </c>
      <c r="C897" s="1">
        <v>40544</v>
      </c>
      <c r="D897">
        <v>4429306561.8699999</v>
      </c>
      <c r="E897">
        <v>4</v>
      </c>
    </row>
    <row r="898" spans="2:5" x14ac:dyDescent="0.25">
      <c r="B898" s="1" t="s">
        <v>25</v>
      </c>
      <c r="C898" s="1">
        <v>40544</v>
      </c>
      <c r="D898">
        <v>4060874385.6599998</v>
      </c>
      <c r="E898">
        <v>5</v>
      </c>
    </row>
    <row r="899" spans="2:5" x14ac:dyDescent="0.25">
      <c r="B899" s="1" t="s">
        <v>57</v>
      </c>
      <c r="C899" s="1">
        <v>40544</v>
      </c>
      <c r="D899">
        <v>1801951078.1099999</v>
      </c>
      <c r="E899">
        <v>6</v>
      </c>
    </row>
    <row r="900" spans="2:5" x14ac:dyDescent="0.25">
      <c r="B900" s="1" t="s">
        <v>12</v>
      </c>
      <c r="C900" s="1">
        <v>40544</v>
      </c>
      <c r="D900">
        <v>1782436481.8499999</v>
      </c>
      <c r="E900">
        <v>7</v>
      </c>
    </row>
    <row r="901" spans="2:5" x14ac:dyDescent="0.25">
      <c r="B901" s="1" t="s">
        <v>5</v>
      </c>
      <c r="C901" s="1">
        <v>40544</v>
      </c>
      <c r="D901">
        <v>1208344418.1800001</v>
      </c>
      <c r="E901">
        <v>8</v>
      </c>
    </row>
    <row r="902" spans="2:5" x14ac:dyDescent="0.25">
      <c r="B902" s="1" t="s">
        <v>69</v>
      </c>
      <c r="C902" s="1">
        <v>40544</v>
      </c>
      <c r="D902">
        <v>653806389.21000004</v>
      </c>
      <c r="E902">
        <v>9</v>
      </c>
    </row>
    <row r="903" spans="2:5" x14ac:dyDescent="0.25">
      <c r="B903" s="1" t="s">
        <v>65</v>
      </c>
      <c r="C903" s="1">
        <v>40544</v>
      </c>
      <c r="D903">
        <v>572032112.40999997</v>
      </c>
      <c r="E903">
        <v>10</v>
      </c>
    </row>
    <row r="904" spans="2:5" x14ac:dyDescent="0.25">
      <c r="B904" s="1" t="s">
        <v>13</v>
      </c>
      <c r="C904" s="1">
        <v>40575</v>
      </c>
      <c r="D904">
        <v>14638512908.190001</v>
      </c>
      <c r="E904">
        <v>1</v>
      </c>
    </row>
    <row r="905" spans="2:5" x14ac:dyDescent="0.25">
      <c r="B905" s="1" t="s">
        <v>6</v>
      </c>
      <c r="C905" s="1">
        <v>40575</v>
      </c>
      <c r="D905">
        <v>10027787623.24</v>
      </c>
      <c r="E905">
        <v>2</v>
      </c>
    </row>
    <row r="906" spans="2:5" x14ac:dyDescent="0.25">
      <c r="B906" s="1" t="s">
        <v>16</v>
      </c>
      <c r="C906" s="1">
        <v>40575</v>
      </c>
      <c r="D906">
        <v>5437253796.8900003</v>
      </c>
      <c r="E906">
        <v>3</v>
      </c>
    </row>
    <row r="907" spans="2:5" x14ac:dyDescent="0.25">
      <c r="B907" s="1" t="s">
        <v>4</v>
      </c>
      <c r="C907" s="1">
        <v>40575</v>
      </c>
      <c r="D907">
        <v>4234558632.6799998</v>
      </c>
      <c r="E907">
        <v>4</v>
      </c>
    </row>
    <row r="908" spans="2:5" x14ac:dyDescent="0.25">
      <c r="B908" s="1" t="s">
        <v>25</v>
      </c>
      <c r="C908" s="1">
        <v>40575</v>
      </c>
      <c r="D908">
        <v>3530173574.9400001</v>
      </c>
      <c r="E908">
        <v>5</v>
      </c>
    </row>
    <row r="909" spans="2:5" x14ac:dyDescent="0.25">
      <c r="B909" s="1" t="s">
        <v>5</v>
      </c>
      <c r="C909" s="1">
        <v>40575</v>
      </c>
      <c r="D909">
        <v>2434118122.3600001</v>
      </c>
      <c r="E909">
        <v>6</v>
      </c>
    </row>
    <row r="910" spans="2:5" x14ac:dyDescent="0.25">
      <c r="B910" s="1" t="s">
        <v>12</v>
      </c>
      <c r="C910" s="1">
        <v>40575</v>
      </c>
      <c r="D910">
        <v>1648672345.8699999</v>
      </c>
      <c r="E910">
        <v>7</v>
      </c>
    </row>
    <row r="911" spans="2:5" x14ac:dyDescent="0.25">
      <c r="B911" s="1" t="s">
        <v>57</v>
      </c>
      <c r="C911" s="1">
        <v>40575</v>
      </c>
      <c r="D911">
        <v>1548157269.8499999</v>
      </c>
      <c r="E911">
        <v>8</v>
      </c>
    </row>
    <row r="912" spans="2:5" x14ac:dyDescent="0.25">
      <c r="B912" s="1" t="s">
        <v>65</v>
      </c>
      <c r="C912" s="1">
        <v>40575</v>
      </c>
      <c r="D912">
        <v>717011195.69000006</v>
      </c>
      <c r="E912">
        <v>9</v>
      </c>
    </row>
    <row r="913" spans="2:5" x14ac:dyDescent="0.25">
      <c r="B913" s="1" t="s">
        <v>21</v>
      </c>
      <c r="C913" s="1">
        <v>40575</v>
      </c>
      <c r="D913">
        <v>637830697.74000001</v>
      </c>
      <c r="E913">
        <v>10</v>
      </c>
    </row>
    <row r="914" spans="2:5" x14ac:dyDescent="0.25">
      <c r="B914" s="1" t="s">
        <v>13</v>
      </c>
      <c r="C914" s="1">
        <v>40603</v>
      </c>
      <c r="D914">
        <v>12508600905.84</v>
      </c>
      <c r="E914">
        <v>1</v>
      </c>
    </row>
    <row r="915" spans="2:5" x14ac:dyDescent="0.25">
      <c r="B915" s="1" t="s">
        <v>6</v>
      </c>
      <c r="C915" s="1">
        <v>40603</v>
      </c>
      <c r="D915">
        <v>9499450974.0100002</v>
      </c>
      <c r="E915">
        <v>2</v>
      </c>
    </row>
    <row r="916" spans="2:5" x14ac:dyDescent="0.25">
      <c r="B916" s="1" t="s">
        <v>16</v>
      </c>
      <c r="C916" s="1">
        <v>40603</v>
      </c>
      <c r="D916">
        <v>4252809613.1300001</v>
      </c>
      <c r="E916">
        <v>3</v>
      </c>
    </row>
    <row r="917" spans="2:5" x14ac:dyDescent="0.25">
      <c r="B917" s="1" t="s">
        <v>4</v>
      </c>
      <c r="C917" s="1">
        <v>40603</v>
      </c>
      <c r="D917">
        <v>2430640972.3499999</v>
      </c>
      <c r="E917">
        <v>4</v>
      </c>
    </row>
    <row r="918" spans="2:5" x14ac:dyDescent="0.25">
      <c r="B918" s="1" t="s">
        <v>5</v>
      </c>
      <c r="C918" s="1">
        <v>40603</v>
      </c>
      <c r="D918">
        <v>2155592538.1999998</v>
      </c>
      <c r="E918">
        <v>5</v>
      </c>
    </row>
    <row r="919" spans="2:5" x14ac:dyDescent="0.25">
      <c r="B919" s="1" t="s">
        <v>25</v>
      </c>
      <c r="C919" s="1">
        <v>40603</v>
      </c>
      <c r="D919">
        <v>1915347141.49</v>
      </c>
      <c r="E919">
        <v>6</v>
      </c>
    </row>
    <row r="920" spans="2:5" x14ac:dyDescent="0.25">
      <c r="B920" s="1" t="s">
        <v>57</v>
      </c>
      <c r="C920" s="1">
        <v>40603</v>
      </c>
      <c r="D920">
        <v>1243211245.6800001</v>
      </c>
      <c r="E920">
        <v>7</v>
      </c>
    </row>
    <row r="921" spans="2:5" x14ac:dyDescent="0.25">
      <c r="B921" s="1" t="s">
        <v>12</v>
      </c>
      <c r="C921" s="1">
        <v>40603</v>
      </c>
      <c r="D921">
        <v>853570632.77999997</v>
      </c>
      <c r="E921">
        <v>8</v>
      </c>
    </row>
    <row r="922" spans="2:5" x14ac:dyDescent="0.25">
      <c r="B922" s="1" t="s">
        <v>21</v>
      </c>
      <c r="C922" s="1">
        <v>40603</v>
      </c>
      <c r="D922">
        <v>531626540.47000003</v>
      </c>
      <c r="E922">
        <v>9</v>
      </c>
    </row>
    <row r="923" spans="2:5" x14ac:dyDescent="0.25">
      <c r="B923" s="1" t="s">
        <v>8</v>
      </c>
      <c r="C923" s="1">
        <v>40603</v>
      </c>
      <c r="D923">
        <v>439424127.80000001</v>
      </c>
      <c r="E923">
        <v>10</v>
      </c>
    </row>
    <row r="924" spans="2:5" x14ac:dyDescent="0.25">
      <c r="B924" s="1" t="s">
        <v>16</v>
      </c>
      <c r="C924" s="1">
        <v>40634</v>
      </c>
      <c r="D924">
        <v>9375011832.8899994</v>
      </c>
      <c r="E924">
        <v>1</v>
      </c>
    </row>
    <row r="925" spans="2:5" x14ac:dyDescent="0.25">
      <c r="B925" s="1" t="s">
        <v>13</v>
      </c>
      <c r="C925" s="1">
        <v>40634</v>
      </c>
      <c r="D925">
        <v>9367773473.6599998</v>
      </c>
      <c r="E925">
        <v>2</v>
      </c>
    </row>
    <row r="926" spans="2:5" x14ac:dyDescent="0.25">
      <c r="B926" s="1" t="s">
        <v>6</v>
      </c>
      <c r="C926" s="1">
        <v>40634</v>
      </c>
      <c r="D926">
        <v>8533421708.3199997</v>
      </c>
      <c r="E926">
        <v>3</v>
      </c>
    </row>
    <row r="927" spans="2:5" x14ac:dyDescent="0.25">
      <c r="B927" s="1" t="s">
        <v>4</v>
      </c>
      <c r="C927" s="1">
        <v>40634</v>
      </c>
      <c r="D927">
        <v>2598991988.1199999</v>
      </c>
      <c r="E927">
        <v>4</v>
      </c>
    </row>
    <row r="928" spans="2:5" x14ac:dyDescent="0.25">
      <c r="B928" s="1" t="s">
        <v>5</v>
      </c>
      <c r="C928" s="1">
        <v>40634</v>
      </c>
      <c r="D928">
        <v>2120752517.71</v>
      </c>
      <c r="E928">
        <v>5</v>
      </c>
    </row>
    <row r="929" spans="2:5" x14ac:dyDescent="0.25">
      <c r="B929" s="1" t="s">
        <v>25</v>
      </c>
      <c r="C929" s="1">
        <v>40634</v>
      </c>
      <c r="D929">
        <v>2106788705.9200001</v>
      </c>
      <c r="E929">
        <v>6</v>
      </c>
    </row>
    <row r="930" spans="2:5" x14ac:dyDescent="0.25">
      <c r="B930" s="1" t="s">
        <v>57</v>
      </c>
      <c r="C930" s="1">
        <v>40634</v>
      </c>
      <c r="D930">
        <v>1176664421.78</v>
      </c>
      <c r="E930">
        <v>7</v>
      </c>
    </row>
    <row r="931" spans="2:5" x14ac:dyDescent="0.25">
      <c r="B931" s="1" t="s">
        <v>12</v>
      </c>
      <c r="C931" s="1">
        <v>40634</v>
      </c>
      <c r="D931">
        <v>734868464.33000004</v>
      </c>
      <c r="E931">
        <v>8</v>
      </c>
    </row>
    <row r="932" spans="2:5" x14ac:dyDescent="0.25">
      <c r="B932" s="1" t="s">
        <v>21</v>
      </c>
      <c r="C932" s="1">
        <v>40634</v>
      </c>
      <c r="D932">
        <v>569714776.50999999</v>
      </c>
      <c r="E932">
        <v>9</v>
      </c>
    </row>
    <row r="933" spans="2:5" x14ac:dyDescent="0.25">
      <c r="B933" s="1" t="s">
        <v>22</v>
      </c>
      <c r="C933" s="1">
        <v>40634</v>
      </c>
      <c r="D933">
        <v>300779235.80000001</v>
      </c>
      <c r="E933">
        <v>10</v>
      </c>
    </row>
    <row r="934" spans="2:5" x14ac:dyDescent="0.25">
      <c r="B934" s="1" t="s">
        <v>13</v>
      </c>
      <c r="C934" s="1">
        <v>40664</v>
      </c>
      <c r="D934">
        <v>7263200622.4200001</v>
      </c>
      <c r="E934">
        <v>1</v>
      </c>
    </row>
    <row r="935" spans="2:5" x14ac:dyDescent="0.25">
      <c r="B935" s="1" t="s">
        <v>6</v>
      </c>
      <c r="C935" s="1">
        <v>40664</v>
      </c>
      <c r="D935">
        <v>4713078509.5699997</v>
      </c>
      <c r="E935">
        <v>2</v>
      </c>
    </row>
    <row r="936" spans="2:5" x14ac:dyDescent="0.25">
      <c r="B936" s="1" t="s">
        <v>16</v>
      </c>
      <c r="C936" s="1">
        <v>40664</v>
      </c>
      <c r="D936">
        <v>3745951222.4499998</v>
      </c>
      <c r="E936">
        <v>3</v>
      </c>
    </row>
    <row r="937" spans="2:5" x14ac:dyDescent="0.25">
      <c r="B937" s="1" t="s">
        <v>4</v>
      </c>
      <c r="C937" s="1">
        <v>40664</v>
      </c>
      <c r="D937">
        <v>2054389741.1600001</v>
      </c>
      <c r="E937">
        <v>4</v>
      </c>
    </row>
    <row r="938" spans="2:5" x14ac:dyDescent="0.25">
      <c r="B938" s="1" t="s">
        <v>25</v>
      </c>
      <c r="C938" s="1">
        <v>40664</v>
      </c>
      <c r="D938">
        <v>1108476066.48</v>
      </c>
      <c r="E938">
        <v>5</v>
      </c>
    </row>
    <row r="939" spans="2:5" x14ac:dyDescent="0.25">
      <c r="B939" s="1" t="s">
        <v>12</v>
      </c>
      <c r="C939" s="1">
        <v>40664</v>
      </c>
      <c r="D939">
        <v>809370651.20000005</v>
      </c>
      <c r="E939">
        <v>6</v>
      </c>
    </row>
    <row r="940" spans="2:5" x14ac:dyDescent="0.25">
      <c r="B940" s="1" t="s">
        <v>57</v>
      </c>
      <c r="C940" s="1">
        <v>40664</v>
      </c>
      <c r="D940">
        <v>670283683.65999997</v>
      </c>
      <c r="E940">
        <v>7</v>
      </c>
    </row>
    <row r="941" spans="2:5" x14ac:dyDescent="0.25">
      <c r="B941" s="1" t="s">
        <v>21</v>
      </c>
      <c r="C941" s="1">
        <v>40664</v>
      </c>
      <c r="D941">
        <v>551538786.36000001</v>
      </c>
      <c r="E941">
        <v>8</v>
      </c>
    </row>
    <row r="942" spans="2:5" x14ac:dyDescent="0.25">
      <c r="B942" s="1" t="s">
        <v>5</v>
      </c>
      <c r="C942" s="1">
        <v>40664</v>
      </c>
      <c r="D942">
        <v>453825981.13999999</v>
      </c>
      <c r="E942">
        <v>9</v>
      </c>
    </row>
    <row r="943" spans="2:5" x14ac:dyDescent="0.25">
      <c r="B943" s="1" t="s">
        <v>34</v>
      </c>
      <c r="C943" s="1">
        <v>40664</v>
      </c>
      <c r="D943">
        <v>320408343.36000001</v>
      </c>
      <c r="E943">
        <v>10</v>
      </c>
    </row>
    <row r="944" spans="2:5" x14ac:dyDescent="0.25">
      <c r="B944" s="1" t="s">
        <v>13</v>
      </c>
      <c r="C944" s="1">
        <v>40695</v>
      </c>
      <c r="D944">
        <v>6560805145.7200003</v>
      </c>
      <c r="E944">
        <v>1</v>
      </c>
    </row>
    <row r="945" spans="2:5" x14ac:dyDescent="0.25">
      <c r="B945" s="1" t="s">
        <v>16</v>
      </c>
      <c r="C945" s="1">
        <v>40695</v>
      </c>
      <c r="D945">
        <v>4397294621.2799997</v>
      </c>
      <c r="E945">
        <v>2</v>
      </c>
    </row>
    <row r="946" spans="2:5" x14ac:dyDescent="0.25">
      <c r="B946" s="1" t="s">
        <v>6</v>
      </c>
      <c r="C946" s="1">
        <v>40695</v>
      </c>
      <c r="D946">
        <v>2883072438.6100001</v>
      </c>
      <c r="E946">
        <v>3</v>
      </c>
    </row>
    <row r="947" spans="2:5" x14ac:dyDescent="0.25">
      <c r="B947" s="1" t="s">
        <v>4</v>
      </c>
      <c r="C947" s="1">
        <v>40695</v>
      </c>
      <c r="D947">
        <v>1717155852.23</v>
      </c>
      <c r="E947">
        <v>4</v>
      </c>
    </row>
    <row r="948" spans="2:5" x14ac:dyDescent="0.25">
      <c r="B948" s="1" t="s">
        <v>25</v>
      </c>
      <c r="C948" s="1">
        <v>40695</v>
      </c>
      <c r="D948">
        <v>1705305796.3599999</v>
      </c>
      <c r="E948">
        <v>5</v>
      </c>
    </row>
    <row r="949" spans="2:5" x14ac:dyDescent="0.25">
      <c r="B949" s="1" t="s">
        <v>12</v>
      </c>
      <c r="C949" s="1">
        <v>40695</v>
      </c>
      <c r="D949">
        <v>839564162.10000002</v>
      </c>
      <c r="E949">
        <v>6</v>
      </c>
    </row>
    <row r="950" spans="2:5" x14ac:dyDescent="0.25">
      <c r="B950" s="1" t="s">
        <v>5</v>
      </c>
      <c r="C950" s="1">
        <v>40695</v>
      </c>
      <c r="D950">
        <v>723728232.77999997</v>
      </c>
      <c r="E950">
        <v>7</v>
      </c>
    </row>
    <row r="951" spans="2:5" x14ac:dyDescent="0.25">
      <c r="B951" s="1" t="s">
        <v>57</v>
      </c>
      <c r="C951" s="1">
        <v>40695</v>
      </c>
      <c r="D951">
        <v>561654246.87</v>
      </c>
      <c r="E951">
        <v>8</v>
      </c>
    </row>
    <row r="952" spans="2:5" x14ac:dyDescent="0.25">
      <c r="B952" s="1" t="s">
        <v>21</v>
      </c>
      <c r="C952" s="1">
        <v>40695</v>
      </c>
      <c r="D952">
        <v>385476927.93000001</v>
      </c>
      <c r="E952">
        <v>9</v>
      </c>
    </row>
    <row r="953" spans="2:5" x14ac:dyDescent="0.25">
      <c r="B953" s="1" t="s">
        <v>34</v>
      </c>
      <c r="C953" s="1">
        <v>40695</v>
      </c>
      <c r="D953">
        <v>272604276.86000001</v>
      </c>
      <c r="E953">
        <v>10</v>
      </c>
    </row>
    <row r="954" spans="2:5" x14ac:dyDescent="0.25">
      <c r="B954" s="1" t="s">
        <v>13</v>
      </c>
      <c r="C954" s="1">
        <v>40725</v>
      </c>
      <c r="D954">
        <v>7723507087.5699997</v>
      </c>
      <c r="E954">
        <v>1</v>
      </c>
    </row>
    <row r="955" spans="2:5" x14ac:dyDescent="0.25">
      <c r="B955" s="1" t="s">
        <v>16</v>
      </c>
      <c r="C955" s="1">
        <v>40725</v>
      </c>
      <c r="D955">
        <v>5521240960.25</v>
      </c>
      <c r="E955">
        <v>2</v>
      </c>
    </row>
    <row r="956" spans="2:5" x14ac:dyDescent="0.25">
      <c r="B956" s="1" t="s">
        <v>25</v>
      </c>
      <c r="C956" s="1">
        <v>40725</v>
      </c>
      <c r="D956">
        <v>3125723742.4400001</v>
      </c>
      <c r="E956">
        <v>3</v>
      </c>
    </row>
    <row r="957" spans="2:5" x14ac:dyDescent="0.25">
      <c r="B957" s="1" t="s">
        <v>6</v>
      </c>
      <c r="C957" s="1">
        <v>40725</v>
      </c>
      <c r="D957">
        <v>2890199494.2199998</v>
      </c>
      <c r="E957">
        <v>4</v>
      </c>
    </row>
    <row r="958" spans="2:5" x14ac:dyDescent="0.25">
      <c r="B958" s="1" t="s">
        <v>4</v>
      </c>
      <c r="C958" s="1">
        <v>40725</v>
      </c>
      <c r="D958">
        <v>1514700079.47</v>
      </c>
      <c r="E958">
        <v>5</v>
      </c>
    </row>
    <row r="959" spans="2:5" x14ac:dyDescent="0.25">
      <c r="B959" s="1" t="s">
        <v>5</v>
      </c>
      <c r="C959" s="1">
        <v>40725</v>
      </c>
      <c r="D959">
        <v>1249270995.0799999</v>
      </c>
      <c r="E959">
        <v>6</v>
      </c>
    </row>
    <row r="960" spans="2:5" x14ac:dyDescent="0.25">
      <c r="B960" s="1" t="s">
        <v>57</v>
      </c>
      <c r="C960" s="1">
        <v>40725</v>
      </c>
      <c r="D960">
        <v>598841873.17999995</v>
      </c>
      <c r="E960">
        <v>7</v>
      </c>
    </row>
    <row r="961" spans="2:5" x14ac:dyDescent="0.25">
      <c r="B961" s="1" t="s">
        <v>12</v>
      </c>
      <c r="C961" s="1">
        <v>40725</v>
      </c>
      <c r="D961">
        <v>536900681</v>
      </c>
      <c r="E961">
        <v>8</v>
      </c>
    </row>
    <row r="962" spans="2:5" x14ac:dyDescent="0.25">
      <c r="B962" s="1" t="s">
        <v>21</v>
      </c>
      <c r="C962" s="1">
        <v>40725</v>
      </c>
      <c r="D962">
        <v>388098543.69999999</v>
      </c>
      <c r="E962">
        <v>9</v>
      </c>
    </row>
    <row r="963" spans="2:5" x14ac:dyDescent="0.25">
      <c r="B963" s="1" t="s">
        <v>22</v>
      </c>
      <c r="C963" s="1">
        <v>40725</v>
      </c>
      <c r="D963">
        <v>316608413.45999998</v>
      </c>
      <c r="E963">
        <v>10</v>
      </c>
    </row>
    <row r="964" spans="2:5" x14ac:dyDescent="0.25">
      <c r="B964" s="1" t="s">
        <v>13</v>
      </c>
      <c r="C964" s="1">
        <v>40756</v>
      </c>
      <c r="D964">
        <v>5076597395.6099997</v>
      </c>
      <c r="E964">
        <v>1</v>
      </c>
    </row>
    <row r="965" spans="2:5" x14ac:dyDescent="0.25">
      <c r="B965" s="1" t="s">
        <v>16</v>
      </c>
      <c r="C965" s="1">
        <v>40756</v>
      </c>
      <c r="D965">
        <v>3400992563.5999999</v>
      </c>
      <c r="E965">
        <v>2</v>
      </c>
    </row>
    <row r="966" spans="2:5" x14ac:dyDescent="0.25">
      <c r="B966" s="1" t="s">
        <v>4</v>
      </c>
      <c r="C966" s="1">
        <v>40756</v>
      </c>
      <c r="D966">
        <v>3392380514.9299998</v>
      </c>
      <c r="E966">
        <v>3</v>
      </c>
    </row>
    <row r="967" spans="2:5" x14ac:dyDescent="0.25">
      <c r="B967" s="1" t="s">
        <v>6</v>
      </c>
      <c r="C967" s="1">
        <v>40756</v>
      </c>
      <c r="D967">
        <v>3145063452.5300002</v>
      </c>
      <c r="E967">
        <v>4</v>
      </c>
    </row>
    <row r="968" spans="2:5" x14ac:dyDescent="0.25">
      <c r="B968" s="1" t="s">
        <v>25</v>
      </c>
      <c r="C968" s="1">
        <v>40756</v>
      </c>
      <c r="D968">
        <v>1613391642.05</v>
      </c>
      <c r="E968">
        <v>5</v>
      </c>
    </row>
    <row r="969" spans="2:5" x14ac:dyDescent="0.25">
      <c r="B969" s="1" t="s">
        <v>12</v>
      </c>
      <c r="C969" s="1">
        <v>40756</v>
      </c>
      <c r="D969">
        <v>846856456.50999999</v>
      </c>
      <c r="E969">
        <v>6</v>
      </c>
    </row>
    <row r="970" spans="2:5" x14ac:dyDescent="0.25">
      <c r="B970" s="1" t="s">
        <v>57</v>
      </c>
      <c r="C970" s="1">
        <v>40756</v>
      </c>
      <c r="D970">
        <v>719443235.38</v>
      </c>
      <c r="E970">
        <v>7</v>
      </c>
    </row>
    <row r="971" spans="2:5" x14ac:dyDescent="0.25">
      <c r="B971" s="1" t="s">
        <v>5</v>
      </c>
      <c r="C971" s="1">
        <v>40756</v>
      </c>
      <c r="D971">
        <v>487930353.06999999</v>
      </c>
      <c r="E971">
        <v>8</v>
      </c>
    </row>
    <row r="972" spans="2:5" x14ac:dyDescent="0.25">
      <c r="B972" s="1" t="s">
        <v>21</v>
      </c>
      <c r="C972" s="1">
        <v>40756</v>
      </c>
      <c r="D972">
        <v>332388827</v>
      </c>
      <c r="E972">
        <v>9</v>
      </c>
    </row>
    <row r="973" spans="2:5" x14ac:dyDescent="0.25">
      <c r="B973" s="1" t="s">
        <v>8</v>
      </c>
      <c r="C973" s="1">
        <v>40756</v>
      </c>
      <c r="D973">
        <v>212255776.69999999</v>
      </c>
      <c r="E973">
        <v>10</v>
      </c>
    </row>
    <row r="974" spans="2:5" x14ac:dyDescent="0.25">
      <c r="B974" s="1" t="s">
        <v>13</v>
      </c>
      <c r="C974" s="1">
        <v>40787</v>
      </c>
      <c r="D974">
        <v>8026484432.2399998</v>
      </c>
      <c r="E974">
        <v>1</v>
      </c>
    </row>
    <row r="975" spans="2:5" x14ac:dyDescent="0.25">
      <c r="B975" s="1" t="s">
        <v>16</v>
      </c>
      <c r="C975" s="1">
        <v>40787</v>
      </c>
      <c r="D975">
        <v>4546578204.5100002</v>
      </c>
      <c r="E975">
        <v>2</v>
      </c>
    </row>
    <row r="976" spans="2:5" x14ac:dyDescent="0.25">
      <c r="B976" s="1" t="s">
        <v>6</v>
      </c>
      <c r="C976" s="1">
        <v>40787</v>
      </c>
      <c r="D976">
        <v>3689413886.0100002</v>
      </c>
      <c r="E976">
        <v>3</v>
      </c>
    </row>
    <row r="977" spans="2:5" x14ac:dyDescent="0.25">
      <c r="B977" s="1" t="s">
        <v>25</v>
      </c>
      <c r="C977" s="1">
        <v>40787</v>
      </c>
      <c r="D977">
        <v>2312378626.5700002</v>
      </c>
      <c r="E977">
        <v>4</v>
      </c>
    </row>
    <row r="978" spans="2:5" x14ac:dyDescent="0.25">
      <c r="B978" s="1" t="s">
        <v>4</v>
      </c>
      <c r="C978" s="1">
        <v>40787</v>
      </c>
      <c r="D978">
        <v>1535462666.9400001</v>
      </c>
      <c r="E978">
        <v>5</v>
      </c>
    </row>
    <row r="979" spans="2:5" x14ac:dyDescent="0.25">
      <c r="B979" s="1" t="s">
        <v>5</v>
      </c>
      <c r="C979" s="1">
        <v>40787</v>
      </c>
      <c r="D979">
        <v>1488442307.6700001</v>
      </c>
      <c r="E979">
        <v>6</v>
      </c>
    </row>
    <row r="980" spans="2:5" x14ac:dyDescent="0.25">
      <c r="B980" s="1" t="s">
        <v>12</v>
      </c>
      <c r="C980" s="1">
        <v>40787</v>
      </c>
      <c r="D980">
        <v>1235686134.8199999</v>
      </c>
      <c r="E980">
        <v>7</v>
      </c>
    </row>
    <row r="981" spans="2:5" x14ac:dyDescent="0.25">
      <c r="B981" s="1" t="s">
        <v>57</v>
      </c>
      <c r="C981" s="1">
        <v>40787</v>
      </c>
      <c r="D981">
        <v>723041247.12</v>
      </c>
      <c r="E981">
        <v>8</v>
      </c>
    </row>
    <row r="982" spans="2:5" x14ac:dyDescent="0.25">
      <c r="B982" s="1" t="s">
        <v>21</v>
      </c>
      <c r="C982" s="1">
        <v>40787</v>
      </c>
      <c r="D982">
        <v>257691149.83000001</v>
      </c>
      <c r="E982">
        <v>9</v>
      </c>
    </row>
    <row r="983" spans="2:5" x14ac:dyDescent="0.25">
      <c r="B983" s="1" t="s">
        <v>22</v>
      </c>
      <c r="C983" s="1">
        <v>40787</v>
      </c>
      <c r="D983">
        <v>245472900.08000001</v>
      </c>
      <c r="E983">
        <v>10</v>
      </c>
    </row>
    <row r="984" spans="2:5" x14ac:dyDescent="0.25">
      <c r="B984" s="1" t="s">
        <v>13</v>
      </c>
      <c r="C984" s="1">
        <v>40817</v>
      </c>
      <c r="D984">
        <v>9630208171.6000004</v>
      </c>
      <c r="E984">
        <v>1</v>
      </c>
    </row>
    <row r="985" spans="2:5" x14ac:dyDescent="0.25">
      <c r="B985" s="1" t="s">
        <v>16</v>
      </c>
      <c r="C985" s="1">
        <v>40817</v>
      </c>
      <c r="D985">
        <v>8148436625.0600004</v>
      </c>
      <c r="E985">
        <v>2</v>
      </c>
    </row>
    <row r="986" spans="2:5" x14ac:dyDescent="0.25">
      <c r="B986" s="1" t="s">
        <v>25</v>
      </c>
      <c r="C986" s="1">
        <v>40817</v>
      </c>
      <c r="D986">
        <v>3379466287.0999999</v>
      </c>
      <c r="E986">
        <v>3</v>
      </c>
    </row>
    <row r="987" spans="2:5" x14ac:dyDescent="0.25">
      <c r="B987" s="1" t="s">
        <v>6</v>
      </c>
      <c r="C987" s="1">
        <v>40817</v>
      </c>
      <c r="D987">
        <v>2834634956.2800002</v>
      </c>
      <c r="E987">
        <v>4</v>
      </c>
    </row>
    <row r="988" spans="2:5" x14ac:dyDescent="0.25">
      <c r="B988" s="1" t="s">
        <v>4</v>
      </c>
      <c r="C988" s="1">
        <v>40817</v>
      </c>
      <c r="D988">
        <v>2654243256.4699998</v>
      </c>
      <c r="E988">
        <v>5</v>
      </c>
    </row>
    <row r="989" spans="2:5" x14ac:dyDescent="0.25">
      <c r="B989" s="1" t="s">
        <v>12</v>
      </c>
      <c r="C989" s="1">
        <v>40817</v>
      </c>
      <c r="D989">
        <v>1477823763.1900001</v>
      </c>
      <c r="E989">
        <v>6</v>
      </c>
    </row>
    <row r="990" spans="2:5" x14ac:dyDescent="0.25">
      <c r="B990" s="1" t="s">
        <v>5</v>
      </c>
      <c r="C990" s="1">
        <v>40817</v>
      </c>
      <c r="D990">
        <v>1064883083.64</v>
      </c>
      <c r="E990">
        <v>7</v>
      </c>
    </row>
    <row r="991" spans="2:5" x14ac:dyDescent="0.25">
      <c r="B991" s="1" t="s">
        <v>69</v>
      </c>
      <c r="C991" s="1">
        <v>40817</v>
      </c>
      <c r="D991">
        <v>818515708.92999995</v>
      </c>
      <c r="E991">
        <v>8</v>
      </c>
    </row>
    <row r="992" spans="2:5" x14ac:dyDescent="0.25">
      <c r="B992" s="1" t="s">
        <v>57</v>
      </c>
      <c r="C992" s="1">
        <v>40817</v>
      </c>
      <c r="D992">
        <v>607535378.60000002</v>
      </c>
      <c r="E992">
        <v>9</v>
      </c>
    </row>
    <row r="993" spans="2:5" x14ac:dyDescent="0.25">
      <c r="B993" s="1" t="s">
        <v>21</v>
      </c>
      <c r="C993" s="1">
        <v>40817</v>
      </c>
      <c r="D993">
        <v>418073981.95999998</v>
      </c>
      <c r="E993">
        <v>10</v>
      </c>
    </row>
    <row r="994" spans="2:5" x14ac:dyDescent="0.25">
      <c r="B994" s="1" t="s">
        <v>13</v>
      </c>
      <c r="C994" s="1">
        <v>40848</v>
      </c>
      <c r="D994">
        <v>11686443131.879999</v>
      </c>
      <c r="E994">
        <v>1</v>
      </c>
    </row>
    <row r="995" spans="2:5" x14ac:dyDescent="0.25">
      <c r="B995" s="1" t="s">
        <v>16</v>
      </c>
      <c r="C995" s="1">
        <v>40848</v>
      </c>
      <c r="D995">
        <v>5088834053.8500004</v>
      </c>
      <c r="E995">
        <v>2</v>
      </c>
    </row>
    <row r="996" spans="2:5" x14ac:dyDescent="0.25">
      <c r="B996" s="1" t="s">
        <v>4</v>
      </c>
      <c r="C996" s="1">
        <v>40848</v>
      </c>
      <c r="D996">
        <v>3332262713.5100002</v>
      </c>
      <c r="E996">
        <v>3</v>
      </c>
    </row>
    <row r="997" spans="2:5" x14ac:dyDescent="0.25">
      <c r="B997" s="1" t="s">
        <v>12</v>
      </c>
      <c r="C997" s="1">
        <v>40848</v>
      </c>
      <c r="D997">
        <v>2184906446.2199998</v>
      </c>
      <c r="E997">
        <v>4</v>
      </c>
    </row>
    <row r="998" spans="2:5" x14ac:dyDescent="0.25">
      <c r="B998" s="1" t="s">
        <v>5</v>
      </c>
      <c r="C998" s="1">
        <v>40848</v>
      </c>
      <c r="D998">
        <v>2122233597.4200001</v>
      </c>
      <c r="E998">
        <v>5</v>
      </c>
    </row>
    <row r="999" spans="2:5" x14ac:dyDescent="0.25">
      <c r="B999" s="1" t="s">
        <v>6</v>
      </c>
      <c r="C999" s="1">
        <v>40848</v>
      </c>
      <c r="D999">
        <v>1990901215.54</v>
      </c>
      <c r="E999">
        <v>6</v>
      </c>
    </row>
    <row r="1000" spans="2:5" x14ac:dyDescent="0.25">
      <c r="B1000" s="1" t="s">
        <v>25</v>
      </c>
      <c r="C1000" s="1">
        <v>40848</v>
      </c>
      <c r="D1000">
        <v>1808551858.1600001</v>
      </c>
      <c r="E1000">
        <v>7</v>
      </c>
    </row>
    <row r="1001" spans="2:5" x14ac:dyDescent="0.25">
      <c r="B1001" s="1" t="s">
        <v>69</v>
      </c>
      <c r="C1001" s="1">
        <v>40848</v>
      </c>
      <c r="D1001">
        <v>1099145883.3299999</v>
      </c>
      <c r="E1001">
        <v>8</v>
      </c>
    </row>
    <row r="1002" spans="2:5" x14ac:dyDescent="0.25">
      <c r="B1002" s="1" t="s">
        <v>57</v>
      </c>
      <c r="C1002" s="1">
        <v>40848</v>
      </c>
      <c r="D1002">
        <v>781955044.85000002</v>
      </c>
      <c r="E1002">
        <v>9</v>
      </c>
    </row>
    <row r="1003" spans="2:5" x14ac:dyDescent="0.25">
      <c r="B1003" s="1" t="s">
        <v>71</v>
      </c>
      <c r="C1003" s="1">
        <v>40848</v>
      </c>
      <c r="D1003">
        <v>480704275.17000002</v>
      </c>
      <c r="E1003">
        <v>10</v>
      </c>
    </row>
    <row r="1004" spans="2:5" x14ac:dyDescent="0.25">
      <c r="B1004" s="1" t="s">
        <v>13</v>
      </c>
      <c r="C1004" s="1">
        <v>40878</v>
      </c>
      <c r="D1004">
        <v>14402413671.309999</v>
      </c>
      <c r="E1004">
        <v>1</v>
      </c>
    </row>
    <row r="1005" spans="2:5" x14ac:dyDescent="0.25">
      <c r="B1005" s="1" t="s">
        <v>16</v>
      </c>
      <c r="C1005" s="1">
        <v>40878</v>
      </c>
      <c r="D1005">
        <v>7892692642.7799997</v>
      </c>
      <c r="E1005">
        <v>2</v>
      </c>
    </row>
    <row r="1006" spans="2:5" x14ac:dyDescent="0.25">
      <c r="B1006" s="1" t="s">
        <v>4</v>
      </c>
      <c r="C1006" s="1">
        <v>40878</v>
      </c>
      <c r="D1006">
        <v>4713649275.1999998</v>
      </c>
      <c r="E1006">
        <v>3</v>
      </c>
    </row>
    <row r="1007" spans="2:5" x14ac:dyDescent="0.25">
      <c r="B1007" s="1" t="s">
        <v>25</v>
      </c>
      <c r="C1007" s="1">
        <v>40878</v>
      </c>
      <c r="D1007">
        <v>3647920798.0700002</v>
      </c>
      <c r="E1007">
        <v>4</v>
      </c>
    </row>
    <row r="1008" spans="2:5" x14ac:dyDescent="0.25">
      <c r="B1008" s="1" t="s">
        <v>12</v>
      </c>
      <c r="C1008" s="1">
        <v>40878</v>
      </c>
      <c r="D1008">
        <v>2369417431.5700002</v>
      </c>
      <c r="E1008">
        <v>5</v>
      </c>
    </row>
    <row r="1009" spans="2:5" x14ac:dyDescent="0.25">
      <c r="B1009" s="1" t="s">
        <v>5</v>
      </c>
      <c r="C1009" s="1">
        <v>40878</v>
      </c>
      <c r="D1009">
        <v>2089241126.1800001</v>
      </c>
      <c r="E1009">
        <v>6</v>
      </c>
    </row>
    <row r="1010" spans="2:5" x14ac:dyDescent="0.25">
      <c r="B1010" s="1" t="s">
        <v>6</v>
      </c>
      <c r="C1010" s="1">
        <v>40878</v>
      </c>
      <c r="D1010">
        <v>1479691577.53</v>
      </c>
      <c r="E1010">
        <v>7</v>
      </c>
    </row>
    <row r="1011" spans="2:5" x14ac:dyDescent="0.25">
      <c r="B1011" s="1" t="s">
        <v>69</v>
      </c>
      <c r="C1011" s="1">
        <v>40878</v>
      </c>
      <c r="D1011">
        <v>1412203171.1800001</v>
      </c>
      <c r="E1011">
        <v>8</v>
      </c>
    </row>
    <row r="1012" spans="2:5" x14ac:dyDescent="0.25">
      <c r="B1012" s="1" t="s">
        <v>71</v>
      </c>
      <c r="C1012" s="1">
        <v>40878</v>
      </c>
      <c r="D1012">
        <v>745106160.72000003</v>
      </c>
      <c r="E1012">
        <v>9</v>
      </c>
    </row>
    <row r="1013" spans="2:5" x14ac:dyDescent="0.25">
      <c r="B1013" s="1" t="s">
        <v>8</v>
      </c>
      <c r="C1013" s="1">
        <v>40878</v>
      </c>
      <c r="D1013">
        <v>551153369.42999995</v>
      </c>
      <c r="E1013">
        <v>10</v>
      </c>
    </row>
    <row r="1014" spans="2:5" x14ac:dyDescent="0.25">
      <c r="B1014" s="1" t="s">
        <v>13</v>
      </c>
      <c r="C1014" s="1">
        <v>40909</v>
      </c>
      <c r="D1014">
        <v>23209079451.07</v>
      </c>
      <c r="E1014">
        <v>1</v>
      </c>
    </row>
    <row r="1015" spans="2:5" x14ac:dyDescent="0.25">
      <c r="B1015" s="1" t="s">
        <v>16</v>
      </c>
      <c r="C1015" s="1">
        <v>40909</v>
      </c>
      <c r="D1015">
        <v>8093581984.6999998</v>
      </c>
      <c r="E1015">
        <v>2</v>
      </c>
    </row>
    <row r="1016" spans="2:5" x14ac:dyDescent="0.25">
      <c r="B1016" s="1" t="s">
        <v>4</v>
      </c>
      <c r="C1016" s="1">
        <v>40909</v>
      </c>
      <c r="D1016">
        <v>4642114946.9700003</v>
      </c>
      <c r="E1016">
        <v>3</v>
      </c>
    </row>
    <row r="1017" spans="2:5" x14ac:dyDescent="0.25">
      <c r="B1017" s="1" t="s">
        <v>25</v>
      </c>
      <c r="C1017" s="1">
        <v>40909</v>
      </c>
      <c r="D1017">
        <v>4059865643.29</v>
      </c>
      <c r="E1017">
        <v>4</v>
      </c>
    </row>
    <row r="1018" spans="2:5" x14ac:dyDescent="0.25">
      <c r="B1018" s="1" t="s">
        <v>12</v>
      </c>
      <c r="C1018" s="1">
        <v>40909</v>
      </c>
      <c r="D1018">
        <v>2359023695.79</v>
      </c>
      <c r="E1018">
        <v>5</v>
      </c>
    </row>
    <row r="1019" spans="2:5" x14ac:dyDescent="0.25">
      <c r="B1019" s="1" t="s">
        <v>5</v>
      </c>
      <c r="C1019" s="1">
        <v>40909</v>
      </c>
      <c r="D1019">
        <v>2314600375.54</v>
      </c>
      <c r="E1019">
        <v>6</v>
      </c>
    </row>
    <row r="1020" spans="2:5" x14ac:dyDescent="0.25">
      <c r="B1020" s="1" t="s">
        <v>69</v>
      </c>
      <c r="C1020" s="1">
        <v>40909</v>
      </c>
      <c r="D1020">
        <v>1120575680.53</v>
      </c>
      <c r="E1020">
        <v>7</v>
      </c>
    </row>
    <row r="1021" spans="2:5" x14ac:dyDescent="0.25">
      <c r="B1021" s="1" t="s">
        <v>6</v>
      </c>
      <c r="C1021" s="1">
        <v>40909</v>
      </c>
      <c r="D1021">
        <v>1111375517.51</v>
      </c>
      <c r="E1021">
        <v>8</v>
      </c>
    </row>
    <row r="1022" spans="2:5" x14ac:dyDescent="0.25">
      <c r="B1022" s="1" t="s">
        <v>71</v>
      </c>
      <c r="C1022" s="1">
        <v>40909</v>
      </c>
      <c r="D1022">
        <v>683743002.97000003</v>
      </c>
      <c r="E1022">
        <v>9</v>
      </c>
    </row>
    <row r="1023" spans="2:5" x14ac:dyDescent="0.25">
      <c r="B1023" s="1" t="s">
        <v>60</v>
      </c>
      <c r="C1023" s="1">
        <v>40909</v>
      </c>
      <c r="D1023">
        <v>612015462.09000003</v>
      </c>
      <c r="E1023">
        <v>10</v>
      </c>
    </row>
    <row r="1024" spans="2:5" x14ac:dyDescent="0.25">
      <c r="B1024" s="1" t="s">
        <v>13</v>
      </c>
      <c r="C1024" s="1">
        <v>40940</v>
      </c>
      <c r="D1024">
        <v>15050460727.190001</v>
      </c>
      <c r="E1024">
        <v>1</v>
      </c>
    </row>
    <row r="1025" spans="2:5" x14ac:dyDescent="0.25">
      <c r="B1025" s="1" t="s">
        <v>4</v>
      </c>
      <c r="C1025" s="1">
        <v>40940</v>
      </c>
      <c r="D1025">
        <v>4853233992.2700005</v>
      </c>
      <c r="E1025">
        <v>2</v>
      </c>
    </row>
    <row r="1026" spans="2:5" x14ac:dyDescent="0.25">
      <c r="B1026" s="1" t="s">
        <v>16</v>
      </c>
      <c r="C1026" s="1">
        <v>40940</v>
      </c>
      <c r="D1026">
        <v>4796151135.9200001</v>
      </c>
      <c r="E1026">
        <v>3</v>
      </c>
    </row>
    <row r="1027" spans="2:5" x14ac:dyDescent="0.25">
      <c r="B1027" s="1" t="s">
        <v>12</v>
      </c>
      <c r="C1027" s="1">
        <v>40940</v>
      </c>
      <c r="D1027">
        <v>2074382019.1199999</v>
      </c>
      <c r="E1027">
        <v>4</v>
      </c>
    </row>
    <row r="1028" spans="2:5" x14ac:dyDescent="0.25">
      <c r="B1028" s="1" t="s">
        <v>25</v>
      </c>
      <c r="C1028" s="1">
        <v>40940</v>
      </c>
      <c r="D1028">
        <v>1820085642.0799999</v>
      </c>
      <c r="E1028">
        <v>5</v>
      </c>
    </row>
    <row r="1029" spans="2:5" x14ac:dyDescent="0.25">
      <c r="B1029" s="1" t="s">
        <v>5</v>
      </c>
      <c r="C1029" s="1">
        <v>40940</v>
      </c>
      <c r="D1029">
        <v>1616843705.9300001</v>
      </c>
      <c r="E1029">
        <v>6</v>
      </c>
    </row>
    <row r="1030" spans="2:5" x14ac:dyDescent="0.25">
      <c r="B1030" s="1" t="s">
        <v>69</v>
      </c>
      <c r="C1030" s="1">
        <v>40940</v>
      </c>
      <c r="D1030">
        <v>1320904264.2</v>
      </c>
      <c r="E1030">
        <v>7</v>
      </c>
    </row>
    <row r="1031" spans="2:5" x14ac:dyDescent="0.25">
      <c r="B1031" s="1" t="s">
        <v>6</v>
      </c>
      <c r="C1031" s="1">
        <v>40940</v>
      </c>
      <c r="D1031">
        <v>896797454.86000001</v>
      </c>
      <c r="E1031">
        <v>8</v>
      </c>
    </row>
    <row r="1032" spans="2:5" x14ac:dyDescent="0.25">
      <c r="B1032" s="1" t="s">
        <v>57</v>
      </c>
      <c r="C1032" s="1">
        <v>40940</v>
      </c>
      <c r="D1032">
        <v>753973852.75999999</v>
      </c>
      <c r="E1032">
        <v>9</v>
      </c>
    </row>
    <row r="1033" spans="2:5" x14ac:dyDescent="0.25">
      <c r="B1033" s="1" t="s">
        <v>60</v>
      </c>
      <c r="C1033" s="1">
        <v>40940</v>
      </c>
      <c r="D1033">
        <v>684074900.45000005</v>
      </c>
      <c r="E1033">
        <v>10</v>
      </c>
    </row>
    <row r="1034" spans="2:5" x14ac:dyDescent="0.25">
      <c r="B1034" s="1" t="s">
        <v>13</v>
      </c>
      <c r="C1034" s="1">
        <v>40969</v>
      </c>
      <c r="D1034">
        <v>14049256877.940001</v>
      </c>
      <c r="E1034">
        <v>1</v>
      </c>
    </row>
    <row r="1035" spans="2:5" x14ac:dyDescent="0.25">
      <c r="B1035" s="1" t="s">
        <v>16</v>
      </c>
      <c r="C1035" s="1">
        <v>40969</v>
      </c>
      <c r="D1035">
        <v>6006376585.1800003</v>
      </c>
      <c r="E1035">
        <v>2</v>
      </c>
    </row>
    <row r="1036" spans="2:5" x14ac:dyDescent="0.25">
      <c r="B1036" s="1" t="s">
        <v>12</v>
      </c>
      <c r="C1036" s="1">
        <v>40969</v>
      </c>
      <c r="D1036">
        <v>2735353783.9699998</v>
      </c>
      <c r="E1036">
        <v>3</v>
      </c>
    </row>
    <row r="1037" spans="2:5" x14ac:dyDescent="0.25">
      <c r="B1037" s="1" t="s">
        <v>4</v>
      </c>
      <c r="C1037" s="1">
        <v>40969</v>
      </c>
      <c r="D1037">
        <v>2175926629.9400001</v>
      </c>
      <c r="E1037">
        <v>4</v>
      </c>
    </row>
    <row r="1038" spans="2:5" x14ac:dyDescent="0.25">
      <c r="B1038" s="1" t="s">
        <v>5</v>
      </c>
      <c r="C1038" s="1">
        <v>40969</v>
      </c>
      <c r="D1038">
        <v>1847027442.4000001</v>
      </c>
      <c r="E1038">
        <v>5</v>
      </c>
    </row>
    <row r="1039" spans="2:5" x14ac:dyDescent="0.25">
      <c r="B1039" s="1" t="s">
        <v>69</v>
      </c>
      <c r="C1039" s="1">
        <v>40969</v>
      </c>
      <c r="D1039">
        <v>1757601309.22</v>
      </c>
      <c r="E1039">
        <v>6</v>
      </c>
    </row>
    <row r="1040" spans="2:5" x14ac:dyDescent="0.25">
      <c r="B1040" s="1" t="s">
        <v>25</v>
      </c>
      <c r="C1040" s="1">
        <v>40969</v>
      </c>
      <c r="D1040">
        <v>1392637011.05</v>
      </c>
      <c r="E1040">
        <v>7</v>
      </c>
    </row>
    <row r="1041" spans="2:5" x14ac:dyDescent="0.25">
      <c r="B1041" s="1" t="s">
        <v>57</v>
      </c>
      <c r="C1041" s="1">
        <v>40969</v>
      </c>
      <c r="D1041">
        <v>955978630.90999997</v>
      </c>
      <c r="E1041">
        <v>8</v>
      </c>
    </row>
    <row r="1042" spans="2:5" x14ac:dyDescent="0.25">
      <c r="B1042" s="1" t="s">
        <v>8</v>
      </c>
      <c r="C1042" s="1">
        <v>40969</v>
      </c>
      <c r="D1042">
        <v>521440662.5</v>
      </c>
      <c r="E1042">
        <v>9</v>
      </c>
    </row>
    <row r="1043" spans="2:5" x14ac:dyDescent="0.25">
      <c r="B1043" s="1" t="s">
        <v>60</v>
      </c>
      <c r="C1043" s="1">
        <v>40969</v>
      </c>
      <c r="D1043">
        <v>483206328.12</v>
      </c>
      <c r="E1043">
        <v>10</v>
      </c>
    </row>
    <row r="1044" spans="2:5" x14ac:dyDescent="0.25">
      <c r="B1044" s="1" t="s">
        <v>13</v>
      </c>
      <c r="C1044" s="1">
        <v>41000</v>
      </c>
      <c r="D1044">
        <v>30547686964.380001</v>
      </c>
      <c r="E1044">
        <v>1</v>
      </c>
    </row>
    <row r="1045" spans="2:5" x14ac:dyDescent="0.25">
      <c r="B1045" s="1" t="s">
        <v>16</v>
      </c>
      <c r="C1045" s="1">
        <v>41000</v>
      </c>
      <c r="D1045">
        <v>9441708451.4200001</v>
      </c>
      <c r="E1045">
        <v>2</v>
      </c>
    </row>
    <row r="1046" spans="2:5" x14ac:dyDescent="0.25">
      <c r="B1046" s="1" t="s">
        <v>4</v>
      </c>
      <c r="C1046" s="1">
        <v>41000</v>
      </c>
      <c r="D1046">
        <v>3322405643.1199999</v>
      </c>
      <c r="E1046">
        <v>3</v>
      </c>
    </row>
    <row r="1047" spans="2:5" x14ac:dyDescent="0.25">
      <c r="B1047" s="1" t="s">
        <v>12</v>
      </c>
      <c r="C1047" s="1">
        <v>41000</v>
      </c>
      <c r="D1047">
        <v>2968862432.2199998</v>
      </c>
      <c r="E1047">
        <v>4</v>
      </c>
    </row>
    <row r="1048" spans="2:5" x14ac:dyDescent="0.25">
      <c r="B1048" s="1" t="s">
        <v>69</v>
      </c>
      <c r="C1048" s="1">
        <v>41000</v>
      </c>
      <c r="D1048">
        <v>2824281754.79</v>
      </c>
      <c r="E1048">
        <v>5</v>
      </c>
    </row>
    <row r="1049" spans="2:5" x14ac:dyDescent="0.25">
      <c r="B1049" s="1" t="s">
        <v>5</v>
      </c>
      <c r="C1049" s="1">
        <v>41000</v>
      </c>
      <c r="D1049">
        <v>1919116424.9100001</v>
      </c>
      <c r="E1049">
        <v>6</v>
      </c>
    </row>
    <row r="1050" spans="2:5" x14ac:dyDescent="0.25">
      <c r="B1050" s="1" t="s">
        <v>25</v>
      </c>
      <c r="C1050" s="1">
        <v>41000</v>
      </c>
      <c r="D1050">
        <v>1497727107.4200001</v>
      </c>
      <c r="E1050">
        <v>7</v>
      </c>
    </row>
    <row r="1051" spans="2:5" x14ac:dyDescent="0.25">
      <c r="B1051" s="1" t="s">
        <v>57</v>
      </c>
      <c r="C1051" s="1">
        <v>41000</v>
      </c>
      <c r="D1051">
        <v>1478766147.8</v>
      </c>
      <c r="E1051">
        <v>8</v>
      </c>
    </row>
    <row r="1052" spans="2:5" x14ac:dyDescent="0.25">
      <c r="B1052" s="1" t="s">
        <v>6</v>
      </c>
      <c r="C1052" s="1">
        <v>41000</v>
      </c>
      <c r="D1052">
        <v>1307576306.0799999</v>
      </c>
      <c r="E1052">
        <v>9</v>
      </c>
    </row>
    <row r="1053" spans="2:5" x14ac:dyDescent="0.25">
      <c r="B1053" s="1" t="s">
        <v>73</v>
      </c>
      <c r="C1053" s="1">
        <v>41000</v>
      </c>
      <c r="D1053">
        <v>1188646337.95</v>
      </c>
      <c r="E1053">
        <v>10</v>
      </c>
    </row>
    <row r="1054" spans="2:5" x14ac:dyDescent="0.25">
      <c r="B1054" s="1" t="s">
        <v>13</v>
      </c>
      <c r="C1054" s="1">
        <v>41030</v>
      </c>
      <c r="D1054">
        <v>10497979104.360001</v>
      </c>
      <c r="E1054">
        <v>1</v>
      </c>
    </row>
    <row r="1055" spans="2:5" x14ac:dyDescent="0.25">
      <c r="B1055" s="1" t="s">
        <v>16</v>
      </c>
      <c r="C1055" s="1">
        <v>41030</v>
      </c>
      <c r="D1055">
        <v>5045445465.96</v>
      </c>
      <c r="E1055">
        <v>2</v>
      </c>
    </row>
    <row r="1056" spans="2:5" x14ac:dyDescent="0.25">
      <c r="B1056" s="1" t="s">
        <v>12</v>
      </c>
      <c r="C1056" s="1">
        <v>41030</v>
      </c>
      <c r="D1056">
        <v>2307288287.8400002</v>
      </c>
      <c r="E1056">
        <v>3</v>
      </c>
    </row>
    <row r="1057" spans="2:5" x14ac:dyDescent="0.25">
      <c r="B1057" s="1" t="s">
        <v>5</v>
      </c>
      <c r="C1057" s="1">
        <v>41030</v>
      </c>
      <c r="D1057">
        <v>1497778473.45</v>
      </c>
      <c r="E1057">
        <v>4</v>
      </c>
    </row>
    <row r="1058" spans="2:5" x14ac:dyDescent="0.25">
      <c r="B1058" s="1" t="s">
        <v>4</v>
      </c>
      <c r="C1058" s="1">
        <v>41030</v>
      </c>
      <c r="D1058">
        <v>1064772455.45</v>
      </c>
      <c r="E1058">
        <v>5</v>
      </c>
    </row>
    <row r="1059" spans="2:5" x14ac:dyDescent="0.25">
      <c r="B1059" s="1" t="s">
        <v>25</v>
      </c>
      <c r="C1059" s="1">
        <v>41030</v>
      </c>
      <c r="D1059">
        <v>975876845.86000001</v>
      </c>
      <c r="E1059">
        <v>6</v>
      </c>
    </row>
    <row r="1060" spans="2:5" x14ac:dyDescent="0.25">
      <c r="B1060" s="1" t="s">
        <v>69</v>
      </c>
      <c r="C1060" s="1">
        <v>41030</v>
      </c>
      <c r="D1060">
        <v>749628632.73000002</v>
      </c>
      <c r="E1060">
        <v>7</v>
      </c>
    </row>
    <row r="1061" spans="2:5" x14ac:dyDescent="0.25">
      <c r="B1061" s="1" t="s">
        <v>57</v>
      </c>
      <c r="C1061" s="1">
        <v>41030</v>
      </c>
      <c r="D1061">
        <v>715750834.32000005</v>
      </c>
      <c r="E1061">
        <v>8</v>
      </c>
    </row>
    <row r="1062" spans="2:5" x14ac:dyDescent="0.25">
      <c r="B1062" s="1" t="s">
        <v>24</v>
      </c>
      <c r="C1062" s="1">
        <v>41030</v>
      </c>
      <c r="D1062">
        <v>473607098.20999998</v>
      </c>
      <c r="E1062">
        <v>9</v>
      </c>
    </row>
    <row r="1063" spans="2:5" x14ac:dyDescent="0.25">
      <c r="B1063" s="1" t="s">
        <v>6</v>
      </c>
      <c r="C1063" s="1">
        <v>41030</v>
      </c>
      <c r="D1063">
        <v>438945722.61000001</v>
      </c>
      <c r="E1063">
        <v>10</v>
      </c>
    </row>
    <row r="1064" spans="2:5" x14ac:dyDescent="0.25">
      <c r="B1064" s="1" t="s">
        <v>13</v>
      </c>
      <c r="C1064" s="1">
        <v>41061</v>
      </c>
      <c r="D1064">
        <v>20085553792.799999</v>
      </c>
      <c r="E1064">
        <v>1</v>
      </c>
    </row>
    <row r="1065" spans="2:5" x14ac:dyDescent="0.25">
      <c r="B1065" s="1" t="s">
        <v>16</v>
      </c>
      <c r="C1065" s="1">
        <v>41061</v>
      </c>
      <c r="D1065">
        <v>5672797241.4200001</v>
      </c>
      <c r="E1065">
        <v>2</v>
      </c>
    </row>
    <row r="1066" spans="2:5" x14ac:dyDescent="0.25">
      <c r="B1066" s="1" t="s">
        <v>12</v>
      </c>
      <c r="C1066" s="1">
        <v>41061</v>
      </c>
      <c r="D1066">
        <v>2837371203.46</v>
      </c>
      <c r="E1066">
        <v>3</v>
      </c>
    </row>
    <row r="1067" spans="2:5" x14ac:dyDescent="0.25">
      <c r="B1067" s="1" t="s">
        <v>69</v>
      </c>
      <c r="C1067" s="1">
        <v>41061</v>
      </c>
      <c r="D1067">
        <v>2688689221.8800001</v>
      </c>
      <c r="E1067">
        <v>4</v>
      </c>
    </row>
    <row r="1068" spans="2:5" x14ac:dyDescent="0.25">
      <c r="B1068" s="1" t="s">
        <v>4</v>
      </c>
      <c r="C1068" s="1">
        <v>41061</v>
      </c>
      <c r="D1068">
        <v>2165287838.1799998</v>
      </c>
      <c r="E1068">
        <v>5</v>
      </c>
    </row>
    <row r="1069" spans="2:5" x14ac:dyDescent="0.25">
      <c r="B1069" s="1" t="s">
        <v>6</v>
      </c>
      <c r="C1069" s="1">
        <v>41061</v>
      </c>
      <c r="D1069">
        <v>1378945570.53</v>
      </c>
      <c r="E1069">
        <v>6</v>
      </c>
    </row>
    <row r="1070" spans="2:5" x14ac:dyDescent="0.25">
      <c r="B1070" s="1" t="s">
        <v>8</v>
      </c>
      <c r="C1070" s="1">
        <v>41061</v>
      </c>
      <c r="D1070">
        <v>1155522324.5799999</v>
      </c>
      <c r="E1070">
        <v>7</v>
      </c>
    </row>
    <row r="1071" spans="2:5" x14ac:dyDescent="0.25">
      <c r="B1071" s="1" t="s">
        <v>57</v>
      </c>
      <c r="C1071" s="1">
        <v>41061</v>
      </c>
      <c r="D1071">
        <v>1115152704.5899999</v>
      </c>
      <c r="E1071">
        <v>8</v>
      </c>
    </row>
    <row r="1072" spans="2:5" x14ac:dyDescent="0.25">
      <c r="B1072" s="1" t="s">
        <v>5</v>
      </c>
      <c r="C1072" s="1">
        <v>41061</v>
      </c>
      <c r="D1072">
        <v>1078652286.0999999</v>
      </c>
      <c r="E1072">
        <v>9</v>
      </c>
    </row>
    <row r="1073" spans="2:5" x14ac:dyDescent="0.25">
      <c r="B1073" s="1" t="s">
        <v>25</v>
      </c>
      <c r="C1073" s="1">
        <v>41061</v>
      </c>
      <c r="D1073">
        <v>807433941.49000001</v>
      </c>
      <c r="E1073">
        <v>10</v>
      </c>
    </row>
    <row r="1074" spans="2:5" x14ac:dyDescent="0.25">
      <c r="B1074" s="1" t="s">
        <v>13</v>
      </c>
      <c r="C1074" s="1">
        <v>41091</v>
      </c>
      <c r="D1074">
        <v>12490413319.5</v>
      </c>
      <c r="E1074">
        <v>1</v>
      </c>
    </row>
    <row r="1075" spans="2:5" x14ac:dyDescent="0.25">
      <c r="B1075" s="1" t="s">
        <v>16</v>
      </c>
      <c r="C1075" s="1">
        <v>41091</v>
      </c>
      <c r="D1075">
        <v>7036329639.4899998</v>
      </c>
      <c r="E1075">
        <v>2</v>
      </c>
    </row>
    <row r="1076" spans="2:5" x14ac:dyDescent="0.25">
      <c r="B1076" s="1" t="s">
        <v>12</v>
      </c>
      <c r="C1076" s="1">
        <v>41091</v>
      </c>
      <c r="D1076">
        <v>2594295416.6100001</v>
      </c>
      <c r="E1076">
        <v>3</v>
      </c>
    </row>
    <row r="1077" spans="2:5" x14ac:dyDescent="0.25">
      <c r="B1077" s="1" t="s">
        <v>4</v>
      </c>
      <c r="C1077" s="1">
        <v>41091</v>
      </c>
      <c r="D1077">
        <v>2114310416.24</v>
      </c>
      <c r="E1077">
        <v>4</v>
      </c>
    </row>
    <row r="1078" spans="2:5" x14ac:dyDescent="0.25">
      <c r="B1078" s="1" t="s">
        <v>69</v>
      </c>
      <c r="C1078" s="1">
        <v>41091</v>
      </c>
      <c r="D1078">
        <v>2083801978.74</v>
      </c>
      <c r="E1078">
        <v>5</v>
      </c>
    </row>
    <row r="1079" spans="2:5" x14ac:dyDescent="0.25">
      <c r="B1079" s="1" t="s">
        <v>6</v>
      </c>
      <c r="C1079" s="1">
        <v>41091</v>
      </c>
      <c r="D1079">
        <v>2018906100.1300001</v>
      </c>
      <c r="E1079">
        <v>6</v>
      </c>
    </row>
    <row r="1080" spans="2:5" x14ac:dyDescent="0.25">
      <c r="B1080" s="1" t="s">
        <v>57</v>
      </c>
      <c r="C1080" s="1">
        <v>41091</v>
      </c>
      <c r="D1080">
        <v>1819644112.4000001</v>
      </c>
      <c r="E1080">
        <v>7</v>
      </c>
    </row>
    <row r="1081" spans="2:5" x14ac:dyDescent="0.25">
      <c r="B1081" s="1" t="s">
        <v>25</v>
      </c>
      <c r="C1081" s="1">
        <v>41091</v>
      </c>
      <c r="D1081">
        <v>1462187564.1500001</v>
      </c>
      <c r="E1081">
        <v>8</v>
      </c>
    </row>
    <row r="1082" spans="2:5" x14ac:dyDescent="0.25">
      <c r="B1082" s="1" t="s">
        <v>5</v>
      </c>
      <c r="C1082" s="1">
        <v>41091</v>
      </c>
      <c r="D1082">
        <v>1354198848.0599999</v>
      </c>
      <c r="E1082">
        <v>9</v>
      </c>
    </row>
    <row r="1083" spans="2:5" x14ac:dyDescent="0.25">
      <c r="B1083" s="1" t="s">
        <v>8</v>
      </c>
      <c r="C1083" s="1">
        <v>41091</v>
      </c>
      <c r="D1083">
        <v>1077841105.76</v>
      </c>
      <c r="E1083">
        <v>10</v>
      </c>
    </row>
    <row r="1084" spans="2:5" x14ac:dyDescent="0.25">
      <c r="B1084" s="1" t="s">
        <v>13</v>
      </c>
      <c r="C1084" s="1">
        <v>41122</v>
      </c>
      <c r="D1084">
        <v>17722445723.59</v>
      </c>
      <c r="E1084">
        <v>1</v>
      </c>
    </row>
    <row r="1085" spans="2:5" x14ac:dyDescent="0.25">
      <c r="B1085" s="1" t="s">
        <v>16</v>
      </c>
      <c r="C1085" s="1">
        <v>41122</v>
      </c>
      <c r="D1085">
        <v>5805711544.7600002</v>
      </c>
      <c r="E1085">
        <v>2</v>
      </c>
    </row>
    <row r="1086" spans="2:5" x14ac:dyDescent="0.25">
      <c r="B1086" s="1" t="s">
        <v>69</v>
      </c>
      <c r="C1086" s="1">
        <v>41122</v>
      </c>
      <c r="D1086">
        <v>3642919334.4899998</v>
      </c>
      <c r="E1086">
        <v>3</v>
      </c>
    </row>
    <row r="1087" spans="2:5" x14ac:dyDescent="0.25">
      <c r="B1087" s="1" t="s">
        <v>12</v>
      </c>
      <c r="C1087" s="1">
        <v>41122</v>
      </c>
      <c r="D1087">
        <v>3200713245.7600002</v>
      </c>
      <c r="E1087">
        <v>4</v>
      </c>
    </row>
    <row r="1088" spans="2:5" x14ac:dyDescent="0.25">
      <c r="B1088" s="1" t="s">
        <v>4</v>
      </c>
      <c r="C1088" s="1">
        <v>41122</v>
      </c>
      <c r="D1088">
        <v>2010779432.79</v>
      </c>
      <c r="E1088">
        <v>5</v>
      </c>
    </row>
    <row r="1089" spans="2:5" x14ac:dyDescent="0.25">
      <c r="B1089" s="1" t="s">
        <v>25</v>
      </c>
      <c r="C1089" s="1">
        <v>41122</v>
      </c>
      <c r="D1089">
        <v>1545512293.75</v>
      </c>
      <c r="E1089">
        <v>6</v>
      </c>
    </row>
    <row r="1090" spans="2:5" x14ac:dyDescent="0.25">
      <c r="B1090" s="1" t="s">
        <v>5</v>
      </c>
      <c r="C1090" s="1">
        <v>41122</v>
      </c>
      <c r="D1090">
        <v>1393815043.55</v>
      </c>
      <c r="E1090">
        <v>7</v>
      </c>
    </row>
    <row r="1091" spans="2:5" x14ac:dyDescent="0.25">
      <c r="B1091" s="1" t="s">
        <v>57</v>
      </c>
      <c r="C1091" s="1">
        <v>41122</v>
      </c>
      <c r="D1091">
        <v>1313834958.79</v>
      </c>
      <c r="E1091">
        <v>8</v>
      </c>
    </row>
    <row r="1092" spans="2:5" x14ac:dyDescent="0.25">
      <c r="B1092" s="1" t="s">
        <v>6</v>
      </c>
      <c r="C1092" s="1">
        <v>41122</v>
      </c>
      <c r="D1092">
        <v>1261050205.1800001</v>
      </c>
      <c r="E1092">
        <v>9</v>
      </c>
    </row>
    <row r="1093" spans="2:5" x14ac:dyDescent="0.25">
      <c r="B1093" s="1" t="s">
        <v>21</v>
      </c>
      <c r="C1093" s="1">
        <v>41122</v>
      </c>
      <c r="D1093">
        <v>885810800.47000003</v>
      </c>
      <c r="E1093">
        <v>10</v>
      </c>
    </row>
    <row r="1094" spans="2:5" x14ac:dyDescent="0.25">
      <c r="B1094" s="1" t="s">
        <v>13</v>
      </c>
      <c r="C1094" s="1">
        <v>41153</v>
      </c>
      <c r="D1094">
        <v>15450764934.82</v>
      </c>
      <c r="E1094">
        <v>1</v>
      </c>
    </row>
    <row r="1095" spans="2:5" x14ac:dyDescent="0.25">
      <c r="B1095" s="1" t="s">
        <v>16</v>
      </c>
      <c r="C1095" s="1">
        <v>41153</v>
      </c>
      <c r="D1095">
        <v>8415301500.0699997</v>
      </c>
      <c r="E1095">
        <v>2</v>
      </c>
    </row>
    <row r="1096" spans="2:5" x14ac:dyDescent="0.25">
      <c r="B1096" s="1" t="s">
        <v>69</v>
      </c>
      <c r="C1096" s="1">
        <v>41153</v>
      </c>
      <c r="D1096">
        <v>4782260991.4399996</v>
      </c>
      <c r="E1096">
        <v>3</v>
      </c>
    </row>
    <row r="1097" spans="2:5" x14ac:dyDescent="0.25">
      <c r="B1097" s="1" t="s">
        <v>12</v>
      </c>
      <c r="C1097" s="1">
        <v>41153</v>
      </c>
      <c r="D1097">
        <v>3581253979.6700001</v>
      </c>
      <c r="E1097">
        <v>4</v>
      </c>
    </row>
    <row r="1098" spans="2:5" x14ac:dyDescent="0.25">
      <c r="B1098" s="1" t="s">
        <v>4</v>
      </c>
      <c r="C1098" s="1">
        <v>41153</v>
      </c>
      <c r="D1098">
        <v>2263175580.0799999</v>
      </c>
      <c r="E1098">
        <v>5</v>
      </c>
    </row>
    <row r="1099" spans="2:5" x14ac:dyDescent="0.25">
      <c r="B1099" s="1" t="s">
        <v>6</v>
      </c>
      <c r="C1099" s="1">
        <v>41153</v>
      </c>
      <c r="D1099">
        <v>2041166208.9200001</v>
      </c>
      <c r="E1099">
        <v>6</v>
      </c>
    </row>
    <row r="1100" spans="2:5" x14ac:dyDescent="0.25">
      <c r="B1100" s="1" t="s">
        <v>25</v>
      </c>
      <c r="C1100" s="1">
        <v>41153</v>
      </c>
      <c r="D1100">
        <v>1681290589.78</v>
      </c>
      <c r="E1100">
        <v>7</v>
      </c>
    </row>
    <row r="1101" spans="2:5" x14ac:dyDescent="0.25">
      <c r="B1101" s="1" t="s">
        <v>57</v>
      </c>
      <c r="C1101" s="1">
        <v>41153</v>
      </c>
      <c r="D1101">
        <v>1443631118.3499999</v>
      </c>
      <c r="E1101">
        <v>8</v>
      </c>
    </row>
    <row r="1102" spans="2:5" x14ac:dyDescent="0.25">
      <c r="B1102" s="1" t="s">
        <v>5</v>
      </c>
      <c r="C1102" s="1">
        <v>41153</v>
      </c>
      <c r="D1102">
        <v>1298624220.6199999</v>
      </c>
      <c r="E1102">
        <v>9</v>
      </c>
    </row>
    <row r="1103" spans="2:5" x14ac:dyDescent="0.25">
      <c r="B1103" s="1" t="s">
        <v>73</v>
      </c>
      <c r="C1103" s="1">
        <v>41153</v>
      </c>
      <c r="D1103">
        <v>936397289.01999998</v>
      </c>
      <c r="E1103">
        <v>10</v>
      </c>
    </row>
    <row r="1104" spans="2:5" x14ac:dyDescent="0.25">
      <c r="B1104" s="1" t="s">
        <v>13</v>
      </c>
      <c r="C1104" s="1">
        <v>41183</v>
      </c>
      <c r="D1104">
        <v>15515154908.18</v>
      </c>
      <c r="E1104">
        <v>1</v>
      </c>
    </row>
    <row r="1105" spans="2:5" x14ac:dyDescent="0.25">
      <c r="B1105" s="1" t="s">
        <v>16</v>
      </c>
      <c r="C1105" s="1">
        <v>41183</v>
      </c>
      <c r="D1105">
        <v>9589348332.7900009</v>
      </c>
      <c r="E1105">
        <v>2</v>
      </c>
    </row>
    <row r="1106" spans="2:5" x14ac:dyDescent="0.25">
      <c r="B1106" s="1" t="s">
        <v>69</v>
      </c>
      <c r="C1106" s="1">
        <v>41183</v>
      </c>
      <c r="D1106">
        <v>4912389510.3100004</v>
      </c>
      <c r="E1106">
        <v>3</v>
      </c>
    </row>
    <row r="1107" spans="2:5" x14ac:dyDescent="0.25">
      <c r="B1107" s="1" t="s">
        <v>4</v>
      </c>
      <c r="C1107" s="1">
        <v>41183</v>
      </c>
      <c r="D1107">
        <v>3442130927.8200002</v>
      </c>
      <c r="E1107">
        <v>4</v>
      </c>
    </row>
    <row r="1108" spans="2:5" x14ac:dyDescent="0.25">
      <c r="B1108" s="1" t="s">
        <v>12</v>
      </c>
      <c r="C1108" s="1">
        <v>41183</v>
      </c>
      <c r="D1108">
        <v>3359844224.2199998</v>
      </c>
      <c r="E1108">
        <v>5</v>
      </c>
    </row>
    <row r="1109" spans="2:5" x14ac:dyDescent="0.25">
      <c r="B1109" s="1" t="s">
        <v>25</v>
      </c>
      <c r="C1109" s="1">
        <v>41183</v>
      </c>
      <c r="D1109">
        <v>1966201200.96</v>
      </c>
      <c r="E1109">
        <v>6</v>
      </c>
    </row>
    <row r="1110" spans="2:5" x14ac:dyDescent="0.25">
      <c r="B1110" s="1" t="s">
        <v>57</v>
      </c>
      <c r="C1110" s="1">
        <v>41183</v>
      </c>
      <c r="D1110">
        <v>1681914929.71</v>
      </c>
      <c r="E1110">
        <v>7</v>
      </c>
    </row>
    <row r="1111" spans="2:5" x14ac:dyDescent="0.25">
      <c r="B1111" s="1" t="s">
        <v>5</v>
      </c>
      <c r="C1111" s="1">
        <v>41183</v>
      </c>
      <c r="D1111">
        <v>1583385329.6199999</v>
      </c>
      <c r="E1111">
        <v>8</v>
      </c>
    </row>
    <row r="1112" spans="2:5" x14ac:dyDescent="0.25">
      <c r="B1112" s="1" t="s">
        <v>6</v>
      </c>
      <c r="C1112" s="1">
        <v>41183</v>
      </c>
      <c r="D1112">
        <v>1184012805.45</v>
      </c>
      <c r="E1112">
        <v>9</v>
      </c>
    </row>
    <row r="1113" spans="2:5" x14ac:dyDescent="0.25">
      <c r="B1113" s="1" t="s">
        <v>75</v>
      </c>
      <c r="C1113" s="1">
        <v>41183</v>
      </c>
      <c r="D1113">
        <v>945225066.88999999</v>
      </c>
      <c r="E1113">
        <v>10</v>
      </c>
    </row>
    <row r="1114" spans="2:5" x14ac:dyDescent="0.25">
      <c r="B1114" s="1" t="s">
        <v>13</v>
      </c>
      <c r="C1114" s="1">
        <v>41214</v>
      </c>
      <c r="D1114">
        <v>13208748904.610001</v>
      </c>
      <c r="E1114">
        <v>1</v>
      </c>
    </row>
    <row r="1115" spans="2:5" x14ac:dyDescent="0.25">
      <c r="B1115" s="1" t="s">
        <v>16</v>
      </c>
      <c r="C1115" s="1">
        <v>41214</v>
      </c>
      <c r="D1115">
        <v>4495620611.7799997</v>
      </c>
      <c r="E1115">
        <v>2</v>
      </c>
    </row>
    <row r="1116" spans="2:5" x14ac:dyDescent="0.25">
      <c r="B1116" s="1" t="s">
        <v>69</v>
      </c>
      <c r="C1116" s="1">
        <v>41214</v>
      </c>
      <c r="D1116">
        <v>4259407226.3299999</v>
      </c>
      <c r="E1116">
        <v>3</v>
      </c>
    </row>
    <row r="1117" spans="2:5" x14ac:dyDescent="0.25">
      <c r="B1117" s="1" t="s">
        <v>12</v>
      </c>
      <c r="C1117" s="1">
        <v>41214</v>
      </c>
      <c r="D1117">
        <v>3094481674.0799999</v>
      </c>
      <c r="E1117">
        <v>4</v>
      </c>
    </row>
    <row r="1118" spans="2:5" x14ac:dyDescent="0.25">
      <c r="B1118" s="1" t="s">
        <v>57</v>
      </c>
      <c r="C1118" s="1">
        <v>41214</v>
      </c>
      <c r="D1118">
        <v>1987303253.45</v>
      </c>
      <c r="E1118">
        <v>5</v>
      </c>
    </row>
    <row r="1119" spans="2:5" x14ac:dyDescent="0.25">
      <c r="B1119" s="1" t="s">
        <v>6</v>
      </c>
      <c r="C1119" s="1">
        <v>41214</v>
      </c>
      <c r="D1119">
        <v>1968182126.6199999</v>
      </c>
      <c r="E1119">
        <v>6</v>
      </c>
    </row>
    <row r="1120" spans="2:5" x14ac:dyDescent="0.25">
      <c r="B1120" s="1" t="s">
        <v>75</v>
      </c>
      <c r="C1120" s="1">
        <v>41214</v>
      </c>
      <c r="D1120">
        <v>1732847138.78</v>
      </c>
      <c r="E1120">
        <v>7</v>
      </c>
    </row>
    <row r="1121" spans="2:5" x14ac:dyDescent="0.25">
      <c r="B1121" s="1" t="s">
        <v>25</v>
      </c>
      <c r="C1121" s="1">
        <v>41214</v>
      </c>
      <c r="D1121">
        <v>1666900687.8199999</v>
      </c>
      <c r="E1121">
        <v>8</v>
      </c>
    </row>
    <row r="1122" spans="2:5" x14ac:dyDescent="0.25">
      <c r="B1122" s="1" t="s">
        <v>5</v>
      </c>
      <c r="C1122" s="1">
        <v>41214</v>
      </c>
      <c r="D1122">
        <v>1072372364.4</v>
      </c>
      <c r="E1122">
        <v>9</v>
      </c>
    </row>
    <row r="1123" spans="2:5" x14ac:dyDescent="0.25">
      <c r="B1123" s="1" t="s">
        <v>4</v>
      </c>
      <c r="C1123" s="1">
        <v>41214</v>
      </c>
      <c r="D1123">
        <v>1024767722.17</v>
      </c>
      <c r="E1123">
        <v>10</v>
      </c>
    </row>
    <row r="1124" spans="2:5" x14ac:dyDescent="0.25">
      <c r="B1124" s="1" t="s">
        <v>13</v>
      </c>
      <c r="C1124" s="1">
        <v>41244</v>
      </c>
      <c r="D1124">
        <v>18561639674.389999</v>
      </c>
      <c r="E1124">
        <v>1</v>
      </c>
    </row>
    <row r="1125" spans="2:5" x14ac:dyDescent="0.25">
      <c r="B1125" s="1" t="s">
        <v>16</v>
      </c>
      <c r="C1125" s="1">
        <v>41244</v>
      </c>
      <c r="D1125">
        <v>7624851409.7200003</v>
      </c>
      <c r="E1125">
        <v>2</v>
      </c>
    </row>
    <row r="1126" spans="2:5" x14ac:dyDescent="0.25">
      <c r="B1126" s="1" t="s">
        <v>69</v>
      </c>
      <c r="C1126" s="1">
        <v>41244</v>
      </c>
      <c r="D1126">
        <v>5306609068.2399998</v>
      </c>
      <c r="E1126">
        <v>3</v>
      </c>
    </row>
    <row r="1127" spans="2:5" x14ac:dyDescent="0.25">
      <c r="B1127" s="1" t="s">
        <v>12</v>
      </c>
      <c r="C1127" s="1">
        <v>41244</v>
      </c>
      <c r="D1127">
        <v>3874518072.98</v>
      </c>
      <c r="E1127">
        <v>4</v>
      </c>
    </row>
    <row r="1128" spans="2:5" x14ac:dyDescent="0.25">
      <c r="B1128" s="1" t="s">
        <v>4</v>
      </c>
      <c r="C1128" s="1">
        <v>41244</v>
      </c>
      <c r="D1128">
        <v>3010090931.3099999</v>
      </c>
      <c r="E1128">
        <v>5</v>
      </c>
    </row>
    <row r="1129" spans="2:5" x14ac:dyDescent="0.25">
      <c r="B1129" s="1" t="s">
        <v>6</v>
      </c>
      <c r="C1129" s="1">
        <v>41244</v>
      </c>
      <c r="D1129">
        <v>2405929122.71</v>
      </c>
      <c r="E1129">
        <v>6</v>
      </c>
    </row>
    <row r="1130" spans="2:5" x14ac:dyDescent="0.25">
      <c r="B1130" s="1" t="s">
        <v>75</v>
      </c>
      <c r="C1130" s="1">
        <v>41244</v>
      </c>
      <c r="D1130">
        <v>2250728428.04</v>
      </c>
      <c r="E1130">
        <v>7</v>
      </c>
    </row>
    <row r="1131" spans="2:5" x14ac:dyDescent="0.25">
      <c r="B1131" s="1" t="s">
        <v>25</v>
      </c>
      <c r="C1131" s="1">
        <v>41244</v>
      </c>
      <c r="D1131">
        <v>1993515527.46</v>
      </c>
      <c r="E1131">
        <v>8</v>
      </c>
    </row>
    <row r="1132" spans="2:5" x14ac:dyDescent="0.25">
      <c r="B1132" s="1" t="s">
        <v>76</v>
      </c>
      <c r="C1132" s="1">
        <v>41244</v>
      </c>
      <c r="D1132">
        <v>1584714943.46</v>
      </c>
      <c r="E1132">
        <v>9</v>
      </c>
    </row>
    <row r="1133" spans="2:5" x14ac:dyDescent="0.25">
      <c r="B1133" s="1" t="s">
        <v>57</v>
      </c>
      <c r="C1133" s="1">
        <v>41244</v>
      </c>
      <c r="D1133">
        <v>1546089705.53</v>
      </c>
      <c r="E1133">
        <v>10</v>
      </c>
    </row>
    <row r="1134" spans="2:5" x14ac:dyDescent="0.25">
      <c r="B1134" s="1" t="s">
        <v>13</v>
      </c>
      <c r="C1134" s="1">
        <v>41275</v>
      </c>
      <c r="D1134">
        <v>5514998779.8199997</v>
      </c>
      <c r="E1134">
        <v>1</v>
      </c>
    </row>
    <row r="1135" spans="2:5" x14ac:dyDescent="0.25">
      <c r="B1135" s="1" t="s">
        <v>16</v>
      </c>
      <c r="C1135" s="1">
        <v>41275</v>
      </c>
      <c r="D1135">
        <v>5430680984.2200003</v>
      </c>
      <c r="E1135">
        <v>2</v>
      </c>
    </row>
    <row r="1136" spans="2:5" x14ac:dyDescent="0.25">
      <c r="B1136" s="1" t="s">
        <v>69</v>
      </c>
      <c r="C1136" s="1">
        <v>41275</v>
      </c>
      <c r="D1136">
        <v>4854996551.6700001</v>
      </c>
      <c r="E1136">
        <v>3</v>
      </c>
    </row>
    <row r="1137" spans="2:5" x14ac:dyDescent="0.25">
      <c r="B1137" s="1" t="s">
        <v>12</v>
      </c>
      <c r="C1137" s="1">
        <v>41275</v>
      </c>
      <c r="D1137">
        <v>3904061336.3899999</v>
      </c>
      <c r="E1137">
        <v>4</v>
      </c>
    </row>
    <row r="1138" spans="2:5" x14ac:dyDescent="0.25">
      <c r="B1138" s="1" t="s">
        <v>25</v>
      </c>
      <c r="C1138" s="1">
        <v>41275</v>
      </c>
      <c r="D1138">
        <v>2417312711.3600001</v>
      </c>
      <c r="E1138">
        <v>5</v>
      </c>
    </row>
    <row r="1139" spans="2:5" x14ac:dyDescent="0.25">
      <c r="B1139" s="1" t="s">
        <v>75</v>
      </c>
      <c r="C1139" s="1">
        <v>41275</v>
      </c>
      <c r="D1139">
        <v>1428718132.8699999</v>
      </c>
      <c r="E1139">
        <v>6</v>
      </c>
    </row>
    <row r="1140" spans="2:5" x14ac:dyDescent="0.25">
      <c r="B1140" s="1" t="s">
        <v>6</v>
      </c>
      <c r="C1140" s="1">
        <v>41275</v>
      </c>
      <c r="D1140">
        <v>1299415806.4100001</v>
      </c>
      <c r="E1140">
        <v>7</v>
      </c>
    </row>
    <row r="1141" spans="2:5" x14ac:dyDescent="0.25">
      <c r="B1141" s="1" t="s">
        <v>8</v>
      </c>
      <c r="C1141" s="1">
        <v>41275</v>
      </c>
      <c r="D1141">
        <v>1174707913.27</v>
      </c>
      <c r="E1141">
        <v>8</v>
      </c>
    </row>
    <row r="1142" spans="2:5" x14ac:dyDescent="0.25">
      <c r="B1142" s="1" t="s">
        <v>4</v>
      </c>
      <c r="C1142" s="1">
        <v>41275</v>
      </c>
      <c r="D1142">
        <v>1056573970.66</v>
      </c>
      <c r="E1142">
        <v>9</v>
      </c>
    </row>
    <row r="1143" spans="2:5" x14ac:dyDescent="0.25">
      <c r="B1143" s="1" t="s">
        <v>57</v>
      </c>
      <c r="C1143" s="1">
        <v>41275</v>
      </c>
      <c r="D1143">
        <v>979925672.88999999</v>
      </c>
      <c r="E1143">
        <v>10</v>
      </c>
    </row>
    <row r="1144" spans="2:5" x14ac:dyDescent="0.25">
      <c r="B1144" s="1" t="s">
        <v>13</v>
      </c>
      <c r="C1144" s="1">
        <v>41306</v>
      </c>
      <c r="D1144">
        <v>12330874909.370001</v>
      </c>
      <c r="E1144">
        <v>1</v>
      </c>
    </row>
    <row r="1145" spans="2:5" x14ac:dyDescent="0.25">
      <c r="B1145" s="1" t="s">
        <v>16</v>
      </c>
      <c r="C1145" s="1">
        <v>41306</v>
      </c>
      <c r="D1145">
        <v>7204104917.6300001</v>
      </c>
      <c r="E1145">
        <v>2</v>
      </c>
    </row>
    <row r="1146" spans="2:5" x14ac:dyDescent="0.25">
      <c r="B1146" s="1" t="s">
        <v>69</v>
      </c>
      <c r="C1146" s="1">
        <v>41306</v>
      </c>
      <c r="D1146">
        <v>5966617258.3500004</v>
      </c>
      <c r="E1146">
        <v>3</v>
      </c>
    </row>
    <row r="1147" spans="2:5" x14ac:dyDescent="0.25">
      <c r="B1147" s="1" t="s">
        <v>12</v>
      </c>
      <c r="C1147" s="1">
        <v>41306</v>
      </c>
      <c r="D1147">
        <v>3547658348.7199998</v>
      </c>
      <c r="E1147">
        <v>4</v>
      </c>
    </row>
    <row r="1148" spans="2:5" x14ac:dyDescent="0.25">
      <c r="B1148" s="1" t="s">
        <v>25</v>
      </c>
      <c r="C1148" s="1">
        <v>41306</v>
      </c>
      <c r="D1148">
        <v>2348959566.2800002</v>
      </c>
      <c r="E1148">
        <v>5</v>
      </c>
    </row>
    <row r="1149" spans="2:5" x14ac:dyDescent="0.25">
      <c r="B1149" s="1" t="s">
        <v>75</v>
      </c>
      <c r="C1149" s="1">
        <v>41306</v>
      </c>
      <c r="D1149">
        <v>1997102160.27</v>
      </c>
      <c r="E1149">
        <v>6</v>
      </c>
    </row>
    <row r="1150" spans="2:5" x14ac:dyDescent="0.25">
      <c r="B1150" s="1" t="s">
        <v>6</v>
      </c>
      <c r="C1150" s="1">
        <v>41306</v>
      </c>
      <c r="D1150">
        <v>1897359310.29</v>
      </c>
      <c r="E1150">
        <v>7</v>
      </c>
    </row>
    <row r="1151" spans="2:5" x14ac:dyDescent="0.25">
      <c r="B1151" s="1" t="s">
        <v>4</v>
      </c>
      <c r="C1151" s="1">
        <v>41306</v>
      </c>
      <c r="D1151">
        <v>1610688422.49</v>
      </c>
      <c r="E1151">
        <v>8</v>
      </c>
    </row>
    <row r="1152" spans="2:5" x14ac:dyDescent="0.25">
      <c r="B1152" s="1" t="s">
        <v>5</v>
      </c>
      <c r="C1152" s="1">
        <v>41306</v>
      </c>
      <c r="D1152">
        <v>1597255113.6800001</v>
      </c>
      <c r="E1152">
        <v>9</v>
      </c>
    </row>
    <row r="1153" spans="2:5" x14ac:dyDescent="0.25">
      <c r="B1153" s="1" t="s">
        <v>57</v>
      </c>
      <c r="C1153" s="1">
        <v>41306</v>
      </c>
      <c r="D1153">
        <v>1416718881.03</v>
      </c>
      <c r="E1153">
        <v>10</v>
      </c>
    </row>
    <row r="1154" spans="2:5" x14ac:dyDescent="0.25">
      <c r="B1154" s="1" t="s">
        <v>13</v>
      </c>
      <c r="C1154" s="1">
        <v>41334</v>
      </c>
      <c r="D1154">
        <v>11762868452.809999</v>
      </c>
      <c r="E1154">
        <v>1</v>
      </c>
    </row>
    <row r="1155" spans="2:5" x14ac:dyDescent="0.25">
      <c r="B1155" s="1" t="s">
        <v>16</v>
      </c>
      <c r="C1155" s="1">
        <v>41334</v>
      </c>
      <c r="D1155">
        <v>7145425651.6099997</v>
      </c>
      <c r="E1155">
        <v>2</v>
      </c>
    </row>
    <row r="1156" spans="2:5" x14ac:dyDescent="0.25">
      <c r="B1156" s="1" t="s">
        <v>69</v>
      </c>
      <c r="C1156" s="1">
        <v>41334</v>
      </c>
      <c r="D1156">
        <v>5058886938.4799995</v>
      </c>
      <c r="E1156">
        <v>3</v>
      </c>
    </row>
    <row r="1157" spans="2:5" x14ac:dyDescent="0.25">
      <c r="B1157" s="1" t="s">
        <v>4</v>
      </c>
      <c r="C1157" s="1">
        <v>41334</v>
      </c>
      <c r="D1157">
        <v>4794489644.7399998</v>
      </c>
      <c r="E1157">
        <v>4</v>
      </c>
    </row>
    <row r="1158" spans="2:5" x14ac:dyDescent="0.25">
      <c r="B1158" s="1" t="s">
        <v>12</v>
      </c>
      <c r="C1158" s="1">
        <v>41334</v>
      </c>
      <c r="D1158">
        <v>3063653790.4200001</v>
      </c>
      <c r="E1158">
        <v>5</v>
      </c>
    </row>
    <row r="1159" spans="2:5" x14ac:dyDescent="0.25">
      <c r="B1159" s="1" t="s">
        <v>6</v>
      </c>
      <c r="C1159" s="1">
        <v>41334</v>
      </c>
      <c r="D1159">
        <v>2016668573.79</v>
      </c>
      <c r="E1159">
        <v>6</v>
      </c>
    </row>
    <row r="1160" spans="2:5" x14ac:dyDescent="0.25">
      <c r="B1160" s="1" t="s">
        <v>25</v>
      </c>
      <c r="C1160" s="1">
        <v>41334</v>
      </c>
      <c r="D1160">
        <v>1926771112.8099999</v>
      </c>
      <c r="E1160">
        <v>7</v>
      </c>
    </row>
    <row r="1161" spans="2:5" x14ac:dyDescent="0.25">
      <c r="B1161" s="1" t="s">
        <v>57</v>
      </c>
      <c r="C1161" s="1">
        <v>41334</v>
      </c>
      <c r="D1161">
        <v>1807672705.3199999</v>
      </c>
      <c r="E1161">
        <v>8</v>
      </c>
    </row>
    <row r="1162" spans="2:5" x14ac:dyDescent="0.25">
      <c r="B1162" s="1" t="s">
        <v>5</v>
      </c>
      <c r="C1162" s="1">
        <v>41334</v>
      </c>
      <c r="D1162">
        <v>1302704294.5799999</v>
      </c>
      <c r="E1162">
        <v>9</v>
      </c>
    </row>
    <row r="1163" spans="2:5" x14ac:dyDescent="0.25">
      <c r="B1163" s="1" t="s">
        <v>8</v>
      </c>
      <c r="C1163" s="1">
        <v>41334</v>
      </c>
      <c r="D1163">
        <v>1242590343.3800001</v>
      </c>
      <c r="E1163">
        <v>10</v>
      </c>
    </row>
    <row r="1164" spans="2:5" x14ac:dyDescent="0.25">
      <c r="B1164" s="1" t="s">
        <v>13</v>
      </c>
      <c r="C1164" s="1">
        <v>41365</v>
      </c>
      <c r="D1164">
        <v>9980934177.1000004</v>
      </c>
      <c r="E1164">
        <v>1</v>
      </c>
    </row>
    <row r="1165" spans="2:5" x14ac:dyDescent="0.25">
      <c r="B1165" s="1" t="s">
        <v>16</v>
      </c>
      <c r="C1165" s="1">
        <v>41365</v>
      </c>
      <c r="D1165">
        <v>6886584084.6800003</v>
      </c>
      <c r="E1165">
        <v>2</v>
      </c>
    </row>
    <row r="1166" spans="2:5" x14ac:dyDescent="0.25">
      <c r="B1166" s="1" t="s">
        <v>69</v>
      </c>
      <c r="C1166" s="1">
        <v>41365</v>
      </c>
      <c r="D1166">
        <v>4559782207.0600004</v>
      </c>
      <c r="E1166">
        <v>3</v>
      </c>
    </row>
    <row r="1167" spans="2:5" x14ac:dyDescent="0.25">
      <c r="B1167" s="1" t="s">
        <v>4</v>
      </c>
      <c r="C1167" s="1">
        <v>41365</v>
      </c>
      <c r="D1167">
        <v>2479680401.48</v>
      </c>
      <c r="E1167">
        <v>4</v>
      </c>
    </row>
    <row r="1168" spans="2:5" x14ac:dyDescent="0.25">
      <c r="B1168" s="1" t="s">
        <v>6</v>
      </c>
      <c r="C1168" s="1">
        <v>41365</v>
      </c>
      <c r="D1168">
        <v>2298720470.3699999</v>
      </c>
      <c r="E1168">
        <v>5</v>
      </c>
    </row>
    <row r="1169" spans="2:5" x14ac:dyDescent="0.25">
      <c r="B1169" s="1" t="s">
        <v>12</v>
      </c>
      <c r="C1169" s="1">
        <v>41365</v>
      </c>
      <c r="D1169">
        <v>1898208233.29</v>
      </c>
      <c r="E1169">
        <v>6</v>
      </c>
    </row>
    <row r="1170" spans="2:5" x14ac:dyDescent="0.25">
      <c r="B1170" s="1" t="s">
        <v>57</v>
      </c>
      <c r="C1170" s="1">
        <v>41365</v>
      </c>
      <c r="D1170">
        <v>1849709012.8599999</v>
      </c>
      <c r="E1170">
        <v>7</v>
      </c>
    </row>
    <row r="1171" spans="2:5" x14ac:dyDescent="0.25">
      <c r="B1171" s="1" t="s">
        <v>5</v>
      </c>
      <c r="C1171" s="1">
        <v>41365</v>
      </c>
      <c r="D1171">
        <v>797265609.63999999</v>
      </c>
      <c r="E1171">
        <v>8</v>
      </c>
    </row>
    <row r="1172" spans="2:5" x14ac:dyDescent="0.25">
      <c r="B1172" s="1" t="s">
        <v>25</v>
      </c>
      <c r="C1172" s="1">
        <v>41365</v>
      </c>
      <c r="D1172">
        <v>714987470.79999995</v>
      </c>
      <c r="E1172">
        <v>9</v>
      </c>
    </row>
    <row r="1173" spans="2:5" x14ac:dyDescent="0.25">
      <c r="B1173" s="1" t="s">
        <v>76</v>
      </c>
      <c r="C1173" s="1">
        <v>41365</v>
      </c>
      <c r="D1173">
        <v>701559342.30999994</v>
      </c>
      <c r="E1173">
        <v>10</v>
      </c>
    </row>
    <row r="1174" spans="2:5" x14ac:dyDescent="0.25">
      <c r="B1174" s="1" t="s">
        <v>13</v>
      </c>
      <c r="C1174" s="1">
        <v>41395</v>
      </c>
      <c r="D1174">
        <v>10647976949.73</v>
      </c>
      <c r="E1174">
        <v>1</v>
      </c>
    </row>
    <row r="1175" spans="2:5" x14ac:dyDescent="0.25">
      <c r="B1175" s="1" t="s">
        <v>16</v>
      </c>
      <c r="C1175" s="1">
        <v>41395</v>
      </c>
      <c r="D1175">
        <v>6492413731.9499998</v>
      </c>
      <c r="E1175">
        <v>2</v>
      </c>
    </row>
    <row r="1176" spans="2:5" x14ac:dyDescent="0.25">
      <c r="B1176" s="1" t="s">
        <v>4</v>
      </c>
      <c r="C1176" s="1">
        <v>41395</v>
      </c>
      <c r="D1176">
        <v>4584046912.8000002</v>
      </c>
      <c r="E1176">
        <v>3</v>
      </c>
    </row>
    <row r="1177" spans="2:5" x14ac:dyDescent="0.25">
      <c r="B1177" s="1" t="s">
        <v>69</v>
      </c>
      <c r="C1177" s="1">
        <v>41395</v>
      </c>
      <c r="D1177">
        <v>4116486836.2199998</v>
      </c>
      <c r="E1177">
        <v>4</v>
      </c>
    </row>
    <row r="1178" spans="2:5" x14ac:dyDescent="0.25">
      <c r="B1178" s="1" t="s">
        <v>6</v>
      </c>
      <c r="C1178" s="1">
        <v>41395</v>
      </c>
      <c r="D1178">
        <v>3506379585.9299998</v>
      </c>
      <c r="E1178">
        <v>5</v>
      </c>
    </row>
    <row r="1179" spans="2:5" x14ac:dyDescent="0.25">
      <c r="B1179" s="1" t="s">
        <v>12</v>
      </c>
      <c r="C1179" s="1">
        <v>41395</v>
      </c>
      <c r="D1179">
        <v>2860219926.48</v>
      </c>
      <c r="E1179">
        <v>6</v>
      </c>
    </row>
    <row r="1180" spans="2:5" x14ac:dyDescent="0.25">
      <c r="B1180" t="s">
        <v>8</v>
      </c>
      <c r="C1180" s="1">
        <v>41395</v>
      </c>
      <c r="D1180">
        <v>1593764921.78</v>
      </c>
      <c r="E1180">
        <v>7</v>
      </c>
    </row>
    <row r="1181" spans="2:5" x14ac:dyDescent="0.25">
      <c r="B1181" t="s">
        <v>5</v>
      </c>
      <c r="C1181" s="1">
        <v>41395</v>
      </c>
      <c r="D1181">
        <v>1048561400.36</v>
      </c>
      <c r="E1181">
        <v>8</v>
      </c>
    </row>
    <row r="1182" spans="2:5" x14ac:dyDescent="0.25">
      <c r="B1182" t="s">
        <v>77</v>
      </c>
      <c r="C1182" s="1">
        <v>41395</v>
      </c>
      <c r="D1182">
        <v>1034194462.79</v>
      </c>
      <c r="E1182">
        <v>9</v>
      </c>
    </row>
    <row r="1183" spans="2:5" x14ac:dyDescent="0.25">
      <c r="B1183" t="s">
        <v>76</v>
      </c>
      <c r="C1183" s="1">
        <v>41395</v>
      </c>
      <c r="D1183">
        <v>1029514462.89</v>
      </c>
      <c r="E1183">
        <v>10</v>
      </c>
    </row>
    <row r="1184" spans="2:5" x14ac:dyDescent="0.25">
      <c r="B1184" t="s">
        <v>13</v>
      </c>
      <c r="C1184" s="1">
        <v>41426</v>
      </c>
      <c r="D1184">
        <v>16378355650.98</v>
      </c>
      <c r="E1184">
        <v>1</v>
      </c>
    </row>
    <row r="1185" spans="2:5" x14ac:dyDescent="0.25">
      <c r="B1185" t="s">
        <v>16</v>
      </c>
      <c r="C1185" s="1">
        <v>41426</v>
      </c>
      <c r="D1185">
        <v>5570903232.0500002</v>
      </c>
      <c r="E1185">
        <v>2</v>
      </c>
    </row>
    <row r="1186" spans="2:5" x14ac:dyDescent="0.25">
      <c r="B1186" t="s">
        <v>4</v>
      </c>
      <c r="C1186" s="1">
        <v>41426</v>
      </c>
      <c r="D1186">
        <v>3906418369.8600001</v>
      </c>
      <c r="E1186">
        <v>3</v>
      </c>
    </row>
    <row r="1187" spans="2:5" x14ac:dyDescent="0.25">
      <c r="B1187" t="s">
        <v>69</v>
      </c>
      <c r="C1187" s="1">
        <v>41426</v>
      </c>
      <c r="D1187">
        <v>3451450904.1700001</v>
      </c>
      <c r="E1187">
        <v>4</v>
      </c>
    </row>
    <row r="1188" spans="2:5" x14ac:dyDescent="0.25">
      <c r="B1188" t="s">
        <v>6</v>
      </c>
      <c r="C1188" s="1">
        <v>41426</v>
      </c>
      <c r="D1188">
        <v>2168058843.5500002</v>
      </c>
      <c r="E1188">
        <v>5</v>
      </c>
    </row>
    <row r="1189" spans="2:5" x14ac:dyDescent="0.25">
      <c r="B1189" t="s">
        <v>57</v>
      </c>
      <c r="C1189" s="1">
        <v>41426</v>
      </c>
      <c r="D1189">
        <v>1871436657.03</v>
      </c>
      <c r="E1189">
        <v>6</v>
      </c>
    </row>
    <row r="1190" spans="2:5" x14ac:dyDescent="0.25">
      <c r="B1190" t="s">
        <v>12</v>
      </c>
      <c r="C1190" s="1">
        <v>41426</v>
      </c>
      <c r="D1190">
        <v>1853026355.25</v>
      </c>
      <c r="E1190">
        <v>7</v>
      </c>
    </row>
    <row r="1191" spans="2:5" x14ac:dyDescent="0.25">
      <c r="B1191" t="s">
        <v>78</v>
      </c>
      <c r="C1191" s="1">
        <v>41426</v>
      </c>
      <c r="D1191">
        <v>1108278332</v>
      </c>
      <c r="E1191">
        <v>8</v>
      </c>
    </row>
    <row r="1192" spans="2:5" x14ac:dyDescent="0.25">
      <c r="B1192" t="s">
        <v>5</v>
      </c>
      <c r="C1192" s="1">
        <v>41426</v>
      </c>
      <c r="D1192">
        <v>975136764.05999994</v>
      </c>
      <c r="E1192">
        <v>9</v>
      </c>
    </row>
    <row r="1193" spans="2:5" x14ac:dyDescent="0.25">
      <c r="B1193" t="s">
        <v>76</v>
      </c>
      <c r="C1193" s="1">
        <v>41426</v>
      </c>
      <c r="D1193">
        <v>873269722.52999997</v>
      </c>
      <c r="E1193">
        <v>10</v>
      </c>
    </row>
    <row r="1194" spans="2:5" x14ac:dyDescent="0.25">
      <c r="B1194" t="s">
        <v>13</v>
      </c>
      <c r="C1194" s="1">
        <v>41456</v>
      </c>
      <c r="D1194">
        <v>15177156622.67</v>
      </c>
      <c r="E1194">
        <v>1</v>
      </c>
    </row>
    <row r="1195" spans="2:5" x14ac:dyDescent="0.25">
      <c r="B1195" t="s">
        <v>16</v>
      </c>
      <c r="C1195" s="1">
        <v>41456</v>
      </c>
      <c r="D1195">
        <v>4532716807.6599998</v>
      </c>
      <c r="E1195">
        <v>2</v>
      </c>
    </row>
    <row r="1196" spans="2:5" x14ac:dyDescent="0.25">
      <c r="B1196" t="s">
        <v>69</v>
      </c>
      <c r="C1196" s="1">
        <v>41456</v>
      </c>
      <c r="D1196">
        <v>4046227360.8000002</v>
      </c>
      <c r="E1196">
        <v>3</v>
      </c>
    </row>
    <row r="1197" spans="2:5" x14ac:dyDescent="0.25">
      <c r="B1197" t="s">
        <v>4</v>
      </c>
      <c r="C1197" s="1">
        <v>41456</v>
      </c>
      <c r="D1197">
        <v>2617912861.6999998</v>
      </c>
      <c r="E1197">
        <v>4</v>
      </c>
    </row>
    <row r="1198" spans="2:5" x14ac:dyDescent="0.25">
      <c r="B1198" t="s">
        <v>6</v>
      </c>
      <c r="C1198" s="1">
        <v>41456</v>
      </c>
      <c r="D1198">
        <v>2389540542.1700001</v>
      </c>
      <c r="E1198">
        <v>5</v>
      </c>
    </row>
    <row r="1199" spans="2:5" x14ac:dyDescent="0.25">
      <c r="B1199" t="s">
        <v>12</v>
      </c>
      <c r="C1199" s="1">
        <v>41456</v>
      </c>
      <c r="D1199">
        <v>1992445611.8499999</v>
      </c>
      <c r="E1199">
        <v>6</v>
      </c>
    </row>
    <row r="1200" spans="2:5" x14ac:dyDescent="0.25">
      <c r="B1200" t="s">
        <v>78</v>
      </c>
      <c r="C1200" s="1">
        <v>41456</v>
      </c>
      <c r="D1200">
        <v>1563390928.6700001</v>
      </c>
      <c r="E1200">
        <v>7</v>
      </c>
    </row>
    <row r="1201" spans="2:5" x14ac:dyDescent="0.25">
      <c r="B1201" t="s">
        <v>76</v>
      </c>
      <c r="C1201" s="1">
        <v>41456</v>
      </c>
      <c r="D1201">
        <v>1165394823.78</v>
      </c>
      <c r="E1201">
        <v>8</v>
      </c>
    </row>
    <row r="1202" spans="2:5" x14ac:dyDescent="0.25">
      <c r="B1202" t="s">
        <v>77</v>
      </c>
      <c r="C1202" s="1">
        <v>41456</v>
      </c>
      <c r="D1202">
        <v>990997193.94000006</v>
      </c>
      <c r="E1202">
        <v>9</v>
      </c>
    </row>
    <row r="1203" spans="2:5" x14ac:dyDescent="0.25">
      <c r="B1203" t="s">
        <v>5</v>
      </c>
      <c r="C1203" s="1">
        <v>41456</v>
      </c>
      <c r="D1203">
        <v>565834449.23000002</v>
      </c>
      <c r="E1203">
        <v>10</v>
      </c>
    </row>
    <row r="1204" spans="2:5" x14ac:dyDescent="0.25">
      <c r="B1204" t="s">
        <v>13</v>
      </c>
      <c r="C1204" s="1">
        <v>41487</v>
      </c>
      <c r="D1204">
        <v>16749167656.17</v>
      </c>
      <c r="E1204">
        <v>1</v>
      </c>
    </row>
    <row r="1205" spans="2:5" x14ac:dyDescent="0.25">
      <c r="B1205" t="s">
        <v>69</v>
      </c>
      <c r="C1205" s="1">
        <v>41487</v>
      </c>
      <c r="D1205">
        <v>4431900841.0100002</v>
      </c>
      <c r="E1205">
        <v>2</v>
      </c>
    </row>
    <row r="1206" spans="2:5" x14ac:dyDescent="0.25">
      <c r="B1206" t="s">
        <v>16</v>
      </c>
      <c r="C1206" s="1">
        <v>41487</v>
      </c>
      <c r="D1206">
        <v>3137222205.3800001</v>
      </c>
      <c r="E1206">
        <v>3</v>
      </c>
    </row>
    <row r="1207" spans="2:5" x14ac:dyDescent="0.25">
      <c r="B1207" t="s">
        <v>4</v>
      </c>
      <c r="C1207" s="1">
        <v>41487</v>
      </c>
      <c r="D1207">
        <v>2930451579.5999999</v>
      </c>
      <c r="E1207">
        <v>4</v>
      </c>
    </row>
    <row r="1208" spans="2:5" x14ac:dyDescent="0.25">
      <c r="B1208" t="s">
        <v>12</v>
      </c>
      <c r="C1208" s="1">
        <v>41487</v>
      </c>
      <c r="D1208">
        <v>2282103654.0900002</v>
      </c>
      <c r="E1208">
        <v>5</v>
      </c>
    </row>
    <row r="1209" spans="2:5" x14ac:dyDescent="0.25">
      <c r="B1209" t="s">
        <v>78</v>
      </c>
      <c r="C1209" s="1">
        <v>41487</v>
      </c>
      <c r="D1209">
        <v>2166674852.6700001</v>
      </c>
      <c r="E1209">
        <v>6</v>
      </c>
    </row>
    <row r="1210" spans="2:5" x14ac:dyDescent="0.25">
      <c r="B1210" t="s">
        <v>6</v>
      </c>
      <c r="C1210" s="1">
        <v>41487</v>
      </c>
      <c r="D1210">
        <v>1994105036.03</v>
      </c>
      <c r="E1210">
        <v>7</v>
      </c>
    </row>
    <row r="1211" spans="2:5" x14ac:dyDescent="0.25">
      <c r="B1211" t="s">
        <v>77</v>
      </c>
      <c r="C1211" s="1">
        <v>41487</v>
      </c>
      <c r="D1211">
        <v>1563932131.55</v>
      </c>
      <c r="E1211">
        <v>8</v>
      </c>
    </row>
    <row r="1212" spans="2:5" x14ac:dyDescent="0.25">
      <c r="B1212" t="s">
        <v>75</v>
      </c>
      <c r="C1212" s="1">
        <v>41487</v>
      </c>
      <c r="D1212">
        <v>1139966393.8199999</v>
      </c>
      <c r="E1212">
        <v>9</v>
      </c>
    </row>
    <row r="1213" spans="2:5" x14ac:dyDescent="0.25">
      <c r="B1213" t="s">
        <v>5</v>
      </c>
      <c r="C1213" s="1">
        <v>41487</v>
      </c>
      <c r="D1213">
        <v>711987173.45000005</v>
      </c>
      <c r="E1213">
        <v>10</v>
      </c>
    </row>
    <row r="1214" spans="2:5" x14ac:dyDescent="0.25">
      <c r="B1214" t="s">
        <v>13</v>
      </c>
      <c r="C1214" s="1">
        <v>41518</v>
      </c>
      <c r="D1214">
        <v>15517116259.82</v>
      </c>
      <c r="E1214">
        <v>1</v>
      </c>
    </row>
    <row r="1215" spans="2:5" x14ac:dyDescent="0.25">
      <c r="B1215" t="s">
        <v>69</v>
      </c>
      <c r="C1215" s="1">
        <v>41518</v>
      </c>
      <c r="D1215">
        <v>4099763945.7399998</v>
      </c>
      <c r="E1215">
        <v>2</v>
      </c>
    </row>
    <row r="1216" spans="2:5" x14ac:dyDescent="0.25">
      <c r="B1216" t="s">
        <v>77</v>
      </c>
      <c r="C1216" s="1">
        <v>41518</v>
      </c>
      <c r="D1216">
        <v>2861460099.5799999</v>
      </c>
      <c r="E1216">
        <v>3</v>
      </c>
    </row>
    <row r="1217" spans="2:5" x14ac:dyDescent="0.25">
      <c r="B1217" t="s">
        <v>16</v>
      </c>
      <c r="C1217" s="1">
        <v>41518</v>
      </c>
      <c r="D1217">
        <v>2535693044.8800001</v>
      </c>
      <c r="E1217">
        <v>4</v>
      </c>
    </row>
    <row r="1218" spans="2:5" x14ac:dyDescent="0.25">
      <c r="B1218" t="s">
        <v>4</v>
      </c>
      <c r="C1218" s="1">
        <v>41518</v>
      </c>
      <c r="D1218">
        <v>2233807570.8600001</v>
      </c>
      <c r="E1218">
        <v>5</v>
      </c>
    </row>
    <row r="1219" spans="2:5" x14ac:dyDescent="0.25">
      <c r="B1219" t="s">
        <v>78</v>
      </c>
      <c r="C1219" s="1">
        <v>41518</v>
      </c>
      <c r="D1219">
        <v>2152825718.3000002</v>
      </c>
      <c r="E1219">
        <v>6</v>
      </c>
    </row>
    <row r="1220" spans="2:5" x14ac:dyDescent="0.25">
      <c r="B1220" t="s">
        <v>12</v>
      </c>
      <c r="C1220" s="1">
        <v>41518</v>
      </c>
      <c r="D1220">
        <v>1790973007.52</v>
      </c>
      <c r="E1220">
        <v>7</v>
      </c>
    </row>
    <row r="1221" spans="2:5" x14ac:dyDescent="0.25">
      <c r="B1221" t="s">
        <v>6</v>
      </c>
      <c r="C1221" s="1">
        <v>41518</v>
      </c>
      <c r="D1221">
        <v>1718538173.28</v>
      </c>
      <c r="E1221">
        <v>8</v>
      </c>
    </row>
    <row r="1222" spans="2:5" x14ac:dyDescent="0.25">
      <c r="B1222" t="s">
        <v>73</v>
      </c>
      <c r="C1222" s="1">
        <v>41518</v>
      </c>
      <c r="D1222">
        <v>1295687786.72</v>
      </c>
      <c r="E1222">
        <v>9</v>
      </c>
    </row>
    <row r="1223" spans="2:5" x14ac:dyDescent="0.25">
      <c r="B1223" t="s">
        <v>57</v>
      </c>
      <c r="C1223" s="1">
        <v>41518</v>
      </c>
      <c r="D1223">
        <v>912925948.12</v>
      </c>
      <c r="E1223">
        <v>10</v>
      </c>
    </row>
    <row r="1224" spans="2:5" x14ac:dyDescent="0.25">
      <c r="B1224" t="s">
        <v>13</v>
      </c>
      <c r="C1224" s="1">
        <v>41548</v>
      </c>
      <c r="D1224">
        <v>12736272274.200001</v>
      </c>
      <c r="E1224">
        <v>1</v>
      </c>
    </row>
    <row r="1225" spans="2:5" x14ac:dyDescent="0.25">
      <c r="B1225" t="s">
        <v>16</v>
      </c>
      <c r="C1225" s="1">
        <v>41548</v>
      </c>
      <c r="D1225">
        <v>3244376454.9099998</v>
      </c>
      <c r="E1225">
        <v>2</v>
      </c>
    </row>
    <row r="1226" spans="2:5" x14ac:dyDescent="0.25">
      <c r="B1226" t="s">
        <v>4</v>
      </c>
      <c r="C1226" s="1">
        <v>41548</v>
      </c>
      <c r="D1226">
        <v>2756386822.5100002</v>
      </c>
      <c r="E1226">
        <v>3</v>
      </c>
    </row>
    <row r="1227" spans="2:5" x14ac:dyDescent="0.25">
      <c r="B1227" t="s">
        <v>69</v>
      </c>
      <c r="C1227" s="1">
        <v>41548</v>
      </c>
      <c r="D1227">
        <v>2353070457.5900002</v>
      </c>
      <c r="E1227">
        <v>4</v>
      </c>
    </row>
    <row r="1228" spans="2:5" x14ac:dyDescent="0.25">
      <c r="B1228" t="s">
        <v>78</v>
      </c>
      <c r="C1228" s="1">
        <v>41548</v>
      </c>
      <c r="D1228">
        <v>1808657114.72</v>
      </c>
      <c r="E1228">
        <v>5</v>
      </c>
    </row>
    <row r="1229" spans="2:5" x14ac:dyDescent="0.25">
      <c r="B1229" t="s">
        <v>77</v>
      </c>
      <c r="C1229" s="1">
        <v>41548</v>
      </c>
      <c r="D1229">
        <v>1339478926.28</v>
      </c>
      <c r="E1229">
        <v>6</v>
      </c>
    </row>
    <row r="1230" spans="2:5" x14ac:dyDescent="0.25">
      <c r="B1230" t="s">
        <v>12</v>
      </c>
      <c r="C1230" s="1">
        <v>41548</v>
      </c>
      <c r="D1230">
        <v>1178857899.45</v>
      </c>
      <c r="E1230">
        <v>7</v>
      </c>
    </row>
    <row r="1231" spans="2:5" x14ac:dyDescent="0.25">
      <c r="B1231" t="s">
        <v>6</v>
      </c>
      <c r="C1231" s="1">
        <v>41548</v>
      </c>
      <c r="D1231">
        <v>1074960568.03</v>
      </c>
      <c r="E1231">
        <v>8</v>
      </c>
    </row>
    <row r="1232" spans="2:5" x14ac:dyDescent="0.25">
      <c r="B1232" t="s">
        <v>73</v>
      </c>
      <c r="C1232" s="1">
        <v>41548</v>
      </c>
      <c r="D1232">
        <v>967298891.16999996</v>
      </c>
      <c r="E1232">
        <v>9</v>
      </c>
    </row>
    <row r="1233" spans="2:5" x14ac:dyDescent="0.25">
      <c r="B1233" t="s">
        <v>5</v>
      </c>
      <c r="C1233" s="1">
        <v>41548</v>
      </c>
      <c r="D1233">
        <v>605181497.16999996</v>
      </c>
      <c r="E1233">
        <v>10</v>
      </c>
    </row>
    <row r="1234" spans="2:5" x14ac:dyDescent="0.25">
      <c r="B1234" t="s">
        <v>13</v>
      </c>
      <c r="C1234" s="1">
        <v>41579</v>
      </c>
      <c r="D1234">
        <v>9023886132.7900009</v>
      </c>
      <c r="E1234">
        <v>1</v>
      </c>
    </row>
    <row r="1235" spans="2:5" x14ac:dyDescent="0.25">
      <c r="B1235" t="s">
        <v>16</v>
      </c>
      <c r="C1235" s="1">
        <v>41579</v>
      </c>
      <c r="D1235">
        <v>2224516923.4400001</v>
      </c>
      <c r="E1235">
        <v>2</v>
      </c>
    </row>
    <row r="1236" spans="2:5" x14ac:dyDescent="0.25">
      <c r="B1236" t="s">
        <v>69</v>
      </c>
      <c r="C1236" s="1">
        <v>41579</v>
      </c>
      <c r="D1236">
        <v>1845973493.28</v>
      </c>
      <c r="E1236">
        <v>3</v>
      </c>
    </row>
    <row r="1237" spans="2:5" x14ac:dyDescent="0.25">
      <c r="B1237" t="s">
        <v>77</v>
      </c>
      <c r="C1237" s="1">
        <v>41579</v>
      </c>
      <c r="D1237">
        <v>1714263954.01</v>
      </c>
      <c r="E1237">
        <v>4</v>
      </c>
    </row>
    <row r="1238" spans="2:5" x14ac:dyDescent="0.25">
      <c r="B1238" t="s">
        <v>78</v>
      </c>
      <c r="C1238" s="1">
        <v>41579</v>
      </c>
      <c r="D1238">
        <v>1625261801.0699999</v>
      </c>
      <c r="E1238">
        <v>5</v>
      </c>
    </row>
    <row r="1239" spans="2:5" x14ac:dyDescent="0.25">
      <c r="B1239" t="s">
        <v>4</v>
      </c>
      <c r="C1239" s="1">
        <v>41579</v>
      </c>
      <c r="D1239">
        <v>1548644985.6900001</v>
      </c>
      <c r="E1239">
        <v>6</v>
      </c>
    </row>
    <row r="1240" spans="2:5" x14ac:dyDescent="0.25">
      <c r="B1240" t="s">
        <v>12</v>
      </c>
      <c r="C1240" s="1">
        <v>41579</v>
      </c>
      <c r="D1240">
        <v>1277248858.6700001</v>
      </c>
      <c r="E1240">
        <v>7</v>
      </c>
    </row>
    <row r="1241" spans="2:5" x14ac:dyDescent="0.25">
      <c r="B1241" t="s">
        <v>6</v>
      </c>
      <c r="C1241" s="1">
        <v>41579</v>
      </c>
      <c r="D1241">
        <v>862988410.10000002</v>
      </c>
      <c r="E1241">
        <v>8</v>
      </c>
    </row>
    <row r="1242" spans="2:5" x14ac:dyDescent="0.25">
      <c r="B1242" t="s">
        <v>73</v>
      </c>
      <c r="C1242" s="1">
        <v>41579</v>
      </c>
      <c r="D1242">
        <v>766705889.39999998</v>
      </c>
      <c r="E1242">
        <v>9</v>
      </c>
    </row>
    <row r="1243" spans="2:5" x14ac:dyDescent="0.25">
      <c r="B1243" t="s">
        <v>5</v>
      </c>
      <c r="C1243" s="1">
        <v>41579</v>
      </c>
      <c r="D1243">
        <v>748285780.59000003</v>
      </c>
      <c r="E1243">
        <v>10</v>
      </c>
    </row>
    <row r="1244" spans="2:5" x14ac:dyDescent="0.25">
      <c r="B1244" t="s">
        <v>13</v>
      </c>
      <c r="C1244" s="1">
        <v>41609</v>
      </c>
      <c r="D1244">
        <v>7160448808.71</v>
      </c>
      <c r="E1244">
        <v>1</v>
      </c>
    </row>
    <row r="1245" spans="2:5" x14ac:dyDescent="0.25">
      <c r="B1245" t="s">
        <v>16</v>
      </c>
      <c r="C1245" s="1">
        <v>41609</v>
      </c>
      <c r="D1245">
        <v>3275629193.4299998</v>
      </c>
      <c r="E1245">
        <v>2</v>
      </c>
    </row>
    <row r="1246" spans="2:5" x14ac:dyDescent="0.25">
      <c r="B1246" t="s">
        <v>69</v>
      </c>
      <c r="C1246" s="1">
        <v>41609</v>
      </c>
      <c r="D1246">
        <v>1689487463.0999999</v>
      </c>
      <c r="E1246">
        <v>3</v>
      </c>
    </row>
    <row r="1247" spans="2:5" x14ac:dyDescent="0.25">
      <c r="B1247" t="s">
        <v>4</v>
      </c>
      <c r="C1247" s="1">
        <v>41609</v>
      </c>
      <c r="D1247">
        <v>1401145120.4400001</v>
      </c>
      <c r="E1247">
        <v>4</v>
      </c>
    </row>
    <row r="1248" spans="2:5" x14ac:dyDescent="0.25">
      <c r="B1248" t="s">
        <v>12</v>
      </c>
      <c r="C1248" s="1">
        <v>41609</v>
      </c>
      <c r="D1248">
        <v>1385947039.5999999</v>
      </c>
      <c r="E1248">
        <v>5</v>
      </c>
    </row>
    <row r="1249" spans="2:5" x14ac:dyDescent="0.25">
      <c r="B1249" t="s">
        <v>78</v>
      </c>
      <c r="C1249" s="1">
        <v>41609</v>
      </c>
      <c r="D1249">
        <v>1234168380.74</v>
      </c>
      <c r="E1249">
        <v>6</v>
      </c>
    </row>
    <row r="1250" spans="2:5" x14ac:dyDescent="0.25">
      <c r="B1250" t="s">
        <v>77</v>
      </c>
      <c r="C1250" s="1">
        <v>41609</v>
      </c>
      <c r="D1250">
        <v>883068620.78999996</v>
      </c>
      <c r="E1250">
        <v>7</v>
      </c>
    </row>
    <row r="1251" spans="2:5" x14ac:dyDescent="0.25">
      <c r="B1251" t="s">
        <v>6</v>
      </c>
      <c r="C1251" s="1">
        <v>41609</v>
      </c>
      <c r="D1251">
        <v>834319839.09000003</v>
      </c>
      <c r="E1251">
        <v>8</v>
      </c>
    </row>
    <row r="1252" spans="2:5" x14ac:dyDescent="0.25">
      <c r="B1252" t="s">
        <v>5</v>
      </c>
      <c r="C1252" s="1">
        <v>41609</v>
      </c>
      <c r="D1252">
        <v>553098374.40999997</v>
      </c>
      <c r="E1252">
        <v>9</v>
      </c>
    </row>
    <row r="1253" spans="2:5" x14ac:dyDescent="0.25">
      <c r="B1253" t="s">
        <v>79</v>
      </c>
      <c r="C1253" s="1">
        <v>41609</v>
      </c>
      <c r="D1253">
        <v>478405453.45999998</v>
      </c>
      <c r="E1253">
        <v>10</v>
      </c>
    </row>
    <row r="1254" spans="2:5" x14ac:dyDescent="0.25">
      <c r="B1254" t="s">
        <v>13</v>
      </c>
      <c r="C1254" s="1">
        <v>41640</v>
      </c>
      <c r="D1254">
        <v>5970250118.0100002</v>
      </c>
      <c r="E1254">
        <v>1</v>
      </c>
    </row>
    <row r="1255" spans="2:5" x14ac:dyDescent="0.25">
      <c r="B1255" t="s">
        <v>16</v>
      </c>
      <c r="C1255" s="1">
        <v>41640</v>
      </c>
      <c r="D1255">
        <v>2207793813.1599998</v>
      </c>
      <c r="E1255">
        <v>2</v>
      </c>
    </row>
    <row r="1256" spans="2:5" x14ac:dyDescent="0.25">
      <c r="B1256" t="s">
        <v>78</v>
      </c>
      <c r="C1256" s="1">
        <v>41640</v>
      </c>
      <c r="D1256">
        <v>1555357392.6700001</v>
      </c>
      <c r="E1256">
        <v>3</v>
      </c>
    </row>
    <row r="1257" spans="2:5" x14ac:dyDescent="0.25">
      <c r="B1257" t="s">
        <v>69</v>
      </c>
      <c r="C1257" s="1">
        <v>41640</v>
      </c>
      <c r="D1257">
        <v>1417769963.4200001</v>
      </c>
      <c r="E1257">
        <v>4</v>
      </c>
    </row>
    <row r="1258" spans="2:5" x14ac:dyDescent="0.25">
      <c r="B1258" t="s">
        <v>77</v>
      </c>
      <c r="C1258" s="1">
        <v>41640</v>
      </c>
      <c r="D1258">
        <v>1067961270.72</v>
      </c>
      <c r="E1258">
        <v>5</v>
      </c>
    </row>
    <row r="1259" spans="2:5" x14ac:dyDescent="0.25">
      <c r="B1259" t="s">
        <v>4</v>
      </c>
      <c r="C1259" s="1">
        <v>41640</v>
      </c>
      <c r="D1259">
        <v>1061697850.64</v>
      </c>
      <c r="E1259">
        <v>6</v>
      </c>
    </row>
    <row r="1260" spans="2:5" x14ac:dyDescent="0.25">
      <c r="B1260" t="s">
        <v>12</v>
      </c>
      <c r="C1260" s="1">
        <v>41640</v>
      </c>
      <c r="D1260">
        <v>966432689.55999994</v>
      </c>
      <c r="E1260">
        <v>7</v>
      </c>
    </row>
    <row r="1261" spans="2:5" x14ac:dyDescent="0.25">
      <c r="B1261" t="s">
        <v>6</v>
      </c>
      <c r="C1261" s="1">
        <v>41640</v>
      </c>
      <c r="D1261">
        <v>646947732.10000002</v>
      </c>
      <c r="E1261">
        <v>8</v>
      </c>
    </row>
    <row r="1262" spans="2:5" x14ac:dyDescent="0.25">
      <c r="B1262" t="s">
        <v>5</v>
      </c>
      <c r="C1262" s="1">
        <v>41640</v>
      </c>
      <c r="D1262">
        <v>423629042.22000003</v>
      </c>
      <c r="E1262">
        <v>9</v>
      </c>
    </row>
    <row r="1263" spans="2:5" x14ac:dyDescent="0.25">
      <c r="B1263" t="s">
        <v>32</v>
      </c>
      <c r="C1263" s="1">
        <v>41640</v>
      </c>
      <c r="D1263">
        <v>395465549.91000003</v>
      </c>
      <c r="E1263">
        <v>10</v>
      </c>
    </row>
    <row r="1264" spans="2:5" x14ac:dyDescent="0.25">
      <c r="B1264" t="s">
        <v>13</v>
      </c>
      <c r="C1264" s="1">
        <v>41671</v>
      </c>
      <c r="D1264">
        <v>2787339203.8600001</v>
      </c>
      <c r="E1264">
        <v>1</v>
      </c>
    </row>
    <row r="1265" spans="2:5" x14ac:dyDescent="0.25">
      <c r="B1265" t="s">
        <v>69</v>
      </c>
      <c r="C1265" s="1">
        <v>41671</v>
      </c>
      <c r="D1265">
        <v>1754359485.8099999</v>
      </c>
      <c r="E1265">
        <v>2</v>
      </c>
    </row>
    <row r="1266" spans="2:5" x14ac:dyDescent="0.25">
      <c r="B1266" t="s">
        <v>16</v>
      </c>
      <c r="C1266" s="1">
        <v>41671</v>
      </c>
      <c r="D1266">
        <v>1687480050.0599999</v>
      </c>
      <c r="E1266">
        <v>3</v>
      </c>
    </row>
    <row r="1267" spans="2:5" x14ac:dyDescent="0.25">
      <c r="B1267" t="s">
        <v>78</v>
      </c>
      <c r="C1267" s="1">
        <v>41671</v>
      </c>
      <c r="D1267">
        <v>1337275043.49</v>
      </c>
      <c r="E1267">
        <v>4</v>
      </c>
    </row>
    <row r="1268" spans="2:5" x14ac:dyDescent="0.25">
      <c r="B1268" t="s">
        <v>77</v>
      </c>
      <c r="C1268" s="1">
        <v>41671</v>
      </c>
      <c r="D1268">
        <v>1054634095.39</v>
      </c>
      <c r="E1268">
        <v>5</v>
      </c>
    </row>
    <row r="1269" spans="2:5" x14ac:dyDescent="0.25">
      <c r="B1269" t="s">
        <v>4</v>
      </c>
      <c r="C1269" s="1">
        <v>41671</v>
      </c>
      <c r="D1269">
        <v>772623567.57000005</v>
      </c>
      <c r="E1269">
        <v>6</v>
      </c>
    </row>
    <row r="1270" spans="2:5" x14ac:dyDescent="0.25">
      <c r="B1270" t="s">
        <v>12</v>
      </c>
      <c r="C1270" s="1">
        <v>41671</v>
      </c>
      <c r="D1270">
        <v>608831623.90999997</v>
      </c>
      <c r="E1270">
        <v>7</v>
      </c>
    </row>
    <row r="1271" spans="2:5" x14ac:dyDescent="0.25">
      <c r="B1271" t="s">
        <v>6</v>
      </c>
      <c r="C1271" s="1">
        <v>41671</v>
      </c>
      <c r="D1271">
        <v>437423782.51999998</v>
      </c>
      <c r="E1271">
        <v>8</v>
      </c>
    </row>
    <row r="1272" spans="2:5" x14ac:dyDescent="0.25">
      <c r="B1272" t="s">
        <v>32</v>
      </c>
      <c r="C1272" s="1">
        <v>41671</v>
      </c>
      <c r="D1272">
        <v>382102212.56</v>
      </c>
      <c r="E1272">
        <v>9</v>
      </c>
    </row>
    <row r="1273" spans="2:5" x14ac:dyDescent="0.25">
      <c r="B1273" t="s">
        <v>5</v>
      </c>
      <c r="C1273" s="1">
        <v>41671</v>
      </c>
      <c r="D1273">
        <v>380420991.08999997</v>
      </c>
      <c r="E1273">
        <v>10</v>
      </c>
    </row>
    <row r="1274" spans="2:5" x14ac:dyDescent="0.25">
      <c r="B1274" t="s">
        <v>13</v>
      </c>
      <c r="C1274" s="1">
        <v>41699</v>
      </c>
      <c r="D1274">
        <v>3860179857.6700001</v>
      </c>
      <c r="E1274">
        <v>1</v>
      </c>
    </row>
    <row r="1275" spans="2:5" x14ac:dyDescent="0.25">
      <c r="B1275" t="s">
        <v>16</v>
      </c>
      <c r="C1275" s="1">
        <v>41699</v>
      </c>
      <c r="D1275">
        <v>2055501949.8099999</v>
      </c>
      <c r="E1275">
        <v>2</v>
      </c>
    </row>
    <row r="1276" spans="2:5" x14ac:dyDescent="0.25">
      <c r="B1276" t="s">
        <v>69</v>
      </c>
      <c r="C1276" s="1">
        <v>41699</v>
      </c>
      <c r="D1276">
        <v>1916682883.5699999</v>
      </c>
      <c r="E1276">
        <v>3</v>
      </c>
    </row>
    <row r="1277" spans="2:5" x14ac:dyDescent="0.25">
      <c r="B1277" t="s">
        <v>78</v>
      </c>
      <c r="C1277" s="1">
        <v>41699</v>
      </c>
      <c r="D1277">
        <v>1267206821.6800001</v>
      </c>
      <c r="E1277">
        <v>4</v>
      </c>
    </row>
    <row r="1278" spans="2:5" x14ac:dyDescent="0.25">
      <c r="B1278" t="s">
        <v>77</v>
      </c>
      <c r="C1278" s="1">
        <v>41699</v>
      </c>
      <c r="D1278">
        <v>1267185698.4400001</v>
      </c>
      <c r="E1278">
        <v>5</v>
      </c>
    </row>
    <row r="1279" spans="2:5" x14ac:dyDescent="0.25">
      <c r="B1279" t="s">
        <v>4</v>
      </c>
      <c r="C1279" s="1">
        <v>41699</v>
      </c>
      <c r="D1279">
        <v>649550606.24000001</v>
      </c>
      <c r="E1279">
        <v>6</v>
      </c>
    </row>
    <row r="1280" spans="2:5" x14ac:dyDescent="0.25">
      <c r="B1280" t="s">
        <v>12</v>
      </c>
      <c r="C1280" s="1">
        <v>41699</v>
      </c>
      <c r="D1280">
        <v>625973165.45000005</v>
      </c>
      <c r="E1280">
        <v>7</v>
      </c>
    </row>
    <row r="1281" spans="2:5" x14ac:dyDescent="0.25">
      <c r="B1281" t="s">
        <v>6</v>
      </c>
      <c r="C1281" s="1">
        <v>41699</v>
      </c>
      <c r="D1281">
        <v>470195699.30000001</v>
      </c>
      <c r="E1281">
        <v>8</v>
      </c>
    </row>
    <row r="1282" spans="2:5" x14ac:dyDescent="0.25">
      <c r="B1282" t="s">
        <v>32</v>
      </c>
      <c r="C1282" s="1">
        <v>41699</v>
      </c>
      <c r="D1282">
        <v>408580255.77999997</v>
      </c>
      <c r="E1282">
        <v>9</v>
      </c>
    </row>
    <row r="1283" spans="2:5" x14ac:dyDescent="0.25">
      <c r="B1283" t="s">
        <v>5</v>
      </c>
      <c r="C1283" s="1">
        <v>41699</v>
      </c>
      <c r="D1283">
        <v>286171469.83999997</v>
      </c>
      <c r="E1283">
        <v>10</v>
      </c>
    </row>
    <row r="1284" spans="2:5" x14ac:dyDescent="0.25">
      <c r="B1284" t="s">
        <v>13</v>
      </c>
      <c r="C1284" s="1">
        <v>41730</v>
      </c>
      <c r="D1284">
        <v>2723269728.27</v>
      </c>
      <c r="E1284">
        <v>1</v>
      </c>
    </row>
    <row r="1285" spans="2:5" x14ac:dyDescent="0.25">
      <c r="B1285" t="s">
        <v>69</v>
      </c>
      <c r="C1285" s="1">
        <v>41730</v>
      </c>
      <c r="D1285">
        <v>1569133883.05</v>
      </c>
      <c r="E1285">
        <v>2</v>
      </c>
    </row>
    <row r="1286" spans="2:5" x14ac:dyDescent="0.25">
      <c r="B1286" t="s">
        <v>16</v>
      </c>
      <c r="C1286" s="1">
        <v>41730</v>
      </c>
      <c r="D1286">
        <v>1372169527.04</v>
      </c>
      <c r="E1286">
        <v>3</v>
      </c>
    </row>
    <row r="1287" spans="2:5" x14ac:dyDescent="0.25">
      <c r="B1287" t="s">
        <v>77</v>
      </c>
      <c r="C1287" s="1">
        <v>41730</v>
      </c>
      <c r="D1287">
        <v>909424536.85000002</v>
      </c>
      <c r="E1287">
        <v>4</v>
      </c>
    </row>
    <row r="1288" spans="2:5" x14ac:dyDescent="0.25">
      <c r="B1288" t="s">
        <v>78</v>
      </c>
      <c r="C1288" s="1">
        <v>41730</v>
      </c>
      <c r="D1288">
        <v>906645531.15999997</v>
      </c>
      <c r="E1288">
        <v>5</v>
      </c>
    </row>
    <row r="1289" spans="2:5" x14ac:dyDescent="0.25">
      <c r="B1289" t="s">
        <v>12</v>
      </c>
      <c r="C1289" s="1">
        <v>41730</v>
      </c>
      <c r="D1289">
        <v>534078279.32999998</v>
      </c>
      <c r="E1289">
        <v>6</v>
      </c>
    </row>
    <row r="1290" spans="2:5" x14ac:dyDescent="0.25">
      <c r="B1290" t="s">
        <v>4</v>
      </c>
      <c r="C1290" s="1">
        <v>41730</v>
      </c>
      <c r="D1290">
        <v>518057060.72000003</v>
      </c>
      <c r="E1290">
        <v>7</v>
      </c>
    </row>
    <row r="1291" spans="2:5" x14ac:dyDescent="0.25">
      <c r="B1291" t="s">
        <v>32</v>
      </c>
      <c r="C1291" s="1">
        <v>41730</v>
      </c>
      <c r="D1291">
        <v>317565010.06999999</v>
      </c>
      <c r="E1291">
        <v>8</v>
      </c>
    </row>
    <row r="1292" spans="2:5" x14ac:dyDescent="0.25">
      <c r="B1292" t="s">
        <v>75</v>
      </c>
      <c r="C1292" s="1">
        <v>41730</v>
      </c>
      <c r="D1292">
        <v>312613978.33999997</v>
      </c>
      <c r="E1292">
        <v>9</v>
      </c>
    </row>
    <row r="1293" spans="2:5" x14ac:dyDescent="0.25">
      <c r="B1293" t="s">
        <v>6</v>
      </c>
      <c r="C1293" s="1">
        <v>41730</v>
      </c>
      <c r="D1293">
        <v>282873582</v>
      </c>
      <c r="E1293">
        <v>10</v>
      </c>
    </row>
    <row r="1294" spans="2:5" x14ac:dyDescent="0.25">
      <c r="B1294" t="s">
        <v>13</v>
      </c>
      <c r="C1294" s="1">
        <v>41760</v>
      </c>
      <c r="D1294">
        <v>3201052079.1599998</v>
      </c>
      <c r="E1294">
        <v>1</v>
      </c>
    </row>
    <row r="1295" spans="2:5" x14ac:dyDescent="0.25">
      <c r="B1295" t="s">
        <v>16</v>
      </c>
      <c r="C1295" s="1">
        <v>41760</v>
      </c>
      <c r="D1295">
        <v>2401374616.25</v>
      </c>
      <c r="E1295">
        <v>2</v>
      </c>
    </row>
    <row r="1296" spans="2:5" x14ac:dyDescent="0.25">
      <c r="B1296" t="s">
        <v>69</v>
      </c>
      <c r="C1296" s="1">
        <v>41760</v>
      </c>
      <c r="D1296">
        <v>1572084510.04</v>
      </c>
      <c r="E1296">
        <v>3</v>
      </c>
    </row>
    <row r="1297" spans="2:5" x14ac:dyDescent="0.25">
      <c r="B1297" t="s">
        <v>78</v>
      </c>
      <c r="C1297" s="1">
        <v>41760</v>
      </c>
      <c r="D1297">
        <v>866292694.84000003</v>
      </c>
      <c r="E1297">
        <v>4</v>
      </c>
    </row>
    <row r="1298" spans="2:5" x14ac:dyDescent="0.25">
      <c r="B1298" t="s">
        <v>12</v>
      </c>
      <c r="C1298" s="1">
        <v>41760</v>
      </c>
      <c r="D1298">
        <v>834730668.64999998</v>
      </c>
      <c r="E1298">
        <v>5</v>
      </c>
    </row>
    <row r="1299" spans="2:5" x14ac:dyDescent="0.25">
      <c r="B1299" t="s">
        <v>77</v>
      </c>
      <c r="C1299" s="1">
        <v>41760</v>
      </c>
      <c r="D1299">
        <v>828909798.36000001</v>
      </c>
      <c r="E1299">
        <v>6</v>
      </c>
    </row>
    <row r="1300" spans="2:5" x14ac:dyDescent="0.25">
      <c r="B1300" t="s">
        <v>4</v>
      </c>
      <c r="C1300" s="1">
        <v>41760</v>
      </c>
      <c r="D1300">
        <v>626546587.73000002</v>
      </c>
      <c r="E1300">
        <v>7</v>
      </c>
    </row>
    <row r="1301" spans="2:5" x14ac:dyDescent="0.25">
      <c r="B1301" t="s">
        <v>32</v>
      </c>
      <c r="C1301" s="1">
        <v>41760</v>
      </c>
      <c r="D1301">
        <v>468001431.88999999</v>
      </c>
      <c r="E1301">
        <v>8</v>
      </c>
    </row>
    <row r="1302" spans="2:5" x14ac:dyDescent="0.25">
      <c r="B1302" t="s">
        <v>79</v>
      </c>
      <c r="C1302" s="1">
        <v>41760</v>
      </c>
      <c r="D1302">
        <v>443325185.75999999</v>
      </c>
      <c r="E1302">
        <v>9</v>
      </c>
    </row>
    <row r="1303" spans="2:5" x14ac:dyDescent="0.25">
      <c r="B1303" t="s">
        <v>6</v>
      </c>
      <c r="C1303" s="1">
        <v>41760</v>
      </c>
      <c r="D1303">
        <v>415703618.36000001</v>
      </c>
      <c r="E1303">
        <v>10</v>
      </c>
    </row>
    <row r="1304" spans="2:5" x14ac:dyDescent="0.25">
      <c r="B1304" t="s">
        <v>13</v>
      </c>
      <c r="C1304" s="1">
        <v>41791</v>
      </c>
      <c r="D1304">
        <v>3493812279.3000002</v>
      </c>
      <c r="E1304">
        <v>1</v>
      </c>
    </row>
    <row r="1305" spans="2:5" x14ac:dyDescent="0.25">
      <c r="B1305" t="s">
        <v>69</v>
      </c>
      <c r="C1305" s="1">
        <v>41791</v>
      </c>
      <c r="D1305">
        <v>1523092086.4300001</v>
      </c>
      <c r="E1305">
        <v>2</v>
      </c>
    </row>
    <row r="1306" spans="2:5" x14ac:dyDescent="0.25">
      <c r="B1306" t="s">
        <v>78</v>
      </c>
      <c r="C1306" s="1">
        <v>41791</v>
      </c>
      <c r="D1306">
        <v>897813612.57000005</v>
      </c>
      <c r="E1306">
        <v>3</v>
      </c>
    </row>
    <row r="1307" spans="2:5" x14ac:dyDescent="0.25">
      <c r="B1307" t="s">
        <v>12</v>
      </c>
      <c r="C1307" s="1">
        <v>41791</v>
      </c>
      <c r="D1307">
        <v>682300544.83000004</v>
      </c>
      <c r="E1307">
        <v>4</v>
      </c>
    </row>
    <row r="1308" spans="2:5" x14ac:dyDescent="0.25">
      <c r="B1308" t="s">
        <v>4</v>
      </c>
      <c r="C1308" s="1">
        <v>41791</v>
      </c>
      <c r="D1308">
        <v>679855405.29999995</v>
      </c>
      <c r="E1308">
        <v>5</v>
      </c>
    </row>
    <row r="1309" spans="2:5" x14ac:dyDescent="0.25">
      <c r="B1309" t="s">
        <v>16</v>
      </c>
      <c r="C1309" s="1">
        <v>41791</v>
      </c>
      <c r="D1309">
        <v>675024826.10000002</v>
      </c>
      <c r="E1309">
        <v>6</v>
      </c>
    </row>
    <row r="1310" spans="2:5" x14ac:dyDescent="0.25">
      <c r="B1310" t="s">
        <v>77</v>
      </c>
      <c r="C1310" s="1">
        <v>41791</v>
      </c>
      <c r="D1310">
        <v>568052778.69000006</v>
      </c>
      <c r="E1310">
        <v>7</v>
      </c>
    </row>
    <row r="1311" spans="2:5" x14ac:dyDescent="0.25">
      <c r="B1311" t="s">
        <v>79</v>
      </c>
      <c r="C1311" s="1">
        <v>41791</v>
      </c>
      <c r="D1311">
        <v>536538819.19999999</v>
      </c>
      <c r="E1311">
        <v>8</v>
      </c>
    </row>
    <row r="1312" spans="2:5" x14ac:dyDescent="0.25">
      <c r="B1312" t="s">
        <v>32</v>
      </c>
      <c r="C1312" s="1">
        <v>41791</v>
      </c>
      <c r="D1312">
        <v>523383504.5</v>
      </c>
      <c r="E1312">
        <v>9</v>
      </c>
    </row>
    <row r="1313" spans="2:5" x14ac:dyDescent="0.25">
      <c r="B1313" t="s">
        <v>73</v>
      </c>
      <c r="C1313" s="1">
        <v>41791</v>
      </c>
      <c r="D1313">
        <v>521174007.47000003</v>
      </c>
      <c r="E1313">
        <v>10</v>
      </c>
    </row>
    <row r="1314" spans="2:5" x14ac:dyDescent="0.25">
      <c r="B1314" t="s">
        <v>13</v>
      </c>
      <c r="C1314" s="1">
        <v>41821</v>
      </c>
      <c r="D1314">
        <v>3922236463.21</v>
      </c>
      <c r="E1314">
        <v>1</v>
      </c>
    </row>
    <row r="1315" spans="2:5" x14ac:dyDescent="0.25">
      <c r="B1315" t="s">
        <v>69</v>
      </c>
      <c r="C1315" s="1">
        <v>41821</v>
      </c>
      <c r="D1315">
        <v>1815521830.9200001</v>
      </c>
      <c r="E1315">
        <v>2</v>
      </c>
    </row>
    <row r="1316" spans="2:5" x14ac:dyDescent="0.25">
      <c r="B1316" t="s">
        <v>16</v>
      </c>
      <c r="C1316" s="1">
        <v>41821</v>
      </c>
      <c r="D1316">
        <v>1578614288.8800001</v>
      </c>
      <c r="E1316">
        <v>3</v>
      </c>
    </row>
    <row r="1317" spans="2:5" x14ac:dyDescent="0.25">
      <c r="B1317" t="s">
        <v>78</v>
      </c>
      <c r="C1317" s="1">
        <v>41821</v>
      </c>
      <c r="D1317">
        <v>1286875630.3800001</v>
      </c>
      <c r="E1317">
        <v>4</v>
      </c>
    </row>
    <row r="1318" spans="2:5" x14ac:dyDescent="0.25">
      <c r="B1318" t="s">
        <v>12</v>
      </c>
      <c r="C1318" s="1">
        <v>41821</v>
      </c>
      <c r="D1318">
        <v>865608919</v>
      </c>
      <c r="E1318">
        <v>5</v>
      </c>
    </row>
    <row r="1319" spans="2:5" x14ac:dyDescent="0.25">
      <c r="B1319" t="s">
        <v>77</v>
      </c>
      <c r="C1319" s="1">
        <v>41821</v>
      </c>
      <c r="D1319">
        <v>732897324.17999995</v>
      </c>
      <c r="E1319">
        <v>6</v>
      </c>
    </row>
    <row r="1320" spans="2:5" x14ac:dyDescent="0.25">
      <c r="B1320" t="s">
        <v>4</v>
      </c>
      <c r="C1320" s="1">
        <v>41821</v>
      </c>
      <c r="D1320">
        <v>613072165.80999994</v>
      </c>
      <c r="E1320">
        <v>7</v>
      </c>
    </row>
    <row r="1321" spans="2:5" x14ac:dyDescent="0.25">
      <c r="B1321" t="s">
        <v>32</v>
      </c>
      <c r="C1321" s="1">
        <v>41821</v>
      </c>
      <c r="D1321">
        <v>594661694.71000004</v>
      </c>
      <c r="E1321">
        <v>8</v>
      </c>
    </row>
    <row r="1322" spans="2:5" x14ac:dyDescent="0.25">
      <c r="B1322" t="s">
        <v>79</v>
      </c>
      <c r="C1322" s="1">
        <v>41821</v>
      </c>
      <c r="D1322">
        <v>471094129.24000001</v>
      </c>
      <c r="E1322">
        <v>9</v>
      </c>
    </row>
    <row r="1323" spans="2:5" x14ac:dyDescent="0.25">
      <c r="B1323" t="s">
        <v>75</v>
      </c>
      <c r="C1323" s="1">
        <v>41821</v>
      </c>
      <c r="D1323">
        <v>379516474.86000001</v>
      </c>
      <c r="E1323">
        <v>10</v>
      </c>
    </row>
    <row r="1324" spans="2:5" x14ac:dyDescent="0.25">
      <c r="B1324" t="s">
        <v>13</v>
      </c>
      <c r="C1324" s="1">
        <v>41852</v>
      </c>
      <c r="D1324">
        <v>4211266060.8699999</v>
      </c>
      <c r="E1324">
        <v>1</v>
      </c>
    </row>
    <row r="1325" spans="2:5" x14ac:dyDescent="0.25">
      <c r="B1325" t="s">
        <v>69</v>
      </c>
      <c r="C1325" s="1">
        <v>41852</v>
      </c>
      <c r="D1325">
        <v>2299190742.25</v>
      </c>
      <c r="E1325">
        <v>2</v>
      </c>
    </row>
    <row r="1326" spans="2:5" x14ac:dyDescent="0.25">
      <c r="B1326" t="s">
        <v>78</v>
      </c>
      <c r="C1326" s="1">
        <v>41852</v>
      </c>
      <c r="D1326">
        <v>1444694113.3900001</v>
      </c>
      <c r="E1326">
        <v>3</v>
      </c>
    </row>
    <row r="1327" spans="2:5" x14ac:dyDescent="0.25">
      <c r="B1327" t="s">
        <v>16</v>
      </c>
      <c r="C1327" s="1">
        <v>41852</v>
      </c>
      <c r="D1327">
        <v>1256009451.99</v>
      </c>
      <c r="E1327">
        <v>4</v>
      </c>
    </row>
    <row r="1328" spans="2:5" x14ac:dyDescent="0.25">
      <c r="B1328" t="s">
        <v>32</v>
      </c>
      <c r="C1328" s="1">
        <v>41852</v>
      </c>
      <c r="D1328">
        <v>819739915.15999997</v>
      </c>
      <c r="E1328">
        <v>5</v>
      </c>
    </row>
    <row r="1329" spans="2:5" x14ac:dyDescent="0.25">
      <c r="B1329" t="s">
        <v>57</v>
      </c>
      <c r="C1329" s="1">
        <v>41852</v>
      </c>
      <c r="D1329">
        <v>765661024.61000001</v>
      </c>
      <c r="E1329">
        <v>6</v>
      </c>
    </row>
    <row r="1330" spans="2:5" x14ac:dyDescent="0.25">
      <c r="B1330" t="s">
        <v>77</v>
      </c>
      <c r="C1330" s="1">
        <v>41852</v>
      </c>
      <c r="D1330">
        <v>764448274.14999998</v>
      </c>
      <c r="E1330">
        <v>7</v>
      </c>
    </row>
    <row r="1331" spans="2:5" x14ac:dyDescent="0.25">
      <c r="B1331" t="s">
        <v>12</v>
      </c>
      <c r="C1331" s="1">
        <v>41852</v>
      </c>
      <c r="D1331">
        <v>729902335.99000001</v>
      </c>
      <c r="E1331">
        <v>8</v>
      </c>
    </row>
    <row r="1332" spans="2:5" x14ac:dyDescent="0.25">
      <c r="B1332" t="s">
        <v>4</v>
      </c>
      <c r="C1332" s="1">
        <v>41852</v>
      </c>
      <c r="D1332">
        <v>576252299.98000002</v>
      </c>
      <c r="E1332">
        <v>9</v>
      </c>
    </row>
    <row r="1333" spans="2:5" x14ac:dyDescent="0.25">
      <c r="B1333" t="s">
        <v>75</v>
      </c>
      <c r="C1333" s="1">
        <v>41852</v>
      </c>
      <c r="D1333">
        <v>525952501.19</v>
      </c>
      <c r="E1333">
        <v>10</v>
      </c>
    </row>
    <row r="1334" spans="2:5" x14ac:dyDescent="0.25">
      <c r="B1334" t="s">
        <v>13</v>
      </c>
      <c r="C1334" s="1">
        <v>41883</v>
      </c>
      <c r="D1334">
        <v>4257244054.8600001</v>
      </c>
      <c r="E1334">
        <v>1</v>
      </c>
    </row>
    <row r="1335" spans="2:5" x14ac:dyDescent="0.25">
      <c r="B1335" t="s">
        <v>69</v>
      </c>
      <c r="C1335" s="1">
        <v>41883</v>
      </c>
      <c r="D1335">
        <v>2188451666.4499998</v>
      </c>
      <c r="E1335">
        <v>2</v>
      </c>
    </row>
    <row r="1336" spans="2:5" x14ac:dyDescent="0.25">
      <c r="B1336" t="s">
        <v>78</v>
      </c>
      <c r="C1336" s="1">
        <v>41883</v>
      </c>
      <c r="D1336">
        <v>1535693081.29</v>
      </c>
      <c r="E1336">
        <v>3</v>
      </c>
    </row>
    <row r="1337" spans="2:5" x14ac:dyDescent="0.25">
      <c r="B1337" t="s">
        <v>16</v>
      </c>
      <c r="C1337" s="1">
        <v>41883</v>
      </c>
      <c r="D1337">
        <v>1162108590.4200001</v>
      </c>
      <c r="E1337">
        <v>4</v>
      </c>
    </row>
    <row r="1338" spans="2:5" x14ac:dyDescent="0.25">
      <c r="B1338" t="s">
        <v>77</v>
      </c>
      <c r="C1338" s="1">
        <v>41883</v>
      </c>
      <c r="D1338">
        <v>877451695.02999997</v>
      </c>
      <c r="E1338">
        <v>5</v>
      </c>
    </row>
    <row r="1339" spans="2:5" x14ac:dyDescent="0.25">
      <c r="B1339" t="s">
        <v>12</v>
      </c>
      <c r="C1339" s="1">
        <v>41883</v>
      </c>
      <c r="D1339">
        <v>785999239.74000001</v>
      </c>
      <c r="E1339">
        <v>6</v>
      </c>
    </row>
    <row r="1340" spans="2:5" x14ac:dyDescent="0.25">
      <c r="B1340" t="s">
        <v>57</v>
      </c>
      <c r="C1340" s="1">
        <v>41883</v>
      </c>
      <c r="D1340">
        <v>742569431.09000003</v>
      </c>
      <c r="E1340">
        <v>7</v>
      </c>
    </row>
    <row r="1341" spans="2:5" x14ac:dyDescent="0.25">
      <c r="B1341" t="s">
        <v>4</v>
      </c>
      <c r="C1341" s="1">
        <v>41883</v>
      </c>
      <c r="D1341">
        <v>590371770.82000005</v>
      </c>
      <c r="E1341">
        <v>8</v>
      </c>
    </row>
    <row r="1342" spans="2:5" x14ac:dyDescent="0.25">
      <c r="B1342" t="s">
        <v>75</v>
      </c>
      <c r="C1342" s="1">
        <v>41883</v>
      </c>
      <c r="D1342">
        <v>460490700.62</v>
      </c>
      <c r="E1342">
        <v>9</v>
      </c>
    </row>
    <row r="1343" spans="2:5" x14ac:dyDescent="0.25">
      <c r="B1343" t="s">
        <v>79</v>
      </c>
      <c r="C1343" s="1">
        <v>41883</v>
      </c>
      <c r="D1343">
        <v>437971221.79000002</v>
      </c>
      <c r="E1343">
        <v>10</v>
      </c>
    </row>
    <row r="1344" spans="2:5" x14ac:dyDescent="0.25">
      <c r="B1344" t="s">
        <v>13</v>
      </c>
      <c r="C1344" s="1">
        <v>41913</v>
      </c>
      <c r="D1344">
        <v>3899112245.7399998</v>
      </c>
      <c r="E1344">
        <v>1</v>
      </c>
    </row>
    <row r="1345" spans="2:5" x14ac:dyDescent="0.25">
      <c r="B1345" t="s">
        <v>6</v>
      </c>
      <c r="C1345" s="1">
        <v>41913</v>
      </c>
      <c r="D1345">
        <v>3552132855.6300001</v>
      </c>
      <c r="E1345">
        <v>2</v>
      </c>
    </row>
    <row r="1346" spans="2:5" x14ac:dyDescent="0.25">
      <c r="B1346" t="s">
        <v>57</v>
      </c>
      <c r="C1346" s="1">
        <v>41913</v>
      </c>
      <c r="D1346">
        <v>2783280665.23</v>
      </c>
      <c r="E1346">
        <v>3</v>
      </c>
    </row>
    <row r="1347" spans="2:5" x14ac:dyDescent="0.25">
      <c r="B1347" t="s">
        <v>69</v>
      </c>
      <c r="C1347" s="1">
        <v>41913</v>
      </c>
      <c r="D1347">
        <v>2389791457.5599999</v>
      </c>
      <c r="E1347">
        <v>4</v>
      </c>
    </row>
    <row r="1348" spans="2:5" x14ac:dyDescent="0.25">
      <c r="B1348" t="s">
        <v>16</v>
      </c>
      <c r="C1348" s="1">
        <v>41913</v>
      </c>
      <c r="D1348">
        <v>2086427445.23</v>
      </c>
      <c r="E1348">
        <v>5</v>
      </c>
    </row>
    <row r="1349" spans="2:5" x14ac:dyDescent="0.25">
      <c r="B1349" t="s">
        <v>78</v>
      </c>
      <c r="C1349" s="1">
        <v>41913</v>
      </c>
      <c r="D1349">
        <v>1535983379.74</v>
      </c>
      <c r="E1349">
        <v>6</v>
      </c>
    </row>
    <row r="1350" spans="2:5" x14ac:dyDescent="0.25">
      <c r="B1350" t="s">
        <v>77</v>
      </c>
      <c r="C1350" s="1">
        <v>41913</v>
      </c>
      <c r="D1350">
        <v>1085804754.1199999</v>
      </c>
      <c r="E1350">
        <v>7</v>
      </c>
    </row>
    <row r="1351" spans="2:5" x14ac:dyDescent="0.25">
      <c r="B1351" t="s">
        <v>12</v>
      </c>
      <c r="C1351" s="1">
        <v>41913</v>
      </c>
      <c r="D1351">
        <v>870888081.38999999</v>
      </c>
      <c r="E1351">
        <v>8</v>
      </c>
    </row>
    <row r="1352" spans="2:5" x14ac:dyDescent="0.25">
      <c r="B1352" t="s">
        <v>32</v>
      </c>
      <c r="C1352" s="1">
        <v>41913</v>
      </c>
      <c r="D1352">
        <v>611874691.96000004</v>
      </c>
      <c r="E1352">
        <v>9</v>
      </c>
    </row>
    <row r="1353" spans="2:5" x14ac:dyDescent="0.25">
      <c r="B1353" t="s">
        <v>4</v>
      </c>
      <c r="C1353" s="1">
        <v>41913</v>
      </c>
      <c r="D1353">
        <v>550167101.55999994</v>
      </c>
      <c r="E1353">
        <v>10</v>
      </c>
    </row>
    <row r="1354" spans="2:5" x14ac:dyDescent="0.25">
      <c r="B1354" t="s">
        <v>13</v>
      </c>
      <c r="C1354" s="1">
        <v>41944</v>
      </c>
      <c r="D1354">
        <v>3926294145.04</v>
      </c>
      <c r="E1354">
        <v>1</v>
      </c>
    </row>
    <row r="1355" spans="2:5" x14ac:dyDescent="0.25">
      <c r="B1355" t="s">
        <v>16</v>
      </c>
      <c r="C1355" s="1">
        <v>41944</v>
      </c>
      <c r="D1355">
        <v>2838560140.8800001</v>
      </c>
      <c r="E1355">
        <v>2</v>
      </c>
    </row>
    <row r="1356" spans="2:5" x14ac:dyDescent="0.25">
      <c r="B1356" t="s">
        <v>69</v>
      </c>
      <c r="C1356" s="1">
        <v>41944</v>
      </c>
      <c r="D1356">
        <v>2036061242.9100001</v>
      </c>
      <c r="E1356">
        <v>3</v>
      </c>
    </row>
    <row r="1357" spans="2:5" x14ac:dyDescent="0.25">
      <c r="B1357" t="s">
        <v>78</v>
      </c>
      <c r="C1357" s="1">
        <v>41944</v>
      </c>
      <c r="D1357">
        <v>1531899596.8499999</v>
      </c>
      <c r="E1357">
        <v>4</v>
      </c>
    </row>
    <row r="1358" spans="2:5" x14ac:dyDescent="0.25">
      <c r="B1358" t="s">
        <v>57</v>
      </c>
      <c r="C1358" s="1">
        <v>41944</v>
      </c>
      <c r="D1358">
        <v>912965328.49000001</v>
      </c>
      <c r="E1358">
        <v>5</v>
      </c>
    </row>
    <row r="1359" spans="2:5" x14ac:dyDescent="0.25">
      <c r="B1359" t="s">
        <v>12</v>
      </c>
      <c r="C1359" s="1">
        <v>41944</v>
      </c>
      <c r="D1359">
        <v>878388058.72000003</v>
      </c>
      <c r="E1359">
        <v>6</v>
      </c>
    </row>
    <row r="1360" spans="2:5" x14ac:dyDescent="0.25">
      <c r="B1360" t="s">
        <v>77</v>
      </c>
      <c r="C1360" s="1">
        <v>41944</v>
      </c>
      <c r="D1360">
        <v>834463365.48000002</v>
      </c>
      <c r="E1360">
        <v>7</v>
      </c>
    </row>
    <row r="1361" spans="2:5" x14ac:dyDescent="0.25">
      <c r="B1361" t="s">
        <v>32</v>
      </c>
      <c r="C1361" s="1">
        <v>41944</v>
      </c>
      <c r="D1361">
        <v>662813498.03999996</v>
      </c>
      <c r="E1361">
        <v>8</v>
      </c>
    </row>
    <row r="1362" spans="2:5" x14ac:dyDescent="0.25">
      <c r="B1362" t="s">
        <v>4</v>
      </c>
      <c r="C1362" s="1">
        <v>41944</v>
      </c>
      <c r="D1362">
        <v>595276050.34000003</v>
      </c>
      <c r="E1362">
        <v>9</v>
      </c>
    </row>
    <row r="1363" spans="2:5" x14ac:dyDescent="0.25">
      <c r="B1363" t="s">
        <v>75</v>
      </c>
      <c r="C1363" s="1">
        <v>41944</v>
      </c>
      <c r="D1363">
        <v>500204248.58999997</v>
      </c>
      <c r="E1363">
        <v>10</v>
      </c>
    </row>
    <row r="1364" spans="2:5" x14ac:dyDescent="0.25">
      <c r="B1364" t="s">
        <v>6</v>
      </c>
      <c r="C1364" s="1">
        <v>41974</v>
      </c>
      <c r="D1364">
        <v>4060384889.1599998</v>
      </c>
      <c r="E1364">
        <v>1</v>
      </c>
    </row>
    <row r="1365" spans="2:5" x14ac:dyDescent="0.25">
      <c r="B1365" t="s">
        <v>13</v>
      </c>
      <c r="C1365" s="1">
        <v>41974</v>
      </c>
      <c r="D1365">
        <v>3731231905.7600002</v>
      </c>
      <c r="E1365">
        <v>2</v>
      </c>
    </row>
    <row r="1366" spans="2:5" x14ac:dyDescent="0.25">
      <c r="B1366" t="s">
        <v>16</v>
      </c>
      <c r="C1366" s="1">
        <v>41974</v>
      </c>
      <c r="D1366">
        <v>3000151952.8899999</v>
      </c>
      <c r="E1366">
        <v>3</v>
      </c>
    </row>
    <row r="1367" spans="2:5" x14ac:dyDescent="0.25">
      <c r="B1367" t="s">
        <v>69</v>
      </c>
      <c r="C1367" s="1">
        <v>41974</v>
      </c>
      <c r="D1367">
        <v>2764147676.1700001</v>
      </c>
      <c r="E1367">
        <v>4</v>
      </c>
    </row>
    <row r="1368" spans="2:5" x14ac:dyDescent="0.25">
      <c r="B1368" t="s">
        <v>78</v>
      </c>
      <c r="C1368" s="1">
        <v>41974</v>
      </c>
      <c r="D1368">
        <v>1389426710.6099999</v>
      </c>
      <c r="E1368">
        <v>5</v>
      </c>
    </row>
    <row r="1369" spans="2:5" x14ac:dyDescent="0.25">
      <c r="B1369" t="s">
        <v>77</v>
      </c>
      <c r="C1369" s="1">
        <v>41974</v>
      </c>
      <c r="D1369">
        <v>805943904.73000002</v>
      </c>
      <c r="E1369">
        <v>6</v>
      </c>
    </row>
    <row r="1370" spans="2:5" x14ac:dyDescent="0.25">
      <c r="B1370" t="s">
        <v>57</v>
      </c>
      <c r="C1370" s="1">
        <v>41974</v>
      </c>
      <c r="D1370">
        <v>770850866.33000004</v>
      </c>
      <c r="E1370">
        <v>7</v>
      </c>
    </row>
    <row r="1371" spans="2:5" x14ac:dyDescent="0.25">
      <c r="B1371" t="s">
        <v>12</v>
      </c>
      <c r="C1371" s="1">
        <v>41974</v>
      </c>
      <c r="D1371">
        <v>717407310.95000005</v>
      </c>
      <c r="E1371">
        <v>8</v>
      </c>
    </row>
    <row r="1372" spans="2:5" x14ac:dyDescent="0.25">
      <c r="B1372" t="s">
        <v>79</v>
      </c>
      <c r="C1372" s="1">
        <v>41974</v>
      </c>
      <c r="D1372">
        <v>710666768.27999997</v>
      </c>
      <c r="E1372">
        <v>9</v>
      </c>
    </row>
    <row r="1373" spans="2:5" x14ac:dyDescent="0.25">
      <c r="B1373" t="s">
        <v>4</v>
      </c>
      <c r="C1373" s="1">
        <v>41974</v>
      </c>
      <c r="D1373">
        <v>575224844.82000005</v>
      </c>
      <c r="E1373">
        <v>10</v>
      </c>
    </row>
    <row r="1374" spans="2:5" x14ac:dyDescent="0.25">
      <c r="B1374" t="s">
        <v>13</v>
      </c>
      <c r="C1374" s="1">
        <v>42005</v>
      </c>
      <c r="D1374">
        <v>3507360281.3800001</v>
      </c>
      <c r="E1374">
        <v>1</v>
      </c>
    </row>
    <row r="1375" spans="2:5" x14ac:dyDescent="0.25">
      <c r="B1375" t="s">
        <v>4</v>
      </c>
      <c r="C1375" s="1">
        <v>42005</v>
      </c>
      <c r="D1375">
        <v>2887876961.9000001</v>
      </c>
      <c r="E1375">
        <v>2</v>
      </c>
    </row>
    <row r="1376" spans="2:5" x14ac:dyDescent="0.25">
      <c r="B1376" t="s">
        <v>69</v>
      </c>
      <c r="C1376" s="1">
        <v>42005</v>
      </c>
      <c r="D1376">
        <v>2059485374.03</v>
      </c>
      <c r="E1376">
        <v>3</v>
      </c>
    </row>
    <row r="1377" spans="2:5" x14ac:dyDescent="0.25">
      <c r="B1377" t="s">
        <v>12</v>
      </c>
      <c r="C1377" s="1">
        <v>42005</v>
      </c>
      <c r="D1377">
        <v>1104439089.96</v>
      </c>
      <c r="E1377">
        <v>4</v>
      </c>
    </row>
    <row r="1378" spans="2:5" x14ac:dyDescent="0.25">
      <c r="B1378" t="s">
        <v>78</v>
      </c>
      <c r="C1378" s="1">
        <v>42005</v>
      </c>
      <c r="D1378">
        <v>1073416945.2</v>
      </c>
      <c r="E1378">
        <v>5</v>
      </c>
    </row>
    <row r="1379" spans="2:5" x14ac:dyDescent="0.25">
      <c r="B1379" t="s">
        <v>16</v>
      </c>
      <c r="C1379" s="1">
        <v>42005</v>
      </c>
      <c r="D1379">
        <v>943487241.74000001</v>
      </c>
      <c r="E1379">
        <v>6</v>
      </c>
    </row>
    <row r="1380" spans="2:5" x14ac:dyDescent="0.25">
      <c r="B1380" t="s">
        <v>77</v>
      </c>
      <c r="C1380" s="1">
        <v>42005</v>
      </c>
      <c r="D1380">
        <v>758991275.28999996</v>
      </c>
      <c r="E1380">
        <v>7</v>
      </c>
    </row>
    <row r="1381" spans="2:5" x14ac:dyDescent="0.25">
      <c r="B1381" t="s">
        <v>79</v>
      </c>
      <c r="C1381" s="1">
        <v>42005</v>
      </c>
      <c r="D1381">
        <v>657873548.25</v>
      </c>
      <c r="E1381">
        <v>8</v>
      </c>
    </row>
    <row r="1382" spans="2:5" x14ac:dyDescent="0.25">
      <c r="B1382" t="s">
        <v>57</v>
      </c>
      <c r="C1382" s="1">
        <v>42005</v>
      </c>
      <c r="D1382">
        <v>645169719.35000002</v>
      </c>
      <c r="E1382">
        <v>9</v>
      </c>
    </row>
    <row r="1383" spans="2:5" x14ac:dyDescent="0.25">
      <c r="B1383" t="s">
        <v>32</v>
      </c>
      <c r="C1383" s="1">
        <v>42005</v>
      </c>
      <c r="D1383">
        <v>597778539.26999998</v>
      </c>
      <c r="E1383">
        <v>10</v>
      </c>
    </row>
    <row r="1384" spans="2:5" x14ac:dyDescent="0.25">
      <c r="B1384" t="s">
        <v>13</v>
      </c>
      <c r="C1384" s="1">
        <v>42036</v>
      </c>
      <c r="D1384">
        <v>5302574418.9099998</v>
      </c>
      <c r="E1384">
        <v>1</v>
      </c>
    </row>
    <row r="1385" spans="2:5" x14ac:dyDescent="0.25">
      <c r="B1385" t="s">
        <v>69</v>
      </c>
      <c r="C1385" s="1">
        <v>42036</v>
      </c>
      <c r="D1385">
        <v>3177985156.9499998</v>
      </c>
      <c r="E1385">
        <v>2</v>
      </c>
    </row>
    <row r="1386" spans="2:5" x14ac:dyDescent="0.25">
      <c r="B1386" t="s">
        <v>16</v>
      </c>
      <c r="C1386" s="1">
        <v>42036</v>
      </c>
      <c r="D1386">
        <v>1841848287.3900001</v>
      </c>
      <c r="E1386">
        <v>3</v>
      </c>
    </row>
    <row r="1387" spans="2:5" x14ac:dyDescent="0.25">
      <c r="B1387" t="s">
        <v>78</v>
      </c>
      <c r="C1387" s="1">
        <v>42036</v>
      </c>
      <c r="D1387">
        <v>1234949707.1900001</v>
      </c>
      <c r="E1387">
        <v>4</v>
      </c>
    </row>
    <row r="1388" spans="2:5" x14ac:dyDescent="0.25">
      <c r="B1388" t="s">
        <v>79</v>
      </c>
      <c r="C1388" s="1">
        <v>42036</v>
      </c>
      <c r="D1388">
        <v>967269135.14999998</v>
      </c>
      <c r="E1388">
        <v>5</v>
      </c>
    </row>
    <row r="1389" spans="2:5" x14ac:dyDescent="0.25">
      <c r="B1389" t="s">
        <v>12</v>
      </c>
      <c r="C1389" s="1">
        <v>42036</v>
      </c>
      <c r="D1389">
        <v>926692781.25</v>
      </c>
      <c r="E1389">
        <v>6</v>
      </c>
    </row>
    <row r="1390" spans="2:5" x14ac:dyDescent="0.25">
      <c r="B1390" t="s">
        <v>57</v>
      </c>
      <c r="C1390" s="1">
        <v>42036</v>
      </c>
      <c r="D1390">
        <v>814842832.97000003</v>
      </c>
      <c r="E1390">
        <v>7</v>
      </c>
    </row>
    <row r="1391" spans="2:5" x14ac:dyDescent="0.25">
      <c r="B1391" t="s">
        <v>4</v>
      </c>
      <c r="C1391" s="1">
        <v>42036</v>
      </c>
      <c r="D1391">
        <v>558788700.02999997</v>
      </c>
      <c r="E1391">
        <v>8</v>
      </c>
    </row>
    <row r="1392" spans="2:5" x14ac:dyDescent="0.25">
      <c r="B1392" t="s">
        <v>77</v>
      </c>
      <c r="C1392" s="1">
        <v>42036</v>
      </c>
      <c r="D1392">
        <v>556166429.88999999</v>
      </c>
      <c r="E1392">
        <v>9</v>
      </c>
    </row>
    <row r="1393" spans="2:5" x14ac:dyDescent="0.25">
      <c r="B1393" t="s">
        <v>32</v>
      </c>
      <c r="C1393" s="1">
        <v>42036</v>
      </c>
      <c r="D1393">
        <v>515177267.69999999</v>
      </c>
      <c r="E1393">
        <v>10</v>
      </c>
    </row>
    <row r="1394" spans="2:5" x14ac:dyDescent="0.25">
      <c r="B1394" t="s">
        <v>13</v>
      </c>
      <c r="C1394" s="1">
        <v>42064</v>
      </c>
      <c r="D1394">
        <v>4795370179.5500002</v>
      </c>
      <c r="E1394">
        <v>1</v>
      </c>
    </row>
    <row r="1395" spans="2:5" x14ac:dyDescent="0.25">
      <c r="B1395" t="s">
        <v>69</v>
      </c>
      <c r="C1395" s="1">
        <v>42064</v>
      </c>
      <c r="D1395">
        <v>2385777676.1799998</v>
      </c>
      <c r="E1395">
        <v>2</v>
      </c>
    </row>
    <row r="1396" spans="2:5" x14ac:dyDescent="0.25">
      <c r="B1396" t="s">
        <v>16</v>
      </c>
      <c r="C1396" s="1">
        <v>42064</v>
      </c>
      <c r="D1396">
        <v>1744880169.5999999</v>
      </c>
      <c r="E1396">
        <v>3</v>
      </c>
    </row>
    <row r="1397" spans="2:5" x14ac:dyDescent="0.25">
      <c r="B1397" t="s">
        <v>78</v>
      </c>
      <c r="C1397" s="1">
        <v>42064</v>
      </c>
      <c r="D1397">
        <v>1093287336.01</v>
      </c>
      <c r="E1397">
        <v>4</v>
      </c>
    </row>
    <row r="1398" spans="2:5" x14ac:dyDescent="0.25">
      <c r="B1398" t="s">
        <v>12</v>
      </c>
      <c r="C1398" s="1">
        <v>42064</v>
      </c>
      <c r="D1398">
        <v>970138744.33000004</v>
      </c>
      <c r="E1398">
        <v>5</v>
      </c>
    </row>
    <row r="1399" spans="2:5" x14ac:dyDescent="0.25">
      <c r="B1399" t="s">
        <v>57</v>
      </c>
      <c r="C1399" s="1">
        <v>42064</v>
      </c>
      <c r="D1399">
        <v>839249502.65999997</v>
      </c>
      <c r="E1399">
        <v>6</v>
      </c>
    </row>
    <row r="1400" spans="2:5" x14ac:dyDescent="0.25">
      <c r="B1400" t="s">
        <v>77</v>
      </c>
      <c r="C1400" s="1">
        <v>42064</v>
      </c>
      <c r="D1400">
        <v>800403329.84000003</v>
      </c>
      <c r="E1400">
        <v>7</v>
      </c>
    </row>
    <row r="1401" spans="2:5" x14ac:dyDescent="0.25">
      <c r="B1401" t="s">
        <v>79</v>
      </c>
      <c r="C1401" s="1">
        <v>42064</v>
      </c>
      <c r="D1401">
        <v>646809552.53999996</v>
      </c>
      <c r="E1401">
        <v>8</v>
      </c>
    </row>
    <row r="1402" spans="2:5" x14ac:dyDescent="0.25">
      <c r="B1402" t="s">
        <v>32</v>
      </c>
      <c r="C1402" s="1">
        <v>42064</v>
      </c>
      <c r="D1402">
        <v>621440129.88</v>
      </c>
      <c r="E1402">
        <v>9</v>
      </c>
    </row>
    <row r="1403" spans="2:5" x14ac:dyDescent="0.25">
      <c r="B1403" t="s">
        <v>4</v>
      </c>
      <c r="C1403" s="1">
        <v>42064</v>
      </c>
      <c r="D1403">
        <v>480448874.94</v>
      </c>
      <c r="E1403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22"/>
  <sheetViews>
    <sheetView workbookViewId="0">
      <selection activeCell="K1" sqref="K1"/>
    </sheetView>
  </sheetViews>
  <sheetFormatPr defaultRowHeight="15" x14ac:dyDescent="0.25"/>
  <cols>
    <col min="3" max="3" width="13.140625" bestFit="1" customWidth="1"/>
    <col min="4" max="4" width="19.140625" bestFit="1" customWidth="1"/>
    <col min="7" max="7" width="13.140625" customWidth="1"/>
    <col min="8" max="8" width="19.140625" bestFit="1" customWidth="1"/>
    <col min="11" max="11" width="13.140625" customWidth="1"/>
    <col min="12" max="12" width="19.140625" customWidth="1"/>
  </cols>
  <sheetData>
    <row r="1" spans="3:12" x14ac:dyDescent="0.25">
      <c r="G1" s="2" t="s">
        <v>3</v>
      </c>
      <c r="H1" t="s">
        <v>87</v>
      </c>
      <c r="K1" s="2" t="s">
        <v>3</v>
      </c>
      <c r="L1" s="5">
        <v>1</v>
      </c>
    </row>
    <row r="2" spans="3:12" x14ac:dyDescent="0.25">
      <c r="C2" t="s">
        <v>86</v>
      </c>
      <c r="G2" t="s">
        <v>88</v>
      </c>
      <c r="K2" t="s">
        <v>89</v>
      </c>
    </row>
    <row r="3" spans="3:12" x14ac:dyDescent="0.25">
      <c r="C3" s="2" t="s">
        <v>82</v>
      </c>
      <c r="D3" t="s">
        <v>84</v>
      </c>
      <c r="G3" s="2" t="s">
        <v>82</v>
      </c>
      <c r="H3" t="s">
        <v>84</v>
      </c>
      <c r="K3" s="2" t="s">
        <v>82</v>
      </c>
      <c r="L3" t="s">
        <v>84</v>
      </c>
    </row>
    <row r="4" spans="3:12" x14ac:dyDescent="0.25">
      <c r="C4" s="3">
        <v>38504</v>
      </c>
      <c r="D4" s="4">
        <v>19413121.469999999</v>
      </c>
      <c r="G4" s="3">
        <v>38504</v>
      </c>
      <c r="H4" s="4">
        <v>17670874</v>
      </c>
      <c r="K4" s="3">
        <v>38504</v>
      </c>
      <c r="L4" s="4">
        <v>9487254</v>
      </c>
    </row>
    <row r="5" spans="3:12" x14ac:dyDescent="0.25">
      <c r="C5" s="3">
        <v>38534</v>
      </c>
      <c r="D5" s="4">
        <v>10883226</v>
      </c>
      <c r="G5" s="3">
        <v>38534</v>
      </c>
      <c r="H5" s="4">
        <v>8575678</v>
      </c>
      <c r="K5" s="3">
        <v>38534</v>
      </c>
      <c r="L5" s="4">
        <v>4500722</v>
      </c>
    </row>
    <row r="6" spans="3:12" x14ac:dyDescent="0.25">
      <c r="C6" s="3">
        <v>38565</v>
      </c>
      <c r="D6" s="4">
        <v>162355394.59</v>
      </c>
      <c r="G6" s="3">
        <v>38565</v>
      </c>
      <c r="H6" s="4">
        <v>156257079.12</v>
      </c>
      <c r="K6" s="3">
        <v>38565</v>
      </c>
      <c r="L6" s="4">
        <v>79158664</v>
      </c>
    </row>
    <row r="7" spans="3:12" x14ac:dyDescent="0.25">
      <c r="C7" s="3">
        <v>38596</v>
      </c>
      <c r="D7" s="4">
        <v>116005289</v>
      </c>
      <c r="G7" s="3">
        <v>38596</v>
      </c>
      <c r="H7" s="4">
        <v>106953756</v>
      </c>
      <c r="K7" s="3">
        <v>38596</v>
      </c>
      <c r="L7" s="4">
        <v>56552979</v>
      </c>
    </row>
    <row r="8" spans="3:12" x14ac:dyDescent="0.25">
      <c r="C8" s="3">
        <v>38626</v>
      </c>
      <c r="D8" s="4">
        <v>177011273.42000002</v>
      </c>
      <c r="G8" s="3">
        <v>38626</v>
      </c>
      <c r="H8" s="4">
        <v>173968934.71000001</v>
      </c>
      <c r="K8" s="3">
        <v>38626</v>
      </c>
      <c r="L8" s="4">
        <v>89226904</v>
      </c>
    </row>
    <row r="9" spans="3:12" x14ac:dyDescent="0.25">
      <c r="C9" s="3">
        <v>38657</v>
      </c>
      <c r="D9" s="4">
        <v>45939105</v>
      </c>
      <c r="G9" s="3">
        <v>38657</v>
      </c>
      <c r="H9" s="4">
        <v>40249664</v>
      </c>
      <c r="K9" s="3">
        <v>38657</v>
      </c>
      <c r="L9" s="4">
        <v>19726775</v>
      </c>
    </row>
    <row r="10" spans="3:12" x14ac:dyDescent="0.25">
      <c r="C10" s="3">
        <v>38687</v>
      </c>
      <c r="D10" s="4">
        <v>167073886</v>
      </c>
      <c r="G10" s="3">
        <v>38687</v>
      </c>
      <c r="H10" s="4">
        <v>161351206</v>
      </c>
      <c r="K10" s="3">
        <v>38687</v>
      </c>
      <c r="L10" s="4">
        <v>123617884</v>
      </c>
    </row>
    <row r="11" spans="3:12" x14ac:dyDescent="0.25">
      <c r="C11" s="3">
        <v>38718</v>
      </c>
      <c r="D11" s="4">
        <v>409581706</v>
      </c>
      <c r="G11" s="3">
        <v>38718</v>
      </c>
      <c r="H11" s="4">
        <v>409234045</v>
      </c>
      <c r="K11" s="3">
        <v>38718</v>
      </c>
      <c r="L11" s="4">
        <v>405272994</v>
      </c>
    </row>
    <row r="12" spans="3:12" x14ac:dyDescent="0.25">
      <c r="C12" s="3">
        <v>38749</v>
      </c>
      <c r="D12" s="4">
        <v>47420820.900000006</v>
      </c>
      <c r="G12" s="3">
        <v>38749</v>
      </c>
      <c r="H12" s="4">
        <v>43567860.870000005</v>
      </c>
      <c r="K12" s="3">
        <v>38749</v>
      </c>
      <c r="L12" s="4">
        <v>18989705.91</v>
      </c>
    </row>
    <row r="13" spans="3:12" x14ac:dyDescent="0.25">
      <c r="C13" s="3">
        <v>38777</v>
      </c>
      <c r="D13" s="4">
        <v>57815428</v>
      </c>
      <c r="G13" s="3">
        <v>38777</v>
      </c>
      <c r="H13" s="4">
        <v>44990671</v>
      </c>
      <c r="K13" s="3">
        <v>38777</v>
      </c>
      <c r="L13" s="4">
        <v>16635495</v>
      </c>
    </row>
    <row r="14" spans="3:12" x14ac:dyDescent="0.25">
      <c r="C14" s="3">
        <v>38808</v>
      </c>
      <c r="D14" s="4">
        <v>143206830.30000001</v>
      </c>
      <c r="G14" s="3">
        <v>38808</v>
      </c>
      <c r="H14" s="4">
        <v>105628711.3</v>
      </c>
      <c r="K14" s="3">
        <v>38808</v>
      </c>
      <c r="L14" s="4">
        <v>41797458.600000001</v>
      </c>
    </row>
    <row r="15" spans="3:12" x14ac:dyDescent="0.25">
      <c r="C15" s="3">
        <v>38838</v>
      </c>
      <c r="D15" s="4">
        <v>168814422</v>
      </c>
      <c r="G15" s="3">
        <v>38838</v>
      </c>
      <c r="H15" s="4">
        <v>117134068</v>
      </c>
      <c r="K15" s="3">
        <v>38838</v>
      </c>
      <c r="L15" s="4">
        <v>30826920</v>
      </c>
    </row>
    <row r="16" spans="3:12" x14ac:dyDescent="0.25">
      <c r="C16" s="3">
        <v>38869</v>
      </c>
      <c r="D16" s="4">
        <v>717047401</v>
      </c>
      <c r="G16" s="3">
        <v>38869</v>
      </c>
      <c r="H16" s="4">
        <v>654337349</v>
      </c>
      <c r="K16" s="3">
        <v>38869</v>
      </c>
      <c r="L16" s="4">
        <v>564968306</v>
      </c>
    </row>
    <row r="17" spans="3:12" x14ac:dyDescent="0.25">
      <c r="C17" s="3">
        <v>38899</v>
      </c>
      <c r="D17" s="4">
        <v>3182618395</v>
      </c>
      <c r="G17" s="3">
        <v>38899</v>
      </c>
      <c r="H17" s="4">
        <v>2461509395</v>
      </c>
      <c r="K17" s="3">
        <v>38899</v>
      </c>
      <c r="L17" s="4">
        <v>697418800</v>
      </c>
    </row>
    <row r="18" spans="3:12" x14ac:dyDescent="0.25">
      <c r="C18" s="3">
        <v>38930</v>
      </c>
      <c r="D18" s="4">
        <v>2087650824</v>
      </c>
      <c r="G18" s="3">
        <v>38930</v>
      </c>
      <c r="H18" s="4">
        <v>1654784144</v>
      </c>
      <c r="K18" s="3">
        <v>38930</v>
      </c>
      <c r="L18" s="4">
        <v>433633000</v>
      </c>
    </row>
    <row r="19" spans="3:12" x14ac:dyDescent="0.25">
      <c r="C19" s="3">
        <v>38961</v>
      </c>
      <c r="D19" s="4">
        <v>1838672565.8399999</v>
      </c>
      <c r="G19" s="3">
        <v>38961</v>
      </c>
      <c r="H19" s="4">
        <v>1252151786.8399999</v>
      </c>
      <c r="K19" s="3">
        <v>38961</v>
      </c>
      <c r="L19" s="4">
        <v>435518921</v>
      </c>
    </row>
    <row r="20" spans="3:12" x14ac:dyDescent="0.25">
      <c r="C20" s="3">
        <v>38991</v>
      </c>
      <c r="D20" s="4">
        <v>3724757820.4499998</v>
      </c>
      <c r="G20" s="3">
        <v>38991</v>
      </c>
      <c r="H20" s="4">
        <v>2761274820.8699999</v>
      </c>
      <c r="K20" s="3">
        <v>38991</v>
      </c>
      <c r="L20" s="4">
        <v>962843082.87</v>
      </c>
    </row>
    <row r="21" spans="3:12" x14ac:dyDescent="0.25">
      <c r="C21" s="3">
        <v>39022</v>
      </c>
      <c r="D21" s="4">
        <v>23267364337.740002</v>
      </c>
      <c r="G21" s="3">
        <v>39022</v>
      </c>
      <c r="H21" s="4">
        <v>17872900133.689999</v>
      </c>
      <c r="K21" s="3">
        <v>39022</v>
      </c>
      <c r="L21" s="4">
        <v>5912182200.0200005</v>
      </c>
    </row>
    <row r="22" spans="3:12" x14ac:dyDescent="0.25">
      <c r="C22" s="3">
        <v>39052</v>
      </c>
      <c r="D22" s="4">
        <v>27172801837.960007</v>
      </c>
      <c r="G22" s="3">
        <v>39052</v>
      </c>
      <c r="H22" s="4">
        <v>21307431985.210003</v>
      </c>
      <c r="K22" s="3">
        <v>39052</v>
      </c>
      <c r="L22" s="4">
        <v>6878861100.71</v>
      </c>
    </row>
    <row r="23" spans="3:12" x14ac:dyDescent="0.25">
      <c r="C23" s="3">
        <v>39083</v>
      </c>
      <c r="D23" s="4">
        <v>30025183870.150002</v>
      </c>
      <c r="G23" s="3">
        <v>39083</v>
      </c>
      <c r="H23" s="4">
        <v>24746998505.490002</v>
      </c>
      <c r="K23" s="3">
        <v>39083</v>
      </c>
      <c r="L23" s="4">
        <v>9008075393</v>
      </c>
    </row>
    <row r="24" spans="3:12" x14ac:dyDescent="0.25">
      <c r="C24" s="3">
        <v>39114</v>
      </c>
      <c r="D24" s="4">
        <v>30108179192.459999</v>
      </c>
      <c r="G24" s="3">
        <v>39114</v>
      </c>
      <c r="H24" s="4">
        <v>23003134874.119999</v>
      </c>
      <c r="K24" s="3">
        <v>39114</v>
      </c>
      <c r="L24" s="4">
        <v>8625817045</v>
      </c>
    </row>
    <row r="25" spans="3:12" x14ac:dyDescent="0.25">
      <c r="C25" s="3">
        <v>39142</v>
      </c>
      <c r="D25" s="4">
        <v>28183297166.309998</v>
      </c>
      <c r="G25" s="3">
        <v>39142</v>
      </c>
      <c r="H25" s="4">
        <v>21409133997.16</v>
      </c>
      <c r="K25" s="3">
        <v>39142</v>
      </c>
      <c r="L25" s="4">
        <v>7241357422</v>
      </c>
    </row>
    <row r="26" spans="3:12" x14ac:dyDescent="0.25">
      <c r="C26" s="3">
        <v>39173</v>
      </c>
      <c r="D26" s="4">
        <v>31533331514.700001</v>
      </c>
      <c r="G26" s="3">
        <v>39173</v>
      </c>
      <c r="H26" s="4">
        <v>25337640295.240002</v>
      </c>
      <c r="K26" s="3">
        <v>39173</v>
      </c>
      <c r="L26" s="4">
        <v>8435795278.75</v>
      </c>
    </row>
    <row r="27" spans="3:12" x14ac:dyDescent="0.25">
      <c r="C27" s="3">
        <v>39203</v>
      </c>
      <c r="D27" s="4">
        <v>36317976637.439995</v>
      </c>
      <c r="G27" s="3">
        <v>39203</v>
      </c>
      <c r="H27" s="4">
        <v>27080727971.889999</v>
      </c>
      <c r="K27" s="3">
        <v>39203</v>
      </c>
      <c r="L27" s="4">
        <v>8757031646.7099991</v>
      </c>
    </row>
    <row r="28" spans="3:12" x14ac:dyDescent="0.25">
      <c r="C28" s="3">
        <v>39234</v>
      </c>
      <c r="D28" s="4">
        <v>2020858084.21</v>
      </c>
      <c r="G28" s="3">
        <v>39234</v>
      </c>
      <c r="H28" s="4">
        <v>1640096016</v>
      </c>
      <c r="K28" s="3">
        <v>39234</v>
      </c>
      <c r="L28" s="4">
        <v>529500000</v>
      </c>
    </row>
    <row r="29" spans="3:12" x14ac:dyDescent="0.25">
      <c r="C29" s="3">
        <v>39264</v>
      </c>
      <c r="D29" s="4">
        <v>1914214423.7099998</v>
      </c>
      <c r="G29" s="3">
        <v>39264</v>
      </c>
      <c r="H29" s="4">
        <v>1345164055.6900001</v>
      </c>
      <c r="K29" s="3">
        <v>39264</v>
      </c>
      <c r="L29" s="4">
        <v>587402404.38</v>
      </c>
    </row>
    <row r="30" spans="3:12" x14ac:dyDescent="0.25">
      <c r="C30" s="3">
        <v>39295</v>
      </c>
      <c r="D30" s="4">
        <v>36163124713.329994</v>
      </c>
      <c r="G30" s="3">
        <v>39295</v>
      </c>
      <c r="H30" s="4">
        <v>26896585880.68</v>
      </c>
      <c r="K30" s="3">
        <v>39295</v>
      </c>
      <c r="L30" s="4">
        <v>7970383527.0900002</v>
      </c>
    </row>
    <row r="31" spans="3:12" x14ac:dyDescent="0.25">
      <c r="C31" s="3">
        <v>39326</v>
      </c>
      <c r="D31" s="4">
        <v>39727850973.849991</v>
      </c>
      <c r="G31" s="3">
        <v>39326</v>
      </c>
      <c r="H31" s="4">
        <v>31387723932.829998</v>
      </c>
      <c r="K31" s="3">
        <v>39326</v>
      </c>
      <c r="L31" s="4">
        <v>11906421034.719999</v>
      </c>
    </row>
    <row r="32" spans="3:12" x14ac:dyDescent="0.25">
      <c r="C32" s="3">
        <v>39356</v>
      </c>
      <c r="D32" s="4">
        <v>34611207598.679993</v>
      </c>
      <c r="G32" s="3">
        <v>39356</v>
      </c>
      <c r="H32" s="4">
        <v>25266524753.019997</v>
      </c>
      <c r="K32" s="3">
        <v>39356</v>
      </c>
      <c r="L32" s="4">
        <v>7611233645.2799997</v>
      </c>
    </row>
    <row r="33" spans="3:12" x14ac:dyDescent="0.25">
      <c r="C33" s="3">
        <v>39387</v>
      </c>
      <c r="D33" s="4">
        <v>38426581887.660004</v>
      </c>
      <c r="G33" s="3">
        <v>39387</v>
      </c>
      <c r="H33" s="4">
        <v>27917519171.919998</v>
      </c>
      <c r="K33" s="3">
        <v>39387</v>
      </c>
      <c r="L33" s="4">
        <v>9251362639</v>
      </c>
    </row>
    <row r="34" spans="3:12" x14ac:dyDescent="0.25">
      <c r="C34" s="3">
        <v>39417</v>
      </c>
      <c r="D34" s="4">
        <v>45838564870.419991</v>
      </c>
      <c r="G34" s="3">
        <v>39417</v>
      </c>
      <c r="H34" s="4">
        <v>35348140136.119995</v>
      </c>
      <c r="K34" s="3">
        <v>39417</v>
      </c>
      <c r="L34" s="4">
        <v>12421827356.389999</v>
      </c>
    </row>
    <row r="35" spans="3:12" x14ac:dyDescent="0.25">
      <c r="C35" s="3">
        <v>39448</v>
      </c>
      <c r="D35" s="4">
        <v>36449458088.989998</v>
      </c>
      <c r="G35" s="3">
        <v>39448</v>
      </c>
      <c r="H35" s="4">
        <v>26958404741.359997</v>
      </c>
      <c r="K35" s="3">
        <v>39448</v>
      </c>
      <c r="L35" s="4">
        <v>8728590817.0499992</v>
      </c>
    </row>
    <row r="36" spans="3:12" x14ac:dyDescent="0.25">
      <c r="C36" s="3">
        <v>39479</v>
      </c>
      <c r="D36" s="4">
        <v>42640399806.709999</v>
      </c>
      <c r="G36" s="3">
        <v>39479</v>
      </c>
      <c r="H36" s="4">
        <v>32555708285.060001</v>
      </c>
      <c r="K36" s="3">
        <v>39479</v>
      </c>
      <c r="L36" s="4">
        <v>10940578643.9</v>
      </c>
    </row>
    <row r="37" spans="3:12" x14ac:dyDescent="0.25">
      <c r="C37" s="3">
        <v>39508</v>
      </c>
      <c r="D37" s="4">
        <v>29192521758.130001</v>
      </c>
      <c r="G37" s="3">
        <v>39508</v>
      </c>
      <c r="H37" s="4">
        <v>24315835443.790001</v>
      </c>
      <c r="K37" s="3">
        <v>39508</v>
      </c>
      <c r="L37" s="4">
        <v>7127437485.3199997</v>
      </c>
    </row>
    <row r="38" spans="3:12" x14ac:dyDescent="0.25">
      <c r="C38" s="3">
        <v>39539</v>
      </c>
      <c r="D38" s="4">
        <v>40499590498.020004</v>
      </c>
      <c r="G38" s="3">
        <v>39539</v>
      </c>
      <c r="H38" s="4">
        <v>32138247792.009998</v>
      </c>
      <c r="K38" s="3">
        <v>39539</v>
      </c>
      <c r="L38" s="4">
        <v>9380905884.8600006</v>
      </c>
    </row>
    <row r="39" spans="3:12" x14ac:dyDescent="0.25">
      <c r="C39" s="3">
        <v>39569</v>
      </c>
      <c r="D39" s="4">
        <v>38150991945.059998</v>
      </c>
      <c r="G39" s="3">
        <v>39569</v>
      </c>
      <c r="H39" s="4">
        <v>30863023102.57</v>
      </c>
      <c r="K39" s="3">
        <v>39569</v>
      </c>
      <c r="L39" s="4">
        <v>12080553097.469999</v>
      </c>
    </row>
    <row r="40" spans="3:12" x14ac:dyDescent="0.25">
      <c r="C40" s="3">
        <v>39600</v>
      </c>
      <c r="D40" s="4">
        <v>36274545496.419998</v>
      </c>
      <c r="G40" s="3">
        <v>39600</v>
      </c>
      <c r="H40" s="4">
        <v>30441998963.41</v>
      </c>
      <c r="K40" s="3">
        <v>39600</v>
      </c>
      <c r="L40" s="4">
        <v>11170458526.360001</v>
      </c>
    </row>
    <row r="41" spans="3:12" x14ac:dyDescent="0.25">
      <c r="C41" s="3">
        <v>39630</v>
      </c>
      <c r="D41" s="4">
        <v>25661699058.59</v>
      </c>
      <c r="G41" s="3">
        <v>39630</v>
      </c>
      <c r="H41" s="4">
        <v>19657967882.41</v>
      </c>
      <c r="K41" s="3">
        <v>39630</v>
      </c>
      <c r="L41" s="4">
        <v>5246259446.8599997</v>
      </c>
    </row>
    <row r="42" spans="3:12" x14ac:dyDescent="0.25">
      <c r="C42" s="3">
        <v>39661</v>
      </c>
      <c r="D42" s="4">
        <v>21967790863.110004</v>
      </c>
      <c r="G42" s="3">
        <v>39661</v>
      </c>
      <c r="H42" s="4">
        <v>16728604606.980001</v>
      </c>
      <c r="K42" s="3">
        <v>39661</v>
      </c>
      <c r="L42" s="4">
        <v>4827258509.6899996</v>
      </c>
    </row>
    <row r="43" spans="3:12" x14ac:dyDescent="0.25">
      <c r="C43" s="3">
        <v>39692</v>
      </c>
      <c r="D43" s="4">
        <v>25821976249.259998</v>
      </c>
      <c r="G43" s="3">
        <v>39692</v>
      </c>
      <c r="H43" s="4">
        <v>19841787823.889999</v>
      </c>
      <c r="K43" s="3">
        <v>39692</v>
      </c>
      <c r="L43" s="4">
        <v>6826679614.1599998</v>
      </c>
    </row>
    <row r="44" spans="3:12" x14ac:dyDescent="0.25">
      <c r="C44" s="3">
        <v>39722</v>
      </c>
      <c r="D44" s="4">
        <v>17771952343.489994</v>
      </c>
      <c r="G44" s="3">
        <v>39722</v>
      </c>
      <c r="H44" s="4">
        <v>13280775763.599998</v>
      </c>
      <c r="K44" s="3">
        <v>39722</v>
      </c>
      <c r="L44" s="4">
        <v>3655203702.7600002</v>
      </c>
    </row>
    <row r="45" spans="3:12" x14ac:dyDescent="0.25">
      <c r="C45" s="3">
        <v>39753</v>
      </c>
      <c r="D45" s="4">
        <v>17082411068.670002</v>
      </c>
      <c r="G45" s="3">
        <v>39753</v>
      </c>
      <c r="H45" s="4">
        <v>13594411036.240002</v>
      </c>
      <c r="K45" s="3">
        <v>39753</v>
      </c>
      <c r="L45" s="4">
        <v>4550926488.3800001</v>
      </c>
    </row>
    <row r="46" spans="3:12" x14ac:dyDescent="0.25">
      <c r="C46" s="3">
        <v>39783</v>
      </c>
      <c r="D46" s="4">
        <v>29606036758.049999</v>
      </c>
      <c r="G46" s="3">
        <v>39783</v>
      </c>
      <c r="H46" s="4">
        <v>22006804718.82</v>
      </c>
      <c r="K46" s="3">
        <v>39783</v>
      </c>
      <c r="L46" s="4">
        <v>8422014425.4099998</v>
      </c>
    </row>
    <row r="47" spans="3:12" x14ac:dyDescent="0.25">
      <c r="C47" s="3">
        <v>39814</v>
      </c>
      <c r="D47" s="4">
        <v>15573013109.779999</v>
      </c>
      <c r="G47" s="3">
        <v>39814</v>
      </c>
      <c r="H47" s="4">
        <v>12534763717.26</v>
      </c>
      <c r="K47" s="3">
        <v>39814</v>
      </c>
      <c r="L47" s="4">
        <v>3756680738.23</v>
      </c>
    </row>
    <row r="48" spans="3:12" x14ac:dyDescent="0.25">
      <c r="C48" s="3">
        <v>39845</v>
      </c>
      <c r="D48" s="4">
        <v>29878159863.969997</v>
      </c>
      <c r="G48" s="3">
        <v>39845</v>
      </c>
      <c r="H48" s="4">
        <v>24776401311.380001</v>
      </c>
      <c r="K48" s="3">
        <v>39845</v>
      </c>
      <c r="L48" s="4">
        <v>9511580945.1800003</v>
      </c>
    </row>
    <row r="49" spans="3:12" x14ac:dyDescent="0.25">
      <c r="C49" s="3">
        <v>39873</v>
      </c>
      <c r="D49" s="4">
        <v>52300463711.150002</v>
      </c>
      <c r="G49" s="3">
        <v>39873</v>
      </c>
      <c r="H49" s="4">
        <v>44588597188.129997</v>
      </c>
      <c r="K49" s="3">
        <v>39873</v>
      </c>
      <c r="L49" s="4">
        <v>14453685921.889999</v>
      </c>
    </row>
    <row r="50" spans="3:12" x14ac:dyDescent="0.25">
      <c r="C50" s="3">
        <v>39904</v>
      </c>
      <c r="D50" s="4">
        <v>32464719403.389999</v>
      </c>
      <c r="G50" s="3">
        <v>39904</v>
      </c>
      <c r="H50" s="4">
        <v>25327691030.98</v>
      </c>
      <c r="K50" s="3">
        <v>39904</v>
      </c>
      <c r="L50" s="4">
        <v>10866823472.32</v>
      </c>
    </row>
    <row r="51" spans="3:12" x14ac:dyDescent="0.25">
      <c r="C51" s="3">
        <v>39934</v>
      </c>
      <c r="D51" s="4">
        <v>59246266312.960007</v>
      </c>
      <c r="G51" s="3">
        <v>39934</v>
      </c>
      <c r="H51" s="4">
        <v>48614350249.730003</v>
      </c>
      <c r="K51" s="3">
        <v>39934</v>
      </c>
      <c r="L51" s="4">
        <v>16377153576.040001</v>
      </c>
    </row>
    <row r="52" spans="3:12" x14ac:dyDescent="0.25">
      <c r="C52" s="3">
        <v>39965</v>
      </c>
      <c r="D52" s="4">
        <v>62548319986.500008</v>
      </c>
      <c r="G52" s="3">
        <v>39965</v>
      </c>
      <c r="H52" s="4">
        <v>50633928595.489998</v>
      </c>
      <c r="K52" s="3">
        <v>39965</v>
      </c>
      <c r="L52" s="4">
        <v>18556306988.82</v>
      </c>
    </row>
    <row r="53" spans="3:12" x14ac:dyDescent="0.25">
      <c r="C53" s="3">
        <v>39995</v>
      </c>
      <c r="D53" s="4">
        <v>47492473410.860008</v>
      </c>
      <c r="G53" s="3">
        <v>39995</v>
      </c>
      <c r="H53" s="4">
        <v>40903264377.350006</v>
      </c>
      <c r="K53" s="3">
        <v>39995</v>
      </c>
      <c r="L53" s="4">
        <v>17780279923.57</v>
      </c>
    </row>
    <row r="54" spans="3:12" x14ac:dyDescent="0.25">
      <c r="C54" s="3">
        <v>40026</v>
      </c>
      <c r="D54" s="4">
        <v>35622455938.389999</v>
      </c>
      <c r="G54" s="3">
        <v>40026</v>
      </c>
      <c r="H54" s="4">
        <v>30196349339.740002</v>
      </c>
      <c r="K54" s="3">
        <v>40026</v>
      </c>
      <c r="L54" s="4">
        <v>13559469118.879999</v>
      </c>
    </row>
    <row r="55" spans="3:12" x14ac:dyDescent="0.25">
      <c r="C55" s="3">
        <v>40057</v>
      </c>
      <c r="D55" s="4">
        <v>29845785005.43</v>
      </c>
      <c r="G55" s="3">
        <v>40057</v>
      </c>
      <c r="H55" s="4">
        <v>25413966746.16</v>
      </c>
      <c r="K55" s="3">
        <v>40057</v>
      </c>
      <c r="L55" s="4">
        <v>9711261406.9500008</v>
      </c>
    </row>
    <row r="56" spans="3:12" x14ac:dyDescent="0.25">
      <c r="C56" s="3">
        <v>40087</v>
      </c>
      <c r="D56" s="4">
        <v>18050212522.980003</v>
      </c>
      <c r="G56" s="3">
        <v>40087</v>
      </c>
      <c r="H56" s="4">
        <v>15113923941.170002</v>
      </c>
      <c r="K56" s="3">
        <v>40087</v>
      </c>
      <c r="L56" s="4">
        <v>7211282362.8500004</v>
      </c>
    </row>
    <row r="57" spans="3:12" x14ac:dyDescent="0.25">
      <c r="C57" s="3">
        <v>40118</v>
      </c>
      <c r="D57" s="4">
        <v>21036921541.490002</v>
      </c>
      <c r="G57" s="3">
        <v>40118</v>
      </c>
      <c r="H57" s="4">
        <v>17714705203.989998</v>
      </c>
      <c r="K57" s="3">
        <v>40118</v>
      </c>
      <c r="L57" s="4">
        <v>7751269955.25</v>
      </c>
    </row>
    <row r="58" spans="3:12" x14ac:dyDescent="0.25">
      <c r="C58" s="3">
        <v>40148</v>
      </c>
      <c r="D58" s="4">
        <v>27010034507.779999</v>
      </c>
      <c r="G58" s="3">
        <v>40148</v>
      </c>
      <c r="H58" s="4">
        <v>22935300873.869999</v>
      </c>
      <c r="K58" s="3">
        <v>40148</v>
      </c>
      <c r="L58" s="4">
        <v>11583901052.780001</v>
      </c>
    </row>
    <row r="59" spans="3:12" x14ac:dyDescent="0.25">
      <c r="C59" s="3">
        <v>40179</v>
      </c>
      <c r="D59" s="4">
        <v>23918183966.340004</v>
      </c>
      <c r="G59" s="3">
        <v>40179</v>
      </c>
      <c r="H59" s="4">
        <v>20858919599.690002</v>
      </c>
      <c r="K59" s="3">
        <v>40179</v>
      </c>
      <c r="L59" s="4">
        <v>9978849287.2000008</v>
      </c>
    </row>
    <row r="60" spans="3:12" x14ac:dyDescent="0.25">
      <c r="C60" s="3">
        <v>40210</v>
      </c>
      <c r="D60" s="4">
        <v>25219459831.370003</v>
      </c>
      <c r="G60" s="3">
        <v>40210</v>
      </c>
      <c r="H60" s="4">
        <v>22732499809.770004</v>
      </c>
      <c r="K60" s="3">
        <v>40210</v>
      </c>
      <c r="L60" s="4">
        <v>9807430995.9200001</v>
      </c>
    </row>
    <row r="61" spans="3:12" x14ac:dyDescent="0.25">
      <c r="C61" s="3">
        <v>40238</v>
      </c>
      <c r="D61" s="4">
        <v>18730250800.600002</v>
      </c>
      <c r="G61" s="3">
        <v>40238</v>
      </c>
      <c r="H61" s="4">
        <v>16626538345.559999</v>
      </c>
      <c r="K61" s="3">
        <v>40238</v>
      </c>
      <c r="L61" s="4">
        <v>7752148414.0900002</v>
      </c>
    </row>
    <row r="62" spans="3:12" x14ac:dyDescent="0.25">
      <c r="C62" s="3">
        <v>40269</v>
      </c>
      <c r="D62" s="4">
        <v>21401297125.709999</v>
      </c>
      <c r="G62" s="3">
        <v>40269</v>
      </c>
      <c r="H62" s="4">
        <v>18926472017.360001</v>
      </c>
      <c r="K62" s="3">
        <v>40269</v>
      </c>
      <c r="L62" s="4">
        <v>8759856160.0100002</v>
      </c>
    </row>
    <row r="63" spans="3:12" x14ac:dyDescent="0.25">
      <c r="C63" s="3">
        <v>40299</v>
      </c>
      <c r="D63" s="4">
        <v>22794601006.109997</v>
      </c>
      <c r="G63" s="3">
        <v>40299</v>
      </c>
      <c r="H63" s="4">
        <v>19737345072.869999</v>
      </c>
      <c r="K63" s="3">
        <v>40299</v>
      </c>
      <c r="L63" s="4">
        <v>7983117228.6700001</v>
      </c>
    </row>
    <row r="64" spans="3:12" x14ac:dyDescent="0.25">
      <c r="C64" s="3">
        <v>40330</v>
      </c>
      <c r="D64" s="4">
        <v>26357643573.190002</v>
      </c>
      <c r="G64" s="3">
        <v>40330</v>
      </c>
      <c r="H64" s="4">
        <v>23095750779.380001</v>
      </c>
      <c r="K64" s="3">
        <v>40330</v>
      </c>
      <c r="L64" s="4">
        <v>8159699856.3800001</v>
      </c>
    </row>
    <row r="65" spans="3:12" x14ac:dyDescent="0.25">
      <c r="C65" s="3">
        <v>40360</v>
      </c>
      <c r="D65" s="4">
        <v>28451985439.279999</v>
      </c>
      <c r="G65" s="3">
        <v>40360</v>
      </c>
      <c r="H65" s="4">
        <v>25054192083.110001</v>
      </c>
      <c r="K65" s="3">
        <v>40360</v>
      </c>
      <c r="L65" s="4">
        <v>8955541938.4400005</v>
      </c>
    </row>
    <row r="66" spans="3:12" x14ac:dyDescent="0.25">
      <c r="C66" s="3">
        <v>40391</v>
      </c>
      <c r="D66" s="4">
        <v>30182508162.220001</v>
      </c>
      <c r="G66" s="3">
        <v>40391</v>
      </c>
      <c r="H66" s="4">
        <v>25021597638.75</v>
      </c>
      <c r="K66" s="3">
        <v>40391</v>
      </c>
      <c r="L66" s="4">
        <v>10445666888.360001</v>
      </c>
    </row>
    <row r="67" spans="3:12" x14ac:dyDescent="0.25">
      <c r="C67" s="3">
        <v>40422</v>
      </c>
      <c r="D67" s="4">
        <v>50042935375.950005</v>
      </c>
      <c r="G67" s="3">
        <v>40422</v>
      </c>
      <c r="H67" s="4">
        <v>43137598077.989998</v>
      </c>
      <c r="K67" s="3">
        <v>40422</v>
      </c>
      <c r="L67" s="4">
        <v>13523481421.540001</v>
      </c>
    </row>
    <row r="68" spans="3:12" x14ac:dyDescent="0.25">
      <c r="C68" s="3">
        <v>40452</v>
      </c>
      <c r="D68" s="4">
        <v>44177303696.580002</v>
      </c>
      <c r="G68" s="3">
        <v>40452</v>
      </c>
      <c r="H68" s="4">
        <v>37554288902.369995</v>
      </c>
      <c r="K68" s="3">
        <v>40452</v>
      </c>
      <c r="L68" s="4">
        <v>13935891180.24</v>
      </c>
    </row>
    <row r="69" spans="3:12" x14ac:dyDescent="0.25">
      <c r="C69" s="3">
        <v>40483</v>
      </c>
      <c r="D69" s="4">
        <v>44633959622.000008</v>
      </c>
      <c r="G69" s="3">
        <v>40483</v>
      </c>
      <c r="H69" s="4">
        <v>36330744156.989998</v>
      </c>
      <c r="K69" s="3">
        <v>40483</v>
      </c>
      <c r="L69" s="4">
        <v>13909502726.82</v>
      </c>
    </row>
    <row r="70" spans="3:12" x14ac:dyDescent="0.25">
      <c r="C70" s="3">
        <v>40513</v>
      </c>
      <c r="D70" s="4">
        <v>55384789442.399994</v>
      </c>
      <c r="G70" s="3">
        <v>40513</v>
      </c>
      <c r="H70" s="4">
        <v>48267923274.330002</v>
      </c>
      <c r="K70" s="3">
        <v>40513</v>
      </c>
      <c r="L70" s="4">
        <v>14878642995.780001</v>
      </c>
    </row>
    <row r="71" spans="3:12" x14ac:dyDescent="0.25">
      <c r="C71" s="3">
        <v>40544</v>
      </c>
      <c r="D71" s="4">
        <v>46227404593.440002</v>
      </c>
      <c r="G71" s="3">
        <v>40544</v>
      </c>
      <c r="H71" s="4">
        <v>38924897504.110001</v>
      </c>
      <c r="K71" s="3">
        <v>40544</v>
      </c>
      <c r="L71" s="4">
        <v>15157548488.809999</v>
      </c>
    </row>
    <row r="72" spans="3:12" x14ac:dyDescent="0.25">
      <c r="C72" s="3">
        <v>40575</v>
      </c>
      <c r="D72" s="4">
        <v>36643166088.080002</v>
      </c>
      <c r="G72" s="3">
        <v>40575</v>
      </c>
      <c r="H72" s="4">
        <v>31432931957.270004</v>
      </c>
      <c r="K72" s="3">
        <v>40575</v>
      </c>
      <c r="L72" s="4">
        <v>12839332402.040001</v>
      </c>
    </row>
    <row r="73" spans="3:12" x14ac:dyDescent="0.25">
      <c r="C73" s="3">
        <v>40603</v>
      </c>
      <c r="D73" s="4">
        <v>38292325978.140007</v>
      </c>
      <c r="G73" s="3">
        <v>40603</v>
      </c>
      <c r="H73" s="4">
        <v>33049785948.009998</v>
      </c>
      <c r="K73" s="3">
        <v>40603</v>
      </c>
      <c r="L73" s="4">
        <v>9636191150.4599991</v>
      </c>
    </row>
    <row r="74" spans="3:12" x14ac:dyDescent="0.25">
      <c r="C74" s="3">
        <v>40634</v>
      </c>
      <c r="D74" s="4">
        <v>22351455715.170002</v>
      </c>
      <c r="G74" s="3">
        <v>40634</v>
      </c>
      <c r="H74" s="4">
        <v>19178248214.91</v>
      </c>
      <c r="K74" s="3">
        <v>40634</v>
      </c>
      <c r="L74" s="4">
        <v>7444150512.3199997</v>
      </c>
    </row>
    <row r="75" spans="3:12" x14ac:dyDescent="0.25">
      <c r="C75" s="3">
        <v>40664</v>
      </c>
      <c r="D75" s="4">
        <v>20570231744.970005</v>
      </c>
      <c r="G75" s="3">
        <v>40664</v>
      </c>
      <c r="H75" s="4">
        <v>17640079186.739998</v>
      </c>
      <c r="K75" s="3">
        <v>40664</v>
      </c>
      <c r="L75" s="4">
        <v>6796796476.5</v>
      </c>
    </row>
    <row r="76" spans="3:12" x14ac:dyDescent="0.25">
      <c r="C76" s="3">
        <v>40695</v>
      </c>
      <c r="D76" s="4">
        <v>24595603786.650002</v>
      </c>
      <c r="G76" s="3">
        <v>40695</v>
      </c>
      <c r="H76" s="4">
        <v>21250587531.379997</v>
      </c>
      <c r="K76" s="3">
        <v>40695</v>
      </c>
      <c r="L76" s="4">
        <v>8100182361.9399996</v>
      </c>
    </row>
    <row r="77" spans="3:12" x14ac:dyDescent="0.25">
      <c r="C77" s="3">
        <v>40725</v>
      </c>
      <c r="D77" s="4">
        <v>20071516146.039997</v>
      </c>
      <c r="G77" s="3">
        <v>40725</v>
      </c>
      <c r="H77" s="4">
        <v>17100427033.15</v>
      </c>
      <c r="K77" s="3">
        <v>40725</v>
      </c>
      <c r="L77" s="4">
        <v>5308788048.8400002</v>
      </c>
    </row>
    <row r="78" spans="3:12" x14ac:dyDescent="0.25">
      <c r="C78" s="3">
        <v>40756</v>
      </c>
      <c r="D78" s="4">
        <v>26643806156.700001</v>
      </c>
      <c r="G78" s="3">
        <v>40756</v>
      </c>
      <c r="H78" s="4">
        <v>22450886954</v>
      </c>
      <c r="K78" s="3">
        <v>40756</v>
      </c>
      <c r="L78" s="4">
        <v>8975675585.0300007</v>
      </c>
    </row>
    <row r="79" spans="3:12" x14ac:dyDescent="0.25">
      <c r="C79" s="3">
        <v>40787</v>
      </c>
      <c r="D79" s="4">
        <v>31978531591.070004</v>
      </c>
      <c r="G79" s="3">
        <v>40787</v>
      </c>
      <c r="H79" s="4">
        <v>27361561800.900002</v>
      </c>
      <c r="K79" s="3">
        <v>40787</v>
      </c>
      <c r="L79" s="4">
        <v>9862037476.5100002</v>
      </c>
    </row>
    <row r="80" spans="3:12" x14ac:dyDescent="0.25">
      <c r="C80" s="3">
        <v>40817</v>
      </c>
      <c r="D80" s="4">
        <v>30996359405.019997</v>
      </c>
      <c r="G80" s="3">
        <v>40817</v>
      </c>
      <c r="H80" s="4">
        <v>24699811825.130001</v>
      </c>
      <c r="K80" s="3">
        <v>40817</v>
      </c>
      <c r="L80" s="4">
        <v>11864275980.860001</v>
      </c>
    </row>
    <row r="81" spans="3:12" x14ac:dyDescent="0.25">
      <c r="C81" s="3">
        <v>40848</v>
      </c>
      <c r="D81" s="4">
        <v>39760085391.100006</v>
      </c>
      <c r="G81" s="3">
        <v>40848</v>
      </c>
      <c r="H81" s="4">
        <v>33459411350.709999</v>
      </c>
      <c r="K81" s="3">
        <v>40848</v>
      </c>
      <c r="L81" s="4">
        <v>14706099941.799999</v>
      </c>
    </row>
    <row r="82" spans="3:12" x14ac:dyDescent="0.25">
      <c r="C82" s="3">
        <v>40878</v>
      </c>
      <c r="D82" s="4">
        <v>50207107917.200005</v>
      </c>
      <c r="G82" s="3">
        <v>40878</v>
      </c>
      <c r="H82" s="4">
        <v>44194497888.770004</v>
      </c>
      <c r="K82" s="3">
        <v>40878</v>
      </c>
      <c r="L82" s="4">
        <v>23937608890.639999</v>
      </c>
    </row>
    <row r="83" spans="3:12" x14ac:dyDescent="0.25">
      <c r="C83" s="3">
        <v>40909</v>
      </c>
      <c r="D83" s="4">
        <v>34362268311.120003</v>
      </c>
      <c r="G83" s="3">
        <v>40909</v>
      </c>
      <c r="H83" s="4">
        <v>29007806067.68</v>
      </c>
      <c r="K83" s="3">
        <v>40909</v>
      </c>
      <c r="L83" s="4">
        <v>15368979575.26</v>
      </c>
    </row>
    <row r="84" spans="3:12" x14ac:dyDescent="0.25">
      <c r="C84" s="3">
        <v>40940</v>
      </c>
      <c r="D84" s="4">
        <v>32906311435.989998</v>
      </c>
      <c r="G84" s="3">
        <v>40940</v>
      </c>
      <c r="H84" s="4">
        <v>27491822121.099998</v>
      </c>
      <c r="K84" s="3">
        <v>40940</v>
      </c>
      <c r="L84" s="4">
        <v>14632091015.389999</v>
      </c>
    </row>
    <row r="85" spans="3:12" x14ac:dyDescent="0.25">
      <c r="C85" s="3">
        <v>40969</v>
      </c>
      <c r="D85" s="4">
        <v>56829158720.450005</v>
      </c>
      <c r="G85" s="3">
        <v>40969</v>
      </c>
      <c r="H85" s="4">
        <v>49399023902</v>
      </c>
      <c r="K85" s="3">
        <v>40969</v>
      </c>
      <c r="L85" s="4">
        <v>30737250033.549999</v>
      </c>
    </row>
    <row r="86" spans="3:12" x14ac:dyDescent="0.25">
      <c r="C86" s="3">
        <v>41000</v>
      </c>
      <c r="D86" s="4">
        <v>24204177130.650005</v>
      </c>
      <c r="G86" s="3">
        <v>41000</v>
      </c>
      <c r="H86" s="4">
        <v>20740945194.540001</v>
      </c>
      <c r="K86" s="3">
        <v>41000</v>
      </c>
      <c r="L86" s="4">
        <v>10763728285.6</v>
      </c>
    </row>
    <row r="87" spans="3:12" x14ac:dyDescent="0.25">
      <c r="C87" s="3">
        <v>41030</v>
      </c>
      <c r="D87" s="4">
        <v>39777125640.900002</v>
      </c>
      <c r="G87" s="3">
        <v>41030</v>
      </c>
      <c r="H87" s="4">
        <v>33981143082.620003</v>
      </c>
      <c r="K87" s="3">
        <v>41030</v>
      </c>
      <c r="L87" s="4">
        <v>20542825807.290001</v>
      </c>
    </row>
    <row r="88" spans="3:12" x14ac:dyDescent="0.25">
      <c r="C88" s="3">
        <v>41061</v>
      </c>
      <c r="D88" s="4">
        <v>34861145817.729996</v>
      </c>
      <c r="G88" s="3">
        <v>41061</v>
      </c>
      <c r="H88" s="4">
        <v>26824272069.970001</v>
      </c>
      <c r="K88" s="3">
        <v>41061</v>
      </c>
      <c r="L88" s="4">
        <v>12662763974.040001</v>
      </c>
    </row>
    <row r="89" spans="3:12" x14ac:dyDescent="0.25">
      <c r="C89" s="3">
        <v>41091</v>
      </c>
      <c r="D89" s="4">
        <v>39258236449.550011</v>
      </c>
      <c r="G89" s="3">
        <v>41091</v>
      </c>
      <c r="H89" s="4">
        <v>32773125487.220001</v>
      </c>
      <c r="K89" s="3">
        <v>41091</v>
      </c>
      <c r="L89" s="4">
        <v>18046078270.810001</v>
      </c>
    </row>
    <row r="90" spans="3:12" x14ac:dyDescent="0.25">
      <c r="C90" s="3">
        <v>41122</v>
      </c>
      <c r="D90" s="4">
        <v>42521773617.960007</v>
      </c>
      <c r="G90" s="3">
        <v>41122</v>
      </c>
      <c r="H90" s="4">
        <v>34907658402.759995</v>
      </c>
      <c r="K90" s="3">
        <v>41122</v>
      </c>
      <c r="L90" s="4">
        <v>15782096596.040001</v>
      </c>
    </row>
    <row r="91" spans="3:12" x14ac:dyDescent="0.25">
      <c r="C91" s="3">
        <v>41153</v>
      </c>
      <c r="D91" s="4">
        <v>45617387707.220009</v>
      </c>
      <c r="G91" s="3">
        <v>41153</v>
      </c>
      <c r="H91" s="4">
        <v>37833922333.900002</v>
      </c>
      <c r="K91" s="3">
        <v>41153</v>
      </c>
      <c r="L91" s="4">
        <v>16358817450.4</v>
      </c>
    </row>
    <row r="92" spans="3:12" x14ac:dyDescent="0.25">
      <c r="C92" s="3">
        <v>41183</v>
      </c>
      <c r="D92" s="4">
        <v>34976078939.440002</v>
      </c>
      <c r="G92" s="3">
        <v>41183</v>
      </c>
      <c r="H92" s="4">
        <v>27466963094.949997</v>
      </c>
      <c r="K92" s="3">
        <v>41183</v>
      </c>
      <c r="L92" s="4">
        <v>13583725455.1</v>
      </c>
    </row>
    <row r="93" spans="3:12" x14ac:dyDescent="0.25">
      <c r="C93" s="3">
        <v>41214</v>
      </c>
      <c r="D93" s="4">
        <v>48700322876.149994</v>
      </c>
      <c r="G93" s="3">
        <v>41214</v>
      </c>
      <c r="H93" s="4">
        <v>38620874033.32</v>
      </c>
      <c r="K93" s="3">
        <v>41214</v>
      </c>
      <c r="L93" s="4">
        <v>18702888793.82</v>
      </c>
    </row>
    <row r="94" spans="3:12" x14ac:dyDescent="0.25">
      <c r="C94" s="3">
        <v>41244</v>
      </c>
      <c r="D94" s="4">
        <v>28819231552.900002</v>
      </c>
      <c r="G94" s="3">
        <v>41244</v>
      </c>
      <c r="H94" s="4">
        <v>22657026327.110001</v>
      </c>
      <c r="K94" s="3">
        <v>41244</v>
      </c>
      <c r="L94" s="4">
        <v>5990993955.3400002</v>
      </c>
    </row>
    <row r="95" spans="3:12" x14ac:dyDescent="0.25">
      <c r="C95" s="3">
        <v>41275</v>
      </c>
      <c r="D95" s="4">
        <v>41056601881.519997</v>
      </c>
      <c r="G95" s="3">
        <v>41275</v>
      </c>
      <c r="H95" s="4">
        <v>32173182892.220001</v>
      </c>
      <c r="K95" s="3">
        <v>41275</v>
      </c>
      <c r="L95" s="4">
        <v>12960800578.620001</v>
      </c>
    </row>
    <row r="96" spans="3:12" x14ac:dyDescent="0.25">
      <c r="C96" s="3">
        <v>41306</v>
      </c>
      <c r="D96" s="4">
        <v>40621858362.690002</v>
      </c>
      <c r="G96" s="3">
        <v>41306</v>
      </c>
      <c r="H96" s="4">
        <v>32295164207.330002</v>
      </c>
      <c r="K96" s="3">
        <v>41306</v>
      </c>
      <c r="L96" s="4">
        <v>12090154945.85</v>
      </c>
    </row>
    <row r="97" spans="3:12" x14ac:dyDescent="0.25">
      <c r="C97" s="3">
        <v>41334</v>
      </c>
      <c r="D97" s="4">
        <v>32588531726.600002</v>
      </c>
      <c r="G97" s="3">
        <v>41334</v>
      </c>
      <c r="H97" s="4">
        <v>26611199048.840004</v>
      </c>
      <c r="K97" s="3">
        <v>41334</v>
      </c>
      <c r="L97" s="4">
        <v>10298222135.870001</v>
      </c>
    </row>
    <row r="98" spans="3:12" x14ac:dyDescent="0.25">
      <c r="C98" s="3">
        <v>41365</v>
      </c>
      <c r="D98" s="4">
        <v>37376512403.469994</v>
      </c>
      <c r="G98" s="3">
        <v>41365</v>
      </c>
      <c r="H98" s="4">
        <v>29789895298.389999</v>
      </c>
      <c r="K98" s="3">
        <v>41365</v>
      </c>
      <c r="L98" s="4">
        <v>10983062364.98</v>
      </c>
    </row>
    <row r="99" spans="3:12" x14ac:dyDescent="0.25">
      <c r="C99" s="3">
        <v>41395</v>
      </c>
      <c r="D99" s="4">
        <v>38541437156.089996</v>
      </c>
      <c r="G99" s="3">
        <v>41395</v>
      </c>
      <c r="H99" s="4">
        <v>31823204951.040001</v>
      </c>
      <c r="K99" s="3">
        <v>41395</v>
      </c>
      <c r="L99" s="4">
        <v>16565187107.59</v>
      </c>
    </row>
    <row r="100" spans="3:12" x14ac:dyDescent="0.25">
      <c r="C100" s="3">
        <v>41426</v>
      </c>
      <c r="D100" s="4">
        <v>35492363841.889999</v>
      </c>
      <c r="G100" s="3">
        <v>41426</v>
      </c>
      <c r="H100" s="4">
        <v>29184629174.119999</v>
      </c>
      <c r="K100" s="3">
        <v>41426</v>
      </c>
      <c r="L100" s="4">
        <v>15486832649.959999</v>
      </c>
    </row>
    <row r="101" spans="3:12" x14ac:dyDescent="0.25">
      <c r="C101" s="3">
        <v>41456</v>
      </c>
      <c r="D101" s="4">
        <v>37466696964.239998</v>
      </c>
      <c r="G101" s="3">
        <v>41456</v>
      </c>
      <c r="H101" s="4">
        <v>29824408490.139999</v>
      </c>
      <c r="K101" s="3">
        <v>41456</v>
      </c>
      <c r="L101" s="4">
        <v>16978552578.67</v>
      </c>
    </row>
    <row r="102" spans="3:12" x14ac:dyDescent="0.25">
      <c r="C102" s="3">
        <v>41487</v>
      </c>
      <c r="D102" s="4">
        <v>35770897100.520004</v>
      </c>
      <c r="G102" s="3">
        <v>41487</v>
      </c>
      <c r="H102" s="4">
        <v>27875191616.209999</v>
      </c>
      <c r="K102" s="3">
        <v>41487</v>
      </c>
      <c r="L102" s="4">
        <v>16043754924.049999</v>
      </c>
    </row>
    <row r="103" spans="3:12" x14ac:dyDescent="0.25">
      <c r="C103" s="3">
        <v>41518</v>
      </c>
      <c r="D103" s="4">
        <v>28474515807.220001</v>
      </c>
      <c r="G103" s="3">
        <v>41518</v>
      </c>
      <c r="H103" s="4">
        <v>23217757702.279999</v>
      </c>
      <c r="K103" s="3">
        <v>41518</v>
      </c>
      <c r="L103" s="4">
        <v>12954391824.35</v>
      </c>
    </row>
    <row r="104" spans="3:12" x14ac:dyDescent="0.25">
      <c r="C104" s="3">
        <v>41548</v>
      </c>
      <c r="D104" s="4">
        <v>21846439126.260002</v>
      </c>
      <c r="G104" s="3">
        <v>41548</v>
      </c>
      <c r="H104" s="4">
        <v>16622350119.240002</v>
      </c>
      <c r="K104" s="3">
        <v>41548</v>
      </c>
      <c r="L104" s="4">
        <v>9148941452.2000008</v>
      </c>
    </row>
    <row r="105" spans="3:12" x14ac:dyDescent="0.25">
      <c r="C105" s="3">
        <v>41579</v>
      </c>
      <c r="D105" s="4">
        <v>19735518182.900002</v>
      </c>
      <c r="G105" s="3">
        <v>41579</v>
      </c>
      <c r="H105" s="4">
        <v>15129673981.85</v>
      </c>
      <c r="K105" s="3">
        <v>41579</v>
      </c>
      <c r="L105" s="4">
        <v>7277980089.6000004</v>
      </c>
    </row>
    <row r="106" spans="3:12" x14ac:dyDescent="0.25">
      <c r="C106" s="3">
        <v>41609</v>
      </c>
      <c r="D106" s="4">
        <v>17148936693.369997</v>
      </c>
      <c r="G106" s="3">
        <v>41609</v>
      </c>
      <c r="H106" s="4">
        <v>12929026951.82</v>
      </c>
      <c r="K106" s="3">
        <v>41609</v>
      </c>
      <c r="L106" s="4">
        <v>6588450968.0200005</v>
      </c>
    </row>
    <row r="107" spans="3:12" x14ac:dyDescent="0.25">
      <c r="C107" s="3">
        <v>41640</v>
      </c>
      <c r="D107" s="4">
        <v>11561109174.170002</v>
      </c>
      <c r="G107" s="3">
        <v>41640</v>
      </c>
      <c r="H107" s="4">
        <v>8967497119.7200012</v>
      </c>
      <c r="K107" s="3">
        <v>41640</v>
      </c>
      <c r="L107" s="4">
        <v>3105702600.8000002</v>
      </c>
    </row>
    <row r="108" spans="3:12" x14ac:dyDescent="0.25">
      <c r="C108" s="3">
        <v>41671</v>
      </c>
      <c r="D108" s="4">
        <v>13447219374.819998</v>
      </c>
      <c r="G108" s="3">
        <v>41671</v>
      </c>
      <c r="H108" s="4">
        <v>10862978588.139999</v>
      </c>
      <c r="K108" s="3">
        <v>41671</v>
      </c>
      <c r="L108" s="4">
        <v>4228977520.5</v>
      </c>
    </row>
    <row r="109" spans="3:12" x14ac:dyDescent="0.25">
      <c r="C109" s="3">
        <v>41699</v>
      </c>
      <c r="D109" s="4">
        <v>9860110204.4599991</v>
      </c>
      <c r="G109" s="3">
        <v>41699</v>
      </c>
      <c r="H109" s="4">
        <v>7601988463.4200001</v>
      </c>
      <c r="K109" s="3">
        <v>41699</v>
      </c>
      <c r="L109" s="4">
        <v>2771745679.8800001</v>
      </c>
    </row>
    <row r="110" spans="3:12" x14ac:dyDescent="0.25">
      <c r="C110" s="3">
        <v>41730</v>
      </c>
      <c r="D110" s="4">
        <v>12276303521.109999</v>
      </c>
      <c r="G110" s="3">
        <v>41730</v>
      </c>
      <c r="H110" s="4">
        <v>9017573459.2299995</v>
      </c>
      <c r="K110" s="3">
        <v>41730</v>
      </c>
      <c r="L110" s="4">
        <v>3281937556.02</v>
      </c>
    </row>
    <row r="111" spans="3:12" x14ac:dyDescent="0.25">
      <c r="C111" s="3">
        <v>41760</v>
      </c>
      <c r="D111" s="4">
        <v>10540781524.629999</v>
      </c>
      <c r="G111" s="3">
        <v>41760</v>
      </c>
      <c r="H111" s="4">
        <v>7511955198.1200008</v>
      </c>
      <c r="K111" s="3">
        <v>41760</v>
      </c>
      <c r="L111" s="4">
        <v>3701376306.8000002</v>
      </c>
    </row>
    <row r="112" spans="3:12" x14ac:dyDescent="0.25">
      <c r="C112" s="3">
        <v>41791</v>
      </c>
      <c r="D112" s="4">
        <v>13048715246.830002</v>
      </c>
      <c r="G112" s="3">
        <v>41791</v>
      </c>
      <c r="H112" s="4">
        <v>9698417154.789999</v>
      </c>
      <c r="K112" s="3">
        <v>41791</v>
      </c>
      <c r="L112" s="4">
        <v>4119664079.48</v>
      </c>
    </row>
    <row r="113" spans="3:12" x14ac:dyDescent="0.25">
      <c r="C113" s="3">
        <v>41821</v>
      </c>
      <c r="D113" s="4">
        <v>14180443501.41</v>
      </c>
      <c r="G113" s="3">
        <v>41821</v>
      </c>
      <c r="H113" s="4">
        <v>10365356857.860001</v>
      </c>
      <c r="K113" s="3">
        <v>41821</v>
      </c>
      <c r="L113" s="4">
        <v>4404846709.1300001</v>
      </c>
    </row>
    <row r="114" spans="3:12" x14ac:dyDescent="0.25">
      <c r="C114" s="3">
        <v>41852</v>
      </c>
      <c r="D114" s="4">
        <v>13791297844.579998</v>
      </c>
      <c r="G114" s="3">
        <v>41852</v>
      </c>
      <c r="H114" s="4">
        <v>10185763886.950001</v>
      </c>
      <c r="K114" s="3">
        <v>41852</v>
      </c>
      <c r="L114" s="4">
        <v>4351012772.2799997</v>
      </c>
    </row>
    <row r="115" spans="3:12" x14ac:dyDescent="0.25">
      <c r="C115" s="3">
        <v>41883</v>
      </c>
      <c r="D115" s="4">
        <v>20418529374.110001</v>
      </c>
      <c r="G115" s="3">
        <v>41883</v>
      </c>
      <c r="H115" s="4">
        <v>15191127020.780001</v>
      </c>
      <c r="K115" s="3">
        <v>41883</v>
      </c>
      <c r="L115" s="4">
        <v>4282578991.9000001</v>
      </c>
    </row>
    <row r="116" spans="3:12" x14ac:dyDescent="0.25">
      <c r="C116" s="3">
        <v>41913</v>
      </c>
      <c r="D116" s="4">
        <v>16591290665.489998</v>
      </c>
      <c r="G116" s="3">
        <v>41913</v>
      </c>
      <c r="H116" s="4">
        <v>12022533710.82</v>
      </c>
      <c r="K116" s="3">
        <v>41913</v>
      </c>
      <c r="L116" s="4">
        <v>4328284495.8800001</v>
      </c>
    </row>
    <row r="117" spans="3:12" x14ac:dyDescent="0.25">
      <c r="C117" s="3">
        <v>41944</v>
      </c>
      <c r="D117" s="4">
        <v>19050839925.150002</v>
      </c>
      <c r="G117" s="3">
        <v>41944</v>
      </c>
      <c r="H117" s="4">
        <v>15143920247.16</v>
      </c>
      <c r="K117" s="3">
        <v>41944</v>
      </c>
      <c r="L117" s="4">
        <v>4110188403.46</v>
      </c>
    </row>
    <row r="118" spans="3:12" x14ac:dyDescent="0.25">
      <c r="C118" s="3">
        <v>41974</v>
      </c>
      <c r="D118" s="4">
        <v>16969236987.160002</v>
      </c>
      <c r="G118" s="3">
        <v>41974</v>
      </c>
      <c r="H118" s="4">
        <v>12192486905.27</v>
      </c>
      <c r="K118" s="3">
        <v>41974</v>
      </c>
      <c r="L118" s="4">
        <v>3928850698.1300001</v>
      </c>
    </row>
    <row r="119" spans="3:12" x14ac:dyDescent="0.25">
      <c r="C119" s="3">
        <v>42005</v>
      </c>
      <c r="D119" s="4">
        <v>17220019925.009998</v>
      </c>
      <c r="G119" s="3">
        <v>42005</v>
      </c>
      <c r="H119" s="4">
        <v>13355633418.48</v>
      </c>
      <c r="K119" s="3">
        <v>42005</v>
      </c>
      <c r="L119" s="4">
        <v>5489190091.1700001</v>
      </c>
    </row>
    <row r="120" spans="3:12" x14ac:dyDescent="0.25">
      <c r="C120" s="3">
        <v>42036</v>
      </c>
      <c r="D120" s="4">
        <v>16016008212.179998</v>
      </c>
      <c r="G120" s="3">
        <v>42036</v>
      </c>
      <c r="H120" s="4">
        <v>11671526842.16</v>
      </c>
      <c r="K120" s="3">
        <v>42036</v>
      </c>
      <c r="L120" s="4">
        <v>5063985040.1199999</v>
      </c>
    </row>
    <row r="121" spans="3:12" x14ac:dyDescent="0.25">
      <c r="C121" s="3">
        <v>42064</v>
      </c>
      <c r="D121" s="4">
        <v>11103071609.139999</v>
      </c>
      <c r="G121" s="3">
        <v>42064</v>
      </c>
      <c r="H121" s="4">
        <v>8844462338.1399994</v>
      </c>
      <c r="K121" s="3">
        <v>42064</v>
      </c>
      <c r="L121" s="4">
        <v>4009024386</v>
      </c>
    </row>
    <row r="122" spans="3:12" x14ac:dyDescent="0.25">
      <c r="C122" s="3" t="s">
        <v>83</v>
      </c>
      <c r="D122" s="4">
        <v>3055236020959.1802</v>
      </c>
      <c r="G122" s="3" t="s">
        <v>83</v>
      </c>
      <c r="H122" s="4">
        <v>2481766659203.1001</v>
      </c>
      <c r="K122" s="3" t="s">
        <v>83</v>
      </c>
      <c r="L122" s="4">
        <v>1007648441236.5603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403"/>
  <sheetViews>
    <sheetView workbookViewId="0">
      <selection activeCell="H3" sqref="H3"/>
    </sheetView>
  </sheetViews>
  <sheetFormatPr defaultRowHeight="15" x14ac:dyDescent="0.25"/>
  <cols>
    <col min="2" max="2" width="47" bestFit="1" customWidth="1"/>
    <col min="3" max="3" width="9.7109375" customWidth="1"/>
    <col min="4" max="4" width="12.28515625" bestFit="1" customWidth="1"/>
    <col min="5" max="5" width="5.28515625" bestFit="1" customWidth="1"/>
    <col min="8" max="8" width="9.7109375" bestFit="1" customWidth="1"/>
    <col min="9" max="9" width="12.28515625" bestFit="1" customWidth="1"/>
    <col min="11" max="11" width="9.7109375" bestFit="1" customWidth="1"/>
    <col min="12" max="12" width="12.28515625" bestFit="1" customWidth="1"/>
    <col min="14" max="14" width="9.7109375" bestFit="1" customWidth="1"/>
    <col min="15" max="15" width="12.28515625" bestFit="1" customWidth="1"/>
  </cols>
  <sheetData>
    <row r="2" spans="2:15" x14ac:dyDescent="0.25">
      <c r="H2" t="s">
        <v>100</v>
      </c>
      <c r="K2" t="s">
        <v>101</v>
      </c>
      <c r="N2" t="s">
        <v>102</v>
      </c>
    </row>
    <row r="3" spans="2:15" x14ac:dyDescent="0.25">
      <c r="B3" t="s">
        <v>0</v>
      </c>
      <c r="C3" t="s">
        <v>1</v>
      </c>
      <c r="D3" t="s">
        <v>2</v>
      </c>
      <c r="E3" t="s">
        <v>3</v>
      </c>
      <c r="H3" t="s">
        <v>1</v>
      </c>
      <c r="I3" t="s">
        <v>2</v>
      </c>
      <c r="K3" t="s">
        <v>1</v>
      </c>
      <c r="L3" t="s">
        <v>2</v>
      </c>
      <c r="N3" s="1" t="s">
        <v>1</v>
      </c>
      <c r="O3" t="s">
        <v>2</v>
      </c>
    </row>
    <row r="4" spans="2:15" x14ac:dyDescent="0.25">
      <c r="B4" s="1" t="s">
        <v>4</v>
      </c>
      <c r="C4" s="1">
        <v>38504</v>
      </c>
      <c r="D4">
        <v>9487254</v>
      </c>
      <c r="E4">
        <v>1</v>
      </c>
      <c r="H4" s="1">
        <v>39083</v>
      </c>
      <c r="I4">
        <v>49068464062.099998</v>
      </c>
      <c r="K4" s="1">
        <v>39083</v>
      </c>
      <c r="L4">
        <v>12755199686.66</v>
      </c>
      <c r="N4" s="1">
        <v>39083</v>
      </c>
      <c r="O4">
        <v>804992277.03999996</v>
      </c>
    </row>
    <row r="5" spans="2:15" x14ac:dyDescent="0.25">
      <c r="B5" s="1" t="s">
        <v>5</v>
      </c>
      <c r="C5" s="1">
        <v>38504</v>
      </c>
      <c r="D5">
        <v>2584090</v>
      </c>
      <c r="E5">
        <v>2</v>
      </c>
      <c r="H5" s="1">
        <v>39114</v>
      </c>
      <c r="I5">
        <v>46067240921.730003</v>
      </c>
      <c r="K5" s="1">
        <v>39114</v>
      </c>
      <c r="L5">
        <v>10090446420</v>
      </c>
      <c r="N5" s="1">
        <v>39114</v>
      </c>
      <c r="O5">
        <v>767266555.07000005</v>
      </c>
    </row>
    <row r="6" spans="2:15" x14ac:dyDescent="0.25">
      <c r="B6" s="1" t="s">
        <v>7</v>
      </c>
      <c r="C6" s="1">
        <v>38504</v>
      </c>
      <c r="D6">
        <v>2473153</v>
      </c>
      <c r="E6">
        <v>3</v>
      </c>
      <c r="H6" s="1">
        <v>39142</v>
      </c>
      <c r="I6">
        <v>47629783273.940002</v>
      </c>
      <c r="K6" s="1">
        <v>39142</v>
      </c>
      <c r="L6">
        <v>14264823452.200001</v>
      </c>
      <c r="N6" s="1">
        <v>39142</v>
      </c>
      <c r="O6">
        <v>764154396.39999998</v>
      </c>
    </row>
    <row r="7" spans="2:15" x14ac:dyDescent="0.25">
      <c r="B7" s="1" t="s">
        <v>6</v>
      </c>
      <c r="C7" s="1">
        <v>38504</v>
      </c>
      <c r="D7">
        <v>2473153</v>
      </c>
      <c r="E7">
        <v>3</v>
      </c>
      <c r="H7" s="1">
        <v>39173</v>
      </c>
      <c r="I7">
        <v>51130390876.290001</v>
      </c>
      <c r="K7" s="1">
        <v>39173</v>
      </c>
      <c r="L7">
        <v>11172945973</v>
      </c>
      <c r="N7" s="1">
        <v>39173</v>
      </c>
      <c r="O7">
        <v>1297352386.8</v>
      </c>
    </row>
    <row r="8" spans="2:15" x14ac:dyDescent="0.25">
      <c r="B8" s="1" t="s">
        <v>8</v>
      </c>
      <c r="C8" s="1">
        <v>38504</v>
      </c>
      <c r="D8">
        <v>653224</v>
      </c>
      <c r="E8">
        <v>5</v>
      </c>
      <c r="H8" s="1">
        <v>39203</v>
      </c>
      <c r="I8">
        <v>58241869995.239998</v>
      </c>
      <c r="K8" s="1">
        <v>39203</v>
      </c>
      <c r="L8">
        <v>13735083658</v>
      </c>
      <c r="N8" s="1">
        <v>39203</v>
      </c>
      <c r="O8">
        <v>1198412583.6700001</v>
      </c>
    </row>
    <row r="9" spans="2:15" x14ac:dyDescent="0.25">
      <c r="B9" s="1" t="s">
        <v>9</v>
      </c>
      <c r="C9" s="1">
        <v>38504</v>
      </c>
      <c r="D9">
        <v>527391.32999999996</v>
      </c>
      <c r="E9">
        <v>6</v>
      </c>
      <c r="H9" s="1">
        <v>39234</v>
      </c>
      <c r="I9">
        <v>50433013414.199997</v>
      </c>
      <c r="K9" s="1">
        <v>39234</v>
      </c>
      <c r="L9">
        <v>48262039856</v>
      </c>
      <c r="N9" s="1">
        <v>39264</v>
      </c>
      <c r="O9">
        <v>1344853100.0699999</v>
      </c>
    </row>
    <row r="10" spans="2:15" x14ac:dyDescent="0.25">
      <c r="B10" s="1" t="s">
        <v>10</v>
      </c>
      <c r="C10" s="1">
        <v>38504</v>
      </c>
      <c r="D10">
        <v>344406.07</v>
      </c>
      <c r="E10">
        <v>7</v>
      </c>
      <c r="H10" s="1">
        <v>39264</v>
      </c>
      <c r="I10">
        <v>53229367946.120003</v>
      </c>
      <c r="K10" s="1">
        <v>39264</v>
      </c>
      <c r="L10">
        <v>49227506796</v>
      </c>
      <c r="N10" s="1">
        <v>39295</v>
      </c>
      <c r="O10">
        <v>1093178368.6700001</v>
      </c>
    </row>
    <row r="11" spans="2:15" x14ac:dyDescent="0.25">
      <c r="B11" s="1" t="s">
        <v>11</v>
      </c>
      <c r="C11" s="1">
        <v>38504</v>
      </c>
      <c r="D11">
        <v>329248.45</v>
      </c>
      <c r="E11">
        <v>8</v>
      </c>
      <c r="H11" s="1">
        <v>39295</v>
      </c>
      <c r="I11">
        <v>55852222730.150002</v>
      </c>
      <c r="K11" s="1">
        <v>39295</v>
      </c>
      <c r="L11">
        <v>10763644956</v>
      </c>
      <c r="N11" s="1">
        <v>39326</v>
      </c>
      <c r="O11">
        <v>1303633281.51</v>
      </c>
    </row>
    <row r="12" spans="2:15" x14ac:dyDescent="0.25">
      <c r="B12" s="1" t="s">
        <v>12</v>
      </c>
      <c r="C12" s="1">
        <v>38504</v>
      </c>
      <c r="D12">
        <v>315400</v>
      </c>
      <c r="E12">
        <v>9</v>
      </c>
      <c r="H12" s="1">
        <v>39326</v>
      </c>
      <c r="I12">
        <v>59519283040.339996</v>
      </c>
      <c r="K12" s="1">
        <v>39326</v>
      </c>
      <c r="L12">
        <v>9103829164</v>
      </c>
      <c r="N12" s="1">
        <v>39356</v>
      </c>
      <c r="O12">
        <v>843311085.42999995</v>
      </c>
    </row>
    <row r="13" spans="2:15" x14ac:dyDescent="0.25">
      <c r="B13" s="1" t="s">
        <v>13</v>
      </c>
      <c r="C13" s="1">
        <v>38504</v>
      </c>
      <c r="D13">
        <v>225801.62</v>
      </c>
      <c r="E13">
        <v>10</v>
      </c>
      <c r="H13" s="1">
        <v>39356</v>
      </c>
      <c r="I13">
        <v>53589853815.260002</v>
      </c>
      <c r="K13" s="1">
        <v>39356</v>
      </c>
      <c r="L13">
        <v>11684087724</v>
      </c>
      <c r="N13" s="1">
        <v>39387</v>
      </c>
      <c r="O13">
        <v>1298540593.1300001</v>
      </c>
    </row>
    <row r="14" spans="2:15" x14ac:dyDescent="0.25">
      <c r="B14" s="1" t="s">
        <v>7</v>
      </c>
      <c r="C14" s="1">
        <v>38534</v>
      </c>
      <c r="D14">
        <v>2250361</v>
      </c>
      <c r="E14">
        <v>1</v>
      </c>
      <c r="H14" s="1">
        <v>39387</v>
      </c>
      <c r="I14">
        <v>56318004683</v>
      </c>
      <c r="K14" s="1">
        <v>39387</v>
      </c>
      <c r="L14">
        <v>10286727579.799999</v>
      </c>
      <c r="N14" s="1">
        <v>39417</v>
      </c>
      <c r="O14">
        <v>1294464930.79</v>
      </c>
    </row>
    <row r="15" spans="2:15" x14ac:dyDescent="0.25">
      <c r="B15" s="1" t="s">
        <v>6</v>
      </c>
      <c r="C15" s="1">
        <v>38534</v>
      </c>
      <c r="D15">
        <v>2250361</v>
      </c>
      <c r="E15">
        <v>1</v>
      </c>
      <c r="H15" s="1">
        <v>39417</v>
      </c>
      <c r="I15">
        <v>70720993110.179993</v>
      </c>
      <c r="K15" s="1">
        <v>39417</v>
      </c>
      <c r="L15">
        <v>17719338930</v>
      </c>
      <c r="N15" s="1">
        <v>39448</v>
      </c>
      <c r="O15">
        <v>1595054076.3199999</v>
      </c>
    </row>
    <row r="16" spans="2:15" x14ac:dyDescent="0.25">
      <c r="B16" s="1" t="s">
        <v>9</v>
      </c>
      <c r="C16" s="1">
        <v>38534</v>
      </c>
      <c r="D16">
        <v>1615322</v>
      </c>
      <c r="E16">
        <v>3</v>
      </c>
      <c r="H16" s="1">
        <v>39448</v>
      </c>
      <c r="I16">
        <v>55380966103.379997</v>
      </c>
      <c r="K16" s="1">
        <v>39448</v>
      </c>
      <c r="L16">
        <v>11369438069</v>
      </c>
      <c r="N16" s="1">
        <v>39479</v>
      </c>
      <c r="O16">
        <v>1373760378.96</v>
      </c>
    </row>
    <row r="17" spans="2:15" x14ac:dyDescent="0.25">
      <c r="B17" s="1" t="s">
        <v>14</v>
      </c>
      <c r="C17" s="1">
        <v>38534</v>
      </c>
      <c r="D17">
        <v>1229817</v>
      </c>
      <c r="E17">
        <v>4</v>
      </c>
      <c r="H17" s="1">
        <v>39479</v>
      </c>
      <c r="I17">
        <v>76264291344.479996</v>
      </c>
      <c r="K17" s="1">
        <v>39479</v>
      </c>
      <c r="L17">
        <v>27291717471</v>
      </c>
      <c r="N17" s="1">
        <v>39508</v>
      </c>
      <c r="O17">
        <v>2632882569.0300002</v>
      </c>
    </row>
    <row r="18" spans="2:15" x14ac:dyDescent="0.25">
      <c r="B18" s="1" t="s">
        <v>13</v>
      </c>
      <c r="C18" s="1">
        <v>38534</v>
      </c>
      <c r="D18">
        <v>1229817</v>
      </c>
      <c r="E18">
        <v>4</v>
      </c>
      <c r="H18" s="1">
        <v>39508</v>
      </c>
      <c r="I18">
        <v>54036130386.260002</v>
      </c>
      <c r="K18" s="1">
        <v>39508</v>
      </c>
      <c r="L18">
        <v>18304362684</v>
      </c>
      <c r="N18" s="1">
        <v>39539</v>
      </c>
      <c r="O18">
        <v>1976637598.26</v>
      </c>
    </row>
    <row r="19" spans="2:15" x14ac:dyDescent="0.25">
      <c r="B19" s="1" t="s">
        <v>15</v>
      </c>
      <c r="C19" s="1">
        <v>38534</v>
      </c>
      <c r="D19">
        <v>1140628</v>
      </c>
      <c r="E19">
        <v>6</v>
      </c>
      <c r="H19" s="1">
        <v>39539</v>
      </c>
      <c r="I19">
        <v>61021756747.739998</v>
      </c>
      <c r="K19" s="1">
        <v>39539</v>
      </c>
      <c r="L19">
        <v>12460921559.299999</v>
      </c>
      <c r="N19" s="1">
        <v>39569</v>
      </c>
      <c r="O19">
        <v>2171546574.1199999</v>
      </c>
    </row>
    <row r="20" spans="2:15" x14ac:dyDescent="0.25">
      <c r="B20" s="1" t="s">
        <v>8</v>
      </c>
      <c r="C20" s="1">
        <v>38534</v>
      </c>
      <c r="D20">
        <v>915307</v>
      </c>
      <c r="E20">
        <v>7</v>
      </c>
      <c r="H20" s="1">
        <v>39569</v>
      </c>
      <c r="I20">
        <v>67752280712.029999</v>
      </c>
      <c r="K20" s="1">
        <v>39569</v>
      </c>
      <c r="L20">
        <v>22906093935.959999</v>
      </c>
      <c r="N20" s="1">
        <v>39600</v>
      </c>
      <c r="O20">
        <v>2141783350.53</v>
      </c>
    </row>
    <row r="21" spans="2:15" x14ac:dyDescent="0.25">
      <c r="B21" s="1" t="s">
        <v>4</v>
      </c>
      <c r="C21" s="1">
        <v>38534</v>
      </c>
      <c r="D21">
        <v>251613</v>
      </c>
      <c r="E21">
        <v>8</v>
      </c>
      <c r="H21" s="1">
        <v>39600</v>
      </c>
      <c r="I21">
        <v>54754255797.940002</v>
      </c>
      <c r="K21" s="1">
        <v>39600</v>
      </c>
      <c r="L21">
        <v>12792640351.440001</v>
      </c>
      <c r="N21" s="1">
        <v>39630</v>
      </c>
      <c r="O21">
        <v>1275868064.53</v>
      </c>
    </row>
    <row r="22" spans="2:15" x14ac:dyDescent="0.25">
      <c r="B22" s="1" t="s">
        <v>7</v>
      </c>
      <c r="C22" s="1">
        <v>38565</v>
      </c>
      <c r="D22">
        <v>39579332</v>
      </c>
      <c r="E22">
        <v>1</v>
      </c>
      <c r="H22" s="1">
        <v>39630</v>
      </c>
      <c r="I22">
        <v>39254673980.809998</v>
      </c>
      <c r="K22" s="1">
        <v>39630</v>
      </c>
      <c r="L22">
        <v>8508893476.4399996</v>
      </c>
      <c r="N22" s="1">
        <v>39661</v>
      </c>
      <c r="O22">
        <v>1129226752.3399999</v>
      </c>
    </row>
    <row r="23" spans="2:15" x14ac:dyDescent="0.25">
      <c r="B23" s="1" t="s">
        <v>6</v>
      </c>
      <c r="C23" s="1">
        <v>38565</v>
      </c>
      <c r="D23">
        <v>39579332</v>
      </c>
      <c r="E23">
        <v>1</v>
      </c>
      <c r="H23" s="1">
        <v>39661</v>
      </c>
      <c r="I23">
        <v>33987473164.599998</v>
      </c>
      <c r="K23" s="1">
        <v>39661</v>
      </c>
      <c r="L23">
        <v>8102585690.9200001</v>
      </c>
      <c r="N23" s="1">
        <v>39692</v>
      </c>
      <c r="O23">
        <v>1116625914.01</v>
      </c>
    </row>
    <row r="24" spans="2:15" x14ac:dyDescent="0.25">
      <c r="B24" s="1" t="s">
        <v>16</v>
      </c>
      <c r="C24" s="1">
        <v>38565</v>
      </c>
      <c r="D24">
        <v>38010916.060000002</v>
      </c>
      <c r="E24">
        <v>3</v>
      </c>
      <c r="H24" s="1">
        <v>39692</v>
      </c>
      <c r="I24">
        <v>41506327516.75</v>
      </c>
      <c r="K24" s="1">
        <v>39692</v>
      </c>
      <c r="L24">
        <v>12108914961.860001</v>
      </c>
      <c r="N24" s="1">
        <v>39722</v>
      </c>
      <c r="O24">
        <v>1438213820.27</v>
      </c>
    </row>
    <row r="25" spans="2:15" x14ac:dyDescent="0.25">
      <c r="B25" s="1" t="s">
        <v>17</v>
      </c>
      <c r="C25" s="1">
        <v>38565</v>
      </c>
      <c r="D25">
        <v>36008093.060000002</v>
      </c>
      <c r="E25">
        <v>4</v>
      </c>
      <c r="H25" s="1">
        <v>39722</v>
      </c>
      <c r="I25">
        <v>32554558169.93</v>
      </c>
      <c r="K25" s="1">
        <v>39722</v>
      </c>
      <c r="L25">
        <v>11004808168.200001</v>
      </c>
      <c r="N25" s="1">
        <v>39753</v>
      </c>
      <c r="O25">
        <v>1592400863.3099999</v>
      </c>
    </row>
    <row r="26" spans="2:15" x14ac:dyDescent="0.25">
      <c r="B26" s="1" t="s">
        <v>15</v>
      </c>
      <c r="C26" s="1">
        <v>38565</v>
      </c>
      <c r="D26">
        <v>3079406</v>
      </c>
      <c r="E26">
        <v>5</v>
      </c>
      <c r="H26" s="1">
        <v>39753</v>
      </c>
      <c r="I26">
        <v>27385866902.009998</v>
      </c>
      <c r="K26" s="1">
        <v>39753</v>
      </c>
      <c r="L26">
        <v>6244262829</v>
      </c>
      <c r="N26" s="1">
        <v>39783</v>
      </c>
      <c r="O26">
        <v>1241364266.02</v>
      </c>
    </row>
    <row r="27" spans="2:15" x14ac:dyDescent="0.25">
      <c r="B27" s="1" t="s">
        <v>18</v>
      </c>
      <c r="C27" s="1">
        <v>38565</v>
      </c>
      <c r="D27">
        <v>2434551</v>
      </c>
      <c r="E27">
        <v>6</v>
      </c>
      <c r="H27" s="1">
        <v>39783</v>
      </c>
      <c r="I27">
        <v>41233749209.5</v>
      </c>
      <c r="K27" s="1">
        <v>39783</v>
      </c>
      <c r="L27">
        <v>5749174682</v>
      </c>
      <c r="N27" s="1">
        <v>39814</v>
      </c>
      <c r="O27">
        <v>2230789746.77</v>
      </c>
    </row>
    <row r="28" spans="2:15" x14ac:dyDescent="0.25">
      <c r="B28" s="1" t="s">
        <v>19</v>
      </c>
      <c r="C28" s="1">
        <v>38565</v>
      </c>
      <c r="D28">
        <v>1513553</v>
      </c>
      <c r="E28">
        <v>7</v>
      </c>
      <c r="H28" s="1">
        <v>39814</v>
      </c>
      <c r="I28">
        <v>26074589597.5</v>
      </c>
      <c r="K28" s="1">
        <v>39814</v>
      </c>
      <c r="L28">
        <v>4907185637</v>
      </c>
      <c r="N28" s="1">
        <v>39845</v>
      </c>
      <c r="O28">
        <v>5585035666.4899998</v>
      </c>
    </row>
    <row r="29" spans="2:15" x14ac:dyDescent="0.25">
      <c r="B29" s="1" t="s">
        <v>20</v>
      </c>
      <c r="C29" s="1">
        <v>38565</v>
      </c>
      <c r="D29">
        <v>1129848.47</v>
      </c>
      <c r="E29">
        <v>8</v>
      </c>
      <c r="H29" s="1">
        <v>39845</v>
      </c>
      <c r="I29">
        <v>47498482306.410004</v>
      </c>
      <c r="K29" s="1">
        <v>39845</v>
      </c>
      <c r="L29">
        <v>8316023418</v>
      </c>
      <c r="N29" s="1">
        <v>39873</v>
      </c>
      <c r="O29">
        <v>10006189041.65</v>
      </c>
    </row>
    <row r="30" spans="2:15" x14ac:dyDescent="0.25">
      <c r="B30" s="1" t="s">
        <v>4</v>
      </c>
      <c r="C30" s="1">
        <v>38565</v>
      </c>
      <c r="D30">
        <v>813550</v>
      </c>
      <c r="E30">
        <v>9</v>
      </c>
      <c r="H30" s="1">
        <v>39873</v>
      </c>
      <c r="I30">
        <v>91030919352.979996</v>
      </c>
      <c r="K30" s="1">
        <v>39873</v>
      </c>
      <c r="L30">
        <v>22744846785</v>
      </c>
      <c r="N30" s="1">
        <v>39904</v>
      </c>
      <c r="O30">
        <v>11053668227.02</v>
      </c>
    </row>
    <row r="31" spans="2:15" x14ac:dyDescent="0.25">
      <c r="B31" s="1" t="s">
        <v>21</v>
      </c>
      <c r="C31" s="1">
        <v>38565</v>
      </c>
      <c r="D31">
        <v>206813</v>
      </c>
      <c r="E31">
        <v>10</v>
      </c>
      <c r="H31" s="1">
        <v>39904</v>
      </c>
      <c r="I31">
        <v>58732734355.699997</v>
      </c>
      <c r="K31" s="1">
        <v>39904</v>
      </c>
      <c r="L31">
        <v>8532635208</v>
      </c>
      <c r="N31" s="1">
        <v>39934</v>
      </c>
      <c r="O31">
        <v>45560165549.309998</v>
      </c>
    </row>
    <row r="32" spans="2:15" x14ac:dyDescent="0.25">
      <c r="B32" s="1" t="s">
        <v>6</v>
      </c>
      <c r="C32" s="1">
        <v>38596</v>
      </c>
      <c r="D32">
        <v>56552979</v>
      </c>
      <c r="E32">
        <v>1</v>
      </c>
      <c r="H32" s="1">
        <v>39934</v>
      </c>
      <c r="I32">
        <v>133840090442.36</v>
      </c>
      <c r="K32" s="1">
        <v>39934</v>
      </c>
      <c r="L32">
        <v>15344958750</v>
      </c>
      <c r="N32" s="1">
        <v>39965</v>
      </c>
      <c r="O32">
        <v>33182796527.880001</v>
      </c>
    </row>
    <row r="33" spans="2:15" x14ac:dyDescent="0.25">
      <c r="B33" s="1" t="s">
        <v>7</v>
      </c>
      <c r="C33" s="1">
        <v>38596</v>
      </c>
      <c r="D33">
        <v>16310553</v>
      </c>
      <c r="E33">
        <v>2</v>
      </c>
      <c r="H33" s="1">
        <v>39965</v>
      </c>
      <c r="I33">
        <v>133396899527.09</v>
      </c>
      <c r="K33" s="1">
        <v>39965</v>
      </c>
      <c r="L33">
        <v>23952022073</v>
      </c>
      <c r="N33" s="1">
        <v>39995</v>
      </c>
      <c r="O33">
        <v>9279188740.6499996</v>
      </c>
    </row>
    <row r="34" spans="2:15" x14ac:dyDescent="0.25">
      <c r="B34" s="1" t="s">
        <v>16</v>
      </c>
      <c r="C34" s="1">
        <v>38596</v>
      </c>
      <c r="D34">
        <v>12772716</v>
      </c>
      <c r="E34">
        <v>3</v>
      </c>
      <c r="H34" s="1">
        <v>39995</v>
      </c>
      <c r="I34">
        <v>81085052853.800003</v>
      </c>
      <c r="K34" s="1">
        <v>39995</v>
      </c>
      <c r="L34">
        <v>15630530955</v>
      </c>
      <c r="N34" s="1">
        <v>40026</v>
      </c>
      <c r="O34">
        <v>9233029230.7800007</v>
      </c>
    </row>
    <row r="35" spans="2:15" x14ac:dyDescent="0.25">
      <c r="B35" s="1" t="s">
        <v>22</v>
      </c>
      <c r="C35" s="1">
        <v>38596</v>
      </c>
      <c r="D35">
        <v>12489330</v>
      </c>
      <c r="E35">
        <v>4</v>
      </c>
      <c r="H35" s="1">
        <v>40026</v>
      </c>
      <c r="I35">
        <v>62725888062.300003</v>
      </c>
      <c r="K35" s="1">
        <v>40026</v>
      </c>
      <c r="L35">
        <v>10784987411</v>
      </c>
      <c r="N35" s="1">
        <v>40057</v>
      </c>
      <c r="O35">
        <v>7338103685.1400003</v>
      </c>
    </row>
    <row r="36" spans="2:15" x14ac:dyDescent="0.25">
      <c r="B36" s="1" t="s">
        <v>23</v>
      </c>
      <c r="C36" s="1">
        <v>38596</v>
      </c>
      <c r="D36">
        <v>8828178</v>
      </c>
      <c r="E36">
        <v>5</v>
      </c>
      <c r="H36" s="1">
        <v>40057</v>
      </c>
      <c r="I36">
        <v>58721966516.220001</v>
      </c>
      <c r="K36" s="1">
        <v>40057</v>
      </c>
      <c r="L36">
        <v>15838054203</v>
      </c>
      <c r="N36" s="1">
        <v>40087</v>
      </c>
      <c r="O36">
        <v>4378143399.8699999</v>
      </c>
    </row>
    <row r="37" spans="2:15" x14ac:dyDescent="0.25">
      <c r="B37" s="1" t="s">
        <v>5</v>
      </c>
      <c r="C37" s="1">
        <v>38596</v>
      </c>
      <c r="D37">
        <v>3559467</v>
      </c>
      <c r="E37">
        <v>6</v>
      </c>
      <c r="H37" s="1">
        <v>40087</v>
      </c>
      <c r="I37">
        <v>40018067422.019997</v>
      </c>
      <c r="K37" s="1">
        <v>40087</v>
      </c>
      <c r="L37">
        <v>13765119592</v>
      </c>
      <c r="N37" s="1">
        <v>40118</v>
      </c>
      <c r="O37">
        <v>4231296613.1300001</v>
      </c>
    </row>
    <row r="38" spans="2:15" x14ac:dyDescent="0.25">
      <c r="B38" s="1" t="s">
        <v>24</v>
      </c>
      <c r="C38" s="1">
        <v>38596</v>
      </c>
      <c r="D38">
        <v>1563360</v>
      </c>
      <c r="E38">
        <v>7</v>
      </c>
      <c r="H38" s="1">
        <v>40118</v>
      </c>
      <c r="I38">
        <v>39630338873.360001</v>
      </c>
      <c r="K38" s="1">
        <v>40118</v>
      </c>
      <c r="L38">
        <v>10790428166</v>
      </c>
      <c r="N38" s="1">
        <v>40148</v>
      </c>
      <c r="O38">
        <v>4688992883.8400002</v>
      </c>
    </row>
    <row r="39" spans="2:15" x14ac:dyDescent="0.25">
      <c r="B39" s="1" t="s">
        <v>4</v>
      </c>
      <c r="C39" s="1">
        <v>38596</v>
      </c>
      <c r="D39">
        <v>1418775</v>
      </c>
      <c r="E39">
        <v>8</v>
      </c>
      <c r="H39" s="1">
        <v>40148</v>
      </c>
      <c r="I39">
        <v>49380885366.279999</v>
      </c>
      <c r="K39" s="1">
        <v>40148</v>
      </c>
      <c r="L39">
        <v>12468205867</v>
      </c>
      <c r="N39" s="1">
        <v>40179</v>
      </c>
      <c r="O39">
        <v>4125777185.8600001</v>
      </c>
    </row>
    <row r="40" spans="2:15" x14ac:dyDescent="0.25">
      <c r="B40" s="1" t="s">
        <v>25</v>
      </c>
      <c r="C40" s="1">
        <v>38596</v>
      </c>
      <c r="D40">
        <v>1285071</v>
      </c>
      <c r="E40">
        <v>9</v>
      </c>
      <c r="H40" s="1">
        <v>40179</v>
      </c>
      <c r="I40">
        <v>41171224451.529999</v>
      </c>
      <c r="K40" s="1">
        <v>40179</v>
      </c>
      <c r="L40">
        <v>8643108800</v>
      </c>
      <c r="N40" s="1">
        <v>40210</v>
      </c>
      <c r="O40">
        <v>3147930164.52</v>
      </c>
    </row>
    <row r="41" spans="2:15" x14ac:dyDescent="0.25">
      <c r="B41" s="1" t="s">
        <v>17</v>
      </c>
      <c r="C41" s="1">
        <v>38596</v>
      </c>
      <c r="D41">
        <v>1224860</v>
      </c>
      <c r="E41">
        <v>10</v>
      </c>
      <c r="H41" s="1">
        <v>40210</v>
      </c>
      <c r="I41">
        <v>43331380880.580002</v>
      </c>
      <c r="K41" s="1">
        <v>40210</v>
      </c>
      <c r="L41">
        <v>10644755641</v>
      </c>
      <c r="N41" s="1">
        <v>40238</v>
      </c>
      <c r="O41">
        <v>3145361847.5</v>
      </c>
    </row>
    <row r="42" spans="2:15" x14ac:dyDescent="0.25">
      <c r="B42" s="1" t="s">
        <v>6</v>
      </c>
      <c r="C42" s="1">
        <v>38626</v>
      </c>
      <c r="D42">
        <v>89226904</v>
      </c>
      <c r="E42">
        <v>1</v>
      </c>
      <c r="H42" s="1">
        <v>40238</v>
      </c>
      <c r="I42">
        <v>36714521904.68</v>
      </c>
      <c r="K42" s="1">
        <v>40238</v>
      </c>
      <c r="L42">
        <v>12061455302</v>
      </c>
      <c r="N42" s="1">
        <v>40269</v>
      </c>
      <c r="O42">
        <v>3207869920.6599998</v>
      </c>
    </row>
    <row r="43" spans="2:15" x14ac:dyDescent="0.25">
      <c r="B43" s="1" t="s">
        <v>7</v>
      </c>
      <c r="C43" s="1">
        <v>38626</v>
      </c>
      <c r="D43">
        <v>73857035</v>
      </c>
      <c r="E43">
        <v>2</v>
      </c>
      <c r="H43" s="1">
        <v>40269</v>
      </c>
      <c r="I43">
        <v>36544416365.050003</v>
      </c>
      <c r="K43" s="1">
        <v>40269</v>
      </c>
      <c r="L43">
        <v>8738434979</v>
      </c>
      <c r="N43" s="1">
        <v>40299</v>
      </c>
      <c r="O43">
        <v>2918527916.4299998</v>
      </c>
    </row>
    <row r="44" spans="2:15" x14ac:dyDescent="0.25">
      <c r="B44" s="1" t="s">
        <v>16</v>
      </c>
      <c r="C44" s="1">
        <v>38626</v>
      </c>
      <c r="D44">
        <v>7692253.71</v>
      </c>
      <c r="E44">
        <v>3</v>
      </c>
      <c r="H44" s="1">
        <v>40299</v>
      </c>
      <c r="I44">
        <v>36336611081.309998</v>
      </c>
      <c r="K44" s="1">
        <v>40299</v>
      </c>
      <c r="L44">
        <v>7568970433</v>
      </c>
      <c r="N44" s="1">
        <v>40330</v>
      </c>
      <c r="O44">
        <v>5301984165.71</v>
      </c>
    </row>
    <row r="45" spans="2:15" x14ac:dyDescent="0.25">
      <c r="B45" s="1" t="s">
        <v>26</v>
      </c>
      <c r="C45" s="1">
        <v>38626</v>
      </c>
      <c r="D45">
        <v>1777190</v>
      </c>
      <c r="E45">
        <v>4</v>
      </c>
      <c r="H45" s="1">
        <v>40330</v>
      </c>
      <c r="I45">
        <v>37643702495.970001</v>
      </c>
      <c r="K45" s="1">
        <v>40330</v>
      </c>
      <c r="L45">
        <v>1496216485</v>
      </c>
      <c r="N45" s="1">
        <v>40360</v>
      </c>
      <c r="O45">
        <v>4951045886.9799995</v>
      </c>
    </row>
    <row r="46" spans="2:15" x14ac:dyDescent="0.25">
      <c r="B46" s="1" t="s">
        <v>9</v>
      </c>
      <c r="C46" s="1">
        <v>38626</v>
      </c>
      <c r="D46">
        <v>1415552</v>
      </c>
      <c r="E46">
        <v>5</v>
      </c>
      <c r="H46" s="1">
        <v>40360</v>
      </c>
      <c r="I46">
        <v>40829244339.580002</v>
      </c>
      <c r="K46" s="1">
        <v>40360</v>
      </c>
      <c r="L46">
        <v>1567537459</v>
      </c>
      <c r="N46" s="1">
        <v>40391</v>
      </c>
      <c r="O46">
        <v>7575320361.9300003</v>
      </c>
    </row>
    <row r="47" spans="2:15" x14ac:dyDescent="0.25">
      <c r="B47" s="1" t="s">
        <v>27</v>
      </c>
      <c r="C47" s="1">
        <v>38626</v>
      </c>
      <c r="D47">
        <v>1248688</v>
      </c>
      <c r="E47">
        <v>6</v>
      </c>
      <c r="H47" s="1">
        <v>40391</v>
      </c>
      <c r="I47">
        <v>46909004959.040001</v>
      </c>
      <c r="K47" s="1">
        <v>40391</v>
      </c>
      <c r="L47">
        <v>2325261137</v>
      </c>
      <c r="N47" s="1">
        <v>40422</v>
      </c>
      <c r="O47">
        <v>9668182653.7099991</v>
      </c>
    </row>
    <row r="48" spans="2:15" x14ac:dyDescent="0.25">
      <c r="B48" s="1" t="s">
        <v>28</v>
      </c>
      <c r="C48" s="1">
        <v>38626</v>
      </c>
      <c r="D48">
        <v>1000000</v>
      </c>
      <c r="E48">
        <v>7</v>
      </c>
      <c r="H48" s="1">
        <v>40422</v>
      </c>
      <c r="I48">
        <v>69384338986.350006</v>
      </c>
      <c r="K48" s="1">
        <v>40422</v>
      </c>
      <c r="L48">
        <v>1655819481</v>
      </c>
      <c r="N48" s="1">
        <v>40452</v>
      </c>
      <c r="O48">
        <v>11073355450.33</v>
      </c>
    </row>
    <row r="49" spans="2:15" x14ac:dyDescent="0.25">
      <c r="B49" s="1" t="s">
        <v>29</v>
      </c>
      <c r="C49" s="1">
        <v>38626</v>
      </c>
      <c r="D49">
        <v>416000</v>
      </c>
      <c r="E49">
        <v>8</v>
      </c>
      <c r="H49" s="1">
        <v>40452</v>
      </c>
      <c r="I49">
        <v>68963882096.149994</v>
      </c>
      <c r="K49" s="1">
        <v>40452</v>
      </c>
      <c r="L49">
        <v>2453232976</v>
      </c>
      <c r="N49" s="1">
        <v>40483</v>
      </c>
      <c r="O49">
        <v>10674086513.9</v>
      </c>
    </row>
    <row r="50" spans="2:15" x14ac:dyDescent="0.25">
      <c r="B50" s="1" t="s">
        <v>30</v>
      </c>
      <c r="C50" s="1">
        <v>38626</v>
      </c>
      <c r="D50">
        <v>274744</v>
      </c>
      <c r="E50">
        <v>9</v>
      </c>
      <c r="H50" s="1">
        <v>40483</v>
      </c>
      <c r="I50">
        <v>71397253151.929993</v>
      </c>
      <c r="K50" s="1">
        <v>40483</v>
      </c>
      <c r="L50">
        <v>2036722469</v>
      </c>
      <c r="N50" s="1">
        <v>40513</v>
      </c>
      <c r="O50">
        <v>11160184048.27</v>
      </c>
    </row>
    <row r="51" spans="2:15" x14ac:dyDescent="0.25">
      <c r="B51" s="1" t="s">
        <v>17</v>
      </c>
      <c r="C51" s="1">
        <v>38626</v>
      </c>
      <c r="D51">
        <v>102906.71</v>
      </c>
      <c r="E51">
        <v>10</v>
      </c>
      <c r="H51" s="1">
        <v>40513</v>
      </c>
      <c r="I51">
        <v>81193901238.820007</v>
      </c>
      <c r="K51" s="1">
        <v>40513</v>
      </c>
      <c r="L51">
        <v>1711261234</v>
      </c>
      <c r="N51" s="1">
        <v>40544</v>
      </c>
      <c r="O51">
        <v>8517864186.6400003</v>
      </c>
    </row>
    <row r="52" spans="2:15" x14ac:dyDescent="0.25">
      <c r="B52" s="1" t="s">
        <v>25</v>
      </c>
      <c r="C52" s="1">
        <v>38657</v>
      </c>
      <c r="D52">
        <v>19726775</v>
      </c>
      <c r="E52">
        <v>1</v>
      </c>
      <c r="H52" s="1">
        <v>40544</v>
      </c>
      <c r="I52">
        <v>66493575674.870003</v>
      </c>
      <c r="K52" s="1">
        <v>40544</v>
      </c>
      <c r="L52">
        <v>2120138158</v>
      </c>
      <c r="N52" s="1">
        <v>40575</v>
      </c>
      <c r="O52">
        <v>4479674519.2200003</v>
      </c>
    </row>
    <row r="53" spans="2:15" x14ac:dyDescent="0.25">
      <c r="B53" s="1" t="s">
        <v>6</v>
      </c>
      <c r="C53" s="1">
        <v>38657</v>
      </c>
      <c r="D53">
        <v>8014924</v>
      </c>
      <c r="E53">
        <v>2</v>
      </c>
      <c r="H53" s="1">
        <v>40575</v>
      </c>
      <c r="I53">
        <v>51211208108.309998</v>
      </c>
      <c r="K53" s="1">
        <v>40575</v>
      </c>
      <c r="L53">
        <v>2110053328</v>
      </c>
      <c r="N53" s="1">
        <v>40603</v>
      </c>
      <c r="O53">
        <v>5797901031.5200005</v>
      </c>
    </row>
    <row r="54" spans="2:15" x14ac:dyDescent="0.25">
      <c r="B54" s="1" t="s">
        <v>31</v>
      </c>
      <c r="C54" s="1">
        <v>38657</v>
      </c>
      <c r="D54">
        <v>7725297</v>
      </c>
      <c r="E54">
        <v>3</v>
      </c>
      <c r="H54" s="1">
        <v>40603</v>
      </c>
      <c r="I54">
        <v>52478992160.580002</v>
      </c>
      <c r="K54" s="1">
        <v>40603</v>
      </c>
      <c r="L54">
        <v>1193495971</v>
      </c>
      <c r="N54" s="1">
        <v>40634</v>
      </c>
      <c r="O54">
        <v>3228781954.9899998</v>
      </c>
    </row>
    <row r="55" spans="2:15" x14ac:dyDescent="0.25">
      <c r="B55" s="1" t="s">
        <v>18</v>
      </c>
      <c r="C55" s="1">
        <v>38657</v>
      </c>
      <c r="D55">
        <v>2931113</v>
      </c>
      <c r="E55">
        <v>4</v>
      </c>
      <c r="H55" s="1">
        <v>40634</v>
      </c>
      <c r="I55">
        <v>33088841042.959999</v>
      </c>
      <c r="K55" s="1">
        <v>40634</v>
      </c>
      <c r="L55">
        <v>2188332466</v>
      </c>
      <c r="N55" s="1">
        <v>40664</v>
      </c>
      <c r="O55">
        <v>3299942197.6599998</v>
      </c>
    </row>
    <row r="56" spans="2:15" x14ac:dyDescent="0.25">
      <c r="B56" s="1" t="s">
        <v>30</v>
      </c>
      <c r="C56" s="1">
        <v>38657</v>
      </c>
      <c r="D56">
        <v>1851555</v>
      </c>
      <c r="E56">
        <v>5</v>
      </c>
      <c r="H56" s="1">
        <v>40664</v>
      </c>
      <c r="I56">
        <v>30964833391.43</v>
      </c>
      <c r="K56" s="1">
        <v>40664</v>
      </c>
      <c r="L56">
        <v>2161250449</v>
      </c>
      <c r="N56" s="1">
        <v>40695</v>
      </c>
      <c r="O56">
        <v>3706296422.1300001</v>
      </c>
    </row>
    <row r="57" spans="2:15" x14ac:dyDescent="0.25">
      <c r="B57" s="1" t="s">
        <v>7</v>
      </c>
      <c r="C57" s="1">
        <v>38657</v>
      </c>
      <c r="D57">
        <v>1754648</v>
      </c>
      <c r="E57">
        <v>6</v>
      </c>
      <c r="H57" s="1">
        <v>40695</v>
      </c>
      <c r="I57">
        <v>34031377587.419998</v>
      </c>
      <c r="K57" s="1">
        <v>40695</v>
      </c>
      <c r="L57">
        <v>1087066702</v>
      </c>
      <c r="N57" s="1">
        <v>40725</v>
      </c>
      <c r="O57">
        <v>3822528101.79</v>
      </c>
    </row>
    <row r="58" spans="2:15" x14ac:dyDescent="0.25">
      <c r="B58" s="1" t="s">
        <v>4</v>
      </c>
      <c r="C58" s="1">
        <v>38657</v>
      </c>
      <c r="D58">
        <v>1565938</v>
      </c>
      <c r="E58">
        <v>7</v>
      </c>
      <c r="H58" s="1">
        <v>40725</v>
      </c>
      <c r="I58">
        <v>30621365146.98</v>
      </c>
      <c r="K58" s="1">
        <v>40725</v>
      </c>
      <c r="L58">
        <v>2279698435</v>
      </c>
      <c r="N58" s="1">
        <v>40756</v>
      </c>
      <c r="O58">
        <v>4799907967.0299997</v>
      </c>
    </row>
    <row r="59" spans="2:15" x14ac:dyDescent="0.25">
      <c r="B59" s="1" t="s">
        <v>32</v>
      </c>
      <c r="C59" s="1">
        <v>38657</v>
      </c>
      <c r="D59">
        <v>1017500</v>
      </c>
      <c r="E59">
        <v>8</v>
      </c>
      <c r="H59" s="1">
        <v>40756</v>
      </c>
      <c r="I59">
        <v>38171516998.550003</v>
      </c>
      <c r="K59" s="1">
        <v>40756</v>
      </c>
      <c r="L59">
        <v>1994047984</v>
      </c>
      <c r="N59" s="1">
        <v>40787</v>
      </c>
      <c r="O59">
        <v>6015934193.9200001</v>
      </c>
    </row>
    <row r="60" spans="2:15" x14ac:dyDescent="0.25">
      <c r="B60" s="1" t="s">
        <v>21</v>
      </c>
      <c r="C60" s="1">
        <v>38657</v>
      </c>
      <c r="D60">
        <v>937254</v>
      </c>
      <c r="E60">
        <v>9</v>
      </c>
      <c r="H60" s="1">
        <v>40787</v>
      </c>
      <c r="I60">
        <v>45345536322.599998</v>
      </c>
      <c r="K60" s="1">
        <v>40787</v>
      </c>
      <c r="L60">
        <v>876898783</v>
      </c>
      <c r="N60" s="1">
        <v>40817</v>
      </c>
      <c r="O60">
        <v>9819343075.8999996</v>
      </c>
    </row>
    <row r="61" spans="2:15" x14ac:dyDescent="0.25">
      <c r="B61" s="1" t="s">
        <v>8</v>
      </c>
      <c r="C61" s="1">
        <v>38657</v>
      </c>
      <c r="D61">
        <v>414101</v>
      </c>
      <c r="E61">
        <v>10</v>
      </c>
      <c r="H61" s="1">
        <v>40817</v>
      </c>
      <c r="I61">
        <v>51265734201.440002</v>
      </c>
      <c r="K61" s="1">
        <v>40817</v>
      </c>
      <c r="L61">
        <v>2285618285</v>
      </c>
      <c r="N61" s="1">
        <v>40848</v>
      </c>
      <c r="O61">
        <v>10874766290.690001</v>
      </c>
    </row>
    <row r="62" spans="2:15" x14ac:dyDescent="0.25">
      <c r="B62" s="1" t="s">
        <v>6</v>
      </c>
      <c r="C62" s="1">
        <v>38687</v>
      </c>
      <c r="D62">
        <v>123617884</v>
      </c>
      <c r="E62">
        <v>1</v>
      </c>
      <c r="H62" s="1">
        <v>40848</v>
      </c>
      <c r="I62">
        <v>62641454659.599998</v>
      </c>
      <c r="K62" s="1">
        <v>40848</v>
      </c>
      <c r="L62">
        <v>2095343206</v>
      </c>
      <c r="N62" s="1">
        <v>40878</v>
      </c>
      <c r="O62">
        <v>11437762942.92</v>
      </c>
    </row>
    <row r="63" spans="2:15" x14ac:dyDescent="0.25">
      <c r="B63" s="1" t="s">
        <v>24</v>
      </c>
      <c r="C63" s="1">
        <v>38687</v>
      </c>
      <c r="D63">
        <v>31574015</v>
      </c>
      <c r="E63">
        <v>2</v>
      </c>
      <c r="H63" s="1">
        <v>40878</v>
      </c>
      <c r="I63">
        <v>73851865080.610001</v>
      </c>
      <c r="K63" s="1">
        <v>40878</v>
      </c>
      <c r="L63">
        <v>1033984596</v>
      </c>
      <c r="N63" s="1">
        <v>40909</v>
      </c>
      <c r="O63">
        <v>10782906686.82</v>
      </c>
    </row>
    <row r="64" spans="2:15" x14ac:dyDescent="0.25">
      <c r="B64" s="1" t="s">
        <v>7</v>
      </c>
      <c r="C64" s="1">
        <v>38687</v>
      </c>
      <c r="D64">
        <v>2910121</v>
      </c>
      <c r="E64">
        <v>3</v>
      </c>
      <c r="H64" s="1">
        <v>40909</v>
      </c>
      <c r="I64">
        <v>58331372757.360001</v>
      </c>
      <c r="K64" s="1">
        <v>40909</v>
      </c>
      <c r="L64">
        <v>1987883207</v>
      </c>
      <c r="N64" s="1">
        <v>40940</v>
      </c>
      <c r="O64">
        <v>10665615618.18</v>
      </c>
    </row>
    <row r="65" spans="2:15" x14ac:dyDescent="0.25">
      <c r="B65" s="1" t="s">
        <v>4</v>
      </c>
      <c r="C65" s="1">
        <v>38687</v>
      </c>
      <c r="D65">
        <v>1936126</v>
      </c>
      <c r="E65">
        <v>4</v>
      </c>
      <c r="H65" s="1">
        <v>40940</v>
      </c>
      <c r="I65">
        <v>56063681559.919998</v>
      </c>
      <c r="K65" s="1">
        <v>40940</v>
      </c>
      <c r="L65">
        <v>2030824500</v>
      </c>
      <c r="N65" s="1">
        <v>40969</v>
      </c>
      <c r="O65">
        <v>13232369760.059999</v>
      </c>
    </row>
    <row r="66" spans="2:15" x14ac:dyDescent="0.25">
      <c r="B66" s="1" t="s">
        <v>16</v>
      </c>
      <c r="C66" s="1">
        <v>38687</v>
      </c>
      <c r="D66">
        <v>1313060</v>
      </c>
      <c r="E66">
        <v>5</v>
      </c>
      <c r="H66" s="1">
        <v>40969</v>
      </c>
      <c r="I66">
        <v>86317495811.419998</v>
      </c>
      <c r="K66" s="1">
        <v>40969</v>
      </c>
      <c r="L66">
        <v>715758973</v>
      </c>
      <c r="N66" s="1">
        <v>41000</v>
      </c>
      <c r="O66">
        <v>11436377319.02</v>
      </c>
    </row>
    <row r="67" spans="2:15" x14ac:dyDescent="0.25">
      <c r="B67" s="1" t="s">
        <v>33</v>
      </c>
      <c r="C67" s="1">
        <v>38687</v>
      </c>
      <c r="D67">
        <v>1302822</v>
      </c>
      <c r="E67">
        <v>6</v>
      </c>
      <c r="H67" s="1">
        <v>41000</v>
      </c>
      <c r="I67">
        <v>48073485668.580002</v>
      </c>
      <c r="K67" s="1">
        <v>41000</v>
      </c>
      <c r="L67">
        <v>2058237642</v>
      </c>
      <c r="N67" s="1">
        <v>41030</v>
      </c>
      <c r="O67">
        <v>12081347035.17</v>
      </c>
    </row>
    <row r="68" spans="2:15" x14ac:dyDescent="0.25">
      <c r="B68" s="1" t="s">
        <v>15</v>
      </c>
      <c r="C68" s="1">
        <v>38687</v>
      </c>
      <c r="D68">
        <v>1279962</v>
      </c>
      <c r="E68">
        <v>7</v>
      </c>
      <c r="H68" s="1">
        <v>41030</v>
      </c>
      <c r="I68">
        <v>66663158668.949997</v>
      </c>
      <c r="K68" s="1">
        <v>41030</v>
      </c>
      <c r="L68">
        <v>1810114247</v>
      </c>
      <c r="N68" s="1">
        <v>41061</v>
      </c>
      <c r="O68">
        <v>14308208134.940001</v>
      </c>
    </row>
    <row r="69" spans="2:15" x14ac:dyDescent="0.25">
      <c r="B69" s="1" t="s">
        <v>22</v>
      </c>
      <c r="C69" s="1">
        <v>38687</v>
      </c>
      <c r="D69">
        <v>1226276</v>
      </c>
      <c r="E69">
        <v>8</v>
      </c>
      <c r="H69" s="1">
        <v>41061</v>
      </c>
      <c r="I69">
        <v>65107512378.209999</v>
      </c>
      <c r="K69" s="1">
        <v>41061</v>
      </c>
      <c r="L69">
        <v>751265816</v>
      </c>
      <c r="N69" s="1">
        <v>41091</v>
      </c>
      <c r="O69">
        <v>15816521734.01</v>
      </c>
    </row>
    <row r="70" spans="2:15" x14ac:dyDescent="0.25">
      <c r="B70" s="1" t="s">
        <v>12</v>
      </c>
      <c r="C70" s="1">
        <v>38687</v>
      </c>
      <c r="D70">
        <v>1201040</v>
      </c>
      <c r="E70">
        <v>9</v>
      </c>
      <c r="H70" s="1">
        <v>41091</v>
      </c>
      <c r="I70">
        <v>71798949000.600006</v>
      </c>
      <c r="K70" s="1">
        <v>41091</v>
      </c>
      <c r="L70">
        <v>1485398807</v>
      </c>
      <c r="N70" s="1">
        <v>41122</v>
      </c>
      <c r="O70">
        <v>18219129188.400002</v>
      </c>
    </row>
    <row r="71" spans="2:15" x14ac:dyDescent="0.25">
      <c r="B71" s="1" t="s">
        <v>34</v>
      </c>
      <c r="C71" s="1">
        <v>38687</v>
      </c>
      <c r="D71">
        <v>712580</v>
      </c>
      <c r="E71">
        <v>10</v>
      </c>
      <c r="H71" s="1">
        <v>41122</v>
      </c>
      <c r="I71">
        <v>80246484071.139999</v>
      </c>
      <c r="K71" s="1">
        <v>41122</v>
      </c>
      <c r="L71">
        <v>1821001924</v>
      </c>
      <c r="N71" s="1">
        <v>41153</v>
      </c>
      <c r="O71">
        <v>19205488149.990002</v>
      </c>
    </row>
    <row r="72" spans="2:15" x14ac:dyDescent="0.25">
      <c r="B72" s="1" t="s">
        <v>6</v>
      </c>
      <c r="C72" s="1">
        <v>38718</v>
      </c>
      <c r="D72">
        <v>202636497</v>
      </c>
      <c r="E72">
        <v>1</v>
      </c>
      <c r="H72" s="1">
        <v>41153</v>
      </c>
      <c r="I72">
        <v>84049356738.059998</v>
      </c>
      <c r="K72" s="1">
        <v>41153</v>
      </c>
      <c r="L72">
        <v>842537107</v>
      </c>
      <c r="N72" s="1">
        <v>41183</v>
      </c>
      <c r="O72">
        <v>10456958852.59</v>
      </c>
    </row>
    <row r="73" spans="2:15" x14ac:dyDescent="0.25">
      <c r="B73" s="1" t="s">
        <v>7</v>
      </c>
      <c r="C73" s="1">
        <v>38718</v>
      </c>
      <c r="D73">
        <v>202636497</v>
      </c>
      <c r="E73">
        <v>1</v>
      </c>
      <c r="H73" s="1">
        <v>41183</v>
      </c>
      <c r="I73">
        <v>61818801001.650002</v>
      </c>
      <c r="K73" s="1">
        <v>41183</v>
      </c>
      <c r="L73">
        <v>1649348778</v>
      </c>
      <c r="N73" s="1">
        <v>41214</v>
      </c>
      <c r="O73">
        <v>31430630591.73</v>
      </c>
    </row>
    <row r="74" spans="2:15" x14ac:dyDescent="0.25">
      <c r="B74" s="1" t="s">
        <v>35</v>
      </c>
      <c r="C74" s="1">
        <v>38718</v>
      </c>
      <c r="D74">
        <v>1987000</v>
      </c>
      <c r="E74">
        <v>3</v>
      </c>
      <c r="H74" s="1">
        <v>41214</v>
      </c>
      <c r="I74">
        <v>107252324964.50999</v>
      </c>
      <c r="K74" s="1">
        <v>41214</v>
      </c>
      <c r="L74">
        <v>1786397242</v>
      </c>
      <c r="N74" s="1">
        <v>41244</v>
      </c>
      <c r="O74">
        <v>19867296101.330002</v>
      </c>
    </row>
    <row r="75" spans="2:15" x14ac:dyDescent="0.25">
      <c r="B75" s="1" t="s">
        <v>15</v>
      </c>
      <c r="C75" s="1">
        <v>38718</v>
      </c>
      <c r="D75">
        <v>1561677</v>
      </c>
      <c r="E75">
        <v>4</v>
      </c>
      <c r="H75" s="1">
        <v>41244</v>
      </c>
      <c r="I75">
        <v>66763638723.230003</v>
      </c>
      <c r="K75" s="1">
        <v>41244</v>
      </c>
      <c r="L75">
        <v>882436640</v>
      </c>
      <c r="N75" s="1">
        <v>41275</v>
      </c>
      <c r="O75">
        <v>21485028132.099998</v>
      </c>
    </row>
    <row r="76" spans="2:15" x14ac:dyDescent="0.25">
      <c r="B76" s="1" t="s">
        <v>8</v>
      </c>
      <c r="C76" s="1">
        <v>38718</v>
      </c>
      <c r="D76">
        <v>412374</v>
      </c>
      <c r="E76">
        <v>5</v>
      </c>
      <c r="H76" s="1">
        <v>41275</v>
      </c>
      <c r="I76">
        <v>85482757320.820007</v>
      </c>
      <c r="K76" s="1">
        <v>41275</v>
      </c>
      <c r="L76">
        <v>1327173549</v>
      </c>
      <c r="N76" s="1">
        <v>41306</v>
      </c>
      <c r="O76">
        <v>16529578836.889999</v>
      </c>
    </row>
    <row r="77" spans="2:15" x14ac:dyDescent="0.25">
      <c r="B77" s="1" t="s">
        <v>4</v>
      </c>
      <c r="C77" s="1">
        <v>38718</v>
      </c>
      <c r="D77">
        <v>178484</v>
      </c>
      <c r="E77">
        <v>6</v>
      </c>
      <c r="H77" s="1">
        <v>41306</v>
      </c>
      <c r="I77">
        <v>77430427923.440002</v>
      </c>
      <c r="K77" s="1">
        <v>41306</v>
      </c>
      <c r="L77">
        <v>1475078768</v>
      </c>
      <c r="N77" s="1">
        <v>41334</v>
      </c>
      <c r="O77">
        <v>17101890565.92</v>
      </c>
    </row>
    <row r="78" spans="2:15" x14ac:dyDescent="0.25">
      <c r="B78" s="1" t="s">
        <v>36</v>
      </c>
      <c r="C78" s="1">
        <v>38718</v>
      </c>
      <c r="D78">
        <v>102393</v>
      </c>
      <c r="E78">
        <v>7</v>
      </c>
      <c r="H78" s="1">
        <v>41334</v>
      </c>
      <c r="I78">
        <v>66573031434.919998</v>
      </c>
      <c r="K78" s="1">
        <v>41334</v>
      </c>
      <c r="L78">
        <v>873595500</v>
      </c>
      <c r="N78" s="1">
        <v>41365</v>
      </c>
      <c r="O78">
        <v>17313570300.029999</v>
      </c>
    </row>
    <row r="79" spans="2:15" x14ac:dyDescent="0.25">
      <c r="B79" s="1" t="s">
        <v>21</v>
      </c>
      <c r="C79" s="1">
        <v>38718</v>
      </c>
      <c r="D79">
        <v>66784</v>
      </c>
      <c r="E79">
        <v>8</v>
      </c>
      <c r="H79" s="1">
        <v>41365</v>
      </c>
      <c r="I79">
        <v>73548428684.190002</v>
      </c>
      <c r="K79" s="1">
        <v>41365</v>
      </c>
      <c r="L79">
        <v>1534207191</v>
      </c>
      <c r="N79" s="1">
        <v>41395</v>
      </c>
      <c r="O79">
        <v>18085571772.66</v>
      </c>
    </row>
    <row r="80" spans="2:15" x14ac:dyDescent="0.25">
      <c r="B80" s="1" t="s">
        <v>16</v>
      </c>
      <c r="C80" s="1">
        <v>38749</v>
      </c>
      <c r="D80">
        <v>18989705.91</v>
      </c>
      <c r="E80">
        <v>1</v>
      </c>
      <c r="H80" s="1">
        <v>41395</v>
      </c>
      <c r="I80">
        <v>73509211252.020004</v>
      </c>
      <c r="K80" s="1">
        <v>41395</v>
      </c>
      <c r="L80">
        <v>1288259374</v>
      </c>
      <c r="N80" s="1">
        <v>41426</v>
      </c>
      <c r="O80">
        <v>16273944179.76</v>
      </c>
    </row>
    <row r="81" spans="2:15" x14ac:dyDescent="0.25">
      <c r="B81" s="1" t="s">
        <v>17</v>
      </c>
      <c r="C81" s="1">
        <v>38749</v>
      </c>
      <c r="D81">
        <v>18699668.960000001</v>
      </c>
      <c r="E81">
        <v>2</v>
      </c>
      <c r="H81" s="1">
        <v>41426</v>
      </c>
      <c r="I81">
        <v>66542000148.940002</v>
      </c>
      <c r="K81" s="1">
        <v>41426</v>
      </c>
      <c r="L81">
        <v>967290699</v>
      </c>
      <c r="N81" s="1">
        <v>41456</v>
      </c>
      <c r="O81">
        <v>18755440365.549999</v>
      </c>
    </row>
    <row r="82" spans="2:15" x14ac:dyDescent="0.25">
      <c r="B82" s="1" t="s">
        <v>37</v>
      </c>
      <c r="C82" s="1">
        <v>38749</v>
      </c>
      <c r="D82">
        <v>2000506</v>
      </c>
      <c r="E82">
        <v>3</v>
      </c>
      <c r="H82" s="1">
        <v>41456</v>
      </c>
      <c r="I82">
        <v>71866974614.360001</v>
      </c>
      <c r="K82" s="1">
        <v>41456</v>
      </c>
      <c r="L82">
        <v>689921868</v>
      </c>
      <c r="N82" s="1">
        <v>41487</v>
      </c>
      <c r="O82">
        <v>14735430738.82</v>
      </c>
    </row>
    <row r="83" spans="2:15" x14ac:dyDescent="0.25">
      <c r="B83" s="1" t="s">
        <v>6</v>
      </c>
      <c r="C83" s="1">
        <v>38749</v>
      </c>
      <c r="D83">
        <v>1938990</v>
      </c>
      <c r="E83">
        <v>4</v>
      </c>
      <c r="H83" s="1">
        <v>41487</v>
      </c>
      <c r="I83">
        <v>65043206114.970001</v>
      </c>
      <c r="K83" s="1">
        <v>41487</v>
      </c>
      <c r="L83">
        <v>1050686660</v>
      </c>
      <c r="N83" s="1">
        <v>41518</v>
      </c>
      <c r="O83">
        <v>11965840960.209999</v>
      </c>
    </row>
    <row r="84" spans="2:15" x14ac:dyDescent="0.25">
      <c r="B84" s="1" t="s">
        <v>7</v>
      </c>
      <c r="C84" s="1">
        <v>38749</v>
      </c>
      <c r="D84">
        <v>1938990</v>
      </c>
      <c r="E84">
        <v>4</v>
      </c>
      <c r="H84" s="1">
        <v>41518</v>
      </c>
      <c r="I84">
        <v>52117579911.449997</v>
      </c>
      <c r="K84" s="1">
        <v>41518</v>
      </c>
      <c r="L84">
        <v>760592802</v>
      </c>
      <c r="N84" s="1">
        <v>41548</v>
      </c>
      <c r="O84">
        <v>12862580723.85</v>
      </c>
    </row>
    <row r="85" spans="2:15" x14ac:dyDescent="0.25">
      <c r="B85" s="1" t="s">
        <v>5</v>
      </c>
      <c r="C85" s="1">
        <v>38749</v>
      </c>
      <c r="D85">
        <v>1595813</v>
      </c>
      <c r="E85">
        <v>6</v>
      </c>
      <c r="H85" s="1">
        <v>41548</v>
      </c>
      <c r="I85">
        <v>47175834172.419998</v>
      </c>
      <c r="K85" s="1">
        <v>41548</v>
      </c>
      <c r="L85">
        <v>1114601890</v>
      </c>
      <c r="N85" s="1">
        <v>41579</v>
      </c>
      <c r="O85">
        <v>9165938632.2299995</v>
      </c>
    </row>
    <row r="86" spans="2:15" x14ac:dyDescent="0.25">
      <c r="B86" s="1" t="s">
        <v>13</v>
      </c>
      <c r="C86" s="1">
        <v>38749</v>
      </c>
      <c r="D86">
        <v>929703</v>
      </c>
      <c r="E86">
        <v>7</v>
      </c>
      <c r="H86" s="1">
        <v>41579</v>
      </c>
      <c r="I86">
        <v>38757040631.290001</v>
      </c>
      <c r="K86" s="1">
        <v>41579</v>
      </c>
      <c r="L86">
        <v>1144678013</v>
      </c>
      <c r="N86" s="1">
        <v>41609</v>
      </c>
      <c r="O86">
        <v>10518511717.99</v>
      </c>
    </row>
    <row r="87" spans="2:15" x14ac:dyDescent="0.25">
      <c r="B87" s="1" t="s">
        <v>25</v>
      </c>
      <c r="C87" s="1">
        <v>38749</v>
      </c>
      <c r="D87">
        <v>550983.56999999995</v>
      </c>
      <c r="E87">
        <v>8</v>
      </c>
      <c r="H87" s="1">
        <v>41609</v>
      </c>
      <c r="I87">
        <v>37790142776.290001</v>
      </c>
      <c r="K87" s="1">
        <v>41609</v>
      </c>
      <c r="L87">
        <v>856201500</v>
      </c>
      <c r="N87" s="1">
        <v>41640</v>
      </c>
      <c r="O87">
        <v>9006175235.8600006</v>
      </c>
    </row>
    <row r="88" spans="2:15" x14ac:dyDescent="0.25">
      <c r="B88" s="1" t="s">
        <v>4</v>
      </c>
      <c r="C88" s="1">
        <v>38749</v>
      </c>
      <c r="D88">
        <v>410535.46</v>
      </c>
      <c r="E88">
        <v>9</v>
      </c>
      <c r="H88" s="1">
        <v>41640</v>
      </c>
      <c r="I88">
        <v>28108964119.139999</v>
      </c>
      <c r="K88" s="1">
        <v>41640</v>
      </c>
      <c r="L88">
        <v>690934900</v>
      </c>
      <c r="N88" s="1">
        <v>41671</v>
      </c>
      <c r="O88">
        <v>6917280577.9399996</v>
      </c>
    </row>
    <row r="89" spans="2:15" x14ac:dyDescent="0.25">
      <c r="B89" s="1" t="s">
        <v>8</v>
      </c>
      <c r="C89" s="1">
        <v>38749</v>
      </c>
      <c r="D89">
        <v>365925</v>
      </c>
      <c r="E89">
        <v>10</v>
      </c>
      <c r="H89" s="1">
        <v>41671</v>
      </c>
      <c r="I89">
        <v>27585216807.849998</v>
      </c>
      <c r="K89" s="1">
        <v>41671</v>
      </c>
      <c r="L89">
        <v>732302230</v>
      </c>
      <c r="N89" s="1">
        <v>41699</v>
      </c>
      <c r="O89">
        <v>7075975646.0799999</v>
      </c>
    </row>
    <row r="90" spans="2:15" x14ac:dyDescent="0.25">
      <c r="B90" s="1" t="s">
        <v>25</v>
      </c>
      <c r="C90" s="1">
        <v>38777</v>
      </c>
      <c r="D90">
        <v>16635495</v>
      </c>
      <c r="E90">
        <v>1</v>
      </c>
      <c r="H90" s="1">
        <v>41699</v>
      </c>
      <c r="I90">
        <v>23463509422.790001</v>
      </c>
      <c r="K90" s="1">
        <v>41699</v>
      </c>
      <c r="L90">
        <v>619867269</v>
      </c>
      <c r="N90" s="1">
        <v>41730</v>
      </c>
      <c r="O90">
        <v>8041639908.1300001</v>
      </c>
    </row>
    <row r="91" spans="2:15" x14ac:dyDescent="0.25">
      <c r="B91" s="1" t="s">
        <v>38</v>
      </c>
      <c r="C91" s="1">
        <v>38777</v>
      </c>
      <c r="D91">
        <v>11002000</v>
      </c>
      <c r="E91">
        <v>2</v>
      </c>
      <c r="H91" s="1">
        <v>41730</v>
      </c>
      <c r="I91">
        <v>27198516722.27</v>
      </c>
      <c r="K91" s="1">
        <v>41730</v>
      </c>
      <c r="L91">
        <v>800224200</v>
      </c>
      <c r="N91" s="1">
        <v>41760</v>
      </c>
      <c r="O91">
        <v>8490172743.6300001</v>
      </c>
    </row>
    <row r="92" spans="2:15" x14ac:dyDescent="0.25">
      <c r="B92" s="1" t="s">
        <v>35</v>
      </c>
      <c r="C92" s="1">
        <v>38777</v>
      </c>
      <c r="D92">
        <v>6414800</v>
      </c>
      <c r="E92">
        <v>3</v>
      </c>
      <c r="H92" s="1">
        <v>41760</v>
      </c>
      <c r="I92">
        <v>27487631130.209999</v>
      </c>
      <c r="K92" s="1">
        <v>41760</v>
      </c>
      <c r="L92">
        <v>603934000</v>
      </c>
      <c r="N92" s="1">
        <v>41791</v>
      </c>
      <c r="O92">
        <v>9636568337.5599995</v>
      </c>
    </row>
    <row r="93" spans="2:15" x14ac:dyDescent="0.25">
      <c r="B93" s="1" t="s">
        <v>6</v>
      </c>
      <c r="C93" s="1">
        <v>38777</v>
      </c>
      <c r="D93">
        <v>6109376</v>
      </c>
      <c r="E93">
        <v>4</v>
      </c>
      <c r="H93" s="1">
        <v>41791</v>
      </c>
      <c r="I93">
        <v>31582304306.349998</v>
      </c>
      <c r="K93" s="1">
        <v>41791</v>
      </c>
      <c r="L93">
        <v>565998636</v>
      </c>
      <c r="N93" s="1">
        <v>41821</v>
      </c>
      <c r="O93">
        <v>11123399110.24</v>
      </c>
    </row>
    <row r="94" spans="2:15" x14ac:dyDescent="0.25">
      <c r="B94" s="1" t="s">
        <v>39</v>
      </c>
      <c r="C94" s="1">
        <v>38777</v>
      </c>
      <c r="D94">
        <v>4829000</v>
      </c>
      <c r="E94">
        <v>5</v>
      </c>
      <c r="H94" s="1">
        <v>41821</v>
      </c>
      <c r="I94">
        <v>36447478522.989998</v>
      </c>
      <c r="K94" s="1">
        <v>41821</v>
      </c>
      <c r="L94">
        <v>766012000</v>
      </c>
      <c r="N94" s="1">
        <v>41852</v>
      </c>
      <c r="O94">
        <v>10202403453.049999</v>
      </c>
    </row>
    <row r="95" spans="2:15" x14ac:dyDescent="0.25">
      <c r="B95" s="1" t="s">
        <v>30</v>
      </c>
      <c r="C95" s="1">
        <v>38777</v>
      </c>
      <c r="D95">
        <v>4732146</v>
      </c>
      <c r="E95">
        <v>6</v>
      </c>
      <c r="H95" s="1">
        <v>41852</v>
      </c>
      <c r="I95">
        <v>34332054961.080002</v>
      </c>
      <c r="K95" s="1">
        <v>41852</v>
      </c>
      <c r="L95">
        <v>866330115</v>
      </c>
      <c r="N95" s="1">
        <v>41883</v>
      </c>
      <c r="O95">
        <v>8745227871.8199997</v>
      </c>
    </row>
    <row r="96" spans="2:15" x14ac:dyDescent="0.25">
      <c r="B96" s="1" t="s">
        <v>4</v>
      </c>
      <c r="C96" s="1">
        <v>38777</v>
      </c>
      <c r="D96">
        <v>3954627</v>
      </c>
      <c r="E96">
        <v>7</v>
      </c>
      <c r="H96" s="1">
        <v>41883</v>
      </c>
      <c r="I96">
        <v>40347506692.199997</v>
      </c>
      <c r="K96" s="1">
        <v>41883</v>
      </c>
      <c r="L96">
        <v>692754683</v>
      </c>
      <c r="N96" s="1">
        <v>41913</v>
      </c>
      <c r="O96">
        <v>12085672777.809999</v>
      </c>
    </row>
    <row r="97" spans="2:15" x14ac:dyDescent="0.25">
      <c r="B97" s="1" t="s">
        <v>7</v>
      </c>
      <c r="C97" s="1">
        <v>38777</v>
      </c>
      <c r="D97">
        <v>2204103</v>
      </c>
      <c r="E97">
        <v>8</v>
      </c>
      <c r="H97" s="1">
        <v>41913</v>
      </c>
      <c r="I97">
        <v>40323740351.139999</v>
      </c>
      <c r="K97" s="1">
        <v>41913</v>
      </c>
      <c r="L97">
        <v>1116288094</v>
      </c>
      <c r="N97" s="1">
        <v>41944</v>
      </c>
      <c r="O97">
        <v>4219267889.8299999</v>
      </c>
    </row>
    <row r="98" spans="2:15" x14ac:dyDescent="0.25">
      <c r="B98" s="1" t="s">
        <v>37</v>
      </c>
      <c r="C98" s="1">
        <v>38777</v>
      </c>
      <c r="D98">
        <v>1035773</v>
      </c>
      <c r="E98">
        <v>9</v>
      </c>
      <c r="H98" s="1">
        <v>41944</v>
      </c>
      <c r="I98">
        <v>32492729674.279999</v>
      </c>
      <c r="K98" s="1">
        <v>41944</v>
      </c>
      <c r="L98">
        <v>831784416</v>
      </c>
      <c r="N98" s="1">
        <v>41974</v>
      </c>
      <c r="O98">
        <v>15367345362.059999</v>
      </c>
    </row>
    <row r="99" spans="2:15" x14ac:dyDescent="0.25">
      <c r="B99" s="1" t="s">
        <v>8</v>
      </c>
      <c r="C99" s="1">
        <v>38777</v>
      </c>
      <c r="D99">
        <v>898108</v>
      </c>
      <c r="E99">
        <v>10</v>
      </c>
      <c r="H99" s="1">
        <v>41974</v>
      </c>
      <c r="I99">
        <v>44253011751.110001</v>
      </c>
      <c r="K99" s="1">
        <v>41974</v>
      </c>
      <c r="L99">
        <v>624271500</v>
      </c>
      <c r="N99" s="1">
        <v>42005</v>
      </c>
      <c r="O99">
        <v>8692846973.4500008</v>
      </c>
    </row>
    <row r="100" spans="2:15" x14ac:dyDescent="0.25">
      <c r="B100" s="1" t="s">
        <v>25</v>
      </c>
      <c r="C100" s="1">
        <v>38808</v>
      </c>
      <c r="D100">
        <v>41797458.600000001</v>
      </c>
      <c r="E100">
        <v>1</v>
      </c>
      <c r="H100" s="1">
        <v>42005</v>
      </c>
      <c r="I100">
        <v>36980630899.18</v>
      </c>
      <c r="K100" s="1">
        <v>42005</v>
      </c>
      <c r="L100">
        <v>855334400</v>
      </c>
      <c r="N100" s="1">
        <v>42036</v>
      </c>
      <c r="O100">
        <v>9207094804.5400009</v>
      </c>
    </row>
    <row r="101" spans="2:15" x14ac:dyDescent="0.25">
      <c r="B101" s="1" t="s">
        <v>38</v>
      </c>
      <c r="C101" s="1">
        <v>38808</v>
      </c>
      <c r="D101">
        <v>24576000</v>
      </c>
      <c r="E101">
        <v>2</v>
      </c>
      <c r="H101" s="1">
        <v>42036</v>
      </c>
      <c r="I101">
        <v>36583983679.550003</v>
      </c>
      <c r="K101" s="1">
        <v>42036</v>
      </c>
      <c r="L101">
        <v>697783000</v>
      </c>
      <c r="N101" s="1">
        <v>42064</v>
      </c>
      <c r="O101">
        <v>4983311763.4899998</v>
      </c>
    </row>
    <row r="102" spans="2:15" x14ac:dyDescent="0.25">
      <c r="B102" s="1" t="s">
        <v>13</v>
      </c>
      <c r="C102" s="1">
        <v>38808</v>
      </c>
      <c r="D102">
        <v>13371003.699999999</v>
      </c>
      <c r="E102">
        <v>3</v>
      </c>
      <c r="H102" s="1">
        <v>42064</v>
      </c>
      <c r="I102">
        <v>23910707870.450001</v>
      </c>
      <c r="K102" s="1">
        <v>42064</v>
      </c>
      <c r="L102">
        <v>869290480</v>
      </c>
      <c r="N102" s="1"/>
    </row>
    <row r="103" spans="2:15" x14ac:dyDescent="0.25">
      <c r="B103" s="1" t="s">
        <v>40</v>
      </c>
      <c r="C103" s="1">
        <v>38808</v>
      </c>
      <c r="D103">
        <v>13000000</v>
      </c>
      <c r="E103">
        <v>4</v>
      </c>
      <c r="H103" s="1"/>
    </row>
    <row r="104" spans="2:15" x14ac:dyDescent="0.25">
      <c r="B104" s="1" t="s">
        <v>14</v>
      </c>
      <c r="C104" s="1">
        <v>38808</v>
      </c>
      <c r="D104">
        <v>12884249</v>
      </c>
      <c r="E104">
        <v>5</v>
      </c>
      <c r="H104" s="1"/>
    </row>
    <row r="105" spans="2:15" x14ac:dyDescent="0.25">
      <c r="B105" s="1" t="s">
        <v>41</v>
      </c>
      <c r="C105" s="1">
        <v>38808</v>
      </c>
      <c r="D105">
        <v>10000000</v>
      </c>
      <c r="E105">
        <v>6</v>
      </c>
      <c r="H105" s="1"/>
    </row>
    <row r="106" spans="2:15" x14ac:dyDescent="0.25">
      <c r="B106" s="1" t="s">
        <v>42</v>
      </c>
      <c r="C106" s="1">
        <v>38808</v>
      </c>
      <c r="D106">
        <v>8533433</v>
      </c>
      <c r="E106">
        <v>7</v>
      </c>
      <c r="H106" s="1"/>
    </row>
    <row r="107" spans="2:15" x14ac:dyDescent="0.25">
      <c r="B107" s="1" t="s">
        <v>43</v>
      </c>
      <c r="C107" s="1">
        <v>38808</v>
      </c>
      <c r="D107">
        <v>8371000</v>
      </c>
      <c r="E107">
        <v>8</v>
      </c>
      <c r="H107" s="1"/>
    </row>
    <row r="108" spans="2:15" x14ac:dyDescent="0.25">
      <c r="B108" s="1" t="s">
        <v>44</v>
      </c>
      <c r="C108" s="1">
        <v>38808</v>
      </c>
      <c r="D108">
        <v>5809000</v>
      </c>
      <c r="E108">
        <v>9</v>
      </c>
      <c r="H108" s="1"/>
    </row>
    <row r="109" spans="2:15" x14ac:dyDescent="0.25">
      <c r="B109" s="1" t="s">
        <v>5</v>
      </c>
      <c r="C109" s="1">
        <v>38808</v>
      </c>
      <c r="D109">
        <v>4864686</v>
      </c>
      <c r="E109">
        <v>10</v>
      </c>
      <c r="H109" s="1"/>
    </row>
    <row r="110" spans="2:15" x14ac:dyDescent="0.25">
      <c r="B110" s="1" t="s">
        <v>44</v>
      </c>
      <c r="C110" s="1">
        <v>38838</v>
      </c>
      <c r="D110">
        <v>30826920</v>
      </c>
      <c r="E110">
        <v>1</v>
      </c>
      <c r="H110" s="1"/>
    </row>
    <row r="111" spans="2:15" x14ac:dyDescent="0.25">
      <c r="B111" s="1" t="s">
        <v>17</v>
      </c>
      <c r="C111" s="1">
        <v>38838</v>
      </c>
      <c r="D111">
        <v>23268574</v>
      </c>
      <c r="E111">
        <v>2</v>
      </c>
      <c r="H111" s="1"/>
    </row>
    <row r="112" spans="2:15" x14ac:dyDescent="0.25">
      <c r="B112" s="1" t="s">
        <v>16</v>
      </c>
      <c r="C112" s="1">
        <v>38838</v>
      </c>
      <c r="D112">
        <v>23268574</v>
      </c>
      <c r="E112">
        <v>2</v>
      </c>
      <c r="H112" s="1"/>
    </row>
    <row r="113" spans="2:8" x14ac:dyDescent="0.25">
      <c r="B113" s="1" t="s">
        <v>45</v>
      </c>
      <c r="C113" s="1">
        <v>38838</v>
      </c>
      <c r="D113">
        <v>20500000</v>
      </c>
      <c r="E113">
        <v>4</v>
      </c>
      <c r="H113" s="1"/>
    </row>
    <row r="114" spans="2:8" x14ac:dyDescent="0.25">
      <c r="B114" s="1" t="s">
        <v>43</v>
      </c>
      <c r="C114" s="1">
        <v>38838</v>
      </c>
      <c r="D114">
        <v>19270000</v>
      </c>
      <c r="E114">
        <v>5</v>
      </c>
      <c r="H114" s="1"/>
    </row>
    <row r="115" spans="2:8" x14ac:dyDescent="0.25">
      <c r="B115" s="1" t="s">
        <v>38</v>
      </c>
      <c r="C115" s="1">
        <v>38838</v>
      </c>
      <c r="D115">
        <v>18846064</v>
      </c>
      <c r="E115">
        <v>6</v>
      </c>
      <c r="H115" s="1"/>
    </row>
    <row r="116" spans="2:8" x14ac:dyDescent="0.25">
      <c r="B116" s="1" t="s">
        <v>46</v>
      </c>
      <c r="C116" s="1">
        <v>38838</v>
      </c>
      <c r="D116">
        <v>11400000</v>
      </c>
      <c r="E116">
        <v>7</v>
      </c>
      <c r="H116" s="1"/>
    </row>
    <row r="117" spans="2:8" x14ac:dyDescent="0.25">
      <c r="B117" s="1" t="s">
        <v>25</v>
      </c>
      <c r="C117" s="1">
        <v>38838</v>
      </c>
      <c r="D117">
        <v>10880000</v>
      </c>
      <c r="E117">
        <v>8</v>
      </c>
      <c r="H117" s="1"/>
    </row>
    <row r="118" spans="2:8" x14ac:dyDescent="0.25">
      <c r="B118" s="1" t="s">
        <v>47</v>
      </c>
      <c r="C118" s="1">
        <v>38838</v>
      </c>
      <c r="D118">
        <v>7289000</v>
      </c>
      <c r="E118">
        <v>9</v>
      </c>
      <c r="H118" s="1"/>
    </row>
    <row r="119" spans="2:8" x14ac:dyDescent="0.25">
      <c r="B119" s="1" t="s">
        <v>8</v>
      </c>
      <c r="C119" s="1">
        <v>38838</v>
      </c>
      <c r="D119">
        <v>3265290</v>
      </c>
      <c r="E119">
        <v>10</v>
      </c>
      <c r="H119" s="1"/>
    </row>
    <row r="120" spans="2:8" x14ac:dyDescent="0.25">
      <c r="B120" s="1" t="s">
        <v>17</v>
      </c>
      <c r="C120" s="1">
        <v>38869</v>
      </c>
      <c r="D120">
        <v>282484153</v>
      </c>
      <c r="E120">
        <v>1</v>
      </c>
      <c r="H120" s="1"/>
    </row>
    <row r="121" spans="2:8" x14ac:dyDescent="0.25">
      <c r="B121" s="1" t="s">
        <v>16</v>
      </c>
      <c r="C121" s="1">
        <v>38869</v>
      </c>
      <c r="D121">
        <v>282484153</v>
      </c>
      <c r="E121">
        <v>1</v>
      </c>
      <c r="H121" s="1"/>
    </row>
    <row r="122" spans="2:8" x14ac:dyDescent="0.25">
      <c r="B122" s="1" t="s">
        <v>44</v>
      </c>
      <c r="C122" s="1">
        <v>38869</v>
      </c>
      <c r="D122">
        <v>30423043</v>
      </c>
      <c r="E122">
        <v>3</v>
      </c>
    </row>
    <row r="123" spans="2:8" x14ac:dyDescent="0.25">
      <c r="B123" s="1" t="s">
        <v>48</v>
      </c>
      <c r="C123" s="1">
        <v>38869</v>
      </c>
      <c r="D123">
        <v>30000000</v>
      </c>
      <c r="E123">
        <v>4</v>
      </c>
    </row>
    <row r="124" spans="2:8" x14ac:dyDescent="0.25">
      <c r="B124" s="1" t="s">
        <v>47</v>
      </c>
      <c r="C124" s="1">
        <v>38869</v>
      </c>
      <c r="D124">
        <v>28946000</v>
      </c>
      <c r="E124">
        <v>5</v>
      </c>
    </row>
    <row r="125" spans="2:8" x14ac:dyDescent="0.25">
      <c r="B125" s="1" t="s">
        <v>38</v>
      </c>
      <c r="C125" s="1">
        <v>38869</v>
      </c>
      <c r="D125">
        <v>19148434</v>
      </c>
      <c r="E125">
        <v>6</v>
      </c>
    </row>
    <row r="126" spans="2:8" x14ac:dyDescent="0.25">
      <c r="B126" s="1" t="s">
        <v>49</v>
      </c>
      <c r="C126" s="1">
        <v>38869</v>
      </c>
      <c r="D126">
        <v>15800000</v>
      </c>
      <c r="E126">
        <v>7</v>
      </c>
    </row>
    <row r="127" spans="2:8" x14ac:dyDescent="0.25">
      <c r="B127" s="1" t="s">
        <v>50</v>
      </c>
      <c r="C127" s="1">
        <v>38869</v>
      </c>
      <c r="D127">
        <v>15141618</v>
      </c>
      <c r="E127">
        <v>8</v>
      </c>
    </row>
    <row r="128" spans="2:8" x14ac:dyDescent="0.25">
      <c r="B128" s="1" t="s">
        <v>43</v>
      </c>
      <c r="C128" s="1">
        <v>38869</v>
      </c>
      <c r="D128">
        <v>7000000</v>
      </c>
      <c r="E128">
        <v>9</v>
      </c>
    </row>
    <row r="129" spans="2:5" x14ac:dyDescent="0.25">
      <c r="B129" s="1" t="s">
        <v>51</v>
      </c>
      <c r="C129" s="1">
        <v>38869</v>
      </c>
      <c r="D129">
        <v>5620000</v>
      </c>
      <c r="E129">
        <v>10</v>
      </c>
    </row>
    <row r="130" spans="2:5" x14ac:dyDescent="0.25">
      <c r="B130" s="1" t="s">
        <v>47</v>
      </c>
      <c r="C130" s="1">
        <v>38899</v>
      </c>
      <c r="D130">
        <v>697418800</v>
      </c>
      <c r="E130">
        <v>1</v>
      </c>
    </row>
    <row r="131" spans="2:5" x14ac:dyDescent="0.25">
      <c r="B131" s="1" t="s">
        <v>13</v>
      </c>
      <c r="C131" s="1">
        <v>38899</v>
      </c>
      <c r="D131">
        <v>556006373</v>
      </c>
      <c r="E131">
        <v>2</v>
      </c>
    </row>
    <row r="132" spans="2:5" x14ac:dyDescent="0.25">
      <c r="B132" s="1" t="s">
        <v>14</v>
      </c>
      <c r="C132" s="1">
        <v>38899</v>
      </c>
      <c r="D132">
        <v>556006373</v>
      </c>
      <c r="E132">
        <v>2</v>
      </c>
    </row>
    <row r="133" spans="2:5" x14ac:dyDescent="0.25">
      <c r="B133" s="1" t="s">
        <v>52</v>
      </c>
      <c r="C133" s="1">
        <v>38899</v>
      </c>
      <c r="D133">
        <v>401930000</v>
      </c>
      <c r="E133">
        <v>4</v>
      </c>
    </row>
    <row r="134" spans="2:5" x14ac:dyDescent="0.25">
      <c r="B134" s="1" t="s">
        <v>49</v>
      </c>
      <c r="C134" s="1">
        <v>38899</v>
      </c>
      <c r="D134">
        <v>250147849</v>
      </c>
      <c r="E134">
        <v>5</v>
      </c>
    </row>
    <row r="135" spans="2:5" x14ac:dyDescent="0.25">
      <c r="B135" s="1" t="s">
        <v>43</v>
      </c>
      <c r="C135" s="1">
        <v>38899</v>
      </c>
      <c r="D135">
        <v>196113000</v>
      </c>
      <c r="E135">
        <v>6</v>
      </c>
    </row>
    <row r="136" spans="2:5" x14ac:dyDescent="0.25">
      <c r="B136" s="1" t="s">
        <v>44</v>
      </c>
      <c r="C136" s="1">
        <v>38899</v>
      </c>
      <c r="D136">
        <v>181950000</v>
      </c>
      <c r="E136">
        <v>7</v>
      </c>
    </row>
    <row r="137" spans="2:5" x14ac:dyDescent="0.25">
      <c r="B137" s="1" t="s">
        <v>53</v>
      </c>
      <c r="C137" s="1">
        <v>38899</v>
      </c>
      <c r="D137">
        <v>155090000</v>
      </c>
      <c r="E137">
        <v>8</v>
      </c>
    </row>
    <row r="138" spans="2:5" x14ac:dyDescent="0.25">
      <c r="B138" s="1" t="s">
        <v>48</v>
      </c>
      <c r="C138" s="1">
        <v>38899</v>
      </c>
      <c r="D138">
        <v>121000000</v>
      </c>
      <c r="E138">
        <v>9</v>
      </c>
    </row>
    <row r="139" spans="2:5" x14ac:dyDescent="0.25">
      <c r="B139" s="1" t="s">
        <v>54</v>
      </c>
      <c r="C139" s="1">
        <v>38899</v>
      </c>
      <c r="D139">
        <v>66956000</v>
      </c>
      <c r="E139">
        <v>10</v>
      </c>
    </row>
    <row r="140" spans="2:5" x14ac:dyDescent="0.25">
      <c r="B140" s="1" t="s">
        <v>43</v>
      </c>
      <c r="C140" s="1">
        <v>38930</v>
      </c>
      <c r="D140">
        <v>433633000</v>
      </c>
      <c r="E140">
        <v>1</v>
      </c>
    </row>
    <row r="141" spans="2:5" x14ac:dyDescent="0.25">
      <c r="B141" s="1" t="s">
        <v>13</v>
      </c>
      <c r="C141" s="1">
        <v>38930</v>
      </c>
      <c r="D141">
        <v>425797000</v>
      </c>
      <c r="E141">
        <v>2</v>
      </c>
    </row>
    <row r="142" spans="2:5" x14ac:dyDescent="0.25">
      <c r="B142" s="1" t="s">
        <v>14</v>
      </c>
      <c r="C142" s="1">
        <v>38930</v>
      </c>
      <c r="D142">
        <v>417297000</v>
      </c>
      <c r="E142">
        <v>3</v>
      </c>
    </row>
    <row r="143" spans="2:5" x14ac:dyDescent="0.25">
      <c r="B143" s="1" t="s">
        <v>44</v>
      </c>
      <c r="C143" s="1">
        <v>38930</v>
      </c>
      <c r="D143">
        <v>202591831</v>
      </c>
      <c r="E143">
        <v>4</v>
      </c>
    </row>
    <row r="144" spans="2:5" x14ac:dyDescent="0.25">
      <c r="B144" s="1" t="s">
        <v>49</v>
      </c>
      <c r="C144" s="1">
        <v>38930</v>
      </c>
      <c r="D144">
        <v>175465313</v>
      </c>
      <c r="E144">
        <v>5</v>
      </c>
    </row>
    <row r="145" spans="2:5" x14ac:dyDescent="0.25">
      <c r="B145" s="1" t="s">
        <v>48</v>
      </c>
      <c r="C145" s="1">
        <v>38930</v>
      </c>
      <c r="D145">
        <v>142161257</v>
      </c>
      <c r="E145">
        <v>6</v>
      </c>
    </row>
    <row r="146" spans="2:5" x14ac:dyDescent="0.25">
      <c r="B146" s="1" t="s">
        <v>52</v>
      </c>
      <c r="C146" s="1">
        <v>38930</v>
      </c>
      <c r="D146">
        <v>115866000</v>
      </c>
      <c r="E146">
        <v>7</v>
      </c>
    </row>
    <row r="147" spans="2:5" x14ac:dyDescent="0.25">
      <c r="B147" s="1" t="s">
        <v>40</v>
      </c>
      <c r="C147" s="1">
        <v>38930</v>
      </c>
      <c r="D147">
        <v>78585700</v>
      </c>
      <c r="E147">
        <v>8</v>
      </c>
    </row>
    <row r="148" spans="2:5" x14ac:dyDescent="0.25">
      <c r="B148" s="1" t="s">
        <v>42</v>
      </c>
      <c r="C148" s="1">
        <v>38930</v>
      </c>
      <c r="D148">
        <v>53453723</v>
      </c>
      <c r="E148">
        <v>9</v>
      </c>
    </row>
    <row r="149" spans="2:5" x14ac:dyDescent="0.25">
      <c r="B149" s="1" t="s">
        <v>54</v>
      </c>
      <c r="C149" s="1">
        <v>38930</v>
      </c>
      <c r="D149">
        <v>42800000</v>
      </c>
      <c r="E149">
        <v>10</v>
      </c>
    </row>
    <row r="150" spans="2:5" x14ac:dyDescent="0.25">
      <c r="B150" s="1" t="s">
        <v>44</v>
      </c>
      <c r="C150" s="1">
        <v>38961</v>
      </c>
      <c r="D150">
        <v>435518921</v>
      </c>
      <c r="E150">
        <v>1</v>
      </c>
    </row>
    <row r="151" spans="2:5" x14ac:dyDescent="0.25">
      <c r="B151" s="1" t="s">
        <v>16</v>
      </c>
      <c r="C151" s="1">
        <v>38961</v>
      </c>
      <c r="D151">
        <v>230860088.41999999</v>
      </c>
      <c r="E151">
        <v>2</v>
      </c>
    </row>
    <row r="152" spans="2:5" x14ac:dyDescent="0.25">
      <c r="B152" s="1" t="s">
        <v>17</v>
      </c>
      <c r="C152" s="1">
        <v>38961</v>
      </c>
      <c r="D152">
        <v>227973288.41999999</v>
      </c>
      <c r="E152">
        <v>3</v>
      </c>
    </row>
    <row r="153" spans="2:5" x14ac:dyDescent="0.25">
      <c r="B153" s="1" t="s">
        <v>43</v>
      </c>
      <c r="C153" s="1">
        <v>38961</v>
      </c>
      <c r="D153">
        <v>187952551</v>
      </c>
      <c r="E153">
        <v>4</v>
      </c>
    </row>
    <row r="154" spans="2:5" x14ac:dyDescent="0.25">
      <c r="B154" s="1" t="s">
        <v>49</v>
      </c>
      <c r="C154" s="1">
        <v>38961</v>
      </c>
      <c r="D154">
        <v>169846938</v>
      </c>
      <c r="E154">
        <v>5</v>
      </c>
    </row>
    <row r="155" spans="2:5" x14ac:dyDescent="0.25">
      <c r="B155" s="1" t="s">
        <v>52</v>
      </c>
      <c r="C155" s="1">
        <v>38961</v>
      </c>
      <c r="D155">
        <v>154464000</v>
      </c>
      <c r="E155">
        <v>6</v>
      </c>
    </row>
    <row r="156" spans="2:5" x14ac:dyDescent="0.25">
      <c r="B156" s="1" t="s">
        <v>55</v>
      </c>
      <c r="C156" s="1">
        <v>38961</v>
      </c>
      <c r="D156">
        <v>121000000</v>
      </c>
      <c r="E156">
        <v>7</v>
      </c>
    </row>
    <row r="157" spans="2:5" x14ac:dyDescent="0.25">
      <c r="B157" s="1" t="s">
        <v>13</v>
      </c>
      <c r="C157" s="1">
        <v>38961</v>
      </c>
      <c r="D157">
        <v>108081264</v>
      </c>
      <c r="E157">
        <v>8</v>
      </c>
    </row>
    <row r="158" spans="2:5" x14ac:dyDescent="0.25">
      <c r="B158" s="1" t="s">
        <v>42</v>
      </c>
      <c r="C158" s="1">
        <v>38961</v>
      </c>
      <c r="D158">
        <v>107208425</v>
      </c>
      <c r="E158">
        <v>9</v>
      </c>
    </row>
    <row r="159" spans="2:5" x14ac:dyDescent="0.25">
      <c r="B159" s="1" t="s">
        <v>14</v>
      </c>
      <c r="C159" s="1">
        <v>38961</v>
      </c>
      <c r="D159">
        <v>95767090</v>
      </c>
      <c r="E159">
        <v>10</v>
      </c>
    </row>
    <row r="160" spans="2:5" x14ac:dyDescent="0.25">
      <c r="B160" s="1" t="s">
        <v>6</v>
      </c>
      <c r="C160" s="1">
        <v>38991</v>
      </c>
      <c r="D160">
        <v>962843082.87</v>
      </c>
      <c r="E160">
        <v>1</v>
      </c>
    </row>
    <row r="161" spans="2:5" x14ac:dyDescent="0.25">
      <c r="B161" s="1" t="s">
        <v>14</v>
      </c>
      <c r="C161" s="1">
        <v>38991</v>
      </c>
      <c r="D161">
        <v>475918919</v>
      </c>
      <c r="E161">
        <v>2</v>
      </c>
    </row>
    <row r="162" spans="2:5" x14ac:dyDescent="0.25">
      <c r="B162" s="1" t="s">
        <v>13</v>
      </c>
      <c r="C162" s="1">
        <v>38991</v>
      </c>
      <c r="D162">
        <v>475918919</v>
      </c>
      <c r="E162">
        <v>2</v>
      </c>
    </row>
    <row r="163" spans="2:5" x14ac:dyDescent="0.25">
      <c r="B163" s="1" t="s">
        <v>47</v>
      </c>
      <c r="C163" s="1">
        <v>38991</v>
      </c>
      <c r="D163">
        <v>467127900</v>
      </c>
      <c r="E163">
        <v>4</v>
      </c>
    </row>
    <row r="164" spans="2:5" x14ac:dyDescent="0.25">
      <c r="B164" s="1" t="s">
        <v>52</v>
      </c>
      <c r="C164" s="1">
        <v>38991</v>
      </c>
      <c r="D164">
        <v>379466000</v>
      </c>
      <c r="E164">
        <v>5</v>
      </c>
    </row>
    <row r="165" spans="2:5" x14ac:dyDescent="0.25">
      <c r="B165" s="1" t="s">
        <v>5</v>
      </c>
      <c r="C165" s="1">
        <v>38991</v>
      </c>
      <c r="D165">
        <v>336213782.29000002</v>
      </c>
      <c r="E165">
        <v>6</v>
      </c>
    </row>
    <row r="166" spans="2:5" x14ac:dyDescent="0.25">
      <c r="B166" s="1" t="s">
        <v>44</v>
      </c>
      <c r="C166" s="1">
        <v>38991</v>
      </c>
      <c r="D166">
        <v>216135923</v>
      </c>
      <c r="E166">
        <v>7</v>
      </c>
    </row>
    <row r="167" spans="2:5" x14ac:dyDescent="0.25">
      <c r="B167" s="1" t="s">
        <v>56</v>
      </c>
      <c r="C167" s="1">
        <v>38991</v>
      </c>
      <c r="D167">
        <v>155432083.16</v>
      </c>
      <c r="E167">
        <v>8</v>
      </c>
    </row>
    <row r="168" spans="2:5" x14ac:dyDescent="0.25">
      <c r="B168" s="1" t="s">
        <v>21</v>
      </c>
      <c r="C168" s="1">
        <v>38991</v>
      </c>
      <c r="D168">
        <v>134701211.13</v>
      </c>
      <c r="E168">
        <v>9</v>
      </c>
    </row>
    <row r="169" spans="2:5" x14ac:dyDescent="0.25">
      <c r="B169" s="1" t="s">
        <v>55</v>
      </c>
      <c r="C169" s="1">
        <v>38991</v>
      </c>
      <c r="D169">
        <v>121000000</v>
      </c>
      <c r="E169">
        <v>10</v>
      </c>
    </row>
    <row r="170" spans="2:5" x14ac:dyDescent="0.25">
      <c r="B170" s="1" t="s">
        <v>6</v>
      </c>
      <c r="C170" s="1">
        <v>39022</v>
      </c>
      <c r="D170">
        <v>5912182200.0200005</v>
      </c>
      <c r="E170">
        <v>1</v>
      </c>
    </row>
    <row r="171" spans="2:5" x14ac:dyDescent="0.25">
      <c r="B171" s="1" t="s">
        <v>7</v>
      </c>
      <c r="C171" s="1">
        <v>39022</v>
      </c>
      <c r="D171">
        <v>4848247830.0200005</v>
      </c>
      <c r="E171">
        <v>2</v>
      </c>
    </row>
    <row r="172" spans="2:5" x14ac:dyDescent="0.25">
      <c r="B172" s="1" t="s">
        <v>13</v>
      </c>
      <c r="C172" s="1">
        <v>39022</v>
      </c>
      <c r="D172">
        <v>2892184028.23</v>
      </c>
      <c r="E172">
        <v>3</v>
      </c>
    </row>
    <row r="173" spans="2:5" x14ac:dyDescent="0.25">
      <c r="B173" s="1" t="s">
        <v>25</v>
      </c>
      <c r="C173" s="1">
        <v>39022</v>
      </c>
      <c r="D173">
        <v>2343463477.3299999</v>
      </c>
      <c r="E173">
        <v>4</v>
      </c>
    </row>
    <row r="174" spans="2:5" x14ac:dyDescent="0.25">
      <c r="B174" s="1" t="s">
        <v>16</v>
      </c>
      <c r="C174" s="1">
        <v>39022</v>
      </c>
      <c r="D174">
        <v>1876822598.0899999</v>
      </c>
      <c r="E174">
        <v>5</v>
      </c>
    </row>
    <row r="175" spans="2:5" x14ac:dyDescent="0.25">
      <c r="B175" s="1" t="s">
        <v>57</v>
      </c>
      <c r="C175" s="1">
        <v>39022</v>
      </c>
      <c r="D175">
        <v>1769313652.9300001</v>
      </c>
      <c r="E175">
        <v>6</v>
      </c>
    </row>
    <row r="176" spans="2:5" x14ac:dyDescent="0.25">
      <c r="B176" s="1" t="s">
        <v>4</v>
      </c>
      <c r="C176" s="1">
        <v>39022</v>
      </c>
      <c r="D176">
        <v>1201796378.9000001</v>
      </c>
      <c r="E176">
        <v>7</v>
      </c>
    </row>
    <row r="177" spans="2:5" x14ac:dyDescent="0.25">
      <c r="B177" s="1" t="s">
        <v>9</v>
      </c>
      <c r="C177" s="1">
        <v>39022</v>
      </c>
      <c r="D177">
        <v>1010452372</v>
      </c>
      <c r="E177">
        <v>8</v>
      </c>
    </row>
    <row r="178" spans="2:5" x14ac:dyDescent="0.25">
      <c r="B178" s="1" t="s">
        <v>12</v>
      </c>
      <c r="C178" s="1">
        <v>39022</v>
      </c>
      <c r="D178">
        <v>713636567.05999994</v>
      </c>
      <c r="E178">
        <v>9</v>
      </c>
    </row>
    <row r="179" spans="2:5" x14ac:dyDescent="0.25">
      <c r="B179" s="1" t="s">
        <v>21</v>
      </c>
      <c r="C179" s="1">
        <v>39022</v>
      </c>
      <c r="D179">
        <v>699265233.15999997</v>
      </c>
      <c r="E179">
        <v>10</v>
      </c>
    </row>
    <row r="180" spans="2:5" x14ac:dyDescent="0.25">
      <c r="B180" s="1" t="s">
        <v>6</v>
      </c>
      <c r="C180" s="1">
        <v>39052</v>
      </c>
      <c r="D180">
        <v>6878861100.71</v>
      </c>
      <c r="E180">
        <v>1</v>
      </c>
    </row>
    <row r="181" spans="2:5" x14ac:dyDescent="0.25">
      <c r="B181" s="1" t="s">
        <v>7</v>
      </c>
      <c r="C181" s="1">
        <v>39052</v>
      </c>
      <c r="D181">
        <v>6583757379.71</v>
      </c>
      <c r="E181">
        <v>2</v>
      </c>
    </row>
    <row r="182" spans="2:5" x14ac:dyDescent="0.25">
      <c r="B182" s="1" t="s">
        <v>13</v>
      </c>
      <c r="C182" s="1">
        <v>39052</v>
      </c>
      <c r="D182">
        <v>3448879244.6599998</v>
      </c>
      <c r="E182">
        <v>3</v>
      </c>
    </row>
    <row r="183" spans="2:5" x14ac:dyDescent="0.25">
      <c r="B183" s="1" t="s">
        <v>57</v>
      </c>
      <c r="C183" s="1">
        <v>39052</v>
      </c>
      <c r="D183">
        <v>2667070610</v>
      </c>
      <c r="E183">
        <v>4</v>
      </c>
    </row>
    <row r="184" spans="2:5" x14ac:dyDescent="0.25">
      <c r="B184" s="1" t="s">
        <v>16</v>
      </c>
      <c r="C184" s="1">
        <v>39052</v>
      </c>
      <c r="D184">
        <v>1728863650.1300001</v>
      </c>
      <c r="E184">
        <v>5</v>
      </c>
    </row>
    <row r="185" spans="2:5" x14ac:dyDescent="0.25">
      <c r="B185" s="1" t="s">
        <v>25</v>
      </c>
      <c r="C185" s="1">
        <v>39052</v>
      </c>
      <c r="D185">
        <v>1625803944.3599999</v>
      </c>
      <c r="E185">
        <v>6</v>
      </c>
    </row>
    <row r="186" spans="2:5" x14ac:dyDescent="0.25">
      <c r="B186" s="1" t="s">
        <v>4</v>
      </c>
      <c r="C186" s="1">
        <v>39052</v>
      </c>
      <c r="D186">
        <v>1356028136.99</v>
      </c>
      <c r="E186">
        <v>7</v>
      </c>
    </row>
    <row r="187" spans="2:5" x14ac:dyDescent="0.25">
      <c r="B187" s="1" t="s">
        <v>14</v>
      </c>
      <c r="C187" s="1">
        <v>39052</v>
      </c>
      <c r="D187">
        <v>1145927350</v>
      </c>
      <c r="E187">
        <v>8</v>
      </c>
    </row>
    <row r="188" spans="2:5" x14ac:dyDescent="0.25">
      <c r="B188" s="1" t="s">
        <v>9</v>
      </c>
      <c r="C188" s="1">
        <v>39052</v>
      </c>
      <c r="D188">
        <v>1089168739</v>
      </c>
      <c r="E188">
        <v>9</v>
      </c>
    </row>
    <row r="189" spans="2:5" x14ac:dyDescent="0.25">
      <c r="B189" s="1" t="s">
        <v>12</v>
      </c>
      <c r="C189" s="1">
        <v>39052</v>
      </c>
      <c r="D189">
        <v>648441682.39999998</v>
      </c>
      <c r="E189">
        <v>10</v>
      </c>
    </row>
    <row r="190" spans="2:5" x14ac:dyDescent="0.25">
      <c r="B190" s="1" t="s">
        <v>6</v>
      </c>
      <c r="C190" s="1">
        <v>39083</v>
      </c>
      <c r="D190">
        <v>9008075393</v>
      </c>
      <c r="E190">
        <v>1</v>
      </c>
    </row>
    <row r="191" spans="2:5" x14ac:dyDescent="0.25">
      <c r="B191" s="1" t="s">
        <v>7</v>
      </c>
      <c r="C191" s="1">
        <v>39083</v>
      </c>
      <c r="D191">
        <v>8711508813</v>
      </c>
      <c r="E191">
        <v>2</v>
      </c>
    </row>
    <row r="192" spans="2:5" x14ac:dyDescent="0.25">
      <c r="B192" s="1" t="s">
        <v>13</v>
      </c>
      <c r="C192" s="1">
        <v>39083</v>
      </c>
      <c r="D192">
        <v>2548529360</v>
      </c>
      <c r="E192">
        <v>3</v>
      </c>
    </row>
    <row r="193" spans="2:5" x14ac:dyDescent="0.25">
      <c r="B193" s="1" t="s">
        <v>25</v>
      </c>
      <c r="C193" s="1">
        <v>39083</v>
      </c>
      <c r="D193">
        <v>2473400845.6300001</v>
      </c>
      <c r="E193">
        <v>4</v>
      </c>
    </row>
    <row r="194" spans="2:5" x14ac:dyDescent="0.25">
      <c r="B194" s="1" t="s">
        <v>16</v>
      </c>
      <c r="C194" s="1">
        <v>39083</v>
      </c>
      <c r="D194">
        <v>2005484093.8599999</v>
      </c>
      <c r="E194">
        <v>5</v>
      </c>
    </row>
    <row r="195" spans="2:5" x14ac:dyDescent="0.25">
      <c r="B195" s="1" t="s">
        <v>57</v>
      </c>
      <c r="C195" s="1">
        <v>39083</v>
      </c>
      <c r="D195">
        <v>1392884745</v>
      </c>
      <c r="E195">
        <v>6</v>
      </c>
    </row>
    <row r="196" spans="2:5" x14ac:dyDescent="0.25">
      <c r="B196" s="1" t="s">
        <v>4</v>
      </c>
      <c r="C196" s="1">
        <v>39083</v>
      </c>
      <c r="D196">
        <v>1242926127.8399999</v>
      </c>
      <c r="E196">
        <v>7</v>
      </c>
    </row>
    <row r="197" spans="2:5" x14ac:dyDescent="0.25">
      <c r="B197" s="1" t="s">
        <v>9</v>
      </c>
      <c r="C197" s="1">
        <v>39083</v>
      </c>
      <c r="D197">
        <v>1078120428</v>
      </c>
      <c r="E197">
        <v>8</v>
      </c>
    </row>
    <row r="198" spans="2:5" x14ac:dyDescent="0.25">
      <c r="B198" s="1" t="s">
        <v>30</v>
      </c>
      <c r="C198" s="1">
        <v>39083</v>
      </c>
      <c r="D198">
        <v>879027187</v>
      </c>
      <c r="E198">
        <v>9</v>
      </c>
    </row>
    <row r="199" spans="2:5" x14ac:dyDescent="0.25">
      <c r="B199" s="1" t="s">
        <v>21</v>
      </c>
      <c r="C199" s="1">
        <v>39083</v>
      </c>
      <c r="D199">
        <v>685226876.82000005</v>
      </c>
      <c r="E199">
        <v>10</v>
      </c>
    </row>
    <row r="200" spans="2:5" x14ac:dyDescent="0.25">
      <c r="B200" s="1" t="s">
        <v>6</v>
      </c>
      <c r="C200" s="1">
        <v>39114</v>
      </c>
      <c r="D200">
        <v>8625817045</v>
      </c>
      <c r="E200">
        <v>1</v>
      </c>
    </row>
    <row r="201" spans="2:5" x14ac:dyDescent="0.25">
      <c r="B201" s="1" t="s">
        <v>7</v>
      </c>
      <c r="C201" s="1">
        <v>39114</v>
      </c>
      <c r="D201">
        <v>5541527303</v>
      </c>
      <c r="E201">
        <v>2</v>
      </c>
    </row>
    <row r="202" spans="2:5" x14ac:dyDescent="0.25">
      <c r="B202" s="1" t="s">
        <v>13</v>
      </c>
      <c r="C202" s="1">
        <v>39114</v>
      </c>
      <c r="D202">
        <v>3033979449</v>
      </c>
      <c r="E202">
        <v>3</v>
      </c>
    </row>
    <row r="203" spans="2:5" x14ac:dyDescent="0.25">
      <c r="B203" s="1" t="s">
        <v>16</v>
      </c>
      <c r="C203" s="1">
        <v>39114</v>
      </c>
      <c r="D203">
        <v>3014522924.1199999</v>
      </c>
      <c r="E203">
        <v>4</v>
      </c>
    </row>
    <row r="204" spans="2:5" x14ac:dyDescent="0.25">
      <c r="B204" s="1" t="s">
        <v>57</v>
      </c>
      <c r="C204" s="1">
        <v>39114</v>
      </c>
      <c r="D204">
        <v>2787288153</v>
      </c>
      <c r="E204">
        <v>5</v>
      </c>
    </row>
    <row r="205" spans="2:5" x14ac:dyDescent="0.25">
      <c r="B205" s="1" t="s">
        <v>4</v>
      </c>
      <c r="C205" s="1">
        <v>39114</v>
      </c>
      <c r="D205">
        <v>2239793798.6599998</v>
      </c>
      <c r="E205">
        <v>6</v>
      </c>
    </row>
    <row r="206" spans="2:5" x14ac:dyDescent="0.25">
      <c r="B206" s="1" t="s">
        <v>25</v>
      </c>
      <c r="C206" s="1">
        <v>39114</v>
      </c>
      <c r="D206">
        <v>1685524401.6800001</v>
      </c>
      <c r="E206">
        <v>7</v>
      </c>
    </row>
    <row r="207" spans="2:5" x14ac:dyDescent="0.25">
      <c r="B207" s="1" t="s">
        <v>9</v>
      </c>
      <c r="C207" s="1">
        <v>39114</v>
      </c>
      <c r="D207">
        <v>1347925403</v>
      </c>
      <c r="E207">
        <v>8</v>
      </c>
    </row>
    <row r="208" spans="2:5" x14ac:dyDescent="0.25">
      <c r="B208" s="1" t="s">
        <v>30</v>
      </c>
      <c r="C208" s="1">
        <v>39114</v>
      </c>
      <c r="D208">
        <v>919494049</v>
      </c>
      <c r="E208">
        <v>9</v>
      </c>
    </row>
    <row r="209" spans="2:5" x14ac:dyDescent="0.25">
      <c r="B209" s="1" t="s">
        <v>12</v>
      </c>
      <c r="C209" s="1">
        <v>39114</v>
      </c>
      <c r="D209">
        <v>912306666</v>
      </c>
      <c r="E209">
        <v>10</v>
      </c>
    </row>
    <row r="210" spans="2:5" x14ac:dyDescent="0.25">
      <c r="B210" s="1" t="s">
        <v>6</v>
      </c>
      <c r="C210" s="1">
        <v>39142</v>
      </c>
      <c r="D210">
        <v>7241357422</v>
      </c>
      <c r="E210">
        <v>1</v>
      </c>
    </row>
    <row r="211" spans="2:5" x14ac:dyDescent="0.25">
      <c r="B211" s="1" t="s">
        <v>7</v>
      </c>
      <c r="C211" s="1">
        <v>39142</v>
      </c>
      <c r="D211">
        <v>6789301646</v>
      </c>
      <c r="E211">
        <v>2</v>
      </c>
    </row>
    <row r="212" spans="2:5" x14ac:dyDescent="0.25">
      <c r="B212" s="1" t="s">
        <v>13</v>
      </c>
      <c r="C212" s="1">
        <v>39142</v>
      </c>
      <c r="D212">
        <v>2812455484.5799999</v>
      </c>
      <c r="E212">
        <v>3</v>
      </c>
    </row>
    <row r="213" spans="2:5" x14ac:dyDescent="0.25">
      <c r="B213" s="1" t="s">
        <v>16</v>
      </c>
      <c r="C213" s="1">
        <v>39142</v>
      </c>
      <c r="D213">
        <v>2508344240.5799999</v>
      </c>
      <c r="E213">
        <v>4</v>
      </c>
    </row>
    <row r="214" spans="2:5" x14ac:dyDescent="0.25">
      <c r="B214" s="1" t="s">
        <v>4</v>
      </c>
      <c r="C214" s="1">
        <v>39142</v>
      </c>
      <c r="D214">
        <v>2057675204</v>
      </c>
      <c r="E214">
        <v>5</v>
      </c>
    </row>
    <row r="215" spans="2:5" x14ac:dyDescent="0.25">
      <c r="B215" s="1" t="s">
        <v>25</v>
      </c>
      <c r="C215" s="1">
        <v>39142</v>
      </c>
      <c r="D215">
        <v>1782572404.98</v>
      </c>
      <c r="E215">
        <v>6</v>
      </c>
    </row>
    <row r="216" spans="2:5" x14ac:dyDescent="0.25">
      <c r="B216" s="1" t="s">
        <v>57</v>
      </c>
      <c r="C216" s="1">
        <v>39142</v>
      </c>
      <c r="D216">
        <v>1580728720</v>
      </c>
      <c r="E216">
        <v>7</v>
      </c>
    </row>
    <row r="217" spans="2:5" x14ac:dyDescent="0.25">
      <c r="B217" s="1" t="s">
        <v>9</v>
      </c>
      <c r="C217" s="1">
        <v>39142</v>
      </c>
      <c r="D217">
        <v>1390421450</v>
      </c>
      <c r="E217">
        <v>8</v>
      </c>
    </row>
    <row r="218" spans="2:5" x14ac:dyDescent="0.25">
      <c r="B218" s="1" t="s">
        <v>30</v>
      </c>
      <c r="C218" s="1">
        <v>39142</v>
      </c>
      <c r="D218">
        <v>1178120322</v>
      </c>
      <c r="E218">
        <v>9</v>
      </c>
    </row>
    <row r="219" spans="2:5" x14ac:dyDescent="0.25">
      <c r="B219" s="1" t="s">
        <v>21</v>
      </c>
      <c r="C219" s="1">
        <v>39142</v>
      </c>
      <c r="D219">
        <v>842320272.16999996</v>
      </c>
      <c r="E219">
        <v>10</v>
      </c>
    </row>
    <row r="220" spans="2:5" x14ac:dyDescent="0.25">
      <c r="B220" s="1" t="s">
        <v>6</v>
      </c>
      <c r="C220" s="1">
        <v>39173</v>
      </c>
      <c r="D220">
        <v>8435795278.75</v>
      </c>
      <c r="E220">
        <v>1</v>
      </c>
    </row>
    <row r="221" spans="2:5" x14ac:dyDescent="0.25">
      <c r="B221" s="1" t="s">
        <v>7</v>
      </c>
      <c r="C221" s="1">
        <v>39173</v>
      </c>
      <c r="D221">
        <v>8059609431.75</v>
      </c>
      <c r="E221">
        <v>2</v>
      </c>
    </row>
    <row r="222" spans="2:5" x14ac:dyDescent="0.25">
      <c r="B222" s="1" t="s">
        <v>4</v>
      </c>
      <c r="C222" s="1">
        <v>39173</v>
      </c>
      <c r="D222">
        <v>3218432922.27</v>
      </c>
      <c r="E222">
        <v>3</v>
      </c>
    </row>
    <row r="223" spans="2:5" x14ac:dyDescent="0.25">
      <c r="B223" s="1" t="s">
        <v>16</v>
      </c>
      <c r="C223" s="1">
        <v>39173</v>
      </c>
      <c r="D223">
        <v>2904342886.1500001</v>
      </c>
      <c r="E223">
        <v>4</v>
      </c>
    </row>
    <row r="224" spans="2:5" x14ac:dyDescent="0.25">
      <c r="B224" s="1" t="s">
        <v>13</v>
      </c>
      <c r="C224" s="1">
        <v>39173</v>
      </c>
      <c r="D224">
        <v>2719459776.3200002</v>
      </c>
      <c r="E224">
        <v>5</v>
      </c>
    </row>
    <row r="225" spans="2:5" x14ac:dyDescent="0.25">
      <c r="B225" s="1" t="s">
        <v>57</v>
      </c>
      <c r="C225" s="1">
        <v>39173</v>
      </c>
      <c r="D225">
        <v>1716124604.6500001</v>
      </c>
      <c r="E225">
        <v>6</v>
      </c>
    </row>
    <row r="226" spans="2:5" x14ac:dyDescent="0.25">
      <c r="B226" s="1" t="s">
        <v>9</v>
      </c>
      <c r="C226" s="1">
        <v>39173</v>
      </c>
      <c r="D226">
        <v>1447162932</v>
      </c>
      <c r="E226">
        <v>7</v>
      </c>
    </row>
    <row r="227" spans="2:5" x14ac:dyDescent="0.25">
      <c r="B227" s="1" t="s">
        <v>25</v>
      </c>
      <c r="C227" s="1">
        <v>39173</v>
      </c>
      <c r="D227">
        <v>1297147899.78</v>
      </c>
      <c r="E227">
        <v>8</v>
      </c>
    </row>
    <row r="228" spans="2:5" x14ac:dyDescent="0.25">
      <c r="B228" s="1" t="s">
        <v>12</v>
      </c>
      <c r="C228" s="1">
        <v>39173</v>
      </c>
      <c r="D228">
        <v>907569900.02999997</v>
      </c>
      <c r="E228">
        <v>9</v>
      </c>
    </row>
    <row r="229" spans="2:5" x14ac:dyDescent="0.25">
      <c r="B229" s="1" t="s">
        <v>30</v>
      </c>
      <c r="C229" s="1">
        <v>39173</v>
      </c>
      <c r="D229">
        <v>827685883</v>
      </c>
      <c r="E229">
        <v>10</v>
      </c>
    </row>
    <row r="230" spans="2:5" x14ac:dyDescent="0.25">
      <c r="B230" s="1" t="s">
        <v>6</v>
      </c>
      <c r="C230" s="1">
        <v>39203</v>
      </c>
      <c r="D230">
        <v>8757031646.7099991</v>
      </c>
      <c r="E230">
        <v>1</v>
      </c>
    </row>
    <row r="231" spans="2:5" x14ac:dyDescent="0.25">
      <c r="B231" s="1" t="s">
        <v>7</v>
      </c>
      <c r="C231" s="1">
        <v>39203</v>
      </c>
      <c r="D231">
        <v>8265482641.71</v>
      </c>
      <c r="E231">
        <v>2</v>
      </c>
    </row>
    <row r="232" spans="2:5" x14ac:dyDescent="0.25">
      <c r="B232" s="1" t="s">
        <v>16</v>
      </c>
      <c r="C232" s="1">
        <v>39203</v>
      </c>
      <c r="D232">
        <v>3833114648.75</v>
      </c>
      <c r="E232">
        <v>3</v>
      </c>
    </row>
    <row r="233" spans="2:5" x14ac:dyDescent="0.25">
      <c r="B233" s="1" t="s">
        <v>13</v>
      </c>
      <c r="C233" s="1">
        <v>39203</v>
      </c>
      <c r="D233">
        <v>3345271361.5599999</v>
      </c>
      <c r="E233">
        <v>4</v>
      </c>
    </row>
    <row r="234" spans="2:5" x14ac:dyDescent="0.25">
      <c r="B234" s="1" t="s">
        <v>4</v>
      </c>
      <c r="C234" s="1">
        <v>39203</v>
      </c>
      <c r="D234">
        <v>2879827673.1599998</v>
      </c>
      <c r="E234">
        <v>5</v>
      </c>
    </row>
    <row r="235" spans="2:5" x14ac:dyDescent="0.25">
      <c r="B235" s="1" t="s">
        <v>57</v>
      </c>
      <c r="C235" s="1">
        <v>39203</v>
      </c>
      <c r="D235">
        <v>2817963532.98</v>
      </c>
      <c r="E235">
        <v>6</v>
      </c>
    </row>
    <row r="236" spans="2:5" x14ac:dyDescent="0.25">
      <c r="B236" s="1" t="s">
        <v>25</v>
      </c>
      <c r="C236" s="1">
        <v>39203</v>
      </c>
      <c r="D236">
        <v>2391529898.25</v>
      </c>
      <c r="E236">
        <v>7</v>
      </c>
    </row>
    <row r="237" spans="2:5" x14ac:dyDescent="0.25">
      <c r="B237" s="1" t="s">
        <v>58</v>
      </c>
      <c r="C237" s="1">
        <v>39203</v>
      </c>
      <c r="D237">
        <v>1500398960</v>
      </c>
      <c r="E237">
        <v>8</v>
      </c>
    </row>
    <row r="238" spans="2:5" x14ac:dyDescent="0.25">
      <c r="B238" s="1" t="s">
        <v>12</v>
      </c>
      <c r="C238" s="1">
        <v>39203</v>
      </c>
      <c r="D238">
        <v>1299005761.8</v>
      </c>
      <c r="E238">
        <v>9</v>
      </c>
    </row>
    <row r="239" spans="2:5" x14ac:dyDescent="0.25">
      <c r="B239" s="1" t="s">
        <v>5</v>
      </c>
      <c r="C239" s="1">
        <v>39203</v>
      </c>
      <c r="D239">
        <v>1228350512.52</v>
      </c>
      <c r="E239">
        <v>10</v>
      </c>
    </row>
    <row r="240" spans="2:5" x14ac:dyDescent="0.25">
      <c r="B240" s="1" t="s">
        <v>43</v>
      </c>
      <c r="C240" s="1">
        <v>39234</v>
      </c>
      <c r="D240">
        <v>529500000</v>
      </c>
      <c r="E240">
        <v>1</v>
      </c>
    </row>
    <row r="241" spans="2:5" x14ac:dyDescent="0.25">
      <c r="B241" s="1" t="s">
        <v>44</v>
      </c>
      <c r="C241" s="1">
        <v>39234</v>
      </c>
      <c r="D241">
        <v>525451496</v>
      </c>
      <c r="E241">
        <v>2</v>
      </c>
    </row>
    <row r="242" spans="2:5" x14ac:dyDescent="0.25">
      <c r="B242" s="1" t="s">
        <v>13</v>
      </c>
      <c r="C242" s="1">
        <v>39234</v>
      </c>
      <c r="D242">
        <v>199240159</v>
      </c>
      <c r="E242">
        <v>3</v>
      </c>
    </row>
    <row r="243" spans="2:5" x14ac:dyDescent="0.25">
      <c r="B243" s="1" t="s">
        <v>14</v>
      </c>
      <c r="C243" s="1">
        <v>39234</v>
      </c>
      <c r="D243">
        <v>199240159</v>
      </c>
      <c r="E243">
        <v>3</v>
      </c>
    </row>
    <row r="244" spans="2:5" x14ac:dyDescent="0.25">
      <c r="B244" s="1" t="s">
        <v>49</v>
      </c>
      <c r="C244" s="1">
        <v>39234</v>
      </c>
      <c r="D244">
        <v>186664202</v>
      </c>
      <c r="E244">
        <v>5</v>
      </c>
    </row>
    <row r="245" spans="2:5" x14ac:dyDescent="0.25">
      <c r="B245" s="1" t="s">
        <v>52</v>
      </c>
      <c r="C245" s="1">
        <v>39234</v>
      </c>
      <c r="D245">
        <v>128010000</v>
      </c>
      <c r="E245">
        <v>6</v>
      </c>
    </row>
    <row r="246" spans="2:5" x14ac:dyDescent="0.25">
      <c r="B246" s="1" t="s">
        <v>40</v>
      </c>
      <c r="C246" s="1">
        <v>39234</v>
      </c>
      <c r="D246">
        <v>88341541</v>
      </c>
      <c r="E246">
        <v>7</v>
      </c>
    </row>
    <row r="247" spans="2:5" x14ac:dyDescent="0.25">
      <c r="B247" s="1" t="s">
        <v>47</v>
      </c>
      <c r="C247" s="1">
        <v>39234</v>
      </c>
      <c r="D247">
        <v>78371000</v>
      </c>
      <c r="E247">
        <v>8</v>
      </c>
    </row>
    <row r="248" spans="2:5" x14ac:dyDescent="0.25">
      <c r="B248" s="1" t="s">
        <v>6</v>
      </c>
      <c r="C248" s="1">
        <v>39234</v>
      </c>
      <c r="D248">
        <v>49097527.210000001</v>
      </c>
      <c r="E248">
        <v>9</v>
      </c>
    </row>
    <row r="249" spans="2:5" x14ac:dyDescent="0.25">
      <c r="B249" s="1" t="s">
        <v>59</v>
      </c>
      <c r="C249" s="1">
        <v>39234</v>
      </c>
      <c r="D249">
        <v>36942000</v>
      </c>
      <c r="E249">
        <v>10</v>
      </c>
    </row>
    <row r="250" spans="2:5" x14ac:dyDescent="0.25">
      <c r="B250" s="1" t="s">
        <v>5</v>
      </c>
      <c r="C250" s="1">
        <v>39264</v>
      </c>
      <c r="D250">
        <v>587402404.38</v>
      </c>
      <c r="E250">
        <v>1</v>
      </c>
    </row>
    <row r="251" spans="2:5" x14ac:dyDescent="0.25">
      <c r="B251" s="1" t="s">
        <v>4</v>
      </c>
      <c r="C251" s="1">
        <v>39264</v>
      </c>
      <c r="D251">
        <v>289054248.91000003</v>
      </c>
      <c r="E251">
        <v>2</v>
      </c>
    </row>
    <row r="252" spans="2:5" x14ac:dyDescent="0.25">
      <c r="B252" s="1" t="s">
        <v>60</v>
      </c>
      <c r="C252" s="1">
        <v>39264</v>
      </c>
      <c r="D252">
        <v>165294713.30000001</v>
      </c>
      <c r="E252">
        <v>3</v>
      </c>
    </row>
    <row r="253" spans="2:5" x14ac:dyDescent="0.25">
      <c r="B253" s="1" t="s">
        <v>25</v>
      </c>
      <c r="C253" s="1">
        <v>39264</v>
      </c>
      <c r="D253">
        <v>159905398.22</v>
      </c>
      <c r="E253">
        <v>4</v>
      </c>
    </row>
    <row r="254" spans="2:5" x14ac:dyDescent="0.25">
      <c r="B254" s="1" t="s">
        <v>21</v>
      </c>
      <c r="C254" s="1">
        <v>39264</v>
      </c>
      <c r="D254">
        <v>143507290.88</v>
      </c>
      <c r="E254">
        <v>5</v>
      </c>
    </row>
    <row r="255" spans="2:5" x14ac:dyDescent="0.25">
      <c r="B255" s="1" t="s">
        <v>44</v>
      </c>
      <c r="C255" s="1">
        <v>39264</v>
      </c>
      <c r="D255">
        <v>126500000</v>
      </c>
      <c r="E255">
        <v>6</v>
      </c>
    </row>
    <row r="256" spans="2:5" x14ac:dyDescent="0.25">
      <c r="B256" s="1" t="s">
        <v>57</v>
      </c>
      <c r="C256" s="1">
        <v>39264</v>
      </c>
      <c r="D256">
        <v>121943584.34</v>
      </c>
      <c r="E256">
        <v>7</v>
      </c>
    </row>
    <row r="257" spans="2:5" x14ac:dyDescent="0.25">
      <c r="B257" s="1" t="s">
        <v>52</v>
      </c>
      <c r="C257" s="1">
        <v>39264</v>
      </c>
      <c r="D257">
        <v>107554000</v>
      </c>
      <c r="E257">
        <v>8</v>
      </c>
    </row>
    <row r="258" spans="2:5" x14ac:dyDescent="0.25">
      <c r="B258" s="1" t="s">
        <v>14</v>
      </c>
      <c r="C258" s="1">
        <v>39264</v>
      </c>
      <c r="D258">
        <v>106526391.84</v>
      </c>
      <c r="E258">
        <v>9</v>
      </c>
    </row>
    <row r="259" spans="2:5" x14ac:dyDescent="0.25">
      <c r="B259" s="1" t="s">
        <v>13</v>
      </c>
      <c r="C259" s="1">
        <v>39264</v>
      </c>
      <c r="D259">
        <v>106526391.84</v>
      </c>
      <c r="E259">
        <v>9</v>
      </c>
    </row>
    <row r="260" spans="2:5" x14ac:dyDescent="0.25">
      <c r="B260" s="1" t="s">
        <v>6</v>
      </c>
      <c r="C260" s="1">
        <v>39295</v>
      </c>
      <c r="D260">
        <v>7970383527.0900002</v>
      </c>
      <c r="E260">
        <v>1</v>
      </c>
    </row>
    <row r="261" spans="2:5" x14ac:dyDescent="0.25">
      <c r="B261" s="1" t="s">
        <v>7</v>
      </c>
      <c r="C261" s="1">
        <v>39295</v>
      </c>
      <c r="D261">
        <v>5549416466.0900002</v>
      </c>
      <c r="E261">
        <v>2</v>
      </c>
    </row>
    <row r="262" spans="2:5" x14ac:dyDescent="0.25">
      <c r="B262" s="1" t="s">
        <v>13</v>
      </c>
      <c r="C262" s="1">
        <v>39295</v>
      </c>
      <c r="D262">
        <v>5368827950.8599997</v>
      </c>
      <c r="E262">
        <v>3</v>
      </c>
    </row>
    <row r="263" spans="2:5" x14ac:dyDescent="0.25">
      <c r="B263" s="1" t="s">
        <v>16</v>
      </c>
      <c r="C263" s="1">
        <v>39295</v>
      </c>
      <c r="D263">
        <v>4354798481.1899996</v>
      </c>
      <c r="E263">
        <v>4</v>
      </c>
    </row>
    <row r="264" spans="2:5" x14ac:dyDescent="0.25">
      <c r="B264" s="1" t="s">
        <v>4</v>
      </c>
      <c r="C264" s="1">
        <v>39295</v>
      </c>
      <c r="D264">
        <v>3653159455.4499998</v>
      </c>
      <c r="E264">
        <v>5</v>
      </c>
    </row>
    <row r="265" spans="2:5" x14ac:dyDescent="0.25">
      <c r="B265" s="1" t="s">
        <v>25</v>
      </c>
      <c r="C265" s="1">
        <v>39295</v>
      </c>
      <c r="D265">
        <v>2776259321.4400001</v>
      </c>
      <c r="E265">
        <v>6</v>
      </c>
    </row>
    <row r="266" spans="2:5" x14ac:dyDescent="0.25">
      <c r="B266" s="1" t="s">
        <v>57</v>
      </c>
      <c r="C266" s="1">
        <v>39295</v>
      </c>
      <c r="D266">
        <v>2602983126.1300001</v>
      </c>
      <c r="E266">
        <v>7</v>
      </c>
    </row>
    <row r="267" spans="2:5" x14ac:dyDescent="0.25">
      <c r="B267" s="1" t="s">
        <v>58</v>
      </c>
      <c r="C267" s="1">
        <v>39295</v>
      </c>
      <c r="D267">
        <v>1376195197</v>
      </c>
      <c r="E267">
        <v>8</v>
      </c>
    </row>
    <row r="268" spans="2:5" x14ac:dyDescent="0.25">
      <c r="B268" s="1" t="s">
        <v>21</v>
      </c>
      <c r="C268" s="1">
        <v>39295</v>
      </c>
      <c r="D268">
        <v>1348505248.95</v>
      </c>
      <c r="E268">
        <v>9</v>
      </c>
    </row>
    <row r="269" spans="2:5" x14ac:dyDescent="0.25">
      <c r="B269" s="1" t="s">
        <v>12</v>
      </c>
      <c r="C269" s="1">
        <v>39295</v>
      </c>
      <c r="D269">
        <v>1162595939.1300001</v>
      </c>
      <c r="E269">
        <v>10</v>
      </c>
    </row>
    <row r="270" spans="2:5" x14ac:dyDescent="0.25">
      <c r="B270" s="1" t="s">
        <v>6</v>
      </c>
      <c r="C270" s="1">
        <v>39326</v>
      </c>
      <c r="D270">
        <v>11906421034.719999</v>
      </c>
      <c r="E270">
        <v>1</v>
      </c>
    </row>
    <row r="271" spans="2:5" x14ac:dyDescent="0.25">
      <c r="B271" s="1" t="s">
        <v>7</v>
      </c>
      <c r="C271" s="1">
        <v>39326</v>
      </c>
      <c r="D271">
        <v>8448582032.3299999</v>
      </c>
      <c r="E271">
        <v>2</v>
      </c>
    </row>
    <row r="272" spans="2:5" x14ac:dyDescent="0.25">
      <c r="B272" s="1" t="s">
        <v>13</v>
      </c>
      <c r="C272" s="1">
        <v>39326</v>
      </c>
      <c r="D272">
        <v>4931521660.5</v>
      </c>
      <c r="E272">
        <v>3</v>
      </c>
    </row>
    <row r="273" spans="2:5" x14ac:dyDescent="0.25">
      <c r="B273" s="1" t="s">
        <v>4</v>
      </c>
      <c r="C273" s="1">
        <v>39326</v>
      </c>
      <c r="D273">
        <v>3402261850.23</v>
      </c>
      <c r="E273">
        <v>4</v>
      </c>
    </row>
    <row r="274" spans="2:5" x14ac:dyDescent="0.25">
      <c r="B274" s="1" t="s">
        <v>16</v>
      </c>
      <c r="C274" s="1">
        <v>39326</v>
      </c>
      <c r="D274">
        <v>2698937355.0500002</v>
      </c>
      <c r="E274">
        <v>5</v>
      </c>
    </row>
    <row r="275" spans="2:5" x14ac:dyDescent="0.25">
      <c r="B275" s="1" t="s">
        <v>25</v>
      </c>
      <c r="C275" s="1">
        <v>39326</v>
      </c>
      <c r="D275">
        <v>1933443256.51</v>
      </c>
      <c r="E275">
        <v>6</v>
      </c>
    </row>
    <row r="276" spans="2:5" x14ac:dyDescent="0.25">
      <c r="B276" s="1" t="s">
        <v>57</v>
      </c>
      <c r="C276" s="1">
        <v>39326</v>
      </c>
      <c r="D276">
        <v>1794706224.6300001</v>
      </c>
      <c r="E276">
        <v>7</v>
      </c>
    </row>
    <row r="277" spans="2:5" x14ac:dyDescent="0.25">
      <c r="B277" s="1" t="s">
        <v>12</v>
      </c>
      <c r="C277" s="1">
        <v>39326</v>
      </c>
      <c r="D277">
        <v>1598243031.95</v>
      </c>
      <c r="E277">
        <v>8</v>
      </c>
    </row>
    <row r="278" spans="2:5" x14ac:dyDescent="0.25">
      <c r="B278" s="1" t="s">
        <v>30</v>
      </c>
      <c r="C278" s="1">
        <v>39326</v>
      </c>
      <c r="D278">
        <v>1509377032.0999999</v>
      </c>
      <c r="E278">
        <v>9</v>
      </c>
    </row>
    <row r="279" spans="2:5" x14ac:dyDescent="0.25">
      <c r="B279" s="1" t="s">
        <v>22</v>
      </c>
      <c r="C279" s="1">
        <v>39326</v>
      </c>
      <c r="D279">
        <v>1504357495.8299999</v>
      </c>
      <c r="E279">
        <v>10</v>
      </c>
    </row>
    <row r="280" spans="2:5" x14ac:dyDescent="0.25">
      <c r="B280" s="1" t="s">
        <v>6</v>
      </c>
      <c r="C280" s="1">
        <v>39356</v>
      </c>
      <c r="D280">
        <v>7611233645.2799997</v>
      </c>
      <c r="E280">
        <v>1</v>
      </c>
    </row>
    <row r="281" spans="2:5" x14ac:dyDescent="0.25">
      <c r="B281" s="1" t="s">
        <v>7</v>
      </c>
      <c r="C281" s="1">
        <v>39356</v>
      </c>
      <c r="D281">
        <v>6234694095.2799997</v>
      </c>
      <c r="E281">
        <v>2</v>
      </c>
    </row>
    <row r="282" spans="2:5" x14ac:dyDescent="0.25">
      <c r="B282" s="1" t="s">
        <v>13</v>
      </c>
      <c r="C282" s="1">
        <v>39356</v>
      </c>
      <c r="D282">
        <v>5542233010.0799999</v>
      </c>
      <c r="E282">
        <v>3</v>
      </c>
    </row>
    <row r="283" spans="2:5" x14ac:dyDescent="0.25">
      <c r="B283" s="1" t="s">
        <v>16</v>
      </c>
      <c r="C283" s="1">
        <v>39356</v>
      </c>
      <c r="D283">
        <v>3527666157.7399998</v>
      </c>
      <c r="E283">
        <v>4</v>
      </c>
    </row>
    <row r="284" spans="2:5" x14ac:dyDescent="0.25">
      <c r="B284" s="1" t="s">
        <v>57</v>
      </c>
      <c r="C284" s="1">
        <v>39356</v>
      </c>
      <c r="D284">
        <v>2350697844.6399999</v>
      </c>
      <c r="E284">
        <v>5</v>
      </c>
    </row>
    <row r="285" spans="2:5" x14ac:dyDescent="0.25">
      <c r="B285" s="1" t="s">
        <v>4</v>
      </c>
      <c r="C285" s="1">
        <v>39356</v>
      </c>
      <c r="D285">
        <v>2279214477</v>
      </c>
      <c r="E285">
        <v>6</v>
      </c>
    </row>
    <row r="286" spans="2:5" x14ac:dyDescent="0.25">
      <c r="B286" s="1" t="s">
        <v>25</v>
      </c>
      <c r="C286" s="1">
        <v>39356</v>
      </c>
      <c r="D286">
        <v>1995857574.76</v>
      </c>
      <c r="E286">
        <v>7</v>
      </c>
    </row>
    <row r="287" spans="2:5" x14ac:dyDescent="0.25">
      <c r="B287" s="1" t="s">
        <v>30</v>
      </c>
      <c r="C287" s="1">
        <v>39356</v>
      </c>
      <c r="D287">
        <v>1924748303.6900001</v>
      </c>
      <c r="E287">
        <v>8</v>
      </c>
    </row>
    <row r="288" spans="2:5" x14ac:dyDescent="0.25">
      <c r="B288" s="1" t="s">
        <v>12</v>
      </c>
      <c r="C288" s="1">
        <v>39356</v>
      </c>
      <c r="D288">
        <v>1724424141.5899999</v>
      </c>
      <c r="E288">
        <v>9</v>
      </c>
    </row>
    <row r="289" spans="2:5" x14ac:dyDescent="0.25">
      <c r="B289" s="1" t="s">
        <v>21</v>
      </c>
      <c r="C289" s="1">
        <v>39356</v>
      </c>
      <c r="D289">
        <v>1420438348.6199999</v>
      </c>
      <c r="E289">
        <v>10</v>
      </c>
    </row>
    <row r="290" spans="2:5" x14ac:dyDescent="0.25">
      <c r="B290" s="1" t="s">
        <v>6</v>
      </c>
      <c r="C290" s="1">
        <v>39387</v>
      </c>
      <c r="D290">
        <v>9251362639</v>
      </c>
      <c r="E290">
        <v>1</v>
      </c>
    </row>
    <row r="291" spans="2:5" x14ac:dyDescent="0.25">
      <c r="B291" s="1" t="s">
        <v>13</v>
      </c>
      <c r="C291" s="1">
        <v>39387</v>
      </c>
      <c r="D291">
        <v>5971674440.9099998</v>
      </c>
      <c r="E291">
        <v>2</v>
      </c>
    </row>
    <row r="292" spans="2:5" x14ac:dyDescent="0.25">
      <c r="B292" s="1" t="s">
        <v>7</v>
      </c>
      <c r="C292" s="1">
        <v>39387</v>
      </c>
      <c r="D292">
        <v>5620224592</v>
      </c>
      <c r="E292">
        <v>3</v>
      </c>
    </row>
    <row r="293" spans="2:5" x14ac:dyDescent="0.25">
      <c r="B293" s="1" t="s">
        <v>16</v>
      </c>
      <c r="C293" s="1">
        <v>39387</v>
      </c>
      <c r="D293">
        <v>4108599053.3899999</v>
      </c>
      <c r="E293">
        <v>4</v>
      </c>
    </row>
    <row r="294" spans="2:5" x14ac:dyDescent="0.25">
      <c r="B294" s="1" t="s">
        <v>57</v>
      </c>
      <c r="C294" s="1">
        <v>39387</v>
      </c>
      <c r="D294">
        <v>2965658446.6199999</v>
      </c>
      <c r="E294">
        <v>5</v>
      </c>
    </row>
    <row r="295" spans="2:5" x14ac:dyDescent="0.25">
      <c r="B295" s="1" t="s">
        <v>4</v>
      </c>
      <c r="C295" s="1">
        <v>39387</v>
      </c>
      <c r="D295">
        <v>2860822903</v>
      </c>
      <c r="E295">
        <v>6</v>
      </c>
    </row>
    <row r="296" spans="2:5" x14ac:dyDescent="0.25">
      <c r="B296" s="1" t="s">
        <v>25</v>
      </c>
      <c r="C296" s="1">
        <v>39387</v>
      </c>
      <c r="D296">
        <v>2316613344.4400001</v>
      </c>
      <c r="E296">
        <v>7</v>
      </c>
    </row>
    <row r="297" spans="2:5" x14ac:dyDescent="0.25">
      <c r="B297" s="1" t="s">
        <v>21</v>
      </c>
      <c r="C297" s="1">
        <v>39387</v>
      </c>
      <c r="D297">
        <v>2288150693</v>
      </c>
      <c r="E297">
        <v>8</v>
      </c>
    </row>
    <row r="298" spans="2:5" x14ac:dyDescent="0.25">
      <c r="B298" s="1" t="s">
        <v>58</v>
      </c>
      <c r="C298" s="1">
        <v>39387</v>
      </c>
      <c r="D298">
        <v>1576791161</v>
      </c>
      <c r="E298">
        <v>9</v>
      </c>
    </row>
    <row r="299" spans="2:5" x14ac:dyDescent="0.25">
      <c r="B299" s="1" t="s">
        <v>12</v>
      </c>
      <c r="C299" s="1">
        <v>39387</v>
      </c>
      <c r="D299">
        <v>1466684614.3</v>
      </c>
      <c r="E299">
        <v>10</v>
      </c>
    </row>
    <row r="300" spans="2:5" x14ac:dyDescent="0.25">
      <c r="B300" s="1" t="s">
        <v>6</v>
      </c>
      <c r="C300" s="1">
        <v>39417</v>
      </c>
      <c r="D300">
        <v>12421827356.389999</v>
      </c>
      <c r="E300">
        <v>1</v>
      </c>
    </row>
    <row r="301" spans="2:5" x14ac:dyDescent="0.25">
      <c r="B301" s="1" t="s">
        <v>7</v>
      </c>
      <c r="C301" s="1">
        <v>39417</v>
      </c>
      <c r="D301">
        <v>10045544086.389999</v>
      </c>
      <c r="E301">
        <v>2</v>
      </c>
    </row>
    <row r="302" spans="2:5" x14ac:dyDescent="0.25">
      <c r="B302" s="1" t="s">
        <v>16</v>
      </c>
      <c r="C302" s="1">
        <v>39417</v>
      </c>
      <c r="D302">
        <v>5882860464.71</v>
      </c>
      <c r="E302">
        <v>3</v>
      </c>
    </row>
    <row r="303" spans="2:5" x14ac:dyDescent="0.25">
      <c r="B303" s="1" t="s">
        <v>13</v>
      </c>
      <c r="C303" s="1">
        <v>39417</v>
      </c>
      <c r="D303">
        <v>4169881135</v>
      </c>
      <c r="E303">
        <v>4</v>
      </c>
    </row>
    <row r="304" spans="2:5" x14ac:dyDescent="0.25">
      <c r="B304" s="1" t="s">
        <v>25</v>
      </c>
      <c r="C304" s="1">
        <v>39417</v>
      </c>
      <c r="D304">
        <v>2828027093.6300001</v>
      </c>
      <c r="E304">
        <v>5</v>
      </c>
    </row>
    <row r="305" spans="2:5" x14ac:dyDescent="0.25">
      <c r="B305" s="1" t="s">
        <v>57</v>
      </c>
      <c r="C305" s="1">
        <v>39417</v>
      </c>
      <c r="D305">
        <v>2768397368.6799998</v>
      </c>
      <c r="E305">
        <v>6</v>
      </c>
    </row>
    <row r="306" spans="2:5" x14ac:dyDescent="0.25">
      <c r="B306" s="1" t="s">
        <v>4</v>
      </c>
      <c r="C306" s="1">
        <v>39417</v>
      </c>
      <c r="D306">
        <v>2580187388</v>
      </c>
      <c r="E306">
        <v>7</v>
      </c>
    </row>
    <row r="307" spans="2:5" x14ac:dyDescent="0.25">
      <c r="B307" s="1" t="s">
        <v>21</v>
      </c>
      <c r="C307" s="1">
        <v>39417</v>
      </c>
      <c r="D307">
        <v>1812559084.9200001</v>
      </c>
      <c r="E307">
        <v>8</v>
      </c>
    </row>
    <row r="308" spans="2:5" x14ac:dyDescent="0.25">
      <c r="B308" s="1" t="s">
        <v>30</v>
      </c>
      <c r="C308" s="1">
        <v>39417</v>
      </c>
      <c r="D308">
        <v>1736453448</v>
      </c>
      <c r="E308">
        <v>9</v>
      </c>
    </row>
    <row r="309" spans="2:5" x14ac:dyDescent="0.25">
      <c r="B309" s="1" t="s">
        <v>12</v>
      </c>
      <c r="C309" s="1">
        <v>39417</v>
      </c>
      <c r="D309">
        <v>1592827444.7</v>
      </c>
      <c r="E309">
        <v>10</v>
      </c>
    </row>
    <row r="310" spans="2:5" x14ac:dyDescent="0.25">
      <c r="B310" s="1" t="s">
        <v>6</v>
      </c>
      <c r="C310" s="1">
        <v>39448</v>
      </c>
      <c r="D310">
        <v>8728590817.0499992</v>
      </c>
      <c r="E310">
        <v>1</v>
      </c>
    </row>
    <row r="311" spans="2:5" x14ac:dyDescent="0.25">
      <c r="B311" s="1" t="s">
        <v>7</v>
      </c>
      <c r="C311" s="1">
        <v>39448</v>
      </c>
      <c r="D311">
        <v>7108699161</v>
      </c>
      <c r="E311">
        <v>2</v>
      </c>
    </row>
    <row r="312" spans="2:5" x14ac:dyDescent="0.25">
      <c r="B312" s="1" t="s">
        <v>13</v>
      </c>
      <c r="C312" s="1">
        <v>39448</v>
      </c>
      <c r="D312">
        <v>5183225453.21</v>
      </c>
      <c r="E312">
        <v>3</v>
      </c>
    </row>
    <row r="313" spans="2:5" x14ac:dyDescent="0.25">
      <c r="B313" s="1" t="s">
        <v>16</v>
      </c>
      <c r="C313" s="1">
        <v>39448</v>
      </c>
      <c r="D313">
        <v>3079886257.0799999</v>
      </c>
      <c r="E313">
        <v>4</v>
      </c>
    </row>
    <row r="314" spans="2:5" x14ac:dyDescent="0.25">
      <c r="B314" s="1" t="s">
        <v>25</v>
      </c>
      <c r="C314" s="1">
        <v>39448</v>
      </c>
      <c r="D314">
        <v>2858003053.02</v>
      </c>
      <c r="E314">
        <v>5</v>
      </c>
    </row>
    <row r="315" spans="2:5" x14ac:dyDescent="0.25">
      <c r="B315" s="1" t="s">
        <v>4</v>
      </c>
      <c r="C315" s="1">
        <v>39448</v>
      </c>
      <c r="D315">
        <v>2753435609.96</v>
      </c>
      <c r="E315">
        <v>6</v>
      </c>
    </row>
    <row r="316" spans="2:5" x14ac:dyDescent="0.25">
      <c r="B316" s="1" t="s">
        <v>57</v>
      </c>
      <c r="C316" s="1">
        <v>39448</v>
      </c>
      <c r="D316">
        <v>2721529982.6700001</v>
      </c>
      <c r="E316">
        <v>7</v>
      </c>
    </row>
    <row r="317" spans="2:5" x14ac:dyDescent="0.25">
      <c r="B317" s="1" t="s">
        <v>30</v>
      </c>
      <c r="C317" s="1">
        <v>39448</v>
      </c>
      <c r="D317">
        <v>1575464486</v>
      </c>
      <c r="E317">
        <v>8</v>
      </c>
    </row>
    <row r="318" spans="2:5" x14ac:dyDescent="0.25">
      <c r="B318" s="1" t="s">
        <v>58</v>
      </c>
      <c r="C318" s="1">
        <v>39448</v>
      </c>
      <c r="D318">
        <v>1438300798</v>
      </c>
      <c r="E318">
        <v>9</v>
      </c>
    </row>
    <row r="319" spans="2:5" x14ac:dyDescent="0.25">
      <c r="B319" s="1" t="s">
        <v>31</v>
      </c>
      <c r="C319" s="1">
        <v>39448</v>
      </c>
      <c r="D319">
        <v>1002322471</v>
      </c>
      <c r="E319">
        <v>10</v>
      </c>
    </row>
    <row r="320" spans="2:5" x14ac:dyDescent="0.25">
      <c r="B320" s="1" t="s">
        <v>6</v>
      </c>
      <c r="C320" s="1">
        <v>39479</v>
      </c>
      <c r="D320">
        <v>10940578643.9</v>
      </c>
      <c r="E320">
        <v>1</v>
      </c>
    </row>
    <row r="321" spans="2:5" x14ac:dyDescent="0.25">
      <c r="B321" s="1" t="s">
        <v>7</v>
      </c>
      <c r="C321" s="1">
        <v>39479</v>
      </c>
      <c r="D321">
        <v>8522227078.8999996</v>
      </c>
      <c r="E321">
        <v>2</v>
      </c>
    </row>
    <row r="322" spans="2:5" x14ac:dyDescent="0.25">
      <c r="B322" s="1" t="s">
        <v>13</v>
      </c>
      <c r="C322" s="1">
        <v>39479</v>
      </c>
      <c r="D322">
        <v>6061047145.0900002</v>
      </c>
      <c r="E322">
        <v>3</v>
      </c>
    </row>
    <row r="323" spans="2:5" x14ac:dyDescent="0.25">
      <c r="B323" s="1" t="s">
        <v>16</v>
      </c>
      <c r="C323" s="1">
        <v>39479</v>
      </c>
      <c r="D323">
        <v>3648839072.79</v>
      </c>
      <c r="E323">
        <v>4</v>
      </c>
    </row>
    <row r="324" spans="2:5" x14ac:dyDescent="0.25">
      <c r="B324" s="1" t="s">
        <v>57</v>
      </c>
      <c r="C324" s="1">
        <v>39479</v>
      </c>
      <c r="D324">
        <v>3383016344.3800001</v>
      </c>
      <c r="E324">
        <v>5</v>
      </c>
    </row>
    <row r="325" spans="2:5" x14ac:dyDescent="0.25">
      <c r="B325" s="1" t="s">
        <v>4</v>
      </c>
      <c r="C325" s="1">
        <v>39479</v>
      </c>
      <c r="D325">
        <v>2975112864.3200002</v>
      </c>
      <c r="E325">
        <v>6</v>
      </c>
    </row>
    <row r="326" spans="2:5" x14ac:dyDescent="0.25">
      <c r="B326" s="1" t="s">
        <v>25</v>
      </c>
      <c r="C326" s="1">
        <v>39479</v>
      </c>
      <c r="D326">
        <v>2798703942.1700001</v>
      </c>
      <c r="E326">
        <v>7</v>
      </c>
    </row>
    <row r="327" spans="2:5" x14ac:dyDescent="0.25">
      <c r="B327" s="1" t="s">
        <v>12</v>
      </c>
      <c r="C327" s="1">
        <v>39479</v>
      </c>
      <c r="D327">
        <v>1512143012.0999999</v>
      </c>
      <c r="E327">
        <v>8</v>
      </c>
    </row>
    <row r="328" spans="2:5" x14ac:dyDescent="0.25">
      <c r="B328" s="1" t="s">
        <v>30</v>
      </c>
      <c r="C328" s="1">
        <v>39479</v>
      </c>
      <c r="D328">
        <v>1473943766.0599999</v>
      </c>
      <c r="E328">
        <v>9</v>
      </c>
    </row>
    <row r="329" spans="2:5" x14ac:dyDescent="0.25">
      <c r="B329" s="1" t="s">
        <v>58</v>
      </c>
      <c r="C329" s="1">
        <v>39479</v>
      </c>
      <c r="D329">
        <v>1324787937</v>
      </c>
      <c r="E329">
        <v>10</v>
      </c>
    </row>
    <row r="330" spans="2:5" x14ac:dyDescent="0.25">
      <c r="B330" s="1" t="s">
        <v>6</v>
      </c>
      <c r="C330" s="1">
        <v>39508</v>
      </c>
      <c r="D330">
        <v>7127437485.3199997</v>
      </c>
      <c r="E330">
        <v>1</v>
      </c>
    </row>
    <row r="331" spans="2:5" x14ac:dyDescent="0.25">
      <c r="B331" s="1" t="s">
        <v>7</v>
      </c>
      <c r="C331" s="1">
        <v>39508</v>
      </c>
      <c r="D331">
        <v>6990008893.75</v>
      </c>
      <c r="E331">
        <v>2</v>
      </c>
    </row>
    <row r="332" spans="2:5" x14ac:dyDescent="0.25">
      <c r="B332" s="1" t="s">
        <v>13</v>
      </c>
      <c r="C332" s="1">
        <v>39508</v>
      </c>
      <c r="D332">
        <v>3877796837.6100001</v>
      </c>
      <c r="E332">
        <v>3</v>
      </c>
    </row>
    <row r="333" spans="2:5" x14ac:dyDescent="0.25">
      <c r="B333" s="1" t="s">
        <v>4</v>
      </c>
      <c r="C333" s="1">
        <v>39508</v>
      </c>
      <c r="D333">
        <v>3475050859</v>
      </c>
      <c r="E333">
        <v>4</v>
      </c>
    </row>
    <row r="334" spans="2:5" x14ac:dyDescent="0.25">
      <c r="B334" s="1" t="s">
        <v>25</v>
      </c>
      <c r="C334" s="1">
        <v>39508</v>
      </c>
      <c r="D334">
        <v>2845541368.1100001</v>
      </c>
      <c r="E334">
        <v>5</v>
      </c>
    </row>
    <row r="335" spans="2:5" x14ac:dyDescent="0.25">
      <c r="B335" s="1" t="s">
        <v>58</v>
      </c>
      <c r="C335" s="1">
        <v>39508</v>
      </c>
      <c r="D335">
        <v>1371503307</v>
      </c>
      <c r="E335">
        <v>6</v>
      </c>
    </row>
    <row r="336" spans="2:5" x14ac:dyDescent="0.25">
      <c r="B336" s="1" t="s">
        <v>57</v>
      </c>
      <c r="C336" s="1">
        <v>39508</v>
      </c>
      <c r="D336">
        <v>1259568820.0799999</v>
      </c>
      <c r="E336">
        <v>7</v>
      </c>
    </row>
    <row r="337" spans="2:5" x14ac:dyDescent="0.25">
      <c r="B337" s="1" t="s">
        <v>16</v>
      </c>
      <c r="C337" s="1">
        <v>39508</v>
      </c>
      <c r="D337">
        <v>1043995891.96</v>
      </c>
      <c r="E337">
        <v>8</v>
      </c>
    </row>
    <row r="338" spans="2:5" x14ac:dyDescent="0.25">
      <c r="B338" s="1" t="s">
        <v>5</v>
      </c>
      <c r="C338" s="1">
        <v>39508</v>
      </c>
      <c r="D338">
        <v>616279069.29999995</v>
      </c>
      <c r="E338">
        <v>9</v>
      </c>
    </row>
    <row r="339" spans="2:5" x14ac:dyDescent="0.25">
      <c r="B339" s="1" t="s">
        <v>12</v>
      </c>
      <c r="C339" s="1">
        <v>39508</v>
      </c>
      <c r="D339">
        <v>585339226</v>
      </c>
      <c r="E339">
        <v>10</v>
      </c>
    </row>
    <row r="340" spans="2:5" x14ac:dyDescent="0.25">
      <c r="B340" s="1" t="s">
        <v>6</v>
      </c>
      <c r="C340" s="1">
        <v>39539</v>
      </c>
      <c r="D340">
        <v>9380905884.8600006</v>
      </c>
      <c r="E340">
        <v>1</v>
      </c>
    </row>
    <row r="341" spans="2:5" x14ac:dyDescent="0.25">
      <c r="B341" s="1" t="s">
        <v>13</v>
      </c>
      <c r="C341" s="1">
        <v>39539</v>
      </c>
      <c r="D341">
        <v>7330185288.3299999</v>
      </c>
      <c r="E341">
        <v>2</v>
      </c>
    </row>
    <row r="342" spans="2:5" x14ac:dyDescent="0.25">
      <c r="B342" s="1" t="s">
        <v>7</v>
      </c>
      <c r="C342" s="1">
        <v>39539</v>
      </c>
      <c r="D342">
        <v>7056504465.8599997</v>
      </c>
      <c r="E342">
        <v>3</v>
      </c>
    </row>
    <row r="343" spans="2:5" x14ac:dyDescent="0.25">
      <c r="B343" s="1" t="s">
        <v>4</v>
      </c>
      <c r="C343" s="1">
        <v>39539</v>
      </c>
      <c r="D343">
        <v>4688377142</v>
      </c>
      <c r="E343">
        <v>4</v>
      </c>
    </row>
    <row r="344" spans="2:5" x14ac:dyDescent="0.25">
      <c r="B344" s="1" t="s">
        <v>25</v>
      </c>
      <c r="C344" s="1">
        <v>39539</v>
      </c>
      <c r="D344">
        <v>3682275010.96</v>
      </c>
      <c r="E344">
        <v>5</v>
      </c>
    </row>
    <row r="345" spans="2:5" x14ac:dyDescent="0.25">
      <c r="B345" s="1" t="s">
        <v>57</v>
      </c>
      <c r="C345" s="1">
        <v>39539</v>
      </c>
      <c r="D345">
        <v>2862737507.9400001</v>
      </c>
      <c r="E345">
        <v>6</v>
      </c>
    </row>
    <row r="346" spans="2:5" x14ac:dyDescent="0.25">
      <c r="B346" s="1" t="s">
        <v>58</v>
      </c>
      <c r="C346" s="1">
        <v>39539</v>
      </c>
      <c r="D346">
        <v>1641602106</v>
      </c>
      <c r="E346">
        <v>7</v>
      </c>
    </row>
    <row r="347" spans="2:5" x14ac:dyDescent="0.25">
      <c r="B347" s="1" t="s">
        <v>16</v>
      </c>
      <c r="C347" s="1">
        <v>39539</v>
      </c>
      <c r="D347">
        <v>1458591196</v>
      </c>
      <c r="E347">
        <v>8</v>
      </c>
    </row>
    <row r="348" spans="2:5" x14ac:dyDescent="0.25">
      <c r="B348" s="1" t="s">
        <v>12</v>
      </c>
      <c r="C348" s="1">
        <v>39539</v>
      </c>
      <c r="D348">
        <v>1254020508.1600001</v>
      </c>
      <c r="E348">
        <v>9</v>
      </c>
    </row>
    <row r="349" spans="2:5" x14ac:dyDescent="0.25">
      <c r="B349" s="1" t="s">
        <v>5</v>
      </c>
      <c r="C349" s="1">
        <v>39539</v>
      </c>
      <c r="D349">
        <v>1144391387.9100001</v>
      </c>
      <c r="E349">
        <v>10</v>
      </c>
    </row>
    <row r="350" spans="2:5" x14ac:dyDescent="0.25">
      <c r="B350" s="1" t="s">
        <v>6</v>
      </c>
      <c r="C350" s="1">
        <v>39569</v>
      </c>
      <c r="D350">
        <v>12080553097.469999</v>
      </c>
      <c r="E350">
        <v>1</v>
      </c>
    </row>
    <row r="351" spans="2:5" x14ac:dyDescent="0.25">
      <c r="B351" s="1" t="s">
        <v>7</v>
      </c>
      <c r="C351" s="1">
        <v>39569</v>
      </c>
      <c r="D351">
        <v>7196631371.5799999</v>
      </c>
      <c r="E351">
        <v>2</v>
      </c>
    </row>
    <row r="352" spans="2:5" x14ac:dyDescent="0.25">
      <c r="B352" s="1" t="s">
        <v>13</v>
      </c>
      <c r="C352" s="1">
        <v>39569</v>
      </c>
      <c r="D352">
        <v>5336823509</v>
      </c>
      <c r="E352">
        <v>3</v>
      </c>
    </row>
    <row r="353" spans="2:5" x14ac:dyDescent="0.25">
      <c r="B353" s="1" t="s">
        <v>16</v>
      </c>
      <c r="C353" s="1">
        <v>39569</v>
      </c>
      <c r="D353">
        <v>3359247837.3800001</v>
      </c>
      <c r="E353">
        <v>4</v>
      </c>
    </row>
    <row r="354" spans="2:5" x14ac:dyDescent="0.25">
      <c r="B354" s="1" t="s">
        <v>4</v>
      </c>
      <c r="C354" s="1">
        <v>39569</v>
      </c>
      <c r="D354">
        <v>2889767287.1399999</v>
      </c>
      <c r="E354">
        <v>5</v>
      </c>
    </row>
    <row r="355" spans="2:5" x14ac:dyDescent="0.25">
      <c r="B355" s="1" t="s">
        <v>25</v>
      </c>
      <c r="C355" s="1">
        <v>39569</v>
      </c>
      <c r="D355">
        <v>2135218352.8499999</v>
      </c>
      <c r="E355">
        <v>6</v>
      </c>
    </row>
    <row r="356" spans="2:5" x14ac:dyDescent="0.25">
      <c r="B356" s="1" t="s">
        <v>57</v>
      </c>
      <c r="C356" s="1">
        <v>39569</v>
      </c>
      <c r="D356">
        <v>1735953431.48</v>
      </c>
      <c r="E356">
        <v>7</v>
      </c>
    </row>
    <row r="357" spans="2:5" x14ac:dyDescent="0.25">
      <c r="B357" s="1" t="s">
        <v>12</v>
      </c>
      <c r="C357" s="1">
        <v>39569</v>
      </c>
      <c r="D357">
        <v>1202353395.3900001</v>
      </c>
      <c r="E357">
        <v>8</v>
      </c>
    </row>
    <row r="358" spans="2:5" x14ac:dyDescent="0.25">
      <c r="B358" s="1" t="s">
        <v>5</v>
      </c>
      <c r="C358" s="1">
        <v>39569</v>
      </c>
      <c r="D358">
        <v>1180682631.77</v>
      </c>
      <c r="E358">
        <v>9</v>
      </c>
    </row>
    <row r="359" spans="2:5" x14ac:dyDescent="0.25">
      <c r="B359" s="1" t="s">
        <v>58</v>
      </c>
      <c r="C359" s="1">
        <v>39569</v>
      </c>
      <c r="D359">
        <v>1033761031</v>
      </c>
      <c r="E359">
        <v>10</v>
      </c>
    </row>
    <row r="360" spans="2:5" x14ac:dyDescent="0.25">
      <c r="B360" s="1" t="s">
        <v>13</v>
      </c>
      <c r="C360" s="1">
        <v>39600</v>
      </c>
      <c r="D360">
        <v>11170458526.360001</v>
      </c>
      <c r="E360">
        <v>1</v>
      </c>
    </row>
    <row r="361" spans="2:5" x14ac:dyDescent="0.25">
      <c r="B361" s="1" t="s">
        <v>6</v>
      </c>
      <c r="C361" s="1">
        <v>39600</v>
      </c>
      <c r="D361">
        <v>7158543878.4300003</v>
      </c>
      <c r="E361">
        <v>2</v>
      </c>
    </row>
    <row r="362" spans="2:5" x14ac:dyDescent="0.25">
      <c r="B362" s="1" t="s">
        <v>7</v>
      </c>
      <c r="C362" s="1">
        <v>39600</v>
      </c>
      <c r="D362">
        <v>4246827120.4299998</v>
      </c>
      <c r="E362">
        <v>3</v>
      </c>
    </row>
    <row r="363" spans="2:5" x14ac:dyDescent="0.25">
      <c r="B363" s="1" t="s">
        <v>16</v>
      </c>
      <c r="C363" s="1">
        <v>39600</v>
      </c>
      <c r="D363">
        <v>4180802344.75</v>
      </c>
      <c r="E363">
        <v>4</v>
      </c>
    </row>
    <row r="364" spans="2:5" x14ac:dyDescent="0.25">
      <c r="B364" s="1" t="s">
        <v>4</v>
      </c>
      <c r="C364" s="1">
        <v>39600</v>
      </c>
      <c r="D364">
        <v>3685367093.4400001</v>
      </c>
      <c r="E364">
        <v>5</v>
      </c>
    </row>
    <row r="365" spans="2:5" x14ac:dyDescent="0.25">
      <c r="B365" s="1" t="s">
        <v>58</v>
      </c>
      <c r="C365" s="1">
        <v>39600</v>
      </c>
      <c r="D365">
        <v>1731032257</v>
      </c>
      <c r="E365">
        <v>6</v>
      </c>
    </row>
    <row r="366" spans="2:5" x14ac:dyDescent="0.25">
      <c r="B366" s="1" t="s">
        <v>25</v>
      </c>
      <c r="C366" s="1">
        <v>39600</v>
      </c>
      <c r="D366">
        <v>1080842069.0799999</v>
      </c>
      <c r="E366">
        <v>7</v>
      </c>
    </row>
    <row r="367" spans="2:5" x14ac:dyDescent="0.25">
      <c r="B367" s="1" t="s">
        <v>17</v>
      </c>
      <c r="C367" s="1">
        <v>39600</v>
      </c>
      <c r="D367">
        <v>1060745072.6799999</v>
      </c>
      <c r="E367">
        <v>8</v>
      </c>
    </row>
    <row r="368" spans="2:5" x14ac:dyDescent="0.25">
      <c r="B368" s="1" t="s">
        <v>57</v>
      </c>
      <c r="C368" s="1">
        <v>39600</v>
      </c>
      <c r="D368">
        <v>1025803901.03</v>
      </c>
      <c r="E368">
        <v>9</v>
      </c>
    </row>
    <row r="369" spans="2:5" x14ac:dyDescent="0.25">
      <c r="B369" s="1" t="s">
        <v>5</v>
      </c>
      <c r="C369" s="1">
        <v>39600</v>
      </c>
      <c r="D369">
        <v>934123233.22000003</v>
      </c>
      <c r="E369">
        <v>10</v>
      </c>
    </row>
    <row r="370" spans="2:5" x14ac:dyDescent="0.25">
      <c r="B370" s="1" t="s">
        <v>6</v>
      </c>
      <c r="C370" s="1">
        <v>39630</v>
      </c>
      <c r="D370">
        <v>5246259446.8599997</v>
      </c>
      <c r="E370">
        <v>1</v>
      </c>
    </row>
    <row r="371" spans="2:5" x14ac:dyDescent="0.25">
      <c r="B371" s="1" t="s">
        <v>13</v>
      </c>
      <c r="C371" s="1">
        <v>39630</v>
      </c>
      <c r="D371">
        <v>5061020702</v>
      </c>
      <c r="E371">
        <v>2</v>
      </c>
    </row>
    <row r="372" spans="2:5" x14ac:dyDescent="0.25">
      <c r="B372" s="1" t="s">
        <v>7</v>
      </c>
      <c r="C372" s="1">
        <v>39630</v>
      </c>
      <c r="D372">
        <v>3677510879.8600001</v>
      </c>
      <c r="E372">
        <v>3</v>
      </c>
    </row>
    <row r="373" spans="2:5" x14ac:dyDescent="0.25">
      <c r="B373" s="1" t="s">
        <v>16</v>
      </c>
      <c r="C373" s="1">
        <v>39630</v>
      </c>
      <c r="D373">
        <v>3379179274.5999999</v>
      </c>
      <c r="E373">
        <v>4</v>
      </c>
    </row>
    <row r="374" spans="2:5" x14ac:dyDescent="0.25">
      <c r="B374" s="1" t="s">
        <v>4</v>
      </c>
      <c r="C374" s="1">
        <v>39630</v>
      </c>
      <c r="D374">
        <v>2293997579.0900002</v>
      </c>
      <c r="E374">
        <v>5</v>
      </c>
    </row>
    <row r="375" spans="2:5" x14ac:dyDescent="0.25">
      <c r="B375" s="1" t="s">
        <v>57</v>
      </c>
      <c r="C375" s="1">
        <v>39630</v>
      </c>
      <c r="D375">
        <v>1370360829.9300001</v>
      </c>
      <c r="E375">
        <v>6</v>
      </c>
    </row>
    <row r="376" spans="2:5" x14ac:dyDescent="0.25">
      <c r="B376" s="1" t="s">
        <v>58</v>
      </c>
      <c r="C376" s="1">
        <v>39630</v>
      </c>
      <c r="D376">
        <v>1349863752</v>
      </c>
      <c r="E376">
        <v>7</v>
      </c>
    </row>
    <row r="377" spans="2:5" x14ac:dyDescent="0.25">
      <c r="B377" s="1" t="s">
        <v>25</v>
      </c>
      <c r="C377" s="1">
        <v>39630</v>
      </c>
      <c r="D377">
        <v>1296601251.3199999</v>
      </c>
      <c r="E377">
        <v>8</v>
      </c>
    </row>
    <row r="378" spans="2:5" x14ac:dyDescent="0.25">
      <c r="B378" s="1" t="s">
        <v>5</v>
      </c>
      <c r="C378" s="1">
        <v>39630</v>
      </c>
      <c r="D378">
        <v>1041107194.3200001</v>
      </c>
      <c r="E378">
        <v>9</v>
      </c>
    </row>
    <row r="379" spans="2:5" x14ac:dyDescent="0.25">
      <c r="B379" s="1" t="s">
        <v>12</v>
      </c>
      <c r="C379" s="1">
        <v>39630</v>
      </c>
      <c r="D379">
        <v>945798148.61000001</v>
      </c>
      <c r="E379">
        <v>10</v>
      </c>
    </row>
    <row r="380" spans="2:5" x14ac:dyDescent="0.25">
      <c r="B380" s="1" t="s">
        <v>13</v>
      </c>
      <c r="C380" s="1">
        <v>39661</v>
      </c>
      <c r="D380">
        <v>4827258509.6899996</v>
      </c>
      <c r="E380">
        <v>1</v>
      </c>
    </row>
    <row r="381" spans="2:5" x14ac:dyDescent="0.25">
      <c r="B381" s="1" t="s">
        <v>16</v>
      </c>
      <c r="C381" s="1">
        <v>39661</v>
      </c>
      <c r="D381">
        <v>3855453030.6300001</v>
      </c>
      <c r="E381">
        <v>2</v>
      </c>
    </row>
    <row r="382" spans="2:5" x14ac:dyDescent="0.25">
      <c r="B382" s="1" t="s">
        <v>6</v>
      </c>
      <c r="C382" s="1">
        <v>39661</v>
      </c>
      <c r="D382">
        <v>3724004372.54</v>
      </c>
      <c r="E382">
        <v>3</v>
      </c>
    </row>
    <row r="383" spans="2:5" x14ac:dyDescent="0.25">
      <c r="B383" s="1" t="s">
        <v>7</v>
      </c>
      <c r="C383" s="1">
        <v>39661</v>
      </c>
      <c r="D383">
        <v>2510869452.54</v>
      </c>
      <c r="E383">
        <v>4</v>
      </c>
    </row>
    <row r="384" spans="2:5" x14ac:dyDescent="0.25">
      <c r="B384" s="1" t="s">
        <v>4</v>
      </c>
      <c r="C384" s="1">
        <v>39661</v>
      </c>
      <c r="D384">
        <v>1811019241.5799999</v>
      </c>
      <c r="E384">
        <v>5</v>
      </c>
    </row>
    <row r="385" spans="2:5" x14ac:dyDescent="0.25">
      <c r="B385" s="1" t="s">
        <v>58</v>
      </c>
      <c r="C385" s="1">
        <v>39661</v>
      </c>
      <c r="D385">
        <v>1212308338</v>
      </c>
      <c r="E385">
        <v>6</v>
      </c>
    </row>
    <row r="386" spans="2:5" x14ac:dyDescent="0.25">
      <c r="B386" s="1" t="s">
        <v>57</v>
      </c>
      <c r="C386" s="1">
        <v>39661</v>
      </c>
      <c r="D386">
        <v>1137551331.23</v>
      </c>
      <c r="E386">
        <v>7</v>
      </c>
    </row>
    <row r="387" spans="2:5" x14ac:dyDescent="0.25">
      <c r="B387" s="1" t="s">
        <v>5</v>
      </c>
      <c r="C387" s="1">
        <v>39661</v>
      </c>
      <c r="D387">
        <v>1050886755.36</v>
      </c>
      <c r="E387">
        <v>8</v>
      </c>
    </row>
    <row r="388" spans="2:5" x14ac:dyDescent="0.25">
      <c r="B388" s="1" t="s">
        <v>25</v>
      </c>
      <c r="C388" s="1">
        <v>39661</v>
      </c>
      <c r="D388">
        <v>1009149437.96</v>
      </c>
      <c r="E388">
        <v>9</v>
      </c>
    </row>
    <row r="389" spans="2:5" x14ac:dyDescent="0.25">
      <c r="B389" s="1" t="s">
        <v>12</v>
      </c>
      <c r="C389" s="1">
        <v>39661</v>
      </c>
      <c r="D389">
        <v>829290393.58000004</v>
      </c>
      <c r="E389">
        <v>10</v>
      </c>
    </row>
    <row r="390" spans="2:5" x14ac:dyDescent="0.25">
      <c r="B390" s="1" t="s">
        <v>13</v>
      </c>
      <c r="C390" s="1">
        <v>39692</v>
      </c>
      <c r="D390">
        <v>6826679614.1599998</v>
      </c>
      <c r="E390">
        <v>1</v>
      </c>
    </row>
    <row r="391" spans="2:5" x14ac:dyDescent="0.25">
      <c r="B391" s="1" t="s">
        <v>16</v>
      </c>
      <c r="C391" s="1">
        <v>39692</v>
      </c>
      <c r="D391">
        <v>4576290883.3400002</v>
      </c>
      <c r="E391">
        <v>2</v>
      </c>
    </row>
    <row r="392" spans="2:5" x14ac:dyDescent="0.25">
      <c r="B392" s="1" t="s">
        <v>6</v>
      </c>
      <c r="C392" s="1">
        <v>39692</v>
      </c>
      <c r="D392">
        <v>3721284450.75</v>
      </c>
      <c r="E392">
        <v>3</v>
      </c>
    </row>
    <row r="393" spans="2:5" x14ac:dyDescent="0.25">
      <c r="B393" s="1" t="s">
        <v>14</v>
      </c>
      <c r="C393" s="1">
        <v>39692</v>
      </c>
      <c r="D393">
        <v>2390970582.23</v>
      </c>
      <c r="E393">
        <v>4</v>
      </c>
    </row>
    <row r="394" spans="2:5" x14ac:dyDescent="0.25">
      <c r="B394" s="1" t="s">
        <v>4</v>
      </c>
      <c r="C394" s="1">
        <v>39692</v>
      </c>
      <c r="D394">
        <v>2326562293.4099998</v>
      </c>
      <c r="E394">
        <v>5</v>
      </c>
    </row>
    <row r="395" spans="2:5" x14ac:dyDescent="0.25">
      <c r="B395" s="1" t="s">
        <v>7</v>
      </c>
      <c r="C395" s="1">
        <v>39692</v>
      </c>
      <c r="D395">
        <v>1757341434.5</v>
      </c>
      <c r="E395">
        <v>6</v>
      </c>
    </row>
    <row r="396" spans="2:5" x14ac:dyDescent="0.25">
      <c r="B396" s="1" t="s">
        <v>57</v>
      </c>
      <c r="C396" s="1">
        <v>39692</v>
      </c>
      <c r="D396">
        <v>1332940093.6900001</v>
      </c>
      <c r="E396">
        <v>7</v>
      </c>
    </row>
    <row r="397" spans="2:5" x14ac:dyDescent="0.25">
      <c r="B397" s="1" t="s">
        <v>58</v>
      </c>
      <c r="C397" s="1">
        <v>39692</v>
      </c>
      <c r="D397">
        <v>1097946836.3599999</v>
      </c>
      <c r="E397">
        <v>8</v>
      </c>
    </row>
    <row r="398" spans="2:5" x14ac:dyDescent="0.25">
      <c r="B398" s="1" t="s">
        <v>25</v>
      </c>
      <c r="C398" s="1">
        <v>39692</v>
      </c>
      <c r="D398">
        <v>1080669747.9100001</v>
      </c>
      <c r="E398">
        <v>9</v>
      </c>
    </row>
    <row r="399" spans="2:5" x14ac:dyDescent="0.25">
      <c r="B399" s="1" t="s">
        <v>12</v>
      </c>
      <c r="C399" s="1">
        <v>39692</v>
      </c>
      <c r="D399">
        <v>711290312.90999997</v>
      </c>
      <c r="E399">
        <v>10</v>
      </c>
    </row>
    <row r="400" spans="2:5" x14ac:dyDescent="0.25">
      <c r="B400" s="1" t="s">
        <v>13</v>
      </c>
      <c r="C400" s="1">
        <v>39722</v>
      </c>
      <c r="D400">
        <v>3655203702.7600002</v>
      </c>
      <c r="E400">
        <v>1</v>
      </c>
    </row>
    <row r="401" spans="2:5" x14ac:dyDescent="0.25">
      <c r="B401" s="1" t="s">
        <v>4</v>
      </c>
      <c r="C401" s="1">
        <v>39722</v>
      </c>
      <c r="D401">
        <v>3299307846.8800001</v>
      </c>
      <c r="E401">
        <v>2</v>
      </c>
    </row>
    <row r="402" spans="2:5" x14ac:dyDescent="0.25">
      <c r="B402" s="1" t="s">
        <v>6</v>
      </c>
      <c r="C402" s="1">
        <v>39722</v>
      </c>
      <c r="D402">
        <v>2740026309.71</v>
      </c>
      <c r="E402">
        <v>3</v>
      </c>
    </row>
    <row r="403" spans="2:5" x14ac:dyDescent="0.25">
      <c r="B403" s="1" t="s">
        <v>7</v>
      </c>
      <c r="C403" s="1">
        <v>39722</v>
      </c>
      <c r="D403">
        <v>2029327063.1300001</v>
      </c>
      <c r="E403">
        <v>4</v>
      </c>
    </row>
    <row r="404" spans="2:5" x14ac:dyDescent="0.25">
      <c r="B404" s="1" t="s">
        <v>16</v>
      </c>
      <c r="C404" s="1">
        <v>39722</v>
      </c>
      <c r="D404">
        <v>1556910841.1199999</v>
      </c>
      <c r="E404">
        <v>5</v>
      </c>
    </row>
    <row r="405" spans="2:5" x14ac:dyDescent="0.25">
      <c r="B405" s="1" t="s">
        <v>57</v>
      </c>
      <c r="C405" s="1">
        <v>39722</v>
      </c>
      <c r="D405">
        <v>1199444316</v>
      </c>
      <c r="E405">
        <v>6</v>
      </c>
    </row>
    <row r="406" spans="2:5" x14ac:dyDescent="0.25">
      <c r="B406" s="1" t="s">
        <v>58</v>
      </c>
      <c r="C406" s="1">
        <v>39722</v>
      </c>
      <c r="D406">
        <v>1065916156.21</v>
      </c>
      <c r="E406">
        <v>7</v>
      </c>
    </row>
    <row r="407" spans="2:5" x14ac:dyDescent="0.25">
      <c r="B407" s="1" t="s">
        <v>25</v>
      </c>
      <c r="C407" s="1">
        <v>39722</v>
      </c>
      <c r="D407">
        <v>995868510.13</v>
      </c>
      <c r="E407">
        <v>8</v>
      </c>
    </row>
    <row r="408" spans="2:5" x14ac:dyDescent="0.25">
      <c r="B408" s="1" t="s">
        <v>12</v>
      </c>
      <c r="C408" s="1">
        <v>39722</v>
      </c>
      <c r="D408">
        <v>681109796</v>
      </c>
      <c r="E408">
        <v>9</v>
      </c>
    </row>
    <row r="409" spans="2:5" x14ac:dyDescent="0.25">
      <c r="B409" s="1" t="s">
        <v>5</v>
      </c>
      <c r="C409" s="1">
        <v>39722</v>
      </c>
      <c r="D409">
        <v>548837801.54999995</v>
      </c>
      <c r="E409">
        <v>10</v>
      </c>
    </row>
    <row r="410" spans="2:5" x14ac:dyDescent="0.25">
      <c r="B410" s="1" t="s">
        <v>13</v>
      </c>
      <c r="C410" s="1">
        <v>39753</v>
      </c>
      <c r="D410">
        <v>4550926488.3800001</v>
      </c>
      <c r="E410">
        <v>1</v>
      </c>
    </row>
    <row r="411" spans="2:5" x14ac:dyDescent="0.25">
      <c r="B411" s="1" t="s">
        <v>6</v>
      </c>
      <c r="C411" s="1">
        <v>39753</v>
      </c>
      <c r="D411">
        <v>2515091694.6199999</v>
      </c>
      <c r="E411">
        <v>2</v>
      </c>
    </row>
    <row r="412" spans="2:5" x14ac:dyDescent="0.25">
      <c r="B412" s="1" t="s">
        <v>4</v>
      </c>
      <c r="C412" s="1">
        <v>39753</v>
      </c>
      <c r="D412">
        <v>2424326679.6300001</v>
      </c>
      <c r="E412">
        <v>3</v>
      </c>
    </row>
    <row r="413" spans="2:5" x14ac:dyDescent="0.25">
      <c r="B413" s="1" t="s">
        <v>16</v>
      </c>
      <c r="C413" s="1">
        <v>39753</v>
      </c>
      <c r="D413">
        <v>2418760155.1700001</v>
      </c>
      <c r="E413">
        <v>4</v>
      </c>
    </row>
    <row r="414" spans="2:5" x14ac:dyDescent="0.25">
      <c r="B414" s="1" t="s">
        <v>7</v>
      </c>
      <c r="C414" s="1">
        <v>39753</v>
      </c>
      <c r="D414">
        <v>1685306018.4400001</v>
      </c>
      <c r="E414">
        <v>5</v>
      </c>
    </row>
    <row r="415" spans="2:5" x14ac:dyDescent="0.25">
      <c r="B415" s="1" t="s">
        <v>57</v>
      </c>
      <c r="C415" s="1">
        <v>39753</v>
      </c>
      <c r="D415">
        <v>1232068329</v>
      </c>
      <c r="E415">
        <v>6</v>
      </c>
    </row>
    <row r="416" spans="2:5" x14ac:dyDescent="0.25">
      <c r="B416" s="1" t="s">
        <v>58</v>
      </c>
      <c r="C416" s="1">
        <v>39753</v>
      </c>
      <c r="D416">
        <v>715357720.58000004</v>
      </c>
      <c r="E416">
        <v>7</v>
      </c>
    </row>
    <row r="417" spans="2:5" x14ac:dyDescent="0.25">
      <c r="B417" s="1" t="s">
        <v>25</v>
      </c>
      <c r="C417" s="1">
        <v>39753</v>
      </c>
      <c r="D417">
        <v>653795272.74000001</v>
      </c>
      <c r="E417">
        <v>8</v>
      </c>
    </row>
    <row r="418" spans="2:5" x14ac:dyDescent="0.25">
      <c r="B418" s="1" t="s">
        <v>5</v>
      </c>
      <c r="C418" s="1">
        <v>39753</v>
      </c>
      <c r="D418">
        <v>484912507.41000003</v>
      </c>
      <c r="E418">
        <v>9</v>
      </c>
    </row>
    <row r="419" spans="2:5" x14ac:dyDescent="0.25">
      <c r="B419" s="1" t="s">
        <v>12</v>
      </c>
      <c r="C419" s="1">
        <v>39753</v>
      </c>
      <c r="D419">
        <v>401866202.69999999</v>
      </c>
      <c r="E419">
        <v>10</v>
      </c>
    </row>
    <row r="420" spans="2:5" x14ac:dyDescent="0.25">
      <c r="B420" s="1" t="s">
        <v>16</v>
      </c>
      <c r="C420" s="1">
        <v>39783</v>
      </c>
      <c r="D420">
        <v>8422014425.4099998</v>
      </c>
      <c r="E420">
        <v>1</v>
      </c>
    </row>
    <row r="421" spans="2:5" x14ac:dyDescent="0.25">
      <c r="B421" s="1" t="s">
        <v>13</v>
      </c>
      <c r="C421" s="1">
        <v>39783</v>
      </c>
      <c r="D421">
        <v>5550356551.6300001</v>
      </c>
      <c r="E421">
        <v>2</v>
      </c>
    </row>
    <row r="422" spans="2:5" x14ac:dyDescent="0.25">
      <c r="B422" s="1" t="s">
        <v>6</v>
      </c>
      <c r="C422" s="1">
        <v>39783</v>
      </c>
      <c r="D422">
        <v>3106185436.3600001</v>
      </c>
      <c r="E422">
        <v>3</v>
      </c>
    </row>
    <row r="423" spans="2:5" x14ac:dyDescent="0.25">
      <c r="B423" s="1" t="s">
        <v>4</v>
      </c>
      <c r="C423" s="1">
        <v>39783</v>
      </c>
      <c r="D423">
        <v>2591575469.4400001</v>
      </c>
      <c r="E423">
        <v>4</v>
      </c>
    </row>
    <row r="424" spans="2:5" x14ac:dyDescent="0.25">
      <c r="B424" s="1" t="s">
        <v>37</v>
      </c>
      <c r="C424" s="1">
        <v>39783</v>
      </c>
      <c r="D424">
        <v>2336672835.98</v>
      </c>
      <c r="E424">
        <v>5</v>
      </c>
    </row>
    <row r="425" spans="2:5" x14ac:dyDescent="0.25">
      <c r="B425" s="1" t="s">
        <v>7</v>
      </c>
      <c r="C425" s="1">
        <v>39783</v>
      </c>
      <c r="D425">
        <v>2178270115.3600001</v>
      </c>
      <c r="E425">
        <v>6</v>
      </c>
    </row>
    <row r="426" spans="2:5" x14ac:dyDescent="0.25">
      <c r="B426" s="1" t="s">
        <v>61</v>
      </c>
      <c r="C426" s="1">
        <v>39783</v>
      </c>
      <c r="D426">
        <v>1530928194.1400001</v>
      </c>
      <c r="E426">
        <v>7</v>
      </c>
    </row>
    <row r="427" spans="2:5" x14ac:dyDescent="0.25">
      <c r="B427" s="1" t="s">
        <v>21</v>
      </c>
      <c r="C427" s="1">
        <v>39783</v>
      </c>
      <c r="D427">
        <v>1525277871.1700001</v>
      </c>
      <c r="E427">
        <v>8</v>
      </c>
    </row>
    <row r="428" spans="2:5" x14ac:dyDescent="0.25">
      <c r="B428" s="1" t="s">
        <v>25</v>
      </c>
      <c r="C428" s="1">
        <v>39783</v>
      </c>
      <c r="D428">
        <v>1283604308.3099999</v>
      </c>
      <c r="E428">
        <v>9</v>
      </c>
    </row>
    <row r="429" spans="2:5" x14ac:dyDescent="0.25">
      <c r="B429" s="1" t="s">
        <v>57</v>
      </c>
      <c r="C429" s="1">
        <v>39783</v>
      </c>
      <c r="D429">
        <v>1081151550.25</v>
      </c>
      <c r="E429">
        <v>10</v>
      </c>
    </row>
    <row r="430" spans="2:5" x14ac:dyDescent="0.25">
      <c r="B430" s="1" t="s">
        <v>13</v>
      </c>
      <c r="C430" s="1">
        <v>39814</v>
      </c>
      <c r="D430">
        <v>3756680738.23</v>
      </c>
      <c r="E430">
        <v>1</v>
      </c>
    </row>
    <row r="431" spans="2:5" x14ac:dyDescent="0.25">
      <c r="B431" s="1" t="s">
        <v>6</v>
      </c>
      <c r="C431" s="1">
        <v>39814</v>
      </c>
      <c r="D431">
        <v>3537510920.7199998</v>
      </c>
      <c r="E431">
        <v>2</v>
      </c>
    </row>
    <row r="432" spans="2:5" x14ac:dyDescent="0.25">
      <c r="B432" s="1" t="s">
        <v>7</v>
      </c>
      <c r="C432" s="1">
        <v>39814</v>
      </c>
      <c r="D432">
        <v>2557155019.7199998</v>
      </c>
      <c r="E432">
        <v>3</v>
      </c>
    </row>
    <row r="433" spans="2:5" x14ac:dyDescent="0.25">
      <c r="B433" s="1" t="s">
        <v>4</v>
      </c>
      <c r="C433" s="1">
        <v>39814</v>
      </c>
      <c r="D433">
        <v>1760296401.01</v>
      </c>
      <c r="E433">
        <v>4</v>
      </c>
    </row>
    <row r="434" spans="2:5" x14ac:dyDescent="0.25">
      <c r="B434" s="1" t="s">
        <v>58</v>
      </c>
      <c r="C434" s="1">
        <v>39814</v>
      </c>
      <c r="D434">
        <v>923120637.58000004</v>
      </c>
      <c r="E434">
        <v>5</v>
      </c>
    </row>
    <row r="435" spans="2:5" x14ac:dyDescent="0.25">
      <c r="B435" s="1" t="s">
        <v>16</v>
      </c>
      <c r="C435" s="1">
        <v>39814</v>
      </c>
      <c r="D435">
        <v>855120211.13</v>
      </c>
      <c r="E435">
        <v>6</v>
      </c>
    </row>
    <row r="436" spans="2:5" x14ac:dyDescent="0.25">
      <c r="B436" s="1" t="s">
        <v>57</v>
      </c>
      <c r="C436" s="1">
        <v>39814</v>
      </c>
      <c r="D436">
        <v>724583556.05999994</v>
      </c>
      <c r="E436">
        <v>7</v>
      </c>
    </row>
    <row r="437" spans="2:5" x14ac:dyDescent="0.25">
      <c r="B437" s="1" t="s">
        <v>5</v>
      </c>
      <c r="C437" s="1">
        <v>39814</v>
      </c>
      <c r="D437">
        <v>520733159.38</v>
      </c>
      <c r="E437">
        <v>8</v>
      </c>
    </row>
    <row r="438" spans="2:5" x14ac:dyDescent="0.25">
      <c r="B438" s="1" t="s">
        <v>14</v>
      </c>
      <c r="C438" s="1">
        <v>39814</v>
      </c>
      <c r="D438">
        <v>478631006.50999999</v>
      </c>
      <c r="E438">
        <v>9</v>
      </c>
    </row>
    <row r="439" spans="2:5" x14ac:dyDescent="0.25">
      <c r="B439" s="1" t="s">
        <v>12</v>
      </c>
      <c r="C439" s="1">
        <v>39814</v>
      </c>
      <c r="D439">
        <v>459181459.44</v>
      </c>
      <c r="E439">
        <v>10</v>
      </c>
    </row>
    <row r="440" spans="2:5" x14ac:dyDescent="0.25">
      <c r="B440" s="1" t="s">
        <v>13</v>
      </c>
      <c r="C440" s="1">
        <v>39845</v>
      </c>
      <c r="D440">
        <v>9511580945.1800003</v>
      </c>
      <c r="E440">
        <v>1</v>
      </c>
    </row>
    <row r="441" spans="2:5" x14ac:dyDescent="0.25">
      <c r="B441" s="1" t="s">
        <v>6</v>
      </c>
      <c r="C441" s="1">
        <v>39845</v>
      </c>
      <c r="D441">
        <v>9257448004.8400002</v>
      </c>
      <c r="E441">
        <v>2</v>
      </c>
    </row>
    <row r="442" spans="2:5" x14ac:dyDescent="0.25">
      <c r="B442" s="1" t="s">
        <v>4</v>
      </c>
      <c r="C442" s="1">
        <v>39845</v>
      </c>
      <c r="D442">
        <v>2380664984.6799998</v>
      </c>
      <c r="E442">
        <v>3</v>
      </c>
    </row>
    <row r="443" spans="2:5" x14ac:dyDescent="0.25">
      <c r="B443" s="1" t="s">
        <v>57</v>
      </c>
      <c r="C443" s="1">
        <v>39845</v>
      </c>
      <c r="D443">
        <v>2220890353.6799998</v>
      </c>
      <c r="E443">
        <v>4</v>
      </c>
    </row>
    <row r="444" spans="2:5" x14ac:dyDescent="0.25">
      <c r="B444" s="1" t="s">
        <v>12</v>
      </c>
      <c r="C444" s="1">
        <v>39845</v>
      </c>
      <c r="D444">
        <v>1405817023</v>
      </c>
      <c r="E444">
        <v>5</v>
      </c>
    </row>
    <row r="445" spans="2:5" x14ac:dyDescent="0.25">
      <c r="B445" s="1" t="s">
        <v>16</v>
      </c>
      <c r="C445" s="1">
        <v>39845</v>
      </c>
      <c r="D445">
        <v>1403736406.28</v>
      </c>
      <c r="E445">
        <v>6</v>
      </c>
    </row>
    <row r="446" spans="2:5" x14ac:dyDescent="0.25">
      <c r="B446" s="1" t="s">
        <v>14</v>
      </c>
      <c r="C446" s="1">
        <v>39845</v>
      </c>
      <c r="D446">
        <v>1273764070.76</v>
      </c>
      <c r="E446">
        <v>7</v>
      </c>
    </row>
    <row r="447" spans="2:5" x14ac:dyDescent="0.25">
      <c r="B447" s="1" t="s">
        <v>58</v>
      </c>
      <c r="C447" s="1">
        <v>39845</v>
      </c>
      <c r="D447">
        <v>1078154854.03</v>
      </c>
      <c r="E447">
        <v>8</v>
      </c>
    </row>
    <row r="448" spans="2:5" x14ac:dyDescent="0.25">
      <c r="B448" s="1" t="s">
        <v>25</v>
      </c>
      <c r="C448" s="1">
        <v>39845</v>
      </c>
      <c r="D448">
        <v>715164383.12</v>
      </c>
      <c r="E448">
        <v>9</v>
      </c>
    </row>
    <row r="449" spans="2:5" x14ac:dyDescent="0.25">
      <c r="B449" s="1" t="s">
        <v>5</v>
      </c>
      <c r="C449" s="1">
        <v>39845</v>
      </c>
      <c r="D449">
        <v>630938838.39999998</v>
      </c>
      <c r="E449">
        <v>10</v>
      </c>
    </row>
    <row r="450" spans="2:5" x14ac:dyDescent="0.25">
      <c r="B450" s="1" t="s">
        <v>6</v>
      </c>
      <c r="C450" s="1">
        <v>39873</v>
      </c>
      <c r="D450">
        <v>14453685921.889999</v>
      </c>
      <c r="E450">
        <v>1</v>
      </c>
    </row>
    <row r="451" spans="2:5" x14ac:dyDescent="0.25">
      <c r="B451" s="1" t="s">
        <v>13</v>
      </c>
      <c r="C451" s="1">
        <v>39873</v>
      </c>
      <c r="D451">
        <v>14368376825.32</v>
      </c>
      <c r="E451">
        <v>2</v>
      </c>
    </row>
    <row r="452" spans="2:5" x14ac:dyDescent="0.25">
      <c r="B452" s="1" t="s">
        <v>16</v>
      </c>
      <c r="C452" s="1">
        <v>39873</v>
      </c>
      <c r="D452">
        <v>9514998899.3199997</v>
      </c>
      <c r="E452">
        <v>3</v>
      </c>
    </row>
    <row r="453" spans="2:5" x14ac:dyDescent="0.25">
      <c r="B453" s="1" t="s">
        <v>4</v>
      </c>
      <c r="C453" s="1">
        <v>39873</v>
      </c>
      <c r="D453">
        <v>3669633504.7399998</v>
      </c>
      <c r="E453">
        <v>4</v>
      </c>
    </row>
    <row r="454" spans="2:5" x14ac:dyDescent="0.25">
      <c r="B454" s="1" t="s">
        <v>57</v>
      </c>
      <c r="C454" s="1">
        <v>39873</v>
      </c>
      <c r="D454">
        <v>2581902036.8600001</v>
      </c>
      <c r="E454">
        <v>5</v>
      </c>
    </row>
    <row r="455" spans="2:5" x14ac:dyDescent="0.25">
      <c r="B455" s="1" t="s">
        <v>58</v>
      </c>
      <c r="C455" s="1">
        <v>39873</v>
      </c>
      <c r="D455">
        <v>2137733570.1199999</v>
      </c>
      <c r="E455">
        <v>6</v>
      </c>
    </row>
    <row r="456" spans="2:5" x14ac:dyDescent="0.25">
      <c r="B456" s="1" t="s">
        <v>25</v>
      </c>
      <c r="C456" s="1">
        <v>39873</v>
      </c>
      <c r="D456">
        <v>1622213766.6099999</v>
      </c>
      <c r="E456">
        <v>7</v>
      </c>
    </row>
    <row r="457" spans="2:5" x14ac:dyDescent="0.25">
      <c r="B457" s="1" t="s">
        <v>14</v>
      </c>
      <c r="C457" s="1">
        <v>39873</v>
      </c>
      <c r="D457">
        <v>1427198629.9000001</v>
      </c>
      <c r="E457">
        <v>8</v>
      </c>
    </row>
    <row r="458" spans="2:5" x14ac:dyDescent="0.25">
      <c r="B458" s="1" t="s">
        <v>5</v>
      </c>
      <c r="C458" s="1">
        <v>39873</v>
      </c>
      <c r="D458">
        <v>1307784771.1199999</v>
      </c>
      <c r="E458">
        <v>9</v>
      </c>
    </row>
    <row r="459" spans="2:5" x14ac:dyDescent="0.25">
      <c r="B459" s="1" t="s">
        <v>12</v>
      </c>
      <c r="C459" s="1">
        <v>39873</v>
      </c>
      <c r="D459">
        <v>1216935785.27</v>
      </c>
      <c r="E459">
        <v>10</v>
      </c>
    </row>
    <row r="460" spans="2:5" x14ac:dyDescent="0.25">
      <c r="B460" s="1" t="s">
        <v>13</v>
      </c>
      <c r="C460" s="1">
        <v>39904</v>
      </c>
      <c r="D460">
        <v>10866823472.32</v>
      </c>
      <c r="E460">
        <v>1</v>
      </c>
    </row>
    <row r="461" spans="2:5" x14ac:dyDescent="0.25">
      <c r="B461" s="1" t="s">
        <v>6</v>
      </c>
      <c r="C461" s="1">
        <v>39904</v>
      </c>
      <c r="D461">
        <v>6613979565.25</v>
      </c>
      <c r="E461">
        <v>2</v>
      </c>
    </row>
    <row r="462" spans="2:5" x14ac:dyDescent="0.25">
      <c r="B462" s="1" t="s">
        <v>57</v>
      </c>
      <c r="C462" s="1">
        <v>39904</v>
      </c>
      <c r="D462">
        <v>2636791196</v>
      </c>
      <c r="E462">
        <v>3</v>
      </c>
    </row>
    <row r="463" spans="2:5" x14ac:dyDescent="0.25">
      <c r="B463" s="1" t="s">
        <v>58</v>
      </c>
      <c r="C463" s="1">
        <v>39904</v>
      </c>
      <c r="D463">
        <v>2635227445.8499999</v>
      </c>
      <c r="E463">
        <v>4</v>
      </c>
    </row>
    <row r="464" spans="2:5" x14ac:dyDescent="0.25">
      <c r="B464" s="1" t="s">
        <v>5</v>
      </c>
      <c r="C464" s="1">
        <v>39904</v>
      </c>
      <c r="D464">
        <v>2574869351.5599999</v>
      </c>
      <c r="E464">
        <v>5</v>
      </c>
    </row>
    <row r="465" spans="2:5" x14ac:dyDescent="0.25">
      <c r="B465" s="1" t="s">
        <v>4</v>
      </c>
      <c r="C465" s="1">
        <v>39904</v>
      </c>
      <c r="D465">
        <v>2214641693.3699999</v>
      </c>
      <c r="E465">
        <v>6</v>
      </c>
    </row>
    <row r="466" spans="2:5" x14ac:dyDescent="0.25">
      <c r="B466" s="1" t="s">
        <v>16</v>
      </c>
      <c r="C466" s="1">
        <v>39904</v>
      </c>
      <c r="D466">
        <v>1831852270.22</v>
      </c>
      <c r="E466">
        <v>7</v>
      </c>
    </row>
    <row r="467" spans="2:5" x14ac:dyDescent="0.25">
      <c r="B467" s="1" t="s">
        <v>25</v>
      </c>
      <c r="C467" s="1">
        <v>39904</v>
      </c>
      <c r="D467">
        <v>1134925696.8199999</v>
      </c>
      <c r="E467">
        <v>8</v>
      </c>
    </row>
    <row r="468" spans="2:5" x14ac:dyDescent="0.25">
      <c r="B468" s="1" t="s">
        <v>14</v>
      </c>
      <c r="C468" s="1">
        <v>39904</v>
      </c>
      <c r="D468">
        <v>1001661409</v>
      </c>
      <c r="E468">
        <v>9</v>
      </c>
    </row>
    <row r="469" spans="2:5" x14ac:dyDescent="0.25">
      <c r="B469" s="1" t="s">
        <v>12</v>
      </c>
      <c r="C469" s="1">
        <v>39904</v>
      </c>
      <c r="D469">
        <v>953947303</v>
      </c>
      <c r="E469">
        <v>10</v>
      </c>
    </row>
    <row r="470" spans="2:5" x14ac:dyDescent="0.25">
      <c r="B470" s="1" t="s">
        <v>13</v>
      </c>
      <c r="C470" s="1">
        <v>39934</v>
      </c>
      <c r="D470">
        <v>16377153576.040001</v>
      </c>
      <c r="E470">
        <v>1</v>
      </c>
    </row>
    <row r="471" spans="2:5" x14ac:dyDescent="0.25">
      <c r="B471" s="1" t="s">
        <v>6</v>
      </c>
      <c r="C471" s="1">
        <v>39934</v>
      </c>
      <c r="D471">
        <v>10980515274.559999</v>
      </c>
      <c r="E471">
        <v>2</v>
      </c>
    </row>
    <row r="472" spans="2:5" x14ac:dyDescent="0.25">
      <c r="B472" s="1" t="s">
        <v>16</v>
      </c>
      <c r="C472" s="1">
        <v>39934</v>
      </c>
      <c r="D472">
        <v>7832451449.5500002</v>
      </c>
      <c r="E472">
        <v>3</v>
      </c>
    </row>
    <row r="473" spans="2:5" x14ac:dyDescent="0.25">
      <c r="B473" s="1" t="s">
        <v>4</v>
      </c>
      <c r="C473" s="1">
        <v>39934</v>
      </c>
      <c r="D473">
        <v>7694647345.4300003</v>
      </c>
      <c r="E473">
        <v>4</v>
      </c>
    </row>
    <row r="474" spans="2:5" x14ac:dyDescent="0.25">
      <c r="B474" s="1" t="s">
        <v>5</v>
      </c>
      <c r="C474" s="1">
        <v>39934</v>
      </c>
      <c r="D474">
        <v>5729582604.1499996</v>
      </c>
      <c r="E474">
        <v>5</v>
      </c>
    </row>
    <row r="475" spans="2:5" x14ac:dyDescent="0.25">
      <c r="B475" s="1" t="s">
        <v>57</v>
      </c>
      <c r="C475" s="1">
        <v>39934</v>
      </c>
      <c r="D475">
        <v>3149383417.9400001</v>
      </c>
      <c r="E475">
        <v>6</v>
      </c>
    </row>
    <row r="476" spans="2:5" x14ac:dyDescent="0.25">
      <c r="B476" s="1" t="s">
        <v>58</v>
      </c>
      <c r="C476" s="1">
        <v>39934</v>
      </c>
      <c r="D476">
        <v>2568225957.29</v>
      </c>
      <c r="E476">
        <v>7</v>
      </c>
    </row>
    <row r="477" spans="2:5" x14ac:dyDescent="0.25">
      <c r="B477" s="1" t="s">
        <v>25</v>
      </c>
      <c r="C477" s="1">
        <v>39934</v>
      </c>
      <c r="D477">
        <v>2007873609.8199999</v>
      </c>
      <c r="E477">
        <v>8</v>
      </c>
    </row>
    <row r="478" spans="2:5" x14ac:dyDescent="0.25">
      <c r="B478" s="1" t="s">
        <v>12</v>
      </c>
      <c r="C478" s="1">
        <v>39934</v>
      </c>
      <c r="D478">
        <v>1538541620.98</v>
      </c>
      <c r="E478">
        <v>9</v>
      </c>
    </row>
    <row r="479" spans="2:5" x14ac:dyDescent="0.25">
      <c r="B479" s="1" t="s">
        <v>21</v>
      </c>
      <c r="C479" s="1">
        <v>39934</v>
      </c>
      <c r="D479">
        <v>1367891457.2</v>
      </c>
      <c r="E479">
        <v>10</v>
      </c>
    </row>
    <row r="480" spans="2:5" x14ac:dyDescent="0.25">
      <c r="B480" s="1" t="s">
        <v>13</v>
      </c>
      <c r="C480" s="1">
        <v>39965</v>
      </c>
      <c r="D480">
        <v>18556306988.82</v>
      </c>
      <c r="E480">
        <v>1</v>
      </c>
    </row>
    <row r="481" spans="2:5" x14ac:dyDescent="0.25">
      <c r="B481" s="1" t="s">
        <v>6</v>
      </c>
      <c r="C481" s="1">
        <v>39965</v>
      </c>
      <c r="D481">
        <v>16385859796.799999</v>
      </c>
      <c r="E481">
        <v>2</v>
      </c>
    </row>
    <row r="482" spans="2:5" x14ac:dyDescent="0.25">
      <c r="B482" s="1" t="s">
        <v>16</v>
      </c>
      <c r="C482" s="1">
        <v>39965</v>
      </c>
      <c r="D482">
        <v>6300278425.04</v>
      </c>
      <c r="E482">
        <v>3</v>
      </c>
    </row>
    <row r="483" spans="2:5" x14ac:dyDescent="0.25">
      <c r="B483" s="1" t="s">
        <v>4</v>
      </c>
      <c r="C483" s="1">
        <v>39965</v>
      </c>
      <c r="D483">
        <v>5504690092.9399996</v>
      </c>
      <c r="E483">
        <v>4</v>
      </c>
    </row>
    <row r="484" spans="2:5" x14ac:dyDescent="0.25">
      <c r="B484" s="1" t="s">
        <v>5</v>
      </c>
      <c r="C484" s="1">
        <v>39965</v>
      </c>
      <c r="D484">
        <v>3886793291.8899999</v>
      </c>
      <c r="E484">
        <v>5</v>
      </c>
    </row>
    <row r="485" spans="2:5" x14ac:dyDescent="0.25">
      <c r="B485" s="1" t="s">
        <v>57</v>
      </c>
      <c r="C485" s="1">
        <v>39965</v>
      </c>
      <c r="D485">
        <v>3485600189.8299999</v>
      </c>
      <c r="E485">
        <v>6</v>
      </c>
    </row>
    <row r="486" spans="2:5" x14ac:dyDescent="0.25">
      <c r="B486" s="1" t="s">
        <v>25</v>
      </c>
      <c r="C486" s="1">
        <v>39965</v>
      </c>
      <c r="D486">
        <v>2890599988.1900001</v>
      </c>
      <c r="E486">
        <v>7</v>
      </c>
    </row>
    <row r="487" spans="2:5" x14ac:dyDescent="0.25">
      <c r="B487" s="1" t="s">
        <v>58</v>
      </c>
      <c r="C487" s="1">
        <v>39965</v>
      </c>
      <c r="D487">
        <v>2085681943.29</v>
      </c>
      <c r="E487">
        <v>8</v>
      </c>
    </row>
    <row r="488" spans="2:5" x14ac:dyDescent="0.25">
      <c r="B488" s="1" t="s">
        <v>12</v>
      </c>
      <c r="C488" s="1">
        <v>39965</v>
      </c>
      <c r="D488">
        <v>2041508250.48</v>
      </c>
      <c r="E488">
        <v>9</v>
      </c>
    </row>
    <row r="489" spans="2:5" x14ac:dyDescent="0.25">
      <c r="B489" s="1" t="s">
        <v>62</v>
      </c>
      <c r="C489" s="1">
        <v>39965</v>
      </c>
      <c r="D489">
        <v>1411001019.22</v>
      </c>
      <c r="E489">
        <v>10</v>
      </c>
    </row>
    <row r="490" spans="2:5" x14ac:dyDescent="0.25">
      <c r="B490" s="1" t="s">
        <v>13</v>
      </c>
      <c r="C490" s="1">
        <v>39995</v>
      </c>
      <c r="D490">
        <v>17780279923.57</v>
      </c>
      <c r="E490">
        <v>1</v>
      </c>
    </row>
    <row r="491" spans="2:5" x14ac:dyDescent="0.25">
      <c r="B491" s="1" t="s">
        <v>6</v>
      </c>
      <c r="C491" s="1">
        <v>39995</v>
      </c>
      <c r="D491">
        <v>13232923368.200001</v>
      </c>
      <c r="E491">
        <v>2</v>
      </c>
    </row>
    <row r="492" spans="2:5" x14ac:dyDescent="0.25">
      <c r="B492" s="1" t="s">
        <v>4</v>
      </c>
      <c r="C492" s="1">
        <v>39995</v>
      </c>
      <c r="D492">
        <v>4078320972.77</v>
      </c>
      <c r="E492">
        <v>3</v>
      </c>
    </row>
    <row r="493" spans="2:5" x14ac:dyDescent="0.25">
      <c r="B493" s="1" t="s">
        <v>57</v>
      </c>
      <c r="C493" s="1">
        <v>39995</v>
      </c>
      <c r="D493">
        <v>3555049260.5900002</v>
      </c>
      <c r="E493">
        <v>4</v>
      </c>
    </row>
    <row r="494" spans="2:5" x14ac:dyDescent="0.25">
      <c r="B494" s="1" t="s">
        <v>25</v>
      </c>
      <c r="C494" s="1">
        <v>39995</v>
      </c>
      <c r="D494">
        <v>2256690852.2199998</v>
      </c>
      <c r="E494">
        <v>5</v>
      </c>
    </row>
    <row r="495" spans="2:5" x14ac:dyDescent="0.25">
      <c r="B495" s="1" t="s">
        <v>5</v>
      </c>
      <c r="C495" s="1">
        <v>39995</v>
      </c>
      <c r="D495">
        <v>1985615127.78</v>
      </c>
      <c r="E495">
        <v>6</v>
      </c>
    </row>
    <row r="496" spans="2:5" x14ac:dyDescent="0.25">
      <c r="B496" s="1" t="s">
        <v>58</v>
      </c>
      <c r="C496" s="1">
        <v>39995</v>
      </c>
      <c r="D496">
        <v>1534118490.3199999</v>
      </c>
      <c r="E496">
        <v>7</v>
      </c>
    </row>
    <row r="497" spans="2:5" x14ac:dyDescent="0.25">
      <c r="B497" s="1" t="s">
        <v>12</v>
      </c>
      <c r="C497" s="1">
        <v>39995</v>
      </c>
      <c r="D497">
        <v>1252653319.1900001</v>
      </c>
      <c r="E497">
        <v>8</v>
      </c>
    </row>
    <row r="498" spans="2:5" x14ac:dyDescent="0.25">
      <c r="B498" s="1" t="s">
        <v>16</v>
      </c>
      <c r="C498" s="1">
        <v>39995</v>
      </c>
      <c r="D498">
        <v>933539103.72000003</v>
      </c>
      <c r="E498">
        <v>9</v>
      </c>
    </row>
    <row r="499" spans="2:5" x14ac:dyDescent="0.25">
      <c r="B499" s="1" t="s">
        <v>19</v>
      </c>
      <c r="C499" s="1">
        <v>39995</v>
      </c>
      <c r="D499">
        <v>883282992.5</v>
      </c>
      <c r="E499">
        <v>10</v>
      </c>
    </row>
    <row r="500" spans="2:5" x14ac:dyDescent="0.25">
      <c r="B500" s="1" t="s">
        <v>13</v>
      </c>
      <c r="C500" s="1">
        <v>40026</v>
      </c>
      <c r="D500">
        <v>13559469118.879999</v>
      </c>
      <c r="E500">
        <v>1</v>
      </c>
    </row>
    <row r="501" spans="2:5" x14ac:dyDescent="0.25">
      <c r="B501" s="1" t="s">
        <v>6</v>
      </c>
      <c r="C501" s="1">
        <v>40026</v>
      </c>
      <c r="D501">
        <v>10631867083.52</v>
      </c>
      <c r="E501">
        <v>2</v>
      </c>
    </row>
    <row r="502" spans="2:5" x14ac:dyDescent="0.25">
      <c r="B502" s="1" t="s">
        <v>4</v>
      </c>
      <c r="C502" s="1">
        <v>40026</v>
      </c>
      <c r="D502">
        <v>2226606400.2800002</v>
      </c>
      <c r="E502">
        <v>3</v>
      </c>
    </row>
    <row r="503" spans="2:5" x14ac:dyDescent="0.25">
      <c r="B503" s="1" t="s">
        <v>16</v>
      </c>
      <c r="C503" s="1">
        <v>40026</v>
      </c>
      <c r="D503">
        <v>2019788713.0599999</v>
      </c>
      <c r="E503">
        <v>4</v>
      </c>
    </row>
    <row r="504" spans="2:5" x14ac:dyDescent="0.25">
      <c r="B504" s="1" t="s">
        <v>57</v>
      </c>
      <c r="C504" s="1">
        <v>40026</v>
      </c>
      <c r="D504">
        <v>1758618024</v>
      </c>
      <c r="E504">
        <v>5</v>
      </c>
    </row>
    <row r="505" spans="2:5" x14ac:dyDescent="0.25">
      <c r="B505" s="1" t="s">
        <v>25</v>
      </c>
      <c r="C505" s="1">
        <v>40026</v>
      </c>
      <c r="D505">
        <v>1508806380.53</v>
      </c>
      <c r="E505">
        <v>6</v>
      </c>
    </row>
    <row r="506" spans="2:5" x14ac:dyDescent="0.25">
      <c r="B506" s="1" t="s">
        <v>5</v>
      </c>
      <c r="C506" s="1">
        <v>40026</v>
      </c>
      <c r="D506">
        <v>1454096040.6600001</v>
      </c>
      <c r="E506">
        <v>7</v>
      </c>
    </row>
    <row r="507" spans="2:5" x14ac:dyDescent="0.25">
      <c r="B507" s="1" t="s">
        <v>58</v>
      </c>
      <c r="C507" s="1">
        <v>40026</v>
      </c>
      <c r="D507">
        <v>1031320812.12</v>
      </c>
      <c r="E507">
        <v>8</v>
      </c>
    </row>
    <row r="508" spans="2:5" x14ac:dyDescent="0.25">
      <c r="B508" s="1" t="s">
        <v>12</v>
      </c>
      <c r="C508" s="1">
        <v>40026</v>
      </c>
      <c r="D508">
        <v>954606164.92999995</v>
      </c>
      <c r="E508">
        <v>9</v>
      </c>
    </row>
    <row r="509" spans="2:5" x14ac:dyDescent="0.25">
      <c r="B509" s="1" t="s">
        <v>63</v>
      </c>
      <c r="C509" s="1">
        <v>40026</v>
      </c>
      <c r="D509">
        <v>477277200.41000003</v>
      </c>
      <c r="E509">
        <v>10</v>
      </c>
    </row>
    <row r="510" spans="2:5" x14ac:dyDescent="0.25">
      <c r="B510" s="1" t="s">
        <v>6</v>
      </c>
      <c r="C510" s="1">
        <v>40057</v>
      </c>
      <c r="D510">
        <v>9711261406.9500008</v>
      </c>
      <c r="E510">
        <v>1</v>
      </c>
    </row>
    <row r="511" spans="2:5" x14ac:dyDescent="0.25">
      <c r="B511" s="1" t="s">
        <v>13</v>
      </c>
      <c r="C511" s="1">
        <v>40057</v>
      </c>
      <c r="D511">
        <v>9300876014.7000008</v>
      </c>
      <c r="E511">
        <v>2</v>
      </c>
    </row>
    <row r="512" spans="2:5" x14ac:dyDescent="0.25">
      <c r="B512" s="1" t="s">
        <v>16</v>
      </c>
      <c r="C512" s="1">
        <v>40057</v>
      </c>
      <c r="D512">
        <v>3350176866.5500002</v>
      </c>
      <c r="E512">
        <v>3</v>
      </c>
    </row>
    <row r="513" spans="2:5" x14ac:dyDescent="0.25">
      <c r="B513" s="1" t="s">
        <v>57</v>
      </c>
      <c r="C513" s="1">
        <v>40057</v>
      </c>
      <c r="D513">
        <v>1540011743</v>
      </c>
      <c r="E513">
        <v>4</v>
      </c>
    </row>
    <row r="514" spans="2:5" x14ac:dyDescent="0.25">
      <c r="B514" s="1" t="s">
        <v>4</v>
      </c>
      <c r="C514" s="1">
        <v>40057</v>
      </c>
      <c r="D514">
        <v>1511640714.96</v>
      </c>
      <c r="E514">
        <v>5</v>
      </c>
    </row>
    <row r="515" spans="2:5" x14ac:dyDescent="0.25">
      <c r="B515" s="1" t="s">
        <v>25</v>
      </c>
      <c r="C515" s="1">
        <v>40057</v>
      </c>
      <c r="D515">
        <v>1455262864.3900001</v>
      </c>
      <c r="E515">
        <v>6</v>
      </c>
    </row>
    <row r="516" spans="2:5" x14ac:dyDescent="0.25">
      <c r="B516" s="1" t="s">
        <v>5</v>
      </c>
      <c r="C516" s="1">
        <v>40057</v>
      </c>
      <c r="D516">
        <v>1386139068.05</v>
      </c>
      <c r="E516">
        <v>7</v>
      </c>
    </row>
    <row r="517" spans="2:5" x14ac:dyDescent="0.25">
      <c r="B517" s="1" t="s">
        <v>12</v>
      </c>
      <c r="C517" s="1">
        <v>40057</v>
      </c>
      <c r="D517">
        <v>662314912</v>
      </c>
      <c r="E517">
        <v>8</v>
      </c>
    </row>
    <row r="518" spans="2:5" x14ac:dyDescent="0.25">
      <c r="B518" s="1" t="s">
        <v>58</v>
      </c>
      <c r="C518" s="1">
        <v>40057</v>
      </c>
      <c r="D518">
        <v>535204931.82999998</v>
      </c>
      <c r="E518">
        <v>9</v>
      </c>
    </row>
    <row r="519" spans="2:5" x14ac:dyDescent="0.25">
      <c r="B519" s="1" t="s">
        <v>22</v>
      </c>
      <c r="C519" s="1">
        <v>40057</v>
      </c>
      <c r="D519">
        <v>392896483</v>
      </c>
      <c r="E519">
        <v>10</v>
      </c>
    </row>
    <row r="520" spans="2:5" x14ac:dyDescent="0.25">
      <c r="B520" s="1" t="s">
        <v>13</v>
      </c>
      <c r="C520" s="1">
        <v>40087</v>
      </c>
      <c r="D520">
        <v>7211282362.8500004</v>
      </c>
      <c r="E520">
        <v>1</v>
      </c>
    </row>
    <row r="521" spans="2:5" x14ac:dyDescent="0.25">
      <c r="B521" s="1" t="s">
        <v>6</v>
      </c>
      <c r="C521" s="1">
        <v>40087</v>
      </c>
      <c r="D521">
        <v>4625680962.5299997</v>
      </c>
      <c r="E521">
        <v>2</v>
      </c>
    </row>
    <row r="522" spans="2:5" x14ac:dyDescent="0.25">
      <c r="B522" s="1" t="s">
        <v>25</v>
      </c>
      <c r="C522" s="1">
        <v>40087</v>
      </c>
      <c r="D522">
        <v>1418743217.1300001</v>
      </c>
      <c r="E522">
        <v>3</v>
      </c>
    </row>
    <row r="523" spans="2:5" x14ac:dyDescent="0.25">
      <c r="B523" s="1" t="s">
        <v>57</v>
      </c>
      <c r="C523" s="1">
        <v>40087</v>
      </c>
      <c r="D523">
        <v>953298136</v>
      </c>
      <c r="E523">
        <v>4</v>
      </c>
    </row>
    <row r="524" spans="2:5" x14ac:dyDescent="0.25">
      <c r="B524" s="1" t="s">
        <v>16</v>
      </c>
      <c r="C524" s="1">
        <v>40087</v>
      </c>
      <c r="D524">
        <v>904919262.65999997</v>
      </c>
      <c r="E524">
        <v>5</v>
      </c>
    </row>
    <row r="525" spans="2:5" x14ac:dyDescent="0.25">
      <c r="B525" s="1" t="s">
        <v>12</v>
      </c>
      <c r="C525" s="1">
        <v>40087</v>
      </c>
      <c r="D525">
        <v>715387862</v>
      </c>
      <c r="E525">
        <v>6</v>
      </c>
    </row>
    <row r="526" spans="2:5" x14ac:dyDescent="0.25">
      <c r="B526" s="1" t="s">
        <v>4</v>
      </c>
      <c r="C526" s="1">
        <v>40087</v>
      </c>
      <c r="D526">
        <v>708008708.12</v>
      </c>
      <c r="E526">
        <v>7</v>
      </c>
    </row>
    <row r="527" spans="2:5" x14ac:dyDescent="0.25">
      <c r="B527" s="1" t="s">
        <v>37</v>
      </c>
      <c r="C527" s="1">
        <v>40087</v>
      </c>
      <c r="D527">
        <v>601179484.77999997</v>
      </c>
      <c r="E527">
        <v>8</v>
      </c>
    </row>
    <row r="528" spans="2:5" x14ac:dyDescent="0.25">
      <c r="B528" s="1" t="s">
        <v>5</v>
      </c>
      <c r="C528" s="1">
        <v>40087</v>
      </c>
      <c r="D528">
        <v>583166238.41999996</v>
      </c>
      <c r="E528">
        <v>9</v>
      </c>
    </row>
    <row r="529" spans="2:5" x14ac:dyDescent="0.25">
      <c r="B529" s="1" t="s">
        <v>58</v>
      </c>
      <c r="C529" s="1">
        <v>40087</v>
      </c>
      <c r="D529">
        <v>328546288.49000001</v>
      </c>
      <c r="E529">
        <v>10</v>
      </c>
    </row>
    <row r="530" spans="2:5" x14ac:dyDescent="0.25">
      <c r="B530" s="1" t="s">
        <v>13</v>
      </c>
      <c r="C530" s="1">
        <v>40118</v>
      </c>
      <c r="D530">
        <v>7751269955.25</v>
      </c>
      <c r="E530">
        <v>1</v>
      </c>
    </row>
    <row r="531" spans="2:5" x14ac:dyDescent="0.25">
      <c r="B531" s="1" t="s">
        <v>16</v>
      </c>
      <c r="C531" s="1">
        <v>40118</v>
      </c>
      <c r="D531">
        <v>4687150253.25</v>
      </c>
      <c r="E531">
        <v>2</v>
      </c>
    </row>
    <row r="532" spans="2:5" x14ac:dyDescent="0.25">
      <c r="B532" s="1" t="s">
        <v>6</v>
      </c>
      <c r="C532" s="1">
        <v>40118</v>
      </c>
      <c r="D532">
        <v>2540213073.8200002</v>
      </c>
      <c r="E532">
        <v>3</v>
      </c>
    </row>
    <row r="533" spans="2:5" x14ac:dyDescent="0.25">
      <c r="B533" s="1" t="s">
        <v>25</v>
      </c>
      <c r="C533" s="1">
        <v>40118</v>
      </c>
      <c r="D533">
        <v>1807093775.6700001</v>
      </c>
      <c r="E533">
        <v>4</v>
      </c>
    </row>
    <row r="534" spans="2:5" x14ac:dyDescent="0.25">
      <c r="B534" s="1" t="s">
        <v>57</v>
      </c>
      <c r="C534" s="1">
        <v>40118</v>
      </c>
      <c r="D534">
        <v>928978146</v>
      </c>
      <c r="E534">
        <v>5</v>
      </c>
    </row>
    <row r="535" spans="2:5" x14ac:dyDescent="0.25">
      <c r="B535" s="1" t="s">
        <v>4</v>
      </c>
      <c r="C535" s="1">
        <v>40118</v>
      </c>
      <c r="D535">
        <v>920145976.58000004</v>
      </c>
      <c r="E535">
        <v>6</v>
      </c>
    </row>
    <row r="536" spans="2:5" x14ac:dyDescent="0.25">
      <c r="B536" s="1" t="s">
        <v>12</v>
      </c>
      <c r="C536" s="1">
        <v>40118</v>
      </c>
      <c r="D536">
        <v>725941382.64999998</v>
      </c>
      <c r="E536">
        <v>7</v>
      </c>
    </row>
    <row r="537" spans="2:5" x14ac:dyDescent="0.25">
      <c r="B537" s="1" t="s">
        <v>58</v>
      </c>
      <c r="C537" s="1">
        <v>40118</v>
      </c>
      <c r="D537">
        <v>677909185.74000001</v>
      </c>
      <c r="E537">
        <v>8</v>
      </c>
    </row>
    <row r="538" spans="2:5" x14ac:dyDescent="0.25">
      <c r="B538" s="1" t="s">
        <v>5</v>
      </c>
      <c r="C538" s="1">
        <v>40118</v>
      </c>
      <c r="D538">
        <v>664611984.01999998</v>
      </c>
      <c r="E538">
        <v>9</v>
      </c>
    </row>
    <row r="539" spans="2:5" x14ac:dyDescent="0.25">
      <c r="B539" s="1" t="s">
        <v>37</v>
      </c>
      <c r="C539" s="1">
        <v>40118</v>
      </c>
      <c r="D539">
        <v>333607808.50999999</v>
      </c>
      <c r="E539">
        <v>10</v>
      </c>
    </row>
    <row r="540" spans="2:5" x14ac:dyDescent="0.25">
      <c r="B540" s="1" t="s">
        <v>13</v>
      </c>
      <c r="C540" s="1">
        <v>40148</v>
      </c>
      <c r="D540">
        <v>11583901052.780001</v>
      </c>
      <c r="E540">
        <v>1</v>
      </c>
    </row>
    <row r="541" spans="2:5" x14ac:dyDescent="0.25">
      <c r="B541" s="1" t="s">
        <v>6</v>
      </c>
      <c r="C541" s="1">
        <v>40148</v>
      </c>
      <c r="D541">
        <v>6453958851</v>
      </c>
      <c r="E541">
        <v>2</v>
      </c>
    </row>
    <row r="542" spans="2:5" x14ac:dyDescent="0.25">
      <c r="B542" s="1" t="s">
        <v>16</v>
      </c>
      <c r="C542" s="1">
        <v>40148</v>
      </c>
      <c r="D542">
        <v>2038481662.5999999</v>
      </c>
      <c r="E542">
        <v>3</v>
      </c>
    </row>
    <row r="543" spans="2:5" x14ac:dyDescent="0.25">
      <c r="B543" s="1" t="s">
        <v>25</v>
      </c>
      <c r="C543" s="1">
        <v>40148</v>
      </c>
      <c r="D543">
        <v>1731178948.49</v>
      </c>
      <c r="E543">
        <v>4</v>
      </c>
    </row>
    <row r="544" spans="2:5" x14ac:dyDescent="0.25">
      <c r="B544" s="1" t="s">
        <v>57</v>
      </c>
      <c r="C544" s="1">
        <v>40148</v>
      </c>
      <c r="D544">
        <v>1127780359</v>
      </c>
      <c r="E544">
        <v>5</v>
      </c>
    </row>
    <row r="545" spans="2:5" x14ac:dyDescent="0.25">
      <c r="B545" s="1" t="s">
        <v>12</v>
      </c>
      <c r="C545" s="1">
        <v>40148</v>
      </c>
      <c r="D545">
        <v>975997990</v>
      </c>
      <c r="E545">
        <v>6</v>
      </c>
    </row>
    <row r="546" spans="2:5" x14ac:dyDescent="0.25">
      <c r="B546" s="1" t="s">
        <v>37</v>
      </c>
      <c r="C546" s="1">
        <v>40148</v>
      </c>
      <c r="D546">
        <v>973330970.29999995</v>
      </c>
      <c r="E546">
        <v>7</v>
      </c>
    </row>
    <row r="547" spans="2:5" x14ac:dyDescent="0.25">
      <c r="B547" s="1" t="s">
        <v>4</v>
      </c>
      <c r="C547" s="1">
        <v>40148</v>
      </c>
      <c r="D547">
        <v>852057605.63</v>
      </c>
      <c r="E547">
        <v>8</v>
      </c>
    </row>
    <row r="548" spans="2:5" x14ac:dyDescent="0.25">
      <c r="B548" s="1" t="s">
        <v>5</v>
      </c>
      <c r="C548" s="1">
        <v>40148</v>
      </c>
      <c r="D548">
        <v>851642916.98000002</v>
      </c>
      <c r="E548">
        <v>9</v>
      </c>
    </row>
    <row r="549" spans="2:5" x14ac:dyDescent="0.25">
      <c r="B549" s="1" t="s">
        <v>22</v>
      </c>
      <c r="C549" s="1">
        <v>40148</v>
      </c>
      <c r="D549">
        <v>421704151</v>
      </c>
      <c r="E549">
        <v>10</v>
      </c>
    </row>
    <row r="550" spans="2:5" x14ac:dyDescent="0.25">
      <c r="B550" s="1" t="s">
        <v>13</v>
      </c>
      <c r="C550" s="1">
        <v>40179</v>
      </c>
      <c r="D550">
        <v>9978849287.2000008</v>
      </c>
      <c r="E550">
        <v>1</v>
      </c>
    </row>
    <row r="551" spans="2:5" x14ac:dyDescent="0.25">
      <c r="B551" s="1" t="s">
        <v>6</v>
      </c>
      <c r="C551" s="1">
        <v>40179</v>
      </c>
      <c r="D551">
        <v>5521288700.1800003</v>
      </c>
      <c r="E551">
        <v>2</v>
      </c>
    </row>
    <row r="552" spans="2:5" x14ac:dyDescent="0.25">
      <c r="B552" s="1" t="s">
        <v>16</v>
      </c>
      <c r="C552" s="1">
        <v>40179</v>
      </c>
      <c r="D552">
        <v>2582467892.6500001</v>
      </c>
      <c r="E552">
        <v>3</v>
      </c>
    </row>
    <row r="553" spans="2:5" x14ac:dyDescent="0.25">
      <c r="B553" s="1" t="s">
        <v>25</v>
      </c>
      <c r="C553" s="1">
        <v>40179</v>
      </c>
      <c r="D553">
        <v>1887253190.6600001</v>
      </c>
      <c r="E553">
        <v>4</v>
      </c>
    </row>
    <row r="554" spans="2:5" x14ac:dyDescent="0.25">
      <c r="B554" s="1" t="s">
        <v>57</v>
      </c>
      <c r="C554" s="1">
        <v>40179</v>
      </c>
      <c r="D554">
        <v>889060529</v>
      </c>
      <c r="E554">
        <v>5</v>
      </c>
    </row>
    <row r="555" spans="2:5" x14ac:dyDescent="0.25">
      <c r="B555" s="1" t="s">
        <v>4</v>
      </c>
      <c r="C555" s="1">
        <v>40179</v>
      </c>
      <c r="D555">
        <v>779839250.55999994</v>
      </c>
      <c r="E555">
        <v>6</v>
      </c>
    </row>
    <row r="556" spans="2:5" x14ac:dyDescent="0.25">
      <c r="B556" s="1" t="s">
        <v>12</v>
      </c>
      <c r="C556" s="1">
        <v>40179</v>
      </c>
      <c r="D556">
        <v>736021209.74000001</v>
      </c>
      <c r="E556">
        <v>7</v>
      </c>
    </row>
    <row r="557" spans="2:5" x14ac:dyDescent="0.25">
      <c r="B557" s="1" t="s">
        <v>58</v>
      </c>
      <c r="C557" s="1">
        <v>40179</v>
      </c>
      <c r="D557">
        <v>657628874.59000003</v>
      </c>
      <c r="E557">
        <v>8</v>
      </c>
    </row>
    <row r="558" spans="2:5" x14ac:dyDescent="0.25">
      <c r="B558" s="1" t="s">
        <v>22</v>
      </c>
      <c r="C558" s="1">
        <v>40179</v>
      </c>
      <c r="D558">
        <v>498952028</v>
      </c>
      <c r="E558">
        <v>9</v>
      </c>
    </row>
    <row r="559" spans="2:5" x14ac:dyDescent="0.25">
      <c r="B559" s="1" t="s">
        <v>64</v>
      </c>
      <c r="C559" s="1">
        <v>40179</v>
      </c>
      <c r="D559">
        <v>386823003.75999999</v>
      </c>
      <c r="E559">
        <v>10</v>
      </c>
    </row>
    <row r="560" spans="2:5" x14ac:dyDescent="0.25">
      <c r="B560" s="1" t="s">
        <v>13</v>
      </c>
      <c r="C560" s="1">
        <v>40210</v>
      </c>
      <c r="D560">
        <v>9807430995.9200001</v>
      </c>
      <c r="E560">
        <v>1</v>
      </c>
    </row>
    <row r="561" spans="2:5" x14ac:dyDescent="0.25">
      <c r="B561" s="1" t="s">
        <v>6</v>
      </c>
      <c r="C561" s="1">
        <v>40210</v>
      </c>
      <c r="D561">
        <v>5305630826.1899996</v>
      </c>
      <c r="E561">
        <v>2</v>
      </c>
    </row>
    <row r="562" spans="2:5" x14ac:dyDescent="0.25">
      <c r="B562" s="1" t="s">
        <v>16</v>
      </c>
      <c r="C562" s="1">
        <v>40210</v>
      </c>
      <c r="D562">
        <v>4446325379.8299999</v>
      </c>
      <c r="E562">
        <v>3</v>
      </c>
    </row>
    <row r="563" spans="2:5" x14ac:dyDescent="0.25">
      <c r="B563" s="1" t="s">
        <v>25</v>
      </c>
      <c r="C563" s="1">
        <v>40210</v>
      </c>
      <c r="D563">
        <v>2017223525.6800001</v>
      </c>
      <c r="E563">
        <v>4</v>
      </c>
    </row>
    <row r="564" spans="2:5" x14ac:dyDescent="0.25">
      <c r="B564" s="1" t="s">
        <v>4</v>
      </c>
      <c r="C564" s="1">
        <v>40210</v>
      </c>
      <c r="D564">
        <v>1155889082.1500001</v>
      </c>
      <c r="E564">
        <v>5</v>
      </c>
    </row>
    <row r="565" spans="2:5" x14ac:dyDescent="0.25">
      <c r="B565" s="1" t="s">
        <v>57</v>
      </c>
      <c r="C565" s="1">
        <v>40210</v>
      </c>
      <c r="D565">
        <v>719496863</v>
      </c>
      <c r="E565">
        <v>6</v>
      </c>
    </row>
    <row r="566" spans="2:5" x14ac:dyDescent="0.25">
      <c r="B566" s="1" t="s">
        <v>12</v>
      </c>
      <c r="C566" s="1">
        <v>40210</v>
      </c>
      <c r="D566">
        <v>535898276.69</v>
      </c>
      <c r="E566">
        <v>7</v>
      </c>
    </row>
    <row r="567" spans="2:5" x14ac:dyDescent="0.25">
      <c r="B567" s="1" t="s">
        <v>22</v>
      </c>
      <c r="C567" s="1">
        <v>40210</v>
      </c>
      <c r="D567">
        <v>442717691</v>
      </c>
      <c r="E567">
        <v>8</v>
      </c>
    </row>
    <row r="568" spans="2:5" x14ac:dyDescent="0.25">
      <c r="B568" s="1" t="s">
        <v>5</v>
      </c>
      <c r="C568" s="1">
        <v>40210</v>
      </c>
      <c r="D568">
        <v>415371190.91000003</v>
      </c>
      <c r="E568">
        <v>9</v>
      </c>
    </row>
    <row r="569" spans="2:5" x14ac:dyDescent="0.25">
      <c r="B569" s="1" t="s">
        <v>43</v>
      </c>
      <c r="C569" s="1">
        <v>40210</v>
      </c>
      <c r="D569">
        <v>373476000</v>
      </c>
      <c r="E569">
        <v>10</v>
      </c>
    </row>
    <row r="570" spans="2:5" x14ac:dyDescent="0.25">
      <c r="B570" s="1" t="s">
        <v>13</v>
      </c>
      <c r="C570" s="1">
        <v>40238</v>
      </c>
      <c r="D570">
        <v>7752148414.0900002</v>
      </c>
      <c r="E570">
        <v>1</v>
      </c>
    </row>
    <row r="571" spans="2:5" x14ac:dyDescent="0.25">
      <c r="B571" s="1" t="s">
        <v>16</v>
      </c>
      <c r="C571" s="1">
        <v>40238</v>
      </c>
      <c r="D571">
        <v>3913725904.1500001</v>
      </c>
      <c r="E571">
        <v>2</v>
      </c>
    </row>
    <row r="572" spans="2:5" x14ac:dyDescent="0.25">
      <c r="B572" s="1" t="s">
        <v>6</v>
      </c>
      <c r="C572" s="1">
        <v>40238</v>
      </c>
      <c r="D572">
        <v>3199831541.8899999</v>
      </c>
      <c r="E572">
        <v>3</v>
      </c>
    </row>
    <row r="573" spans="2:5" x14ac:dyDescent="0.25">
      <c r="B573" s="1" t="s">
        <v>25</v>
      </c>
      <c r="C573" s="1">
        <v>40238</v>
      </c>
      <c r="D573">
        <v>1009165492.87</v>
      </c>
      <c r="E573">
        <v>4</v>
      </c>
    </row>
    <row r="574" spans="2:5" x14ac:dyDescent="0.25">
      <c r="B574" s="1" t="s">
        <v>4</v>
      </c>
      <c r="C574" s="1">
        <v>40238</v>
      </c>
      <c r="D574">
        <v>751666992.55999994</v>
      </c>
      <c r="E574">
        <v>5</v>
      </c>
    </row>
    <row r="575" spans="2:5" x14ac:dyDescent="0.25">
      <c r="B575" s="1" t="s">
        <v>57</v>
      </c>
      <c r="C575" s="1">
        <v>40238</v>
      </c>
      <c r="D575">
        <v>509344142.41000003</v>
      </c>
      <c r="E575">
        <v>6</v>
      </c>
    </row>
    <row r="576" spans="2:5" x14ac:dyDescent="0.25">
      <c r="B576" s="1" t="s">
        <v>5</v>
      </c>
      <c r="C576" s="1">
        <v>40238</v>
      </c>
      <c r="D576">
        <v>489940410.56</v>
      </c>
      <c r="E576">
        <v>7</v>
      </c>
    </row>
    <row r="577" spans="2:5" x14ac:dyDescent="0.25">
      <c r="B577" s="1" t="s">
        <v>12</v>
      </c>
      <c r="C577" s="1">
        <v>40238</v>
      </c>
      <c r="D577">
        <v>466248926.74000001</v>
      </c>
      <c r="E577">
        <v>8</v>
      </c>
    </row>
    <row r="578" spans="2:5" x14ac:dyDescent="0.25">
      <c r="B578" s="1" t="s">
        <v>22</v>
      </c>
      <c r="C578" s="1">
        <v>40238</v>
      </c>
      <c r="D578">
        <v>357652436</v>
      </c>
      <c r="E578">
        <v>9</v>
      </c>
    </row>
    <row r="579" spans="2:5" x14ac:dyDescent="0.25">
      <c r="B579" s="1" t="s">
        <v>65</v>
      </c>
      <c r="C579" s="1">
        <v>40238</v>
      </c>
      <c r="D579">
        <v>280526539.32999998</v>
      </c>
      <c r="E579">
        <v>10</v>
      </c>
    </row>
    <row r="580" spans="2:5" x14ac:dyDescent="0.25">
      <c r="B580" s="1" t="s">
        <v>13</v>
      </c>
      <c r="C580" s="1">
        <v>40269</v>
      </c>
      <c r="D580">
        <v>8759856160.0100002</v>
      </c>
      <c r="E580">
        <v>1</v>
      </c>
    </row>
    <row r="581" spans="2:5" x14ac:dyDescent="0.25">
      <c r="B581" s="1" t="s">
        <v>6</v>
      </c>
      <c r="C581" s="1">
        <v>40269</v>
      </c>
      <c r="D581">
        <v>6045923010.6400003</v>
      </c>
      <c r="E581">
        <v>2</v>
      </c>
    </row>
    <row r="582" spans="2:5" x14ac:dyDescent="0.25">
      <c r="B582" s="1" t="s">
        <v>16</v>
      </c>
      <c r="C582" s="1">
        <v>40269</v>
      </c>
      <c r="D582">
        <v>2196781706.52</v>
      </c>
      <c r="E582">
        <v>3</v>
      </c>
    </row>
    <row r="583" spans="2:5" x14ac:dyDescent="0.25">
      <c r="B583" s="1" t="s">
        <v>25</v>
      </c>
      <c r="C583" s="1">
        <v>40269</v>
      </c>
      <c r="D583">
        <v>1206641880.98</v>
      </c>
      <c r="E583">
        <v>4</v>
      </c>
    </row>
    <row r="584" spans="2:5" x14ac:dyDescent="0.25">
      <c r="B584" s="1" t="s">
        <v>4</v>
      </c>
      <c r="C584" s="1">
        <v>40269</v>
      </c>
      <c r="D584">
        <v>717269259.21000004</v>
      </c>
      <c r="E584">
        <v>5</v>
      </c>
    </row>
    <row r="585" spans="2:5" x14ac:dyDescent="0.25">
      <c r="B585" s="1" t="s">
        <v>57</v>
      </c>
      <c r="C585" s="1">
        <v>40269</v>
      </c>
      <c r="D585">
        <v>622792880</v>
      </c>
      <c r="E585">
        <v>6</v>
      </c>
    </row>
    <row r="586" spans="2:5" x14ac:dyDescent="0.25">
      <c r="B586" s="1" t="s">
        <v>65</v>
      </c>
      <c r="C586" s="1">
        <v>40269</v>
      </c>
      <c r="D586">
        <v>566563714.44000006</v>
      </c>
      <c r="E586">
        <v>7</v>
      </c>
    </row>
    <row r="587" spans="2:5" x14ac:dyDescent="0.25">
      <c r="B587" s="1" t="s">
        <v>12</v>
      </c>
      <c r="C587" s="1">
        <v>40269</v>
      </c>
      <c r="D587">
        <v>544126887.90999997</v>
      </c>
      <c r="E587">
        <v>8</v>
      </c>
    </row>
    <row r="588" spans="2:5" x14ac:dyDescent="0.25">
      <c r="B588" s="1" t="s">
        <v>22</v>
      </c>
      <c r="C588" s="1">
        <v>40269</v>
      </c>
      <c r="D588">
        <v>376001263</v>
      </c>
      <c r="E588">
        <v>9</v>
      </c>
    </row>
    <row r="589" spans="2:5" x14ac:dyDescent="0.25">
      <c r="B589" s="1" t="s">
        <v>66</v>
      </c>
      <c r="C589" s="1">
        <v>40269</v>
      </c>
      <c r="D589">
        <v>365340363</v>
      </c>
      <c r="E589">
        <v>10</v>
      </c>
    </row>
    <row r="590" spans="2:5" x14ac:dyDescent="0.25">
      <c r="B590" s="1" t="s">
        <v>13</v>
      </c>
      <c r="C590" s="1">
        <v>40299</v>
      </c>
      <c r="D590">
        <v>7983117228.6700001</v>
      </c>
      <c r="E590">
        <v>1</v>
      </c>
    </row>
    <row r="591" spans="2:5" x14ac:dyDescent="0.25">
      <c r="B591" s="1" t="s">
        <v>6</v>
      </c>
      <c r="C591" s="1">
        <v>40299</v>
      </c>
      <c r="D591">
        <v>6085851450.0900002</v>
      </c>
      <c r="E591">
        <v>2</v>
      </c>
    </row>
    <row r="592" spans="2:5" x14ac:dyDescent="0.25">
      <c r="B592" s="1" t="s">
        <v>16</v>
      </c>
      <c r="C592" s="1">
        <v>40299</v>
      </c>
      <c r="D592">
        <v>3408756489.0999999</v>
      </c>
      <c r="E592">
        <v>3</v>
      </c>
    </row>
    <row r="593" spans="2:5" x14ac:dyDescent="0.25">
      <c r="B593" s="1" t="s">
        <v>25</v>
      </c>
      <c r="C593" s="1">
        <v>40299</v>
      </c>
      <c r="D593">
        <v>1280550786.26</v>
      </c>
      <c r="E593">
        <v>4</v>
      </c>
    </row>
    <row r="594" spans="2:5" x14ac:dyDescent="0.25">
      <c r="B594" s="1" t="s">
        <v>4</v>
      </c>
      <c r="C594" s="1">
        <v>40299</v>
      </c>
      <c r="D594">
        <v>979069118.75</v>
      </c>
      <c r="E594">
        <v>5</v>
      </c>
    </row>
    <row r="595" spans="2:5" x14ac:dyDescent="0.25">
      <c r="B595" s="1" t="s">
        <v>5</v>
      </c>
      <c r="C595" s="1">
        <v>40299</v>
      </c>
      <c r="D595">
        <v>827846631.82000005</v>
      </c>
      <c r="E595">
        <v>6</v>
      </c>
    </row>
    <row r="596" spans="2:5" x14ac:dyDescent="0.25">
      <c r="B596" s="1" t="s">
        <v>57</v>
      </c>
      <c r="C596" s="1">
        <v>40299</v>
      </c>
      <c r="D596">
        <v>757778464</v>
      </c>
      <c r="E596">
        <v>7</v>
      </c>
    </row>
    <row r="597" spans="2:5" x14ac:dyDescent="0.25">
      <c r="B597" s="1" t="s">
        <v>12</v>
      </c>
      <c r="C597" s="1">
        <v>40299</v>
      </c>
      <c r="D597">
        <v>748562261.27999997</v>
      </c>
      <c r="E597">
        <v>8</v>
      </c>
    </row>
    <row r="598" spans="2:5" x14ac:dyDescent="0.25">
      <c r="B598" s="1" t="s">
        <v>65</v>
      </c>
      <c r="C598" s="1">
        <v>40299</v>
      </c>
      <c r="D598">
        <v>397458378.94</v>
      </c>
      <c r="E598">
        <v>9</v>
      </c>
    </row>
    <row r="599" spans="2:5" x14ac:dyDescent="0.25">
      <c r="B599" s="1" t="s">
        <v>21</v>
      </c>
      <c r="C599" s="1">
        <v>40299</v>
      </c>
      <c r="D599">
        <v>325610197.19999999</v>
      </c>
      <c r="E599">
        <v>10</v>
      </c>
    </row>
    <row r="600" spans="2:5" x14ac:dyDescent="0.25">
      <c r="B600" s="1" t="s">
        <v>13</v>
      </c>
      <c r="C600" s="1">
        <v>40330</v>
      </c>
      <c r="D600">
        <v>8159699856.3800001</v>
      </c>
      <c r="E600">
        <v>1</v>
      </c>
    </row>
    <row r="601" spans="2:5" x14ac:dyDescent="0.25">
      <c r="B601" s="1" t="s">
        <v>6</v>
      </c>
      <c r="C601" s="1">
        <v>40330</v>
      </c>
      <c r="D601">
        <v>6657706403.3699999</v>
      </c>
      <c r="E601">
        <v>2</v>
      </c>
    </row>
    <row r="602" spans="2:5" x14ac:dyDescent="0.25">
      <c r="B602" s="1" t="s">
        <v>16</v>
      </c>
      <c r="C602" s="1">
        <v>40330</v>
      </c>
      <c r="D602">
        <v>5102381874.5</v>
      </c>
      <c r="E602">
        <v>3</v>
      </c>
    </row>
    <row r="603" spans="2:5" x14ac:dyDescent="0.25">
      <c r="B603" s="1" t="s">
        <v>25</v>
      </c>
      <c r="C603" s="1">
        <v>40330</v>
      </c>
      <c r="D603">
        <v>1873141654.6800001</v>
      </c>
      <c r="E603">
        <v>4</v>
      </c>
    </row>
    <row r="604" spans="2:5" x14ac:dyDescent="0.25">
      <c r="B604" s="1" t="s">
        <v>4</v>
      </c>
      <c r="C604" s="1">
        <v>40330</v>
      </c>
      <c r="D604">
        <v>1302820990.45</v>
      </c>
      <c r="E604">
        <v>5</v>
      </c>
    </row>
    <row r="605" spans="2:5" x14ac:dyDescent="0.25">
      <c r="B605" s="1" t="s">
        <v>5</v>
      </c>
      <c r="C605" s="1">
        <v>40330</v>
      </c>
      <c r="D605">
        <v>987339146.05999994</v>
      </c>
      <c r="E605">
        <v>6</v>
      </c>
    </row>
    <row r="606" spans="2:5" x14ac:dyDescent="0.25">
      <c r="B606" s="1" t="s">
        <v>12</v>
      </c>
      <c r="C606" s="1">
        <v>40330</v>
      </c>
      <c r="D606">
        <v>843058237.84000003</v>
      </c>
      <c r="E606">
        <v>7</v>
      </c>
    </row>
    <row r="607" spans="2:5" x14ac:dyDescent="0.25">
      <c r="B607" s="1" t="s">
        <v>57</v>
      </c>
      <c r="C607" s="1">
        <v>40330</v>
      </c>
      <c r="D607">
        <v>705883099.42999995</v>
      </c>
      <c r="E607">
        <v>8</v>
      </c>
    </row>
    <row r="608" spans="2:5" x14ac:dyDescent="0.25">
      <c r="B608" s="1" t="s">
        <v>65</v>
      </c>
      <c r="C608" s="1">
        <v>40330</v>
      </c>
      <c r="D608">
        <v>418791874.29000002</v>
      </c>
      <c r="E608">
        <v>9</v>
      </c>
    </row>
    <row r="609" spans="2:5" x14ac:dyDescent="0.25">
      <c r="B609" s="1" t="s">
        <v>21</v>
      </c>
      <c r="C609" s="1">
        <v>40330</v>
      </c>
      <c r="D609">
        <v>306820436.19</v>
      </c>
      <c r="E609">
        <v>10</v>
      </c>
    </row>
    <row r="610" spans="2:5" x14ac:dyDescent="0.25">
      <c r="B610" s="1" t="s">
        <v>13</v>
      </c>
      <c r="C610" s="1">
        <v>40360</v>
      </c>
      <c r="D610">
        <v>8955541938.4400005</v>
      </c>
      <c r="E610">
        <v>1</v>
      </c>
    </row>
    <row r="611" spans="2:5" x14ac:dyDescent="0.25">
      <c r="B611" s="1" t="s">
        <v>6</v>
      </c>
      <c r="C611" s="1">
        <v>40360</v>
      </c>
      <c r="D611">
        <v>6566683766.2700005</v>
      </c>
      <c r="E611">
        <v>2</v>
      </c>
    </row>
    <row r="612" spans="2:5" x14ac:dyDescent="0.25">
      <c r="B612" s="1" t="s">
        <v>16</v>
      </c>
      <c r="C612" s="1">
        <v>40360</v>
      </c>
      <c r="D612">
        <v>5566835247.3199997</v>
      </c>
      <c r="E612">
        <v>3</v>
      </c>
    </row>
    <row r="613" spans="2:5" x14ac:dyDescent="0.25">
      <c r="B613" s="1" t="s">
        <v>25</v>
      </c>
      <c r="C613" s="1">
        <v>40360</v>
      </c>
      <c r="D613">
        <v>2520047942.54</v>
      </c>
      <c r="E613">
        <v>4</v>
      </c>
    </row>
    <row r="614" spans="2:5" x14ac:dyDescent="0.25">
      <c r="B614" s="1" t="s">
        <v>4</v>
      </c>
      <c r="C614" s="1">
        <v>40360</v>
      </c>
      <c r="D614">
        <v>1445083188.54</v>
      </c>
      <c r="E614">
        <v>5</v>
      </c>
    </row>
    <row r="615" spans="2:5" x14ac:dyDescent="0.25">
      <c r="B615" s="1" t="s">
        <v>5</v>
      </c>
      <c r="C615" s="1">
        <v>40360</v>
      </c>
      <c r="D615">
        <v>974133095.32000005</v>
      </c>
      <c r="E615">
        <v>6</v>
      </c>
    </row>
    <row r="616" spans="2:5" x14ac:dyDescent="0.25">
      <c r="B616" s="1" t="s">
        <v>65</v>
      </c>
      <c r="C616" s="1">
        <v>40360</v>
      </c>
      <c r="D616">
        <v>675914527.42999995</v>
      </c>
      <c r="E616">
        <v>7</v>
      </c>
    </row>
    <row r="617" spans="2:5" x14ac:dyDescent="0.25">
      <c r="B617" s="1" t="s">
        <v>57</v>
      </c>
      <c r="C617" s="1">
        <v>40360</v>
      </c>
      <c r="D617">
        <v>652414196.23000002</v>
      </c>
      <c r="E617">
        <v>8</v>
      </c>
    </row>
    <row r="618" spans="2:5" x14ac:dyDescent="0.25">
      <c r="B618" s="1" t="s">
        <v>12</v>
      </c>
      <c r="C618" s="1">
        <v>40360</v>
      </c>
      <c r="D618">
        <v>621237152.12</v>
      </c>
      <c r="E618">
        <v>9</v>
      </c>
    </row>
    <row r="619" spans="2:5" x14ac:dyDescent="0.25">
      <c r="B619" s="1" t="s">
        <v>67</v>
      </c>
      <c r="C619" s="1">
        <v>40360</v>
      </c>
      <c r="D619">
        <v>474094385.06999999</v>
      </c>
      <c r="E619">
        <v>10</v>
      </c>
    </row>
    <row r="620" spans="2:5" x14ac:dyDescent="0.25">
      <c r="B620" s="1" t="s">
        <v>13</v>
      </c>
      <c r="C620" s="1">
        <v>40391</v>
      </c>
      <c r="D620">
        <v>10445666888.360001</v>
      </c>
      <c r="E620">
        <v>1</v>
      </c>
    </row>
    <row r="621" spans="2:5" x14ac:dyDescent="0.25">
      <c r="B621" s="1" t="s">
        <v>6</v>
      </c>
      <c r="C621" s="1">
        <v>40391</v>
      </c>
      <c r="D621">
        <v>6780683677.4899998</v>
      </c>
      <c r="E621">
        <v>2</v>
      </c>
    </row>
    <row r="622" spans="2:5" x14ac:dyDescent="0.25">
      <c r="B622" s="1" t="s">
        <v>25</v>
      </c>
      <c r="C622" s="1">
        <v>40391</v>
      </c>
      <c r="D622">
        <v>2690541294.77</v>
      </c>
      <c r="E622">
        <v>3</v>
      </c>
    </row>
    <row r="623" spans="2:5" x14ac:dyDescent="0.25">
      <c r="B623" s="1" t="s">
        <v>4</v>
      </c>
      <c r="C623" s="1">
        <v>40391</v>
      </c>
      <c r="D623">
        <v>2635279121.3899999</v>
      </c>
      <c r="E623">
        <v>4</v>
      </c>
    </row>
    <row r="624" spans="2:5" x14ac:dyDescent="0.25">
      <c r="B624" s="1" t="s">
        <v>16</v>
      </c>
      <c r="C624" s="1">
        <v>40391</v>
      </c>
      <c r="D624">
        <v>2469426656.7399998</v>
      </c>
      <c r="E624">
        <v>5</v>
      </c>
    </row>
    <row r="625" spans="2:5" x14ac:dyDescent="0.25">
      <c r="B625" s="1" t="s">
        <v>12</v>
      </c>
      <c r="C625" s="1">
        <v>40391</v>
      </c>
      <c r="D625">
        <v>1438161442.27</v>
      </c>
      <c r="E625">
        <v>6</v>
      </c>
    </row>
    <row r="626" spans="2:5" x14ac:dyDescent="0.25">
      <c r="B626" s="1" t="s">
        <v>5</v>
      </c>
      <c r="C626" s="1">
        <v>40391</v>
      </c>
      <c r="D626">
        <v>1411205922.8599999</v>
      </c>
      <c r="E626">
        <v>7</v>
      </c>
    </row>
    <row r="627" spans="2:5" x14ac:dyDescent="0.25">
      <c r="B627" s="1" t="s">
        <v>57</v>
      </c>
      <c r="C627" s="1">
        <v>40391</v>
      </c>
      <c r="D627">
        <v>1027381931.53</v>
      </c>
      <c r="E627">
        <v>8</v>
      </c>
    </row>
    <row r="628" spans="2:5" x14ac:dyDescent="0.25">
      <c r="B628" s="1" t="s">
        <v>65</v>
      </c>
      <c r="C628" s="1">
        <v>40391</v>
      </c>
      <c r="D628">
        <v>679976598.80999994</v>
      </c>
      <c r="E628">
        <v>9</v>
      </c>
    </row>
    <row r="629" spans="2:5" x14ac:dyDescent="0.25">
      <c r="B629" s="1" t="s">
        <v>68</v>
      </c>
      <c r="C629" s="1">
        <v>40391</v>
      </c>
      <c r="D629">
        <v>604184628</v>
      </c>
      <c r="E629">
        <v>10</v>
      </c>
    </row>
    <row r="630" spans="2:5" x14ac:dyDescent="0.25">
      <c r="B630" s="1" t="s">
        <v>16</v>
      </c>
      <c r="C630" s="1">
        <v>40422</v>
      </c>
      <c r="D630">
        <v>13523481421.540001</v>
      </c>
      <c r="E630">
        <v>1</v>
      </c>
    </row>
    <row r="631" spans="2:5" x14ac:dyDescent="0.25">
      <c r="B631" s="1" t="s">
        <v>13</v>
      </c>
      <c r="C631" s="1">
        <v>40422</v>
      </c>
      <c r="D631">
        <v>12647051419.92</v>
      </c>
      <c r="E631">
        <v>2</v>
      </c>
    </row>
    <row r="632" spans="2:5" x14ac:dyDescent="0.25">
      <c r="B632" s="1" t="s">
        <v>6</v>
      </c>
      <c r="C632" s="1">
        <v>40422</v>
      </c>
      <c r="D632">
        <v>8801662456.9899998</v>
      </c>
      <c r="E632">
        <v>3</v>
      </c>
    </row>
    <row r="633" spans="2:5" x14ac:dyDescent="0.25">
      <c r="B633" s="1" t="s">
        <v>4</v>
      </c>
      <c r="C633" s="1">
        <v>40422</v>
      </c>
      <c r="D633">
        <v>4518559940.5299997</v>
      </c>
      <c r="E633">
        <v>4</v>
      </c>
    </row>
    <row r="634" spans="2:5" x14ac:dyDescent="0.25">
      <c r="B634" s="1" t="s">
        <v>25</v>
      </c>
      <c r="C634" s="1">
        <v>40422</v>
      </c>
      <c r="D634">
        <v>3646842839.0100002</v>
      </c>
      <c r="E634">
        <v>5</v>
      </c>
    </row>
    <row r="635" spans="2:5" x14ac:dyDescent="0.25">
      <c r="B635" s="1" t="s">
        <v>12</v>
      </c>
      <c r="C635" s="1">
        <v>40422</v>
      </c>
      <c r="D635">
        <v>2082908596.8599999</v>
      </c>
      <c r="E635">
        <v>6</v>
      </c>
    </row>
    <row r="636" spans="2:5" x14ac:dyDescent="0.25">
      <c r="B636" s="1" t="s">
        <v>5</v>
      </c>
      <c r="C636" s="1">
        <v>40422</v>
      </c>
      <c r="D636">
        <v>1754955724.47</v>
      </c>
      <c r="E636">
        <v>7</v>
      </c>
    </row>
    <row r="637" spans="2:5" x14ac:dyDescent="0.25">
      <c r="B637" s="1" t="s">
        <v>57</v>
      </c>
      <c r="C637" s="1">
        <v>40422</v>
      </c>
      <c r="D637">
        <v>1120073087.9000001</v>
      </c>
      <c r="E637">
        <v>8</v>
      </c>
    </row>
    <row r="638" spans="2:5" x14ac:dyDescent="0.25">
      <c r="B638" s="1" t="s">
        <v>65</v>
      </c>
      <c r="C638" s="1">
        <v>40422</v>
      </c>
      <c r="D638">
        <v>1105134409.6900001</v>
      </c>
      <c r="E638">
        <v>9</v>
      </c>
    </row>
    <row r="639" spans="2:5" x14ac:dyDescent="0.25">
      <c r="B639" s="1" t="s">
        <v>69</v>
      </c>
      <c r="C639" s="1">
        <v>40422</v>
      </c>
      <c r="D639">
        <v>842265479.03999996</v>
      </c>
      <c r="E639">
        <v>10</v>
      </c>
    </row>
    <row r="640" spans="2:5" x14ac:dyDescent="0.25">
      <c r="B640" s="1" t="s">
        <v>13</v>
      </c>
      <c r="C640" s="1">
        <v>40452</v>
      </c>
      <c r="D640">
        <v>13935891180.24</v>
      </c>
      <c r="E640">
        <v>1</v>
      </c>
    </row>
    <row r="641" spans="2:5" x14ac:dyDescent="0.25">
      <c r="B641" s="1" t="s">
        <v>6</v>
      </c>
      <c r="C641" s="1">
        <v>40452</v>
      </c>
      <c r="D641">
        <v>7173559851.6000004</v>
      </c>
      <c r="E641">
        <v>2</v>
      </c>
    </row>
    <row r="642" spans="2:5" x14ac:dyDescent="0.25">
      <c r="B642" s="1" t="s">
        <v>16</v>
      </c>
      <c r="C642" s="1">
        <v>40452</v>
      </c>
      <c r="D642">
        <v>7032221976</v>
      </c>
      <c r="E642">
        <v>3</v>
      </c>
    </row>
    <row r="643" spans="2:5" x14ac:dyDescent="0.25">
      <c r="B643" s="1" t="s">
        <v>25</v>
      </c>
      <c r="C643" s="1">
        <v>40452</v>
      </c>
      <c r="D643">
        <v>4867074403.2299995</v>
      </c>
      <c r="E643">
        <v>4</v>
      </c>
    </row>
    <row r="644" spans="2:5" x14ac:dyDescent="0.25">
      <c r="B644" s="1" t="s">
        <v>4</v>
      </c>
      <c r="C644" s="1">
        <v>40452</v>
      </c>
      <c r="D644">
        <v>4545541491.3000002</v>
      </c>
      <c r="E644">
        <v>5</v>
      </c>
    </row>
    <row r="645" spans="2:5" x14ac:dyDescent="0.25">
      <c r="B645" s="1" t="s">
        <v>5</v>
      </c>
      <c r="C645" s="1">
        <v>40452</v>
      </c>
      <c r="D645">
        <v>1772716757.7</v>
      </c>
      <c r="E645">
        <v>6</v>
      </c>
    </row>
    <row r="646" spans="2:5" x14ac:dyDescent="0.25">
      <c r="B646" s="1" t="s">
        <v>12</v>
      </c>
      <c r="C646" s="1">
        <v>40452</v>
      </c>
      <c r="D646">
        <v>1584815106.8800001</v>
      </c>
      <c r="E646">
        <v>7</v>
      </c>
    </row>
    <row r="647" spans="2:5" x14ac:dyDescent="0.25">
      <c r="B647" s="1" t="s">
        <v>57</v>
      </c>
      <c r="C647" s="1">
        <v>40452</v>
      </c>
      <c r="D647">
        <v>1236774477.01</v>
      </c>
      <c r="E647">
        <v>8</v>
      </c>
    </row>
    <row r="648" spans="2:5" x14ac:dyDescent="0.25">
      <c r="B648" s="1" t="s">
        <v>21</v>
      </c>
      <c r="C648" s="1">
        <v>40452</v>
      </c>
      <c r="D648">
        <v>1043295632.48</v>
      </c>
      <c r="E648">
        <v>9</v>
      </c>
    </row>
    <row r="649" spans="2:5" x14ac:dyDescent="0.25">
      <c r="B649" s="1" t="s">
        <v>69</v>
      </c>
      <c r="C649" s="1">
        <v>40452</v>
      </c>
      <c r="D649">
        <v>985412820.13999999</v>
      </c>
      <c r="E649">
        <v>10</v>
      </c>
    </row>
    <row r="650" spans="2:5" x14ac:dyDescent="0.25">
      <c r="B650" s="1" t="s">
        <v>13</v>
      </c>
      <c r="C650" s="1">
        <v>40483</v>
      </c>
      <c r="D650">
        <v>13909502726.82</v>
      </c>
      <c r="E650">
        <v>1</v>
      </c>
    </row>
    <row r="651" spans="2:5" x14ac:dyDescent="0.25">
      <c r="B651" s="1" t="s">
        <v>6</v>
      </c>
      <c r="C651" s="1">
        <v>40483</v>
      </c>
      <c r="D651">
        <v>8077232839.9099998</v>
      </c>
      <c r="E651">
        <v>2</v>
      </c>
    </row>
    <row r="652" spans="2:5" x14ac:dyDescent="0.25">
      <c r="B652" s="1" t="s">
        <v>16</v>
      </c>
      <c r="C652" s="1">
        <v>40483</v>
      </c>
      <c r="D652">
        <v>5669944072.8400002</v>
      </c>
      <c r="E652">
        <v>3</v>
      </c>
    </row>
    <row r="653" spans="2:5" x14ac:dyDescent="0.25">
      <c r="B653" s="1" t="s">
        <v>25</v>
      </c>
      <c r="C653" s="1">
        <v>40483</v>
      </c>
      <c r="D653">
        <v>4631288816.5799999</v>
      </c>
      <c r="E653">
        <v>4</v>
      </c>
    </row>
    <row r="654" spans="2:5" x14ac:dyDescent="0.25">
      <c r="B654" s="1" t="s">
        <v>4</v>
      </c>
      <c r="C654" s="1">
        <v>40483</v>
      </c>
      <c r="D654">
        <v>4042775700.8400002</v>
      </c>
      <c r="E654">
        <v>5</v>
      </c>
    </row>
    <row r="655" spans="2:5" x14ac:dyDescent="0.25">
      <c r="B655" s="1" t="s">
        <v>5</v>
      </c>
      <c r="C655" s="1">
        <v>40483</v>
      </c>
      <c r="D655">
        <v>2192767460.75</v>
      </c>
      <c r="E655">
        <v>6</v>
      </c>
    </row>
    <row r="656" spans="2:5" x14ac:dyDescent="0.25">
      <c r="B656" s="1" t="s">
        <v>69</v>
      </c>
      <c r="C656" s="1">
        <v>40483</v>
      </c>
      <c r="D656">
        <v>1752605955.22</v>
      </c>
      <c r="E656">
        <v>7</v>
      </c>
    </row>
    <row r="657" spans="2:5" x14ac:dyDescent="0.25">
      <c r="B657" s="1" t="s">
        <v>12</v>
      </c>
      <c r="C657" s="1">
        <v>40483</v>
      </c>
      <c r="D657">
        <v>1652225345.79</v>
      </c>
      <c r="E657">
        <v>8</v>
      </c>
    </row>
    <row r="658" spans="2:5" x14ac:dyDescent="0.25">
      <c r="B658" s="1" t="s">
        <v>57</v>
      </c>
      <c r="C658" s="1">
        <v>40483</v>
      </c>
      <c r="D658">
        <v>1583568018.25</v>
      </c>
      <c r="E658">
        <v>9</v>
      </c>
    </row>
    <row r="659" spans="2:5" x14ac:dyDescent="0.25">
      <c r="B659" s="1" t="s">
        <v>44</v>
      </c>
      <c r="C659" s="1">
        <v>40483</v>
      </c>
      <c r="D659">
        <v>1122048685</v>
      </c>
      <c r="E659">
        <v>10</v>
      </c>
    </row>
    <row r="660" spans="2:5" x14ac:dyDescent="0.25">
      <c r="B660" s="1" t="s">
        <v>13</v>
      </c>
      <c r="C660" s="1">
        <v>40513</v>
      </c>
      <c r="D660">
        <v>14878642995.780001</v>
      </c>
      <c r="E660">
        <v>1</v>
      </c>
    </row>
    <row r="661" spans="2:5" x14ac:dyDescent="0.25">
      <c r="B661" s="1" t="s">
        <v>16</v>
      </c>
      <c r="C661" s="1">
        <v>40513</v>
      </c>
      <c r="D661">
        <v>13177768197.51</v>
      </c>
      <c r="E661">
        <v>2</v>
      </c>
    </row>
    <row r="662" spans="2:5" x14ac:dyDescent="0.25">
      <c r="B662" s="1" t="s">
        <v>6</v>
      </c>
      <c r="C662" s="1">
        <v>40513</v>
      </c>
      <c r="D662">
        <v>11678030199.870001</v>
      </c>
      <c r="E662">
        <v>3</v>
      </c>
    </row>
    <row r="663" spans="2:5" x14ac:dyDescent="0.25">
      <c r="B663" s="1" t="s">
        <v>4</v>
      </c>
      <c r="C663" s="1">
        <v>40513</v>
      </c>
      <c r="D663">
        <v>4455935640.6099997</v>
      </c>
      <c r="E663">
        <v>4</v>
      </c>
    </row>
    <row r="664" spans="2:5" x14ac:dyDescent="0.25">
      <c r="B664" s="1" t="s">
        <v>25</v>
      </c>
      <c r="C664" s="1">
        <v>40513</v>
      </c>
      <c r="D664">
        <v>4077546240.5599999</v>
      </c>
      <c r="E664">
        <v>5</v>
      </c>
    </row>
    <row r="665" spans="2:5" x14ac:dyDescent="0.25">
      <c r="B665" s="1" t="s">
        <v>57</v>
      </c>
      <c r="C665" s="1">
        <v>40513</v>
      </c>
      <c r="D665">
        <v>1808961584.6800001</v>
      </c>
      <c r="E665">
        <v>6</v>
      </c>
    </row>
    <row r="666" spans="2:5" x14ac:dyDescent="0.25">
      <c r="B666" s="1" t="s">
        <v>12</v>
      </c>
      <c r="C666" s="1">
        <v>40513</v>
      </c>
      <c r="D666">
        <v>1787042808.5599999</v>
      </c>
      <c r="E666">
        <v>7</v>
      </c>
    </row>
    <row r="667" spans="2:5" x14ac:dyDescent="0.25">
      <c r="B667" s="1" t="s">
        <v>34</v>
      </c>
      <c r="C667" s="1">
        <v>40513</v>
      </c>
      <c r="D667">
        <v>1232116719.6400001</v>
      </c>
      <c r="E667">
        <v>8</v>
      </c>
    </row>
    <row r="668" spans="2:5" x14ac:dyDescent="0.25">
      <c r="B668" s="1" t="s">
        <v>5</v>
      </c>
      <c r="C668" s="1">
        <v>40513</v>
      </c>
      <c r="D668">
        <v>1213409683.3399999</v>
      </c>
      <c r="E668">
        <v>9</v>
      </c>
    </row>
    <row r="669" spans="2:5" x14ac:dyDescent="0.25">
      <c r="B669" s="1" t="s">
        <v>21</v>
      </c>
      <c r="C669" s="1">
        <v>40513</v>
      </c>
      <c r="D669">
        <v>1075335371.8499999</v>
      </c>
      <c r="E669">
        <v>10</v>
      </c>
    </row>
    <row r="670" spans="2:5" x14ac:dyDescent="0.25">
      <c r="B670" s="1" t="s">
        <v>13</v>
      </c>
      <c r="C670" s="1">
        <v>40544</v>
      </c>
      <c r="D670">
        <v>15157548488.809999</v>
      </c>
      <c r="E670">
        <v>1</v>
      </c>
    </row>
    <row r="671" spans="2:5" x14ac:dyDescent="0.25">
      <c r="B671" s="1" t="s">
        <v>6</v>
      </c>
      <c r="C671" s="1">
        <v>40544</v>
      </c>
      <c r="D671">
        <v>10056413197.809999</v>
      </c>
      <c r="E671">
        <v>2</v>
      </c>
    </row>
    <row r="672" spans="2:5" x14ac:dyDescent="0.25">
      <c r="B672" s="1" t="s">
        <v>16</v>
      </c>
      <c r="C672" s="1">
        <v>40544</v>
      </c>
      <c r="D672">
        <v>5654825118.79</v>
      </c>
      <c r="E672">
        <v>3</v>
      </c>
    </row>
    <row r="673" spans="2:5" x14ac:dyDescent="0.25">
      <c r="B673" s="1" t="s">
        <v>4</v>
      </c>
      <c r="C673" s="1">
        <v>40544</v>
      </c>
      <c r="D673">
        <v>4288064391.23</v>
      </c>
      <c r="E673">
        <v>4</v>
      </c>
    </row>
    <row r="674" spans="2:5" x14ac:dyDescent="0.25">
      <c r="B674" s="1" t="s">
        <v>25</v>
      </c>
      <c r="C674" s="1">
        <v>40544</v>
      </c>
      <c r="D674">
        <v>3768046307.4699998</v>
      </c>
      <c r="E674">
        <v>5</v>
      </c>
    </row>
    <row r="675" spans="2:5" x14ac:dyDescent="0.25">
      <c r="B675" s="1" t="s">
        <v>5</v>
      </c>
      <c r="C675" s="1">
        <v>40544</v>
      </c>
      <c r="D675">
        <v>2454761687.0100002</v>
      </c>
      <c r="E675">
        <v>6</v>
      </c>
    </row>
    <row r="676" spans="2:5" x14ac:dyDescent="0.25">
      <c r="B676" s="1" t="s">
        <v>12</v>
      </c>
      <c r="C676" s="1">
        <v>40544</v>
      </c>
      <c r="D676">
        <v>1652845494.29</v>
      </c>
      <c r="E676">
        <v>7</v>
      </c>
    </row>
    <row r="677" spans="2:5" x14ac:dyDescent="0.25">
      <c r="B677" s="1" t="s">
        <v>57</v>
      </c>
      <c r="C677" s="1">
        <v>40544</v>
      </c>
      <c r="D677">
        <v>1553817144.2</v>
      </c>
      <c r="E677">
        <v>8</v>
      </c>
    </row>
    <row r="678" spans="2:5" x14ac:dyDescent="0.25">
      <c r="B678" s="1" t="s">
        <v>65</v>
      </c>
      <c r="C678" s="1">
        <v>40544</v>
      </c>
      <c r="D678">
        <v>835486551.41999996</v>
      </c>
      <c r="E678">
        <v>9</v>
      </c>
    </row>
    <row r="679" spans="2:5" x14ac:dyDescent="0.25">
      <c r="B679" s="1" t="s">
        <v>21</v>
      </c>
      <c r="C679" s="1">
        <v>40544</v>
      </c>
      <c r="D679">
        <v>805596212.40999997</v>
      </c>
      <c r="E679">
        <v>10</v>
      </c>
    </row>
    <row r="680" spans="2:5" x14ac:dyDescent="0.25">
      <c r="B680" s="1" t="s">
        <v>13</v>
      </c>
      <c r="C680" s="1">
        <v>40575</v>
      </c>
      <c r="D680">
        <v>12839332402.040001</v>
      </c>
      <c r="E680">
        <v>1</v>
      </c>
    </row>
    <row r="681" spans="2:5" x14ac:dyDescent="0.25">
      <c r="B681" s="1" t="s">
        <v>6</v>
      </c>
      <c r="C681" s="1">
        <v>40575</v>
      </c>
      <c r="D681">
        <v>9579024294.3700008</v>
      </c>
      <c r="E681">
        <v>2</v>
      </c>
    </row>
    <row r="682" spans="2:5" x14ac:dyDescent="0.25">
      <c r="B682" s="1" t="s">
        <v>16</v>
      </c>
      <c r="C682" s="1">
        <v>40575</v>
      </c>
      <c r="D682">
        <v>4282742234.9099998</v>
      </c>
      <c r="E682">
        <v>3</v>
      </c>
    </row>
    <row r="683" spans="2:5" x14ac:dyDescent="0.25">
      <c r="B683" s="1" t="s">
        <v>4</v>
      </c>
      <c r="C683" s="1">
        <v>40575</v>
      </c>
      <c r="D683">
        <v>2523521818.0799999</v>
      </c>
      <c r="E683">
        <v>4</v>
      </c>
    </row>
    <row r="684" spans="2:5" x14ac:dyDescent="0.25">
      <c r="B684" s="1" t="s">
        <v>5</v>
      </c>
      <c r="C684" s="1">
        <v>40575</v>
      </c>
      <c r="D684">
        <v>2208311207.8699999</v>
      </c>
      <c r="E684">
        <v>5</v>
      </c>
    </row>
    <row r="685" spans="2:5" x14ac:dyDescent="0.25">
      <c r="B685" s="1" t="s">
        <v>25</v>
      </c>
      <c r="C685" s="1">
        <v>40575</v>
      </c>
      <c r="D685">
        <v>1927727999.48</v>
      </c>
      <c r="E685">
        <v>6</v>
      </c>
    </row>
    <row r="686" spans="2:5" x14ac:dyDescent="0.25">
      <c r="B686" s="1" t="s">
        <v>57</v>
      </c>
      <c r="C686" s="1">
        <v>40575</v>
      </c>
      <c r="D686">
        <v>1247167117.3299999</v>
      </c>
      <c r="E686">
        <v>7</v>
      </c>
    </row>
    <row r="687" spans="2:5" x14ac:dyDescent="0.25">
      <c r="B687" s="1" t="s">
        <v>12</v>
      </c>
      <c r="C687" s="1">
        <v>40575</v>
      </c>
      <c r="D687">
        <v>855765018.10000002</v>
      </c>
      <c r="E687">
        <v>8</v>
      </c>
    </row>
    <row r="688" spans="2:5" x14ac:dyDescent="0.25">
      <c r="B688" s="1" t="s">
        <v>21</v>
      </c>
      <c r="C688" s="1">
        <v>40575</v>
      </c>
      <c r="D688">
        <v>731935459.64999998</v>
      </c>
      <c r="E688">
        <v>9</v>
      </c>
    </row>
    <row r="689" spans="2:5" x14ac:dyDescent="0.25">
      <c r="B689" s="1" t="s">
        <v>65</v>
      </c>
      <c r="C689" s="1">
        <v>40575</v>
      </c>
      <c r="D689">
        <v>447638536.25</v>
      </c>
      <c r="E689">
        <v>10</v>
      </c>
    </row>
    <row r="690" spans="2:5" x14ac:dyDescent="0.25">
      <c r="B690" s="1" t="s">
        <v>13</v>
      </c>
      <c r="C690" s="1">
        <v>40603</v>
      </c>
      <c r="D690">
        <v>9636191150.4599991</v>
      </c>
      <c r="E690">
        <v>1</v>
      </c>
    </row>
    <row r="691" spans="2:5" x14ac:dyDescent="0.25">
      <c r="B691" s="1" t="s">
        <v>16</v>
      </c>
      <c r="C691" s="1">
        <v>40603</v>
      </c>
      <c r="D691">
        <v>9485405797.4699993</v>
      </c>
      <c r="E691">
        <v>2</v>
      </c>
    </row>
    <row r="692" spans="2:5" x14ac:dyDescent="0.25">
      <c r="B692" s="1" t="s">
        <v>6</v>
      </c>
      <c r="C692" s="1">
        <v>40603</v>
      </c>
      <c r="D692">
        <v>8683894317.7800007</v>
      </c>
      <c r="E692">
        <v>3</v>
      </c>
    </row>
    <row r="693" spans="2:5" x14ac:dyDescent="0.25">
      <c r="B693" s="1" t="s">
        <v>4</v>
      </c>
      <c r="C693" s="1">
        <v>40603</v>
      </c>
      <c r="D693">
        <v>2657649716.0999999</v>
      </c>
      <c r="E693">
        <v>4</v>
      </c>
    </row>
    <row r="694" spans="2:5" x14ac:dyDescent="0.25">
      <c r="B694" s="1" t="s">
        <v>5</v>
      </c>
      <c r="C694" s="1">
        <v>40603</v>
      </c>
      <c r="D694">
        <v>2586644966.1999998</v>
      </c>
      <c r="E694">
        <v>5</v>
      </c>
    </row>
    <row r="695" spans="2:5" x14ac:dyDescent="0.25">
      <c r="B695" s="1" t="s">
        <v>25</v>
      </c>
      <c r="C695" s="1">
        <v>40603</v>
      </c>
      <c r="D695">
        <v>2121205602.46</v>
      </c>
      <c r="E695">
        <v>6</v>
      </c>
    </row>
    <row r="696" spans="2:5" x14ac:dyDescent="0.25">
      <c r="B696" s="1" t="s">
        <v>57</v>
      </c>
      <c r="C696" s="1">
        <v>40603</v>
      </c>
      <c r="D696">
        <v>1186577224.8</v>
      </c>
      <c r="E696">
        <v>7</v>
      </c>
    </row>
    <row r="697" spans="2:5" x14ac:dyDescent="0.25">
      <c r="B697" s="1" t="s">
        <v>12</v>
      </c>
      <c r="C697" s="1">
        <v>40603</v>
      </c>
      <c r="D697">
        <v>740800134.88999999</v>
      </c>
      <c r="E697">
        <v>8</v>
      </c>
    </row>
    <row r="698" spans="2:5" x14ac:dyDescent="0.25">
      <c r="B698" s="1" t="s">
        <v>21</v>
      </c>
      <c r="C698" s="1">
        <v>40603</v>
      </c>
      <c r="D698">
        <v>705043007.98000002</v>
      </c>
      <c r="E698">
        <v>9</v>
      </c>
    </row>
    <row r="699" spans="2:5" x14ac:dyDescent="0.25">
      <c r="B699" s="1" t="s">
        <v>66</v>
      </c>
      <c r="C699" s="1">
        <v>40603</v>
      </c>
      <c r="D699">
        <v>488914060</v>
      </c>
      <c r="E699">
        <v>10</v>
      </c>
    </row>
    <row r="700" spans="2:5" x14ac:dyDescent="0.25">
      <c r="B700" s="1" t="s">
        <v>13</v>
      </c>
      <c r="C700" s="1">
        <v>40634</v>
      </c>
      <c r="D700">
        <v>7444150512.3199997</v>
      </c>
      <c r="E700">
        <v>1</v>
      </c>
    </row>
    <row r="701" spans="2:5" x14ac:dyDescent="0.25">
      <c r="B701" s="1" t="s">
        <v>6</v>
      </c>
      <c r="C701" s="1">
        <v>40634</v>
      </c>
      <c r="D701">
        <v>4730559226.2700005</v>
      </c>
      <c r="E701">
        <v>2</v>
      </c>
    </row>
    <row r="702" spans="2:5" x14ac:dyDescent="0.25">
      <c r="B702" s="1" t="s">
        <v>16</v>
      </c>
      <c r="C702" s="1">
        <v>40634</v>
      </c>
      <c r="D702">
        <v>3767154561.3800001</v>
      </c>
      <c r="E702">
        <v>3</v>
      </c>
    </row>
    <row r="703" spans="2:5" x14ac:dyDescent="0.25">
      <c r="B703" s="1" t="s">
        <v>4</v>
      </c>
      <c r="C703" s="1">
        <v>40634</v>
      </c>
      <c r="D703">
        <v>2120004498.6400001</v>
      </c>
      <c r="E703">
        <v>4</v>
      </c>
    </row>
    <row r="704" spans="2:5" x14ac:dyDescent="0.25">
      <c r="B704" s="1" t="s">
        <v>25</v>
      </c>
      <c r="C704" s="1">
        <v>40634</v>
      </c>
      <c r="D704">
        <v>1116379416.3</v>
      </c>
      <c r="E704">
        <v>5</v>
      </c>
    </row>
    <row r="705" spans="2:5" x14ac:dyDescent="0.25">
      <c r="B705" s="1" t="s">
        <v>12</v>
      </c>
      <c r="C705" s="1">
        <v>40634</v>
      </c>
      <c r="D705">
        <v>811722395.58000004</v>
      </c>
      <c r="E705">
        <v>6</v>
      </c>
    </row>
    <row r="706" spans="2:5" x14ac:dyDescent="0.25">
      <c r="B706" s="1" t="s">
        <v>21</v>
      </c>
      <c r="C706" s="1">
        <v>40634</v>
      </c>
      <c r="D706">
        <v>764963730.72000003</v>
      </c>
      <c r="E706">
        <v>7</v>
      </c>
    </row>
    <row r="707" spans="2:5" x14ac:dyDescent="0.25">
      <c r="B707" s="1" t="s">
        <v>57</v>
      </c>
      <c r="C707" s="1">
        <v>40634</v>
      </c>
      <c r="D707">
        <v>674113666.69000006</v>
      </c>
      <c r="E707">
        <v>8</v>
      </c>
    </row>
    <row r="708" spans="2:5" x14ac:dyDescent="0.25">
      <c r="B708" s="1" t="s">
        <v>5</v>
      </c>
      <c r="C708" s="1">
        <v>40634</v>
      </c>
      <c r="D708">
        <v>581314774.17999995</v>
      </c>
      <c r="E708">
        <v>9</v>
      </c>
    </row>
    <row r="709" spans="2:5" x14ac:dyDescent="0.25">
      <c r="B709" s="1" t="s">
        <v>34</v>
      </c>
      <c r="C709" s="1">
        <v>40634</v>
      </c>
      <c r="D709">
        <v>341092933.08999997</v>
      </c>
      <c r="E709">
        <v>10</v>
      </c>
    </row>
    <row r="710" spans="2:5" x14ac:dyDescent="0.25">
      <c r="B710" s="1" t="s">
        <v>13</v>
      </c>
      <c r="C710" s="1">
        <v>40664</v>
      </c>
      <c r="D710">
        <v>6796796476.5</v>
      </c>
      <c r="E710">
        <v>1</v>
      </c>
    </row>
    <row r="711" spans="2:5" x14ac:dyDescent="0.25">
      <c r="B711" s="1" t="s">
        <v>16</v>
      </c>
      <c r="C711" s="1">
        <v>40664</v>
      </c>
      <c r="D711">
        <v>4462100152.5799999</v>
      </c>
      <c r="E711">
        <v>2</v>
      </c>
    </row>
    <row r="712" spans="2:5" x14ac:dyDescent="0.25">
      <c r="B712" s="1" t="s">
        <v>6</v>
      </c>
      <c r="C712" s="1">
        <v>40664</v>
      </c>
      <c r="D712">
        <v>2894353490.4000001</v>
      </c>
      <c r="E712">
        <v>3</v>
      </c>
    </row>
    <row r="713" spans="2:5" x14ac:dyDescent="0.25">
      <c r="B713" s="1" t="s">
        <v>4</v>
      </c>
      <c r="C713" s="1">
        <v>40664</v>
      </c>
      <c r="D713">
        <v>1772156272.1099999</v>
      </c>
      <c r="E713">
        <v>4</v>
      </c>
    </row>
    <row r="714" spans="2:5" x14ac:dyDescent="0.25">
      <c r="B714" s="1" t="s">
        <v>25</v>
      </c>
      <c r="C714" s="1">
        <v>40664</v>
      </c>
      <c r="D714">
        <v>1714672795.1500001</v>
      </c>
      <c r="E714">
        <v>5</v>
      </c>
    </row>
    <row r="715" spans="2:5" x14ac:dyDescent="0.25">
      <c r="B715" s="1" t="s">
        <v>12</v>
      </c>
      <c r="C715" s="1">
        <v>40664</v>
      </c>
      <c r="D715">
        <v>841140321.39999998</v>
      </c>
      <c r="E715">
        <v>6</v>
      </c>
    </row>
    <row r="716" spans="2:5" x14ac:dyDescent="0.25">
      <c r="B716" s="1" t="s">
        <v>5</v>
      </c>
      <c r="C716" s="1">
        <v>40664</v>
      </c>
      <c r="D716">
        <v>752156908.72000003</v>
      </c>
      <c r="E716">
        <v>7</v>
      </c>
    </row>
    <row r="717" spans="2:5" x14ac:dyDescent="0.25">
      <c r="B717" s="1" t="s">
        <v>57</v>
      </c>
      <c r="C717" s="1">
        <v>40664</v>
      </c>
      <c r="D717">
        <v>563716044.37</v>
      </c>
      <c r="E717">
        <v>8</v>
      </c>
    </row>
    <row r="718" spans="2:5" x14ac:dyDescent="0.25">
      <c r="B718" s="1" t="s">
        <v>21</v>
      </c>
      <c r="C718" s="1">
        <v>40664</v>
      </c>
      <c r="D718">
        <v>489084046.74000001</v>
      </c>
      <c r="E718">
        <v>9</v>
      </c>
    </row>
    <row r="719" spans="2:5" x14ac:dyDescent="0.25">
      <c r="B719" s="1" t="s">
        <v>42</v>
      </c>
      <c r="C719" s="1">
        <v>40664</v>
      </c>
      <c r="D719">
        <v>284055237</v>
      </c>
      <c r="E719">
        <v>10</v>
      </c>
    </row>
    <row r="720" spans="2:5" x14ac:dyDescent="0.25">
      <c r="B720" s="1" t="s">
        <v>13</v>
      </c>
      <c r="C720" s="1">
        <v>40695</v>
      </c>
      <c r="D720">
        <v>8100182361.9399996</v>
      </c>
      <c r="E720">
        <v>1</v>
      </c>
    </row>
    <row r="721" spans="2:5" x14ac:dyDescent="0.25">
      <c r="B721" s="1" t="s">
        <v>16</v>
      </c>
      <c r="C721" s="1">
        <v>40695</v>
      </c>
      <c r="D721">
        <v>5545967032.6400003</v>
      </c>
      <c r="E721">
        <v>2</v>
      </c>
    </row>
    <row r="722" spans="2:5" x14ac:dyDescent="0.25">
      <c r="B722" s="1" t="s">
        <v>25</v>
      </c>
      <c r="C722" s="1">
        <v>40695</v>
      </c>
      <c r="D722">
        <v>3143184905.6100001</v>
      </c>
      <c r="E722">
        <v>3</v>
      </c>
    </row>
    <row r="723" spans="2:5" x14ac:dyDescent="0.25">
      <c r="B723" s="1" t="s">
        <v>6</v>
      </c>
      <c r="C723" s="1">
        <v>40695</v>
      </c>
      <c r="D723">
        <v>2911823738.5799999</v>
      </c>
      <c r="E723">
        <v>4</v>
      </c>
    </row>
    <row r="724" spans="2:5" x14ac:dyDescent="0.25">
      <c r="B724" s="1" t="s">
        <v>4</v>
      </c>
      <c r="C724" s="1">
        <v>40695</v>
      </c>
      <c r="D724">
        <v>1549429492.6099999</v>
      </c>
      <c r="E724">
        <v>5</v>
      </c>
    </row>
    <row r="725" spans="2:5" x14ac:dyDescent="0.25">
      <c r="B725" s="1" t="s">
        <v>5</v>
      </c>
      <c r="C725" s="1">
        <v>40695</v>
      </c>
      <c r="D725">
        <v>1268561247.9400001</v>
      </c>
      <c r="E725">
        <v>6</v>
      </c>
    </row>
    <row r="726" spans="2:5" x14ac:dyDescent="0.25">
      <c r="B726" s="1" t="s">
        <v>57</v>
      </c>
      <c r="C726" s="1">
        <v>40695</v>
      </c>
      <c r="D726">
        <v>602058992.67999995</v>
      </c>
      <c r="E726">
        <v>7</v>
      </c>
    </row>
    <row r="727" spans="2:5" x14ac:dyDescent="0.25">
      <c r="B727" s="1" t="s">
        <v>12</v>
      </c>
      <c r="C727" s="1">
        <v>40695</v>
      </c>
      <c r="D727">
        <v>539015420.57000005</v>
      </c>
      <c r="E727">
        <v>8</v>
      </c>
    </row>
    <row r="728" spans="2:5" x14ac:dyDescent="0.25">
      <c r="B728" s="1" t="s">
        <v>59</v>
      </c>
      <c r="C728" s="1">
        <v>40695</v>
      </c>
      <c r="D728">
        <v>494592251</v>
      </c>
      <c r="E728">
        <v>9</v>
      </c>
    </row>
    <row r="729" spans="2:5" x14ac:dyDescent="0.25">
      <c r="B729" s="1" t="s">
        <v>21</v>
      </c>
      <c r="C729" s="1">
        <v>40695</v>
      </c>
      <c r="D729">
        <v>440788343.07999998</v>
      </c>
      <c r="E729">
        <v>10</v>
      </c>
    </row>
    <row r="730" spans="2:5" x14ac:dyDescent="0.25">
      <c r="B730" s="1" t="s">
        <v>13</v>
      </c>
      <c r="C730" s="1">
        <v>40725</v>
      </c>
      <c r="D730">
        <v>5308788048.8400002</v>
      </c>
      <c r="E730">
        <v>1</v>
      </c>
    </row>
    <row r="731" spans="2:5" x14ac:dyDescent="0.25">
      <c r="B731" s="1" t="s">
        <v>16</v>
      </c>
      <c r="C731" s="1">
        <v>40725</v>
      </c>
      <c r="D731">
        <v>3552030616.75</v>
      </c>
      <c r="E731">
        <v>2</v>
      </c>
    </row>
    <row r="732" spans="2:5" x14ac:dyDescent="0.25">
      <c r="B732" s="1" t="s">
        <v>4</v>
      </c>
      <c r="C732" s="1">
        <v>40725</v>
      </c>
      <c r="D732">
        <v>3451560618.73</v>
      </c>
      <c r="E732">
        <v>3</v>
      </c>
    </row>
    <row r="733" spans="2:5" x14ac:dyDescent="0.25">
      <c r="B733" s="1" t="s">
        <v>6</v>
      </c>
      <c r="C733" s="1">
        <v>40725</v>
      </c>
      <c r="D733">
        <v>3164049641.8699999</v>
      </c>
      <c r="E733">
        <v>4</v>
      </c>
    </row>
    <row r="734" spans="2:5" x14ac:dyDescent="0.25">
      <c r="B734" s="1" t="s">
        <v>25</v>
      </c>
      <c r="C734" s="1">
        <v>40725</v>
      </c>
      <c r="D734">
        <v>1623998106.96</v>
      </c>
      <c r="E734">
        <v>5</v>
      </c>
    </row>
    <row r="735" spans="2:5" x14ac:dyDescent="0.25">
      <c r="B735" s="1" t="s">
        <v>12</v>
      </c>
      <c r="C735" s="1">
        <v>40725</v>
      </c>
      <c r="D735">
        <v>848545824.13999999</v>
      </c>
      <c r="E735">
        <v>6</v>
      </c>
    </row>
    <row r="736" spans="2:5" x14ac:dyDescent="0.25">
      <c r="B736" s="1" t="s">
        <v>57</v>
      </c>
      <c r="C736" s="1">
        <v>40725</v>
      </c>
      <c r="D736">
        <v>722217253.57000005</v>
      </c>
      <c r="E736">
        <v>7</v>
      </c>
    </row>
    <row r="737" spans="2:5" x14ac:dyDescent="0.25">
      <c r="B737" s="1" t="s">
        <v>21</v>
      </c>
      <c r="C737" s="1">
        <v>40725</v>
      </c>
      <c r="D737">
        <v>598908757.10000002</v>
      </c>
      <c r="E737">
        <v>8</v>
      </c>
    </row>
    <row r="738" spans="2:5" x14ac:dyDescent="0.25">
      <c r="B738" s="1" t="s">
        <v>5</v>
      </c>
      <c r="C738" s="1">
        <v>40725</v>
      </c>
      <c r="D738">
        <v>488802884.07999998</v>
      </c>
      <c r="E738">
        <v>9</v>
      </c>
    </row>
    <row r="739" spans="2:5" x14ac:dyDescent="0.25">
      <c r="B739" s="1" t="s">
        <v>70</v>
      </c>
      <c r="C739" s="1">
        <v>40725</v>
      </c>
      <c r="D739">
        <v>312614394</v>
      </c>
      <c r="E739">
        <v>10</v>
      </c>
    </row>
    <row r="740" spans="2:5" x14ac:dyDescent="0.25">
      <c r="B740" s="1" t="s">
        <v>13</v>
      </c>
      <c r="C740" s="1">
        <v>40756</v>
      </c>
      <c r="D740">
        <v>8975675585.0300007</v>
      </c>
      <c r="E740">
        <v>1</v>
      </c>
    </row>
    <row r="741" spans="2:5" x14ac:dyDescent="0.25">
      <c r="B741" s="1" t="s">
        <v>16</v>
      </c>
      <c r="C741" s="1">
        <v>40756</v>
      </c>
      <c r="D741">
        <v>5856036812.3699999</v>
      </c>
      <c r="E741">
        <v>2</v>
      </c>
    </row>
    <row r="742" spans="2:5" x14ac:dyDescent="0.25">
      <c r="B742" s="1" t="s">
        <v>6</v>
      </c>
      <c r="C742" s="1">
        <v>40756</v>
      </c>
      <c r="D742">
        <v>3731162831.54</v>
      </c>
      <c r="E742">
        <v>3</v>
      </c>
    </row>
    <row r="743" spans="2:5" x14ac:dyDescent="0.25">
      <c r="B743" s="1" t="s">
        <v>25</v>
      </c>
      <c r="C743" s="1">
        <v>40756</v>
      </c>
      <c r="D743">
        <v>2329334472.6700001</v>
      </c>
      <c r="E743">
        <v>4</v>
      </c>
    </row>
    <row r="744" spans="2:5" x14ac:dyDescent="0.25">
      <c r="B744" s="1" t="s">
        <v>4</v>
      </c>
      <c r="C744" s="1">
        <v>40756</v>
      </c>
      <c r="D744">
        <v>1558677252.3900001</v>
      </c>
      <c r="E744">
        <v>5</v>
      </c>
    </row>
    <row r="745" spans="2:5" x14ac:dyDescent="0.25">
      <c r="B745" s="1" t="s">
        <v>5</v>
      </c>
      <c r="C745" s="1">
        <v>40756</v>
      </c>
      <c r="D745">
        <v>1496155189.5</v>
      </c>
      <c r="E745">
        <v>6</v>
      </c>
    </row>
    <row r="746" spans="2:5" x14ac:dyDescent="0.25">
      <c r="B746" s="1" t="s">
        <v>12</v>
      </c>
      <c r="C746" s="1">
        <v>40756</v>
      </c>
      <c r="D746">
        <v>1238482339.3800001</v>
      </c>
      <c r="E746">
        <v>7</v>
      </c>
    </row>
    <row r="747" spans="2:5" x14ac:dyDescent="0.25">
      <c r="B747" s="1" t="s">
        <v>57</v>
      </c>
      <c r="C747" s="1">
        <v>40756</v>
      </c>
      <c r="D747">
        <v>725416086.88</v>
      </c>
      <c r="E747">
        <v>8</v>
      </c>
    </row>
    <row r="748" spans="2:5" x14ac:dyDescent="0.25">
      <c r="B748" s="1" t="s">
        <v>21</v>
      </c>
      <c r="C748" s="1">
        <v>40756</v>
      </c>
      <c r="D748">
        <v>486453805.94</v>
      </c>
      <c r="E748">
        <v>9</v>
      </c>
    </row>
    <row r="749" spans="2:5" x14ac:dyDescent="0.25">
      <c r="B749" s="1" t="s">
        <v>22</v>
      </c>
      <c r="C749" s="1">
        <v>40756</v>
      </c>
      <c r="D749">
        <v>246411781</v>
      </c>
      <c r="E749">
        <v>10</v>
      </c>
    </row>
    <row r="750" spans="2:5" x14ac:dyDescent="0.25">
      <c r="B750" s="1" t="s">
        <v>13</v>
      </c>
      <c r="C750" s="1">
        <v>40787</v>
      </c>
      <c r="D750">
        <v>9862037476.5100002</v>
      </c>
      <c r="E750">
        <v>1</v>
      </c>
    </row>
    <row r="751" spans="2:5" x14ac:dyDescent="0.25">
      <c r="B751" s="1" t="s">
        <v>16</v>
      </c>
      <c r="C751" s="1">
        <v>40787</v>
      </c>
      <c r="D751">
        <v>8513787528.9200001</v>
      </c>
      <c r="E751">
        <v>2</v>
      </c>
    </row>
    <row r="752" spans="2:5" x14ac:dyDescent="0.25">
      <c r="B752" s="1" t="s">
        <v>25</v>
      </c>
      <c r="C752" s="1">
        <v>40787</v>
      </c>
      <c r="D752">
        <v>3396559955.0900002</v>
      </c>
      <c r="E752">
        <v>3</v>
      </c>
    </row>
    <row r="753" spans="2:5" x14ac:dyDescent="0.25">
      <c r="B753" s="1" t="s">
        <v>6</v>
      </c>
      <c r="C753" s="1">
        <v>40787</v>
      </c>
      <c r="D753">
        <v>2892361811.9899998</v>
      </c>
      <c r="E753">
        <v>4</v>
      </c>
    </row>
    <row r="754" spans="2:5" x14ac:dyDescent="0.25">
      <c r="B754" s="1" t="s">
        <v>4</v>
      </c>
      <c r="C754" s="1">
        <v>40787</v>
      </c>
      <c r="D754">
        <v>2696815028.3899999</v>
      </c>
      <c r="E754">
        <v>5</v>
      </c>
    </row>
    <row r="755" spans="2:5" x14ac:dyDescent="0.25">
      <c r="B755" s="1" t="s">
        <v>12</v>
      </c>
      <c r="C755" s="1">
        <v>40787</v>
      </c>
      <c r="D755">
        <v>1481093219.7</v>
      </c>
      <c r="E755">
        <v>6</v>
      </c>
    </row>
    <row r="756" spans="2:5" x14ac:dyDescent="0.25">
      <c r="B756" s="1" t="s">
        <v>5</v>
      </c>
      <c r="C756" s="1">
        <v>40787</v>
      </c>
      <c r="D756">
        <v>1068656827.8200001</v>
      </c>
      <c r="E756">
        <v>7</v>
      </c>
    </row>
    <row r="757" spans="2:5" x14ac:dyDescent="0.25">
      <c r="B757" s="1" t="s">
        <v>69</v>
      </c>
      <c r="C757" s="1">
        <v>40787</v>
      </c>
      <c r="D757">
        <v>823178100.25</v>
      </c>
      <c r="E757">
        <v>8</v>
      </c>
    </row>
    <row r="758" spans="2:5" x14ac:dyDescent="0.25">
      <c r="B758" s="1" t="s">
        <v>21</v>
      </c>
      <c r="C758" s="1">
        <v>40787</v>
      </c>
      <c r="D758">
        <v>634350715.39999998</v>
      </c>
      <c r="E758">
        <v>9</v>
      </c>
    </row>
    <row r="759" spans="2:5" x14ac:dyDescent="0.25">
      <c r="B759" s="1" t="s">
        <v>57</v>
      </c>
      <c r="C759" s="1">
        <v>40787</v>
      </c>
      <c r="D759">
        <v>609690927</v>
      </c>
      <c r="E759">
        <v>10</v>
      </c>
    </row>
    <row r="760" spans="2:5" x14ac:dyDescent="0.25">
      <c r="B760" s="1" t="s">
        <v>13</v>
      </c>
      <c r="C760" s="1">
        <v>40817</v>
      </c>
      <c r="D760">
        <v>11864275980.860001</v>
      </c>
      <c r="E760">
        <v>1</v>
      </c>
    </row>
    <row r="761" spans="2:5" x14ac:dyDescent="0.25">
      <c r="B761" s="1" t="s">
        <v>16</v>
      </c>
      <c r="C761" s="1">
        <v>40817</v>
      </c>
      <c r="D761">
        <v>5145732963.04</v>
      </c>
      <c r="E761">
        <v>2</v>
      </c>
    </row>
    <row r="762" spans="2:5" x14ac:dyDescent="0.25">
      <c r="B762" s="1" t="s">
        <v>4</v>
      </c>
      <c r="C762" s="1">
        <v>40817</v>
      </c>
      <c r="D762">
        <v>3368885713.6900001</v>
      </c>
      <c r="E762">
        <v>3</v>
      </c>
    </row>
    <row r="763" spans="2:5" x14ac:dyDescent="0.25">
      <c r="B763" s="1" t="s">
        <v>12</v>
      </c>
      <c r="C763" s="1">
        <v>40817</v>
      </c>
      <c r="D763">
        <v>2189275465.2199998</v>
      </c>
      <c r="E763">
        <v>4</v>
      </c>
    </row>
    <row r="764" spans="2:5" x14ac:dyDescent="0.25">
      <c r="B764" s="1" t="s">
        <v>5</v>
      </c>
      <c r="C764" s="1">
        <v>40817</v>
      </c>
      <c r="D764">
        <v>2131641702.3199999</v>
      </c>
      <c r="E764">
        <v>5</v>
      </c>
    </row>
    <row r="765" spans="2:5" x14ac:dyDescent="0.25">
      <c r="B765" s="1" t="s">
        <v>6</v>
      </c>
      <c r="C765" s="1">
        <v>40817</v>
      </c>
      <c r="D765">
        <v>2008947925.9400001</v>
      </c>
      <c r="E765">
        <v>6</v>
      </c>
    </row>
    <row r="766" spans="2:5" x14ac:dyDescent="0.25">
      <c r="B766" s="1" t="s">
        <v>25</v>
      </c>
      <c r="C766" s="1">
        <v>40817</v>
      </c>
      <c r="D766">
        <v>1820954758.3199999</v>
      </c>
      <c r="E766">
        <v>7</v>
      </c>
    </row>
    <row r="767" spans="2:5" x14ac:dyDescent="0.25">
      <c r="B767" s="1" t="s">
        <v>69</v>
      </c>
      <c r="C767" s="1">
        <v>40817</v>
      </c>
      <c r="D767">
        <v>1103750509.5999999</v>
      </c>
      <c r="E767">
        <v>8</v>
      </c>
    </row>
    <row r="768" spans="2:5" x14ac:dyDescent="0.25">
      <c r="B768" s="1" t="s">
        <v>57</v>
      </c>
      <c r="C768" s="1">
        <v>40817</v>
      </c>
      <c r="D768">
        <v>784533038</v>
      </c>
      <c r="E768">
        <v>9</v>
      </c>
    </row>
    <row r="769" spans="2:5" x14ac:dyDescent="0.25">
      <c r="B769" s="1" t="s">
        <v>71</v>
      </c>
      <c r="C769" s="1">
        <v>40817</v>
      </c>
      <c r="D769">
        <v>578361348.02999997</v>
      </c>
      <c r="E769">
        <v>10</v>
      </c>
    </row>
    <row r="770" spans="2:5" x14ac:dyDescent="0.25">
      <c r="B770" s="1" t="s">
        <v>13</v>
      </c>
      <c r="C770" s="1">
        <v>40848</v>
      </c>
      <c r="D770">
        <v>14706099941.799999</v>
      </c>
      <c r="E770">
        <v>1</v>
      </c>
    </row>
    <row r="771" spans="2:5" x14ac:dyDescent="0.25">
      <c r="B771" s="1" t="s">
        <v>16</v>
      </c>
      <c r="C771" s="1">
        <v>40848</v>
      </c>
      <c r="D771">
        <v>7980975998.8500004</v>
      </c>
      <c r="E771">
        <v>2</v>
      </c>
    </row>
    <row r="772" spans="2:5" x14ac:dyDescent="0.25">
      <c r="B772" s="1" t="s">
        <v>4</v>
      </c>
      <c r="C772" s="1">
        <v>40848</v>
      </c>
      <c r="D772">
        <v>4736787040.8299999</v>
      </c>
      <c r="E772">
        <v>3</v>
      </c>
    </row>
    <row r="773" spans="2:5" x14ac:dyDescent="0.25">
      <c r="B773" s="1" t="s">
        <v>25</v>
      </c>
      <c r="C773" s="1">
        <v>40848</v>
      </c>
      <c r="D773">
        <v>3660860542.1399999</v>
      </c>
      <c r="E773">
        <v>4</v>
      </c>
    </row>
    <row r="774" spans="2:5" x14ac:dyDescent="0.25">
      <c r="B774" s="1" t="s">
        <v>12</v>
      </c>
      <c r="C774" s="1">
        <v>40848</v>
      </c>
      <c r="D774">
        <v>2374687827.0900002</v>
      </c>
      <c r="E774">
        <v>5</v>
      </c>
    </row>
    <row r="775" spans="2:5" x14ac:dyDescent="0.25">
      <c r="B775" s="1" t="s">
        <v>5</v>
      </c>
      <c r="C775" s="1">
        <v>40848</v>
      </c>
      <c r="D775">
        <v>2096048439.96</v>
      </c>
      <c r="E775">
        <v>6</v>
      </c>
    </row>
    <row r="776" spans="2:5" x14ac:dyDescent="0.25">
      <c r="B776" s="1" t="s">
        <v>6</v>
      </c>
      <c r="C776" s="1">
        <v>40848</v>
      </c>
      <c r="D776">
        <v>1485254304.1099999</v>
      </c>
      <c r="E776">
        <v>7</v>
      </c>
    </row>
    <row r="777" spans="2:5" x14ac:dyDescent="0.25">
      <c r="B777" s="1" t="s">
        <v>69</v>
      </c>
      <c r="C777" s="1">
        <v>40848</v>
      </c>
      <c r="D777">
        <v>1418009753.6300001</v>
      </c>
      <c r="E777">
        <v>8</v>
      </c>
    </row>
    <row r="778" spans="2:5" x14ac:dyDescent="0.25">
      <c r="B778" s="1" t="s">
        <v>71</v>
      </c>
      <c r="C778" s="1">
        <v>40848</v>
      </c>
      <c r="D778">
        <v>747707839.65999997</v>
      </c>
      <c r="E778">
        <v>9</v>
      </c>
    </row>
    <row r="779" spans="2:5" x14ac:dyDescent="0.25">
      <c r="B779" s="1" t="s">
        <v>8</v>
      </c>
      <c r="C779" s="1">
        <v>40848</v>
      </c>
      <c r="D779">
        <v>553653703.02999997</v>
      </c>
      <c r="E779">
        <v>10</v>
      </c>
    </row>
    <row r="780" spans="2:5" x14ac:dyDescent="0.25">
      <c r="B780" s="1" t="s">
        <v>13</v>
      </c>
      <c r="C780" s="1">
        <v>40878</v>
      </c>
      <c r="D780">
        <v>23937608890.639999</v>
      </c>
      <c r="E780">
        <v>1</v>
      </c>
    </row>
    <row r="781" spans="2:5" x14ac:dyDescent="0.25">
      <c r="B781" s="1" t="s">
        <v>16</v>
      </c>
      <c r="C781" s="1">
        <v>40878</v>
      </c>
      <c r="D781">
        <v>8179192202.6400003</v>
      </c>
      <c r="E781">
        <v>2</v>
      </c>
    </row>
    <row r="782" spans="2:5" x14ac:dyDescent="0.25">
      <c r="B782" s="1" t="s">
        <v>4</v>
      </c>
      <c r="C782" s="1">
        <v>40878</v>
      </c>
      <c r="D782">
        <v>4852780436.3599997</v>
      </c>
      <c r="E782">
        <v>3</v>
      </c>
    </row>
    <row r="783" spans="2:5" x14ac:dyDescent="0.25">
      <c r="B783" s="1" t="s">
        <v>25</v>
      </c>
      <c r="C783" s="1">
        <v>40878</v>
      </c>
      <c r="D783">
        <v>4076990497.6900001</v>
      </c>
      <c r="E783">
        <v>4</v>
      </c>
    </row>
    <row r="784" spans="2:5" x14ac:dyDescent="0.25">
      <c r="B784" s="1" t="s">
        <v>5</v>
      </c>
      <c r="C784" s="1">
        <v>40878</v>
      </c>
      <c r="D784">
        <v>3147925861.4400001</v>
      </c>
      <c r="E784">
        <v>5</v>
      </c>
    </row>
    <row r="785" spans="2:5" x14ac:dyDescent="0.25">
      <c r="B785" s="1" t="s">
        <v>12</v>
      </c>
      <c r="C785" s="1">
        <v>40878</v>
      </c>
      <c r="D785">
        <v>2364623596.77</v>
      </c>
      <c r="E785">
        <v>6</v>
      </c>
    </row>
    <row r="786" spans="2:5" x14ac:dyDescent="0.25">
      <c r="B786" s="1" t="s">
        <v>6</v>
      </c>
      <c r="C786" s="1">
        <v>40878</v>
      </c>
      <c r="D786">
        <v>1127153197.6199999</v>
      </c>
      <c r="E786">
        <v>7</v>
      </c>
    </row>
    <row r="787" spans="2:5" x14ac:dyDescent="0.25">
      <c r="B787" s="1" t="s">
        <v>69</v>
      </c>
      <c r="C787" s="1">
        <v>40878</v>
      </c>
      <c r="D787">
        <v>1125319396.6300001</v>
      </c>
      <c r="E787">
        <v>8</v>
      </c>
    </row>
    <row r="788" spans="2:5" x14ac:dyDescent="0.25">
      <c r="B788" s="1" t="s">
        <v>71</v>
      </c>
      <c r="C788" s="1">
        <v>40878</v>
      </c>
      <c r="D788">
        <v>726071421.08000004</v>
      </c>
      <c r="E788">
        <v>9</v>
      </c>
    </row>
    <row r="789" spans="2:5" x14ac:dyDescent="0.25">
      <c r="B789" s="1" t="s">
        <v>21</v>
      </c>
      <c r="C789" s="1">
        <v>40878</v>
      </c>
      <c r="D789">
        <v>669442416.33000004</v>
      </c>
      <c r="E789">
        <v>10</v>
      </c>
    </row>
    <row r="790" spans="2:5" x14ac:dyDescent="0.25">
      <c r="B790" s="1" t="s">
        <v>13</v>
      </c>
      <c r="C790" s="1">
        <v>40909</v>
      </c>
      <c r="D790">
        <v>15368979575.26</v>
      </c>
      <c r="E790">
        <v>1</v>
      </c>
    </row>
    <row r="791" spans="2:5" x14ac:dyDescent="0.25">
      <c r="B791" s="1" t="s">
        <v>4</v>
      </c>
      <c r="C791" s="1">
        <v>40909</v>
      </c>
      <c r="D791">
        <v>4888087268.7600002</v>
      </c>
      <c r="E791">
        <v>2</v>
      </c>
    </row>
    <row r="792" spans="2:5" x14ac:dyDescent="0.25">
      <c r="B792" s="1" t="s">
        <v>16</v>
      </c>
      <c r="C792" s="1">
        <v>40909</v>
      </c>
      <c r="D792">
        <v>4842312645.9700003</v>
      </c>
      <c r="E792">
        <v>3</v>
      </c>
    </row>
    <row r="793" spans="2:5" x14ac:dyDescent="0.25">
      <c r="B793" s="1" t="s">
        <v>12</v>
      </c>
      <c r="C793" s="1">
        <v>40909</v>
      </c>
      <c r="D793">
        <v>2078917820.78</v>
      </c>
      <c r="E793">
        <v>4</v>
      </c>
    </row>
    <row r="794" spans="2:5" x14ac:dyDescent="0.25">
      <c r="B794" s="1" t="s">
        <v>25</v>
      </c>
      <c r="C794" s="1">
        <v>40909</v>
      </c>
      <c r="D794">
        <v>1829508756.9100001</v>
      </c>
      <c r="E794">
        <v>5</v>
      </c>
    </row>
    <row r="795" spans="2:5" x14ac:dyDescent="0.25">
      <c r="B795" s="1" t="s">
        <v>5</v>
      </c>
      <c r="C795" s="1">
        <v>40909</v>
      </c>
      <c r="D795">
        <v>1686254886.4100001</v>
      </c>
      <c r="E795">
        <v>6</v>
      </c>
    </row>
    <row r="796" spans="2:5" x14ac:dyDescent="0.25">
      <c r="B796" s="1" t="s">
        <v>69</v>
      </c>
      <c r="C796" s="1">
        <v>40909</v>
      </c>
      <c r="D796">
        <v>1325451283.1400001</v>
      </c>
      <c r="E796">
        <v>7</v>
      </c>
    </row>
    <row r="797" spans="2:5" x14ac:dyDescent="0.25">
      <c r="B797" s="1" t="s">
        <v>6</v>
      </c>
      <c r="C797" s="1">
        <v>40909</v>
      </c>
      <c r="D797">
        <v>900533697.60000002</v>
      </c>
      <c r="E797">
        <v>8</v>
      </c>
    </row>
    <row r="798" spans="2:5" x14ac:dyDescent="0.25">
      <c r="B798" s="1" t="s">
        <v>57</v>
      </c>
      <c r="C798" s="1">
        <v>40909</v>
      </c>
      <c r="D798">
        <v>755828484.13</v>
      </c>
      <c r="E798">
        <v>9</v>
      </c>
    </row>
    <row r="799" spans="2:5" x14ac:dyDescent="0.25">
      <c r="B799" s="1" t="s">
        <v>60</v>
      </c>
      <c r="C799" s="1">
        <v>40909</v>
      </c>
      <c r="D799">
        <v>686393892.15999997</v>
      </c>
      <c r="E799">
        <v>10</v>
      </c>
    </row>
    <row r="800" spans="2:5" x14ac:dyDescent="0.25">
      <c r="B800" s="1" t="s">
        <v>13</v>
      </c>
      <c r="C800" s="1">
        <v>40940</v>
      </c>
      <c r="D800">
        <v>14632091015.389999</v>
      </c>
      <c r="E800">
        <v>1</v>
      </c>
    </row>
    <row r="801" spans="2:5" x14ac:dyDescent="0.25">
      <c r="B801" s="1" t="s">
        <v>16</v>
      </c>
      <c r="C801" s="1">
        <v>40940</v>
      </c>
      <c r="D801">
        <v>6039781731.0699997</v>
      </c>
      <c r="E801">
        <v>2</v>
      </c>
    </row>
    <row r="802" spans="2:5" x14ac:dyDescent="0.25">
      <c r="B802" s="1" t="s">
        <v>12</v>
      </c>
      <c r="C802" s="1">
        <v>40940</v>
      </c>
      <c r="D802">
        <v>2741562711.46</v>
      </c>
      <c r="E802">
        <v>3</v>
      </c>
    </row>
    <row r="803" spans="2:5" x14ac:dyDescent="0.25">
      <c r="B803" s="1" t="s">
        <v>4</v>
      </c>
      <c r="C803" s="1">
        <v>40940</v>
      </c>
      <c r="D803">
        <v>2226729317.7600002</v>
      </c>
      <c r="E803">
        <v>4</v>
      </c>
    </row>
    <row r="804" spans="2:5" x14ac:dyDescent="0.25">
      <c r="B804" s="1" t="s">
        <v>5</v>
      </c>
      <c r="C804" s="1">
        <v>40940</v>
      </c>
      <c r="D804">
        <v>1851657345.4200001</v>
      </c>
      <c r="E804">
        <v>5</v>
      </c>
    </row>
    <row r="805" spans="2:5" x14ac:dyDescent="0.25">
      <c r="B805" s="1" t="s">
        <v>69</v>
      </c>
      <c r="C805" s="1">
        <v>40940</v>
      </c>
      <c r="D805">
        <v>1764296230.9100001</v>
      </c>
      <c r="E805">
        <v>6</v>
      </c>
    </row>
    <row r="806" spans="2:5" x14ac:dyDescent="0.25">
      <c r="B806" s="1" t="s">
        <v>25</v>
      </c>
      <c r="C806" s="1">
        <v>40940</v>
      </c>
      <c r="D806">
        <v>1397963595.51</v>
      </c>
      <c r="E806">
        <v>7</v>
      </c>
    </row>
    <row r="807" spans="2:5" x14ac:dyDescent="0.25">
      <c r="B807" s="1" t="s">
        <v>57</v>
      </c>
      <c r="C807" s="1">
        <v>40940</v>
      </c>
      <c r="D807">
        <v>959494576.99000001</v>
      </c>
      <c r="E807">
        <v>8</v>
      </c>
    </row>
    <row r="808" spans="2:5" x14ac:dyDescent="0.25">
      <c r="B808" s="1" t="s">
        <v>24</v>
      </c>
      <c r="C808" s="1">
        <v>40940</v>
      </c>
      <c r="D808">
        <v>672231724.96000004</v>
      </c>
      <c r="E808">
        <v>9</v>
      </c>
    </row>
    <row r="809" spans="2:5" x14ac:dyDescent="0.25">
      <c r="B809" s="1" t="s">
        <v>72</v>
      </c>
      <c r="C809" s="1">
        <v>40940</v>
      </c>
      <c r="D809">
        <v>620503186.51999998</v>
      </c>
      <c r="E809">
        <v>10</v>
      </c>
    </row>
    <row r="810" spans="2:5" x14ac:dyDescent="0.25">
      <c r="B810" s="1" t="s">
        <v>13</v>
      </c>
      <c r="C810" s="1">
        <v>40969</v>
      </c>
      <c r="D810">
        <v>30737250033.549999</v>
      </c>
      <c r="E810">
        <v>1</v>
      </c>
    </row>
    <row r="811" spans="2:5" x14ac:dyDescent="0.25">
      <c r="B811" s="1" t="s">
        <v>16</v>
      </c>
      <c r="C811" s="1">
        <v>40969</v>
      </c>
      <c r="D811">
        <v>9495153084.0799999</v>
      </c>
      <c r="E811">
        <v>2</v>
      </c>
    </row>
    <row r="812" spans="2:5" x14ac:dyDescent="0.25">
      <c r="B812" s="1" t="s">
        <v>4</v>
      </c>
      <c r="C812" s="1">
        <v>40969</v>
      </c>
      <c r="D812">
        <v>3358009211.0900002</v>
      </c>
      <c r="E812">
        <v>3</v>
      </c>
    </row>
    <row r="813" spans="2:5" x14ac:dyDescent="0.25">
      <c r="B813" s="1" t="s">
        <v>12</v>
      </c>
      <c r="C813" s="1">
        <v>40969</v>
      </c>
      <c r="D813">
        <v>2975788477.54</v>
      </c>
      <c r="E813">
        <v>4</v>
      </c>
    </row>
    <row r="814" spans="2:5" x14ac:dyDescent="0.25">
      <c r="B814" s="1" t="s">
        <v>69</v>
      </c>
      <c r="C814" s="1">
        <v>40969</v>
      </c>
      <c r="D814">
        <v>2832823095.7399998</v>
      </c>
      <c r="E814">
        <v>5</v>
      </c>
    </row>
    <row r="815" spans="2:5" x14ac:dyDescent="0.25">
      <c r="B815" s="1" t="s">
        <v>5</v>
      </c>
      <c r="C815" s="1">
        <v>40969</v>
      </c>
      <c r="D815">
        <v>1924511400.8299999</v>
      </c>
      <c r="E815">
        <v>6</v>
      </c>
    </row>
    <row r="816" spans="2:5" x14ac:dyDescent="0.25">
      <c r="B816" s="1" t="s">
        <v>25</v>
      </c>
      <c r="C816" s="1">
        <v>40969</v>
      </c>
      <c r="D816">
        <v>1504075776.73</v>
      </c>
      <c r="E816">
        <v>7</v>
      </c>
    </row>
    <row r="817" spans="2:5" x14ac:dyDescent="0.25">
      <c r="B817" s="1" t="s">
        <v>57</v>
      </c>
      <c r="C817" s="1">
        <v>40969</v>
      </c>
      <c r="D817">
        <v>1482408591.4000001</v>
      </c>
      <c r="E817">
        <v>8</v>
      </c>
    </row>
    <row r="818" spans="2:5" x14ac:dyDescent="0.25">
      <c r="B818" s="1" t="s">
        <v>6</v>
      </c>
      <c r="C818" s="1">
        <v>40969</v>
      </c>
      <c r="D818">
        <v>1327709733.49</v>
      </c>
      <c r="E818">
        <v>9</v>
      </c>
    </row>
    <row r="819" spans="2:5" x14ac:dyDescent="0.25">
      <c r="B819" s="1" t="s">
        <v>73</v>
      </c>
      <c r="C819" s="1">
        <v>40969</v>
      </c>
      <c r="D819">
        <v>1191429316</v>
      </c>
      <c r="E819">
        <v>10</v>
      </c>
    </row>
    <row r="820" spans="2:5" x14ac:dyDescent="0.25">
      <c r="B820" s="1" t="s">
        <v>13</v>
      </c>
      <c r="C820" s="1">
        <v>41000</v>
      </c>
      <c r="D820">
        <v>10763728285.6</v>
      </c>
      <c r="E820">
        <v>1</v>
      </c>
    </row>
    <row r="821" spans="2:5" x14ac:dyDescent="0.25">
      <c r="B821" s="1" t="s">
        <v>16</v>
      </c>
      <c r="C821" s="1">
        <v>41000</v>
      </c>
      <c r="D821">
        <v>5066088765.9499998</v>
      </c>
      <c r="E821">
        <v>2</v>
      </c>
    </row>
    <row r="822" spans="2:5" x14ac:dyDescent="0.25">
      <c r="B822" s="1" t="s">
        <v>12</v>
      </c>
      <c r="C822" s="1">
        <v>41000</v>
      </c>
      <c r="D822">
        <v>2312712574.1100001</v>
      </c>
      <c r="E822">
        <v>3</v>
      </c>
    </row>
    <row r="823" spans="2:5" x14ac:dyDescent="0.25">
      <c r="B823" s="1" t="s">
        <v>5</v>
      </c>
      <c r="C823" s="1">
        <v>41000</v>
      </c>
      <c r="D823">
        <v>1502180272.8599999</v>
      </c>
      <c r="E823">
        <v>4</v>
      </c>
    </row>
    <row r="824" spans="2:5" x14ac:dyDescent="0.25">
      <c r="B824" s="1" t="s">
        <v>4</v>
      </c>
      <c r="C824" s="1">
        <v>41000</v>
      </c>
      <c r="D824">
        <v>1096235296.02</v>
      </c>
      <c r="E824">
        <v>5</v>
      </c>
    </row>
    <row r="825" spans="2:5" x14ac:dyDescent="0.25">
      <c r="B825" s="1" t="s">
        <v>25</v>
      </c>
      <c r="C825" s="1">
        <v>41000</v>
      </c>
      <c r="D825">
        <v>978164872.58000004</v>
      </c>
      <c r="E825">
        <v>6</v>
      </c>
    </row>
    <row r="826" spans="2:5" x14ac:dyDescent="0.25">
      <c r="B826" s="1" t="s">
        <v>69</v>
      </c>
      <c r="C826" s="1">
        <v>41000</v>
      </c>
      <c r="D826">
        <v>751845393.07000005</v>
      </c>
      <c r="E826">
        <v>7</v>
      </c>
    </row>
    <row r="827" spans="2:5" x14ac:dyDescent="0.25">
      <c r="B827" s="1" t="s">
        <v>57</v>
      </c>
      <c r="C827" s="1">
        <v>41000</v>
      </c>
      <c r="D827">
        <v>720179506.47000003</v>
      </c>
      <c r="E827">
        <v>8</v>
      </c>
    </row>
    <row r="828" spans="2:5" x14ac:dyDescent="0.25">
      <c r="B828" s="1" t="s">
        <v>24</v>
      </c>
      <c r="C828" s="1">
        <v>41000</v>
      </c>
      <c r="D828">
        <v>556381127.55999994</v>
      </c>
      <c r="E828">
        <v>9</v>
      </c>
    </row>
    <row r="829" spans="2:5" x14ac:dyDescent="0.25">
      <c r="B829" s="1" t="s">
        <v>72</v>
      </c>
      <c r="C829" s="1">
        <v>41000</v>
      </c>
      <c r="D829">
        <v>456661036.43000001</v>
      </c>
      <c r="E829">
        <v>10</v>
      </c>
    </row>
    <row r="830" spans="2:5" x14ac:dyDescent="0.25">
      <c r="B830" s="1" t="s">
        <v>13</v>
      </c>
      <c r="C830" s="1">
        <v>41030</v>
      </c>
      <c r="D830">
        <v>20542825807.290001</v>
      </c>
      <c r="E830">
        <v>1</v>
      </c>
    </row>
    <row r="831" spans="2:5" x14ac:dyDescent="0.25">
      <c r="B831" s="1" t="s">
        <v>16</v>
      </c>
      <c r="C831" s="1">
        <v>41030</v>
      </c>
      <c r="D831">
        <v>5710467218.3900003</v>
      </c>
      <c r="E831">
        <v>2</v>
      </c>
    </row>
    <row r="832" spans="2:5" x14ac:dyDescent="0.25">
      <c r="B832" s="1" t="s">
        <v>12</v>
      </c>
      <c r="C832" s="1">
        <v>41030</v>
      </c>
      <c r="D832">
        <v>2844809039.77</v>
      </c>
      <c r="E832">
        <v>3</v>
      </c>
    </row>
    <row r="833" spans="2:5" x14ac:dyDescent="0.25">
      <c r="B833" s="1" t="s">
        <v>69</v>
      </c>
      <c r="C833" s="1">
        <v>41030</v>
      </c>
      <c r="D833">
        <v>2695975128.2800002</v>
      </c>
      <c r="E833">
        <v>4</v>
      </c>
    </row>
    <row r="834" spans="2:5" x14ac:dyDescent="0.25">
      <c r="B834" s="1" t="s">
        <v>4</v>
      </c>
      <c r="C834" s="1">
        <v>41030</v>
      </c>
      <c r="D834">
        <v>2187065888.8899999</v>
      </c>
      <c r="E834">
        <v>5</v>
      </c>
    </row>
    <row r="835" spans="2:5" x14ac:dyDescent="0.25">
      <c r="B835" s="1" t="s">
        <v>6</v>
      </c>
      <c r="C835" s="1">
        <v>41030</v>
      </c>
      <c r="D835">
        <v>1384629177.7</v>
      </c>
      <c r="E835">
        <v>6</v>
      </c>
    </row>
    <row r="836" spans="2:5" x14ac:dyDescent="0.25">
      <c r="B836" s="1" t="s">
        <v>8</v>
      </c>
      <c r="C836" s="1">
        <v>41030</v>
      </c>
      <c r="D836">
        <v>1158437334</v>
      </c>
      <c r="E836">
        <v>7</v>
      </c>
    </row>
    <row r="837" spans="2:5" x14ac:dyDescent="0.25">
      <c r="B837" s="1" t="s">
        <v>5</v>
      </c>
      <c r="C837" s="1">
        <v>41030</v>
      </c>
      <c r="D837">
        <v>1144409990.77</v>
      </c>
      <c r="E837">
        <v>8</v>
      </c>
    </row>
    <row r="838" spans="2:5" x14ac:dyDescent="0.25">
      <c r="B838" s="1" t="s">
        <v>57</v>
      </c>
      <c r="C838" s="1">
        <v>41030</v>
      </c>
      <c r="D838">
        <v>1118076494.6500001</v>
      </c>
      <c r="E838">
        <v>9</v>
      </c>
    </row>
    <row r="839" spans="2:5" x14ac:dyDescent="0.25">
      <c r="B839" s="1" t="s">
        <v>74</v>
      </c>
      <c r="C839" s="1">
        <v>41030</v>
      </c>
      <c r="D839">
        <v>990429561.15999997</v>
      </c>
      <c r="E839">
        <v>10</v>
      </c>
    </row>
    <row r="840" spans="2:5" x14ac:dyDescent="0.25">
      <c r="B840" s="1" t="s">
        <v>13</v>
      </c>
      <c r="C840" s="1">
        <v>41061</v>
      </c>
      <c r="D840">
        <v>12662763974.040001</v>
      </c>
      <c r="E840">
        <v>1</v>
      </c>
    </row>
    <row r="841" spans="2:5" x14ac:dyDescent="0.25">
      <c r="B841" s="1" t="s">
        <v>16</v>
      </c>
      <c r="C841" s="1">
        <v>41061</v>
      </c>
      <c r="D841">
        <v>7062009262.0699997</v>
      </c>
      <c r="E841">
        <v>2</v>
      </c>
    </row>
    <row r="842" spans="2:5" x14ac:dyDescent="0.25">
      <c r="B842" s="1" t="s">
        <v>12</v>
      </c>
      <c r="C842" s="1">
        <v>41061</v>
      </c>
      <c r="D842">
        <v>2599950568.2399998</v>
      </c>
      <c r="E842">
        <v>3</v>
      </c>
    </row>
    <row r="843" spans="2:5" x14ac:dyDescent="0.25">
      <c r="B843" s="1" t="s">
        <v>4</v>
      </c>
      <c r="C843" s="1">
        <v>41061</v>
      </c>
      <c r="D843">
        <v>2411198355.8499999</v>
      </c>
      <c r="E843">
        <v>4</v>
      </c>
    </row>
    <row r="844" spans="2:5" x14ac:dyDescent="0.25">
      <c r="B844" s="1" t="s">
        <v>69</v>
      </c>
      <c r="C844" s="1">
        <v>41061</v>
      </c>
      <c r="D844">
        <v>2088349909.77</v>
      </c>
      <c r="E844">
        <v>5</v>
      </c>
    </row>
    <row r="845" spans="2:5" x14ac:dyDescent="0.25">
      <c r="B845" s="1" t="s">
        <v>6</v>
      </c>
      <c r="C845" s="1">
        <v>41061</v>
      </c>
      <c r="D845">
        <v>2025978231</v>
      </c>
      <c r="E845">
        <v>6</v>
      </c>
    </row>
    <row r="846" spans="2:5" x14ac:dyDescent="0.25">
      <c r="B846" s="1" t="s">
        <v>57</v>
      </c>
      <c r="C846" s="1">
        <v>41061</v>
      </c>
      <c r="D846">
        <v>1850167235.51</v>
      </c>
      <c r="E846">
        <v>7</v>
      </c>
    </row>
    <row r="847" spans="2:5" x14ac:dyDescent="0.25">
      <c r="B847" s="1" t="s">
        <v>25</v>
      </c>
      <c r="C847" s="1">
        <v>41061</v>
      </c>
      <c r="D847">
        <v>1717496541.8199999</v>
      </c>
      <c r="E847">
        <v>8</v>
      </c>
    </row>
    <row r="848" spans="2:5" x14ac:dyDescent="0.25">
      <c r="B848" s="1" t="s">
        <v>5</v>
      </c>
      <c r="C848" s="1">
        <v>41061</v>
      </c>
      <c r="D848">
        <v>1361383888.96</v>
      </c>
      <c r="E848">
        <v>9</v>
      </c>
    </row>
    <row r="849" spans="2:5" x14ac:dyDescent="0.25">
      <c r="B849" s="1" t="s">
        <v>8</v>
      </c>
      <c r="C849" s="1">
        <v>41061</v>
      </c>
      <c r="D849">
        <v>1081847850.47</v>
      </c>
      <c r="E849">
        <v>10</v>
      </c>
    </row>
    <row r="850" spans="2:5" x14ac:dyDescent="0.25">
      <c r="B850" s="1" t="s">
        <v>13</v>
      </c>
      <c r="C850" s="1">
        <v>41091</v>
      </c>
      <c r="D850">
        <v>18046078270.810001</v>
      </c>
      <c r="E850">
        <v>1</v>
      </c>
    </row>
    <row r="851" spans="2:5" x14ac:dyDescent="0.25">
      <c r="B851" s="1" t="s">
        <v>16</v>
      </c>
      <c r="C851" s="1">
        <v>41091</v>
      </c>
      <c r="D851">
        <v>5842620786.8999996</v>
      </c>
      <c r="E851">
        <v>2</v>
      </c>
    </row>
    <row r="852" spans="2:5" x14ac:dyDescent="0.25">
      <c r="B852" s="1" t="s">
        <v>69</v>
      </c>
      <c r="C852" s="1">
        <v>41091</v>
      </c>
      <c r="D852">
        <v>3652881360.4099998</v>
      </c>
      <c r="E852">
        <v>3</v>
      </c>
    </row>
    <row r="853" spans="2:5" x14ac:dyDescent="0.25">
      <c r="B853" s="1" t="s">
        <v>12</v>
      </c>
      <c r="C853" s="1">
        <v>41091</v>
      </c>
      <c r="D853">
        <v>3207267837.8099999</v>
      </c>
      <c r="E853">
        <v>4</v>
      </c>
    </row>
    <row r="854" spans="2:5" x14ac:dyDescent="0.25">
      <c r="B854" s="1" t="s">
        <v>4</v>
      </c>
      <c r="C854" s="1">
        <v>41091</v>
      </c>
      <c r="D854">
        <v>2024277231.29</v>
      </c>
      <c r="E854">
        <v>5</v>
      </c>
    </row>
    <row r="855" spans="2:5" x14ac:dyDescent="0.25">
      <c r="B855" s="1" t="s">
        <v>25</v>
      </c>
      <c r="C855" s="1">
        <v>41091</v>
      </c>
      <c r="D855">
        <v>1549662752.79</v>
      </c>
      <c r="E855">
        <v>6</v>
      </c>
    </row>
    <row r="856" spans="2:5" x14ac:dyDescent="0.25">
      <c r="B856" s="1" t="s">
        <v>5</v>
      </c>
      <c r="C856" s="1">
        <v>41091</v>
      </c>
      <c r="D856">
        <v>1398096825.71</v>
      </c>
      <c r="E856">
        <v>7</v>
      </c>
    </row>
    <row r="857" spans="2:5" x14ac:dyDescent="0.25">
      <c r="B857" s="1" t="s">
        <v>57</v>
      </c>
      <c r="C857" s="1">
        <v>41091</v>
      </c>
      <c r="D857">
        <v>1319650369.6600001</v>
      </c>
      <c r="E857">
        <v>8</v>
      </c>
    </row>
    <row r="858" spans="2:5" x14ac:dyDescent="0.25">
      <c r="B858" s="1" t="s">
        <v>6</v>
      </c>
      <c r="C858" s="1">
        <v>41091</v>
      </c>
      <c r="D858">
        <v>1273015336.48</v>
      </c>
      <c r="E858">
        <v>9</v>
      </c>
    </row>
    <row r="859" spans="2:5" x14ac:dyDescent="0.25">
      <c r="B859" s="1" t="s">
        <v>21</v>
      </c>
      <c r="C859" s="1">
        <v>41091</v>
      </c>
      <c r="D859">
        <v>944685677.69000006</v>
      </c>
      <c r="E859">
        <v>10</v>
      </c>
    </row>
    <row r="860" spans="2:5" x14ac:dyDescent="0.25">
      <c r="B860" s="1" t="s">
        <v>13</v>
      </c>
      <c r="C860" s="1">
        <v>41122</v>
      </c>
      <c r="D860">
        <v>15782096596.040001</v>
      </c>
      <c r="E860">
        <v>1</v>
      </c>
    </row>
    <row r="861" spans="2:5" x14ac:dyDescent="0.25">
      <c r="B861" s="1" t="s">
        <v>16</v>
      </c>
      <c r="C861" s="1">
        <v>41122</v>
      </c>
      <c r="D861">
        <v>8442355092.7799997</v>
      </c>
      <c r="E861">
        <v>2</v>
      </c>
    </row>
    <row r="862" spans="2:5" x14ac:dyDescent="0.25">
      <c r="B862" s="1" t="s">
        <v>69</v>
      </c>
      <c r="C862" s="1">
        <v>41122</v>
      </c>
      <c r="D862">
        <v>4795732432.7799997</v>
      </c>
      <c r="E862">
        <v>3</v>
      </c>
    </row>
    <row r="863" spans="2:5" x14ac:dyDescent="0.25">
      <c r="B863" s="1" t="s">
        <v>12</v>
      </c>
      <c r="C863" s="1">
        <v>41122</v>
      </c>
      <c r="D863">
        <v>3590695127.9499998</v>
      </c>
      <c r="E863">
        <v>4</v>
      </c>
    </row>
    <row r="864" spans="2:5" x14ac:dyDescent="0.25">
      <c r="B864" s="1" t="s">
        <v>4</v>
      </c>
      <c r="C864" s="1">
        <v>41122</v>
      </c>
      <c r="D864">
        <v>2296779153.21</v>
      </c>
      <c r="E864">
        <v>5</v>
      </c>
    </row>
    <row r="865" spans="2:5" x14ac:dyDescent="0.25">
      <c r="B865" s="1" t="s">
        <v>6</v>
      </c>
      <c r="C865" s="1">
        <v>41122</v>
      </c>
      <c r="D865">
        <v>2048484161.77</v>
      </c>
      <c r="E865">
        <v>6</v>
      </c>
    </row>
    <row r="866" spans="2:5" x14ac:dyDescent="0.25">
      <c r="B866" s="1" t="s">
        <v>25</v>
      </c>
      <c r="C866" s="1">
        <v>41122</v>
      </c>
      <c r="D866">
        <v>1685314349.4100001</v>
      </c>
      <c r="E866">
        <v>7</v>
      </c>
    </row>
    <row r="867" spans="2:5" x14ac:dyDescent="0.25">
      <c r="B867" s="1" t="s">
        <v>57</v>
      </c>
      <c r="C867" s="1">
        <v>41122</v>
      </c>
      <c r="D867">
        <v>1448609964.23</v>
      </c>
      <c r="E867">
        <v>8</v>
      </c>
    </row>
    <row r="868" spans="2:5" x14ac:dyDescent="0.25">
      <c r="B868" s="1" t="s">
        <v>5</v>
      </c>
      <c r="C868" s="1">
        <v>41122</v>
      </c>
      <c r="D868">
        <v>1337029246.04</v>
      </c>
      <c r="E868">
        <v>9</v>
      </c>
    </row>
    <row r="869" spans="2:5" x14ac:dyDescent="0.25">
      <c r="B869" s="1" t="s">
        <v>75</v>
      </c>
      <c r="C869" s="1">
        <v>41122</v>
      </c>
      <c r="D869">
        <v>1094677493.75</v>
      </c>
      <c r="E869">
        <v>10</v>
      </c>
    </row>
    <row r="870" spans="2:5" x14ac:dyDescent="0.25">
      <c r="B870" s="1" t="s">
        <v>13</v>
      </c>
      <c r="C870" s="1">
        <v>41153</v>
      </c>
      <c r="D870">
        <v>16358817450.4</v>
      </c>
      <c r="E870">
        <v>1</v>
      </c>
    </row>
    <row r="871" spans="2:5" x14ac:dyDescent="0.25">
      <c r="B871" s="1" t="s">
        <v>16</v>
      </c>
      <c r="C871" s="1">
        <v>41153</v>
      </c>
      <c r="D871">
        <v>9641813829.6700001</v>
      </c>
      <c r="E871">
        <v>2</v>
      </c>
    </row>
    <row r="872" spans="2:5" x14ac:dyDescent="0.25">
      <c r="B872" s="1" t="s">
        <v>69</v>
      </c>
      <c r="C872" s="1">
        <v>41153</v>
      </c>
      <c r="D872">
        <v>4937311483.1499996</v>
      </c>
      <c r="E872">
        <v>3</v>
      </c>
    </row>
    <row r="873" spans="2:5" x14ac:dyDescent="0.25">
      <c r="B873" s="1" t="s">
        <v>4</v>
      </c>
      <c r="C873" s="1">
        <v>41153</v>
      </c>
      <c r="D873">
        <v>3528216594.1500001</v>
      </c>
      <c r="E873">
        <v>4</v>
      </c>
    </row>
    <row r="874" spans="2:5" x14ac:dyDescent="0.25">
      <c r="B874" s="1" t="s">
        <v>12</v>
      </c>
      <c r="C874" s="1">
        <v>41153</v>
      </c>
      <c r="D874">
        <v>3367762976.5300002</v>
      </c>
      <c r="E874">
        <v>5</v>
      </c>
    </row>
    <row r="875" spans="2:5" x14ac:dyDescent="0.25">
      <c r="B875" s="1" t="s">
        <v>25</v>
      </c>
      <c r="C875" s="1">
        <v>41153</v>
      </c>
      <c r="D875">
        <v>2141757846.5799999</v>
      </c>
      <c r="E875">
        <v>6</v>
      </c>
    </row>
    <row r="876" spans="2:5" x14ac:dyDescent="0.25">
      <c r="B876" s="1" t="s">
        <v>57</v>
      </c>
      <c r="C876" s="1">
        <v>41153</v>
      </c>
      <c r="D876">
        <v>1694741437.22</v>
      </c>
      <c r="E876">
        <v>7</v>
      </c>
    </row>
    <row r="877" spans="2:5" x14ac:dyDescent="0.25">
      <c r="B877" s="1" t="s">
        <v>5</v>
      </c>
      <c r="C877" s="1">
        <v>41153</v>
      </c>
      <c r="D877">
        <v>1656770244.25</v>
      </c>
      <c r="E877">
        <v>8</v>
      </c>
    </row>
    <row r="878" spans="2:5" x14ac:dyDescent="0.25">
      <c r="B878" s="1" t="s">
        <v>6</v>
      </c>
      <c r="C878" s="1">
        <v>41153</v>
      </c>
      <c r="D878">
        <v>1194725137.48</v>
      </c>
      <c r="E878">
        <v>9</v>
      </c>
    </row>
    <row r="879" spans="2:5" x14ac:dyDescent="0.25">
      <c r="B879" s="1" t="s">
        <v>75</v>
      </c>
      <c r="C879" s="1">
        <v>41153</v>
      </c>
      <c r="D879">
        <v>1095470707.79</v>
      </c>
      <c r="E879">
        <v>10</v>
      </c>
    </row>
    <row r="880" spans="2:5" x14ac:dyDescent="0.25">
      <c r="B880" s="1" t="s">
        <v>13</v>
      </c>
      <c r="C880" s="1">
        <v>41183</v>
      </c>
      <c r="D880">
        <v>13583725455.1</v>
      </c>
      <c r="E880">
        <v>1</v>
      </c>
    </row>
    <row r="881" spans="2:5" x14ac:dyDescent="0.25">
      <c r="B881" s="1" t="s">
        <v>16</v>
      </c>
      <c r="C881" s="1">
        <v>41183</v>
      </c>
      <c r="D881">
        <v>4517401460.5299997</v>
      </c>
      <c r="E881">
        <v>2</v>
      </c>
    </row>
    <row r="882" spans="2:5" x14ac:dyDescent="0.25">
      <c r="B882" s="1" t="s">
        <v>69</v>
      </c>
      <c r="C882" s="1">
        <v>41183</v>
      </c>
      <c r="D882">
        <v>4269923296.52</v>
      </c>
      <c r="E882">
        <v>3</v>
      </c>
    </row>
    <row r="883" spans="2:5" x14ac:dyDescent="0.25">
      <c r="B883" s="1" t="s">
        <v>12</v>
      </c>
      <c r="C883" s="1">
        <v>41183</v>
      </c>
      <c r="D883">
        <v>3102558509.5100002</v>
      </c>
      <c r="E883">
        <v>4</v>
      </c>
    </row>
    <row r="884" spans="2:5" x14ac:dyDescent="0.25">
      <c r="B884" s="1" t="s">
        <v>57</v>
      </c>
      <c r="C884" s="1">
        <v>41183</v>
      </c>
      <c r="D884">
        <v>1993354373.29</v>
      </c>
      <c r="E884">
        <v>5</v>
      </c>
    </row>
    <row r="885" spans="2:5" x14ac:dyDescent="0.25">
      <c r="B885" s="1" t="s">
        <v>6</v>
      </c>
      <c r="C885" s="1">
        <v>41183</v>
      </c>
      <c r="D885">
        <v>1975668254.21</v>
      </c>
      <c r="E885">
        <v>6</v>
      </c>
    </row>
    <row r="886" spans="2:5" x14ac:dyDescent="0.25">
      <c r="B886" s="1" t="s">
        <v>75</v>
      </c>
      <c r="C886" s="1">
        <v>41183</v>
      </c>
      <c r="D886">
        <v>1757170071.4400001</v>
      </c>
      <c r="E886">
        <v>7</v>
      </c>
    </row>
    <row r="887" spans="2:5" x14ac:dyDescent="0.25">
      <c r="B887" s="1" t="s">
        <v>25</v>
      </c>
      <c r="C887" s="1">
        <v>41183</v>
      </c>
      <c r="D887">
        <v>1671217469.95</v>
      </c>
      <c r="E887">
        <v>8</v>
      </c>
    </row>
    <row r="888" spans="2:5" x14ac:dyDescent="0.25">
      <c r="B888" s="1" t="s">
        <v>5</v>
      </c>
      <c r="C888" s="1">
        <v>41183</v>
      </c>
      <c r="D888">
        <v>1075838630.21</v>
      </c>
      <c r="E888">
        <v>9</v>
      </c>
    </row>
    <row r="889" spans="2:5" x14ac:dyDescent="0.25">
      <c r="B889" s="1" t="s">
        <v>4</v>
      </c>
      <c r="C889" s="1">
        <v>41183</v>
      </c>
      <c r="D889">
        <v>1029221418.6799999</v>
      </c>
      <c r="E889">
        <v>10</v>
      </c>
    </row>
    <row r="890" spans="2:5" x14ac:dyDescent="0.25">
      <c r="B890" s="1" t="s">
        <v>13</v>
      </c>
      <c r="C890" s="1">
        <v>41214</v>
      </c>
      <c r="D890">
        <v>18702888793.82</v>
      </c>
      <c r="E890">
        <v>1</v>
      </c>
    </row>
    <row r="891" spans="2:5" x14ac:dyDescent="0.25">
      <c r="B891" s="1" t="s">
        <v>16</v>
      </c>
      <c r="C891" s="1">
        <v>41214</v>
      </c>
      <c r="D891">
        <v>7664238085.7700005</v>
      </c>
      <c r="E891">
        <v>2</v>
      </c>
    </row>
    <row r="892" spans="2:5" x14ac:dyDescent="0.25">
      <c r="B892" s="1" t="s">
        <v>69</v>
      </c>
      <c r="C892" s="1">
        <v>41214</v>
      </c>
      <c r="D892">
        <v>5319861378.3900003</v>
      </c>
      <c r="E892">
        <v>3</v>
      </c>
    </row>
    <row r="893" spans="2:5" x14ac:dyDescent="0.25">
      <c r="B893" s="1" t="s">
        <v>12</v>
      </c>
      <c r="C893" s="1">
        <v>41214</v>
      </c>
      <c r="D893">
        <v>3882765467.3400002</v>
      </c>
      <c r="E893">
        <v>4</v>
      </c>
    </row>
    <row r="894" spans="2:5" x14ac:dyDescent="0.25">
      <c r="B894" s="1" t="s">
        <v>4</v>
      </c>
      <c r="C894" s="1">
        <v>41214</v>
      </c>
      <c r="D894">
        <v>3051120308</v>
      </c>
      <c r="E894">
        <v>5</v>
      </c>
    </row>
    <row r="895" spans="2:5" x14ac:dyDescent="0.25">
      <c r="B895" s="1" t="s">
        <v>75</v>
      </c>
      <c r="C895" s="1">
        <v>41214</v>
      </c>
      <c r="D895">
        <v>2524129754.2800002</v>
      </c>
      <c r="E895">
        <v>6</v>
      </c>
    </row>
    <row r="896" spans="2:5" x14ac:dyDescent="0.25">
      <c r="B896" s="1" t="s">
        <v>6</v>
      </c>
      <c r="C896" s="1">
        <v>41214</v>
      </c>
      <c r="D896">
        <v>2418355741.52</v>
      </c>
      <c r="E896">
        <v>7</v>
      </c>
    </row>
    <row r="897" spans="2:5" x14ac:dyDescent="0.25">
      <c r="B897" s="1" t="s">
        <v>25</v>
      </c>
      <c r="C897" s="1">
        <v>41214</v>
      </c>
      <c r="D897">
        <v>1998429887.1300001</v>
      </c>
      <c r="E897">
        <v>8</v>
      </c>
    </row>
    <row r="898" spans="2:5" x14ac:dyDescent="0.25">
      <c r="B898" s="1" t="s">
        <v>76</v>
      </c>
      <c r="C898" s="1">
        <v>41214</v>
      </c>
      <c r="D898">
        <v>1588213809</v>
      </c>
      <c r="E898">
        <v>9</v>
      </c>
    </row>
    <row r="899" spans="2:5" x14ac:dyDescent="0.25">
      <c r="B899" s="1" t="s">
        <v>57</v>
      </c>
      <c r="C899" s="1">
        <v>41214</v>
      </c>
      <c r="D899">
        <v>1550319650.9000001</v>
      </c>
      <c r="E899">
        <v>10</v>
      </c>
    </row>
    <row r="900" spans="2:5" x14ac:dyDescent="0.25">
      <c r="B900" s="1" t="s">
        <v>13</v>
      </c>
      <c r="C900" s="1">
        <v>41244</v>
      </c>
      <c r="D900">
        <v>5990993955.3400002</v>
      </c>
      <c r="E900">
        <v>1</v>
      </c>
    </row>
    <row r="901" spans="2:5" x14ac:dyDescent="0.25">
      <c r="B901" s="1" t="s">
        <v>16</v>
      </c>
      <c r="C901" s="1">
        <v>41244</v>
      </c>
      <c r="D901">
        <v>5462589667.8999996</v>
      </c>
      <c r="E901">
        <v>2</v>
      </c>
    </row>
    <row r="902" spans="2:5" x14ac:dyDescent="0.25">
      <c r="B902" s="1" t="s">
        <v>69</v>
      </c>
      <c r="C902" s="1">
        <v>41244</v>
      </c>
      <c r="D902">
        <v>4866573877.1400003</v>
      </c>
      <c r="E902">
        <v>3</v>
      </c>
    </row>
    <row r="903" spans="2:5" x14ac:dyDescent="0.25">
      <c r="B903" s="1" t="s">
        <v>12</v>
      </c>
      <c r="C903" s="1">
        <v>41244</v>
      </c>
      <c r="D903">
        <v>3912376920.6900001</v>
      </c>
      <c r="E903">
        <v>4</v>
      </c>
    </row>
    <row r="904" spans="2:5" x14ac:dyDescent="0.25">
      <c r="B904" s="1" t="s">
        <v>25</v>
      </c>
      <c r="C904" s="1">
        <v>41244</v>
      </c>
      <c r="D904">
        <v>2424491906.04</v>
      </c>
      <c r="E904">
        <v>5</v>
      </c>
    </row>
    <row r="905" spans="2:5" x14ac:dyDescent="0.25">
      <c r="B905" s="1" t="s">
        <v>75</v>
      </c>
      <c r="C905" s="1">
        <v>41244</v>
      </c>
      <c r="D905">
        <v>1613083367.98</v>
      </c>
      <c r="E905">
        <v>6</v>
      </c>
    </row>
    <row r="906" spans="2:5" x14ac:dyDescent="0.25">
      <c r="B906" s="1" t="s">
        <v>6</v>
      </c>
      <c r="C906" s="1">
        <v>41244</v>
      </c>
      <c r="D906">
        <v>1304094351.97</v>
      </c>
      <c r="E906">
        <v>7</v>
      </c>
    </row>
    <row r="907" spans="2:5" x14ac:dyDescent="0.25">
      <c r="B907" s="1" t="s">
        <v>8</v>
      </c>
      <c r="C907" s="1">
        <v>41244</v>
      </c>
      <c r="D907">
        <v>1178548513.0699999</v>
      </c>
      <c r="E907">
        <v>8</v>
      </c>
    </row>
    <row r="908" spans="2:5" x14ac:dyDescent="0.25">
      <c r="B908" s="1" t="s">
        <v>4</v>
      </c>
      <c r="C908" s="1">
        <v>41244</v>
      </c>
      <c r="D908">
        <v>1082046177.3</v>
      </c>
      <c r="E908">
        <v>9</v>
      </c>
    </row>
    <row r="909" spans="2:5" x14ac:dyDescent="0.25">
      <c r="B909" s="1" t="s">
        <v>57</v>
      </c>
      <c r="C909" s="1">
        <v>41244</v>
      </c>
      <c r="D909">
        <v>984432815.47000003</v>
      </c>
      <c r="E909">
        <v>10</v>
      </c>
    </row>
    <row r="910" spans="2:5" x14ac:dyDescent="0.25">
      <c r="B910" s="1" t="s">
        <v>13</v>
      </c>
      <c r="C910" s="1">
        <v>41275</v>
      </c>
      <c r="D910">
        <v>12960800578.620001</v>
      </c>
      <c r="E910">
        <v>1</v>
      </c>
    </row>
    <row r="911" spans="2:5" x14ac:dyDescent="0.25">
      <c r="B911" s="1" t="s">
        <v>16</v>
      </c>
      <c r="C911" s="1">
        <v>41275</v>
      </c>
      <c r="D911">
        <v>7322099685.6199999</v>
      </c>
      <c r="E911">
        <v>2</v>
      </c>
    </row>
    <row r="912" spans="2:5" x14ac:dyDescent="0.25">
      <c r="B912" s="1" t="s">
        <v>69</v>
      </c>
      <c r="C912" s="1">
        <v>41275</v>
      </c>
      <c r="D912">
        <v>5979329449.8800001</v>
      </c>
      <c r="E912">
        <v>3</v>
      </c>
    </row>
    <row r="913" spans="2:5" x14ac:dyDescent="0.25">
      <c r="B913" s="1" t="s">
        <v>12</v>
      </c>
      <c r="C913" s="1">
        <v>41275</v>
      </c>
      <c r="D913">
        <v>3555445910.4099998</v>
      </c>
      <c r="E913">
        <v>4</v>
      </c>
    </row>
    <row r="914" spans="2:5" x14ac:dyDescent="0.25">
      <c r="B914" s="1" t="s">
        <v>25</v>
      </c>
      <c r="C914" s="1">
        <v>41275</v>
      </c>
      <c r="D914">
        <v>2355507267.6900001</v>
      </c>
      <c r="E914">
        <v>5</v>
      </c>
    </row>
    <row r="915" spans="2:5" x14ac:dyDescent="0.25">
      <c r="B915" s="1" t="s">
        <v>75</v>
      </c>
      <c r="C915" s="1">
        <v>41275</v>
      </c>
      <c r="D915">
        <v>2198109024.29</v>
      </c>
      <c r="E915">
        <v>6</v>
      </c>
    </row>
    <row r="916" spans="2:5" x14ac:dyDescent="0.25">
      <c r="B916" s="1" t="s">
        <v>6</v>
      </c>
      <c r="C916" s="1">
        <v>41275</v>
      </c>
      <c r="D916">
        <v>1907610161.7</v>
      </c>
      <c r="E916">
        <v>7</v>
      </c>
    </row>
    <row r="917" spans="2:5" x14ac:dyDescent="0.25">
      <c r="B917" s="1" t="s">
        <v>4</v>
      </c>
      <c r="C917" s="1">
        <v>41275</v>
      </c>
      <c r="D917">
        <v>1752051096.6099999</v>
      </c>
      <c r="E917">
        <v>8</v>
      </c>
    </row>
    <row r="918" spans="2:5" x14ac:dyDescent="0.25">
      <c r="B918" s="1" t="s">
        <v>5</v>
      </c>
      <c r="C918" s="1">
        <v>41275</v>
      </c>
      <c r="D918">
        <v>1602774666.5599999</v>
      </c>
      <c r="E918">
        <v>9</v>
      </c>
    </row>
    <row r="919" spans="2:5" x14ac:dyDescent="0.25">
      <c r="B919" s="1" t="s">
        <v>57</v>
      </c>
      <c r="C919" s="1">
        <v>41275</v>
      </c>
      <c r="D919">
        <v>1422874040.1400001</v>
      </c>
      <c r="E919">
        <v>10</v>
      </c>
    </row>
    <row r="920" spans="2:5" x14ac:dyDescent="0.25">
      <c r="B920" s="1" t="s">
        <v>13</v>
      </c>
      <c r="C920" s="1">
        <v>41306</v>
      </c>
      <c r="D920">
        <v>12090154945.85</v>
      </c>
      <c r="E920">
        <v>1</v>
      </c>
    </row>
    <row r="921" spans="2:5" x14ac:dyDescent="0.25">
      <c r="B921" s="1" t="s">
        <v>16</v>
      </c>
      <c r="C921" s="1">
        <v>41306</v>
      </c>
      <c r="D921">
        <v>7231687296.3800001</v>
      </c>
      <c r="E921">
        <v>2</v>
      </c>
    </row>
    <row r="922" spans="2:5" x14ac:dyDescent="0.25">
      <c r="B922" s="1" t="s">
        <v>69</v>
      </c>
      <c r="C922" s="1">
        <v>41306</v>
      </c>
      <c r="D922">
        <v>5069266638.7200003</v>
      </c>
      <c r="E922">
        <v>3</v>
      </c>
    </row>
    <row r="923" spans="2:5" x14ac:dyDescent="0.25">
      <c r="B923" s="1" t="s">
        <v>4</v>
      </c>
      <c r="C923" s="1">
        <v>41306</v>
      </c>
      <c r="D923">
        <v>4833507966.8299999</v>
      </c>
      <c r="E923">
        <v>4</v>
      </c>
    </row>
    <row r="924" spans="2:5" x14ac:dyDescent="0.25">
      <c r="B924" s="1" t="s">
        <v>12</v>
      </c>
      <c r="C924" s="1">
        <v>41306</v>
      </c>
      <c r="D924">
        <v>3070547359.5500002</v>
      </c>
      <c r="E924">
        <v>5</v>
      </c>
    </row>
    <row r="925" spans="2:5" x14ac:dyDescent="0.25">
      <c r="B925" s="1" t="s">
        <v>6</v>
      </c>
      <c r="C925" s="1">
        <v>41306</v>
      </c>
      <c r="D925">
        <v>2029149646.1500001</v>
      </c>
      <c r="E925">
        <v>6</v>
      </c>
    </row>
    <row r="926" spans="2:5" x14ac:dyDescent="0.25">
      <c r="B926" s="1" t="s">
        <v>25</v>
      </c>
      <c r="C926" s="1">
        <v>41306</v>
      </c>
      <c r="D926">
        <v>1932080772.45</v>
      </c>
      <c r="E926">
        <v>7</v>
      </c>
    </row>
    <row r="927" spans="2:5" x14ac:dyDescent="0.25">
      <c r="B927" s="1" t="s">
        <v>57</v>
      </c>
      <c r="C927" s="1">
        <v>41306</v>
      </c>
      <c r="D927">
        <v>1812863135.98</v>
      </c>
      <c r="E927">
        <v>8</v>
      </c>
    </row>
    <row r="928" spans="2:5" x14ac:dyDescent="0.25">
      <c r="B928" s="1" t="s">
        <v>5</v>
      </c>
      <c r="C928" s="1">
        <v>41306</v>
      </c>
      <c r="D928">
        <v>1306980096.78</v>
      </c>
      <c r="E928">
        <v>9</v>
      </c>
    </row>
    <row r="929" spans="2:5" x14ac:dyDescent="0.25">
      <c r="B929" s="1" t="s">
        <v>8</v>
      </c>
      <c r="C929" s="1">
        <v>41306</v>
      </c>
      <c r="D929">
        <v>1245620504</v>
      </c>
      <c r="E929">
        <v>10</v>
      </c>
    </row>
    <row r="930" spans="2:5" x14ac:dyDescent="0.25">
      <c r="B930" s="1" t="s">
        <v>13</v>
      </c>
      <c r="C930" s="1">
        <v>41334</v>
      </c>
      <c r="D930">
        <v>10298222135.870001</v>
      </c>
      <c r="E930">
        <v>1</v>
      </c>
    </row>
    <row r="931" spans="2:5" x14ac:dyDescent="0.25">
      <c r="B931" s="1" t="s">
        <v>16</v>
      </c>
      <c r="C931" s="1">
        <v>41334</v>
      </c>
      <c r="D931">
        <v>6926091191.3800001</v>
      </c>
      <c r="E931">
        <v>2</v>
      </c>
    </row>
    <row r="932" spans="2:5" x14ac:dyDescent="0.25">
      <c r="B932" s="1" t="s">
        <v>69</v>
      </c>
      <c r="C932" s="1">
        <v>41334</v>
      </c>
      <c r="D932">
        <v>4567963477.21</v>
      </c>
      <c r="E932">
        <v>3</v>
      </c>
    </row>
    <row r="933" spans="2:5" x14ac:dyDescent="0.25">
      <c r="B933" s="1" t="s">
        <v>4</v>
      </c>
      <c r="C933" s="1">
        <v>41334</v>
      </c>
      <c r="D933">
        <v>2511285341.6500001</v>
      </c>
      <c r="E933">
        <v>4</v>
      </c>
    </row>
    <row r="934" spans="2:5" x14ac:dyDescent="0.25">
      <c r="B934" s="1" t="s">
        <v>6</v>
      </c>
      <c r="C934" s="1">
        <v>41334</v>
      </c>
      <c r="D934">
        <v>2307636902.73</v>
      </c>
      <c r="E934">
        <v>5</v>
      </c>
    </row>
    <row r="935" spans="2:5" x14ac:dyDescent="0.25">
      <c r="B935" s="1" t="s">
        <v>12</v>
      </c>
      <c r="C935" s="1">
        <v>41334</v>
      </c>
      <c r="D935">
        <v>1901922494.5</v>
      </c>
      <c r="E935">
        <v>6</v>
      </c>
    </row>
    <row r="936" spans="2:5" x14ac:dyDescent="0.25">
      <c r="B936" s="1" t="s">
        <v>57</v>
      </c>
      <c r="C936" s="1">
        <v>41334</v>
      </c>
      <c r="D936">
        <v>1855493018.1600001</v>
      </c>
      <c r="E936">
        <v>7</v>
      </c>
    </row>
    <row r="937" spans="2:5" x14ac:dyDescent="0.25">
      <c r="B937" s="1" t="s">
        <v>5</v>
      </c>
      <c r="C937" s="1">
        <v>41334</v>
      </c>
      <c r="D937">
        <v>799515520.72000003</v>
      </c>
      <c r="E937">
        <v>8</v>
      </c>
    </row>
    <row r="938" spans="2:5" x14ac:dyDescent="0.25">
      <c r="B938" s="1" t="s">
        <v>25</v>
      </c>
      <c r="C938" s="1">
        <v>41334</v>
      </c>
      <c r="D938">
        <v>716978597.38</v>
      </c>
      <c r="E938">
        <v>9</v>
      </c>
    </row>
    <row r="939" spans="2:5" x14ac:dyDescent="0.25">
      <c r="B939" s="1" t="s">
        <v>76</v>
      </c>
      <c r="C939" s="1">
        <v>41334</v>
      </c>
      <c r="D939">
        <v>703423047</v>
      </c>
      <c r="E939">
        <v>10</v>
      </c>
    </row>
    <row r="940" spans="2:5" x14ac:dyDescent="0.25">
      <c r="B940" s="1" t="s">
        <v>13</v>
      </c>
      <c r="C940" s="1">
        <v>41365</v>
      </c>
      <c r="D940">
        <v>10983062364.98</v>
      </c>
      <c r="E940">
        <v>1</v>
      </c>
    </row>
    <row r="941" spans="2:5" x14ac:dyDescent="0.25">
      <c r="B941" s="1" t="s">
        <v>16</v>
      </c>
      <c r="C941" s="1">
        <v>41365</v>
      </c>
      <c r="D941">
        <v>6538495087.7299995</v>
      </c>
      <c r="E941">
        <v>2</v>
      </c>
    </row>
    <row r="942" spans="2:5" x14ac:dyDescent="0.25">
      <c r="B942" s="1" t="s">
        <v>4</v>
      </c>
      <c r="C942" s="1">
        <v>41365</v>
      </c>
      <c r="D942">
        <v>4621470486.8500004</v>
      </c>
      <c r="E942">
        <v>3</v>
      </c>
    </row>
    <row r="943" spans="2:5" x14ac:dyDescent="0.25">
      <c r="B943" s="1" t="s">
        <v>69</v>
      </c>
      <c r="C943" s="1">
        <v>41365</v>
      </c>
      <c r="D943">
        <v>4125896876.8099999</v>
      </c>
      <c r="E943">
        <v>4</v>
      </c>
    </row>
    <row r="944" spans="2:5" x14ac:dyDescent="0.25">
      <c r="B944" s="1" t="s">
        <v>6</v>
      </c>
      <c r="C944" s="1">
        <v>41365</v>
      </c>
      <c r="D944">
        <v>3520970482.02</v>
      </c>
      <c r="E944">
        <v>5</v>
      </c>
    </row>
    <row r="945" spans="2:5" x14ac:dyDescent="0.25">
      <c r="B945" s="1" t="s">
        <v>12</v>
      </c>
      <c r="C945" s="1">
        <v>41365</v>
      </c>
      <c r="D945">
        <v>2866774138.8499999</v>
      </c>
      <c r="E945">
        <v>6</v>
      </c>
    </row>
    <row r="946" spans="2:5" x14ac:dyDescent="0.25">
      <c r="B946" s="1" t="s">
        <v>8</v>
      </c>
      <c r="C946" s="1">
        <v>41365</v>
      </c>
      <c r="D946">
        <v>1599161362.23</v>
      </c>
      <c r="E946">
        <v>7</v>
      </c>
    </row>
    <row r="947" spans="2:5" x14ac:dyDescent="0.25">
      <c r="B947" s="1" t="s">
        <v>5</v>
      </c>
      <c r="C947" s="1">
        <v>41365</v>
      </c>
      <c r="D947">
        <v>1051421255.6900001</v>
      </c>
      <c r="E947">
        <v>8</v>
      </c>
    </row>
    <row r="948" spans="2:5" x14ac:dyDescent="0.25">
      <c r="B948" s="1" t="s">
        <v>77</v>
      </c>
      <c r="C948" s="1">
        <v>41365</v>
      </c>
      <c r="D948">
        <v>1037437524.3099999</v>
      </c>
      <c r="E948">
        <v>9</v>
      </c>
    </row>
    <row r="949" spans="2:5" x14ac:dyDescent="0.25">
      <c r="B949" s="1" t="s">
        <v>76</v>
      </c>
      <c r="C949" s="1">
        <v>41365</v>
      </c>
      <c r="D949">
        <v>1031822824</v>
      </c>
      <c r="E949">
        <v>10</v>
      </c>
    </row>
    <row r="950" spans="2:5" x14ac:dyDescent="0.25">
      <c r="B950" s="1" t="s">
        <v>13</v>
      </c>
      <c r="C950" s="1">
        <v>41395</v>
      </c>
      <c r="D950">
        <v>16565187107.59</v>
      </c>
      <c r="E950">
        <v>1</v>
      </c>
    </row>
    <row r="951" spans="2:5" x14ac:dyDescent="0.25">
      <c r="B951" s="1" t="s">
        <v>16</v>
      </c>
      <c r="C951" s="1">
        <v>41395</v>
      </c>
      <c r="D951">
        <v>5637410167.5500002</v>
      </c>
      <c r="E951">
        <v>2</v>
      </c>
    </row>
    <row r="952" spans="2:5" x14ac:dyDescent="0.25">
      <c r="B952" s="1" t="s">
        <v>4</v>
      </c>
      <c r="C952" s="1">
        <v>41395</v>
      </c>
      <c r="D952">
        <v>3985547277.6199999</v>
      </c>
      <c r="E952">
        <v>3</v>
      </c>
    </row>
    <row r="953" spans="2:5" x14ac:dyDescent="0.25">
      <c r="B953" s="1" t="s">
        <v>69</v>
      </c>
      <c r="C953" s="1">
        <v>41395</v>
      </c>
      <c r="D953">
        <v>3459242035.96</v>
      </c>
      <c r="E953">
        <v>4</v>
      </c>
    </row>
    <row r="954" spans="2:5" x14ac:dyDescent="0.25">
      <c r="B954" s="1" t="s">
        <v>6</v>
      </c>
      <c r="C954" s="1">
        <v>41395</v>
      </c>
      <c r="D954">
        <v>2175818362.3200002</v>
      </c>
      <c r="E954">
        <v>5</v>
      </c>
    </row>
    <row r="955" spans="2:5" x14ac:dyDescent="0.25">
      <c r="B955" s="1" t="s">
        <v>57</v>
      </c>
      <c r="C955" s="1">
        <v>41395</v>
      </c>
      <c r="D955">
        <v>1879426390.98</v>
      </c>
      <c r="E955">
        <v>6</v>
      </c>
    </row>
    <row r="956" spans="2:5" x14ac:dyDescent="0.25">
      <c r="B956" s="1" t="s">
        <v>12</v>
      </c>
      <c r="C956" s="1">
        <v>41395</v>
      </c>
      <c r="D956">
        <v>1856516396.73</v>
      </c>
      <c r="E956">
        <v>7</v>
      </c>
    </row>
    <row r="957" spans="2:5" x14ac:dyDescent="0.25">
      <c r="B957" s="1" t="s">
        <v>78</v>
      </c>
      <c r="C957" s="1">
        <v>41395</v>
      </c>
      <c r="D957">
        <v>1129016102.25</v>
      </c>
      <c r="E957">
        <v>8</v>
      </c>
    </row>
    <row r="958" spans="2:5" x14ac:dyDescent="0.25">
      <c r="B958" s="1" t="s">
        <v>5</v>
      </c>
      <c r="C958" s="1">
        <v>41395</v>
      </c>
      <c r="D958">
        <v>977753136.09000003</v>
      </c>
      <c r="E958">
        <v>9</v>
      </c>
    </row>
    <row r="959" spans="2:5" x14ac:dyDescent="0.25">
      <c r="B959" s="1" t="s">
        <v>76</v>
      </c>
      <c r="C959" s="1">
        <v>41395</v>
      </c>
      <c r="D959">
        <v>875520179</v>
      </c>
      <c r="E959">
        <v>10</v>
      </c>
    </row>
    <row r="960" spans="2:5" x14ac:dyDescent="0.25">
      <c r="B960" s="1" t="s">
        <v>13</v>
      </c>
      <c r="C960" s="1">
        <v>41426</v>
      </c>
      <c r="D960">
        <v>15486832649.959999</v>
      </c>
      <c r="E960">
        <v>1</v>
      </c>
    </row>
    <row r="961" spans="2:5" x14ac:dyDescent="0.25">
      <c r="B961" s="1" t="s">
        <v>16</v>
      </c>
      <c r="C961" s="1">
        <v>41426</v>
      </c>
      <c r="D961">
        <v>4561843788.71</v>
      </c>
      <c r="E961">
        <v>2</v>
      </c>
    </row>
    <row r="962" spans="2:5" x14ac:dyDescent="0.25">
      <c r="B962" s="1" t="s">
        <v>69</v>
      </c>
      <c r="C962" s="1">
        <v>41426</v>
      </c>
      <c r="D962">
        <v>4055990638.6799998</v>
      </c>
      <c r="E962">
        <v>3</v>
      </c>
    </row>
    <row r="963" spans="2:5" x14ac:dyDescent="0.25">
      <c r="B963" s="1" t="s">
        <v>4</v>
      </c>
      <c r="C963" s="1">
        <v>41426</v>
      </c>
      <c r="D963">
        <v>2681103987.0500002</v>
      </c>
      <c r="E963">
        <v>4</v>
      </c>
    </row>
    <row r="964" spans="2:5" x14ac:dyDescent="0.25">
      <c r="B964" s="1" t="s">
        <v>6</v>
      </c>
      <c r="C964" s="1">
        <v>41426</v>
      </c>
      <c r="D964">
        <v>2398858109.7199998</v>
      </c>
      <c r="E964">
        <v>5</v>
      </c>
    </row>
    <row r="965" spans="2:5" x14ac:dyDescent="0.25">
      <c r="B965" s="1" t="s">
        <v>12</v>
      </c>
      <c r="C965" s="1">
        <v>41426</v>
      </c>
      <c r="D965">
        <v>1997314246.6300001</v>
      </c>
      <c r="E965">
        <v>6</v>
      </c>
    </row>
    <row r="966" spans="2:5" x14ac:dyDescent="0.25">
      <c r="B966" s="1" t="s">
        <v>78</v>
      </c>
      <c r="C966" s="1">
        <v>41426</v>
      </c>
      <c r="D966">
        <v>1573203721.77</v>
      </c>
      <c r="E966">
        <v>7</v>
      </c>
    </row>
    <row r="967" spans="2:5" x14ac:dyDescent="0.25">
      <c r="B967" s="1" t="s">
        <v>76</v>
      </c>
      <c r="C967" s="1">
        <v>41426</v>
      </c>
      <c r="D967">
        <v>1169087126</v>
      </c>
      <c r="E967">
        <v>8</v>
      </c>
    </row>
    <row r="968" spans="2:5" x14ac:dyDescent="0.25">
      <c r="B968" s="1" t="s">
        <v>77</v>
      </c>
      <c r="C968" s="1">
        <v>41426</v>
      </c>
      <c r="D968">
        <v>1000640774.4400001</v>
      </c>
      <c r="E968">
        <v>9</v>
      </c>
    </row>
    <row r="969" spans="2:5" x14ac:dyDescent="0.25">
      <c r="B969" s="1" t="s">
        <v>5</v>
      </c>
      <c r="C969" s="1">
        <v>41426</v>
      </c>
      <c r="D969">
        <v>567488798.92999995</v>
      </c>
      <c r="E969">
        <v>10</v>
      </c>
    </row>
    <row r="970" spans="2:5" x14ac:dyDescent="0.25">
      <c r="B970" s="1" t="s">
        <v>13</v>
      </c>
      <c r="C970" s="1">
        <v>41456</v>
      </c>
      <c r="D970">
        <v>16978552578.67</v>
      </c>
      <c r="E970">
        <v>1</v>
      </c>
    </row>
    <row r="971" spans="2:5" x14ac:dyDescent="0.25">
      <c r="B971" s="1" t="s">
        <v>69</v>
      </c>
      <c r="C971" s="1">
        <v>41456</v>
      </c>
      <c r="D971">
        <v>4468738110.4300003</v>
      </c>
      <c r="E971">
        <v>2</v>
      </c>
    </row>
    <row r="972" spans="2:5" x14ac:dyDescent="0.25">
      <c r="B972" s="1" t="s">
        <v>16</v>
      </c>
      <c r="C972" s="1">
        <v>41456</v>
      </c>
      <c r="D972">
        <v>3148298719.46</v>
      </c>
      <c r="E972">
        <v>3</v>
      </c>
    </row>
    <row r="973" spans="2:5" x14ac:dyDescent="0.25">
      <c r="B973" s="1" t="s">
        <v>4</v>
      </c>
      <c r="C973" s="1">
        <v>41456</v>
      </c>
      <c r="D973">
        <v>2941250839.6100001</v>
      </c>
      <c r="E973">
        <v>4</v>
      </c>
    </row>
    <row r="974" spans="2:5" x14ac:dyDescent="0.25">
      <c r="B974" s="1" t="s">
        <v>12</v>
      </c>
      <c r="C974" s="1">
        <v>41456</v>
      </c>
      <c r="D974">
        <v>2287568241.9699998</v>
      </c>
      <c r="E974">
        <v>5</v>
      </c>
    </row>
    <row r="975" spans="2:5" x14ac:dyDescent="0.25">
      <c r="B975" s="1" t="s">
        <v>78</v>
      </c>
      <c r="C975" s="1">
        <v>41456</v>
      </c>
      <c r="D975">
        <v>2212331897.6900001</v>
      </c>
      <c r="E975">
        <v>6</v>
      </c>
    </row>
    <row r="976" spans="2:5" x14ac:dyDescent="0.25">
      <c r="B976" s="1" t="s">
        <v>6</v>
      </c>
      <c r="C976" s="1">
        <v>41456</v>
      </c>
      <c r="D976">
        <v>2001957601.3199999</v>
      </c>
      <c r="E976">
        <v>7</v>
      </c>
    </row>
    <row r="977" spans="2:5" x14ac:dyDescent="0.25">
      <c r="B977" s="1" t="s">
        <v>77</v>
      </c>
      <c r="C977" s="1">
        <v>41456</v>
      </c>
      <c r="D977">
        <v>1569984561.9200001</v>
      </c>
      <c r="E977">
        <v>8</v>
      </c>
    </row>
    <row r="978" spans="2:5" x14ac:dyDescent="0.25">
      <c r="B978" s="1" t="s">
        <v>75</v>
      </c>
      <c r="C978" s="1">
        <v>41456</v>
      </c>
      <c r="D978">
        <v>1144305792.9000001</v>
      </c>
      <c r="E978">
        <v>9</v>
      </c>
    </row>
    <row r="979" spans="2:5" x14ac:dyDescent="0.25">
      <c r="B979" s="1" t="s">
        <v>5</v>
      </c>
      <c r="C979" s="1">
        <v>41456</v>
      </c>
      <c r="D979">
        <v>713708620.26999998</v>
      </c>
      <c r="E979">
        <v>10</v>
      </c>
    </row>
    <row r="980" spans="2:5" x14ac:dyDescent="0.25">
      <c r="B980" s="1" t="s">
        <v>13</v>
      </c>
      <c r="C980" s="1">
        <v>41487</v>
      </c>
      <c r="D980">
        <v>16043754924.049999</v>
      </c>
      <c r="E980">
        <v>1</v>
      </c>
    </row>
    <row r="981" spans="2:5" x14ac:dyDescent="0.25">
      <c r="B981" s="1" t="s">
        <v>69</v>
      </c>
      <c r="C981" s="1">
        <v>41487</v>
      </c>
      <c r="D981">
        <v>4118976924.3200002</v>
      </c>
      <c r="E981">
        <v>2</v>
      </c>
    </row>
    <row r="982" spans="2:5" x14ac:dyDescent="0.25">
      <c r="B982" s="1" t="s">
        <v>77</v>
      </c>
      <c r="C982" s="1">
        <v>41487</v>
      </c>
      <c r="D982">
        <v>2883350418.2600002</v>
      </c>
      <c r="E982">
        <v>3</v>
      </c>
    </row>
    <row r="983" spans="2:5" x14ac:dyDescent="0.25">
      <c r="B983" s="1" t="s">
        <v>16</v>
      </c>
      <c r="C983" s="1">
        <v>41487</v>
      </c>
      <c r="D983">
        <v>2572723252.1300001</v>
      </c>
      <c r="E983">
        <v>4</v>
      </c>
    </row>
    <row r="984" spans="2:5" x14ac:dyDescent="0.25">
      <c r="B984" s="1" t="s">
        <v>4</v>
      </c>
      <c r="C984" s="1">
        <v>41487</v>
      </c>
      <c r="D984">
        <v>2256386097.4499998</v>
      </c>
      <c r="E984">
        <v>5</v>
      </c>
    </row>
    <row r="985" spans="2:5" x14ac:dyDescent="0.25">
      <c r="B985" s="1" t="s">
        <v>78</v>
      </c>
      <c r="C985" s="1">
        <v>41487</v>
      </c>
      <c r="D985">
        <v>2159130451.9000001</v>
      </c>
      <c r="E985">
        <v>6</v>
      </c>
    </row>
    <row r="986" spans="2:5" x14ac:dyDescent="0.25">
      <c r="B986" s="1" t="s">
        <v>12</v>
      </c>
      <c r="C986" s="1">
        <v>41487</v>
      </c>
      <c r="D986">
        <v>1796265185.45</v>
      </c>
      <c r="E986">
        <v>7</v>
      </c>
    </row>
    <row r="987" spans="2:5" x14ac:dyDescent="0.25">
      <c r="B987" s="1" t="s">
        <v>6</v>
      </c>
      <c r="C987" s="1">
        <v>41487</v>
      </c>
      <c r="D987">
        <v>1724530644.54</v>
      </c>
      <c r="E987">
        <v>8</v>
      </c>
    </row>
    <row r="988" spans="2:5" x14ac:dyDescent="0.25">
      <c r="B988" s="1" t="s">
        <v>73</v>
      </c>
      <c r="C988" s="1">
        <v>41487</v>
      </c>
      <c r="D988">
        <v>1299299846</v>
      </c>
      <c r="E988">
        <v>9</v>
      </c>
    </row>
    <row r="989" spans="2:5" x14ac:dyDescent="0.25">
      <c r="B989" s="1" t="s">
        <v>57</v>
      </c>
      <c r="C989" s="1">
        <v>41487</v>
      </c>
      <c r="D989">
        <v>916479356.41999996</v>
      </c>
      <c r="E989">
        <v>10</v>
      </c>
    </row>
    <row r="990" spans="2:5" x14ac:dyDescent="0.25">
      <c r="B990" s="1" t="s">
        <v>13</v>
      </c>
      <c r="C990" s="1">
        <v>41518</v>
      </c>
      <c r="D990">
        <v>12954391824.35</v>
      </c>
      <c r="E990">
        <v>1</v>
      </c>
    </row>
    <row r="991" spans="2:5" x14ac:dyDescent="0.25">
      <c r="B991" s="1" t="s">
        <v>16</v>
      </c>
      <c r="C991" s="1">
        <v>41518</v>
      </c>
      <c r="D991">
        <v>3270291712.54</v>
      </c>
      <c r="E991">
        <v>2</v>
      </c>
    </row>
    <row r="992" spans="2:5" x14ac:dyDescent="0.25">
      <c r="B992" s="1" t="s">
        <v>4</v>
      </c>
      <c r="C992" s="1">
        <v>41518</v>
      </c>
      <c r="D992">
        <v>2820572445.3699999</v>
      </c>
      <c r="E992">
        <v>3</v>
      </c>
    </row>
    <row r="993" spans="2:5" x14ac:dyDescent="0.25">
      <c r="B993" s="1" t="s">
        <v>69</v>
      </c>
      <c r="C993" s="1">
        <v>41518</v>
      </c>
      <c r="D993">
        <v>2360176115.9099998</v>
      </c>
      <c r="E993">
        <v>4</v>
      </c>
    </row>
    <row r="994" spans="2:5" x14ac:dyDescent="0.25">
      <c r="B994" s="1" t="s">
        <v>78</v>
      </c>
      <c r="C994" s="1">
        <v>41518</v>
      </c>
      <c r="D994">
        <v>1812325604.1099999</v>
      </c>
      <c r="E994">
        <v>5</v>
      </c>
    </row>
    <row r="995" spans="2:5" x14ac:dyDescent="0.25">
      <c r="B995" s="1" t="s">
        <v>77</v>
      </c>
      <c r="C995" s="1">
        <v>41518</v>
      </c>
      <c r="D995">
        <v>1353122738.8900001</v>
      </c>
      <c r="E995">
        <v>6</v>
      </c>
    </row>
    <row r="996" spans="2:5" x14ac:dyDescent="0.25">
      <c r="B996" s="1" t="s">
        <v>12</v>
      </c>
      <c r="C996" s="1">
        <v>41518</v>
      </c>
      <c r="D996">
        <v>1183299223.6300001</v>
      </c>
      <c r="E996">
        <v>7</v>
      </c>
    </row>
    <row r="997" spans="2:5" x14ac:dyDescent="0.25">
      <c r="B997" s="1" t="s">
        <v>6</v>
      </c>
      <c r="C997" s="1">
        <v>41518</v>
      </c>
      <c r="D997">
        <v>1080194081.3399999</v>
      </c>
      <c r="E997">
        <v>8</v>
      </c>
    </row>
    <row r="998" spans="2:5" x14ac:dyDescent="0.25">
      <c r="B998" s="1" t="s">
        <v>73</v>
      </c>
      <c r="C998" s="1">
        <v>41518</v>
      </c>
      <c r="D998">
        <v>969610409</v>
      </c>
      <c r="E998">
        <v>9</v>
      </c>
    </row>
    <row r="999" spans="2:5" x14ac:dyDescent="0.25">
      <c r="B999" s="1" t="s">
        <v>5</v>
      </c>
      <c r="C999" s="1">
        <v>41518</v>
      </c>
      <c r="D999">
        <v>670531652.08000004</v>
      </c>
      <c r="E999">
        <v>10</v>
      </c>
    </row>
    <row r="1000" spans="2:5" x14ac:dyDescent="0.25">
      <c r="B1000" s="1" t="s">
        <v>13</v>
      </c>
      <c r="C1000" s="1">
        <v>41548</v>
      </c>
      <c r="D1000">
        <v>9148941452.2000008</v>
      </c>
      <c r="E1000">
        <v>1</v>
      </c>
    </row>
    <row r="1001" spans="2:5" x14ac:dyDescent="0.25">
      <c r="B1001" s="1" t="s">
        <v>16</v>
      </c>
      <c r="C1001" s="1">
        <v>41548</v>
      </c>
      <c r="D1001">
        <v>2258522897.0300002</v>
      </c>
      <c r="E1001">
        <v>2</v>
      </c>
    </row>
    <row r="1002" spans="2:5" x14ac:dyDescent="0.25">
      <c r="B1002" s="1" t="s">
        <v>69</v>
      </c>
      <c r="C1002" s="1">
        <v>41548</v>
      </c>
      <c r="D1002">
        <v>1853106711.96</v>
      </c>
      <c r="E1002">
        <v>3</v>
      </c>
    </row>
    <row r="1003" spans="2:5" x14ac:dyDescent="0.25">
      <c r="B1003" s="1" t="s">
        <v>77</v>
      </c>
      <c r="C1003" s="1">
        <v>41548</v>
      </c>
      <c r="D1003">
        <v>1732002462.3699999</v>
      </c>
      <c r="E1003">
        <v>4</v>
      </c>
    </row>
    <row r="1004" spans="2:5" x14ac:dyDescent="0.25">
      <c r="B1004" s="1" t="s">
        <v>78</v>
      </c>
      <c r="C1004" s="1">
        <v>41548</v>
      </c>
      <c r="D1004">
        <v>1629776595.6800001</v>
      </c>
      <c r="E1004">
        <v>5</v>
      </c>
    </row>
    <row r="1005" spans="2:5" x14ac:dyDescent="0.25">
      <c r="B1005" s="1" t="s">
        <v>4</v>
      </c>
      <c r="C1005" s="1">
        <v>41548</v>
      </c>
      <c r="D1005">
        <v>1573100292.4300001</v>
      </c>
      <c r="E1005">
        <v>6</v>
      </c>
    </row>
    <row r="1006" spans="2:5" x14ac:dyDescent="0.25">
      <c r="B1006" s="1" t="s">
        <v>12</v>
      </c>
      <c r="C1006" s="1">
        <v>41548</v>
      </c>
      <c r="D1006">
        <v>1281505531.45</v>
      </c>
      <c r="E1006">
        <v>7</v>
      </c>
    </row>
    <row r="1007" spans="2:5" x14ac:dyDescent="0.25">
      <c r="B1007" s="1" t="s">
        <v>6</v>
      </c>
      <c r="C1007" s="1">
        <v>41548</v>
      </c>
      <c r="D1007">
        <v>866449074.45000005</v>
      </c>
      <c r="E1007">
        <v>8</v>
      </c>
    </row>
    <row r="1008" spans="2:5" x14ac:dyDescent="0.25">
      <c r="B1008" s="1" t="s">
        <v>73</v>
      </c>
      <c r="C1008" s="1">
        <v>41548</v>
      </c>
      <c r="D1008">
        <v>768083664</v>
      </c>
      <c r="E1008">
        <v>9</v>
      </c>
    </row>
    <row r="1009" spans="2:5" x14ac:dyDescent="0.25">
      <c r="B1009" s="1" t="s">
        <v>5</v>
      </c>
      <c r="C1009" s="1">
        <v>41548</v>
      </c>
      <c r="D1009">
        <v>734950444.69000006</v>
      </c>
      <c r="E1009">
        <v>10</v>
      </c>
    </row>
    <row r="1010" spans="2:5" x14ac:dyDescent="0.25">
      <c r="B1010" s="1" t="s">
        <v>13</v>
      </c>
      <c r="C1010" s="1">
        <v>41579</v>
      </c>
      <c r="D1010">
        <v>7277980089.6000004</v>
      </c>
      <c r="E1010">
        <v>1</v>
      </c>
    </row>
    <row r="1011" spans="2:5" x14ac:dyDescent="0.25">
      <c r="B1011" s="1" t="s">
        <v>16</v>
      </c>
      <c r="C1011" s="1">
        <v>41579</v>
      </c>
      <c r="D1011">
        <v>3297359031.2800002</v>
      </c>
      <c r="E1011">
        <v>2</v>
      </c>
    </row>
    <row r="1012" spans="2:5" x14ac:dyDescent="0.25">
      <c r="B1012" s="1" t="s">
        <v>69</v>
      </c>
      <c r="C1012" s="1">
        <v>41579</v>
      </c>
      <c r="D1012">
        <v>1694525112.9400001</v>
      </c>
      <c r="E1012">
        <v>3</v>
      </c>
    </row>
    <row r="1013" spans="2:5" x14ac:dyDescent="0.25">
      <c r="B1013" s="1" t="s">
        <v>78</v>
      </c>
      <c r="C1013" s="1">
        <v>41579</v>
      </c>
      <c r="D1013">
        <v>1443375065.3</v>
      </c>
      <c r="E1013">
        <v>4</v>
      </c>
    </row>
    <row r="1014" spans="2:5" x14ac:dyDescent="0.25">
      <c r="B1014" s="1" t="s">
        <v>4</v>
      </c>
      <c r="C1014" s="1">
        <v>41579</v>
      </c>
      <c r="D1014">
        <v>1416434682.73</v>
      </c>
      <c r="E1014">
        <v>5</v>
      </c>
    </row>
    <row r="1015" spans="2:5" x14ac:dyDescent="0.25">
      <c r="B1015" s="1" t="s">
        <v>12</v>
      </c>
      <c r="C1015" s="1">
        <v>41579</v>
      </c>
      <c r="D1015">
        <v>1390967449.5</v>
      </c>
      <c r="E1015">
        <v>6</v>
      </c>
    </row>
    <row r="1016" spans="2:5" x14ac:dyDescent="0.25">
      <c r="B1016" s="1" t="s">
        <v>79</v>
      </c>
      <c r="C1016" s="1">
        <v>41579</v>
      </c>
      <c r="D1016">
        <v>933820791.04999995</v>
      </c>
      <c r="E1016">
        <v>7</v>
      </c>
    </row>
    <row r="1017" spans="2:5" x14ac:dyDescent="0.25">
      <c r="B1017" s="1" t="s">
        <v>77</v>
      </c>
      <c r="C1017" s="1">
        <v>41579</v>
      </c>
      <c r="D1017">
        <v>888998572.20000005</v>
      </c>
      <c r="E1017">
        <v>8</v>
      </c>
    </row>
    <row r="1018" spans="2:5" x14ac:dyDescent="0.25">
      <c r="B1018" s="1" t="s">
        <v>6</v>
      </c>
      <c r="C1018" s="1">
        <v>41579</v>
      </c>
      <c r="D1018">
        <v>837105658.42999995</v>
      </c>
      <c r="E1018">
        <v>9</v>
      </c>
    </row>
    <row r="1019" spans="2:5" x14ac:dyDescent="0.25">
      <c r="B1019" s="1" t="s">
        <v>5</v>
      </c>
      <c r="C1019" s="1">
        <v>41579</v>
      </c>
      <c r="D1019">
        <v>554951729.87</v>
      </c>
      <c r="E1019">
        <v>10</v>
      </c>
    </row>
    <row r="1020" spans="2:5" x14ac:dyDescent="0.25">
      <c r="B1020" s="1" t="s">
        <v>13</v>
      </c>
      <c r="C1020" s="1">
        <v>41609</v>
      </c>
      <c r="D1020">
        <v>6588450968.0200005</v>
      </c>
      <c r="E1020">
        <v>1</v>
      </c>
    </row>
    <row r="1021" spans="2:5" x14ac:dyDescent="0.25">
      <c r="B1021" s="1" t="s">
        <v>16</v>
      </c>
      <c r="C1021" s="1">
        <v>41609</v>
      </c>
      <c r="D1021">
        <v>2223527627.8699999</v>
      </c>
      <c r="E1021">
        <v>2</v>
      </c>
    </row>
    <row r="1022" spans="2:5" x14ac:dyDescent="0.25">
      <c r="B1022" s="1" t="s">
        <v>78</v>
      </c>
      <c r="C1022" s="1">
        <v>41609</v>
      </c>
      <c r="D1022">
        <v>1561280492.8699999</v>
      </c>
      <c r="E1022">
        <v>3</v>
      </c>
    </row>
    <row r="1023" spans="2:5" x14ac:dyDescent="0.25">
      <c r="B1023" s="1" t="s">
        <v>69</v>
      </c>
      <c r="C1023" s="1">
        <v>41609</v>
      </c>
      <c r="D1023">
        <v>1421676922.75</v>
      </c>
      <c r="E1023">
        <v>4</v>
      </c>
    </row>
    <row r="1024" spans="2:5" x14ac:dyDescent="0.25">
      <c r="B1024" s="1" t="s">
        <v>4</v>
      </c>
      <c r="C1024" s="1">
        <v>41609</v>
      </c>
      <c r="D1024">
        <v>1134090940.3099999</v>
      </c>
      <c r="E1024">
        <v>5</v>
      </c>
    </row>
    <row r="1025" spans="2:5" x14ac:dyDescent="0.25">
      <c r="B1025" s="1" t="s">
        <v>77</v>
      </c>
      <c r="C1025" s="1">
        <v>41609</v>
      </c>
      <c r="D1025">
        <v>1105190231.8399999</v>
      </c>
      <c r="E1025">
        <v>6</v>
      </c>
    </row>
    <row r="1026" spans="2:5" x14ac:dyDescent="0.25">
      <c r="B1026" s="1" t="s">
        <v>12</v>
      </c>
      <c r="C1026" s="1">
        <v>41609</v>
      </c>
      <c r="D1026">
        <v>969676537.08000004</v>
      </c>
      <c r="E1026">
        <v>7</v>
      </c>
    </row>
    <row r="1027" spans="2:5" x14ac:dyDescent="0.25">
      <c r="B1027" s="1" t="s">
        <v>79</v>
      </c>
      <c r="C1027" s="1">
        <v>41609</v>
      </c>
      <c r="D1027">
        <v>812497002.57000005</v>
      </c>
      <c r="E1027">
        <v>8</v>
      </c>
    </row>
    <row r="1028" spans="2:5" x14ac:dyDescent="0.25">
      <c r="B1028" s="1" t="s">
        <v>70</v>
      </c>
      <c r="C1028" s="1">
        <v>41609</v>
      </c>
      <c r="D1028">
        <v>682173000</v>
      </c>
      <c r="E1028">
        <v>9</v>
      </c>
    </row>
    <row r="1029" spans="2:5" x14ac:dyDescent="0.25">
      <c r="B1029" s="1" t="s">
        <v>6</v>
      </c>
      <c r="C1029" s="1">
        <v>41609</v>
      </c>
      <c r="D1029">
        <v>650372970.05999994</v>
      </c>
      <c r="E1029">
        <v>10</v>
      </c>
    </row>
    <row r="1030" spans="2:5" x14ac:dyDescent="0.25">
      <c r="B1030" s="1" t="s">
        <v>13</v>
      </c>
      <c r="C1030" s="1">
        <v>41640</v>
      </c>
      <c r="D1030">
        <v>3105702600.8000002</v>
      </c>
      <c r="E1030">
        <v>1</v>
      </c>
    </row>
    <row r="1031" spans="2:5" x14ac:dyDescent="0.25">
      <c r="B1031" s="1" t="s">
        <v>69</v>
      </c>
      <c r="C1031" s="1">
        <v>41640</v>
      </c>
      <c r="D1031">
        <v>1760019879.1099999</v>
      </c>
      <c r="E1031">
        <v>2</v>
      </c>
    </row>
    <row r="1032" spans="2:5" x14ac:dyDescent="0.25">
      <c r="B1032" s="1" t="s">
        <v>16</v>
      </c>
      <c r="C1032" s="1">
        <v>41640</v>
      </c>
      <c r="D1032">
        <v>1699856288.3499999</v>
      </c>
      <c r="E1032">
        <v>3</v>
      </c>
    </row>
    <row r="1033" spans="2:5" x14ac:dyDescent="0.25">
      <c r="B1033" s="1" t="s">
        <v>78</v>
      </c>
      <c r="C1033" s="1">
        <v>41640</v>
      </c>
      <c r="D1033">
        <v>1342307631.3399999</v>
      </c>
      <c r="E1033">
        <v>4</v>
      </c>
    </row>
    <row r="1034" spans="2:5" x14ac:dyDescent="0.25">
      <c r="B1034" s="1" t="s">
        <v>77</v>
      </c>
      <c r="C1034" s="1">
        <v>41640</v>
      </c>
      <c r="D1034">
        <v>1059610720.12</v>
      </c>
      <c r="E1034">
        <v>5</v>
      </c>
    </row>
    <row r="1035" spans="2:5" x14ac:dyDescent="0.25">
      <c r="B1035" s="1" t="s">
        <v>4</v>
      </c>
      <c r="C1035" s="1">
        <v>41640</v>
      </c>
      <c r="D1035">
        <v>774649500.94000006</v>
      </c>
      <c r="E1035">
        <v>6</v>
      </c>
    </row>
    <row r="1036" spans="2:5" x14ac:dyDescent="0.25">
      <c r="B1036" s="1" t="s">
        <v>12</v>
      </c>
      <c r="C1036" s="1">
        <v>41640</v>
      </c>
      <c r="D1036">
        <v>609932112.33000004</v>
      </c>
      <c r="E1036">
        <v>7</v>
      </c>
    </row>
    <row r="1037" spans="2:5" x14ac:dyDescent="0.25">
      <c r="B1037" s="1" t="s">
        <v>6</v>
      </c>
      <c r="C1037" s="1">
        <v>41640</v>
      </c>
      <c r="D1037">
        <v>439011145.83999997</v>
      </c>
      <c r="E1037">
        <v>8</v>
      </c>
    </row>
    <row r="1038" spans="2:5" x14ac:dyDescent="0.25">
      <c r="B1038" s="1" t="s">
        <v>21</v>
      </c>
      <c r="C1038" s="1">
        <v>41640</v>
      </c>
      <c r="D1038">
        <v>386720717.35000002</v>
      </c>
      <c r="E1038">
        <v>9</v>
      </c>
    </row>
    <row r="1039" spans="2:5" x14ac:dyDescent="0.25">
      <c r="B1039" s="1" t="s">
        <v>32</v>
      </c>
      <c r="C1039" s="1">
        <v>41640</v>
      </c>
      <c r="D1039">
        <v>383298577.99000001</v>
      </c>
      <c r="E1039">
        <v>10</v>
      </c>
    </row>
    <row r="1040" spans="2:5" x14ac:dyDescent="0.25">
      <c r="B1040" s="1" t="s">
        <v>13</v>
      </c>
      <c r="C1040" s="1">
        <v>41671</v>
      </c>
      <c r="D1040">
        <v>4228977520.5</v>
      </c>
      <c r="E1040">
        <v>1</v>
      </c>
    </row>
    <row r="1041" spans="2:5" x14ac:dyDescent="0.25">
      <c r="B1041" s="1" t="s">
        <v>16</v>
      </c>
      <c r="C1041" s="1">
        <v>41671</v>
      </c>
      <c r="D1041">
        <v>2141375023.72</v>
      </c>
      <c r="E1041">
        <v>2</v>
      </c>
    </row>
    <row r="1042" spans="2:5" x14ac:dyDescent="0.25">
      <c r="B1042" s="1" t="s">
        <v>69</v>
      </c>
      <c r="C1042" s="1">
        <v>41671</v>
      </c>
      <c r="D1042">
        <v>1922831147.77</v>
      </c>
      <c r="E1042">
        <v>3</v>
      </c>
    </row>
    <row r="1043" spans="2:5" x14ac:dyDescent="0.25">
      <c r="B1043" s="1" t="s">
        <v>77</v>
      </c>
      <c r="C1043" s="1">
        <v>41671</v>
      </c>
      <c r="D1043">
        <v>1297808997.26</v>
      </c>
      <c r="E1043">
        <v>4</v>
      </c>
    </row>
    <row r="1044" spans="2:5" x14ac:dyDescent="0.25">
      <c r="B1044" s="1" t="s">
        <v>78</v>
      </c>
      <c r="C1044" s="1">
        <v>41671</v>
      </c>
      <c r="D1044">
        <v>1271985898.8900001</v>
      </c>
      <c r="E1044">
        <v>5</v>
      </c>
    </row>
    <row r="1045" spans="2:5" x14ac:dyDescent="0.25">
      <c r="B1045" s="1" t="s">
        <v>4</v>
      </c>
      <c r="C1045" s="1">
        <v>41671</v>
      </c>
      <c r="D1045">
        <v>697193636.46000004</v>
      </c>
      <c r="E1045">
        <v>6</v>
      </c>
    </row>
    <row r="1046" spans="2:5" x14ac:dyDescent="0.25">
      <c r="B1046" s="1" t="s">
        <v>12</v>
      </c>
      <c r="C1046" s="1">
        <v>41671</v>
      </c>
      <c r="D1046">
        <v>627431948.79999995</v>
      </c>
      <c r="E1046">
        <v>7</v>
      </c>
    </row>
    <row r="1047" spans="2:5" x14ac:dyDescent="0.25">
      <c r="B1047" s="1" t="s">
        <v>6</v>
      </c>
      <c r="C1047" s="1">
        <v>41671</v>
      </c>
      <c r="D1047">
        <v>471783633.49000001</v>
      </c>
      <c r="E1047">
        <v>8</v>
      </c>
    </row>
    <row r="1048" spans="2:5" x14ac:dyDescent="0.25">
      <c r="B1048" s="1" t="s">
        <v>32</v>
      </c>
      <c r="C1048" s="1">
        <v>41671</v>
      </c>
      <c r="D1048">
        <v>410110073.08999997</v>
      </c>
      <c r="E1048">
        <v>9</v>
      </c>
    </row>
    <row r="1049" spans="2:5" x14ac:dyDescent="0.25">
      <c r="B1049" s="1" t="s">
        <v>79</v>
      </c>
      <c r="C1049" s="1">
        <v>41671</v>
      </c>
      <c r="D1049">
        <v>377721494.83999997</v>
      </c>
      <c r="E1049">
        <v>10</v>
      </c>
    </row>
    <row r="1050" spans="2:5" x14ac:dyDescent="0.25">
      <c r="B1050" s="1" t="s">
        <v>13</v>
      </c>
      <c r="C1050" s="1">
        <v>41699</v>
      </c>
      <c r="D1050">
        <v>2771745679.8800001</v>
      </c>
      <c r="E1050">
        <v>1</v>
      </c>
    </row>
    <row r="1051" spans="2:5" x14ac:dyDescent="0.25">
      <c r="B1051" s="1" t="s">
        <v>69</v>
      </c>
      <c r="C1051" s="1">
        <v>41699</v>
      </c>
      <c r="D1051">
        <v>1574474809.8399999</v>
      </c>
      <c r="E1051">
        <v>2</v>
      </c>
    </row>
    <row r="1052" spans="2:5" x14ac:dyDescent="0.25">
      <c r="B1052" s="1" t="s">
        <v>16</v>
      </c>
      <c r="C1052" s="1">
        <v>41699</v>
      </c>
      <c r="D1052">
        <v>1404683501.8</v>
      </c>
      <c r="E1052">
        <v>3</v>
      </c>
    </row>
    <row r="1053" spans="2:5" x14ac:dyDescent="0.25">
      <c r="B1053" s="1" t="s">
        <v>77</v>
      </c>
      <c r="C1053" s="1">
        <v>41699</v>
      </c>
      <c r="D1053">
        <v>940764804.61000001</v>
      </c>
      <c r="E1053">
        <v>4</v>
      </c>
    </row>
    <row r="1054" spans="2:5" x14ac:dyDescent="0.25">
      <c r="B1054" s="1" t="s">
        <v>78</v>
      </c>
      <c r="C1054" s="1">
        <v>41699</v>
      </c>
      <c r="D1054">
        <v>910319667.28999996</v>
      </c>
      <c r="E1054">
        <v>5</v>
      </c>
    </row>
    <row r="1055" spans="2:5" x14ac:dyDescent="0.25">
      <c r="B1055" s="1" t="s">
        <v>80</v>
      </c>
      <c r="C1055" s="1">
        <v>41699</v>
      </c>
      <c r="D1055">
        <v>564630562.90999997</v>
      </c>
      <c r="E1055">
        <v>6</v>
      </c>
    </row>
    <row r="1056" spans="2:5" x14ac:dyDescent="0.25">
      <c r="B1056" s="1" t="s">
        <v>12</v>
      </c>
      <c r="C1056" s="1">
        <v>41699</v>
      </c>
      <c r="D1056">
        <v>536183752.19</v>
      </c>
      <c r="E1056">
        <v>7</v>
      </c>
    </row>
    <row r="1057" spans="2:5" x14ac:dyDescent="0.25">
      <c r="B1057" s="1" t="s">
        <v>4</v>
      </c>
      <c r="C1057" s="1">
        <v>41699</v>
      </c>
      <c r="D1057">
        <v>524009255.14999998</v>
      </c>
      <c r="E1057">
        <v>8</v>
      </c>
    </row>
    <row r="1058" spans="2:5" x14ac:dyDescent="0.25">
      <c r="B1058" s="1" t="s">
        <v>32</v>
      </c>
      <c r="C1058" s="1">
        <v>41699</v>
      </c>
      <c r="D1058">
        <v>319855477.95999998</v>
      </c>
      <c r="E1058">
        <v>9</v>
      </c>
    </row>
    <row r="1059" spans="2:5" x14ac:dyDescent="0.25">
      <c r="B1059" s="1" t="s">
        <v>75</v>
      </c>
      <c r="C1059" s="1">
        <v>41699</v>
      </c>
      <c r="D1059">
        <v>313442692.82999998</v>
      </c>
      <c r="E1059">
        <v>10</v>
      </c>
    </row>
    <row r="1060" spans="2:5" x14ac:dyDescent="0.25">
      <c r="B1060" s="1" t="s">
        <v>13</v>
      </c>
      <c r="C1060" s="1">
        <v>41730</v>
      </c>
      <c r="D1060">
        <v>3281937556.02</v>
      </c>
      <c r="E1060">
        <v>1</v>
      </c>
    </row>
    <row r="1061" spans="2:5" x14ac:dyDescent="0.25">
      <c r="B1061" s="1" t="s">
        <v>16</v>
      </c>
      <c r="C1061" s="1">
        <v>41730</v>
      </c>
      <c r="D1061">
        <v>2423937054.6999998</v>
      </c>
      <c r="E1061">
        <v>2</v>
      </c>
    </row>
    <row r="1062" spans="2:5" x14ac:dyDescent="0.25">
      <c r="B1062" s="1" t="s">
        <v>69</v>
      </c>
      <c r="C1062" s="1">
        <v>41730</v>
      </c>
      <c r="D1062">
        <v>1578860937.1900001</v>
      </c>
      <c r="E1062">
        <v>3</v>
      </c>
    </row>
    <row r="1063" spans="2:5" x14ac:dyDescent="0.25">
      <c r="B1063" s="1" t="s">
        <v>78</v>
      </c>
      <c r="C1063" s="1">
        <v>41730</v>
      </c>
      <c r="D1063">
        <v>870248563.14999998</v>
      </c>
      <c r="E1063">
        <v>4</v>
      </c>
    </row>
    <row r="1064" spans="2:5" x14ac:dyDescent="0.25">
      <c r="B1064" s="1" t="s">
        <v>77</v>
      </c>
      <c r="C1064" s="1">
        <v>41730</v>
      </c>
      <c r="D1064">
        <v>862589348.16999996</v>
      </c>
      <c r="E1064">
        <v>5</v>
      </c>
    </row>
    <row r="1065" spans="2:5" x14ac:dyDescent="0.25">
      <c r="B1065" s="1" t="s">
        <v>12</v>
      </c>
      <c r="C1065" s="1">
        <v>41730</v>
      </c>
      <c r="D1065">
        <v>837007926.10000002</v>
      </c>
      <c r="E1065">
        <v>6</v>
      </c>
    </row>
    <row r="1066" spans="2:5" x14ac:dyDescent="0.25">
      <c r="B1066" s="1" t="s">
        <v>80</v>
      </c>
      <c r="C1066" s="1">
        <v>41730</v>
      </c>
      <c r="D1066">
        <v>732016079.92999995</v>
      </c>
      <c r="E1066">
        <v>7</v>
      </c>
    </row>
    <row r="1067" spans="2:5" x14ac:dyDescent="0.25">
      <c r="B1067" s="1" t="s">
        <v>4</v>
      </c>
      <c r="C1067" s="1">
        <v>41730</v>
      </c>
      <c r="D1067">
        <v>632588474.88999999</v>
      </c>
      <c r="E1067">
        <v>8</v>
      </c>
    </row>
    <row r="1068" spans="2:5" x14ac:dyDescent="0.25">
      <c r="B1068" s="1" t="s">
        <v>79</v>
      </c>
      <c r="C1068" s="1">
        <v>41730</v>
      </c>
      <c r="D1068">
        <v>587267554.23000002</v>
      </c>
      <c r="E1068">
        <v>9</v>
      </c>
    </row>
    <row r="1069" spans="2:5" x14ac:dyDescent="0.25">
      <c r="B1069" s="1" t="s">
        <v>32</v>
      </c>
      <c r="C1069" s="1">
        <v>41730</v>
      </c>
      <c r="D1069">
        <v>469850026.73000002</v>
      </c>
      <c r="E1069">
        <v>10</v>
      </c>
    </row>
    <row r="1070" spans="2:5" x14ac:dyDescent="0.25">
      <c r="B1070" s="1" t="s">
        <v>13</v>
      </c>
      <c r="C1070" s="1">
        <v>41760</v>
      </c>
      <c r="D1070">
        <v>3701376306.8000002</v>
      </c>
      <c r="E1070">
        <v>1</v>
      </c>
    </row>
    <row r="1071" spans="2:5" x14ac:dyDescent="0.25">
      <c r="B1071" s="1" t="s">
        <v>69</v>
      </c>
      <c r="C1071" s="1">
        <v>41760</v>
      </c>
      <c r="D1071">
        <v>1528205247.9400001</v>
      </c>
      <c r="E1071">
        <v>2</v>
      </c>
    </row>
    <row r="1072" spans="2:5" x14ac:dyDescent="0.25">
      <c r="B1072" s="1" t="s">
        <v>78</v>
      </c>
      <c r="C1072" s="1">
        <v>41760</v>
      </c>
      <c r="D1072">
        <v>901247559.58000004</v>
      </c>
      <c r="E1072">
        <v>3</v>
      </c>
    </row>
    <row r="1073" spans="2:5" x14ac:dyDescent="0.25">
      <c r="B1073" s="1" t="s">
        <v>4</v>
      </c>
      <c r="C1073" s="1">
        <v>41760</v>
      </c>
      <c r="D1073">
        <v>697483806.19000006</v>
      </c>
      <c r="E1073">
        <v>4</v>
      </c>
    </row>
    <row r="1074" spans="2:5" x14ac:dyDescent="0.25">
      <c r="B1074" s="1" t="s">
        <v>12</v>
      </c>
      <c r="C1074" s="1">
        <v>41760</v>
      </c>
      <c r="D1074">
        <v>683642277.61000001</v>
      </c>
      <c r="E1074">
        <v>5</v>
      </c>
    </row>
    <row r="1075" spans="2:5" x14ac:dyDescent="0.25">
      <c r="B1075" s="1" t="s">
        <v>16</v>
      </c>
      <c r="C1075" s="1">
        <v>41760</v>
      </c>
      <c r="D1075">
        <v>678517253.62</v>
      </c>
      <c r="E1075">
        <v>6</v>
      </c>
    </row>
    <row r="1076" spans="2:5" x14ac:dyDescent="0.25">
      <c r="B1076" s="1" t="s">
        <v>79</v>
      </c>
      <c r="C1076" s="1">
        <v>41760</v>
      </c>
      <c r="D1076">
        <v>651405516.88999999</v>
      </c>
      <c r="E1076">
        <v>7</v>
      </c>
    </row>
    <row r="1077" spans="2:5" x14ac:dyDescent="0.25">
      <c r="B1077" s="1" t="s">
        <v>80</v>
      </c>
      <c r="C1077" s="1">
        <v>41760</v>
      </c>
      <c r="D1077">
        <v>586473141.58000004</v>
      </c>
      <c r="E1077">
        <v>8</v>
      </c>
    </row>
    <row r="1078" spans="2:5" x14ac:dyDescent="0.25">
      <c r="B1078" s="1" t="s">
        <v>77</v>
      </c>
      <c r="C1078" s="1">
        <v>41760</v>
      </c>
      <c r="D1078">
        <v>585060774.85000002</v>
      </c>
      <c r="E1078">
        <v>9</v>
      </c>
    </row>
    <row r="1079" spans="2:5" x14ac:dyDescent="0.25">
      <c r="B1079" s="1" t="s">
        <v>32</v>
      </c>
      <c r="C1079" s="1">
        <v>41760</v>
      </c>
      <c r="D1079">
        <v>527369639.56999999</v>
      </c>
      <c r="E1079">
        <v>10</v>
      </c>
    </row>
    <row r="1080" spans="2:5" x14ac:dyDescent="0.25">
      <c r="B1080" s="1" t="s">
        <v>13</v>
      </c>
      <c r="C1080" s="1">
        <v>41791</v>
      </c>
      <c r="D1080">
        <v>4119664079.48</v>
      </c>
      <c r="E1080">
        <v>1</v>
      </c>
    </row>
    <row r="1081" spans="2:5" x14ac:dyDescent="0.25">
      <c r="B1081" s="1" t="s">
        <v>69</v>
      </c>
      <c r="C1081" s="1">
        <v>41791</v>
      </c>
      <c r="D1081">
        <v>1822050222.5</v>
      </c>
      <c r="E1081">
        <v>2</v>
      </c>
    </row>
    <row r="1082" spans="2:5" x14ac:dyDescent="0.25">
      <c r="B1082" s="1" t="s">
        <v>16</v>
      </c>
      <c r="C1082" s="1">
        <v>41791</v>
      </c>
      <c r="D1082">
        <v>1598605020.27</v>
      </c>
      <c r="E1082">
        <v>3</v>
      </c>
    </row>
    <row r="1083" spans="2:5" x14ac:dyDescent="0.25">
      <c r="B1083" s="1" t="s">
        <v>78</v>
      </c>
      <c r="C1083" s="1">
        <v>41791</v>
      </c>
      <c r="D1083">
        <v>1290844061.5799999</v>
      </c>
      <c r="E1083">
        <v>4</v>
      </c>
    </row>
    <row r="1084" spans="2:5" x14ac:dyDescent="0.25">
      <c r="B1084" s="1" t="s">
        <v>12</v>
      </c>
      <c r="C1084" s="1">
        <v>41791</v>
      </c>
      <c r="D1084">
        <v>867253770.96000004</v>
      </c>
      <c r="E1084">
        <v>5</v>
      </c>
    </row>
    <row r="1085" spans="2:5" x14ac:dyDescent="0.25">
      <c r="B1085" s="1" t="s">
        <v>77</v>
      </c>
      <c r="C1085" s="1">
        <v>41791</v>
      </c>
      <c r="D1085">
        <v>774995345.41999996</v>
      </c>
      <c r="E1085">
        <v>6</v>
      </c>
    </row>
    <row r="1086" spans="2:5" x14ac:dyDescent="0.25">
      <c r="B1086" s="1" t="s">
        <v>80</v>
      </c>
      <c r="C1086" s="1">
        <v>41791</v>
      </c>
      <c r="D1086">
        <v>721574813.37</v>
      </c>
      <c r="E1086">
        <v>7</v>
      </c>
    </row>
    <row r="1087" spans="2:5" x14ac:dyDescent="0.25">
      <c r="B1087" s="1" t="s">
        <v>4</v>
      </c>
      <c r="C1087" s="1">
        <v>41791</v>
      </c>
      <c r="D1087">
        <v>630908308.03999996</v>
      </c>
      <c r="E1087">
        <v>8</v>
      </c>
    </row>
    <row r="1088" spans="2:5" x14ac:dyDescent="0.25">
      <c r="B1088" s="1" t="s">
        <v>79</v>
      </c>
      <c r="C1088" s="1">
        <v>41791</v>
      </c>
      <c r="D1088">
        <v>624925467.57000005</v>
      </c>
      <c r="E1088">
        <v>9</v>
      </c>
    </row>
    <row r="1089" spans="2:5" x14ac:dyDescent="0.25">
      <c r="B1089" s="1" t="s">
        <v>32</v>
      </c>
      <c r="C1089" s="1">
        <v>41791</v>
      </c>
      <c r="D1089">
        <v>597894157.63999999</v>
      </c>
      <c r="E1089">
        <v>10</v>
      </c>
    </row>
    <row r="1090" spans="2:5" x14ac:dyDescent="0.25">
      <c r="B1090" s="1" t="s">
        <v>13</v>
      </c>
      <c r="C1090" s="1">
        <v>41821</v>
      </c>
      <c r="D1090">
        <v>4404846709.1300001</v>
      </c>
      <c r="E1090">
        <v>1</v>
      </c>
    </row>
    <row r="1091" spans="2:5" x14ac:dyDescent="0.25">
      <c r="B1091" s="1" t="s">
        <v>69</v>
      </c>
      <c r="C1091" s="1">
        <v>41821</v>
      </c>
      <c r="D1091">
        <v>2307113272.52</v>
      </c>
      <c r="E1091">
        <v>2</v>
      </c>
    </row>
    <row r="1092" spans="2:5" x14ac:dyDescent="0.25">
      <c r="B1092" s="1" t="s">
        <v>78</v>
      </c>
      <c r="C1092" s="1">
        <v>41821</v>
      </c>
      <c r="D1092">
        <v>1448787273.48</v>
      </c>
      <c r="E1092">
        <v>3</v>
      </c>
    </row>
    <row r="1093" spans="2:5" x14ac:dyDescent="0.25">
      <c r="B1093" s="1" t="s">
        <v>16</v>
      </c>
      <c r="C1093" s="1">
        <v>41821</v>
      </c>
      <c r="D1093">
        <v>1266367352.4300001</v>
      </c>
      <c r="E1093">
        <v>4</v>
      </c>
    </row>
    <row r="1094" spans="2:5" x14ac:dyDescent="0.25">
      <c r="B1094" s="1" t="s">
        <v>80</v>
      </c>
      <c r="C1094" s="1">
        <v>41821</v>
      </c>
      <c r="D1094">
        <v>938242250.29999995</v>
      </c>
      <c r="E1094">
        <v>5</v>
      </c>
    </row>
    <row r="1095" spans="2:5" x14ac:dyDescent="0.25">
      <c r="B1095" s="1" t="s">
        <v>77</v>
      </c>
      <c r="C1095" s="1">
        <v>41821</v>
      </c>
      <c r="D1095">
        <v>826115611.47000003</v>
      </c>
      <c r="E1095">
        <v>6</v>
      </c>
    </row>
    <row r="1096" spans="2:5" x14ac:dyDescent="0.25">
      <c r="B1096" s="1" t="s">
        <v>32</v>
      </c>
      <c r="C1096" s="1">
        <v>41821</v>
      </c>
      <c r="D1096">
        <v>825523368.76999998</v>
      </c>
      <c r="E1096">
        <v>7</v>
      </c>
    </row>
    <row r="1097" spans="2:5" x14ac:dyDescent="0.25">
      <c r="B1097" s="1" t="s">
        <v>57</v>
      </c>
      <c r="C1097" s="1">
        <v>41821</v>
      </c>
      <c r="D1097">
        <v>768797131.27999997</v>
      </c>
      <c r="E1097">
        <v>8</v>
      </c>
    </row>
    <row r="1098" spans="2:5" x14ac:dyDescent="0.25">
      <c r="B1098" s="1" t="s">
        <v>12</v>
      </c>
      <c r="C1098" s="1">
        <v>41821</v>
      </c>
      <c r="D1098">
        <v>726777824.34000003</v>
      </c>
      <c r="E1098">
        <v>9</v>
      </c>
    </row>
    <row r="1099" spans="2:5" x14ac:dyDescent="0.25">
      <c r="B1099" s="1" t="s">
        <v>81</v>
      </c>
      <c r="C1099" s="1">
        <v>41821</v>
      </c>
      <c r="D1099">
        <v>667872707.69000006</v>
      </c>
      <c r="E1099">
        <v>10</v>
      </c>
    </row>
    <row r="1100" spans="2:5" x14ac:dyDescent="0.25">
      <c r="B1100" s="1" t="s">
        <v>13</v>
      </c>
      <c r="C1100" s="1">
        <v>41852</v>
      </c>
      <c r="D1100">
        <v>4351012772.2799997</v>
      </c>
      <c r="E1100">
        <v>1</v>
      </c>
    </row>
    <row r="1101" spans="2:5" x14ac:dyDescent="0.25">
      <c r="B1101" s="1" t="s">
        <v>69</v>
      </c>
      <c r="C1101" s="1">
        <v>41852</v>
      </c>
      <c r="D1101">
        <v>2194803673.75</v>
      </c>
      <c r="E1101">
        <v>2</v>
      </c>
    </row>
    <row r="1102" spans="2:5" x14ac:dyDescent="0.25">
      <c r="B1102" s="1" t="s">
        <v>78</v>
      </c>
      <c r="C1102" s="1">
        <v>41852</v>
      </c>
      <c r="D1102">
        <v>1540916705.1800001</v>
      </c>
      <c r="E1102">
        <v>3</v>
      </c>
    </row>
    <row r="1103" spans="2:5" x14ac:dyDescent="0.25">
      <c r="B1103" s="1" t="s">
        <v>16</v>
      </c>
      <c r="C1103" s="1">
        <v>41852</v>
      </c>
      <c r="D1103">
        <v>1176366465.74</v>
      </c>
      <c r="E1103">
        <v>4</v>
      </c>
    </row>
    <row r="1104" spans="2:5" x14ac:dyDescent="0.25">
      <c r="B1104" s="1" t="s">
        <v>77</v>
      </c>
      <c r="C1104" s="1">
        <v>41852</v>
      </c>
      <c r="D1104">
        <v>922664270</v>
      </c>
      <c r="E1104">
        <v>5</v>
      </c>
    </row>
    <row r="1105" spans="2:5" x14ac:dyDescent="0.25">
      <c r="B1105" s="1" t="s">
        <v>12</v>
      </c>
      <c r="C1105" s="1">
        <v>41852</v>
      </c>
      <c r="D1105">
        <v>787559163.98000002</v>
      </c>
      <c r="E1105">
        <v>6</v>
      </c>
    </row>
    <row r="1106" spans="2:5" x14ac:dyDescent="0.25">
      <c r="B1106" s="1" t="s">
        <v>57</v>
      </c>
      <c r="C1106" s="1">
        <v>41852</v>
      </c>
      <c r="D1106">
        <v>746652178.22000003</v>
      </c>
      <c r="E1106">
        <v>7</v>
      </c>
    </row>
    <row r="1107" spans="2:5" x14ac:dyDescent="0.25">
      <c r="B1107" s="1" t="s">
        <v>80</v>
      </c>
      <c r="C1107" s="1">
        <v>41852</v>
      </c>
      <c r="D1107">
        <v>696445840.41999996</v>
      </c>
      <c r="E1107">
        <v>8</v>
      </c>
    </row>
    <row r="1108" spans="2:5" x14ac:dyDescent="0.25">
      <c r="B1108" s="1" t="s">
        <v>79</v>
      </c>
      <c r="C1108" s="1">
        <v>41852</v>
      </c>
      <c r="D1108">
        <v>689637671.97000003</v>
      </c>
      <c r="E1108">
        <v>9</v>
      </c>
    </row>
    <row r="1109" spans="2:5" x14ac:dyDescent="0.25">
      <c r="B1109" s="1" t="s">
        <v>81</v>
      </c>
      <c r="C1109" s="1">
        <v>41852</v>
      </c>
      <c r="D1109">
        <v>685239103.03999996</v>
      </c>
      <c r="E1109">
        <v>10</v>
      </c>
    </row>
    <row r="1110" spans="2:5" x14ac:dyDescent="0.25">
      <c r="B1110" s="1" t="s">
        <v>13</v>
      </c>
      <c r="C1110" s="1">
        <v>41883</v>
      </c>
      <c r="D1110">
        <v>4282578991.9000001</v>
      </c>
      <c r="E1110">
        <v>1</v>
      </c>
    </row>
    <row r="1111" spans="2:5" x14ac:dyDescent="0.25">
      <c r="B1111" s="1" t="s">
        <v>6</v>
      </c>
      <c r="C1111" s="1">
        <v>41883</v>
      </c>
      <c r="D1111">
        <v>3595254259.9400001</v>
      </c>
      <c r="E1111">
        <v>2</v>
      </c>
    </row>
    <row r="1112" spans="2:5" x14ac:dyDescent="0.25">
      <c r="B1112" s="1" t="s">
        <v>57</v>
      </c>
      <c r="C1112" s="1">
        <v>41883</v>
      </c>
      <c r="D1112">
        <v>2814510250.8400002</v>
      </c>
      <c r="E1112">
        <v>3</v>
      </c>
    </row>
    <row r="1113" spans="2:5" x14ac:dyDescent="0.25">
      <c r="B1113" s="1" t="s">
        <v>69</v>
      </c>
      <c r="C1113" s="1">
        <v>41883</v>
      </c>
      <c r="D1113">
        <v>2398305642.0999999</v>
      </c>
      <c r="E1113">
        <v>4</v>
      </c>
    </row>
    <row r="1114" spans="2:5" x14ac:dyDescent="0.25">
      <c r="B1114" s="1" t="s">
        <v>16</v>
      </c>
      <c r="C1114" s="1">
        <v>41883</v>
      </c>
      <c r="D1114">
        <v>2100477876</v>
      </c>
      <c r="E1114">
        <v>5</v>
      </c>
    </row>
    <row r="1115" spans="2:5" x14ac:dyDescent="0.25">
      <c r="B1115" s="1" t="s">
        <v>78</v>
      </c>
      <c r="C1115" s="1">
        <v>41883</v>
      </c>
      <c r="D1115">
        <v>1540397265.4100001</v>
      </c>
      <c r="E1115">
        <v>6</v>
      </c>
    </row>
    <row r="1116" spans="2:5" x14ac:dyDescent="0.25">
      <c r="B1116" s="1" t="s">
        <v>77</v>
      </c>
      <c r="C1116" s="1">
        <v>41883</v>
      </c>
      <c r="D1116">
        <v>1153583979.72</v>
      </c>
      <c r="E1116">
        <v>7</v>
      </c>
    </row>
    <row r="1117" spans="2:5" x14ac:dyDescent="0.25">
      <c r="B1117" s="1" t="s">
        <v>44</v>
      </c>
      <c r="C1117" s="1">
        <v>41883</v>
      </c>
      <c r="D1117">
        <v>973320000</v>
      </c>
      <c r="E1117">
        <v>8</v>
      </c>
    </row>
    <row r="1118" spans="2:5" x14ac:dyDescent="0.25">
      <c r="B1118" s="1" t="s">
        <v>12</v>
      </c>
      <c r="C1118" s="1">
        <v>41883</v>
      </c>
      <c r="D1118">
        <v>874596962.26999998</v>
      </c>
      <c r="E1118">
        <v>9</v>
      </c>
    </row>
    <row r="1119" spans="2:5" x14ac:dyDescent="0.25">
      <c r="B1119" s="1" t="s">
        <v>79</v>
      </c>
      <c r="C1119" s="1">
        <v>41883</v>
      </c>
      <c r="D1119">
        <v>685504145.92999995</v>
      </c>
      <c r="E1119">
        <v>10</v>
      </c>
    </row>
    <row r="1120" spans="2:5" x14ac:dyDescent="0.25">
      <c r="B1120" s="1" t="s">
        <v>13</v>
      </c>
      <c r="C1120" s="1">
        <v>41913</v>
      </c>
      <c r="D1120">
        <v>4328284495.8800001</v>
      </c>
      <c r="E1120">
        <v>1</v>
      </c>
    </row>
    <row r="1121" spans="2:5" x14ac:dyDescent="0.25">
      <c r="B1121" s="1" t="s">
        <v>16</v>
      </c>
      <c r="C1121" s="1">
        <v>41913</v>
      </c>
      <c r="D1121">
        <v>2885476838.1799998</v>
      </c>
      <c r="E1121">
        <v>2</v>
      </c>
    </row>
    <row r="1122" spans="2:5" x14ac:dyDescent="0.25">
      <c r="B1122" s="1" t="s">
        <v>69</v>
      </c>
      <c r="C1122" s="1">
        <v>41913</v>
      </c>
      <c r="D1122">
        <v>2043426912.0999999</v>
      </c>
      <c r="E1122">
        <v>3</v>
      </c>
    </row>
    <row r="1123" spans="2:5" x14ac:dyDescent="0.25">
      <c r="B1123" s="1" t="s">
        <v>78</v>
      </c>
      <c r="C1123" s="1">
        <v>41913</v>
      </c>
      <c r="D1123">
        <v>1584140311.48</v>
      </c>
      <c r="E1123">
        <v>4</v>
      </c>
    </row>
    <row r="1124" spans="2:5" x14ac:dyDescent="0.25">
      <c r="B1124" s="1" t="s">
        <v>79</v>
      </c>
      <c r="C1124" s="1">
        <v>41913</v>
      </c>
      <c r="D1124">
        <v>1181205153.1800001</v>
      </c>
      <c r="E1124">
        <v>5</v>
      </c>
    </row>
    <row r="1125" spans="2:5" x14ac:dyDescent="0.25">
      <c r="B1125" s="1" t="s">
        <v>81</v>
      </c>
      <c r="C1125" s="1">
        <v>41913</v>
      </c>
      <c r="D1125">
        <v>1076952006.8</v>
      </c>
      <c r="E1125">
        <v>6</v>
      </c>
    </row>
    <row r="1126" spans="2:5" x14ac:dyDescent="0.25">
      <c r="B1126" s="1" t="s">
        <v>77</v>
      </c>
      <c r="C1126" s="1">
        <v>41913</v>
      </c>
      <c r="D1126">
        <v>978700583.25</v>
      </c>
      <c r="E1126">
        <v>7</v>
      </c>
    </row>
    <row r="1127" spans="2:5" x14ac:dyDescent="0.25">
      <c r="B1127" s="1" t="s">
        <v>57</v>
      </c>
      <c r="C1127" s="1">
        <v>41913</v>
      </c>
      <c r="D1127">
        <v>915816431.82000005</v>
      </c>
      <c r="E1127">
        <v>8</v>
      </c>
    </row>
    <row r="1128" spans="2:5" x14ac:dyDescent="0.25">
      <c r="B1128" s="1" t="s">
        <v>12</v>
      </c>
      <c r="C1128" s="1">
        <v>41913</v>
      </c>
      <c r="D1128">
        <v>880893025.72000003</v>
      </c>
      <c r="E1128">
        <v>9</v>
      </c>
    </row>
    <row r="1129" spans="2:5" x14ac:dyDescent="0.25">
      <c r="B1129" s="1" t="s">
        <v>32</v>
      </c>
      <c r="C1129" s="1">
        <v>41913</v>
      </c>
      <c r="D1129">
        <v>716394907.08000004</v>
      </c>
      <c r="E1129">
        <v>10</v>
      </c>
    </row>
    <row r="1130" spans="2:5" x14ac:dyDescent="0.25">
      <c r="B1130" s="1" t="s">
        <v>6</v>
      </c>
      <c r="C1130" s="1">
        <v>41944</v>
      </c>
      <c r="D1130">
        <v>4110188403.46</v>
      </c>
      <c r="E1130">
        <v>1</v>
      </c>
    </row>
    <row r="1131" spans="2:5" x14ac:dyDescent="0.25">
      <c r="B1131" s="1" t="s">
        <v>13</v>
      </c>
      <c r="C1131" s="1">
        <v>41944</v>
      </c>
      <c r="D1131">
        <v>3849600798.1199999</v>
      </c>
      <c r="E1131">
        <v>2</v>
      </c>
    </row>
    <row r="1132" spans="2:5" x14ac:dyDescent="0.25">
      <c r="B1132" s="1" t="s">
        <v>16</v>
      </c>
      <c r="C1132" s="1">
        <v>41944</v>
      </c>
      <c r="D1132">
        <v>3015072775.0799999</v>
      </c>
      <c r="E1132">
        <v>3</v>
      </c>
    </row>
    <row r="1133" spans="2:5" x14ac:dyDescent="0.25">
      <c r="B1133" s="1" t="s">
        <v>69</v>
      </c>
      <c r="C1133" s="1">
        <v>41944</v>
      </c>
      <c r="D1133">
        <v>2775970767.79</v>
      </c>
      <c r="E1133">
        <v>4</v>
      </c>
    </row>
    <row r="1134" spans="2:5" x14ac:dyDescent="0.25">
      <c r="B1134" s="1" t="s">
        <v>78</v>
      </c>
      <c r="C1134" s="1">
        <v>41944</v>
      </c>
      <c r="D1134">
        <v>1393087502.71</v>
      </c>
      <c r="E1134">
        <v>5</v>
      </c>
    </row>
    <row r="1135" spans="2:5" x14ac:dyDescent="0.25">
      <c r="B1135" s="1" t="s">
        <v>79</v>
      </c>
      <c r="C1135" s="1">
        <v>41944</v>
      </c>
      <c r="D1135">
        <v>998050265.50999999</v>
      </c>
      <c r="E1135">
        <v>6</v>
      </c>
    </row>
    <row r="1136" spans="2:5" x14ac:dyDescent="0.25">
      <c r="B1136" s="1" t="s">
        <v>77</v>
      </c>
      <c r="C1136" s="1">
        <v>41944</v>
      </c>
      <c r="D1136">
        <v>810311187.20000005</v>
      </c>
      <c r="E1136">
        <v>7</v>
      </c>
    </row>
    <row r="1137" spans="2:5" x14ac:dyDescent="0.25">
      <c r="B1137" s="1" t="s">
        <v>57</v>
      </c>
      <c r="C1137" s="1">
        <v>41944</v>
      </c>
      <c r="D1137">
        <v>773265401.87</v>
      </c>
      <c r="E1137">
        <v>8</v>
      </c>
    </row>
    <row r="1138" spans="2:5" x14ac:dyDescent="0.25">
      <c r="B1138" s="1" t="s">
        <v>12</v>
      </c>
      <c r="C1138" s="1">
        <v>41944</v>
      </c>
      <c r="D1138">
        <v>718640760.32000005</v>
      </c>
      <c r="E1138">
        <v>9</v>
      </c>
    </row>
    <row r="1139" spans="2:5" x14ac:dyDescent="0.25">
      <c r="B1139" s="1" t="s">
        <v>4</v>
      </c>
      <c r="C1139" s="1">
        <v>41944</v>
      </c>
      <c r="D1139">
        <v>606652063.09000003</v>
      </c>
      <c r="E1139">
        <v>10</v>
      </c>
    </row>
    <row r="1140" spans="2:5" x14ac:dyDescent="0.25">
      <c r="B1140" s="1" t="s">
        <v>13</v>
      </c>
      <c r="C1140" s="1">
        <v>41974</v>
      </c>
      <c r="D1140">
        <v>3928850698.1300001</v>
      </c>
      <c r="E1140">
        <v>1</v>
      </c>
    </row>
    <row r="1141" spans="2:5" x14ac:dyDescent="0.25">
      <c r="B1141" s="1" t="s">
        <v>4</v>
      </c>
      <c r="C1141" s="1">
        <v>41974</v>
      </c>
      <c r="D1141">
        <v>2913297453.96</v>
      </c>
      <c r="E1141">
        <v>2</v>
      </c>
    </row>
    <row r="1142" spans="2:5" x14ac:dyDescent="0.25">
      <c r="B1142" s="1" t="s">
        <v>69</v>
      </c>
      <c r="C1142" s="1">
        <v>41974</v>
      </c>
      <c r="D1142">
        <v>2066146511.47</v>
      </c>
      <c r="E1142">
        <v>3</v>
      </c>
    </row>
    <row r="1143" spans="2:5" x14ac:dyDescent="0.25">
      <c r="B1143" s="1" t="s">
        <v>79</v>
      </c>
      <c r="C1143" s="1">
        <v>41974</v>
      </c>
      <c r="D1143">
        <v>1879715467.6099999</v>
      </c>
      <c r="E1143">
        <v>4</v>
      </c>
    </row>
    <row r="1144" spans="2:5" x14ac:dyDescent="0.25">
      <c r="B1144" s="1" t="s">
        <v>81</v>
      </c>
      <c r="C1144" s="1">
        <v>41974</v>
      </c>
      <c r="D1144">
        <v>1404476774.0999999</v>
      </c>
      <c r="E1144">
        <v>5</v>
      </c>
    </row>
    <row r="1145" spans="2:5" x14ac:dyDescent="0.25">
      <c r="B1145" s="1" t="s">
        <v>12</v>
      </c>
      <c r="C1145" s="1">
        <v>41974</v>
      </c>
      <c r="D1145">
        <v>1117301751.3599999</v>
      </c>
      <c r="E1145">
        <v>6</v>
      </c>
    </row>
    <row r="1146" spans="2:5" x14ac:dyDescent="0.25">
      <c r="B1146" s="1" t="s">
        <v>78</v>
      </c>
      <c r="C1146" s="1">
        <v>41974</v>
      </c>
      <c r="D1146">
        <v>1076041614.8099999</v>
      </c>
      <c r="E1146">
        <v>7</v>
      </c>
    </row>
    <row r="1147" spans="2:5" x14ac:dyDescent="0.25">
      <c r="B1147" s="1" t="s">
        <v>16</v>
      </c>
      <c r="C1147" s="1">
        <v>41974</v>
      </c>
      <c r="D1147">
        <v>960946838.37</v>
      </c>
      <c r="E1147">
        <v>8</v>
      </c>
    </row>
    <row r="1148" spans="2:5" x14ac:dyDescent="0.25">
      <c r="B1148" s="1" t="s">
        <v>77</v>
      </c>
      <c r="C1148" s="1">
        <v>41974</v>
      </c>
      <c r="D1148">
        <v>956205375.35000002</v>
      </c>
      <c r="E1148">
        <v>9</v>
      </c>
    </row>
    <row r="1149" spans="2:5" x14ac:dyDescent="0.25">
      <c r="B1149" s="1" t="s">
        <v>21</v>
      </c>
      <c r="C1149" s="1">
        <v>41974</v>
      </c>
      <c r="D1149">
        <v>666254502</v>
      </c>
      <c r="E1149">
        <v>10</v>
      </c>
    </row>
    <row r="1150" spans="2:5" x14ac:dyDescent="0.25">
      <c r="B1150" s="1" t="s">
        <v>13</v>
      </c>
      <c r="C1150" s="1">
        <v>42005</v>
      </c>
      <c r="D1150">
        <v>5489190091.1700001</v>
      </c>
      <c r="E1150">
        <v>1</v>
      </c>
    </row>
    <row r="1151" spans="2:5" x14ac:dyDescent="0.25">
      <c r="B1151" s="1" t="s">
        <v>69</v>
      </c>
      <c r="C1151" s="1">
        <v>42005</v>
      </c>
      <c r="D1151">
        <v>3191572944.1500001</v>
      </c>
      <c r="E1151">
        <v>2</v>
      </c>
    </row>
    <row r="1152" spans="2:5" x14ac:dyDescent="0.25">
      <c r="B1152" s="1" t="s">
        <v>16</v>
      </c>
      <c r="C1152" s="1">
        <v>42005</v>
      </c>
      <c r="D1152">
        <v>1859953180.3399999</v>
      </c>
      <c r="E1152">
        <v>3</v>
      </c>
    </row>
    <row r="1153" spans="2:5" x14ac:dyDescent="0.25">
      <c r="B1153" s="1" t="s">
        <v>79</v>
      </c>
      <c r="C1153" s="1">
        <v>42005</v>
      </c>
      <c r="D1153">
        <v>1575481438.27</v>
      </c>
      <c r="E1153">
        <v>4</v>
      </c>
    </row>
    <row r="1154" spans="2:5" x14ac:dyDescent="0.25">
      <c r="B1154" s="1" t="s">
        <v>78</v>
      </c>
      <c r="C1154" s="1">
        <v>42005</v>
      </c>
      <c r="D1154">
        <v>1239435764.55</v>
      </c>
      <c r="E1154">
        <v>5</v>
      </c>
    </row>
    <row r="1155" spans="2:5" x14ac:dyDescent="0.25">
      <c r="B1155" s="1" t="s">
        <v>12</v>
      </c>
      <c r="C1155" s="1">
        <v>42005</v>
      </c>
      <c r="D1155">
        <v>908465632.36000001</v>
      </c>
      <c r="E1155">
        <v>6</v>
      </c>
    </row>
    <row r="1156" spans="2:5" x14ac:dyDescent="0.25">
      <c r="B1156" s="1" t="s">
        <v>81</v>
      </c>
      <c r="C1156" s="1">
        <v>42005</v>
      </c>
      <c r="D1156">
        <v>820018959.46000004</v>
      </c>
      <c r="E1156">
        <v>7</v>
      </c>
    </row>
    <row r="1157" spans="2:5" x14ac:dyDescent="0.25">
      <c r="B1157" s="1" t="s">
        <v>57</v>
      </c>
      <c r="C1157" s="1">
        <v>42005</v>
      </c>
      <c r="D1157">
        <v>818350088.14999998</v>
      </c>
      <c r="E1157">
        <v>8</v>
      </c>
    </row>
    <row r="1158" spans="2:5" x14ac:dyDescent="0.25">
      <c r="B1158" s="1" t="s">
        <v>77</v>
      </c>
      <c r="C1158" s="1">
        <v>42005</v>
      </c>
      <c r="D1158">
        <v>727299851.34000003</v>
      </c>
      <c r="E1158">
        <v>9</v>
      </c>
    </row>
    <row r="1159" spans="2:5" x14ac:dyDescent="0.25">
      <c r="B1159" s="1" t="s">
        <v>4</v>
      </c>
      <c r="C1159" s="1">
        <v>42005</v>
      </c>
      <c r="D1159">
        <v>590251975.22000003</v>
      </c>
      <c r="E1159">
        <v>10</v>
      </c>
    </row>
    <row r="1160" spans="2:5" x14ac:dyDescent="0.25">
      <c r="B1160" s="1" t="s">
        <v>13</v>
      </c>
      <c r="C1160" s="1">
        <v>42036</v>
      </c>
      <c r="D1160">
        <v>5063985040.1199999</v>
      </c>
      <c r="E1160">
        <v>1</v>
      </c>
    </row>
    <row r="1161" spans="2:5" x14ac:dyDescent="0.25">
      <c r="B1161" s="1" t="s">
        <v>69</v>
      </c>
      <c r="C1161" s="1">
        <v>42036</v>
      </c>
      <c r="D1161">
        <v>2391607148.8299999</v>
      </c>
      <c r="E1161">
        <v>2</v>
      </c>
    </row>
    <row r="1162" spans="2:5" x14ac:dyDescent="0.25">
      <c r="B1162" s="1" t="s">
        <v>16</v>
      </c>
      <c r="C1162" s="1">
        <v>42036</v>
      </c>
      <c r="D1162">
        <v>1754464295.02</v>
      </c>
      <c r="E1162">
        <v>3</v>
      </c>
    </row>
    <row r="1163" spans="2:5" x14ac:dyDescent="0.25">
      <c r="B1163" s="1" t="s">
        <v>79</v>
      </c>
      <c r="C1163" s="1">
        <v>42036</v>
      </c>
      <c r="D1163">
        <v>1363400170.6300001</v>
      </c>
      <c r="E1163">
        <v>4</v>
      </c>
    </row>
    <row r="1164" spans="2:5" x14ac:dyDescent="0.25">
      <c r="B1164" s="1" t="s">
        <v>78</v>
      </c>
      <c r="C1164" s="1">
        <v>42036</v>
      </c>
      <c r="D1164">
        <v>1098070187.5599999</v>
      </c>
      <c r="E1164">
        <v>5</v>
      </c>
    </row>
    <row r="1165" spans="2:5" x14ac:dyDescent="0.25">
      <c r="B1165" s="1" t="s">
        <v>81</v>
      </c>
      <c r="C1165" s="1">
        <v>42036</v>
      </c>
      <c r="D1165">
        <v>986818665.65999997</v>
      </c>
      <c r="E1165">
        <v>6</v>
      </c>
    </row>
    <row r="1166" spans="2:5" x14ac:dyDescent="0.25">
      <c r="B1166" s="1" t="s">
        <v>12</v>
      </c>
      <c r="C1166" s="1">
        <v>42036</v>
      </c>
      <c r="D1166">
        <v>972342136.94000006</v>
      </c>
      <c r="E1166">
        <v>7</v>
      </c>
    </row>
    <row r="1167" spans="2:5" x14ac:dyDescent="0.25">
      <c r="B1167" s="1" t="s">
        <v>77</v>
      </c>
      <c r="C1167" s="1">
        <v>42036</v>
      </c>
      <c r="D1167">
        <v>917470993.57000005</v>
      </c>
      <c r="E1167">
        <v>8</v>
      </c>
    </row>
    <row r="1168" spans="2:5" x14ac:dyDescent="0.25">
      <c r="B1168" s="1" t="s">
        <v>57</v>
      </c>
      <c r="C1168" s="1">
        <v>42036</v>
      </c>
      <c r="D1168">
        <v>842065425.11000001</v>
      </c>
      <c r="E1168">
        <v>9</v>
      </c>
    </row>
    <row r="1169" spans="2:5" x14ac:dyDescent="0.25">
      <c r="B1169" s="1" t="s">
        <v>32</v>
      </c>
      <c r="C1169" s="1">
        <v>42036</v>
      </c>
      <c r="D1169">
        <v>625784148.74000001</v>
      </c>
      <c r="E1169">
        <v>10</v>
      </c>
    </row>
    <row r="1170" spans="2:5" x14ac:dyDescent="0.25">
      <c r="B1170" s="1" t="s">
        <v>13</v>
      </c>
      <c r="C1170" s="1">
        <v>42064</v>
      </c>
      <c r="D1170">
        <v>4009024386</v>
      </c>
      <c r="E1170">
        <v>1</v>
      </c>
    </row>
    <row r="1171" spans="2:5" x14ac:dyDescent="0.25">
      <c r="B1171" s="1" t="s">
        <v>69</v>
      </c>
      <c r="C1171" s="1">
        <v>42064</v>
      </c>
      <c r="D1171">
        <v>2642975820</v>
      </c>
      <c r="E1171">
        <v>2</v>
      </c>
    </row>
    <row r="1172" spans="2:5" x14ac:dyDescent="0.25">
      <c r="B1172" s="1" t="s">
        <v>78</v>
      </c>
      <c r="C1172" s="1">
        <v>42064</v>
      </c>
      <c r="D1172">
        <v>1133721835.6300001</v>
      </c>
      <c r="E1172">
        <v>3</v>
      </c>
    </row>
    <row r="1173" spans="2:5" x14ac:dyDescent="0.25">
      <c r="B1173" s="1" t="s">
        <v>12</v>
      </c>
      <c r="C1173" s="1">
        <v>42064</v>
      </c>
      <c r="D1173">
        <v>550451758</v>
      </c>
      <c r="E1173">
        <v>4</v>
      </c>
    </row>
    <row r="1174" spans="2:5" x14ac:dyDescent="0.25">
      <c r="B1174" s="1" t="s">
        <v>16</v>
      </c>
      <c r="C1174" s="1">
        <v>42064</v>
      </c>
      <c r="D1174">
        <v>508288538.50999999</v>
      </c>
      <c r="E1174">
        <v>5</v>
      </c>
    </row>
    <row r="1175" spans="2:5" x14ac:dyDescent="0.25">
      <c r="B1175" s="1" t="s">
        <v>32</v>
      </c>
      <c r="C1175" s="1">
        <v>42064</v>
      </c>
      <c r="D1175">
        <v>497809765</v>
      </c>
      <c r="E1175">
        <v>6</v>
      </c>
    </row>
    <row r="1176" spans="2:5" x14ac:dyDescent="0.25">
      <c r="B1176" s="1" t="s">
        <v>79</v>
      </c>
      <c r="C1176" s="1">
        <v>42064</v>
      </c>
      <c r="D1176">
        <v>474646155.38999999</v>
      </c>
      <c r="E1176">
        <v>7</v>
      </c>
    </row>
    <row r="1177" spans="2:5" x14ac:dyDescent="0.25">
      <c r="B1177" s="1" t="s">
        <v>4</v>
      </c>
      <c r="C1177" s="1">
        <v>42064</v>
      </c>
      <c r="D1177">
        <v>448907763</v>
      </c>
      <c r="E1177">
        <v>8</v>
      </c>
    </row>
    <row r="1178" spans="2:5" x14ac:dyDescent="0.25">
      <c r="B1178" s="1" t="s">
        <v>81</v>
      </c>
      <c r="C1178" s="1">
        <v>42064</v>
      </c>
      <c r="D1178">
        <v>441678989.61000001</v>
      </c>
      <c r="E1178">
        <v>9</v>
      </c>
    </row>
    <row r="1179" spans="2:5" x14ac:dyDescent="0.25">
      <c r="B1179" s="1" t="s">
        <v>73</v>
      </c>
      <c r="C1179" s="1">
        <v>42064</v>
      </c>
      <c r="D1179">
        <v>395566598</v>
      </c>
      <c r="E1179">
        <v>10</v>
      </c>
    </row>
    <row r="1180" spans="2:5" x14ac:dyDescent="0.25">
      <c r="C1180" s="1"/>
    </row>
    <row r="1181" spans="2:5" x14ac:dyDescent="0.25">
      <c r="C1181" s="1"/>
    </row>
    <row r="1182" spans="2:5" x14ac:dyDescent="0.25">
      <c r="C1182" s="1"/>
    </row>
    <row r="1183" spans="2:5" x14ac:dyDescent="0.25">
      <c r="C1183" s="1"/>
    </row>
    <row r="1184" spans="2:5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4" spans="3:3" x14ac:dyDescent="0.25">
      <c r="C1194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8" spans="3:3" x14ac:dyDescent="0.25">
      <c r="C1198" s="1"/>
    </row>
    <row r="1199" spans="3:3" x14ac:dyDescent="0.25">
      <c r="C1199" s="1"/>
    </row>
    <row r="1200" spans="3:3" x14ac:dyDescent="0.25">
      <c r="C1200" s="1"/>
    </row>
    <row r="1201" spans="3:3" x14ac:dyDescent="0.25">
      <c r="C1201" s="1"/>
    </row>
    <row r="1202" spans="3:3" x14ac:dyDescent="0.25">
      <c r="C1202" s="1"/>
    </row>
    <row r="1203" spans="3:3" x14ac:dyDescent="0.25">
      <c r="C1203" s="1"/>
    </row>
    <row r="1204" spans="3:3" x14ac:dyDescent="0.25">
      <c r="C1204" s="1"/>
    </row>
    <row r="1205" spans="3:3" x14ac:dyDescent="0.25">
      <c r="C1205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3" spans="3:3" x14ac:dyDescent="0.25">
      <c r="C1233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38" spans="3:3" x14ac:dyDescent="0.25">
      <c r="C1238" s="1"/>
    </row>
    <row r="1239" spans="3:3" x14ac:dyDescent="0.25">
      <c r="C1239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2" spans="3:3" x14ac:dyDescent="0.25">
      <c r="C1252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3" spans="3:3" x14ac:dyDescent="0.25">
      <c r="C1263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4" spans="3:3" x14ac:dyDescent="0.25">
      <c r="C1274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3" spans="3:3" x14ac:dyDescent="0.25">
      <c r="C1283" s="1"/>
    </row>
    <row r="1284" spans="3:3" x14ac:dyDescent="0.25">
      <c r="C1284" s="1"/>
    </row>
    <row r="1285" spans="3:3" x14ac:dyDescent="0.25">
      <c r="C1285" s="1"/>
    </row>
    <row r="1286" spans="3:3" x14ac:dyDescent="0.25">
      <c r="C1286" s="1"/>
    </row>
    <row r="1287" spans="3:3" x14ac:dyDescent="0.25">
      <c r="C1287" s="1"/>
    </row>
    <row r="1288" spans="3:3" x14ac:dyDescent="0.25">
      <c r="C1288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7" spans="3:3" x14ac:dyDescent="0.25">
      <c r="C1307" s="1"/>
    </row>
    <row r="1308" spans="3:3" x14ac:dyDescent="0.25">
      <c r="C1308" s="1"/>
    </row>
    <row r="1309" spans="3:3" x14ac:dyDescent="0.25">
      <c r="C1309" s="1"/>
    </row>
    <row r="1310" spans="3:3" x14ac:dyDescent="0.25">
      <c r="C1310" s="1"/>
    </row>
    <row r="1311" spans="3:3" x14ac:dyDescent="0.25">
      <c r="C1311" s="1"/>
    </row>
    <row r="1312" spans="3:3" x14ac:dyDescent="0.25">
      <c r="C1312" s="1"/>
    </row>
    <row r="1313" spans="3:3" x14ac:dyDescent="0.25">
      <c r="C1313" s="1"/>
    </row>
    <row r="1314" spans="3:3" x14ac:dyDescent="0.25">
      <c r="C1314" s="1"/>
    </row>
    <row r="1315" spans="3:3" x14ac:dyDescent="0.25">
      <c r="C1315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0" spans="3:3" x14ac:dyDescent="0.25">
      <c r="C1320" s="1"/>
    </row>
    <row r="1321" spans="3:3" x14ac:dyDescent="0.25">
      <c r="C1321" s="1"/>
    </row>
    <row r="1322" spans="3:3" x14ac:dyDescent="0.25">
      <c r="C1322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6" spans="3:3" x14ac:dyDescent="0.25">
      <c r="C1386" s="1"/>
    </row>
    <row r="1387" spans="3:3" x14ac:dyDescent="0.25">
      <c r="C1387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398" spans="3:3" x14ac:dyDescent="0.25">
      <c r="C1398" s="1"/>
    </row>
    <row r="1399" spans="3:3" x14ac:dyDescent="0.25">
      <c r="C1399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Result-Combine</vt:lpstr>
      <vt:lpstr>Result-lag</vt:lpstr>
      <vt:lpstr>Result -equal</vt:lpstr>
      <vt:lpstr>Pivot - lag</vt:lpstr>
      <vt:lpstr>Input-lag</vt:lpstr>
      <vt:lpstr>Pivot-equal</vt:lpstr>
      <vt:lpstr>Input-equal</vt:lpstr>
      <vt:lpstr>'Input-equal'!temp</vt:lpstr>
      <vt:lpstr>'Input-lag'!temp</vt:lpstr>
      <vt:lpstr>'Input-equal'!temp_11</vt:lpstr>
      <vt:lpstr>'Input-equal'!temp_12</vt:lpstr>
      <vt:lpstr>'Input-lag'!temp_6</vt:lpstr>
      <vt:lpstr>'Input-lag'!temp_8</vt:lpstr>
      <vt:lpstr>'Input-equal'!temp_9</vt:lpstr>
      <vt:lpstr>'Input-lag'!temp_9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2015-03-19T19:21:46Z</dcterms:modified>
</cp:coreProperties>
</file>