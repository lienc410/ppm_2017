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390" windowWidth="30435" windowHeight="17400" activeTab="1"/>
  </bookViews>
  <sheets>
    <sheet name="Sheet1" sheetId="1" r:id="rId1"/>
    <sheet name="Sheet2" sheetId="2" r:id="rId2"/>
    <sheet name="Sheet3" sheetId="3" r:id="rId3"/>
  </sheets>
  <calcPr calcId="145621"/>
  <pivotCaches>
    <pivotCache cacheId="190" r:id="rId4"/>
  </pivotCaches>
</workbook>
</file>

<file path=xl/calcChain.xml><?xml version="1.0" encoding="utf-8"?>
<calcChain xmlns="http://schemas.openxmlformats.org/spreadsheetml/2006/main">
  <c r="L4" i="2" l="1"/>
  <c r="L9" i="2"/>
  <c r="L12" i="2"/>
  <c r="L23" i="2"/>
  <c r="L19" i="2"/>
  <c r="L15" i="2"/>
  <c r="I12" i="2"/>
  <c r="I13" i="2"/>
  <c r="I14" i="2"/>
  <c r="I15" i="2"/>
  <c r="I16" i="2"/>
  <c r="I17" i="2"/>
  <c r="I18" i="2"/>
  <c r="I19" i="2"/>
  <c r="I20" i="2"/>
  <c r="I22" i="2"/>
  <c r="I23" i="2"/>
  <c r="I24" i="2"/>
  <c r="I25" i="2"/>
  <c r="I26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2" i="2"/>
  <c r="I63" i="2"/>
  <c r="I64" i="2"/>
  <c r="I65" i="2"/>
  <c r="I66" i="2"/>
  <c r="I67" i="2"/>
  <c r="I72" i="2"/>
  <c r="I73" i="2"/>
  <c r="I74" i="2"/>
  <c r="I75" i="2"/>
  <c r="I76" i="2"/>
  <c r="I77" i="2"/>
  <c r="I78" i="2"/>
  <c r="I79" i="2"/>
  <c r="I82" i="2"/>
  <c r="I83" i="2"/>
  <c r="I84" i="2"/>
  <c r="I85" i="2"/>
  <c r="I86" i="2"/>
  <c r="I87" i="2"/>
  <c r="I88" i="2"/>
  <c r="I89" i="2"/>
  <c r="I91" i="2"/>
  <c r="I92" i="2"/>
  <c r="I93" i="2"/>
  <c r="I94" i="2"/>
  <c r="I96" i="2"/>
  <c r="I97" i="2"/>
  <c r="I98" i="2"/>
  <c r="I99" i="2"/>
  <c r="I100" i="2"/>
  <c r="I101" i="2"/>
  <c r="I3" i="2"/>
  <c r="L2" i="2" s="1"/>
  <c r="I4" i="2"/>
  <c r="L5" i="2" s="1"/>
  <c r="I5" i="2"/>
  <c r="L14" i="2" s="1"/>
  <c r="I6" i="2"/>
  <c r="L10" i="2" s="1"/>
  <c r="I7" i="2"/>
  <c r="I8" i="2"/>
  <c r="I9" i="2"/>
  <c r="L3" i="2" s="1"/>
  <c r="I10" i="2"/>
  <c r="L6" i="2" s="1"/>
  <c r="I11" i="2"/>
  <c r="L16" i="2" s="1"/>
  <c r="I21" i="2"/>
  <c r="L24" i="2" s="1"/>
  <c r="I27" i="2"/>
  <c r="L8" i="2" s="1"/>
  <c r="I28" i="2"/>
  <c r="L11" i="2" s="1"/>
  <c r="I47" i="2"/>
  <c r="I61" i="2"/>
  <c r="I68" i="2"/>
  <c r="L20" i="2" s="1"/>
  <c r="I69" i="2"/>
  <c r="L13" i="2" s="1"/>
  <c r="I70" i="2"/>
  <c r="L22" i="2" s="1"/>
  <c r="I71" i="2"/>
  <c r="L17" i="2" s="1"/>
  <c r="I80" i="2"/>
  <c r="L18" i="2" s="1"/>
  <c r="I81" i="2"/>
  <c r="L21" i="2" s="1"/>
  <c r="I90" i="2"/>
  <c r="I95" i="2"/>
  <c r="I2" i="2"/>
  <c r="L7" i="2" s="1"/>
</calcChain>
</file>

<file path=xl/sharedStrings.xml><?xml version="1.0" encoding="utf-8"?>
<sst xmlns="http://schemas.openxmlformats.org/spreadsheetml/2006/main" count="466" uniqueCount="37">
  <si>
    <t>Top 10 For Current Month</t>
  </si>
  <si>
    <t>Issue Month:</t>
  </si>
  <si>
    <t>Rank</t>
  </si>
  <si>
    <t>Servicer Name</t>
  </si>
  <si>
    <t>Market Share</t>
  </si>
  <si>
    <t>Volume (M)</t>
  </si>
  <si>
    <t>CWB</t>
  </si>
  <si>
    <t>SUNTRUST</t>
  </si>
  <si>
    <t>ALLY</t>
  </si>
  <si>
    <t>OHIO SAVINGS BANK</t>
  </si>
  <si>
    <t>INDYMAC BANK, FSB</t>
  </si>
  <si>
    <t>FLAGSTAR</t>
  </si>
  <si>
    <t>PNC</t>
  </si>
  <si>
    <t>PHH</t>
  </si>
  <si>
    <t>WACHOVIA</t>
  </si>
  <si>
    <t>RED MORTGAGE CAPITAL, INC.</t>
  </si>
  <si>
    <t>Top 10 For Previous Month</t>
  </si>
  <si>
    <t>ARCS COMMERCIAL MORTGAGE COMPANY, L.P.</t>
  </si>
  <si>
    <t>AMTRUST</t>
  </si>
  <si>
    <t>ABM</t>
  </si>
  <si>
    <t>HUNTINGTON</t>
  </si>
  <si>
    <t>HSBC</t>
  </si>
  <si>
    <t>FEDERAL HOME LOAN BANK OF CHICAGO</t>
  </si>
  <si>
    <t>RBS</t>
  </si>
  <si>
    <t>PENNSYLVANIA HOUSING FINANCE AGENCY</t>
  </si>
  <si>
    <t>FIFTH THIRD</t>
  </si>
  <si>
    <t>USAA</t>
  </si>
  <si>
    <t>DB MORTGAGE SERVICES, LLC</t>
  </si>
  <si>
    <t>MANUFACTURERS AND TRADERS TRUST COMPANY</t>
  </si>
  <si>
    <t>WAMU</t>
  </si>
  <si>
    <t>Lender</t>
  </si>
  <si>
    <t>Issue Volume</t>
  </si>
  <si>
    <t>Row Labels</t>
  </si>
  <si>
    <t>Grand Total</t>
  </si>
  <si>
    <t>Average of Market Share</t>
  </si>
  <si>
    <t>Count</t>
  </si>
  <si>
    <t>Count (times in top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</si>
</sst>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"/>
    <numFmt numFmtId="165" formatCode="0.0%"/>
    <numFmt numFmtId="166" formatCode="&quot;$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AD275C"/>
      <name val="Calibri"/>
      <family val="2"/>
    </font>
    <font>
      <sz val="10"/>
      <color rgb="FF000000"/>
      <name val="Calibri"/>
      <family val="2"/>
    </font>
    <font>
      <sz val="11"/>
      <color rgb="FFAD275C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 applyAlignment="1">
      <alignment horizontal="right"/>
    </xf>
    <xf numFmtId="164" fontId="5" fillId="0" borderId="0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14" fontId="4" fillId="0" borderId="2" xfId="0" applyNumberFormat="1" applyFont="1" applyFill="1" applyBorder="1" applyAlignment="1">
      <alignment horizontal="left"/>
    </xf>
    <xf numFmtId="165" fontId="4" fillId="0" borderId="2" xfId="1" applyNumberFormat="1" applyFont="1" applyFill="1" applyBorder="1" applyAlignment="1">
      <alignment horizontal="center"/>
    </xf>
    <xf numFmtId="166" fontId="4" fillId="0" borderId="3" xfId="1" applyNumberFormat="1" applyFont="1" applyFill="1" applyBorder="1" applyAlignment="1">
      <alignment horizontal="center"/>
    </xf>
    <xf numFmtId="166" fontId="4" fillId="0" borderId="3" xfId="0" applyNumberFormat="1" applyFont="1" applyFill="1" applyBorder="1" applyAlignment="1">
      <alignment horizontal="center"/>
    </xf>
    <xf numFmtId="14" fontId="4" fillId="2" borderId="4" xfId="0" applyNumberFormat="1" applyFont="1" applyFill="1" applyBorder="1" applyAlignment="1">
      <alignment horizontal="left"/>
    </xf>
    <xf numFmtId="0" fontId="0" fillId="0" borderId="4" xfId="0" applyBorder="1"/>
    <xf numFmtId="14" fontId="4" fillId="0" borderId="4" xfId="0" applyNumberFormat="1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0" fontId="2" fillId="3" borderId="4" xfId="0" applyFont="1" applyFill="1" applyBorder="1"/>
    <xf numFmtId="0" fontId="0" fillId="2" borderId="4" xfId="0" applyFill="1" applyBorder="1" applyAlignment="1">
      <alignment horizontal="left"/>
    </xf>
    <xf numFmtId="0" fontId="0" fillId="0" borderId="4" xfId="0" applyNumberFormat="1" applyBorder="1"/>
    <xf numFmtId="9" fontId="0" fillId="0" borderId="4" xfId="0" applyNumberFormat="1" applyBorder="1"/>
    <xf numFmtId="0" fontId="0" fillId="0" borderId="4" xfId="0" applyBorder="1" applyAlignment="1">
      <alignment horizontal="left"/>
    </xf>
  </cellXfs>
  <cellStyles count="2">
    <cellStyle name="Normal" xfId="0" builtinId="0"/>
    <cellStyle name="Percent" xfId="1" builtinId="5"/>
  </cellStyles>
  <dxfs count="22"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67" formatCode="0.0"/>
    </dxf>
    <dxf>
      <numFmt numFmtId="2" formatCode="0.00"/>
    </dxf>
    <dxf>
      <numFmt numFmtId="167" formatCode="0.0"/>
    </dxf>
    <dxf>
      <numFmt numFmtId="13" formatCode="0%"/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121.420165856478" createdVersion="4" refreshedVersion="4" minRefreshableVersion="3" recordCount="100">
  <cacheSource type="worksheet">
    <worksheetSource ref="B1:E101" sheet="Sheet2"/>
  </cacheSource>
  <cacheFields count="4">
    <cacheField name="Rank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Lender" numFmtId="14">
      <sharedItems count="23">
        <s v="CWB"/>
        <s v="SUNTRUST"/>
        <s v="ALLY"/>
        <s v="OHIO SAVINGS BANK"/>
        <s v="INDYMAC BANK, FSB"/>
        <s v="FLAGSTAR"/>
        <s v="PNC"/>
        <s v="PHH"/>
        <s v="WACHOVIA"/>
        <s v="RED MORTGAGE CAPITAL, INC."/>
        <s v="ARCS COMMERCIAL MORTGAGE COMPANY, L.P."/>
        <s v="AMTRUST"/>
        <s v="ABM"/>
        <s v="USAA"/>
        <s v="DB MORTGAGE SERVICES, LLC"/>
        <s v="HUNTINGTON"/>
        <s v="HSBC"/>
        <s v="FEDERAL HOME LOAN BANK OF CHICAGO"/>
        <s v="RBS"/>
        <s v="PENNSYLVANIA HOUSING FINANCE AGENCY"/>
        <s v="FIFTH THIRD"/>
        <s v="MANUFACTURERS AND TRADERS TRUST COMPANY"/>
        <s v="WAMU"/>
      </sharedItems>
    </cacheField>
    <cacheField name="Market Share" numFmtId="165">
      <sharedItems containsSemiMixedTypes="0" containsString="0" containsNumber="1" minValue="2.6125801897097815E-3" maxValue="0.17753783370873197"/>
    </cacheField>
    <cacheField name="Issue Volume" numFmtId="166">
      <sharedItems containsSemiMixedTypes="0" containsString="0" containsNumber="1" minValue="143.04988399999999" maxValue="8711.508813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n v="0.12029214669954438"/>
    <n v="5541.5273029999998"/>
  </r>
  <r>
    <x v="1"/>
    <x v="1"/>
    <n v="6.0504777304456081E-2"/>
    <n v="2787.288153"/>
  </r>
  <r>
    <x v="2"/>
    <x v="2"/>
    <n v="3.6588351460938806E-2"/>
    <n v="1685.52440168"/>
  </r>
  <r>
    <x v="3"/>
    <x v="3"/>
    <n v="2.9259955144484918E-2"/>
    <n v="1347.925403"/>
  </r>
  <r>
    <x v="4"/>
    <x v="4"/>
    <n v="1.9959824608603224E-2"/>
    <n v="919.49404900000002"/>
  </r>
  <r>
    <x v="5"/>
    <x v="5"/>
    <n v="1.9803805214860682E-2"/>
    <n v="912.30666599999995"/>
  </r>
  <r>
    <x v="6"/>
    <x v="6"/>
    <n v="1.9620934799757826E-2"/>
    <n v="903.88233052999999"/>
  </r>
  <r>
    <x v="7"/>
    <x v="7"/>
    <n v="1.3528779967936382E-2"/>
    <n v="623.23356616000001"/>
  </r>
  <r>
    <x v="8"/>
    <x v="8"/>
    <n v="1.0138151247076269E-2"/>
    <n v="467.03665599999999"/>
  </r>
  <r>
    <x v="9"/>
    <x v="9"/>
    <n v="6.6030609151701003E-3"/>
    <n v="304.184798"/>
  </r>
  <r>
    <x v="0"/>
    <x v="0"/>
    <n v="0.17753783370873197"/>
    <n v="8711.5088130000004"/>
  </r>
  <r>
    <x v="1"/>
    <x v="2"/>
    <n v="5.0407138126429163E-2"/>
    <n v="2473.4008456300003"/>
  </r>
  <r>
    <x v="2"/>
    <x v="1"/>
    <n v="2.8386556857316645E-2"/>
    <n v="1392.8847450000001"/>
  </r>
  <r>
    <x v="3"/>
    <x v="3"/>
    <n v="2.1971758207788079E-2"/>
    <n v="1078.1204279999999"/>
  </r>
  <r>
    <x v="4"/>
    <x v="4"/>
    <n v="1.7914300025521933E-2"/>
    <n v="879.02718700000003"/>
  </r>
  <r>
    <x v="5"/>
    <x v="6"/>
    <n v="1.396471012324314E-2"/>
    <n v="685.22687682000003"/>
  </r>
  <r>
    <x v="6"/>
    <x v="8"/>
    <n v="1.2538679919170652E-2"/>
    <n v="615.25376500000004"/>
  </r>
  <r>
    <x v="7"/>
    <x v="7"/>
    <n v="9.6643049311640698E-3"/>
    <n v="474.2125992"/>
  </r>
  <r>
    <x v="8"/>
    <x v="5"/>
    <n v="8.5245430439931016E-3"/>
    <n v="418.28623399999998"/>
  </r>
  <r>
    <x v="9"/>
    <x v="10"/>
    <n v="7.3052867427507353E-3"/>
    <n v="358.45920000000001"/>
  </r>
  <r>
    <x v="0"/>
    <x v="0"/>
    <n v="0.11174596824621039"/>
    <n v="8522.2270788999995"/>
  </r>
  <r>
    <x v="1"/>
    <x v="1"/>
    <n v="4.4359113350954417E-2"/>
    <n v="3383.0163443800002"/>
  </r>
  <r>
    <x v="2"/>
    <x v="2"/>
    <n v="3.6697435888159866E-2"/>
    <n v="2798.7039421700001"/>
  </r>
  <r>
    <x v="3"/>
    <x v="5"/>
    <n v="1.9827667515715384E-2"/>
    <n v="1512.1430120999999"/>
  </r>
  <r>
    <x v="4"/>
    <x v="4"/>
    <n v="1.9326787675798471E-2"/>
    <n v="1473.9437660599999"/>
  </r>
  <r>
    <x v="5"/>
    <x v="11"/>
    <n v="1.7371012221382008E-2"/>
    <n v="1324.7879370000001"/>
  </r>
  <r>
    <x v="6"/>
    <x v="12"/>
    <n v="1.1144509652111488E-2"/>
    <n v="849.92813100000001"/>
  </r>
  <r>
    <x v="7"/>
    <x v="7"/>
    <n v="7.6863342684482779E-3"/>
    <n v="586.19283601999996"/>
  </r>
  <r>
    <x v="8"/>
    <x v="8"/>
    <n v="7.0496433863331777E-3"/>
    <n v="537.63605709000001"/>
  </r>
  <r>
    <x v="9"/>
    <x v="6"/>
    <n v="5.9553360293942269E-3"/>
    <n v="454.17948200000001"/>
  </r>
  <r>
    <x v="0"/>
    <x v="0"/>
    <n v="0.12835997024194462"/>
    <n v="7108.6991609999995"/>
  </r>
  <r>
    <x v="1"/>
    <x v="2"/>
    <n v="5.1606233226140323E-2"/>
    <n v="2858.0030530200002"/>
  </r>
  <r>
    <x v="2"/>
    <x v="1"/>
    <n v="4.9141973753034626E-2"/>
    <n v="2721.5299826700002"/>
  </r>
  <r>
    <x v="3"/>
    <x v="4"/>
    <n v="2.8447760970060916E-2"/>
    <n v="1575.4644860000001"/>
  </r>
  <r>
    <x v="4"/>
    <x v="11"/>
    <n v="2.5971031189941953E-2"/>
    <n v="1438.300798"/>
  </r>
  <r>
    <x v="5"/>
    <x v="12"/>
    <n v="1.8098681578233185E-2"/>
    <n v="1002.322471"/>
  </r>
  <r>
    <x v="6"/>
    <x v="5"/>
    <n v="1.6369834552681629E-2"/>
    <n v="906.57725247999997"/>
  </r>
  <r>
    <x v="7"/>
    <x v="7"/>
    <n v="1.4524075010148815E-2"/>
    <n v="804.35730582000008"/>
  </r>
  <r>
    <x v="8"/>
    <x v="6"/>
    <n v="1.405968246268059E-2"/>
    <n v="778.63879788999998"/>
  </r>
  <r>
    <x v="9"/>
    <x v="8"/>
    <n v="9.1099713079799138E-3"/>
    <n v="504.51901220999997"/>
  </r>
  <r>
    <x v="0"/>
    <x v="0"/>
    <n v="0.141946972489636"/>
    <n v="8448.5820323299995"/>
  </r>
  <r>
    <x v="1"/>
    <x v="2"/>
    <n v="3.2484316976728073E-2"/>
    <n v="1933.4432565100001"/>
  </r>
  <r>
    <x v="2"/>
    <x v="1"/>
    <n v="3.0153357583518163E-2"/>
    <n v="1794.7062246300002"/>
  </r>
  <r>
    <x v="3"/>
    <x v="5"/>
    <n v="2.6852524934931916E-2"/>
    <n v="1598.2430319500002"/>
  </r>
  <r>
    <x v="4"/>
    <x v="4"/>
    <n v="2.5359462597642504E-2"/>
    <n v="1509.3770321"/>
  </r>
  <r>
    <x v="5"/>
    <x v="13"/>
    <n v="2.5275127975086686E-2"/>
    <n v="1504.3574958299998"/>
  </r>
  <r>
    <x v="6"/>
    <x v="6"/>
    <n v="2.4032753945818178E-2"/>
    <n v="1430.4122843399998"/>
  </r>
  <r>
    <x v="7"/>
    <x v="11"/>
    <n v="2.3681976176437965E-2"/>
    <n v="1409.5342430000001"/>
  </r>
  <r>
    <x v="8"/>
    <x v="12"/>
    <n v="1.5267853283516451E-2"/>
    <n v="908.73168099999998"/>
  </r>
  <r>
    <x v="9"/>
    <x v="7"/>
    <n v="1.4209369089792194E-2"/>
    <n v="845.73146067999994"/>
  </r>
  <r>
    <x v="0"/>
    <x v="0"/>
    <n v="9.9358918854528036E-2"/>
    <n v="5549.4164660900005"/>
  </r>
  <r>
    <x v="1"/>
    <x v="2"/>
    <n v="4.9707230719420001E-2"/>
    <n v="2776.2593214399999"/>
  </r>
  <r>
    <x v="2"/>
    <x v="1"/>
    <n v="4.6604826073016151E-2"/>
    <n v="2602.9831261300001"/>
  </r>
  <r>
    <x v="3"/>
    <x v="11"/>
    <n v="2.4639936062152562E-2"/>
    <n v="1376.195197"/>
  </r>
  <r>
    <x v="4"/>
    <x v="6"/>
    <n v="2.4144164422341841E-2"/>
    <n v="1348.5052489500001"/>
  </r>
  <r>
    <x v="5"/>
    <x v="5"/>
    <n v="2.0815571561888988E-2"/>
    <n v="1162.59593913"/>
  </r>
  <r>
    <x v="6"/>
    <x v="12"/>
    <n v="1.7818875424321489E-2"/>
    <n v="995.22379899999999"/>
  </r>
  <r>
    <x v="7"/>
    <x v="7"/>
    <n v="1.6635266770295368E-2"/>
    <n v="929.11662483000009"/>
  </r>
  <r>
    <x v="8"/>
    <x v="8"/>
    <n v="1.3387885052896118E-2"/>
    <n v="747.74313786000005"/>
  </r>
  <r>
    <x v="9"/>
    <x v="14"/>
    <n v="1.2959709831015636E-2"/>
    <n v="723.82860000000005"/>
  </r>
  <r>
    <x v="0"/>
    <x v="1"/>
    <n v="4.6757080349497541E-2"/>
    <n v="2220.8903536799999"/>
  </r>
  <r>
    <x v="1"/>
    <x v="5"/>
    <n v="2.9597093522507823E-2"/>
    <n v="1405.8170230000001"/>
  </r>
  <r>
    <x v="2"/>
    <x v="8"/>
    <n v="2.6816942540248349E-2"/>
    <n v="1273.7640707600001"/>
  </r>
  <r>
    <x v="3"/>
    <x v="11"/>
    <n v="2.2698722183898096E-2"/>
    <n v="1078.15485403"/>
  </r>
  <r>
    <x v="4"/>
    <x v="2"/>
    <n v="1.5056573355470924E-2"/>
    <n v="715.16438312000002"/>
  </r>
  <r>
    <x v="5"/>
    <x v="7"/>
    <n v="1.3283347335812741E-2"/>
    <n v="630.93883840000001"/>
  </r>
  <r>
    <x v="6"/>
    <x v="15"/>
    <n v="7.0489105969774625E-3"/>
    <n v="334.81255526999996"/>
  </r>
  <r>
    <x v="7"/>
    <x v="16"/>
    <n v="5.6347836329473837E-3"/>
    <n v="267.64367069000002"/>
  </r>
  <r>
    <x v="8"/>
    <x v="17"/>
    <n v="5.510893682063504E-3"/>
    <n v="261.75908605000001"/>
  </r>
  <r>
    <x v="9"/>
    <x v="18"/>
    <n v="3.9442728883722078E-3"/>
    <n v="187.34697600000001"/>
  </r>
  <r>
    <x v="0"/>
    <x v="0"/>
    <n v="9.8070767716519555E-2"/>
    <n v="2557.1550197199999"/>
  </r>
  <r>
    <x v="1"/>
    <x v="11"/>
    <n v="3.5403074480930954E-2"/>
    <n v="923.12063757999999"/>
  </r>
  <r>
    <x v="2"/>
    <x v="1"/>
    <n v="2.7788876728072152E-2"/>
    <n v="724.58355605999998"/>
  </r>
  <r>
    <x v="3"/>
    <x v="7"/>
    <n v="1.9970905292021442E-2"/>
    <n v="520.73315937999996"/>
  </r>
  <r>
    <x v="4"/>
    <x v="8"/>
    <n v="1.8356223967409657E-2"/>
    <n v="478.63100650999996"/>
  </r>
  <r>
    <x v="5"/>
    <x v="5"/>
    <n v="1.7610304381704467E-2"/>
    <n v="459.18145944000003"/>
  </r>
  <r>
    <x v="6"/>
    <x v="2"/>
    <n v="1.6779671048857053E-2"/>
    <n v="437.52303618000002"/>
  </r>
  <r>
    <x v="7"/>
    <x v="16"/>
    <n v="1.028899235084116E-2"/>
    <n v="268.28125291999999"/>
  </r>
  <r>
    <x v="8"/>
    <x v="19"/>
    <n v="8.2715948695383876E-3"/>
    <n v="215.67844153999999"/>
  </r>
  <r>
    <x v="9"/>
    <x v="20"/>
    <n v="6.3776771794691713E-3"/>
    <n v="166.29531503999999"/>
  </r>
  <r>
    <x v="0"/>
    <x v="0"/>
    <n v="9.3683388675136745E-2"/>
    <n v="3677.5108798599999"/>
  </r>
  <r>
    <x v="1"/>
    <x v="1"/>
    <n v="3.4909494614575411E-2"/>
    <n v="1370.3608299300001"/>
  </r>
  <r>
    <x v="2"/>
    <x v="11"/>
    <n v="3.4387338248176337E-2"/>
    <n v="1349.863752"/>
  </r>
  <r>
    <x v="3"/>
    <x v="2"/>
    <n v="3.3030493437644019E-2"/>
    <n v="1296.6012513199998"/>
  </r>
  <r>
    <x v="4"/>
    <x v="7"/>
    <n v="2.6521865773970119E-2"/>
    <n v="1041.10719432"/>
  </r>
  <r>
    <x v="5"/>
    <x v="5"/>
    <n v="2.4093898960219667E-2"/>
    <n v="945.79814861"/>
  </r>
  <r>
    <x v="6"/>
    <x v="8"/>
    <n v="1.9342114224950007E-2"/>
    <n v="759.26838799999996"/>
  </r>
  <r>
    <x v="7"/>
    <x v="4"/>
    <n v="1.5318992645155365E-2"/>
    <n v="601.34206200000006"/>
  </r>
  <r>
    <x v="8"/>
    <x v="21"/>
    <n v="8.4502133514638179E-3"/>
    <n v="331.71037017999998"/>
  </r>
  <r>
    <x v="9"/>
    <x v="13"/>
    <n v="8.1485050711762336E-3"/>
    <n v="319.86691000000002"/>
  </r>
  <r>
    <x v="0"/>
    <x v="0"/>
    <n v="7.7561589661671135E-2"/>
    <n v="4246.8271204299999"/>
  </r>
  <r>
    <x v="1"/>
    <x v="11"/>
    <n v="3.1614570078133106E-2"/>
    <n v="1731.0322570000001"/>
  </r>
  <r>
    <x v="2"/>
    <x v="2"/>
    <n v="1.973987324507959E-2"/>
    <n v="1080.8420690799999"/>
  </r>
  <r>
    <x v="3"/>
    <x v="22"/>
    <n v="1.9372833348232778E-2"/>
    <n v="1060.74507268"/>
  </r>
  <r>
    <x v="4"/>
    <x v="1"/>
    <n v="1.8734688036223721E-2"/>
    <n v="1025.8039010299999"/>
  </r>
  <r>
    <x v="5"/>
    <x v="7"/>
    <n v="1.7060285444609115E-2"/>
    <n v="934.12323321999997"/>
  </r>
  <r>
    <x v="6"/>
    <x v="8"/>
    <n v="1.3890332284063554E-2"/>
    <n v="760.55480699999998"/>
  </r>
  <r>
    <x v="7"/>
    <x v="5"/>
    <n v="8.6792037963901829E-3"/>
    <n v="475.22334479"/>
  </r>
  <r>
    <x v="8"/>
    <x v="16"/>
    <n v="5.9216248164621847E-3"/>
    <n v="324.23415993999998"/>
  </r>
  <r>
    <x v="9"/>
    <x v="13"/>
    <n v="2.6125801897097815E-3"/>
    <n v="143.049883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9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N2:P26" firstHeaderRow="0" firstDataRow="1" firstDataCol="1"/>
  <pivotFields count="4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 sortType="descending">
      <items count="24">
        <item x="12"/>
        <item x="2"/>
        <item x="11"/>
        <item x="10"/>
        <item x="0"/>
        <item x="14"/>
        <item x="17"/>
        <item x="20"/>
        <item x="5"/>
        <item x="16"/>
        <item x="15"/>
        <item x="4"/>
        <item x="21"/>
        <item x="3"/>
        <item x="19"/>
        <item x="7"/>
        <item x="6"/>
        <item x="18"/>
        <item x="9"/>
        <item x="1"/>
        <item x="13"/>
        <item x="8"/>
        <item x="2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numFmtId="165" showAll="0"/>
    <pivotField dataField="1" numFmtId="166" showAll="0"/>
  </pivotFields>
  <rowFields count="1">
    <field x="1"/>
  </rowFields>
  <rowItems count="24">
    <i>
      <x v="4"/>
    </i>
    <i>
      <x v="19"/>
    </i>
    <i>
      <x v="1"/>
    </i>
    <i>
      <x v="2"/>
    </i>
    <i>
      <x v="13"/>
    </i>
    <i>
      <x v="11"/>
    </i>
    <i>
      <x v="22"/>
    </i>
    <i>
      <x v="8"/>
    </i>
    <i>
      <x v="16"/>
    </i>
    <i>
      <x/>
    </i>
    <i>
      <x v="15"/>
    </i>
    <i>
      <x v="21"/>
    </i>
    <i>
      <x v="5"/>
    </i>
    <i>
      <x v="20"/>
    </i>
    <i>
      <x v="12"/>
    </i>
    <i>
      <x v="14"/>
    </i>
    <i>
      <x v="3"/>
    </i>
    <i>
      <x v="9"/>
    </i>
    <i>
      <x v="10"/>
    </i>
    <i>
      <x v="18"/>
    </i>
    <i>
      <x v="7"/>
    </i>
    <i>
      <x v="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3" subtotal="count" baseField="0" baseItem="0"/>
    <dataField name="Average of Market Share" fld="2" subtotal="average" baseField="0" baseItem="0" numFmtId="9"/>
  </dataFields>
  <formats count="1"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O54"/>
  <sheetViews>
    <sheetView workbookViewId="0">
      <selection activeCell="S17" sqref="S17"/>
    </sheetView>
  </sheetViews>
  <sheetFormatPr defaultRowHeight="15" x14ac:dyDescent="0.25"/>
  <cols>
    <col min="3" max="3" width="37.7109375" bestFit="1" customWidth="1"/>
    <col min="8" max="8" width="16.5703125" bestFit="1" customWidth="1"/>
    <col min="13" max="13" width="34.28515625" bestFit="1" customWidth="1"/>
  </cols>
  <sheetData>
    <row r="2" spans="2:15" x14ac:dyDescent="0.25">
      <c r="B2" s="1" t="s">
        <v>0</v>
      </c>
      <c r="C2" s="2"/>
      <c r="D2" s="3" t="s">
        <v>1</v>
      </c>
      <c r="E2" s="4">
        <v>39114</v>
      </c>
      <c r="G2" s="1" t="s">
        <v>0</v>
      </c>
      <c r="H2" s="2"/>
      <c r="I2" s="3" t="s">
        <v>1</v>
      </c>
      <c r="J2" s="4">
        <v>39479</v>
      </c>
      <c r="L2" s="1" t="s">
        <v>0</v>
      </c>
      <c r="M2" s="2"/>
      <c r="N2" s="3" t="s">
        <v>1</v>
      </c>
      <c r="O2" s="4">
        <v>39845</v>
      </c>
    </row>
    <row r="3" spans="2:15" x14ac:dyDescent="0.25">
      <c r="B3" s="5" t="s">
        <v>2</v>
      </c>
      <c r="C3" s="6" t="s">
        <v>3</v>
      </c>
      <c r="D3" s="6" t="s">
        <v>4</v>
      </c>
      <c r="E3" s="7" t="s">
        <v>5</v>
      </c>
      <c r="G3" s="5" t="s">
        <v>2</v>
      </c>
      <c r="H3" s="6" t="s">
        <v>3</v>
      </c>
      <c r="I3" s="6" t="s">
        <v>4</v>
      </c>
      <c r="J3" s="7" t="s">
        <v>5</v>
      </c>
      <c r="L3" s="5" t="s">
        <v>2</v>
      </c>
      <c r="M3" s="6" t="s">
        <v>3</v>
      </c>
      <c r="N3" s="6" t="s">
        <v>4</v>
      </c>
      <c r="O3" s="7" t="s">
        <v>5</v>
      </c>
    </row>
    <row r="4" spans="2:15" x14ac:dyDescent="0.25">
      <c r="B4" s="5">
        <v>1</v>
      </c>
      <c r="C4" s="8" t="s">
        <v>6</v>
      </c>
      <c r="D4" s="9">
        <v>0.12029214669954438</v>
      </c>
      <c r="E4" s="10">
        <v>5541.5273029999998</v>
      </c>
      <c r="G4" s="5">
        <v>1</v>
      </c>
      <c r="H4" s="8" t="s">
        <v>6</v>
      </c>
      <c r="I4" s="9">
        <v>0.11174596824621039</v>
      </c>
      <c r="J4" s="10">
        <v>8522.2270788999995</v>
      </c>
      <c r="L4" s="5">
        <v>1</v>
      </c>
      <c r="M4" s="8" t="s">
        <v>7</v>
      </c>
      <c r="N4" s="9">
        <v>4.6757080349497541E-2</v>
      </c>
      <c r="O4" s="10">
        <v>2220.8903536799999</v>
      </c>
    </row>
    <row r="5" spans="2:15" x14ac:dyDescent="0.25">
      <c r="B5" s="5">
        <v>2</v>
      </c>
      <c r="C5" s="8" t="s">
        <v>7</v>
      </c>
      <c r="D5" s="9">
        <v>6.0504777304456081E-2</v>
      </c>
      <c r="E5" s="10">
        <v>2787.288153</v>
      </c>
      <c r="G5" s="5">
        <v>2</v>
      </c>
      <c r="H5" s="8" t="s">
        <v>7</v>
      </c>
      <c r="I5" s="9">
        <v>4.4359113350954417E-2</v>
      </c>
      <c r="J5" s="10">
        <v>3383.0163443800002</v>
      </c>
      <c r="L5" s="5">
        <v>2</v>
      </c>
      <c r="M5" s="8" t="s">
        <v>11</v>
      </c>
      <c r="N5" s="9">
        <v>2.9597093522507823E-2</v>
      </c>
      <c r="O5" s="10">
        <v>1405.8170230000001</v>
      </c>
    </row>
    <row r="6" spans="2:15" x14ac:dyDescent="0.25">
      <c r="B6" s="5">
        <v>3</v>
      </c>
      <c r="C6" s="8" t="s">
        <v>8</v>
      </c>
      <c r="D6" s="9">
        <v>3.6588351460938806E-2</v>
      </c>
      <c r="E6" s="10">
        <v>1685.52440168</v>
      </c>
      <c r="G6" s="5">
        <v>3</v>
      </c>
      <c r="H6" s="8" t="s">
        <v>8</v>
      </c>
      <c r="I6" s="9">
        <v>3.6697435888159866E-2</v>
      </c>
      <c r="J6" s="10">
        <v>2798.7039421700001</v>
      </c>
      <c r="L6" s="5">
        <v>3</v>
      </c>
      <c r="M6" s="8" t="s">
        <v>14</v>
      </c>
      <c r="N6" s="9">
        <v>2.6816942540248349E-2</v>
      </c>
      <c r="O6" s="10">
        <v>1273.7640707600001</v>
      </c>
    </row>
    <row r="7" spans="2:15" x14ac:dyDescent="0.25">
      <c r="B7" s="5">
        <v>4</v>
      </c>
      <c r="C7" s="8" t="s">
        <v>9</v>
      </c>
      <c r="D7" s="9">
        <v>2.9259955144484918E-2</v>
      </c>
      <c r="E7" s="10">
        <v>1347.925403</v>
      </c>
      <c r="G7" s="5">
        <v>4</v>
      </c>
      <c r="H7" s="8" t="s">
        <v>11</v>
      </c>
      <c r="I7" s="9">
        <v>1.9827667515715384E-2</v>
      </c>
      <c r="J7" s="10">
        <v>1512.1430120999999</v>
      </c>
      <c r="L7" s="5">
        <v>4</v>
      </c>
      <c r="M7" s="8" t="s">
        <v>18</v>
      </c>
      <c r="N7" s="9">
        <v>2.2698722183898096E-2</v>
      </c>
      <c r="O7" s="10">
        <v>1078.15485403</v>
      </c>
    </row>
    <row r="8" spans="2:15" x14ac:dyDescent="0.25">
      <c r="B8" s="5">
        <v>5</v>
      </c>
      <c r="C8" s="8" t="s">
        <v>10</v>
      </c>
      <c r="D8" s="9">
        <v>1.9959824608603224E-2</v>
      </c>
      <c r="E8" s="10">
        <v>919.49404900000002</v>
      </c>
      <c r="G8" s="5">
        <v>5</v>
      </c>
      <c r="H8" s="8" t="s">
        <v>10</v>
      </c>
      <c r="I8" s="9">
        <v>1.9326787675798471E-2</v>
      </c>
      <c r="J8" s="10">
        <v>1473.9437660599999</v>
      </c>
      <c r="L8" s="5">
        <v>5</v>
      </c>
      <c r="M8" s="8" t="s">
        <v>8</v>
      </c>
      <c r="N8" s="9">
        <v>1.5056573355470924E-2</v>
      </c>
      <c r="O8" s="10">
        <v>715.16438312000002</v>
      </c>
    </row>
    <row r="9" spans="2:15" x14ac:dyDescent="0.25">
      <c r="B9" s="5">
        <v>6</v>
      </c>
      <c r="C9" s="8" t="s">
        <v>11</v>
      </c>
      <c r="D9" s="9">
        <v>1.9803805214860682E-2</v>
      </c>
      <c r="E9" s="10">
        <v>912.30666599999995</v>
      </c>
      <c r="G9" s="5">
        <v>6</v>
      </c>
      <c r="H9" s="8" t="s">
        <v>18</v>
      </c>
      <c r="I9" s="9">
        <v>1.7371012221382008E-2</v>
      </c>
      <c r="J9" s="10">
        <v>1324.7879370000001</v>
      </c>
      <c r="L9" s="5">
        <v>6</v>
      </c>
      <c r="M9" s="8" t="s">
        <v>13</v>
      </c>
      <c r="N9" s="9">
        <v>1.3283347335812741E-2</v>
      </c>
      <c r="O9" s="10">
        <v>630.93883840000001</v>
      </c>
    </row>
    <row r="10" spans="2:15" x14ac:dyDescent="0.25">
      <c r="B10" s="5">
        <v>7</v>
      </c>
      <c r="C10" s="8" t="s">
        <v>12</v>
      </c>
      <c r="D10" s="9">
        <v>1.9620934799757826E-2</v>
      </c>
      <c r="E10" s="10">
        <v>903.88233052999999</v>
      </c>
      <c r="G10" s="5">
        <v>7</v>
      </c>
      <c r="H10" s="8" t="s">
        <v>19</v>
      </c>
      <c r="I10" s="9">
        <v>1.1144509652111488E-2</v>
      </c>
      <c r="J10" s="10">
        <v>849.92813100000001</v>
      </c>
      <c r="L10" s="5">
        <v>7</v>
      </c>
      <c r="M10" s="8" t="s">
        <v>20</v>
      </c>
      <c r="N10" s="9">
        <v>7.0489105969774625E-3</v>
      </c>
      <c r="O10" s="10">
        <v>334.81255526999996</v>
      </c>
    </row>
    <row r="11" spans="2:15" x14ac:dyDescent="0.25">
      <c r="B11" s="5">
        <v>8</v>
      </c>
      <c r="C11" s="8" t="s">
        <v>13</v>
      </c>
      <c r="D11" s="9">
        <v>1.3528779967936382E-2</v>
      </c>
      <c r="E11" s="10">
        <v>623.23356616000001</v>
      </c>
      <c r="G11" s="5">
        <v>8</v>
      </c>
      <c r="H11" s="8" t="s">
        <v>13</v>
      </c>
      <c r="I11" s="9">
        <v>7.6863342684482779E-3</v>
      </c>
      <c r="J11" s="10">
        <v>586.19283601999996</v>
      </c>
      <c r="L11" s="5">
        <v>8</v>
      </c>
      <c r="M11" s="8" t="s">
        <v>21</v>
      </c>
      <c r="N11" s="9">
        <v>5.6347836329473837E-3</v>
      </c>
      <c r="O11" s="10">
        <v>267.64367069000002</v>
      </c>
    </row>
    <row r="12" spans="2:15" x14ac:dyDescent="0.25">
      <c r="B12" s="5">
        <v>9</v>
      </c>
      <c r="C12" s="8" t="s">
        <v>14</v>
      </c>
      <c r="D12" s="9">
        <v>1.0138151247076269E-2</v>
      </c>
      <c r="E12" s="10">
        <v>467.03665599999999</v>
      </c>
      <c r="G12" s="5">
        <v>9</v>
      </c>
      <c r="H12" s="8" t="s">
        <v>14</v>
      </c>
      <c r="I12" s="9">
        <v>7.0496433863331777E-3</v>
      </c>
      <c r="J12" s="10">
        <v>537.63605709000001</v>
      </c>
      <c r="L12" s="5">
        <v>9</v>
      </c>
      <c r="M12" s="8" t="s">
        <v>22</v>
      </c>
      <c r="N12" s="9">
        <v>5.510893682063504E-3</v>
      </c>
      <c r="O12" s="10">
        <v>261.75908605000001</v>
      </c>
    </row>
    <row r="13" spans="2:15" x14ac:dyDescent="0.25">
      <c r="B13" s="5">
        <v>10</v>
      </c>
      <c r="C13" s="8" t="s">
        <v>15</v>
      </c>
      <c r="D13" s="9">
        <v>6.6030609151701003E-3</v>
      </c>
      <c r="E13" s="10">
        <v>304.184798</v>
      </c>
      <c r="G13" s="5">
        <v>10</v>
      </c>
      <c r="H13" s="8" t="s">
        <v>12</v>
      </c>
      <c r="I13" s="9">
        <v>5.9553360293942269E-3</v>
      </c>
      <c r="J13" s="10">
        <v>454.17948200000001</v>
      </c>
      <c r="L13" s="5">
        <v>10</v>
      </c>
      <c r="M13" s="8" t="s">
        <v>23</v>
      </c>
      <c r="N13" s="9">
        <v>3.9442728883722078E-3</v>
      </c>
      <c r="O13" s="10">
        <v>187.34697600000001</v>
      </c>
    </row>
    <row r="15" spans="2:15" x14ac:dyDescent="0.25">
      <c r="B15" s="1" t="s">
        <v>16</v>
      </c>
      <c r="C15" s="2"/>
      <c r="D15" s="3" t="s">
        <v>1</v>
      </c>
      <c r="E15" s="4">
        <v>39083</v>
      </c>
      <c r="G15" s="1" t="s">
        <v>16</v>
      </c>
      <c r="H15" s="2"/>
      <c r="I15" s="3" t="s">
        <v>1</v>
      </c>
      <c r="J15" s="4">
        <v>39448</v>
      </c>
      <c r="L15" s="1" t="s">
        <v>16</v>
      </c>
      <c r="M15" s="2"/>
      <c r="N15" s="3" t="s">
        <v>1</v>
      </c>
      <c r="O15" s="4">
        <v>39814</v>
      </c>
    </row>
    <row r="16" spans="2:15" x14ac:dyDescent="0.25">
      <c r="B16" s="5" t="s">
        <v>2</v>
      </c>
      <c r="C16" s="6" t="s">
        <v>3</v>
      </c>
      <c r="D16" s="6" t="s">
        <v>4</v>
      </c>
      <c r="E16" s="7" t="s">
        <v>5</v>
      </c>
      <c r="G16" s="5" t="s">
        <v>2</v>
      </c>
      <c r="H16" s="6" t="s">
        <v>3</v>
      </c>
      <c r="I16" s="6" t="s">
        <v>4</v>
      </c>
      <c r="J16" s="7" t="s">
        <v>5</v>
      </c>
      <c r="L16" s="5" t="s">
        <v>2</v>
      </c>
      <c r="M16" s="6" t="s">
        <v>3</v>
      </c>
      <c r="N16" s="6" t="s">
        <v>4</v>
      </c>
      <c r="O16" s="7" t="s">
        <v>5</v>
      </c>
    </row>
    <row r="17" spans="2:15" x14ac:dyDescent="0.25">
      <c r="B17" s="5">
        <v>1</v>
      </c>
      <c r="C17" s="8" t="s">
        <v>6</v>
      </c>
      <c r="D17" s="9">
        <v>0.17753783370873197</v>
      </c>
      <c r="E17" s="11">
        <v>8711.5088130000004</v>
      </c>
      <c r="G17" s="5">
        <v>1</v>
      </c>
      <c r="H17" s="8" t="s">
        <v>6</v>
      </c>
      <c r="I17" s="9">
        <v>0.12835997024194462</v>
      </c>
      <c r="J17" s="11">
        <v>7108.6991609999995</v>
      </c>
      <c r="L17" s="5">
        <v>1</v>
      </c>
      <c r="M17" s="8" t="s">
        <v>6</v>
      </c>
      <c r="N17" s="9">
        <v>9.8070767716519555E-2</v>
      </c>
      <c r="O17" s="11">
        <v>2557.1550197199999</v>
      </c>
    </row>
    <row r="18" spans="2:15" x14ac:dyDescent="0.25">
      <c r="B18" s="5">
        <v>2</v>
      </c>
      <c r="C18" s="8" t="s">
        <v>8</v>
      </c>
      <c r="D18" s="9">
        <v>5.0407138126429163E-2</v>
      </c>
      <c r="E18" s="11">
        <v>2473.4008456300003</v>
      </c>
      <c r="G18" s="5">
        <v>2</v>
      </c>
      <c r="H18" s="8" t="s">
        <v>8</v>
      </c>
      <c r="I18" s="9">
        <v>5.1606233226140323E-2</v>
      </c>
      <c r="J18" s="11">
        <v>2858.0030530200002</v>
      </c>
      <c r="L18" s="5">
        <v>2</v>
      </c>
      <c r="M18" s="8" t="s">
        <v>18</v>
      </c>
      <c r="N18" s="9">
        <v>3.5403074480930954E-2</v>
      </c>
      <c r="O18" s="11">
        <v>923.12063757999999</v>
      </c>
    </row>
    <row r="19" spans="2:15" x14ac:dyDescent="0.25">
      <c r="B19" s="5">
        <v>3</v>
      </c>
      <c r="C19" s="8" t="s">
        <v>7</v>
      </c>
      <c r="D19" s="9">
        <v>2.8386556857316645E-2</v>
      </c>
      <c r="E19" s="11">
        <v>1392.8847450000001</v>
      </c>
      <c r="G19" s="5">
        <v>3</v>
      </c>
      <c r="H19" s="8" t="s">
        <v>7</v>
      </c>
      <c r="I19" s="9">
        <v>4.9141973753034626E-2</v>
      </c>
      <c r="J19" s="11">
        <v>2721.5299826700002</v>
      </c>
      <c r="L19" s="5">
        <v>3</v>
      </c>
      <c r="M19" s="8" t="s">
        <v>7</v>
      </c>
      <c r="N19" s="9">
        <v>2.7788876728072152E-2</v>
      </c>
      <c r="O19" s="11">
        <v>724.58355605999998</v>
      </c>
    </row>
    <row r="20" spans="2:15" x14ac:dyDescent="0.25">
      <c r="B20" s="5">
        <v>4</v>
      </c>
      <c r="C20" s="8" t="s">
        <v>9</v>
      </c>
      <c r="D20" s="9">
        <v>2.1971758207788079E-2</v>
      </c>
      <c r="E20" s="11">
        <v>1078.1204279999999</v>
      </c>
      <c r="G20" s="5">
        <v>4</v>
      </c>
      <c r="H20" s="8" t="s">
        <v>10</v>
      </c>
      <c r="I20" s="9">
        <v>2.8447760970060916E-2</v>
      </c>
      <c r="J20" s="11">
        <v>1575.4644860000001</v>
      </c>
      <c r="L20" s="5">
        <v>4</v>
      </c>
      <c r="M20" s="8" t="s">
        <v>13</v>
      </c>
      <c r="N20" s="9">
        <v>1.9970905292021442E-2</v>
      </c>
      <c r="O20" s="11">
        <v>520.73315937999996</v>
      </c>
    </row>
    <row r="21" spans="2:15" x14ac:dyDescent="0.25">
      <c r="B21" s="5">
        <v>5</v>
      </c>
      <c r="C21" s="8" t="s">
        <v>10</v>
      </c>
      <c r="D21" s="9">
        <v>1.7914300025521933E-2</v>
      </c>
      <c r="E21" s="11">
        <v>879.02718700000003</v>
      </c>
      <c r="G21" s="5">
        <v>5</v>
      </c>
      <c r="H21" s="8" t="s">
        <v>18</v>
      </c>
      <c r="I21" s="9">
        <v>2.5971031189941953E-2</v>
      </c>
      <c r="J21" s="11">
        <v>1438.300798</v>
      </c>
      <c r="L21" s="5">
        <v>5</v>
      </c>
      <c r="M21" s="8" t="s">
        <v>14</v>
      </c>
      <c r="N21" s="9">
        <v>1.8356223967409657E-2</v>
      </c>
      <c r="O21" s="11">
        <v>478.63100650999996</v>
      </c>
    </row>
    <row r="22" spans="2:15" x14ac:dyDescent="0.25">
      <c r="B22" s="5">
        <v>6</v>
      </c>
      <c r="C22" s="8" t="s">
        <v>12</v>
      </c>
      <c r="D22" s="9">
        <v>1.396471012324314E-2</v>
      </c>
      <c r="E22" s="11">
        <v>685.22687682000003</v>
      </c>
      <c r="G22" s="5">
        <v>6</v>
      </c>
      <c r="H22" s="8" t="s">
        <v>19</v>
      </c>
      <c r="I22" s="9">
        <v>1.8098681578233185E-2</v>
      </c>
      <c r="J22" s="11">
        <v>1002.322471</v>
      </c>
      <c r="L22" s="5">
        <v>6</v>
      </c>
      <c r="M22" s="8" t="s">
        <v>11</v>
      </c>
      <c r="N22" s="9">
        <v>1.7610304381704467E-2</v>
      </c>
      <c r="O22" s="11">
        <v>459.18145944000003</v>
      </c>
    </row>
    <row r="23" spans="2:15" x14ac:dyDescent="0.25">
      <c r="B23" s="5">
        <v>7</v>
      </c>
      <c r="C23" s="8" t="s">
        <v>14</v>
      </c>
      <c r="D23" s="9">
        <v>1.2538679919170652E-2</v>
      </c>
      <c r="E23" s="11">
        <v>615.25376500000004</v>
      </c>
      <c r="G23" s="5">
        <v>7</v>
      </c>
      <c r="H23" s="8" t="s">
        <v>11</v>
      </c>
      <c r="I23" s="9">
        <v>1.6369834552681629E-2</v>
      </c>
      <c r="J23" s="11">
        <v>906.57725247999997</v>
      </c>
      <c r="L23" s="5">
        <v>7</v>
      </c>
      <c r="M23" s="8" t="s">
        <v>8</v>
      </c>
      <c r="N23" s="9">
        <v>1.6779671048857053E-2</v>
      </c>
      <c r="O23" s="11">
        <v>437.52303618000002</v>
      </c>
    </row>
    <row r="24" spans="2:15" x14ac:dyDescent="0.25">
      <c r="B24" s="5">
        <v>8</v>
      </c>
      <c r="C24" s="8" t="s">
        <v>13</v>
      </c>
      <c r="D24" s="9">
        <v>9.6643049311640698E-3</v>
      </c>
      <c r="E24" s="11">
        <v>474.2125992</v>
      </c>
      <c r="G24" s="5">
        <v>8</v>
      </c>
      <c r="H24" s="8" t="s">
        <v>13</v>
      </c>
      <c r="I24" s="9">
        <v>1.4524075010148815E-2</v>
      </c>
      <c r="J24" s="11">
        <v>804.35730582000008</v>
      </c>
      <c r="L24" s="5">
        <v>8</v>
      </c>
      <c r="M24" s="8" t="s">
        <v>21</v>
      </c>
      <c r="N24" s="9">
        <v>1.028899235084116E-2</v>
      </c>
      <c r="O24" s="11">
        <v>268.28125291999999</v>
      </c>
    </row>
    <row r="25" spans="2:15" x14ac:dyDescent="0.25">
      <c r="B25" s="5">
        <v>9</v>
      </c>
      <c r="C25" s="8" t="s">
        <v>11</v>
      </c>
      <c r="D25" s="9">
        <v>8.5245430439931016E-3</v>
      </c>
      <c r="E25" s="11">
        <v>418.28623399999998</v>
      </c>
      <c r="G25" s="5">
        <v>9</v>
      </c>
      <c r="H25" s="8" t="s">
        <v>12</v>
      </c>
      <c r="I25" s="9">
        <v>1.405968246268059E-2</v>
      </c>
      <c r="J25" s="11">
        <v>778.63879788999998</v>
      </c>
      <c r="L25" s="5">
        <v>9</v>
      </c>
      <c r="M25" s="8" t="s">
        <v>24</v>
      </c>
      <c r="N25" s="9">
        <v>8.2715948695383876E-3</v>
      </c>
      <c r="O25" s="11">
        <v>215.67844153999999</v>
      </c>
    </row>
    <row r="26" spans="2:15" x14ac:dyDescent="0.25">
      <c r="B26" s="5">
        <v>10</v>
      </c>
      <c r="C26" s="8" t="s">
        <v>17</v>
      </c>
      <c r="D26" s="9">
        <v>7.3052867427507353E-3</v>
      </c>
      <c r="E26" s="11">
        <v>358.45920000000001</v>
      </c>
      <c r="G26" s="5">
        <v>10</v>
      </c>
      <c r="H26" s="8" t="s">
        <v>14</v>
      </c>
      <c r="I26" s="9">
        <v>9.1099713079799138E-3</v>
      </c>
      <c r="J26" s="11">
        <v>504.51901220999997</v>
      </c>
      <c r="L26" s="5">
        <v>10</v>
      </c>
      <c r="M26" s="8" t="s">
        <v>25</v>
      </c>
      <c r="N26" s="9">
        <v>6.3776771794691713E-3</v>
      </c>
      <c r="O26" s="11">
        <v>166.29531503999999</v>
      </c>
    </row>
    <row r="29" spans="2:15" x14ac:dyDescent="0.25">
      <c r="G29" s="1" t="s">
        <v>0</v>
      </c>
      <c r="H29" s="2"/>
      <c r="I29" s="3" t="s">
        <v>1</v>
      </c>
      <c r="J29" s="4">
        <v>39326</v>
      </c>
      <c r="L29" s="1" t="s">
        <v>0</v>
      </c>
      <c r="M29" s="2"/>
      <c r="N29" s="3" t="s">
        <v>1</v>
      </c>
      <c r="O29" s="4">
        <v>39630</v>
      </c>
    </row>
    <row r="30" spans="2:15" x14ac:dyDescent="0.25">
      <c r="G30" s="5" t="s">
        <v>2</v>
      </c>
      <c r="H30" s="6" t="s">
        <v>3</v>
      </c>
      <c r="I30" s="6" t="s">
        <v>4</v>
      </c>
      <c r="J30" s="7" t="s">
        <v>5</v>
      </c>
      <c r="L30" s="5" t="s">
        <v>2</v>
      </c>
      <c r="M30" s="6" t="s">
        <v>3</v>
      </c>
      <c r="N30" s="6" t="s">
        <v>4</v>
      </c>
      <c r="O30" s="7" t="s">
        <v>5</v>
      </c>
    </row>
    <row r="31" spans="2:15" x14ac:dyDescent="0.25">
      <c r="G31" s="5">
        <v>1</v>
      </c>
      <c r="H31" s="8" t="s">
        <v>6</v>
      </c>
      <c r="I31" s="9">
        <v>0.141946972489636</v>
      </c>
      <c r="J31" s="10">
        <v>8448.5820323299995</v>
      </c>
      <c r="L31" s="5">
        <v>1</v>
      </c>
      <c r="M31" s="8" t="s">
        <v>6</v>
      </c>
      <c r="N31" s="9">
        <v>9.3683388675136745E-2</v>
      </c>
      <c r="O31" s="10">
        <v>3677.5108798599999</v>
      </c>
    </row>
    <row r="32" spans="2:15" x14ac:dyDescent="0.25">
      <c r="G32" s="5">
        <v>2</v>
      </c>
      <c r="H32" s="8" t="s">
        <v>8</v>
      </c>
      <c r="I32" s="9">
        <v>3.2484316976728073E-2</v>
      </c>
      <c r="J32" s="10">
        <v>1933.4432565100001</v>
      </c>
      <c r="L32" s="5">
        <v>2</v>
      </c>
      <c r="M32" s="8" t="s">
        <v>7</v>
      </c>
      <c r="N32" s="9">
        <v>3.4909494614575411E-2</v>
      </c>
      <c r="O32" s="10">
        <v>1370.3608299300001</v>
      </c>
    </row>
    <row r="33" spans="7:15" x14ac:dyDescent="0.25">
      <c r="G33" s="5">
        <v>3</v>
      </c>
      <c r="H33" s="8" t="s">
        <v>7</v>
      </c>
      <c r="I33" s="9">
        <v>3.0153357583518163E-2</v>
      </c>
      <c r="J33" s="10">
        <v>1794.7062246300002</v>
      </c>
      <c r="L33" s="5">
        <v>3</v>
      </c>
      <c r="M33" s="8" t="s">
        <v>18</v>
      </c>
      <c r="N33" s="9">
        <v>3.4387338248176337E-2</v>
      </c>
      <c r="O33" s="10">
        <v>1349.863752</v>
      </c>
    </row>
    <row r="34" spans="7:15" x14ac:dyDescent="0.25">
      <c r="G34" s="5">
        <v>4</v>
      </c>
      <c r="H34" s="8" t="s">
        <v>11</v>
      </c>
      <c r="I34" s="9">
        <v>2.6852524934931916E-2</v>
      </c>
      <c r="J34" s="10">
        <v>1598.2430319500002</v>
      </c>
      <c r="L34" s="5">
        <v>4</v>
      </c>
      <c r="M34" s="8" t="s">
        <v>8</v>
      </c>
      <c r="N34" s="9">
        <v>3.3030493437644019E-2</v>
      </c>
      <c r="O34" s="10">
        <v>1296.6012513199998</v>
      </c>
    </row>
    <row r="35" spans="7:15" x14ac:dyDescent="0.25">
      <c r="G35" s="5">
        <v>5</v>
      </c>
      <c r="H35" s="8" t="s">
        <v>10</v>
      </c>
      <c r="I35" s="9">
        <v>2.5359462597642504E-2</v>
      </c>
      <c r="J35" s="10">
        <v>1509.3770321</v>
      </c>
      <c r="L35" s="5">
        <v>5</v>
      </c>
      <c r="M35" s="8" t="s">
        <v>13</v>
      </c>
      <c r="N35" s="9">
        <v>2.6521865773970119E-2</v>
      </c>
      <c r="O35" s="10">
        <v>1041.10719432</v>
      </c>
    </row>
    <row r="36" spans="7:15" x14ac:dyDescent="0.25">
      <c r="G36" s="5">
        <v>6</v>
      </c>
      <c r="H36" s="8" t="s">
        <v>26</v>
      </c>
      <c r="I36" s="9">
        <v>2.5275127975086686E-2</v>
      </c>
      <c r="J36" s="10">
        <v>1504.3574958299998</v>
      </c>
      <c r="L36" s="5">
        <v>6</v>
      </c>
      <c r="M36" s="8" t="s">
        <v>11</v>
      </c>
      <c r="N36" s="9">
        <v>2.4093898960219667E-2</v>
      </c>
      <c r="O36" s="10">
        <v>945.79814861</v>
      </c>
    </row>
    <row r="37" spans="7:15" x14ac:dyDescent="0.25">
      <c r="G37" s="5">
        <v>7</v>
      </c>
      <c r="H37" s="8" t="s">
        <v>12</v>
      </c>
      <c r="I37" s="9">
        <v>2.4032753945818178E-2</v>
      </c>
      <c r="J37" s="10">
        <v>1430.4122843399998</v>
      </c>
      <c r="L37" s="5">
        <v>7</v>
      </c>
      <c r="M37" s="8" t="s">
        <v>14</v>
      </c>
      <c r="N37" s="9">
        <v>1.9342114224950007E-2</v>
      </c>
      <c r="O37" s="10">
        <v>759.26838799999996</v>
      </c>
    </row>
    <row r="38" spans="7:15" x14ac:dyDescent="0.25">
      <c r="G38" s="5">
        <v>8</v>
      </c>
      <c r="H38" s="8" t="s">
        <v>18</v>
      </c>
      <c r="I38" s="9">
        <v>2.3681976176437965E-2</v>
      </c>
      <c r="J38" s="10">
        <v>1409.5342430000001</v>
      </c>
      <c r="L38" s="5">
        <v>8</v>
      </c>
      <c r="M38" s="8" t="s">
        <v>10</v>
      </c>
      <c r="N38" s="9">
        <v>1.5318992645155365E-2</v>
      </c>
      <c r="O38" s="10">
        <v>601.34206200000006</v>
      </c>
    </row>
    <row r="39" spans="7:15" x14ac:dyDescent="0.25">
      <c r="G39" s="5">
        <v>9</v>
      </c>
      <c r="H39" s="8" t="s">
        <v>19</v>
      </c>
      <c r="I39" s="9">
        <v>1.5267853283516451E-2</v>
      </c>
      <c r="J39" s="10">
        <v>908.73168099999998</v>
      </c>
      <c r="L39" s="5">
        <v>9</v>
      </c>
      <c r="M39" s="8" t="s">
        <v>28</v>
      </c>
      <c r="N39" s="9">
        <v>8.4502133514638179E-3</v>
      </c>
      <c r="O39" s="10">
        <v>331.71037017999998</v>
      </c>
    </row>
    <row r="40" spans="7:15" x14ac:dyDescent="0.25">
      <c r="G40" s="5">
        <v>10</v>
      </c>
      <c r="H40" s="8" t="s">
        <v>13</v>
      </c>
      <c r="I40" s="9">
        <v>1.4209369089792194E-2</v>
      </c>
      <c r="J40" s="10">
        <v>845.73146067999994</v>
      </c>
      <c r="L40" s="5">
        <v>10</v>
      </c>
      <c r="M40" s="8" t="s">
        <v>26</v>
      </c>
      <c r="N40" s="9">
        <v>8.1485050711762336E-3</v>
      </c>
      <c r="O40" s="10">
        <v>319.86691000000002</v>
      </c>
    </row>
    <row r="43" spans="7:15" x14ac:dyDescent="0.25">
      <c r="G43" s="1" t="s">
        <v>16</v>
      </c>
      <c r="H43" s="2"/>
      <c r="I43" s="3" t="s">
        <v>1</v>
      </c>
      <c r="J43" s="4">
        <v>39295</v>
      </c>
      <c r="L43" s="1" t="s">
        <v>16</v>
      </c>
      <c r="M43" s="2"/>
      <c r="N43" s="3" t="s">
        <v>1</v>
      </c>
      <c r="O43" s="4">
        <v>39600</v>
      </c>
    </row>
    <row r="44" spans="7:15" x14ac:dyDescent="0.25">
      <c r="G44" s="5" t="s">
        <v>2</v>
      </c>
      <c r="H44" s="6" t="s">
        <v>3</v>
      </c>
      <c r="I44" s="6" t="s">
        <v>4</v>
      </c>
      <c r="J44" s="7" t="s">
        <v>5</v>
      </c>
      <c r="L44" s="5" t="s">
        <v>2</v>
      </c>
      <c r="M44" s="6" t="s">
        <v>3</v>
      </c>
      <c r="N44" s="6" t="s">
        <v>4</v>
      </c>
      <c r="O44" s="7" t="s">
        <v>5</v>
      </c>
    </row>
    <row r="45" spans="7:15" x14ac:dyDescent="0.25">
      <c r="G45" s="5">
        <v>1</v>
      </c>
      <c r="H45" s="8" t="s">
        <v>6</v>
      </c>
      <c r="I45" s="9">
        <v>9.9358918854528036E-2</v>
      </c>
      <c r="J45" s="11">
        <v>5549.4164660900005</v>
      </c>
      <c r="L45" s="5">
        <v>1</v>
      </c>
      <c r="M45" s="8" t="s">
        <v>6</v>
      </c>
      <c r="N45" s="9">
        <v>7.7561589661671135E-2</v>
      </c>
      <c r="O45" s="11">
        <v>4246.8271204299999</v>
      </c>
    </row>
    <row r="46" spans="7:15" x14ac:dyDescent="0.25">
      <c r="G46" s="5">
        <v>2</v>
      </c>
      <c r="H46" s="8" t="s">
        <v>8</v>
      </c>
      <c r="I46" s="9">
        <v>4.9707230719420001E-2</v>
      </c>
      <c r="J46" s="11">
        <v>2776.2593214399999</v>
      </c>
      <c r="L46" s="5">
        <v>2</v>
      </c>
      <c r="M46" s="8" t="s">
        <v>18</v>
      </c>
      <c r="N46" s="9">
        <v>3.1614570078133106E-2</v>
      </c>
      <c r="O46" s="11">
        <v>1731.0322570000001</v>
      </c>
    </row>
    <row r="47" spans="7:15" x14ac:dyDescent="0.25">
      <c r="G47" s="5">
        <v>3</v>
      </c>
      <c r="H47" s="8" t="s">
        <v>7</v>
      </c>
      <c r="I47" s="9">
        <v>4.6604826073016151E-2</v>
      </c>
      <c r="J47" s="11">
        <v>2602.9831261300001</v>
      </c>
      <c r="L47" s="5">
        <v>3</v>
      </c>
      <c r="M47" s="8" t="s">
        <v>8</v>
      </c>
      <c r="N47" s="9">
        <v>1.973987324507959E-2</v>
      </c>
      <c r="O47" s="11">
        <v>1080.8420690799999</v>
      </c>
    </row>
    <row r="48" spans="7:15" x14ac:dyDescent="0.25">
      <c r="G48" s="5">
        <v>4</v>
      </c>
      <c r="H48" s="8" t="s">
        <v>18</v>
      </c>
      <c r="I48" s="9">
        <v>2.4639936062152562E-2</v>
      </c>
      <c r="J48" s="11">
        <v>1376.195197</v>
      </c>
      <c r="L48" s="5">
        <v>4</v>
      </c>
      <c r="M48" s="8" t="s">
        <v>29</v>
      </c>
      <c r="N48" s="9">
        <v>1.9372833348232778E-2</v>
      </c>
      <c r="O48" s="11">
        <v>1060.74507268</v>
      </c>
    </row>
    <row r="49" spans="7:15" x14ac:dyDescent="0.25">
      <c r="G49" s="5">
        <v>5</v>
      </c>
      <c r="H49" s="8" t="s">
        <v>12</v>
      </c>
      <c r="I49" s="9">
        <v>2.4144164422341841E-2</v>
      </c>
      <c r="J49" s="11">
        <v>1348.5052489500001</v>
      </c>
      <c r="L49" s="5">
        <v>5</v>
      </c>
      <c r="M49" s="8" t="s">
        <v>7</v>
      </c>
      <c r="N49" s="9">
        <v>1.8734688036223721E-2</v>
      </c>
      <c r="O49" s="11">
        <v>1025.8039010299999</v>
      </c>
    </row>
    <row r="50" spans="7:15" x14ac:dyDescent="0.25">
      <c r="G50" s="5">
        <v>6</v>
      </c>
      <c r="H50" s="8" t="s">
        <v>11</v>
      </c>
      <c r="I50" s="9">
        <v>2.0815571561888988E-2</v>
      </c>
      <c r="J50" s="11">
        <v>1162.59593913</v>
      </c>
      <c r="L50" s="5">
        <v>6</v>
      </c>
      <c r="M50" s="8" t="s">
        <v>13</v>
      </c>
      <c r="N50" s="9">
        <v>1.7060285444609115E-2</v>
      </c>
      <c r="O50" s="11">
        <v>934.12323321999997</v>
      </c>
    </row>
    <row r="51" spans="7:15" x14ac:dyDescent="0.25">
      <c r="G51" s="5">
        <v>7</v>
      </c>
      <c r="H51" s="8" t="s">
        <v>19</v>
      </c>
      <c r="I51" s="9">
        <v>1.7818875424321489E-2</v>
      </c>
      <c r="J51" s="11">
        <v>995.22379899999999</v>
      </c>
      <c r="L51" s="5">
        <v>7</v>
      </c>
      <c r="M51" s="8" t="s">
        <v>14</v>
      </c>
      <c r="N51" s="9">
        <v>1.3890332284063554E-2</v>
      </c>
      <c r="O51" s="11">
        <v>760.55480699999998</v>
      </c>
    </row>
    <row r="52" spans="7:15" x14ac:dyDescent="0.25">
      <c r="G52" s="5">
        <v>8</v>
      </c>
      <c r="H52" s="8" t="s">
        <v>13</v>
      </c>
      <c r="I52" s="9">
        <v>1.6635266770295368E-2</v>
      </c>
      <c r="J52" s="11">
        <v>929.11662483000009</v>
      </c>
      <c r="L52" s="5">
        <v>8</v>
      </c>
      <c r="M52" s="8" t="s">
        <v>11</v>
      </c>
      <c r="N52" s="9">
        <v>8.6792037963901829E-3</v>
      </c>
      <c r="O52" s="11">
        <v>475.22334479</v>
      </c>
    </row>
    <row r="53" spans="7:15" x14ac:dyDescent="0.25">
      <c r="G53" s="5">
        <v>9</v>
      </c>
      <c r="H53" s="8" t="s">
        <v>14</v>
      </c>
      <c r="I53" s="9">
        <v>1.3387885052896118E-2</v>
      </c>
      <c r="J53" s="11">
        <v>747.74313786000005</v>
      </c>
      <c r="L53" s="5">
        <v>9</v>
      </c>
      <c r="M53" s="8" t="s">
        <v>21</v>
      </c>
      <c r="N53" s="9">
        <v>5.9216248164621847E-3</v>
      </c>
      <c r="O53" s="11">
        <v>324.23415993999998</v>
      </c>
    </row>
    <row r="54" spans="7:15" x14ac:dyDescent="0.25">
      <c r="G54" s="5">
        <v>10</v>
      </c>
      <c r="H54" s="8" t="s">
        <v>27</v>
      </c>
      <c r="I54" s="9">
        <v>1.2959709831015636E-2</v>
      </c>
      <c r="J54" s="11">
        <v>723.82860000000005</v>
      </c>
      <c r="L54" s="5">
        <v>10</v>
      </c>
      <c r="M54" s="8" t="s">
        <v>26</v>
      </c>
      <c r="N54" s="9">
        <v>2.6125801897097815E-3</v>
      </c>
      <c r="O54" s="11">
        <v>143.04988399999999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P101"/>
  <sheetViews>
    <sheetView tabSelected="1" topLeftCell="F10" workbookViewId="0">
      <selection activeCell="S21" sqref="S21"/>
    </sheetView>
  </sheetViews>
  <sheetFormatPr defaultRowHeight="15" x14ac:dyDescent="0.25"/>
  <cols>
    <col min="3" max="3" width="37.7109375" bestFit="1" customWidth="1"/>
    <col min="8" max="8" width="37.7109375" bestFit="1" customWidth="1"/>
    <col min="11" max="11" width="39.7109375" bestFit="1" customWidth="1"/>
    <col min="14" max="14" width="46" bestFit="1" customWidth="1"/>
    <col min="15" max="15" width="21.5703125" bestFit="1" customWidth="1"/>
    <col min="16" max="16" width="21" customWidth="1"/>
    <col min="17" max="17" width="23.28515625" bestFit="1" customWidth="1"/>
  </cols>
  <sheetData>
    <row r="1" spans="2:16" x14ac:dyDescent="0.25">
      <c r="B1" t="s">
        <v>2</v>
      </c>
      <c r="C1" t="s">
        <v>30</v>
      </c>
      <c r="D1" t="s">
        <v>4</v>
      </c>
      <c r="E1" t="s">
        <v>31</v>
      </c>
    </row>
    <row r="2" spans="2:16" x14ac:dyDescent="0.25">
      <c r="B2" s="5">
        <v>1</v>
      </c>
      <c r="C2" s="8" t="s">
        <v>6</v>
      </c>
      <c r="D2" s="9">
        <v>0.12029214669954438</v>
      </c>
      <c r="E2" s="10">
        <v>5541.5273029999998</v>
      </c>
      <c r="H2" s="8" t="s">
        <v>6</v>
      </c>
      <c r="I2">
        <f>COUNTIF(H:H,H2)</f>
        <v>9</v>
      </c>
      <c r="K2" s="12" t="s">
        <v>7</v>
      </c>
      <c r="L2" s="13">
        <f>VLOOKUP(K2,$H$2:$I$101,2,0)</f>
        <v>10</v>
      </c>
      <c r="N2" s="15" t="s">
        <v>32</v>
      </c>
      <c r="O2" t="s">
        <v>35</v>
      </c>
      <c r="P2" t="s">
        <v>34</v>
      </c>
    </row>
    <row r="3" spans="2:16" x14ac:dyDescent="0.25">
      <c r="B3" s="5">
        <v>2</v>
      </c>
      <c r="C3" s="8" t="s">
        <v>7</v>
      </c>
      <c r="D3" s="9">
        <v>6.0504777304456081E-2</v>
      </c>
      <c r="E3" s="10">
        <v>2787.288153</v>
      </c>
      <c r="H3" s="8" t="s">
        <v>7</v>
      </c>
      <c r="I3">
        <f>COUNTIF(H:H,H3)</f>
        <v>10</v>
      </c>
      <c r="K3" s="14" t="s">
        <v>13</v>
      </c>
      <c r="L3" s="13">
        <f>VLOOKUP(K3,$H$2:$I$101,2,0)</f>
        <v>10</v>
      </c>
      <c r="N3" s="16" t="s">
        <v>6</v>
      </c>
      <c r="O3" s="17">
        <v>9</v>
      </c>
      <c r="P3" s="18">
        <v>0.1165063951437692</v>
      </c>
    </row>
    <row r="4" spans="2:16" x14ac:dyDescent="0.25">
      <c r="B4" s="5">
        <v>3</v>
      </c>
      <c r="C4" s="8" t="s">
        <v>8</v>
      </c>
      <c r="D4" s="9">
        <v>3.6588351460938806E-2</v>
      </c>
      <c r="E4" s="10">
        <v>1685.52440168</v>
      </c>
      <c r="H4" s="8" t="s">
        <v>8</v>
      </c>
      <c r="I4">
        <f>COUNTIF(H:H,H4)</f>
        <v>10</v>
      </c>
      <c r="K4" s="14" t="s">
        <v>11</v>
      </c>
      <c r="L4" s="13">
        <f>VLOOKUP(K4,$H$2:$I$101,2,0)</f>
        <v>10</v>
      </c>
      <c r="N4" s="16" t="s">
        <v>7</v>
      </c>
      <c r="O4" s="17">
        <v>10</v>
      </c>
      <c r="P4" s="18">
        <v>3.8734074465066499E-2</v>
      </c>
    </row>
    <row r="5" spans="2:16" x14ac:dyDescent="0.25">
      <c r="B5" s="5">
        <v>4</v>
      </c>
      <c r="C5" s="8" t="s">
        <v>9</v>
      </c>
      <c r="D5" s="9">
        <v>2.9259955144484918E-2</v>
      </c>
      <c r="E5" s="10">
        <v>1347.925403</v>
      </c>
      <c r="H5" s="8" t="s">
        <v>9</v>
      </c>
      <c r="I5">
        <f>COUNTIF(H:H,H5)</f>
        <v>2</v>
      </c>
      <c r="K5" s="14" t="s">
        <v>8</v>
      </c>
      <c r="L5" s="13">
        <f>VLOOKUP(K5,$H$2:$I$101,2,0)</f>
        <v>10</v>
      </c>
      <c r="N5" s="16" t="s">
        <v>8</v>
      </c>
      <c r="O5" s="17">
        <v>10</v>
      </c>
      <c r="P5" s="18">
        <v>3.420973174848678E-2</v>
      </c>
    </row>
    <row r="6" spans="2:16" x14ac:dyDescent="0.25">
      <c r="B6" s="5">
        <v>5</v>
      </c>
      <c r="C6" s="8" t="s">
        <v>10</v>
      </c>
      <c r="D6" s="9">
        <v>1.9959824608603224E-2</v>
      </c>
      <c r="E6" s="10">
        <v>919.49404900000002</v>
      </c>
      <c r="H6" s="8" t="s">
        <v>10</v>
      </c>
      <c r="I6">
        <f>COUNTIF(H:H,H6)</f>
        <v>6</v>
      </c>
      <c r="K6" s="12" t="s">
        <v>14</v>
      </c>
      <c r="L6" s="13">
        <f>VLOOKUP(K6,$H$2:$I$101,2,0)</f>
        <v>9</v>
      </c>
      <c r="N6" s="16" t="s">
        <v>18</v>
      </c>
      <c r="O6" s="17">
        <v>8</v>
      </c>
      <c r="P6" s="18">
        <v>2.697095758013162E-2</v>
      </c>
    </row>
    <row r="7" spans="2:16" x14ac:dyDescent="0.25">
      <c r="B7" s="5">
        <v>6</v>
      </c>
      <c r="C7" s="8" t="s">
        <v>11</v>
      </c>
      <c r="D7" s="9">
        <v>1.9803805214860682E-2</v>
      </c>
      <c r="E7" s="10">
        <v>912.30666599999995</v>
      </c>
      <c r="H7" s="8" t="s">
        <v>11</v>
      </c>
      <c r="I7">
        <f>COUNTIF(H:H,H7)</f>
        <v>10</v>
      </c>
      <c r="K7" s="12" t="s">
        <v>6</v>
      </c>
      <c r="L7" s="13">
        <f>VLOOKUP(K7,$H$2:$I$101,2,0)</f>
        <v>9</v>
      </c>
      <c r="N7" s="16" t="s">
        <v>9</v>
      </c>
      <c r="O7" s="17">
        <v>2</v>
      </c>
      <c r="P7" s="18">
        <v>2.56158566761365E-2</v>
      </c>
    </row>
    <row r="8" spans="2:16" x14ac:dyDescent="0.25">
      <c r="B8" s="5">
        <v>7</v>
      </c>
      <c r="C8" s="8" t="s">
        <v>12</v>
      </c>
      <c r="D8" s="9">
        <v>1.9620934799757826E-2</v>
      </c>
      <c r="E8" s="10">
        <v>903.88233052999999</v>
      </c>
      <c r="H8" s="8" t="s">
        <v>12</v>
      </c>
      <c r="I8">
        <f>COUNTIF(H:H,H8)</f>
        <v>6</v>
      </c>
      <c r="K8" s="14" t="s">
        <v>18</v>
      </c>
      <c r="L8" s="13">
        <f>VLOOKUP(K8,$H$2:$I$101,2,0)</f>
        <v>8</v>
      </c>
      <c r="N8" s="16" t="s">
        <v>10</v>
      </c>
      <c r="O8" s="17">
        <v>6</v>
      </c>
      <c r="P8" s="18">
        <v>2.1054521420463736E-2</v>
      </c>
    </row>
    <row r="9" spans="2:16" x14ac:dyDescent="0.25">
      <c r="B9" s="5">
        <v>8</v>
      </c>
      <c r="C9" s="8" t="s">
        <v>13</v>
      </c>
      <c r="D9" s="9">
        <v>1.3528779967936382E-2</v>
      </c>
      <c r="E9" s="10">
        <v>623.23356616000001</v>
      </c>
      <c r="H9" s="8" t="s">
        <v>13</v>
      </c>
      <c r="I9">
        <f>COUNTIF(H:H,H9)</f>
        <v>10</v>
      </c>
      <c r="K9" s="12" t="s">
        <v>12</v>
      </c>
      <c r="L9" s="13">
        <f>VLOOKUP(K9,$H$2:$I$101,2,0)</f>
        <v>6</v>
      </c>
      <c r="N9" s="16" t="s">
        <v>29</v>
      </c>
      <c r="O9" s="17">
        <v>1</v>
      </c>
      <c r="P9" s="18">
        <v>1.9372833348232778E-2</v>
      </c>
    </row>
    <row r="10" spans="2:16" x14ac:dyDescent="0.25">
      <c r="B10" s="5">
        <v>9</v>
      </c>
      <c r="C10" s="8" t="s">
        <v>14</v>
      </c>
      <c r="D10" s="9">
        <v>1.0138151247076269E-2</v>
      </c>
      <c r="E10" s="10">
        <v>467.03665599999999</v>
      </c>
      <c r="H10" s="8" t="s">
        <v>14</v>
      </c>
      <c r="I10">
        <f>COUNTIF(H:H,H10)</f>
        <v>9</v>
      </c>
      <c r="K10" s="14" t="s">
        <v>10</v>
      </c>
      <c r="L10" s="13">
        <f>VLOOKUP(K10,$H$2:$I$101,2,0)</f>
        <v>6</v>
      </c>
      <c r="N10" s="16" t="s">
        <v>11</v>
      </c>
      <c r="O10" s="17">
        <v>10</v>
      </c>
      <c r="P10" s="18">
        <v>1.9217444748489382E-2</v>
      </c>
    </row>
    <row r="11" spans="2:16" x14ac:dyDescent="0.25">
      <c r="B11" s="5">
        <v>10</v>
      </c>
      <c r="C11" s="8" t="s">
        <v>15</v>
      </c>
      <c r="D11" s="9">
        <v>6.6030609151701003E-3</v>
      </c>
      <c r="E11" s="10">
        <v>304.184798</v>
      </c>
      <c r="H11" s="8" t="s">
        <v>15</v>
      </c>
      <c r="I11">
        <f>COUNTIF(H:H,H11)</f>
        <v>1</v>
      </c>
      <c r="K11" s="14" t="s">
        <v>19</v>
      </c>
      <c r="L11" s="13">
        <f>VLOOKUP(K11,$H$2:$I$101,2,0)</f>
        <v>4</v>
      </c>
      <c r="N11" s="16" t="s">
        <v>12</v>
      </c>
      <c r="O11" s="17">
        <v>6</v>
      </c>
      <c r="P11" s="18">
        <v>1.6962930297205966E-2</v>
      </c>
    </row>
    <row r="12" spans="2:16" x14ac:dyDescent="0.25">
      <c r="B12" s="5">
        <v>1</v>
      </c>
      <c r="C12" s="8" t="s">
        <v>6</v>
      </c>
      <c r="D12" s="9">
        <v>0.17753783370873197</v>
      </c>
      <c r="E12" s="11">
        <v>8711.5088130000004</v>
      </c>
      <c r="H12" s="8" t="s">
        <v>6</v>
      </c>
      <c r="I12">
        <f>COUNTIF(H:H,H12)</f>
        <v>9</v>
      </c>
      <c r="K12" s="14" t="s">
        <v>26</v>
      </c>
      <c r="L12" s="13">
        <f>VLOOKUP(K12,$H$2:$I$101,2,0)</f>
        <v>3</v>
      </c>
      <c r="N12" s="16" t="s">
        <v>19</v>
      </c>
      <c r="O12" s="17">
        <v>4</v>
      </c>
      <c r="P12" s="18">
        <v>1.5582479984545653E-2</v>
      </c>
    </row>
    <row r="13" spans="2:16" x14ac:dyDescent="0.25">
      <c r="B13" s="5">
        <v>2</v>
      </c>
      <c r="C13" s="8" t="s">
        <v>8</v>
      </c>
      <c r="D13" s="9">
        <v>5.0407138126429163E-2</v>
      </c>
      <c r="E13" s="11">
        <v>2473.4008456300003</v>
      </c>
      <c r="H13" s="8" t="s">
        <v>8</v>
      </c>
      <c r="I13">
        <f>COUNTIF(H:H,H13)</f>
        <v>10</v>
      </c>
      <c r="K13" s="14" t="s">
        <v>21</v>
      </c>
      <c r="L13" s="13">
        <f>VLOOKUP(K13,$H$2:$I$101,2,0)</f>
        <v>3</v>
      </c>
      <c r="N13" s="16" t="s">
        <v>13</v>
      </c>
      <c r="O13" s="17">
        <v>10</v>
      </c>
      <c r="P13" s="18">
        <v>1.5308453388419851E-2</v>
      </c>
    </row>
    <row r="14" spans="2:16" x14ac:dyDescent="0.25">
      <c r="B14" s="5">
        <v>3</v>
      </c>
      <c r="C14" s="8" t="s">
        <v>7</v>
      </c>
      <c r="D14" s="9">
        <v>2.8386556857316645E-2</v>
      </c>
      <c r="E14" s="11">
        <v>1392.8847450000001</v>
      </c>
      <c r="H14" s="8" t="s">
        <v>7</v>
      </c>
      <c r="I14">
        <f>COUNTIF(H:H,H14)</f>
        <v>10</v>
      </c>
      <c r="K14" s="14" t="s">
        <v>9</v>
      </c>
      <c r="L14" s="13">
        <f>VLOOKUP(K14,$H$2:$I$101,2,0)</f>
        <v>2</v>
      </c>
      <c r="N14" s="16" t="s">
        <v>14</v>
      </c>
      <c r="O14" s="17">
        <v>9</v>
      </c>
      <c r="P14" s="18">
        <v>1.4514438214458632E-2</v>
      </c>
    </row>
    <row r="15" spans="2:16" x14ac:dyDescent="0.25">
      <c r="B15" s="5">
        <v>4</v>
      </c>
      <c r="C15" s="8" t="s">
        <v>9</v>
      </c>
      <c r="D15" s="9">
        <v>2.1971758207788079E-2</v>
      </c>
      <c r="E15" s="11">
        <v>1078.1204279999999</v>
      </c>
      <c r="H15" s="8" t="s">
        <v>9</v>
      </c>
      <c r="I15">
        <f>COUNTIF(H:H,H15)</f>
        <v>2</v>
      </c>
      <c r="K15" s="14" t="s">
        <v>29</v>
      </c>
      <c r="L15" s="13">
        <f>VLOOKUP(K15,$H$2:$I$101,2,0)</f>
        <v>1</v>
      </c>
      <c r="N15" s="16" t="s">
        <v>27</v>
      </c>
      <c r="O15" s="17">
        <v>1</v>
      </c>
      <c r="P15" s="18">
        <v>1.2959709831015636E-2</v>
      </c>
    </row>
    <row r="16" spans="2:16" x14ac:dyDescent="0.25">
      <c r="B16" s="5">
        <v>5</v>
      </c>
      <c r="C16" s="8" t="s">
        <v>10</v>
      </c>
      <c r="D16" s="9">
        <v>1.7914300025521933E-2</v>
      </c>
      <c r="E16" s="11">
        <v>879.02718700000003</v>
      </c>
      <c r="H16" s="8" t="s">
        <v>10</v>
      </c>
      <c r="I16">
        <f>COUNTIF(H:H,H16)</f>
        <v>6</v>
      </c>
      <c r="K16" s="14" t="s">
        <v>15</v>
      </c>
      <c r="L16" s="13">
        <f>VLOOKUP(K16,$H$2:$I$101,2,0)</f>
        <v>1</v>
      </c>
      <c r="N16" s="16" t="s">
        <v>26</v>
      </c>
      <c r="O16" s="17">
        <v>3</v>
      </c>
      <c r="P16" s="18">
        <v>1.2012071078657566E-2</v>
      </c>
    </row>
    <row r="17" spans="2:16" x14ac:dyDescent="0.25">
      <c r="B17" s="5">
        <v>6</v>
      </c>
      <c r="C17" s="8" t="s">
        <v>12</v>
      </c>
      <c r="D17" s="9">
        <v>1.396471012324314E-2</v>
      </c>
      <c r="E17" s="11">
        <v>685.22687682000003</v>
      </c>
      <c r="H17" s="8" t="s">
        <v>12</v>
      </c>
      <c r="I17">
        <f>COUNTIF(H:H,H17)</f>
        <v>6</v>
      </c>
      <c r="K17" s="14" t="s">
        <v>23</v>
      </c>
      <c r="L17" s="13">
        <f>VLOOKUP(K17,$H$2:$I$101,2,0)</f>
        <v>1</v>
      </c>
      <c r="N17" s="16" t="s">
        <v>28</v>
      </c>
      <c r="O17" s="17">
        <v>1</v>
      </c>
      <c r="P17" s="18">
        <v>8.4502133514638179E-3</v>
      </c>
    </row>
    <row r="18" spans="2:16" x14ac:dyDescent="0.25">
      <c r="B18" s="5">
        <v>7</v>
      </c>
      <c r="C18" s="8" t="s">
        <v>14</v>
      </c>
      <c r="D18" s="9">
        <v>1.2538679919170652E-2</v>
      </c>
      <c r="E18" s="11">
        <v>615.25376500000004</v>
      </c>
      <c r="H18" s="8" t="s">
        <v>14</v>
      </c>
      <c r="I18">
        <f>COUNTIF(H:H,H18)</f>
        <v>9</v>
      </c>
      <c r="K18" s="14" t="s">
        <v>24</v>
      </c>
      <c r="L18" s="13">
        <f>VLOOKUP(K18,$H$2:$I$101,2,0)</f>
        <v>1</v>
      </c>
      <c r="N18" s="16" t="s">
        <v>24</v>
      </c>
      <c r="O18" s="17">
        <v>1</v>
      </c>
      <c r="P18" s="18">
        <v>8.2715948695383876E-3</v>
      </c>
    </row>
    <row r="19" spans="2:16" x14ac:dyDescent="0.25">
      <c r="B19" s="5">
        <v>8</v>
      </c>
      <c r="C19" s="8" t="s">
        <v>13</v>
      </c>
      <c r="D19" s="9">
        <v>9.6643049311640698E-3</v>
      </c>
      <c r="E19" s="11">
        <v>474.2125992</v>
      </c>
      <c r="H19" s="8" t="s">
        <v>13</v>
      </c>
      <c r="I19">
        <f>COUNTIF(H:H,H19)</f>
        <v>10</v>
      </c>
      <c r="K19" s="14" t="s">
        <v>28</v>
      </c>
      <c r="L19" s="13">
        <f>VLOOKUP(K19,$H$2:$I$101,2,0)</f>
        <v>1</v>
      </c>
      <c r="N19" s="16" t="s">
        <v>17</v>
      </c>
      <c r="O19" s="17">
        <v>1</v>
      </c>
      <c r="P19" s="18">
        <v>7.3052867427507353E-3</v>
      </c>
    </row>
    <row r="20" spans="2:16" x14ac:dyDescent="0.25">
      <c r="B20" s="5">
        <v>9</v>
      </c>
      <c r="C20" s="8" t="s">
        <v>11</v>
      </c>
      <c r="D20" s="9">
        <v>8.5245430439931016E-3</v>
      </c>
      <c r="E20" s="11">
        <v>418.28623399999998</v>
      </c>
      <c r="H20" s="8" t="s">
        <v>11</v>
      </c>
      <c r="I20">
        <f>COUNTIF(H:H,H20)</f>
        <v>10</v>
      </c>
      <c r="K20" s="14" t="s">
        <v>20</v>
      </c>
      <c r="L20" s="13">
        <f>VLOOKUP(K20,$H$2:$I$101,2,0)</f>
        <v>1</v>
      </c>
      <c r="N20" s="16" t="s">
        <v>21</v>
      </c>
      <c r="O20" s="17">
        <v>3</v>
      </c>
      <c r="P20" s="18">
        <v>7.2818002667502423E-3</v>
      </c>
    </row>
    <row r="21" spans="2:16" x14ac:dyDescent="0.25">
      <c r="B21" s="5">
        <v>10</v>
      </c>
      <c r="C21" s="8" t="s">
        <v>17</v>
      </c>
      <c r="D21" s="9">
        <v>7.3052867427507353E-3</v>
      </c>
      <c r="E21" s="11">
        <v>358.45920000000001</v>
      </c>
      <c r="H21" s="8" t="s">
        <v>17</v>
      </c>
      <c r="I21">
        <f>COUNTIF(H:H,H21)</f>
        <v>1</v>
      </c>
      <c r="K21" s="14" t="s">
        <v>25</v>
      </c>
      <c r="L21" s="13">
        <f>VLOOKUP(K21,$H$2:$I$101,2,0)</f>
        <v>1</v>
      </c>
      <c r="N21" s="16" t="s">
        <v>20</v>
      </c>
      <c r="O21" s="17">
        <v>1</v>
      </c>
      <c r="P21" s="18">
        <v>7.0489105969774625E-3</v>
      </c>
    </row>
    <row r="22" spans="2:16" x14ac:dyDescent="0.25">
      <c r="B22" s="5">
        <v>1</v>
      </c>
      <c r="C22" s="8" t="s">
        <v>6</v>
      </c>
      <c r="D22" s="9">
        <v>0.11174596824621039</v>
      </c>
      <c r="E22" s="10">
        <v>8522.2270788999995</v>
      </c>
      <c r="H22" s="8" t="s">
        <v>6</v>
      </c>
      <c r="I22">
        <f>COUNTIF(H:H,H22)</f>
        <v>9</v>
      </c>
      <c r="K22" s="14" t="s">
        <v>22</v>
      </c>
      <c r="L22" s="13">
        <f>VLOOKUP(K22,$H$2:$I$101,2,0)</f>
        <v>1</v>
      </c>
      <c r="N22" s="16" t="s">
        <v>15</v>
      </c>
      <c r="O22" s="17">
        <v>1</v>
      </c>
      <c r="P22" s="18">
        <v>6.6030609151701003E-3</v>
      </c>
    </row>
    <row r="23" spans="2:16" x14ac:dyDescent="0.25">
      <c r="B23" s="5">
        <v>2</v>
      </c>
      <c r="C23" s="8" t="s">
        <v>7</v>
      </c>
      <c r="D23" s="9">
        <v>4.4359113350954417E-2</v>
      </c>
      <c r="E23" s="10">
        <v>3383.0163443800002</v>
      </c>
      <c r="H23" s="8" t="s">
        <v>7</v>
      </c>
      <c r="I23">
        <f>COUNTIF(H:H,H23)</f>
        <v>10</v>
      </c>
      <c r="K23" s="14" t="s">
        <v>27</v>
      </c>
      <c r="L23" s="13">
        <f>VLOOKUP(K23,$H$2:$I$101,2,0)</f>
        <v>1</v>
      </c>
      <c r="N23" s="16" t="s">
        <v>25</v>
      </c>
      <c r="O23" s="17">
        <v>1</v>
      </c>
      <c r="P23" s="18">
        <v>6.3776771794691713E-3</v>
      </c>
    </row>
    <row r="24" spans="2:16" x14ac:dyDescent="0.25">
      <c r="B24" s="5">
        <v>3</v>
      </c>
      <c r="C24" s="8" t="s">
        <v>8</v>
      </c>
      <c r="D24" s="9">
        <v>3.6697435888159866E-2</v>
      </c>
      <c r="E24" s="10">
        <v>2798.7039421700001</v>
      </c>
      <c r="H24" s="8" t="s">
        <v>8</v>
      </c>
      <c r="I24">
        <f>COUNTIF(H:H,H24)</f>
        <v>10</v>
      </c>
      <c r="K24" s="14" t="s">
        <v>17</v>
      </c>
      <c r="L24" s="13">
        <f>VLOOKUP(K24,$H$2:$I$101,2,0)</f>
        <v>1</v>
      </c>
      <c r="N24" s="16" t="s">
        <v>22</v>
      </c>
      <c r="O24" s="17">
        <v>1</v>
      </c>
      <c r="P24" s="18">
        <v>5.510893682063504E-3</v>
      </c>
    </row>
    <row r="25" spans="2:16" x14ac:dyDescent="0.25">
      <c r="B25" s="5">
        <v>4</v>
      </c>
      <c r="C25" s="8" t="s">
        <v>11</v>
      </c>
      <c r="D25" s="9">
        <v>1.9827667515715384E-2</v>
      </c>
      <c r="E25" s="10">
        <v>1512.1430120999999</v>
      </c>
      <c r="H25" s="8" t="s">
        <v>11</v>
      </c>
      <c r="I25">
        <f>COUNTIF(H:H,H25)</f>
        <v>10</v>
      </c>
      <c r="N25" s="16" t="s">
        <v>23</v>
      </c>
      <c r="O25" s="17">
        <v>1</v>
      </c>
      <c r="P25" s="18">
        <v>3.9442728883722078E-3</v>
      </c>
    </row>
    <row r="26" spans="2:16" x14ac:dyDescent="0.25">
      <c r="B26" s="5">
        <v>5</v>
      </c>
      <c r="C26" s="8" t="s">
        <v>10</v>
      </c>
      <c r="D26" s="9">
        <v>1.9326787675798471E-2</v>
      </c>
      <c r="E26" s="10">
        <v>1473.9437660599999</v>
      </c>
      <c r="H26" s="8" t="s">
        <v>10</v>
      </c>
      <c r="I26">
        <f>COUNTIF(H:H,H26)</f>
        <v>6</v>
      </c>
      <c r="N26" s="16" t="s">
        <v>33</v>
      </c>
      <c r="O26" s="17">
        <v>100</v>
      </c>
      <c r="P26" s="18">
        <v>2.9550446154074796E-2</v>
      </c>
    </row>
    <row r="27" spans="2:16" x14ac:dyDescent="0.25">
      <c r="B27" s="5">
        <v>6</v>
      </c>
      <c r="C27" s="8" t="s">
        <v>18</v>
      </c>
      <c r="D27" s="9">
        <v>1.7371012221382008E-2</v>
      </c>
      <c r="E27" s="10">
        <v>1324.7879370000001</v>
      </c>
      <c r="H27" s="8" t="s">
        <v>18</v>
      </c>
      <c r="I27">
        <f>COUNTIF(H:H,H27)</f>
        <v>8</v>
      </c>
    </row>
    <row r="28" spans="2:16" x14ac:dyDescent="0.25">
      <c r="B28" s="5">
        <v>7</v>
      </c>
      <c r="C28" s="8" t="s">
        <v>19</v>
      </c>
      <c r="D28" s="9">
        <v>1.1144509652111488E-2</v>
      </c>
      <c r="E28" s="10">
        <v>849.92813100000001</v>
      </c>
      <c r="H28" s="8" t="s">
        <v>19</v>
      </c>
      <c r="I28">
        <f>COUNTIF(H:H,H28)</f>
        <v>4</v>
      </c>
    </row>
    <row r="29" spans="2:16" x14ac:dyDescent="0.25">
      <c r="B29" s="5">
        <v>8</v>
      </c>
      <c r="C29" s="8" t="s">
        <v>13</v>
      </c>
      <c r="D29" s="9">
        <v>7.6863342684482779E-3</v>
      </c>
      <c r="E29" s="10">
        <v>586.19283601999996</v>
      </c>
      <c r="H29" s="8" t="s">
        <v>13</v>
      </c>
      <c r="I29">
        <f>COUNTIF(H:H,H29)</f>
        <v>10</v>
      </c>
    </row>
    <row r="30" spans="2:16" x14ac:dyDescent="0.25">
      <c r="B30" s="5">
        <v>9</v>
      </c>
      <c r="C30" s="8" t="s">
        <v>14</v>
      </c>
      <c r="D30" s="9">
        <v>7.0496433863331777E-3</v>
      </c>
      <c r="E30" s="10">
        <v>537.63605709000001</v>
      </c>
      <c r="H30" s="8" t="s">
        <v>14</v>
      </c>
      <c r="I30">
        <f>COUNTIF(H:H,H30)</f>
        <v>9</v>
      </c>
    </row>
    <row r="31" spans="2:16" x14ac:dyDescent="0.25">
      <c r="B31" s="5">
        <v>10</v>
      </c>
      <c r="C31" s="8" t="s">
        <v>12</v>
      </c>
      <c r="D31" s="9">
        <v>5.9553360293942269E-3</v>
      </c>
      <c r="E31" s="10">
        <v>454.17948200000001</v>
      </c>
      <c r="H31" s="8" t="s">
        <v>12</v>
      </c>
      <c r="I31">
        <f>COUNTIF(H:H,H31)</f>
        <v>6</v>
      </c>
    </row>
    <row r="32" spans="2:16" x14ac:dyDescent="0.25">
      <c r="B32" s="5">
        <v>1</v>
      </c>
      <c r="C32" s="8" t="s">
        <v>6</v>
      </c>
      <c r="D32" s="9">
        <v>0.12835997024194462</v>
      </c>
      <c r="E32" s="11">
        <v>7108.6991609999995</v>
      </c>
      <c r="H32" s="8" t="s">
        <v>6</v>
      </c>
      <c r="I32">
        <f>COUNTIF(H:H,H32)</f>
        <v>9</v>
      </c>
    </row>
    <row r="33" spans="2:16" x14ac:dyDescent="0.25">
      <c r="B33" s="5">
        <v>2</v>
      </c>
      <c r="C33" s="8" t="s">
        <v>8</v>
      </c>
      <c r="D33" s="9">
        <v>5.1606233226140323E-2</v>
      </c>
      <c r="E33" s="11">
        <v>2858.0030530200002</v>
      </c>
      <c r="H33" s="8" t="s">
        <v>8</v>
      </c>
      <c r="I33">
        <f>COUNTIF(H:H,H33)</f>
        <v>10</v>
      </c>
      <c r="N33" s="19" t="s">
        <v>32</v>
      </c>
      <c r="O33" s="19" t="s">
        <v>36</v>
      </c>
      <c r="P33" s="19" t="s">
        <v>34</v>
      </c>
    </row>
    <row r="34" spans="2:16" x14ac:dyDescent="0.25">
      <c r="B34" s="5">
        <v>3</v>
      </c>
      <c r="C34" s="8" t="s">
        <v>7</v>
      </c>
      <c r="D34" s="9">
        <v>4.9141973753034626E-2</v>
      </c>
      <c r="E34" s="11">
        <v>2721.5299826700002</v>
      </c>
      <c r="H34" s="8" t="s">
        <v>7</v>
      </c>
      <c r="I34">
        <f>COUNTIF(H:H,H34)</f>
        <v>10</v>
      </c>
      <c r="N34" s="20" t="s">
        <v>6</v>
      </c>
      <c r="O34" s="21">
        <v>9</v>
      </c>
      <c r="P34" s="22">
        <v>0.1165063951437692</v>
      </c>
    </row>
    <row r="35" spans="2:16" x14ac:dyDescent="0.25">
      <c r="B35" s="5">
        <v>4</v>
      </c>
      <c r="C35" s="8" t="s">
        <v>10</v>
      </c>
      <c r="D35" s="9">
        <v>2.8447760970060916E-2</v>
      </c>
      <c r="E35" s="11">
        <v>1575.4644860000001</v>
      </c>
      <c r="H35" s="8" t="s">
        <v>10</v>
      </c>
      <c r="I35">
        <f>COUNTIF(H:H,H35)</f>
        <v>6</v>
      </c>
      <c r="N35" s="20" t="s">
        <v>7</v>
      </c>
      <c r="O35" s="21">
        <v>10</v>
      </c>
      <c r="P35" s="22">
        <v>3.8734074465066499E-2</v>
      </c>
    </row>
    <row r="36" spans="2:16" x14ac:dyDescent="0.25">
      <c r="B36" s="5">
        <v>5</v>
      </c>
      <c r="C36" s="8" t="s">
        <v>18</v>
      </c>
      <c r="D36" s="9">
        <v>2.5971031189941953E-2</v>
      </c>
      <c r="E36" s="11">
        <v>1438.300798</v>
      </c>
      <c r="H36" s="8" t="s">
        <v>18</v>
      </c>
      <c r="I36">
        <f>COUNTIF(H:H,H36)</f>
        <v>8</v>
      </c>
      <c r="N36" s="23" t="s">
        <v>8</v>
      </c>
      <c r="O36" s="21">
        <v>10</v>
      </c>
      <c r="P36" s="22">
        <v>3.420973174848678E-2</v>
      </c>
    </row>
    <row r="37" spans="2:16" x14ac:dyDescent="0.25">
      <c r="B37" s="5">
        <v>6</v>
      </c>
      <c r="C37" s="8" t="s">
        <v>19</v>
      </c>
      <c r="D37" s="9">
        <v>1.8098681578233185E-2</v>
      </c>
      <c r="E37" s="11">
        <v>1002.322471</v>
      </c>
      <c r="H37" s="8" t="s">
        <v>19</v>
      </c>
      <c r="I37">
        <f>COUNTIF(H:H,H37)</f>
        <v>4</v>
      </c>
      <c r="N37" s="23" t="s">
        <v>18</v>
      </c>
      <c r="O37" s="21">
        <v>8</v>
      </c>
      <c r="P37" s="22">
        <v>2.697095758013162E-2</v>
      </c>
    </row>
    <row r="38" spans="2:16" x14ac:dyDescent="0.25">
      <c r="B38" s="5">
        <v>7</v>
      </c>
      <c r="C38" s="8" t="s">
        <v>11</v>
      </c>
      <c r="D38" s="9">
        <v>1.6369834552681629E-2</v>
      </c>
      <c r="E38" s="11">
        <v>906.57725247999997</v>
      </c>
      <c r="H38" s="8" t="s">
        <v>11</v>
      </c>
      <c r="I38">
        <f>COUNTIF(H:H,H38)</f>
        <v>10</v>
      </c>
      <c r="N38" s="23" t="s">
        <v>9</v>
      </c>
      <c r="O38" s="21">
        <v>2</v>
      </c>
      <c r="P38" s="22">
        <v>2.56158566761365E-2</v>
      </c>
    </row>
    <row r="39" spans="2:16" x14ac:dyDescent="0.25">
      <c r="B39" s="5">
        <v>8</v>
      </c>
      <c r="C39" s="8" t="s">
        <v>13</v>
      </c>
      <c r="D39" s="9">
        <v>1.4524075010148815E-2</v>
      </c>
      <c r="E39" s="11">
        <v>804.35730582000008</v>
      </c>
      <c r="H39" s="8" t="s">
        <v>13</v>
      </c>
      <c r="I39">
        <f>COUNTIF(H:H,H39)</f>
        <v>10</v>
      </c>
      <c r="N39" s="23" t="s">
        <v>10</v>
      </c>
      <c r="O39" s="21">
        <v>6</v>
      </c>
      <c r="P39" s="22">
        <v>2.1054521420463736E-2</v>
      </c>
    </row>
    <row r="40" spans="2:16" x14ac:dyDescent="0.25">
      <c r="B40" s="5">
        <v>9</v>
      </c>
      <c r="C40" s="8" t="s">
        <v>12</v>
      </c>
      <c r="D40" s="9">
        <v>1.405968246268059E-2</v>
      </c>
      <c r="E40" s="11">
        <v>778.63879788999998</v>
      </c>
      <c r="H40" s="8" t="s">
        <v>12</v>
      </c>
      <c r="I40">
        <f>COUNTIF(H:H,H40)</f>
        <v>6</v>
      </c>
      <c r="N40" s="23" t="s">
        <v>29</v>
      </c>
      <c r="O40" s="21">
        <v>1</v>
      </c>
      <c r="P40" s="22">
        <v>1.9372833348232778E-2</v>
      </c>
    </row>
    <row r="41" spans="2:16" x14ac:dyDescent="0.25">
      <c r="B41" s="5">
        <v>10</v>
      </c>
      <c r="C41" s="8" t="s">
        <v>14</v>
      </c>
      <c r="D41" s="9">
        <v>9.1099713079799138E-3</v>
      </c>
      <c r="E41" s="11">
        <v>504.51901220999997</v>
      </c>
      <c r="H41" s="8" t="s">
        <v>14</v>
      </c>
      <c r="I41">
        <f>COUNTIF(H:H,H41)</f>
        <v>9</v>
      </c>
      <c r="N41" s="23" t="s">
        <v>11</v>
      </c>
      <c r="O41" s="21">
        <v>10</v>
      </c>
      <c r="P41" s="22">
        <v>1.9217444748489382E-2</v>
      </c>
    </row>
    <row r="42" spans="2:16" x14ac:dyDescent="0.25">
      <c r="B42" s="5">
        <v>1</v>
      </c>
      <c r="C42" s="8" t="s">
        <v>6</v>
      </c>
      <c r="D42" s="9">
        <v>0.141946972489636</v>
      </c>
      <c r="E42" s="10">
        <v>8448.5820323299995</v>
      </c>
      <c r="H42" s="8" t="s">
        <v>6</v>
      </c>
      <c r="I42">
        <f>COUNTIF(H:H,H42)</f>
        <v>9</v>
      </c>
      <c r="N42" s="20" t="s">
        <v>12</v>
      </c>
      <c r="O42" s="21">
        <v>6</v>
      </c>
      <c r="P42" s="22">
        <v>1.6962930297205966E-2</v>
      </c>
    </row>
    <row r="43" spans="2:16" x14ac:dyDescent="0.25">
      <c r="B43" s="5">
        <v>2</v>
      </c>
      <c r="C43" s="8" t="s">
        <v>8</v>
      </c>
      <c r="D43" s="9">
        <v>3.2484316976728073E-2</v>
      </c>
      <c r="E43" s="10">
        <v>1933.4432565100001</v>
      </c>
      <c r="H43" s="8" t="s">
        <v>8</v>
      </c>
      <c r="I43">
        <f>COUNTIF(H:H,H43)</f>
        <v>10</v>
      </c>
      <c r="N43" s="23" t="s">
        <v>19</v>
      </c>
      <c r="O43" s="21">
        <v>4</v>
      </c>
      <c r="P43" s="22">
        <v>1.5582479984545653E-2</v>
      </c>
    </row>
    <row r="44" spans="2:16" x14ac:dyDescent="0.25">
      <c r="B44" s="5">
        <v>3</v>
      </c>
      <c r="C44" s="8" t="s">
        <v>7</v>
      </c>
      <c r="D44" s="9">
        <v>3.0153357583518163E-2</v>
      </c>
      <c r="E44" s="10">
        <v>1794.7062246300002</v>
      </c>
      <c r="H44" s="8" t="s">
        <v>7</v>
      </c>
      <c r="I44">
        <f>COUNTIF(H:H,H44)</f>
        <v>10</v>
      </c>
      <c r="N44" s="23" t="s">
        <v>13</v>
      </c>
      <c r="O44" s="21">
        <v>10</v>
      </c>
      <c r="P44" s="22">
        <v>1.5308453388419851E-2</v>
      </c>
    </row>
    <row r="45" spans="2:16" x14ac:dyDescent="0.25">
      <c r="B45" s="5">
        <v>4</v>
      </c>
      <c r="C45" s="8" t="s">
        <v>11</v>
      </c>
      <c r="D45" s="9">
        <v>2.6852524934931916E-2</v>
      </c>
      <c r="E45" s="10">
        <v>1598.2430319500002</v>
      </c>
      <c r="H45" s="8" t="s">
        <v>11</v>
      </c>
      <c r="I45">
        <f>COUNTIF(H:H,H45)</f>
        <v>10</v>
      </c>
      <c r="N45" s="20" t="s">
        <v>14</v>
      </c>
      <c r="O45" s="21">
        <v>9</v>
      </c>
      <c r="P45" s="22">
        <v>1.4514438214458632E-2</v>
      </c>
    </row>
    <row r="46" spans="2:16" x14ac:dyDescent="0.25">
      <c r="B46" s="5">
        <v>5</v>
      </c>
      <c r="C46" s="8" t="s">
        <v>10</v>
      </c>
      <c r="D46" s="9">
        <v>2.5359462597642504E-2</v>
      </c>
      <c r="E46" s="10">
        <v>1509.3770321</v>
      </c>
      <c r="H46" s="8" t="s">
        <v>10</v>
      </c>
      <c r="I46">
        <f>COUNTIF(H:H,H46)</f>
        <v>6</v>
      </c>
      <c r="N46" s="23" t="s">
        <v>27</v>
      </c>
      <c r="O46" s="21">
        <v>1</v>
      </c>
      <c r="P46" s="22">
        <v>1.2959709831015636E-2</v>
      </c>
    </row>
    <row r="47" spans="2:16" x14ac:dyDescent="0.25">
      <c r="B47" s="5">
        <v>6</v>
      </c>
      <c r="C47" s="8" t="s">
        <v>26</v>
      </c>
      <c r="D47" s="9">
        <v>2.5275127975086686E-2</v>
      </c>
      <c r="E47" s="10">
        <v>1504.3574958299998</v>
      </c>
      <c r="H47" s="8" t="s">
        <v>26</v>
      </c>
      <c r="I47">
        <f>COUNTIF(H:H,H47)</f>
        <v>3</v>
      </c>
      <c r="N47" s="23" t="s">
        <v>26</v>
      </c>
      <c r="O47" s="21">
        <v>3</v>
      </c>
      <c r="P47" s="22">
        <v>1.2012071078657566E-2</v>
      </c>
    </row>
    <row r="48" spans="2:16" x14ac:dyDescent="0.25">
      <c r="B48" s="5">
        <v>7</v>
      </c>
      <c r="C48" s="8" t="s">
        <v>12</v>
      </c>
      <c r="D48" s="9">
        <v>2.4032753945818178E-2</v>
      </c>
      <c r="E48" s="10">
        <v>1430.4122843399998</v>
      </c>
      <c r="H48" s="8" t="s">
        <v>12</v>
      </c>
      <c r="I48">
        <f>COUNTIF(H:H,H48)</f>
        <v>6</v>
      </c>
      <c r="N48" s="23" t="s">
        <v>28</v>
      </c>
      <c r="O48" s="21">
        <v>1</v>
      </c>
      <c r="P48" s="22">
        <v>8.4502133514638179E-3</v>
      </c>
    </row>
    <row r="49" spans="2:16" x14ac:dyDescent="0.25">
      <c r="B49" s="5">
        <v>8</v>
      </c>
      <c r="C49" s="8" t="s">
        <v>18</v>
      </c>
      <c r="D49" s="9">
        <v>2.3681976176437965E-2</v>
      </c>
      <c r="E49" s="10">
        <v>1409.5342430000001</v>
      </c>
      <c r="H49" s="8" t="s">
        <v>18</v>
      </c>
      <c r="I49">
        <f>COUNTIF(H:H,H49)</f>
        <v>8</v>
      </c>
      <c r="N49" s="23" t="s">
        <v>24</v>
      </c>
      <c r="O49" s="21">
        <v>1</v>
      </c>
      <c r="P49" s="22">
        <v>8.2715948695383876E-3</v>
      </c>
    </row>
    <row r="50" spans="2:16" x14ac:dyDescent="0.25">
      <c r="B50" s="5">
        <v>9</v>
      </c>
      <c r="C50" s="8" t="s">
        <v>19</v>
      </c>
      <c r="D50" s="9">
        <v>1.5267853283516451E-2</v>
      </c>
      <c r="E50" s="10">
        <v>908.73168099999998</v>
      </c>
      <c r="H50" s="8" t="s">
        <v>19</v>
      </c>
      <c r="I50">
        <f>COUNTIF(H:H,H50)</f>
        <v>4</v>
      </c>
      <c r="N50" s="23" t="s">
        <v>17</v>
      </c>
      <c r="O50" s="21">
        <v>1</v>
      </c>
      <c r="P50" s="22">
        <v>7.3052867427507353E-3</v>
      </c>
    </row>
    <row r="51" spans="2:16" x14ac:dyDescent="0.25">
      <c r="B51" s="5">
        <v>10</v>
      </c>
      <c r="C51" s="8" t="s">
        <v>13</v>
      </c>
      <c r="D51" s="9">
        <v>1.4209369089792194E-2</v>
      </c>
      <c r="E51" s="10">
        <v>845.73146067999994</v>
      </c>
      <c r="H51" s="8" t="s">
        <v>13</v>
      </c>
      <c r="I51">
        <f>COUNTIF(H:H,H51)</f>
        <v>10</v>
      </c>
      <c r="N51" s="23" t="s">
        <v>21</v>
      </c>
      <c r="O51" s="21">
        <v>3</v>
      </c>
      <c r="P51" s="22">
        <v>7.2818002667502423E-3</v>
      </c>
    </row>
    <row r="52" spans="2:16" x14ac:dyDescent="0.25">
      <c r="B52" s="5">
        <v>1</v>
      </c>
      <c r="C52" s="8" t="s">
        <v>6</v>
      </c>
      <c r="D52" s="9">
        <v>9.9358918854528036E-2</v>
      </c>
      <c r="E52" s="11">
        <v>5549.4164660900005</v>
      </c>
      <c r="H52" s="8" t="s">
        <v>6</v>
      </c>
      <c r="I52">
        <f>COUNTIF(H:H,H52)</f>
        <v>9</v>
      </c>
      <c r="N52" s="23" t="s">
        <v>20</v>
      </c>
      <c r="O52" s="21">
        <v>1</v>
      </c>
      <c r="P52" s="22">
        <v>7.0489105969774625E-3</v>
      </c>
    </row>
    <row r="53" spans="2:16" x14ac:dyDescent="0.25">
      <c r="B53" s="5">
        <v>2</v>
      </c>
      <c r="C53" s="8" t="s">
        <v>8</v>
      </c>
      <c r="D53" s="9">
        <v>4.9707230719420001E-2</v>
      </c>
      <c r="E53" s="11">
        <v>2776.2593214399999</v>
      </c>
      <c r="H53" s="8" t="s">
        <v>8</v>
      </c>
      <c r="I53">
        <f>COUNTIF(H:H,H53)</f>
        <v>10</v>
      </c>
      <c r="N53" s="23" t="s">
        <v>15</v>
      </c>
      <c r="O53" s="21">
        <v>1</v>
      </c>
      <c r="P53" s="22">
        <v>6.6030609151701003E-3</v>
      </c>
    </row>
    <row r="54" spans="2:16" x14ac:dyDescent="0.25">
      <c r="B54" s="5">
        <v>3</v>
      </c>
      <c r="C54" s="8" t="s">
        <v>7</v>
      </c>
      <c r="D54" s="9">
        <v>4.6604826073016151E-2</v>
      </c>
      <c r="E54" s="11">
        <v>2602.9831261300001</v>
      </c>
      <c r="H54" s="8" t="s">
        <v>7</v>
      </c>
      <c r="I54">
        <f>COUNTIF(H:H,H54)</f>
        <v>10</v>
      </c>
      <c r="N54" s="23" t="s">
        <v>25</v>
      </c>
      <c r="O54" s="21">
        <v>1</v>
      </c>
      <c r="P54" s="22">
        <v>6.3776771794691713E-3</v>
      </c>
    </row>
    <row r="55" spans="2:16" x14ac:dyDescent="0.25">
      <c r="B55" s="5">
        <v>4</v>
      </c>
      <c r="C55" s="8" t="s">
        <v>18</v>
      </c>
      <c r="D55" s="9">
        <v>2.4639936062152562E-2</v>
      </c>
      <c r="E55" s="11">
        <v>1376.195197</v>
      </c>
      <c r="H55" s="8" t="s">
        <v>18</v>
      </c>
      <c r="I55">
        <f>COUNTIF(H:H,H55)</f>
        <v>8</v>
      </c>
      <c r="N55" s="23" t="s">
        <v>22</v>
      </c>
      <c r="O55" s="21">
        <v>1</v>
      </c>
      <c r="P55" s="22">
        <v>5.510893682063504E-3</v>
      </c>
    </row>
    <row r="56" spans="2:16" x14ac:dyDescent="0.25">
      <c r="B56" s="5">
        <v>5</v>
      </c>
      <c r="C56" s="8" t="s">
        <v>12</v>
      </c>
      <c r="D56" s="9">
        <v>2.4144164422341841E-2</v>
      </c>
      <c r="E56" s="11">
        <v>1348.5052489500001</v>
      </c>
      <c r="H56" s="8" t="s">
        <v>12</v>
      </c>
      <c r="I56">
        <f>COUNTIF(H:H,H56)</f>
        <v>6</v>
      </c>
      <c r="N56" s="23" t="s">
        <v>23</v>
      </c>
      <c r="O56" s="21">
        <v>1</v>
      </c>
      <c r="P56" s="22">
        <v>3.9442728883722078E-3</v>
      </c>
    </row>
    <row r="57" spans="2:16" x14ac:dyDescent="0.25">
      <c r="B57" s="5">
        <v>6</v>
      </c>
      <c r="C57" s="8" t="s">
        <v>11</v>
      </c>
      <c r="D57" s="9">
        <v>2.0815571561888988E-2</v>
      </c>
      <c r="E57" s="11">
        <v>1162.59593913</v>
      </c>
      <c r="H57" s="8" t="s">
        <v>11</v>
      </c>
      <c r="I57">
        <f>COUNTIF(H:H,H57)</f>
        <v>10</v>
      </c>
    </row>
    <row r="58" spans="2:16" x14ac:dyDescent="0.25">
      <c r="B58" s="5">
        <v>7</v>
      </c>
      <c r="C58" s="8" t="s">
        <v>19</v>
      </c>
      <c r="D58" s="9">
        <v>1.7818875424321489E-2</v>
      </c>
      <c r="E58" s="11">
        <v>995.22379899999999</v>
      </c>
      <c r="H58" s="8" t="s">
        <v>19</v>
      </c>
      <c r="I58">
        <f>COUNTIF(H:H,H58)</f>
        <v>4</v>
      </c>
    </row>
    <row r="59" spans="2:16" x14ac:dyDescent="0.25">
      <c r="B59" s="5">
        <v>8</v>
      </c>
      <c r="C59" s="8" t="s">
        <v>13</v>
      </c>
      <c r="D59" s="9">
        <v>1.6635266770295368E-2</v>
      </c>
      <c r="E59" s="11">
        <v>929.11662483000009</v>
      </c>
      <c r="H59" s="8" t="s">
        <v>13</v>
      </c>
      <c r="I59">
        <f>COUNTIF(H:H,H59)</f>
        <v>10</v>
      </c>
    </row>
    <row r="60" spans="2:16" x14ac:dyDescent="0.25">
      <c r="B60" s="5">
        <v>9</v>
      </c>
      <c r="C60" s="8" t="s">
        <v>14</v>
      </c>
      <c r="D60" s="9">
        <v>1.3387885052896118E-2</v>
      </c>
      <c r="E60" s="11">
        <v>747.74313786000005</v>
      </c>
      <c r="H60" s="8" t="s">
        <v>14</v>
      </c>
      <c r="I60">
        <f>COUNTIF(H:H,H60)</f>
        <v>9</v>
      </c>
    </row>
    <row r="61" spans="2:16" x14ac:dyDescent="0.25">
      <c r="B61" s="5">
        <v>10</v>
      </c>
      <c r="C61" s="8" t="s">
        <v>27</v>
      </c>
      <c r="D61" s="9">
        <v>1.2959709831015636E-2</v>
      </c>
      <c r="E61" s="11">
        <v>723.82860000000005</v>
      </c>
      <c r="H61" s="8" t="s">
        <v>27</v>
      </c>
      <c r="I61">
        <f>COUNTIF(H:H,H61)</f>
        <v>1</v>
      </c>
    </row>
    <row r="62" spans="2:16" x14ac:dyDescent="0.25">
      <c r="B62" s="5">
        <v>1</v>
      </c>
      <c r="C62" s="8" t="s">
        <v>7</v>
      </c>
      <c r="D62" s="9">
        <v>4.6757080349497541E-2</v>
      </c>
      <c r="E62" s="10">
        <v>2220.8903536799999</v>
      </c>
      <c r="H62" s="8" t="s">
        <v>7</v>
      </c>
      <c r="I62">
        <f>COUNTIF(H:H,H62)</f>
        <v>10</v>
      </c>
    </row>
    <row r="63" spans="2:16" x14ac:dyDescent="0.25">
      <c r="B63" s="5">
        <v>2</v>
      </c>
      <c r="C63" s="8" t="s">
        <v>11</v>
      </c>
      <c r="D63" s="9">
        <v>2.9597093522507823E-2</v>
      </c>
      <c r="E63" s="10">
        <v>1405.8170230000001</v>
      </c>
      <c r="H63" s="8" t="s">
        <v>11</v>
      </c>
      <c r="I63">
        <f>COUNTIF(H:H,H63)</f>
        <v>10</v>
      </c>
    </row>
    <row r="64" spans="2:16" x14ac:dyDescent="0.25">
      <c r="B64" s="5">
        <v>3</v>
      </c>
      <c r="C64" s="8" t="s">
        <v>14</v>
      </c>
      <c r="D64" s="9">
        <v>2.6816942540248349E-2</v>
      </c>
      <c r="E64" s="10">
        <v>1273.7640707600001</v>
      </c>
      <c r="H64" s="8" t="s">
        <v>14</v>
      </c>
      <c r="I64">
        <f>COUNTIF(H:H,H64)</f>
        <v>9</v>
      </c>
    </row>
    <row r="65" spans="2:9" x14ac:dyDescent="0.25">
      <c r="B65" s="5">
        <v>4</v>
      </c>
      <c r="C65" s="8" t="s">
        <v>18</v>
      </c>
      <c r="D65" s="9">
        <v>2.2698722183898096E-2</v>
      </c>
      <c r="E65" s="10">
        <v>1078.15485403</v>
      </c>
      <c r="H65" s="8" t="s">
        <v>18</v>
      </c>
      <c r="I65">
        <f>COUNTIF(H:H,H65)</f>
        <v>8</v>
      </c>
    </row>
    <row r="66" spans="2:9" x14ac:dyDescent="0.25">
      <c r="B66" s="5">
        <v>5</v>
      </c>
      <c r="C66" s="8" t="s">
        <v>8</v>
      </c>
      <c r="D66" s="9">
        <v>1.5056573355470924E-2</v>
      </c>
      <c r="E66" s="10">
        <v>715.16438312000002</v>
      </c>
      <c r="H66" s="8" t="s">
        <v>8</v>
      </c>
      <c r="I66">
        <f>COUNTIF(H:H,H66)</f>
        <v>10</v>
      </c>
    </row>
    <row r="67" spans="2:9" x14ac:dyDescent="0.25">
      <c r="B67" s="5">
        <v>6</v>
      </c>
      <c r="C67" s="8" t="s">
        <v>13</v>
      </c>
      <c r="D67" s="9">
        <v>1.3283347335812741E-2</v>
      </c>
      <c r="E67" s="10">
        <v>630.93883840000001</v>
      </c>
      <c r="H67" s="8" t="s">
        <v>13</v>
      </c>
      <c r="I67">
        <f>COUNTIF(H:H,H67)</f>
        <v>10</v>
      </c>
    </row>
    <row r="68" spans="2:9" x14ac:dyDescent="0.25">
      <c r="B68" s="5">
        <v>7</v>
      </c>
      <c r="C68" s="8" t="s">
        <v>20</v>
      </c>
      <c r="D68" s="9">
        <v>7.0489105969774625E-3</v>
      </c>
      <c r="E68" s="10">
        <v>334.81255526999996</v>
      </c>
      <c r="H68" s="8" t="s">
        <v>20</v>
      </c>
      <c r="I68">
        <f>COUNTIF(H:H,H68)</f>
        <v>1</v>
      </c>
    </row>
    <row r="69" spans="2:9" x14ac:dyDescent="0.25">
      <c r="B69" s="5">
        <v>8</v>
      </c>
      <c r="C69" s="8" t="s">
        <v>21</v>
      </c>
      <c r="D69" s="9">
        <v>5.6347836329473837E-3</v>
      </c>
      <c r="E69" s="10">
        <v>267.64367069000002</v>
      </c>
      <c r="H69" s="8" t="s">
        <v>21</v>
      </c>
      <c r="I69">
        <f>COUNTIF(H:H,H69)</f>
        <v>3</v>
      </c>
    </row>
    <row r="70" spans="2:9" x14ac:dyDescent="0.25">
      <c r="B70" s="5">
        <v>9</v>
      </c>
      <c r="C70" s="8" t="s">
        <v>22</v>
      </c>
      <c r="D70" s="9">
        <v>5.510893682063504E-3</v>
      </c>
      <c r="E70" s="10">
        <v>261.75908605000001</v>
      </c>
      <c r="H70" s="8" t="s">
        <v>22</v>
      </c>
      <c r="I70">
        <f>COUNTIF(H:H,H70)</f>
        <v>1</v>
      </c>
    </row>
    <row r="71" spans="2:9" x14ac:dyDescent="0.25">
      <c r="B71" s="5">
        <v>10</v>
      </c>
      <c r="C71" s="8" t="s">
        <v>23</v>
      </c>
      <c r="D71" s="9">
        <v>3.9442728883722078E-3</v>
      </c>
      <c r="E71" s="10">
        <v>187.34697600000001</v>
      </c>
      <c r="H71" s="8" t="s">
        <v>23</v>
      </c>
      <c r="I71">
        <f>COUNTIF(H:H,H71)</f>
        <v>1</v>
      </c>
    </row>
    <row r="72" spans="2:9" x14ac:dyDescent="0.25">
      <c r="B72" s="5">
        <v>1</v>
      </c>
      <c r="C72" s="8" t="s">
        <v>6</v>
      </c>
      <c r="D72" s="9">
        <v>9.8070767716519555E-2</v>
      </c>
      <c r="E72" s="11">
        <v>2557.1550197199999</v>
      </c>
      <c r="H72" s="8" t="s">
        <v>6</v>
      </c>
      <c r="I72">
        <f>COUNTIF(H:H,H72)</f>
        <v>9</v>
      </c>
    </row>
    <row r="73" spans="2:9" x14ac:dyDescent="0.25">
      <c r="B73" s="5">
        <v>2</v>
      </c>
      <c r="C73" s="8" t="s">
        <v>18</v>
      </c>
      <c r="D73" s="9">
        <v>3.5403074480930954E-2</v>
      </c>
      <c r="E73" s="11">
        <v>923.12063757999999</v>
      </c>
      <c r="H73" s="8" t="s">
        <v>18</v>
      </c>
      <c r="I73">
        <f>COUNTIF(H:H,H73)</f>
        <v>8</v>
      </c>
    </row>
    <row r="74" spans="2:9" x14ac:dyDescent="0.25">
      <c r="B74" s="5">
        <v>3</v>
      </c>
      <c r="C74" s="8" t="s">
        <v>7</v>
      </c>
      <c r="D74" s="9">
        <v>2.7788876728072152E-2</v>
      </c>
      <c r="E74" s="11">
        <v>724.58355605999998</v>
      </c>
      <c r="H74" s="8" t="s">
        <v>7</v>
      </c>
      <c r="I74">
        <f>COUNTIF(H:H,H74)</f>
        <v>10</v>
      </c>
    </row>
    <row r="75" spans="2:9" x14ac:dyDescent="0.25">
      <c r="B75" s="5">
        <v>4</v>
      </c>
      <c r="C75" s="8" t="s">
        <v>13</v>
      </c>
      <c r="D75" s="9">
        <v>1.9970905292021442E-2</v>
      </c>
      <c r="E75" s="11">
        <v>520.73315937999996</v>
      </c>
      <c r="H75" s="8" t="s">
        <v>13</v>
      </c>
      <c r="I75">
        <f>COUNTIF(H:H,H75)</f>
        <v>10</v>
      </c>
    </row>
    <row r="76" spans="2:9" x14ac:dyDescent="0.25">
      <c r="B76" s="5">
        <v>5</v>
      </c>
      <c r="C76" s="8" t="s">
        <v>14</v>
      </c>
      <c r="D76" s="9">
        <v>1.8356223967409657E-2</v>
      </c>
      <c r="E76" s="11">
        <v>478.63100650999996</v>
      </c>
      <c r="H76" s="8" t="s">
        <v>14</v>
      </c>
      <c r="I76">
        <f>COUNTIF(H:H,H76)</f>
        <v>9</v>
      </c>
    </row>
    <row r="77" spans="2:9" x14ac:dyDescent="0.25">
      <c r="B77" s="5">
        <v>6</v>
      </c>
      <c r="C77" s="8" t="s">
        <v>11</v>
      </c>
      <c r="D77" s="9">
        <v>1.7610304381704467E-2</v>
      </c>
      <c r="E77" s="11">
        <v>459.18145944000003</v>
      </c>
      <c r="H77" s="8" t="s">
        <v>11</v>
      </c>
      <c r="I77">
        <f>COUNTIF(H:H,H77)</f>
        <v>10</v>
      </c>
    </row>
    <row r="78" spans="2:9" x14ac:dyDescent="0.25">
      <c r="B78" s="5">
        <v>7</v>
      </c>
      <c r="C78" s="8" t="s">
        <v>8</v>
      </c>
      <c r="D78" s="9">
        <v>1.6779671048857053E-2</v>
      </c>
      <c r="E78" s="11">
        <v>437.52303618000002</v>
      </c>
      <c r="H78" s="8" t="s">
        <v>8</v>
      </c>
      <c r="I78">
        <f>COUNTIF(H:H,H78)</f>
        <v>10</v>
      </c>
    </row>
    <row r="79" spans="2:9" x14ac:dyDescent="0.25">
      <c r="B79" s="5">
        <v>8</v>
      </c>
      <c r="C79" s="8" t="s">
        <v>21</v>
      </c>
      <c r="D79" s="9">
        <v>1.028899235084116E-2</v>
      </c>
      <c r="E79" s="11">
        <v>268.28125291999999</v>
      </c>
      <c r="H79" s="8" t="s">
        <v>21</v>
      </c>
      <c r="I79">
        <f>COUNTIF(H:H,H79)</f>
        <v>3</v>
      </c>
    </row>
    <row r="80" spans="2:9" x14ac:dyDescent="0.25">
      <c r="B80" s="5">
        <v>9</v>
      </c>
      <c r="C80" s="8" t="s">
        <v>24</v>
      </c>
      <c r="D80" s="9">
        <v>8.2715948695383876E-3</v>
      </c>
      <c r="E80" s="11">
        <v>215.67844153999999</v>
      </c>
      <c r="H80" s="8" t="s">
        <v>24</v>
      </c>
      <c r="I80">
        <f>COUNTIF(H:H,H80)</f>
        <v>1</v>
      </c>
    </row>
    <row r="81" spans="2:9" x14ac:dyDescent="0.25">
      <c r="B81" s="5">
        <v>10</v>
      </c>
      <c r="C81" s="8" t="s">
        <v>25</v>
      </c>
      <c r="D81" s="9">
        <v>6.3776771794691713E-3</v>
      </c>
      <c r="E81" s="11">
        <v>166.29531503999999</v>
      </c>
      <c r="H81" s="8" t="s">
        <v>25</v>
      </c>
      <c r="I81">
        <f>COUNTIF(H:H,H81)</f>
        <v>1</v>
      </c>
    </row>
    <row r="82" spans="2:9" x14ac:dyDescent="0.25">
      <c r="B82" s="5">
        <v>1</v>
      </c>
      <c r="C82" s="8" t="s">
        <v>6</v>
      </c>
      <c r="D82" s="9">
        <v>9.3683388675136745E-2</v>
      </c>
      <c r="E82" s="10">
        <v>3677.5108798599999</v>
      </c>
      <c r="H82" s="8" t="s">
        <v>6</v>
      </c>
      <c r="I82">
        <f>COUNTIF(H:H,H82)</f>
        <v>9</v>
      </c>
    </row>
    <row r="83" spans="2:9" x14ac:dyDescent="0.25">
      <c r="B83" s="5">
        <v>2</v>
      </c>
      <c r="C83" s="8" t="s">
        <v>7</v>
      </c>
      <c r="D83" s="9">
        <v>3.4909494614575411E-2</v>
      </c>
      <c r="E83" s="10">
        <v>1370.3608299300001</v>
      </c>
      <c r="H83" s="8" t="s">
        <v>7</v>
      </c>
      <c r="I83">
        <f>COUNTIF(H:H,H83)</f>
        <v>10</v>
      </c>
    </row>
    <row r="84" spans="2:9" x14ac:dyDescent="0.25">
      <c r="B84" s="5">
        <v>3</v>
      </c>
      <c r="C84" s="8" t="s">
        <v>18</v>
      </c>
      <c r="D84" s="9">
        <v>3.4387338248176337E-2</v>
      </c>
      <c r="E84" s="10">
        <v>1349.863752</v>
      </c>
      <c r="H84" s="8" t="s">
        <v>18</v>
      </c>
      <c r="I84">
        <f>COUNTIF(H:H,H84)</f>
        <v>8</v>
      </c>
    </row>
    <row r="85" spans="2:9" x14ac:dyDescent="0.25">
      <c r="B85" s="5">
        <v>4</v>
      </c>
      <c r="C85" s="8" t="s">
        <v>8</v>
      </c>
      <c r="D85" s="9">
        <v>3.3030493437644019E-2</v>
      </c>
      <c r="E85" s="10">
        <v>1296.6012513199998</v>
      </c>
      <c r="H85" s="8" t="s">
        <v>8</v>
      </c>
      <c r="I85">
        <f>COUNTIF(H:H,H85)</f>
        <v>10</v>
      </c>
    </row>
    <row r="86" spans="2:9" x14ac:dyDescent="0.25">
      <c r="B86" s="5">
        <v>5</v>
      </c>
      <c r="C86" s="8" t="s">
        <v>13</v>
      </c>
      <c r="D86" s="9">
        <v>2.6521865773970119E-2</v>
      </c>
      <c r="E86" s="10">
        <v>1041.10719432</v>
      </c>
      <c r="H86" s="8" t="s">
        <v>13</v>
      </c>
      <c r="I86">
        <f>COUNTIF(H:H,H86)</f>
        <v>10</v>
      </c>
    </row>
    <row r="87" spans="2:9" x14ac:dyDescent="0.25">
      <c r="B87" s="5">
        <v>6</v>
      </c>
      <c r="C87" s="8" t="s">
        <v>11</v>
      </c>
      <c r="D87" s="9">
        <v>2.4093898960219667E-2</v>
      </c>
      <c r="E87" s="10">
        <v>945.79814861</v>
      </c>
      <c r="H87" s="8" t="s">
        <v>11</v>
      </c>
      <c r="I87">
        <f>COUNTIF(H:H,H87)</f>
        <v>10</v>
      </c>
    </row>
    <row r="88" spans="2:9" x14ac:dyDescent="0.25">
      <c r="B88" s="5">
        <v>7</v>
      </c>
      <c r="C88" s="8" t="s">
        <v>14</v>
      </c>
      <c r="D88" s="9">
        <v>1.9342114224950007E-2</v>
      </c>
      <c r="E88" s="10">
        <v>759.26838799999996</v>
      </c>
      <c r="H88" s="8" t="s">
        <v>14</v>
      </c>
      <c r="I88">
        <f>COUNTIF(H:H,H88)</f>
        <v>9</v>
      </c>
    </row>
    <row r="89" spans="2:9" x14ac:dyDescent="0.25">
      <c r="B89" s="5">
        <v>8</v>
      </c>
      <c r="C89" s="8" t="s">
        <v>10</v>
      </c>
      <c r="D89" s="9">
        <v>1.5318992645155365E-2</v>
      </c>
      <c r="E89" s="10">
        <v>601.34206200000006</v>
      </c>
      <c r="H89" s="8" t="s">
        <v>10</v>
      </c>
      <c r="I89">
        <f>COUNTIF(H:H,H89)</f>
        <v>6</v>
      </c>
    </row>
    <row r="90" spans="2:9" x14ac:dyDescent="0.25">
      <c r="B90" s="5">
        <v>9</v>
      </c>
      <c r="C90" s="8" t="s">
        <v>28</v>
      </c>
      <c r="D90" s="9">
        <v>8.4502133514638179E-3</v>
      </c>
      <c r="E90" s="10">
        <v>331.71037017999998</v>
      </c>
      <c r="H90" s="8" t="s">
        <v>28</v>
      </c>
      <c r="I90">
        <f>COUNTIF(H:H,H90)</f>
        <v>1</v>
      </c>
    </row>
    <row r="91" spans="2:9" x14ac:dyDescent="0.25">
      <c r="B91" s="5">
        <v>10</v>
      </c>
      <c r="C91" s="8" t="s">
        <v>26</v>
      </c>
      <c r="D91" s="9">
        <v>8.1485050711762336E-3</v>
      </c>
      <c r="E91" s="10">
        <v>319.86691000000002</v>
      </c>
      <c r="H91" s="8" t="s">
        <v>26</v>
      </c>
      <c r="I91">
        <f>COUNTIF(H:H,H91)</f>
        <v>3</v>
      </c>
    </row>
    <row r="92" spans="2:9" x14ac:dyDescent="0.25">
      <c r="B92" s="5">
        <v>1</v>
      </c>
      <c r="C92" s="8" t="s">
        <v>6</v>
      </c>
      <c r="D92" s="9">
        <v>7.7561589661671135E-2</v>
      </c>
      <c r="E92" s="11">
        <v>4246.8271204299999</v>
      </c>
      <c r="H92" s="8" t="s">
        <v>6</v>
      </c>
      <c r="I92">
        <f>COUNTIF(H:H,H92)</f>
        <v>9</v>
      </c>
    </row>
    <row r="93" spans="2:9" x14ac:dyDescent="0.25">
      <c r="B93" s="5">
        <v>2</v>
      </c>
      <c r="C93" s="8" t="s">
        <v>18</v>
      </c>
      <c r="D93" s="9">
        <v>3.1614570078133106E-2</v>
      </c>
      <c r="E93" s="11">
        <v>1731.0322570000001</v>
      </c>
      <c r="H93" s="8" t="s">
        <v>18</v>
      </c>
      <c r="I93">
        <f>COUNTIF(H:H,H93)</f>
        <v>8</v>
      </c>
    </row>
    <row r="94" spans="2:9" x14ac:dyDescent="0.25">
      <c r="B94" s="5">
        <v>3</v>
      </c>
      <c r="C94" s="8" t="s">
        <v>8</v>
      </c>
      <c r="D94" s="9">
        <v>1.973987324507959E-2</v>
      </c>
      <c r="E94" s="11">
        <v>1080.8420690799999</v>
      </c>
      <c r="H94" s="8" t="s">
        <v>8</v>
      </c>
      <c r="I94">
        <f>COUNTIF(H:H,H94)</f>
        <v>10</v>
      </c>
    </row>
    <row r="95" spans="2:9" x14ac:dyDescent="0.25">
      <c r="B95" s="5">
        <v>4</v>
      </c>
      <c r="C95" s="8" t="s">
        <v>29</v>
      </c>
      <c r="D95" s="9">
        <v>1.9372833348232778E-2</v>
      </c>
      <c r="E95" s="11">
        <v>1060.74507268</v>
      </c>
      <c r="H95" s="8" t="s">
        <v>29</v>
      </c>
      <c r="I95">
        <f>COUNTIF(H:H,H95)</f>
        <v>1</v>
      </c>
    </row>
    <row r="96" spans="2:9" x14ac:dyDescent="0.25">
      <c r="B96" s="5">
        <v>5</v>
      </c>
      <c r="C96" s="8" t="s">
        <v>7</v>
      </c>
      <c r="D96" s="9">
        <v>1.8734688036223721E-2</v>
      </c>
      <c r="E96" s="11">
        <v>1025.8039010299999</v>
      </c>
      <c r="H96" s="8" t="s">
        <v>7</v>
      </c>
      <c r="I96">
        <f>COUNTIF(H:H,H96)</f>
        <v>10</v>
      </c>
    </row>
    <row r="97" spans="2:9" x14ac:dyDescent="0.25">
      <c r="B97" s="5">
        <v>6</v>
      </c>
      <c r="C97" s="8" t="s">
        <v>13</v>
      </c>
      <c r="D97" s="9">
        <v>1.7060285444609115E-2</v>
      </c>
      <c r="E97" s="11">
        <v>934.12323321999997</v>
      </c>
      <c r="H97" s="8" t="s">
        <v>13</v>
      </c>
      <c r="I97">
        <f>COUNTIF(H:H,H97)</f>
        <v>10</v>
      </c>
    </row>
    <row r="98" spans="2:9" x14ac:dyDescent="0.25">
      <c r="B98" s="5">
        <v>7</v>
      </c>
      <c r="C98" s="8" t="s">
        <v>14</v>
      </c>
      <c r="D98" s="9">
        <v>1.3890332284063554E-2</v>
      </c>
      <c r="E98" s="11">
        <v>760.55480699999998</v>
      </c>
      <c r="H98" s="8" t="s">
        <v>14</v>
      </c>
      <c r="I98">
        <f>COUNTIF(H:H,H98)</f>
        <v>9</v>
      </c>
    </row>
    <row r="99" spans="2:9" x14ac:dyDescent="0.25">
      <c r="B99" s="5">
        <v>8</v>
      </c>
      <c r="C99" s="8" t="s">
        <v>11</v>
      </c>
      <c r="D99" s="9">
        <v>8.6792037963901829E-3</v>
      </c>
      <c r="E99" s="11">
        <v>475.22334479</v>
      </c>
      <c r="H99" s="8" t="s">
        <v>11</v>
      </c>
      <c r="I99">
        <f>COUNTIF(H:H,H99)</f>
        <v>10</v>
      </c>
    </row>
    <row r="100" spans="2:9" x14ac:dyDescent="0.25">
      <c r="B100" s="5">
        <v>9</v>
      </c>
      <c r="C100" s="8" t="s">
        <v>21</v>
      </c>
      <c r="D100" s="9">
        <v>5.9216248164621847E-3</v>
      </c>
      <c r="E100" s="11">
        <v>324.23415993999998</v>
      </c>
      <c r="H100" s="8" t="s">
        <v>21</v>
      </c>
      <c r="I100">
        <f>COUNTIF(H:H,H100)</f>
        <v>3</v>
      </c>
    </row>
    <row r="101" spans="2:9" x14ac:dyDescent="0.25">
      <c r="B101" s="5">
        <v>10</v>
      </c>
      <c r="C101" s="8" t="s">
        <v>26</v>
      </c>
      <c r="D101" s="9">
        <v>2.6125801897097815E-3</v>
      </c>
      <c r="E101" s="11">
        <v>143.04988399999999</v>
      </c>
      <c r="H101" s="8" t="s">
        <v>26</v>
      </c>
      <c r="I101">
        <f>COUNTIF(H:H,H101)</f>
        <v>3</v>
      </c>
    </row>
  </sheetData>
  <conditionalFormatting sqref="C2:C101">
    <cfRule type="duplicateValues" dxfId="18" priority="3"/>
  </conditionalFormatting>
  <conditionalFormatting sqref="H2:H101">
    <cfRule type="duplicateValues" dxfId="17" priority="2"/>
  </conditionalFormatting>
  <conditionalFormatting sqref="K2:K24">
    <cfRule type="duplicateValues" dxfId="16" priority="1"/>
  </conditionalFormatting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2:D25"/>
  <sheetViews>
    <sheetView zoomScaleNormal="100" workbookViewId="0">
      <selection activeCell="P35" sqref="P35"/>
    </sheetView>
  </sheetViews>
  <sheetFormatPr defaultRowHeight="15" x14ac:dyDescent="0.25"/>
  <cols>
    <col min="2" max="2" width="46" bestFit="1" customWidth="1"/>
    <col min="3" max="3" width="21.5703125" bestFit="1" customWidth="1"/>
    <col min="4" max="4" width="23.28515625" bestFit="1" customWidth="1"/>
  </cols>
  <sheetData>
    <row r="2" spans="2:4" x14ac:dyDescent="0.25">
      <c r="B2" s="19" t="s">
        <v>32</v>
      </c>
      <c r="C2" s="19" t="s">
        <v>36</v>
      </c>
      <c r="D2" s="19" t="s">
        <v>34</v>
      </c>
    </row>
    <row r="3" spans="2:4" x14ac:dyDescent="0.25">
      <c r="B3" s="20" t="s">
        <v>6</v>
      </c>
      <c r="C3" s="21">
        <v>9</v>
      </c>
      <c r="D3" s="22">
        <v>0.1165063951437692</v>
      </c>
    </row>
    <row r="4" spans="2:4" x14ac:dyDescent="0.25">
      <c r="B4" s="20" t="s">
        <v>7</v>
      </c>
      <c r="C4" s="21">
        <v>10</v>
      </c>
      <c r="D4" s="22">
        <v>3.8734074465066499E-2</v>
      </c>
    </row>
    <row r="5" spans="2:4" x14ac:dyDescent="0.25">
      <c r="B5" s="23" t="s">
        <v>8</v>
      </c>
      <c r="C5" s="21">
        <v>10</v>
      </c>
      <c r="D5" s="22">
        <v>3.420973174848678E-2</v>
      </c>
    </row>
    <row r="6" spans="2:4" x14ac:dyDescent="0.25">
      <c r="B6" s="23" t="s">
        <v>18</v>
      </c>
      <c r="C6" s="21">
        <v>8</v>
      </c>
      <c r="D6" s="22">
        <v>2.697095758013162E-2</v>
      </c>
    </row>
    <row r="7" spans="2:4" x14ac:dyDescent="0.25">
      <c r="B7" s="23" t="s">
        <v>9</v>
      </c>
      <c r="C7" s="21">
        <v>2</v>
      </c>
      <c r="D7" s="22">
        <v>2.56158566761365E-2</v>
      </c>
    </row>
    <row r="8" spans="2:4" x14ac:dyDescent="0.25">
      <c r="B8" s="23" t="s">
        <v>10</v>
      </c>
      <c r="C8" s="21">
        <v>6</v>
      </c>
      <c r="D8" s="22">
        <v>2.1054521420463736E-2</v>
      </c>
    </row>
    <row r="9" spans="2:4" x14ac:dyDescent="0.25">
      <c r="B9" s="23" t="s">
        <v>29</v>
      </c>
      <c r="C9" s="21">
        <v>1</v>
      </c>
      <c r="D9" s="22">
        <v>1.9372833348232778E-2</v>
      </c>
    </row>
    <row r="10" spans="2:4" x14ac:dyDescent="0.25">
      <c r="B10" s="23" t="s">
        <v>11</v>
      </c>
      <c r="C10" s="21">
        <v>10</v>
      </c>
      <c r="D10" s="22">
        <v>1.9217444748489382E-2</v>
      </c>
    </row>
    <row r="11" spans="2:4" x14ac:dyDescent="0.25">
      <c r="B11" s="20" t="s">
        <v>12</v>
      </c>
      <c r="C11" s="21">
        <v>6</v>
      </c>
      <c r="D11" s="22">
        <v>1.6962930297205966E-2</v>
      </c>
    </row>
    <row r="12" spans="2:4" x14ac:dyDescent="0.25">
      <c r="B12" s="23" t="s">
        <v>19</v>
      </c>
      <c r="C12" s="21">
        <v>4</v>
      </c>
      <c r="D12" s="22">
        <v>1.5582479984545653E-2</v>
      </c>
    </row>
    <row r="13" spans="2:4" x14ac:dyDescent="0.25">
      <c r="B13" s="23" t="s">
        <v>13</v>
      </c>
      <c r="C13" s="21">
        <v>10</v>
      </c>
      <c r="D13" s="22">
        <v>1.5308453388419851E-2</v>
      </c>
    </row>
    <row r="14" spans="2:4" x14ac:dyDescent="0.25">
      <c r="B14" s="20" t="s">
        <v>14</v>
      </c>
      <c r="C14" s="21">
        <v>9</v>
      </c>
      <c r="D14" s="22">
        <v>1.4514438214458632E-2</v>
      </c>
    </row>
    <row r="15" spans="2:4" x14ac:dyDescent="0.25">
      <c r="B15" s="23" t="s">
        <v>27</v>
      </c>
      <c r="C15" s="21">
        <v>1</v>
      </c>
      <c r="D15" s="22">
        <v>1.2959709831015636E-2</v>
      </c>
    </row>
    <row r="16" spans="2:4" x14ac:dyDescent="0.25">
      <c r="B16" s="23" t="s">
        <v>26</v>
      </c>
      <c r="C16" s="21">
        <v>3</v>
      </c>
      <c r="D16" s="22">
        <v>1.2012071078657566E-2</v>
      </c>
    </row>
    <row r="17" spans="2:4" x14ac:dyDescent="0.25">
      <c r="B17" s="23" t="s">
        <v>28</v>
      </c>
      <c r="C17" s="21">
        <v>1</v>
      </c>
      <c r="D17" s="22">
        <v>8.4502133514638179E-3</v>
      </c>
    </row>
    <row r="18" spans="2:4" x14ac:dyDescent="0.25">
      <c r="B18" s="23" t="s">
        <v>24</v>
      </c>
      <c r="C18" s="21">
        <v>1</v>
      </c>
      <c r="D18" s="22">
        <v>8.2715948695383876E-3</v>
      </c>
    </row>
    <row r="19" spans="2:4" x14ac:dyDescent="0.25">
      <c r="B19" s="23" t="s">
        <v>17</v>
      </c>
      <c r="C19" s="21">
        <v>1</v>
      </c>
      <c r="D19" s="22">
        <v>7.3052867427507353E-3</v>
      </c>
    </row>
    <row r="20" spans="2:4" x14ac:dyDescent="0.25">
      <c r="B20" s="23" t="s">
        <v>21</v>
      </c>
      <c r="C20" s="21">
        <v>3</v>
      </c>
      <c r="D20" s="22">
        <v>7.2818002667502423E-3</v>
      </c>
    </row>
    <row r="21" spans="2:4" x14ac:dyDescent="0.25">
      <c r="B21" s="23" t="s">
        <v>20</v>
      </c>
      <c r="C21" s="21">
        <v>1</v>
      </c>
      <c r="D21" s="22">
        <v>7.0489105969774625E-3</v>
      </c>
    </row>
    <row r="22" spans="2:4" x14ac:dyDescent="0.25">
      <c r="B22" s="23" t="s">
        <v>15</v>
      </c>
      <c r="C22" s="21">
        <v>1</v>
      </c>
      <c r="D22" s="22">
        <v>6.6030609151701003E-3</v>
      </c>
    </row>
    <row r="23" spans="2:4" x14ac:dyDescent="0.25">
      <c r="B23" s="23" t="s">
        <v>25</v>
      </c>
      <c r="C23" s="21">
        <v>1</v>
      </c>
      <c r="D23" s="22">
        <v>6.3776771794691713E-3</v>
      </c>
    </row>
    <row r="24" spans="2:4" x14ac:dyDescent="0.25">
      <c r="B24" s="23" t="s">
        <v>22</v>
      </c>
      <c r="C24" s="21">
        <v>1</v>
      </c>
      <c r="D24" s="22">
        <v>5.510893682063504E-3</v>
      </c>
    </row>
    <row r="25" spans="2:4" x14ac:dyDescent="0.25">
      <c r="B25" s="23" t="s">
        <v>23</v>
      </c>
      <c r="C25" s="21">
        <v>1</v>
      </c>
      <c r="D25" s="22">
        <v>3.9442728883722078E-3</v>
      </c>
    </row>
  </sheetData>
  <pageMargins left="0.7" right="0.7" top="0.75" bottom="0.75" header="0.3" footer="0.3"/>
  <pageSetup scale="91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2015-04-27T14:24:28Z</cp:lastPrinted>
  <dcterms:created xsi:type="dcterms:W3CDTF">2015-04-27T13:42:57Z</dcterms:created>
  <dcterms:modified xsi:type="dcterms:W3CDTF">2015-04-27T14:53:25Z</dcterms:modified>
</cp:coreProperties>
</file>