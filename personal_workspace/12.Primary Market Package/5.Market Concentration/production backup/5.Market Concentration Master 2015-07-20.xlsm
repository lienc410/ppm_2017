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7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equal'!$C$3:$D$105</definedName>
    <definedName name="PivotTable11">'Pivot equal'!$G$3:$H$105</definedName>
    <definedName name="PivotTable12">'Pivot equal'!$K$3:$L$105</definedName>
    <definedName name="_xlnm.Print_Area" localSheetId="0">Report!$B$1:$Q$62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'Input-equal'!$N$3:$O$101</definedName>
    <definedName name="Query_from_Agency_5" localSheetId="6" hidden="1">'Input-equal'!$H$3:$I$104</definedName>
    <definedName name="Query_from_Agency_6" localSheetId="6" hidden="1">'Input-equal'!$B$3:$E$1033</definedName>
    <definedName name="Query_from_Agency_7" localSheetId="6" hidden="1">'Input-equal'!#REF!</definedName>
    <definedName name="Query_from_Agency_8" localSheetId="6" hidden="1">'Input-equal'!$K$3:$L$103</definedName>
    <definedName name="Query_from_Agency_8" localSheetId="1" hidden="1">'Result Combine'!$C$3:$D$101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'Input-lag'!$B$3:$E$1403</definedName>
  </definedNames>
  <calcPr calcId="145621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R4" i="9" l="1"/>
  <c r="H4" i="17" s="1"/>
  <c r="R5" i="9"/>
  <c r="R6" i="9"/>
  <c r="R7" i="9"/>
  <c r="W7" i="9" s="1"/>
  <c r="R8" i="9"/>
  <c r="R9" i="9"/>
  <c r="R10" i="9"/>
  <c r="W10" i="9" s="1"/>
  <c r="R11" i="9"/>
  <c r="W11" i="9" s="1"/>
  <c r="R12" i="9"/>
  <c r="H12" i="17" s="1"/>
  <c r="R13" i="9"/>
  <c r="R14" i="9"/>
  <c r="R15" i="9"/>
  <c r="R16" i="9"/>
  <c r="R17" i="9"/>
  <c r="R18" i="9"/>
  <c r="H18" i="17" s="1"/>
  <c r="R19" i="9"/>
  <c r="W19" i="9" s="1"/>
  <c r="R20" i="9"/>
  <c r="H20" i="17" s="1"/>
  <c r="R21" i="9"/>
  <c r="R22" i="9"/>
  <c r="R23" i="9"/>
  <c r="R24" i="9"/>
  <c r="R25" i="9"/>
  <c r="R26" i="9"/>
  <c r="W26" i="9" s="1"/>
  <c r="R27" i="9"/>
  <c r="W27" i="9" s="1"/>
  <c r="R28" i="9"/>
  <c r="W28" i="9" s="1"/>
  <c r="R29" i="9"/>
  <c r="R30" i="9"/>
  <c r="R31" i="9"/>
  <c r="R32" i="9"/>
  <c r="R33" i="9"/>
  <c r="R34" i="9"/>
  <c r="W34" i="9" s="1"/>
  <c r="R35" i="9"/>
  <c r="W35" i="9" s="1"/>
  <c r="R36" i="9"/>
  <c r="W36" i="9" s="1"/>
  <c r="R37" i="9"/>
  <c r="R38" i="9"/>
  <c r="R39" i="9"/>
  <c r="H39" i="17" s="1"/>
  <c r="L39" i="17" s="1"/>
  <c r="R40" i="9"/>
  <c r="R41" i="9"/>
  <c r="R42" i="9"/>
  <c r="W42" i="9" s="1"/>
  <c r="R43" i="9"/>
  <c r="W43" i="9" s="1"/>
  <c r="R44" i="9"/>
  <c r="H44" i="17" s="1"/>
  <c r="R45" i="9"/>
  <c r="R46" i="9"/>
  <c r="R47" i="9"/>
  <c r="R48" i="9"/>
  <c r="R49" i="9"/>
  <c r="R50" i="9"/>
  <c r="H50" i="17" s="1"/>
  <c r="R51" i="9"/>
  <c r="W51" i="9" s="1"/>
  <c r="R52" i="9"/>
  <c r="H52" i="17" s="1"/>
  <c r="R53" i="9"/>
  <c r="R54" i="9"/>
  <c r="R55" i="9"/>
  <c r="W55" i="9" s="1"/>
  <c r="R56" i="9"/>
  <c r="R57" i="9"/>
  <c r="R58" i="9"/>
  <c r="R59" i="9"/>
  <c r="W59" i="9" s="1"/>
  <c r="R60" i="9"/>
  <c r="W60" i="9" s="1"/>
  <c r="R61" i="9"/>
  <c r="R62" i="9"/>
  <c r="R63" i="9"/>
  <c r="W63" i="9" s="1"/>
  <c r="R64" i="9"/>
  <c r="R65" i="9"/>
  <c r="R66" i="9"/>
  <c r="R67" i="9"/>
  <c r="R68" i="9"/>
  <c r="W68" i="9" s="1"/>
  <c r="R69" i="9"/>
  <c r="R70" i="9"/>
  <c r="R71" i="9"/>
  <c r="R72" i="9"/>
  <c r="R73" i="9"/>
  <c r="R74" i="9"/>
  <c r="W74" i="9" s="1"/>
  <c r="R75" i="9"/>
  <c r="W75" i="9" s="1"/>
  <c r="R76" i="9"/>
  <c r="W76" i="9" s="1"/>
  <c r="R77" i="9"/>
  <c r="R78" i="9"/>
  <c r="R79" i="9"/>
  <c r="W79" i="9" s="1"/>
  <c r="R80" i="9"/>
  <c r="R81" i="9"/>
  <c r="R82" i="9"/>
  <c r="W82" i="9" s="1"/>
  <c r="R83" i="9"/>
  <c r="W83" i="9" s="1"/>
  <c r="R84" i="9"/>
  <c r="W84" i="9" s="1"/>
  <c r="R85" i="9"/>
  <c r="R86" i="9"/>
  <c r="R87" i="9"/>
  <c r="W87" i="9" s="1"/>
  <c r="R88" i="9"/>
  <c r="R89" i="9"/>
  <c r="R90" i="9"/>
  <c r="W90" i="9" s="1"/>
  <c r="R91" i="9"/>
  <c r="W91" i="9" s="1"/>
  <c r="R92" i="9"/>
  <c r="W92" i="9" s="1"/>
  <c r="R93" i="9"/>
  <c r="R94" i="9"/>
  <c r="R95" i="9"/>
  <c r="W95" i="9" s="1"/>
  <c r="R96" i="9"/>
  <c r="R97" i="9"/>
  <c r="R98" i="9"/>
  <c r="W98" i="9" s="1"/>
  <c r="R99" i="9"/>
  <c r="W99" i="9" s="1"/>
  <c r="R100" i="9"/>
  <c r="W100" i="9" s="1"/>
  <c r="R101" i="9"/>
  <c r="Q4" i="9"/>
  <c r="G4" i="17" s="1"/>
  <c r="Q5" i="9"/>
  <c r="G5" i="17" s="1"/>
  <c r="Q6" i="9"/>
  <c r="G6" i="17" s="1"/>
  <c r="Q7" i="9"/>
  <c r="Q8" i="9"/>
  <c r="Q9" i="9"/>
  <c r="Q10" i="9"/>
  <c r="V10" i="9" s="1"/>
  <c r="Q11" i="9"/>
  <c r="V11" i="9" s="1"/>
  <c r="Q12" i="9"/>
  <c r="V12" i="9" s="1"/>
  <c r="Q13" i="9"/>
  <c r="V13" i="9" s="1"/>
  <c r="Q14" i="9"/>
  <c r="G14" i="17" s="1"/>
  <c r="Q15" i="9"/>
  <c r="Q16" i="9"/>
  <c r="Q17" i="9"/>
  <c r="Q18" i="9"/>
  <c r="V18" i="9" s="1"/>
  <c r="Q19" i="9"/>
  <c r="V19" i="9" s="1"/>
  <c r="Q20" i="9"/>
  <c r="G20" i="17" s="1"/>
  <c r="Q21" i="9"/>
  <c r="V21" i="9" s="1"/>
  <c r="Q22" i="9"/>
  <c r="G22" i="17" s="1"/>
  <c r="Q23" i="9"/>
  <c r="Q24" i="9"/>
  <c r="Q25" i="9"/>
  <c r="Q26" i="9"/>
  <c r="V26" i="9" s="1"/>
  <c r="Q27" i="9"/>
  <c r="V27" i="9" s="1"/>
  <c r="Q28" i="9"/>
  <c r="V28" i="9" s="1"/>
  <c r="Q29" i="9"/>
  <c r="V29" i="9" s="1"/>
  <c r="Q30" i="9"/>
  <c r="G30" i="17" s="1"/>
  <c r="Q31" i="9"/>
  <c r="Q32" i="9"/>
  <c r="Q33" i="9"/>
  <c r="Q34" i="9"/>
  <c r="V34" i="9" s="1"/>
  <c r="Q35" i="9"/>
  <c r="V35" i="9" s="1"/>
  <c r="Q36" i="9"/>
  <c r="G36" i="17" s="1"/>
  <c r="Q37" i="9"/>
  <c r="G37" i="17" s="1"/>
  <c r="Q38" i="9"/>
  <c r="V38" i="9" s="1"/>
  <c r="Q39" i="9"/>
  <c r="Q40" i="9"/>
  <c r="Q41" i="9"/>
  <c r="Q42" i="9"/>
  <c r="V42" i="9" s="1"/>
  <c r="Q43" i="9"/>
  <c r="V43" i="9" s="1"/>
  <c r="Q44" i="9"/>
  <c r="G44" i="17" s="1"/>
  <c r="Q45" i="9"/>
  <c r="V45" i="9" s="1"/>
  <c r="Q46" i="9"/>
  <c r="V46" i="9" s="1"/>
  <c r="Q47" i="9"/>
  <c r="Q48" i="9"/>
  <c r="Q49" i="9"/>
  <c r="Q50" i="9"/>
  <c r="V50" i="9" s="1"/>
  <c r="Q51" i="9"/>
  <c r="V51" i="9" s="1"/>
  <c r="Q52" i="9"/>
  <c r="G52" i="17" s="1"/>
  <c r="Q53" i="9"/>
  <c r="V53" i="9" s="1"/>
  <c r="Q54" i="9"/>
  <c r="Q55" i="9"/>
  <c r="Q56" i="9"/>
  <c r="Q57" i="9"/>
  <c r="Q58" i="9"/>
  <c r="Q59" i="9"/>
  <c r="V59" i="9" s="1"/>
  <c r="Q60" i="9"/>
  <c r="V60" i="9" s="1"/>
  <c r="Q61" i="9"/>
  <c r="V61" i="9" s="1"/>
  <c r="Q62" i="9"/>
  <c r="V62" i="9" s="1"/>
  <c r="Q63" i="9"/>
  <c r="Q64" i="9"/>
  <c r="Q65" i="9"/>
  <c r="Q66" i="9"/>
  <c r="Q67" i="9"/>
  <c r="V67" i="9" s="1"/>
  <c r="Q68" i="9"/>
  <c r="V68" i="9" s="1"/>
  <c r="Q69" i="9"/>
  <c r="V69" i="9" s="1"/>
  <c r="Q70" i="9"/>
  <c r="V70" i="9" s="1"/>
  <c r="Q71" i="9"/>
  <c r="Q72" i="9"/>
  <c r="Q73" i="9"/>
  <c r="Q74" i="9"/>
  <c r="Q75" i="9"/>
  <c r="V75" i="9" s="1"/>
  <c r="Q76" i="9"/>
  <c r="V76" i="9" s="1"/>
  <c r="Q77" i="9"/>
  <c r="V77" i="9" s="1"/>
  <c r="Q78" i="9"/>
  <c r="V78" i="9" s="1"/>
  <c r="Q79" i="9"/>
  <c r="Q80" i="9"/>
  <c r="Q81" i="9"/>
  <c r="Q82" i="9"/>
  <c r="Q83" i="9"/>
  <c r="V83" i="9" s="1"/>
  <c r="Q84" i="9"/>
  <c r="V84" i="9" s="1"/>
  <c r="Q85" i="9"/>
  <c r="V85" i="9" s="1"/>
  <c r="Q86" i="9"/>
  <c r="V86" i="9" s="1"/>
  <c r="Q87" i="9"/>
  <c r="Q88" i="9"/>
  <c r="Q89" i="9"/>
  <c r="Q90" i="9"/>
  <c r="Q91" i="9"/>
  <c r="V91" i="9" s="1"/>
  <c r="Q92" i="9"/>
  <c r="V92" i="9" s="1"/>
  <c r="Q93" i="9"/>
  <c r="V93" i="9" s="1"/>
  <c r="Q94" i="9"/>
  <c r="V94" i="9" s="1"/>
  <c r="Q95" i="9"/>
  <c r="Q96" i="9"/>
  <c r="Q97" i="9"/>
  <c r="Q98" i="9"/>
  <c r="Q99" i="9"/>
  <c r="Q100" i="9"/>
  <c r="V100" i="9" s="1"/>
  <c r="Q101" i="9"/>
  <c r="V101" i="9" s="1"/>
  <c r="P4" i="9"/>
  <c r="P5" i="9"/>
  <c r="U5" i="9" s="1"/>
  <c r="P6" i="9"/>
  <c r="P7" i="9"/>
  <c r="P8" i="9"/>
  <c r="P9" i="9"/>
  <c r="P10" i="9"/>
  <c r="F10" i="17" s="1"/>
  <c r="P11" i="9"/>
  <c r="U11" i="9" s="1"/>
  <c r="P12" i="9"/>
  <c r="P13" i="9"/>
  <c r="U13" i="9" s="1"/>
  <c r="P14" i="9"/>
  <c r="P15" i="9"/>
  <c r="P16" i="9"/>
  <c r="P17" i="9"/>
  <c r="P18" i="9"/>
  <c r="U18" i="9" s="1"/>
  <c r="P19" i="9"/>
  <c r="F19" i="17" s="1"/>
  <c r="P20" i="9"/>
  <c r="P21" i="9"/>
  <c r="U21" i="9" s="1"/>
  <c r="P22" i="9"/>
  <c r="P23" i="9"/>
  <c r="P24" i="9"/>
  <c r="P25" i="9"/>
  <c r="P26" i="9"/>
  <c r="U26" i="9" s="1"/>
  <c r="P27" i="9"/>
  <c r="P28" i="9"/>
  <c r="P29" i="9"/>
  <c r="U29" i="9" s="1"/>
  <c r="P30" i="9"/>
  <c r="P31" i="9"/>
  <c r="P32" i="9"/>
  <c r="P33" i="9"/>
  <c r="P34" i="9"/>
  <c r="U34" i="9" s="1"/>
  <c r="P35" i="9"/>
  <c r="F35" i="17" s="1"/>
  <c r="P36" i="9"/>
  <c r="P37" i="9"/>
  <c r="U37" i="9" s="1"/>
  <c r="P38" i="9"/>
  <c r="P39" i="9"/>
  <c r="P40" i="9"/>
  <c r="P41" i="9"/>
  <c r="P42" i="9"/>
  <c r="U42" i="9" s="1"/>
  <c r="P43" i="9"/>
  <c r="P44" i="9"/>
  <c r="P45" i="9"/>
  <c r="U45" i="9" s="1"/>
  <c r="P46" i="9"/>
  <c r="P47" i="9"/>
  <c r="P48" i="9"/>
  <c r="P49" i="9"/>
  <c r="P50" i="9"/>
  <c r="U50" i="9" s="1"/>
  <c r="P51" i="9"/>
  <c r="F51" i="17" s="1"/>
  <c r="J51" i="17" s="1"/>
  <c r="P52" i="9"/>
  <c r="P53" i="9"/>
  <c r="U53" i="9" s="1"/>
  <c r="P54" i="9"/>
  <c r="P55" i="9"/>
  <c r="P56" i="9"/>
  <c r="P57" i="9"/>
  <c r="P58" i="9"/>
  <c r="P59" i="9"/>
  <c r="U59" i="9" s="1"/>
  <c r="P60" i="9"/>
  <c r="P61" i="9"/>
  <c r="U61" i="9" s="1"/>
  <c r="P62" i="9"/>
  <c r="P63" i="9"/>
  <c r="P64" i="9"/>
  <c r="P65" i="9"/>
  <c r="P66" i="9"/>
  <c r="P67" i="9"/>
  <c r="P68" i="9"/>
  <c r="P69" i="9"/>
  <c r="P70" i="9"/>
  <c r="P71" i="9"/>
  <c r="U71" i="9" s="1"/>
  <c r="P72" i="9"/>
  <c r="P73" i="9"/>
  <c r="P74" i="9"/>
  <c r="P75" i="9"/>
  <c r="U75" i="9" s="1"/>
  <c r="P76" i="9"/>
  <c r="P77" i="9"/>
  <c r="U77" i="9" s="1"/>
  <c r="P78" i="9"/>
  <c r="P79" i="9"/>
  <c r="U79" i="9" s="1"/>
  <c r="P80" i="9"/>
  <c r="P81" i="9"/>
  <c r="P82" i="9"/>
  <c r="U82" i="9" s="1"/>
  <c r="P83" i="9"/>
  <c r="U83" i="9" s="1"/>
  <c r="P84" i="9"/>
  <c r="P85" i="9"/>
  <c r="U85" i="9" s="1"/>
  <c r="P86" i="9"/>
  <c r="P87" i="9"/>
  <c r="U87" i="9" s="1"/>
  <c r="P88" i="9"/>
  <c r="P89" i="9"/>
  <c r="P90" i="9"/>
  <c r="U90" i="9" s="1"/>
  <c r="P91" i="9"/>
  <c r="U91" i="9" s="1"/>
  <c r="P92" i="9"/>
  <c r="P93" i="9"/>
  <c r="P94" i="9"/>
  <c r="P95" i="9"/>
  <c r="P96" i="9"/>
  <c r="P97" i="9"/>
  <c r="P98" i="9"/>
  <c r="U98" i="9" s="1"/>
  <c r="P99" i="9"/>
  <c r="U99" i="9" s="1"/>
  <c r="P100" i="9"/>
  <c r="P101" i="9"/>
  <c r="E4" i="17"/>
  <c r="E5" i="17"/>
  <c r="E6" i="17"/>
  <c r="E7" i="17"/>
  <c r="E8" i="17"/>
  <c r="E9" i="17"/>
  <c r="E10" i="17"/>
  <c r="E11" i="17"/>
  <c r="E12" i="17"/>
  <c r="E13" i="17"/>
  <c r="E14" i="17"/>
  <c r="M14" i="17" s="1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M46" i="17" s="1"/>
  <c r="E47" i="17"/>
  <c r="E48" i="17"/>
  <c r="E49" i="17"/>
  <c r="E50" i="17"/>
  <c r="E51" i="17"/>
  <c r="E52" i="17"/>
  <c r="E53" i="17"/>
  <c r="E54" i="17"/>
  <c r="E55" i="17"/>
  <c r="E56" i="17"/>
  <c r="E57" i="17"/>
  <c r="J57" i="17" s="1"/>
  <c r="E58" i="17"/>
  <c r="E59" i="17"/>
  <c r="E60" i="17"/>
  <c r="E61" i="17"/>
  <c r="E62" i="17"/>
  <c r="K62" i="17" s="1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K78" i="17" s="1"/>
  <c r="E79" i="17"/>
  <c r="E80" i="17"/>
  <c r="E81" i="17"/>
  <c r="E82" i="17"/>
  <c r="E83" i="17"/>
  <c r="E84" i="17"/>
  <c r="E85" i="17"/>
  <c r="E86" i="17"/>
  <c r="J86" i="17" s="1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F50" i="17"/>
  <c r="F53" i="17"/>
  <c r="F54" i="17"/>
  <c r="F55" i="17"/>
  <c r="F56" i="17"/>
  <c r="F57" i="17"/>
  <c r="F58" i="17"/>
  <c r="F59" i="17"/>
  <c r="F60" i="17"/>
  <c r="F61" i="17"/>
  <c r="F62" i="17"/>
  <c r="F63" i="17"/>
  <c r="J63" i="17" s="1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J79" i="17" s="1"/>
  <c r="F80" i="17"/>
  <c r="F81" i="17"/>
  <c r="F82" i="17"/>
  <c r="F83" i="17"/>
  <c r="F84" i="17"/>
  <c r="F85" i="17"/>
  <c r="F86" i="17"/>
  <c r="F87" i="17"/>
  <c r="J87" i="17" s="1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G25" i="17"/>
  <c r="G32" i="17"/>
  <c r="K32" i="17" s="1"/>
  <c r="G41" i="17"/>
  <c r="G48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H23" i="17"/>
  <c r="H38" i="17"/>
  <c r="L38" i="17" s="1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I4" i="17"/>
  <c r="I5" i="17"/>
  <c r="I6" i="17"/>
  <c r="I7" i="17"/>
  <c r="I8" i="17"/>
  <c r="M8" i="17" s="1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M42" i="17" s="1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M96" i="17" s="1"/>
  <c r="I97" i="17"/>
  <c r="I98" i="17"/>
  <c r="I99" i="17"/>
  <c r="I100" i="17"/>
  <c r="I101" i="17"/>
  <c r="J88" i="17"/>
  <c r="K79" i="17"/>
  <c r="L96" i="17"/>
  <c r="M98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U4" i="9"/>
  <c r="F6" i="17"/>
  <c r="F7" i="17"/>
  <c r="J7" i="17" s="1"/>
  <c r="F8" i="17"/>
  <c r="F9" i="17"/>
  <c r="F11" i="17"/>
  <c r="U12" i="9"/>
  <c r="F14" i="17"/>
  <c r="U15" i="9"/>
  <c r="F16" i="17"/>
  <c r="U17" i="9"/>
  <c r="U19" i="9"/>
  <c r="U20" i="9"/>
  <c r="F22" i="17"/>
  <c r="U23" i="9"/>
  <c r="F24" i="17"/>
  <c r="F25" i="17"/>
  <c r="U27" i="9"/>
  <c r="U28" i="9"/>
  <c r="F30" i="17"/>
  <c r="U31" i="9"/>
  <c r="F32" i="17"/>
  <c r="U33" i="9"/>
  <c r="U35" i="9"/>
  <c r="U36" i="9"/>
  <c r="F38" i="17"/>
  <c r="F39" i="17"/>
  <c r="J39" i="17" s="1"/>
  <c r="F40" i="17"/>
  <c r="F41" i="17"/>
  <c r="U43" i="9"/>
  <c r="U44" i="9"/>
  <c r="U46" i="9"/>
  <c r="F47" i="17"/>
  <c r="F48" i="17"/>
  <c r="F49" i="17"/>
  <c r="U51" i="9"/>
  <c r="U52" i="9"/>
  <c r="U55" i="9"/>
  <c r="U56" i="9"/>
  <c r="U57" i="9"/>
  <c r="U58" i="9"/>
  <c r="U60" i="9"/>
  <c r="U62" i="9"/>
  <c r="U63" i="9"/>
  <c r="U64" i="9"/>
  <c r="U65" i="9"/>
  <c r="U67" i="9"/>
  <c r="U68" i="9"/>
  <c r="U69" i="9"/>
  <c r="U72" i="9"/>
  <c r="U73" i="9"/>
  <c r="U76" i="9"/>
  <c r="U78" i="9"/>
  <c r="U80" i="9"/>
  <c r="U81" i="9"/>
  <c r="U84" i="9"/>
  <c r="U86" i="9"/>
  <c r="U88" i="9"/>
  <c r="U92" i="9"/>
  <c r="U93" i="9"/>
  <c r="U94" i="9"/>
  <c r="U95" i="9"/>
  <c r="U96" i="9"/>
  <c r="U97" i="9"/>
  <c r="U100" i="9"/>
  <c r="U101" i="9"/>
  <c r="V7" i="9"/>
  <c r="V8" i="9"/>
  <c r="V9" i="9"/>
  <c r="G15" i="17"/>
  <c r="V16" i="9"/>
  <c r="V17" i="9"/>
  <c r="V23" i="9"/>
  <c r="V24" i="9"/>
  <c r="V25" i="9"/>
  <c r="G31" i="17"/>
  <c r="V33" i="9"/>
  <c r="V39" i="9"/>
  <c r="G40" i="17"/>
  <c r="V47" i="9"/>
  <c r="V48" i="9"/>
  <c r="V49" i="9"/>
  <c r="V55" i="9"/>
  <c r="V56" i="9"/>
  <c r="V57" i="9"/>
  <c r="V58" i="9"/>
  <c r="V63" i="9"/>
  <c r="V64" i="9"/>
  <c r="V65" i="9"/>
  <c r="V66" i="9"/>
  <c r="V71" i="9"/>
  <c r="V72" i="9"/>
  <c r="V73" i="9"/>
  <c r="V74" i="9"/>
  <c r="V79" i="9"/>
  <c r="V80" i="9"/>
  <c r="V81" i="9"/>
  <c r="V82" i="9"/>
  <c r="V87" i="9"/>
  <c r="V88" i="9"/>
  <c r="V89" i="9"/>
  <c r="V90" i="9"/>
  <c r="V95" i="9"/>
  <c r="V97" i="9"/>
  <c r="V98" i="9"/>
  <c r="V99" i="9"/>
  <c r="W5" i="9"/>
  <c r="H6" i="17"/>
  <c r="H7" i="17"/>
  <c r="L7" i="17" s="1"/>
  <c r="W8" i="9"/>
  <c r="W9" i="9"/>
  <c r="W13" i="9"/>
  <c r="W14" i="9"/>
  <c r="W15" i="9"/>
  <c r="W16" i="9"/>
  <c r="W17" i="9"/>
  <c r="H21" i="17"/>
  <c r="W22" i="9"/>
  <c r="W23" i="9"/>
  <c r="W24" i="9"/>
  <c r="W25" i="9"/>
  <c r="W29" i="9"/>
  <c r="W30" i="9"/>
  <c r="W31" i="9"/>
  <c r="W32" i="9"/>
  <c r="W33" i="9"/>
  <c r="H37" i="17"/>
  <c r="W38" i="9"/>
  <c r="W39" i="9"/>
  <c r="W40" i="9"/>
  <c r="W41" i="9"/>
  <c r="H45" i="17"/>
  <c r="W46" i="9"/>
  <c r="W47" i="9"/>
  <c r="W48" i="9"/>
  <c r="W49" i="9"/>
  <c r="W54" i="9"/>
  <c r="W56" i="9"/>
  <c r="W57" i="9"/>
  <c r="W58" i="9"/>
  <c r="W61" i="9"/>
  <c r="W64" i="9"/>
  <c r="W65" i="9"/>
  <c r="W66" i="9"/>
  <c r="W67" i="9"/>
  <c r="W69" i="9"/>
  <c r="W72" i="9"/>
  <c r="W73" i="9"/>
  <c r="W77" i="9"/>
  <c r="W78" i="9"/>
  <c r="W80" i="9"/>
  <c r="W81" i="9"/>
  <c r="W85" i="9"/>
  <c r="W86" i="9"/>
  <c r="W88" i="9"/>
  <c r="W89" i="9"/>
  <c r="W93" i="9"/>
  <c r="W94" i="9"/>
  <c r="W96" i="9"/>
  <c r="W97" i="9"/>
  <c r="W101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T4" i="9"/>
  <c r="X4" i="9" s="1"/>
  <c r="T5" i="9"/>
  <c r="X5" i="9" s="1"/>
  <c r="T6" i="9"/>
  <c r="T7" i="9"/>
  <c r="T8" i="9"/>
  <c r="T9" i="9"/>
  <c r="T10" i="9"/>
  <c r="X10" i="9" s="1"/>
  <c r="T11" i="9"/>
  <c r="X11" i="9" s="1"/>
  <c r="T12" i="9"/>
  <c r="X12" i="9" s="1"/>
  <c r="T13" i="9"/>
  <c r="X13" i="9" s="1"/>
  <c r="T14" i="9"/>
  <c r="T15" i="9"/>
  <c r="T16" i="9"/>
  <c r="T17" i="9"/>
  <c r="X17" i="9" s="1"/>
  <c r="T18" i="9"/>
  <c r="X18" i="9" s="1"/>
  <c r="T19" i="9"/>
  <c r="X19" i="9" s="1"/>
  <c r="T20" i="9"/>
  <c r="X20" i="9" s="1"/>
  <c r="T21" i="9"/>
  <c r="X21" i="9" s="1"/>
  <c r="T22" i="9"/>
  <c r="T23" i="9"/>
  <c r="T24" i="9"/>
  <c r="T25" i="9"/>
  <c r="T26" i="9"/>
  <c r="X26" i="9" s="1"/>
  <c r="T27" i="9"/>
  <c r="X27" i="9" s="1"/>
  <c r="T28" i="9"/>
  <c r="X28" i="9" s="1"/>
  <c r="T29" i="9"/>
  <c r="X29" i="9" s="1"/>
  <c r="T30" i="9"/>
  <c r="T31" i="9"/>
  <c r="T32" i="9"/>
  <c r="T33" i="9"/>
  <c r="X33" i="9" s="1"/>
  <c r="T34" i="9"/>
  <c r="X34" i="9" s="1"/>
  <c r="T35" i="9"/>
  <c r="X35" i="9" s="1"/>
  <c r="T36" i="9"/>
  <c r="X36" i="9" s="1"/>
  <c r="T37" i="9"/>
  <c r="X37" i="9" s="1"/>
  <c r="T38" i="9"/>
  <c r="T39" i="9"/>
  <c r="T40" i="9"/>
  <c r="T41" i="9"/>
  <c r="T42" i="9"/>
  <c r="X42" i="9" s="1"/>
  <c r="T43" i="9"/>
  <c r="X43" i="9" s="1"/>
  <c r="T44" i="9"/>
  <c r="X44" i="9" s="1"/>
  <c r="T45" i="9"/>
  <c r="X45" i="9" s="1"/>
  <c r="T46" i="9"/>
  <c r="T47" i="9"/>
  <c r="T48" i="9"/>
  <c r="T49" i="9"/>
  <c r="X49" i="9" s="1"/>
  <c r="T50" i="9"/>
  <c r="X50" i="9" s="1"/>
  <c r="T51" i="9"/>
  <c r="X51" i="9" s="1"/>
  <c r="T52" i="9"/>
  <c r="X52" i="9" s="1"/>
  <c r="T53" i="9"/>
  <c r="X53" i="9" s="1"/>
  <c r="T54" i="9"/>
  <c r="T55" i="9"/>
  <c r="T56" i="9"/>
  <c r="T57" i="9"/>
  <c r="T58" i="9"/>
  <c r="X58" i="9" s="1"/>
  <c r="T59" i="9"/>
  <c r="X59" i="9" s="1"/>
  <c r="T60" i="9"/>
  <c r="X60" i="9" s="1"/>
  <c r="T61" i="9"/>
  <c r="X61" i="9" s="1"/>
  <c r="T62" i="9"/>
  <c r="T63" i="9"/>
  <c r="T64" i="9"/>
  <c r="T65" i="9"/>
  <c r="X65" i="9" s="1"/>
  <c r="T66" i="9"/>
  <c r="X66" i="9" s="1"/>
  <c r="T67" i="9"/>
  <c r="X67" i="9" s="1"/>
  <c r="T68" i="9"/>
  <c r="X68" i="9" s="1"/>
  <c r="T69" i="9"/>
  <c r="X69" i="9" s="1"/>
  <c r="T70" i="9"/>
  <c r="T71" i="9"/>
  <c r="T72" i="9"/>
  <c r="T73" i="9"/>
  <c r="T74" i="9"/>
  <c r="X74" i="9" s="1"/>
  <c r="T75" i="9"/>
  <c r="X75" i="9" s="1"/>
  <c r="T76" i="9"/>
  <c r="X76" i="9" s="1"/>
  <c r="T77" i="9"/>
  <c r="X77" i="9" s="1"/>
  <c r="T78" i="9"/>
  <c r="T79" i="9"/>
  <c r="T80" i="9"/>
  <c r="T81" i="9"/>
  <c r="X81" i="9" s="1"/>
  <c r="T82" i="9"/>
  <c r="X82" i="9" s="1"/>
  <c r="T83" i="9"/>
  <c r="X83" i="9" s="1"/>
  <c r="T84" i="9"/>
  <c r="X84" i="9" s="1"/>
  <c r="T85" i="9"/>
  <c r="X85" i="9" s="1"/>
  <c r="T86" i="9"/>
  <c r="T87" i="9"/>
  <c r="T88" i="9"/>
  <c r="T89" i="9"/>
  <c r="T90" i="9"/>
  <c r="X90" i="9" s="1"/>
  <c r="T91" i="9"/>
  <c r="X91" i="9" s="1"/>
  <c r="T92" i="9"/>
  <c r="X92" i="9" s="1"/>
  <c r="T93" i="9"/>
  <c r="X93" i="9" s="1"/>
  <c r="T94" i="9"/>
  <c r="T95" i="9"/>
  <c r="T96" i="9"/>
  <c r="T97" i="9"/>
  <c r="X97" i="9" s="1"/>
  <c r="T98" i="9"/>
  <c r="X98" i="9" s="1"/>
  <c r="T99" i="9"/>
  <c r="X99" i="9" s="1"/>
  <c r="T100" i="9"/>
  <c r="X100" i="9" s="1"/>
  <c r="T101" i="9"/>
  <c r="X101" i="9" s="1"/>
  <c r="U6" i="9"/>
  <c r="U7" i="9"/>
  <c r="U8" i="9"/>
  <c r="U9" i="9"/>
  <c r="U54" i="9"/>
  <c r="U66" i="9"/>
  <c r="U70" i="9"/>
  <c r="U74" i="9"/>
  <c r="U89" i="9"/>
  <c r="V15" i="9"/>
  <c r="V32" i="9"/>
  <c r="V40" i="9"/>
  <c r="V41" i="9"/>
  <c r="V52" i="9"/>
  <c r="V54" i="9"/>
  <c r="V96" i="9"/>
  <c r="W6" i="9"/>
  <c r="W18" i="9"/>
  <c r="W21" i="9"/>
  <c r="W53" i="9"/>
  <c r="W62" i="9"/>
  <c r="W70" i="9"/>
  <c r="W71" i="9"/>
  <c r="X6" i="9"/>
  <c r="X7" i="9"/>
  <c r="X8" i="9"/>
  <c r="X9" i="9"/>
  <c r="X14" i="9"/>
  <c r="X15" i="9"/>
  <c r="X16" i="9"/>
  <c r="X22" i="9"/>
  <c r="X23" i="9"/>
  <c r="X24" i="9"/>
  <c r="X25" i="9"/>
  <c r="X30" i="9"/>
  <c r="X31" i="9"/>
  <c r="X32" i="9"/>
  <c r="X38" i="9"/>
  <c r="X39" i="9"/>
  <c r="X40" i="9"/>
  <c r="X41" i="9"/>
  <c r="X46" i="9"/>
  <c r="X47" i="9"/>
  <c r="X48" i="9"/>
  <c r="X54" i="9"/>
  <c r="X55" i="9"/>
  <c r="X56" i="9"/>
  <c r="X57" i="9"/>
  <c r="X62" i="9"/>
  <c r="X63" i="9"/>
  <c r="X64" i="9"/>
  <c r="X70" i="9"/>
  <c r="X71" i="9"/>
  <c r="X72" i="9"/>
  <c r="X73" i="9"/>
  <c r="X78" i="9"/>
  <c r="X79" i="9"/>
  <c r="X80" i="9"/>
  <c r="X86" i="9"/>
  <c r="X87" i="9"/>
  <c r="X88" i="9"/>
  <c r="X89" i="9"/>
  <c r="X94" i="9"/>
  <c r="X95" i="9"/>
  <c r="X96" i="9"/>
  <c r="J22" i="17" l="1"/>
  <c r="L6" i="17"/>
  <c r="J30" i="17"/>
  <c r="M78" i="17"/>
  <c r="K30" i="17"/>
  <c r="K22" i="17"/>
  <c r="K14" i="17"/>
  <c r="K6" i="17"/>
  <c r="L86" i="17"/>
  <c r="L70" i="17"/>
  <c r="L54" i="17"/>
  <c r="M89" i="17"/>
  <c r="M73" i="17"/>
  <c r="M41" i="17"/>
  <c r="J38" i="17"/>
  <c r="J6" i="17"/>
  <c r="J94" i="17"/>
  <c r="J78" i="17"/>
  <c r="J70" i="17"/>
  <c r="J62" i="17"/>
  <c r="J54" i="17"/>
  <c r="L64" i="17"/>
  <c r="M40" i="17"/>
  <c r="L94" i="17"/>
  <c r="L78" i="17"/>
  <c r="L62" i="17"/>
  <c r="M97" i="17"/>
  <c r="L65" i="17"/>
  <c r="M49" i="17"/>
  <c r="M17" i="17"/>
  <c r="K63" i="17"/>
  <c r="M15" i="17"/>
  <c r="M66" i="17"/>
  <c r="M10" i="17"/>
  <c r="J47" i="17"/>
  <c r="M80" i="17"/>
  <c r="M64" i="17"/>
  <c r="M56" i="17"/>
  <c r="M32" i="17"/>
  <c r="M24" i="17"/>
  <c r="M16" i="17"/>
  <c r="L23" i="17"/>
  <c r="K94" i="17"/>
  <c r="K86" i="17"/>
  <c r="K70" i="17"/>
  <c r="K54" i="17"/>
  <c r="M34" i="17"/>
  <c r="K80" i="17"/>
  <c r="V14" i="9"/>
  <c r="J14" i="17"/>
  <c r="M79" i="17"/>
  <c r="L97" i="17"/>
  <c r="J56" i="17"/>
  <c r="J50" i="17"/>
  <c r="J89" i="17"/>
  <c r="M94" i="17"/>
  <c r="M86" i="17"/>
  <c r="M70" i="17"/>
  <c r="M62" i="17"/>
  <c r="M54" i="17"/>
  <c r="M38" i="17"/>
  <c r="M30" i="17"/>
  <c r="M22" i="17"/>
  <c r="M6" i="17"/>
  <c r="M91" i="17"/>
  <c r="M83" i="17"/>
  <c r="M75" i="17"/>
  <c r="M51" i="17"/>
  <c r="M27" i="17"/>
  <c r="M19" i="17"/>
  <c r="M88" i="17"/>
  <c r="M72" i="17"/>
  <c r="K48" i="17"/>
  <c r="F34" i="17"/>
  <c r="J34" i="17" s="1"/>
  <c r="J95" i="17"/>
  <c r="J71" i="17"/>
  <c r="J55" i="17"/>
  <c r="M47" i="17"/>
  <c r="M48" i="17"/>
  <c r="U10" i="9"/>
  <c r="M57" i="17"/>
  <c r="K41" i="17"/>
  <c r="J96" i="17"/>
  <c r="J101" i="17"/>
  <c r="J93" i="17"/>
  <c r="J85" i="17"/>
  <c r="M99" i="17"/>
  <c r="M67" i="17"/>
  <c r="M43" i="17"/>
  <c r="M35" i="17"/>
  <c r="M11" i="17"/>
  <c r="K81" i="17"/>
  <c r="J48" i="17"/>
  <c r="J40" i="17"/>
  <c r="J32" i="17"/>
  <c r="J24" i="17"/>
  <c r="J16" i="17"/>
  <c r="J8" i="17"/>
  <c r="J64" i="17"/>
  <c r="M81" i="17"/>
  <c r="M65" i="17"/>
  <c r="M33" i="17"/>
  <c r="M25" i="17"/>
  <c r="M9" i="17"/>
  <c r="M82" i="17"/>
  <c r="M74" i="17"/>
  <c r="M50" i="17"/>
  <c r="M26" i="17"/>
  <c r="M18" i="17"/>
  <c r="J83" i="17"/>
  <c r="J59" i="17"/>
  <c r="J90" i="17"/>
  <c r="J58" i="17"/>
  <c r="U32" i="9"/>
  <c r="J73" i="17"/>
  <c r="V37" i="9"/>
  <c r="K97" i="17"/>
  <c r="K65" i="17"/>
  <c r="J80" i="17"/>
  <c r="W4" i="9"/>
  <c r="J11" i="17"/>
  <c r="K95" i="17"/>
  <c r="M95" i="17"/>
  <c r="M87" i="17"/>
  <c r="M71" i="17"/>
  <c r="M63" i="17"/>
  <c r="M55" i="17"/>
  <c r="M39" i="17"/>
  <c r="M31" i="17"/>
  <c r="M23" i="17"/>
  <c r="M7" i="17"/>
  <c r="L89" i="17"/>
  <c r="L81" i="17"/>
  <c r="L73" i="17"/>
  <c r="L57" i="17"/>
  <c r="H22" i="17"/>
  <c r="L22" i="17" s="1"/>
  <c r="K96" i="17"/>
  <c r="K88" i="17"/>
  <c r="K72" i="17"/>
  <c r="K64" i="17"/>
  <c r="K56" i="17"/>
  <c r="G16" i="17"/>
  <c r="K16" i="17" s="1"/>
  <c r="F18" i="17"/>
  <c r="J18" i="17" s="1"/>
  <c r="J91" i="17"/>
  <c r="J82" i="17"/>
  <c r="J35" i="17"/>
  <c r="U22" i="9"/>
  <c r="K89" i="17"/>
  <c r="K57" i="17"/>
  <c r="V36" i="9"/>
  <c r="J10" i="17"/>
  <c r="L88" i="17"/>
  <c r="L80" i="17"/>
  <c r="L72" i="17"/>
  <c r="L56" i="17"/>
  <c r="K87" i="17"/>
  <c r="K71" i="17"/>
  <c r="K55" i="17"/>
  <c r="G9" i="17"/>
  <c r="K9" i="17" s="1"/>
  <c r="L77" i="17"/>
  <c r="J69" i="17"/>
  <c r="J61" i="17"/>
  <c r="J53" i="17"/>
  <c r="W20" i="9"/>
  <c r="J99" i="17"/>
  <c r="J75" i="17"/>
  <c r="J67" i="17"/>
  <c r="J98" i="17"/>
  <c r="J74" i="17"/>
  <c r="J66" i="17"/>
  <c r="J97" i="17"/>
  <c r="J81" i="17"/>
  <c r="J65" i="17"/>
  <c r="K73" i="17"/>
  <c r="K25" i="17"/>
  <c r="J72" i="17"/>
  <c r="J19" i="17"/>
  <c r="K40" i="17"/>
  <c r="W52" i="9"/>
  <c r="K31" i="17"/>
  <c r="K15" i="17"/>
  <c r="J49" i="17"/>
  <c r="J41" i="17"/>
  <c r="J25" i="17"/>
  <c r="J9" i="17"/>
  <c r="L95" i="17"/>
  <c r="L87" i="17"/>
  <c r="L79" i="17"/>
  <c r="L71" i="17"/>
  <c r="L63" i="17"/>
  <c r="L55" i="17"/>
  <c r="H13" i="17"/>
  <c r="H28" i="17"/>
  <c r="L28" i="17" s="1"/>
  <c r="G47" i="17"/>
  <c r="K47" i="17" s="1"/>
  <c r="J100" i="17"/>
  <c r="J68" i="17"/>
  <c r="W45" i="9"/>
  <c r="U48" i="9"/>
  <c r="M85" i="17"/>
  <c r="M53" i="17"/>
  <c r="M21" i="17"/>
  <c r="F17" i="17"/>
  <c r="J17" i="17" s="1"/>
  <c r="K75" i="17"/>
  <c r="V6" i="9"/>
  <c r="M100" i="17"/>
  <c r="M68" i="17"/>
  <c r="M36" i="17"/>
  <c r="M4" i="17"/>
  <c r="K98" i="17"/>
  <c r="K58" i="17"/>
  <c r="W37" i="9"/>
  <c r="W12" i="9"/>
  <c r="V30" i="9"/>
  <c r="V5" i="9"/>
  <c r="U40" i="9"/>
  <c r="H5" i="17"/>
  <c r="L5" i="17" s="1"/>
  <c r="G24" i="17"/>
  <c r="K24" i="17" s="1"/>
  <c r="G8" i="17"/>
  <c r="K8" i="17" s="1"/>
  <c r="F43" i="17"/>
  <c r="J43" i="17" s="1"/>
  <c r="F27" i="17"/>
  <c r="J27" i="17" s="1"/>
  <c r="L45" i="17"/>
  <c r="J84" i="17"/>
  <c r="M77" i="17"/>
  <c r="M45" i="17"/>
  <c r="M13" i="17"/>
  <c r="F33" i="17"/>
  <c r="J33" i="17" s="1"/>
  <c r="K83" i="17"/>
  <c r="W44" i="9"/>
  <c r="V31" i="9"/>
  <c r="U41" i="9"/>
  <c r="M84" i="17"/>
  <c r="M52" i="17"/>
  <c r="M20" i="17"/>
  <c r="K90" i="17"/>
  <c r="K66" i="17"/>
  <c r="V4" i="9"/>
  <c r="U16" i="9"/>
  <c r="H36" i="17"/>
  <c r="L36" i="17" s="1"/>
  <c r="G39" i="17"/>
  <c r="K39" i="17" s="1"/>
  <c r="G23" i="17"/>
  <c r="K23" i="17" s="1"/>
  <c r="G7" i="17"/>
  <c r="K7" i="17" s="1"/>
  <c r="F42" i="17"/>
  <c r="J42" i="17" s="1"/>
  <c r="F26" i="17"/>
  <c r="J26" i="17" s="1"/>
  <c r="H29" i="17"/>
  <c r="L29" i="17" s="1"/>
  <c r="U25" i="9"/>
  <c r="J76" i="17"/>
  <c r="M93" i="17"/>
  <c r="M61" i="17"/>
  <c r="M29" i="17"/>
  <c r="G46" i="17"/>
  <c r="K46" i="17" s="1"/>
  <c r="K99" i="17"/>
  <c r="K59" i="17"/>
  <c r="M76" i="17"/>
  <c r="M44" i="17"/>
  <c r="M12" i="17"/>
  <c r="K82" i="17"/>
  <c r="V22" i="9"/>
  <c r="U38" i="9"/>
  <c r="M59" i="17"/>
  <c r="H47" i="17"/>
  <c r="L47" i="17" s="1"/>
  <c r="H31" i="17"/>
  <c r="L31" i="17" s="1"/>
  <c r="H15" i="17"/>
  <c r="L15" i="17" s="1"/>
  <c r="G38" i="17"/>
  <c r="K38" i="17" s="1"/>
  <c r="L13" i="17"/>
  <c r="U49" i="9"/>
  <c r="J92" i="17"/>
  <c r="J60" i="17"/>
  <c r="U24" i="9"/>
  <c r="M101" i="17"/>
  <c r="M69" i="17"/>
  <c r="M37" i="17"/>
  <c r="M5" i="17"/>
  <c r="K91" i="17"/>
  <c r="K67" i="17"/>
  <c r="M92" i="17"/>
  <c r="M60" i="17"/>
  <c r="M28" i="17"/>
  <c r="K74" i="17"/>
  <c r="U39" i="9"/>
  <c r="V20" i="9"/>
  <c r="M90" i="17"/>
  <c r="M58" i="17"/>
  <c r="H46" i="17"/>
  <c r="L46" i="17" s="1"/>
  <c r="H30" i="17"/>
  <c r="L30" i="17" s="1"/>
  <c r="H14" i="17"/>
  <c r="L14" i="17" s="1"/>
  <c r="G49" i="17"/>
  <c r="K49" i="17" s="1"/>
  <c r="G33" i="17"/>
  <c r="K33" i="17" s="1"/>
  <c r="G17" i="17"/>
  <c r="K17" i="17" s="1"/>
  <c r="W50" i="9"/>
  <c r="U47" i="9"/>
  <c r="H51" i="17"/>
  <c r="L51" i="17" s="1"/>
  <c r="H43" i="17"/>
  <c r="H35" i="17"/>
  <c r="L35" i="17" s="1"/>
  <c r="H27" i="17"/>
  <c r="L27" i="17" s="1"/>
  <c r="H19" i="17"/>
  <c r="L19" i="17" s="1"/>
  <c r="H11" i="17"/>
  <c r="L11" i="17" s="1"/>
  <c r="G45" i="17"/>
  <c r="K45" i="17" s="1"/>
  <c r="G29" i="17"/>
  <c r="K29" i="17" s="1"/>
  <c r="G21" i="17"/>
  <c r="K21" i="17" s="1"/>
  <c r="G13" i="17"/>
  <c r="K13" i="17" s="1"/>
  <c r="F31" i="17"/>
  <c r="J31" i="17" s="1"/>
  <c r="F23" i="17"/>
  <c r="J23" i="17" s="1"/>
  <c r="F15" i="17"/>
  <c r="J15" i="17" s="1"/>
  <c r="V44" i="9"/>
  <c r="U14" i="9"/>
  <c r="U30" i="9"/>
  <c r="H42" i="17"/>
  <c r="L42" i="17" s="1"/>
  <c r="H34" i="17"/>
  <c r="L34" i="17" s="1"/>
  <c r="H26" i="17"/>
  <c r="L26" i="17" s="1"/>
  <c r="H10" i="17"/>
  <c r="L10" i="17" s="1"/>
  <c r="G28" i="17"/>
  <c r="K28" i="17" s="1"/>
  <c r="G12" i="17"/>
  <c r="K12" i="17" s="1"/>
  <c r="F46" i="17"/>
  <c r="J46" i="17" s="1"/>
  <c r="H49" i="17"/>
  <c r="L49" i="17" s="1"/>
  <c r="H41" i="17"/>
  <c r="L41" i="17" s="1"/>
  <c r="H33" i="17"/>
  <c r="L33" i="17" s="1"/>
  <c r="H25" i="17"/>
  <c r="L25" i="17" s="1"/>
  <c r="H17" i="17"/>
  <c r="L17" i="17" s="1"/>
  <c r="H9" i="17"/>
  <c r="L9" i="17" s="1"/>
  <c r="G51" i="17"/>
  <c r="K51" i="17" s="1"/>
  <c r="G43" i="17"/>
  <c r="K43" i="17" s="1"/>
  <c r="G35" i="17"/>
  <c r="K35" i="17" s="1"/>
  <c r="G27" i="17"/>
  <c r="K27" i="17" s="1"/>
  <c r="G19" i="17"/>
  <c r="K19" i="17" s="1"/>
  <c r="G11" i="17"/>
  <c r="K11" i="17" s="1"/>
  <c r="F45" i="17"/>
  <c r="J45" i="17" s="1"/>
  <c r="F37" i="17"/>
  <c r="J37" i="17" s="1"/>
  <c r="F29" i="17"/>
  <c r="J29" i="17" s="1"/>
  <c r="F21" i="17"/>
  <c r="J21" i="17" s="1"/>
  <c r="F13" i="17"/>
  <c r="J13" i="17" s="1"/>
  <c r="F5" i="17"/>
  <c r="J5" i="17" s="1"/>
  <c r="H48" i="17"/>
  <c r="L48" i="17" s="1"/>
  <c r="H40" i="17"/>
  <c r="L40" i="17" s="1"/>
  <c r="H32" i="17"/>
  <c r="L32" i="17" s="1"/>
  <c r="H24" i="17"/>
  <c r="L24" i="17" s="1"/>
  <c r="H16" i="17"/>
  <c r="L16" i="17" s="1"/>
  <c r="H8" i="17"/>
  <c r="L8" i="17" s="1"/>
  <c r="G50" i="17"/>
  <c r="K50" i="17" s="1"/>
  <c r="G42" i="17"/>
  <c r="K42" i="17" s="1"/>
  <c r="G34" i="17"/>
  <c r="K34" i="17" s="1"/>
  <c r="G26" i="17"/>
  <c r="K26" i="17" s="1"/>
  <c r="G18" i="17"/>
  <c r="K18" i="17" s="1"/>
  <c r="G10" i="17"/>
  <c r="K10" i="17" s="1"/>
  <c r="F52" i="17"/>
  <c r="J52" i="17" s="1"/>
  <c r="F44" i="17"/>
  <c r="J44" i="17" s="1"/>
  <c r="F36" i="17"/>
  <c r="J36" i="17" s="1"/>
  <c r="F28" i="17"/>
  <c r="J28" i="17" s="1"/>
  <c r="F20" i="17"/>
  <c r="J20" i="17" s="1"/>
  <c r="F12" i="17"/>
  <c r="J12" i="17" s="1"/>
  <c r="F4" i="17"/>
  <c r="J4" i="17" s="1"/>
  <c r="L101" i="17"/>
  <c r="L69" i="17"/>
  <c r="L37" i="17"/>
  <c r="L100" i="17"/>
  <c r="L76" i="17"/>
  <c r="L44" i="17"/>
  <c r="L4" i="17"/>
  <c r="L99" i="17"/>
  <c r="L91" i="17"/>
  <c r="L83" i="17"/>
  <c r="L75" i="17"/>
  <c r="L67" i="17"/>
  <c r="L59" i="17"/>
  <c r="L43" i="17"/>
  <c r="K101" i="17"/>
  <c r="K93" i="17"/>
  <c r="K85" i="17"/>
  <c r="K77" i="17"/>
  <c r="K69" i="17"/>
  <c r="K61" i="17"/>
  <c r="K53" i="17"/>
  <c r="K37" i="17"/>
  <c r="K5" i="17"/>
  <c r="L93" i="17"/>
  <c r="L61" i="17"/>
  <c r="L92" i="17"/>
  <c r="L60" i="17"/>
  <c r="L98" i="17"/>
  <c r="L90" i="17"/>
  <c r="L82" i="17"/>
  <c r="L74" i="17"/>
  <c r="L66" i="17"/>
  <c r="L58" i="17"/>
  <c r="L50" i="17"/>
  <c r="L18" i="17"/>
  <c r="K100" i="17"/>
  <c r="K92" i="17"/>
  <c r="K84" i="17"/>
  <c r="K76" i="17"/>
  <c r="K68" i="17"/>
  <c r="K60" i="17"/>
  <c r="K52" i="17"/>
  <c r="K44" i="17"/>
  <c r="K36" i="17"/>
  <c r="K20" i="17"/>
  <c r="K4" i="17"/>
  <c r="L85" i="17"/>
  <c r="L53" i="17"/>
  <c r="L21" i="17"/>
  <c r="L68" i="17"/>
  <c r="L12" i="17"/>
  <c r="J77" i="17"/>
  <c r="L84" i="17"/>
  <c r="L52" i="17"/>
  <c r="L20" i="17"/>
  <c r="U9" i="16"/>
  <c r="U4" i="16" l="1"/>
  <c r="G41" i="16" l="1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F52" i="16" l="1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l="1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K69" i="7"/>
  <c r="C5" i="7"/>
  <c r="F5" i="7" s="1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F16" i="7"/>
  <c r="E15" i="7"/>
  <c r="E31" i="7"/>
  <c r="G79" i="7"/>
  <c r="F44" i="7" l="1"/>
  <c r="F12" i="7"/>
  <c r="G58" i="7"/>
  <c r="E52" i="7"/>
  <c r="F50" i="7"/>
  <c r="F27" i="7"/>
  <c r="E21" i="7"/>
  <c r="K73" i="7"/>
  <c r="F57" i="7"/>
  <c r="K57" i="7"/>
  <c r="K11" i="7"/>
  <c r="K41" i="7"/>
  <c r="F89" i="7"/>
  <c r="E95" i="7"/>
  <c r="H4" i="7"/>
  <c r="K7" i="7"/>
  <c r="F20" i="7"/>
  <c r="E93" i="7"/>
  <c r="F86" i="7"/>
  <c r="K53" i="7"/>
  <c r="F79" i="7"/>
  <c r="G91" i="7"/>
  <c r="G83" i="7"/>
  <c r="K67" i="7"/>
  <c r="G59" i="7"/>
  <c r="E43" i="7"/>
  <c r="G29" i="7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F78" i="7"/>
  <c r="K37" i="7"/>
  <c r="E55" i="7"/>
  <c r="E45" i="7"/>
  <c r="F32" i="7"/>
  <c r="F56" i="7"/>
  <c r="D10" i="7"/>
  <c r="K85" i="7"/>
  <c r="K27" i="7"/>
  <c r="F51" i="7"/>
  <c r="H83" i="7"/>
  <c r="E51" i="7"/>
  <c r="G98" i="7"/>
  <c r="H35" i="7"/>
  <c r="F67" i="7"/>
  <c r="G74" i="7"/>
  <c r="K91" i="7"/>
  <c r="K59" i="7"/>
  <c r="K43" i="7"/>
  <c r="K29" i="7"/>
  <c r="E39" i="7"/>
  <c r="F74" i="7"/>
  <c r="E77" i="7"/>
  <c r="E29" i="7"/>
  <c r="F62" i="7"/>
  <c r="K90" i="7"/>
  <c r="K74" i="7"/>
  <c r="K58" i="7"/>
  <c r="K42" i="7"/>
  <c r="K28" i="7"/>
  <c r="K12" i="7"/>
  <c r="D18" i="7"/>
  <c r="E5" i="7"/>
  <c r="K99" i="7"/>
  <c r="K83" i="7"/>
  <c r="K51" i="7"/>
  <c r="K21" i="7"/>
  <c r="K98" i="7"/>
  <c r="K82" i="7"/>
  <c r="K66" i="7"/>
  <c r="K50" i="7"/>
  <c r="K34" i="7"/>
  <c r="K20" i="7"/>
  <c r="F21" i="7"/>
  <c r="F58" i="7"/>
  <c r="F98" i="7"/>
  <c r="F80" i="7"/>
  <c r="G20" i="7"/>
  <c r="G51" i="7"/>
  <c r="G21" i="7"/>
  <c r="F66" i="7"/>
  <c r="G12" i="7"/>
  <c r="K93" i="7"/>
  <c r="K77" i="7"/>
  <c r="K61" i="7"/>
  <c r="K45" i="7"/>
  <c r="K31" i="7"/>
  <c r="K15" i="7"/>
  <c r="F64" i="7"/>
  <c r="F48" i="7"/>
  <c r="F26" i="7"/>
  <c r="D80" i="7"/>
  <c r="F9" i="7"/>
  <c r="E47" i="7"/>
  <c r="D55" i="7"/>
  <c r="F95" i="7"/>
  <c r="G42" i="7"/>
  <c r="F100" i="7"/>
  <c r="E92" i="7"/>
  <c r="E84" i="7"/>
  <c r="G76" i="7"/>
  <c r="E68" i="7"/>
  <c r="E60" i="7"/>
  <c r="H52" i="7"/>
  <c r="H44" i="7"/>
  <c r="E36" i="7"/>
  <c r="F30" i="7"/>
  <c r="G22" i="7"/>
  <c r="H14" i="7"/>
  <c r="E6" i="7"/>
  <c r="K95" i="7"/>
  <c r="K87" i="7"/>
  <c r="K79" i="7"/>
  <c r="K71" i="7"/>
  <c r="K63" i="7"/>
  <c r="K55" i="7"/>
  <c r="K47" i="7"/>
  <c r="K39" i="7"/>
  <c r="K25" i="7"/>
  <c r="K17" i="7"/>
  <c r="K9" i="7"/>
  <c r="F28" i="7"/>
  <c r="D48" i="7"/>
  <c r="F87" i="7"/>
  <c r="D39" i="7"/>
  <c r="L39" i="7" s="1"/>
  <c r="F94" i="7"/>
  <c r="F22" i="7"/>
  <c r="G82" i="7"/>
  <c r="G34" i="7"/>
  <c r="G99" i="7"/>
  <c r="E91" i="7"/>
  <c r="E83" i="7"/>
  <c r="F75" i="7"/>
  <c r="G67" i="7"/>
  <c r="E59" i="7"/>
  <c r="F43" i="7"/>
  <c r="G35" i="7"/>
  <c r="F29" i="7"/>
  <c r="E13" i="7"/>
  <c r="G5" i="7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F72" i="7"/>
  <c r="D56" i="7"/>
  <c r="F40" i="7"/>
  <c r="F71" i="7"/>
  <c r="M71" i="7" s="1"/>
  <c r="F47" i="7"/>
  <c r="F18" i="7"/>
  <c r="M18" i="7" s="1"/>
  <c r="E17" i="7"/>
  <c r="F34" i="7"/>
  <c r="D72" i="7"/>
  <c r="F90" i="7"/>
  <c r="E30" i="7"/>
  <c r="F84" i="7"/>
  <c r="F46" i="7"/>
  <c r="F17" i="7"/>
  <c r="G66" i="7"/>
  <c r="G28" i="7"/>
  <c r="F97" i="7"/>
  <c r="F81" i="7"/>
  <c r="E73" i="7"/>
  <c r="F65" i="7"/>
  <c r="F49" i="7"/>
  <c r="F41" i="7"/>
  <c r="G33" i="7"/>
  <c r="F19" i="7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F10" i="7"/>
  <c r="D40" i="7"/>
  <c r="E25" i="7"/>
  <c r="F42" i="7"/>
  <c r="E63" i="7"/>
  <c r="F82" i="7"/>
  <c r="D63" i="7"/>
  <c r="F63" i="7"/>
  <c r="G90" i="7"/>
  <c r="G50" i="7"/>
  <c r="E4" i="7"/>
  <c r="K96" i="7"/>
  <c r="K88" i="7"/>
  <c r="K80" i="7"/>
  <c r="K72" i="7"/>
  <c r="K64" i="7"/>
  <c r="K56" i="7"/>
  <c r="K48" i="7"/>
  <c r="K40" i="7"/>
  <c r="K26" i="7"/>
  <c r="K18" i="7"/>
  <c r="K10" i="7"/>
  <c r="G36" i="7"/>
  <c r="H68" i="7"/>
  <c r="G100" i="7"/>
  <c r="E100" i="7"/>
  <c r="E76" i="7"/>
  <c r="F59" i="7"/>
  <c r="F91" i="7"/>
  <c r="E99" i="7"/>
  <c r="E75" i="7"/>
  <c r="E22" i="7"/>
  <c r="F96" i="7"/>
  <c r="F60" i="7"/>
  <c r="F36" i="7"/>
  <c r="H30" i="7"/>
  <c r="O30" i="7" s="1"/>
  <c r="G60" i="7"/>
  <c r="F76" i="7"/>
  <c r="F52" i="7"/>
  <c r="F14" i="7"/>
  <c r="G52" i="7"/>
  <c r="D64" i="7"/>
  <c r="M64" i="7" s="1"/>
  <c r="H84" i="7"/>
  <c r="E14" i="7"/>
  <c r="F92" i="7"/>
  <c r="G75" i="7"/>
  <c r="G43" i="7"/>
  <c r="G13" i="7"/>
  <c r="H6" i="7"/>
  <c r="F13" i="7"/>
  <c r="E35" i="7"/>
  <c r="F88" i="7"/>
  <c r="F68" i="7"/>
  <c r="F6" i="7"/>
  <c r="H92" i="7"/>
  <c r="E44" i="7"/>
  <c r="D26" i="7"/>
  <c r="G81" i="7"/>
  <c r="G49" i="7"/>
  <c r="G19" i="7"/>
  <c r="D9" i="7"/>
  <c r="E89" i="7"/>
  <c r="E57" i="7"/>
  <c r="E41" i="7"/>
  <c r="E27" i="7"/>
  <c r="G95" i="7"/>
  <c r="G63" i="7"/>
  <c r="N63" i="7" s="1"/>
  <c r="G47" i="7"/>
  <c r="G17" i="7"/>
  <c r="G7" i="7"/>
  <c r="F7" i="7"/>
  <c r="G15" i="7"/>
  <c r="F15" i="7"/>
  <c r="D15" i="7"/>
  <c r="D23" i="7"/>
  <c r="G23" i="7"/>
  <c r="F23" i="7"/>
  <c r="G31" i="7"/>
  <c r="F31" i="7"/>
  <c r="D37" i="7"/>
  <c r="G37" i="7"/>
  <c r="F37" i="7"/>
  <c r="D45" i="7"/>
  <c r="G45" i="7"/>
  <c r="F45" i="7"/>
  <c r="D53" i="7"/>
  <c r="G53" i="7"/>
  <c r="N53" i="7" s="1"/>
  <c r="F53" i="7"/>
  <c r="G61" i="7"/>
  <c r="F61" i="7"/>
  <c r="G69" i="7"/>
  <c r="F69" i="7"/>
  <c r="G77" i="7"/>
  <c r="F77" i="7"/>
  <c r="D85" i="7"/>
  <c r="G85" i="7"/>
  <c r="F85" i="7"/>
  <c r="G93" i="7"/>
  <c r="F93" i="7"/>
  <c r="E85" i="7"/>
  <c r="E69" i="7"/>
  <c r="E53" i="7"/>
  <c r="L53" i="7" s="1"/>
  <c r="E37" i="7"/>
  <c r="E23" i="7"/>
  <c r="E7" i="7"/>
  <c r="G97" i="7"/>
  <c r="G65" i="7"/>
  <c r="D8" i="7"/>
  <c r="E8" i="7"/>
  <c r="G8" i="7"/>
  <c r="D16" i="7"/>
  <c r="M16" i="7" s="1"/>
  <c r="E16" i="7"/>
  <c r="G16" i="7"/>
  <c r="D24" i="7"/>
  <c r="E24" i="7"/>
  <c r="G24" i="7"/>
  <c r="E32" i="7"/>
  <c r="G32" i="7"/>
  <c r="D38" i="7"/>
  <c r="E38" i="7"/>
  <c r="G38" i="7"/>
  <c r="E46" i="7"/>
  <c r="G46" i="7"/>
  <c r="E54" i="7"/>
  <c r="G54" i="7"/>
  <c r="D62" i="7"/>
  <c r="E62" i="7"/>
  <c r="G62" i="7"/>
  <c r="D70" i="7"/>
  <c r="E70" i="7"/>
  <c r="G70" i="7"/>
  <c r="E78" i="7"/>
  <c r="G78" i="7"/>
  <c r="D86" i="7"/>
  <c r="E86" i="7"/>
  <c r="G86" i="7"/>
  <c r="E94" i="7"/>
  <c r="G94" i="7"/>
  <c r="F55" i="7"/>
  <c r="M55" i="7" s="1"/>
  <c r="F39" i="7"/>
  <c r="M39" i="7" s="1"/>
  <c r="F25" i="7"/>
  <c r="F33" i="7"/>
  <c r="H33" i="7"/>
  <c r="F73" i="7"/>
  <c r="H73" i="7"/>
  <c r="I9" i="7"/>
  <c r="E9" i="7"/>
  <c r="F70" i="7"/>
  <c r="F38" i="7"/>
  <c r="F24" i="7"/>
  <c r="F8" i="7"/>
  <c r="G89" i="7"/>
  <c r="G73" i="7"/>
  <c r="G57" i="7"/>
  <c r="G41" i="7"/>
  <c r="G27" i="7"/>
  <c r="F11" i="7"/>
  <c r="H11" i="7"/>
  <c r="E71" i="7"/>
  <c r="I71" i="7"/>
  <c r="D79" i="7"/>
  <c r="N79" i="7" s="1"/>
  <c r="E79" i="7"/>
  <c r="L79" i="7" s="1"/>
  <c r="E87" i="7"/>
  <c r="I87" i="7"/>
  <c r="F54" i="7"/>
  <c r="G11" i="7"/>
  <c r="E97" i="7"/>
  <c r="E81" i="7"/>
  <c r="E65" i="7"/>
  <c r="E49" i="7"/>
  <c r="E33" i="7"/>
  <c r="E19" i="7"/>
  <c r="G87" i="7"/>
  <c r="G71" i="7"/>
  <c r="G55" i="7"/>
  <c r="G39" i="7"/>
  <c r="G25" i="7"/>
  <c r="G9" i="7"/>
  <c r="E98" i="7"/>
  <c r="E90" i="7"/>
  <c r="E82" i="7"/>
  <c r="E74" i="7"/>
  <c r="E66" i="7"/>
  <c r="E58" i="7"/>
  <c r="E50" i="7"/>
  <c r="E42" i="7"/>
  <c r="E34" i="7"/>
  <c r="E28" i="7"/>
  <c r="E20" i="7"/>
  <c r="E12" i="7"/>
  <c r="G96" i="7"/>
  <c r="N96" i="7" s="1"/>
  <c r="G88" i="7"/>
  <c r="N88" i="7" s="1"/>
  <c r="G80" i="7"/>
  <c r="G72" i="7"/>
  <c r="G64" i="7"/>
  <c r="N64" i="7" s="1"/>
  <c r="G56" i="7"/>
  <c r="N56" i="7" s="1"/>
  <c r="G48" i="7"/>
  <c r="G40" i="7"/>
  <c r="G26" i="7"/>
  <c r="N26" i="7" s="1"/>
  <c r="G18" i="7"/>
  <c r="G10" i="7"/>
  <c r="E96" i="7"/>
  <c r="L96" i="7" s="1"/>
  <c r="E88" i="7"/>
  <c r="E80" i="7"/>
  <c r="E72" i="7"/>
  <c r="E64" i="7"/>
  <c r="E56" i="7"/>
  <c r="L56" i="7" s="1"/>
  <c r="E48" i="7"/>
  <c r="E40" i="7"/>
  <c r="E26" i="7"/>
  <c r="E18" i="7"/>
  <c r="E10" i="7"/>
  <c r="L10" i="7" s="1"/>
  <c r="F99" i="7"/>
  <c r="F83" i="7"/>
  <c r="F35" i="7"/>
  <c r="F4" i="7"/>
  <c r="G4" i="7"/>
  <c r="G92" i="7"/>
  <c r="G84" i="7"/>
  <c r="G68" i="7"/>
  <c r="G44" i="7"/>
  <c r="G30" i="7"/>
  <c r="G14" i="7"/>
  <c r="G6" i="7"/>
  <c r="H36" i="7"/>
  <c r="D61" i="7"/>
  <c r="L61" i="7" s="1"/>
  <c r="I88" i="7"/>
  <c r="D94" i="7"/>
  <c r="I55" i="7"/>
  <c r="H100" i="7"/>
  <c r="I39" i="7"/>
  <c r="H97" i="7"/>
  <c r="D17" i="7"/>
  <c r="I25" i="7"/>
  <c r="I72" i="7"/>
  <c r="I26" i="7"/>
  <c r="H51" i="7"/>
  <c r="H50" i="7"/>
  <c r="D54" i="7"/>
  <c r="D32" i="7"/>
  <c r="L32" i="7" s="1"/>
  <c r="I98" i="7"/>
  <c r="I82" i="7"/>
  <c r="I66" i="7"/>
  <c r="I50" i="7"/>
  <c r="I34" i="7"/>
  <c r="I20" i="7"/>
  <c r="H89" i="7"/>
  <c r="H67" i="7"/>
  <c r="H49" i="7"/>
  <c r="H27" i="7"/>
  <c r="H5" i="7"/>
  <c r="D78" i="7"/>
  <c r="D25" i="7"/>
  <c r="M25" i="7" s="1"/>
  <c r="I97" i="7"/>
  <c r="I81" i="7"/>
  <c r="I65" i="7"/>
  <c r="I49" i="7"/>
  <c r="I33" i="7"/>
  <c r="I19" i="7"/>
  <c r="N40" i="7"/>
  <c r="H98" i="7"/>
  <c r="H74" i="7"/>
  <c r="H34" i="7"/>
  <c r="I56" i="7"/>
  <c r="H90" i="7"/>
  <c r="H28" i="7"/>
  <c r="H66" i="7"/>
  <c r="H42" i="7"/>
  <c r="H22" i="7"/>
  <c r="D4" i="7"/>
  <c r="D77" i="7"/>
  <c r="D47" i="7"/>
  <c r="M47" i="7" s="1"/>
  <c r="I96" i="7"/>
  <c r="I80" i="7"/>
  <c r="I64" i="7"/>
  <c r="I48" i="7"/>
  <c r="P48" i="7" s="1"/>
  <c r="I18" i="7"/>
  <c r="H12" i="7"/>
  <c r="I40" i="7"/>
  <c r="I10" i="7"/>
  <c r="H65" i="7"/>
  <c r="H41" i="7"/>
  <c r="H21" i="7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D87" i="7"/>
  <c r="I89" i="7"/>
  <c r="I73" i="7"/>
  <c r="I57" i="7"/>
  <c r="I41" i="7"/>
  <c r="I27" i="7"/>
  <c r="I11" i="7"/>
  <c r="I29" i="7"/>
  <c r="D29" i="7"/>
  <c r="M29" i="7" s="1"/>
  <c r="I67" i="7"/>
  <c r="D67" i="7"/>
  <c r="I99" i="7"/>
  <c r="D99" i="7"/>
  <c r="N99" i="7" s="1"/>
  <c r="I21" i="7"/>
  <c r="D21" i="7"/>
  <c r="L21" i="7" s="1"/>
  <c r="I51" i="7"/>
  <c r="D51" i="7"/>
  <c r="I91" i="7"/>
  <c r="D91" i="7"/>
  <c r="I13" i="7"/>
  <c r="D13" i="7"/>
  <c r="I35" i="7"/>
  <c r="D35" i="7"/>
  <c r="I59" i="7"/>
  <c r="D59" i="7"/>
  <c r="I83" i="7"/>
  <c r="D83" i="7"/>
  <c r="I6" i="7"/>
  <c r="D6" i="7"/>
  <c r="I22" i="7"/>
  <c r="D22" i="7"/>
  <c r="I36" i="7"/>
  <c r="D36" i="7"/>
  <c r="I52" i="7"/>
  <c r="D52" i="7"/>
  <c r="D68" i="7"/>
  <c r="I68" i="7"/>
  <c r="I84" i="7"/>
  <c r="D84" i="7"/>
  <c r="I100" i="7"/>
  <c r="D100" i="7"/>
  <c r="H60" i="7"/>
  <c r="H7" i="7"/>
  <c r="I7" i="7"/>
  <c r="H15" i="7"/>
  <c r="I15" i="7"/>
  <c r="H23" i="7"/>
  <c r="I23" i="7"/>
  <c r="H31" i="7"/>
  <c r="I31" i="7"/>
  <c r="H37" i="7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29" i="7"/>
  <c r="H13" i="7"/>
  <c r="D93" i="7"/>
  <c r="O93" i="7" s="1"/>
  <c r="D31" i="7"/>
  <c r="N31" i="7" s="1"/>
  <c r="I5" i="7"/>
  <c r="D5" i="7"/>
  <c r="I43" i="7"/>
  <c r="D43" i="7"/>
  <c r="I75" i="7"/>
  <c r="D75" i="7"/>
  <c r="N75" i="7" s="1"/>
  <c r="I14" i="7"/>
  <c r="D14" i="7"/>
  <c r="D30" i="7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6" i="7"/>
  <c r="H24" i="7"/>
  <c r="I24" i="7"/>
  <c r="H32" i="7"/>
  <c r="I32" i="7"/>
  <c r="H38" i="7"/>
  <c r="I38" i="7"/>
  <c r="H46" i="7"/>
  <c r="I46" i="7"/>
  <c r="H54" i="7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H96" i="7"/>
  <c r="O96" i="7" s="1"/>
  <c r="H88" i="7"/>
  <c r="H80" i="7"/>
  <c r="H72" i="7"/>
  <c r="H64" i="7"/>
  <c r="H56" i="7"/>
  <c r="O56" i="7" s="1"/>
  <c r="H48" i="7"/>
  <c r="H40" i="7"/>
  <c r="O40" i="7" s="1"/>
  <c r="H26" i="7"/>
  <c r="H18" i="7"/>
  <c r="H10" i="7"/>
  <c r="H95" i="7"/>
  <c r="H87" i="7"/>
  <c r="H79" i="7"/>
  <c r="O79" i="7" s="1"/>
  <c r="H71" i="7"/>
  <c r="H63" i="7"/>
  <c r="H55" i="7"/>
  <c r="H47" i="7"/>
  <c r="H39" i="7"/>
  <c r="H25" i="7"/>
  <c r="H17" i="7"/>
  <c r="H9" i="7"/>
  <c r="D98" i="7"/>
  <c r="D90" i="7"/>
  <c r="D82" i="7"/>
  <c r="D74" i="7"/>
  <c r="D66" i="7"/>
  <c r="D58" i="7"/>
  <c r="D50" i="7"/>
  <c r="L50" i="7" s="1"/>
  <c r="D42" i="7"/>
  <c r="D34" i="7"/>
  <c r="D28" i="7"/>
  <c r="D20" i="7"/>
  <c r="N20" i="7" s="1"/>
  <c r="D12" i="7"/>
  <c r="I4" i="7"/>
  <c r="D97" i="7"/>
  <c r="D89" i="7"/>
  <c r="D81" i="7"/>
  <c r="D73" i="7"/>
  <c r="D65" i="7"/>
  <c r="D57" i="7"/>
  <c r="D49" i="7"/>
  <c r="D41" i="7"/>
  <c r="D33" i="7"/>
  <c r="D27" i="7"/>
  <c r="D19" i="7"/>
  <c r="D11" i="7"/>
  <c r="L72" i="7"/>
  <c r="O10" i="7" l="1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7-17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N/A') and AsOf &lt;= '2015-07-17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7-17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7-17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7-17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<sst xmlns="http://schemas.openxmlformats.org/spreadsheetml/2006/main" count="2554" uniqueCount="121">
  <si>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</si>
  <si>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</si>
  <si>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</si>
  <si>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</si>
  <si>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</si>
  <si>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</si>
  <si>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</si>
  <si>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</si>
  <si>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</si>
  <si>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</si>
  <si>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FLAGSTAR</t>
  </si>
  <si>
    <t>WELLS FARGO</t>
  </si>
  <si>
    <t>WACHOVIA</t>
  </si>
  <si>
    <t>CHASE</t>
  </si>
  <si>
    <t>WAMU</t>
  </si>
  <si>
    <t>FIRST BANK OF TENNESSEE</t>
  </si>
  <si>
    <t>EVERBANK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</si>
  <si>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</si>
  <si>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</si>
  <si>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</si>
  <si>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</si>
  <si>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</si>
  <si>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</si>
  <si>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</si>
  <si>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</si>
  <si>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</si>
  <si>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</si>
  <si>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RED MORTGAGE CAPITAL, INC.</t>
  </si>
  <si>
    <t>ARBOR</t>
  </si>
  <si>
    <t>DB MORTGAGE SERVICES, LLC</t>
  </si>
  <si>
    <t>PRUDENTIAL MULTIFAMILY MORTGAGE INC.</t>
  </si>
  <si>
    <t>ARCS COMMERCIAL MORTGAGE COMPANY, L.P.</t>
  </si>
  <si>
    <t>GREEN PARK FINANCIAL LIMITED PARTNERSHIP</t>
  </si>
  <si>
    <t>CAPMARK FINANCE INC.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</si>
  <si>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</si>
  <si>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</si>
  <si>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</si>
  <si>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</si>
  <si>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</si>
  <si>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</si>
  <si>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</si>
  <si>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</si>
  <si>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</si>
  <si>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</si>
  <si>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</si>
  <si>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</si>
  <si>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</si>
  <si>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</si>
  <si>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</si>
  <si>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</si>
  <si>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</si>
  <si>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</si>
  <si>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</si>
  <si>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</si>
  <si>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</si>
  <si>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</si>
  <si>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</si>
  <si>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</si>
  <si>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</si>
  <si>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</si>
  <si>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</si>
  <si>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</si>
  <si>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</si>
  <si>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</si>
  <si>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</si>
  <si>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</si>
  <si>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</si>
  <si>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</si>
  <si>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</si>
  <si>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</si>
  <si>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</si>
  <si>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</si>
  <si>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</si>
  <si>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</si>
  <si>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</si>
  <si>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</si>
  <si>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</si>
  <si>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</si>
  <si>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</si>
  <si>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</si>
  <si>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</si>
  <si>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</si>
  <si>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</si>
  <si>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</si>
  <si>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</si>
  <si>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</si>
  <si>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</si>
  <si>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</si>
  <si>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</si>
  <si>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</si>
  <si>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</si>
  <si>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</si>
  <si>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</si>
  <si>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</si>
  <si>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</si>
  <si>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</si>
  <si>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</si>
  <si>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</si>
  <si>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</si>
  <si>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</si>
  <si>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</si>
  <si>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</si>
  <si>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</si>
  <si>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</si>
  <si>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</si>
  <si>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</si>
  <si>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</si>
  <si>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</si>
  <si>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</si>
  <si>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</si>
  <si>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</si>
  <si>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</si>
  <si>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</si>
  <si>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</si>
  <si>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</si>
  <si>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S:\IT\Production\Daily Reports\Primary Market\tmp\</t>
  </si>
  <si>
    <t>Issue Month:</t>
  </si>
  <si>
    <t>Lag</t>
  </si>
  <si>
    <t>KEYBANK NATIONAL ASSOCIATION</t>
  </si>
  <si>
    <t>BERKADIA</t>
  </si>
  <si>
    <t>LOANDEPOT.COM,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</si>
</sst>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69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131" fillId="0" borderId="0" xfId="0" applyFont="1"/>
    <xf numFmtId="14" fontId="131" fillId="0" borderId="0" xfId="0" applyNumberFormat="1" applyFont="1"/>
    <xf numFmtId="0" fontId="5" fillId="6" borderId="3" xfId="4" applyFont="1" applyBorder="1" applyAlignment="1">
      <alignment horizontal="left"/>
    </xf>
    <xf numFmtId="14" fontId="132" fillId="0" borderId="0" xfId="0" applyNumberFormat="1" applyFont="1"/>
    <xf numFmtId="0" fontId="132" fillId="0" borderId="0" xfId="0" applyFont="1"/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9" fontId="132" fillId="0" borderId="0" xfId="2" applyFont="1"/>
    <xf numFmtId="0" fontId="132" fillId="0" borderId="0" xfId="0" applyNumberFormat="1" applyFont="1"/>
    <xf numFmtId="0" fontId="132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6" fontId="7" fillId="0" borderId="42" xfId="2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3" fillId="0" borderId="0" xfId="0" applyFont="1" applyAlignment="1">
      <alignment horizontal="right"/>
    </xf>
    <xf numFmtId="197" fontId="133" fillId="0" borderId="0" xfId="0" applyNumberFormat="1" applyFont="1" applyAlignment="1">
      <alignment horizontal="left"/>
    </xf>
    <xf numFmtId="14" fontId="134" fillId="0" borderId="0" xfId="0" applyNumberFormat="1" applyFont="1"/>
    <xf numFmtId="0" fontId="134" fillId="0" borderId="0" xfId="0" applyFont="1"/>
    <xf numFmtId="0" fontId="134" fillId="0" borderId="0" xfId="0" applyNumberFormat="1" applyFont="1"/>
    <xf numFmtId="9" fontId="134" fillId="0" borderId="0" xfId="2" applyFont="1"/>
    <xf numFmtId="0" fontId="134" fillId="0" borderId="0" xfId="2" applyNumberFormat="1" applyFont="1"/>
    <xf numFmtId="14" fontId="135" fillId="0" borderId="0" xfId="0" applyNumberFormat="1" applyFont="1"/>
    <xf numFmtId="0" fontId="135" fillId="0" borderId="0" xfId="0" applyFont="1"/>
    <xf numFmtId="0" fontId="135" fillId="0" borderId="0" xfId="0" applyNumberFormat="1" applyFont="1"/>
    <xf numFmtId="9" fontId="135" fillId="0" borderId="0" xfId="2" applyFont="1"/>
    <xf numFmtId="0" fontId="135" fillId="0" borderId="0" xfId="2" applyNumberFormat="1" applyFont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1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Combine'!$D$4:$D$101</c:f>
              <c:numCache>
                <c:formatCode>General</c:formatCode>
                <c:ptCount val="98"/>
                <c:pt idx="0">
                  <c:v>25691825128.5</c:v>
                </c:pt>
                <c:pt idx="1">
                  <c:v>46670102078.379997</c:v>
                </c:pt>
                <c:pt idx="2">
                  <c:v>44756506739.489998</c:v>
                </c:pt>
                <c:pt idx="3">
                  <c:v>51182654442.220001</c:v>
                </c:pt>
                <c:pt idx="4">
                  <c:v>44361653084.169998</c:v>
                </c:pt>
                <c:pt idx="5">
                  <c:v>36583983679.550003</c:v>
                </c:pt>
                <c:pt idx="6">
                  <c:v>36980630899.18</c:v>
                </c:pt>
                <c:pt idx="7">
                  <c:v>44253011751.110001</c:v>
                </c:pt>
                <c:pt idx="8">
                  <c:v>32492729674.279999</c:v>
                </c:pt>
                <c:pt idx="9">
                  <c:v>40323740351.139999</c:v>
                </c:pt>
                <c:pt idx="10">
                  <c:v>40347506692.199997</c:v>
                </c:pt>
                <c:pt idx="11">
                  <c:v>34332054961.080002</c:v>
                </c:pt>
                <c:pt idx="12">
                  <c:v>36447478522.989998</c:v>
                </c:pt>
                <c:pt idx="13">
                  <c:v>31582304306.349998</c:v>
                </c:pt>
                <c:pt idx="14">
                  <c:v>27487631130.209999</c:v>
                </c:pt>
                <c:pt idx="15">
                  <c:v>27198516722.27</c:v>
                </c:pt>
                <c:pt idx="16">
                  <c:v>23463509422.790001</c:v>
                </c:pt>
                <c:pt idx="17">
                  <c:v>27585216807.849998</c:v>
                </c:pt>
                <c:pt idx="18">
                  <c:v>28108964119.139999</c:v>
                </c:pt>
                <c:pt idx="19">
                  <c:v>37790142776.290001</c:v>
                </c:pt>
                <c:pt idx="20">
                  <c:v>38757040631.290001</c:v>
                </c:pt>
                <c:pt idx="21">
                  <c:v>47175834172.419998</c:v>
                </c:pt>
                <c:pt idx="22">
                  <c:v>52117579911.449997</c:v>
                </c:pt>
                <c:pt idx="23">
                  <c:v>65043206114.970001</c:v>
                </c:pt>
                <c:pt idx="24">
                  <c:v>71866974614.360001</c:v>
                </c:pt>
                <c:pt idx="25">
                  <c:v>66542000148.940002</c:v>
                </c:pt>
                <c:pt idx="26">
                  <c:v>73509211252.020004</c:v>
                </c:pt>
                <c:pt idx="27">
                  <c:v>73548428684.190002</c:v>
                </c:pt>
                <c:pt idx="28">
                  <c:v>66573031434.919998</c:v>
                </c:pt>
                <c:pt idx="29">
                  <c:v>77430427923.440002</c:v>
                </c:pt>
                <c:pt idx="30">
                  <c:v>85482757320.820007</c:v>
                </c:pt>
                <c:pt idx="31">
                  <c:v>66763638723.230003</c:v>
                </c:pt>
                <c:pt idx="32">
                  <c:v>107252324964.50999</c:v>
                </c:pt>
                <c:pt idx="33">
                  <c:v>61818801001.650002</c:v>
                </c:pt>
                <c:pt idx="34">
                  <c:v>84049356738.059998</c:v>
                </c:pt>
                <c:pt idx="35">
                  <c:v>80246484071.139999</c:v>
                </c:pt>
                <c:pt idx="36">
                  <c:v>71798949000.600006</c:v>
                </c:pt>
                <c:pt idx="37">
                  <c:v>65107512378.209999</c:v>
                </c:pt>
                <c:pt idx="38">
                  <c:v>66663158668.949997</c:v>
                </c:pt>
                <c:pt idx="39">
                  <c:v>48073485668.580002</c:v>
                </c:pt>
                <c:pt idx="40">
                  <c:v>86317495811.419998</c:v>
                </c:pt>
                <c:pt idx="41">
                  <c:v>56063681559.919998</c:v>
                </c:pt>
                <c:pt idx="42">
                  <c:v>58331372757.360001</c:v>
                </c:pt>
                <c:pt idx="43">
                  <c:v>73851865080.610001</c:v>
                </c:pt>
                <c:pt idx="44">
                  <c:v>62641454659.599998</c:v>
                </c:pt>
                <c:pt idx="45">
                  <c:v>51265734201.440002</c:v>
                </c:pt>
                <c:pt idx="46">
                  <c:v>45345536322.599998</c:v>
                </c:pt>
                <c:pt idx="47">
                  <c:v>38171516998.550003</c:v>
                </c:pt>
                <c:pt idx="48">
                  <c:v>30621365146.98</c:v>
                </c:pt>
                <c:pt idx="49">
                  <c:v>34031377587.419998</c:v>
                </c:pt>
                <c:pt idx="50">
                  <c:v>30964833391.43</c:v>
                </c:pt>
                <c:pt idx="51">
                  <c:v>33088841042.959999</c:v>
                </c:pt>
                <c:pt idx="52">
                  <c:v>52478992160.580002</c:v>
                </c:pt>
                <c:pt idx="53">
                  <c:v>51211208108.309998</c:v>
                </c:pt>
                <c:pt idx="54">
                  <c:v>66493575674.870003</c:v>
                </c:pt>
                <c:pt idx="55">
                  <c:v>81193901238.820007</c:v>
                </c:pt>
                <c:pt idx="56">
                  <c:v>71397253151.929993</c:v>
                </c:pt>
                <c:pt idx="57">
                  <c:v>68963882096.149994</c:v>
                </c:pt>
                <c:pt idx="58">
                  <c:v>69384338986.350006</c:v>
                </c:pt>
                <c:pt idx="59">
                  <c:v>46909004959.040001</c:v>
                </c:pt>
                <c:pt idx="60">
                  <c:v>40829244339.580002</c:v>
                </c:pt>
                <c:pt idx="61">
                  <c:v>37643702495.970001</c:v>
                </c:pt>
                <c:pt idx="62">
                  <c:v>36336611081.309998</c:v>
                </c:pt>
                <c:pt idx="63">
                  <c:v>36544416365.050003</c:v>
                </c:pt>
                <c:pt idx="64">
                  <c:v>36714521904.68</c:v>
                </c:pt>
                <c:pt idx="65">
                  <c:v>43331380880.580002</c:v>
                </c:pt>
                <c:pt idx="66">
                  <c:v>41171224451.529999</c:v>
                </c:pt>
                <c:pt idx="67">
                  <c:v>49380885366.279999</c:v>
                </c:pt>
                <c:pt idx="68">
                  <c:v>39630338873.360001</c:v>
                </c:pt>
                <c:pt idx="69">
                  <c:v>40018067422.019997</c:v>
                </c:pt>
                <c:pt idx="70">
                  <c:v>58721966516.220001</c:v>
                </c:pt>
                <c:pt idx="71">
                  <c:v>62725888062.300003</c:v>
                </c:pt>
                <c:pt idx="72">
                  <c:v>58732734355.699997</c:v>
                </c:pt>
                <c:pt idx="73">
                  <c:v>91030919352.979996</c:v>
                </c:pt>
                <c:pt idx="74">
                  <c:v>47498482306.410004</c:v>
                </c:pt>
                <c:pt idx="75">
                  <c:v>26074589597.5</c:v>
                </c:pt>
                <c:pt idx="76">
                  <c:v>41233749209.5</c:v>
                </c:pt>
                <c:pt idx="77">
                  <c:v>27385866902.009998</c:v>
                </c:pt>
                <c:pt idx="78">
                  <c:v>32554558169.93</c:v>
                </c:pt>
                <c:pt idx="79">
                  <c:v>41506327516.75</c:v>
                </c:pt>
                <c:pt idx="80">
                  <c:v>33987473164.599998</c:v>
                </c:pt>
                <c:pt idx="81">
                  <c:v>39254673980.809998</c:v>
                </c:pt>
                <c:pt idx="82">
                  <c:v>54754255797.940002</c:v>
                </c:pt>
                <c:pt idx="83">
                  <c:v>67752280712.029999</c:v>
                </c:pt>
                <c:pt idx="84">
                  <c:v>61021756747.739998</c:v>
                </c:pt>
                <c:pt idx="85">
                  <c:v>54036130386.260002</c:v>
                </c:pt>
                <c:pt idx="86">
                  <c:v>76264291344.479996</c:v>
                </c:pt>
                <c:pt idx="87">
                  <c:v>55380966103.379997</c:v>
                </c:pt>
                <c:pt idx="88">
                  <c:v>70720993110.179993</c:v>
                </c:pt>
                <c:pt idx="89">
                  <c:v>56318004683</c:v>
                </c:pt>
                <c:pt idx="90">
                  <c:v>53589853815.260002</c:v>
                </c:pt>
                <c:pt idx="91">
                  <c:v>59519283040.339996</c:v>
                </c:pt>
                <c:pt idx="92">
                  <c:v>55852222730.150002</c:v>
                </c:pt>
                <c:pt idx="93">
                  <c:v>58241869995.239998</c:v>
                </c:pt>
                <c:pt idx="94">
                  <c:v>51130390876.290001</c:v>
                </c:pt>
                <c:pt idx="95">
                  <c:v>47629783273.940002</c:v>
                </c:pt>
                <c:pt idx="96">
                  <c:v>46067240921.730003</c:v>
                </c:pt>
                <c:pt idx="97">
                  <c:v>49068464062.099998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557760"/>
        <c:axId val="293555200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Combine'!$C$4:$C$101</c:f>
              <c:numCache>
                <c:formatCode>m/d/yyyy</c:formatCode>
                <c:ptCount val="98"/>
                <c:pt idx="0">
                  <c:v>42186</c:v>
                </c:pt>
                <c:pt idx="1">
                  <c:v>42156</c:v>
                </c:pt>
                <c:pt idx="2">
                  <c:v>42125</c:v>
                </c:pt>
                <c:pt idx="3">
                  <c:v>42095</c:v>
                </c:pt>
                <c:pt idx="4">
                  <c:v>42064</c:v>
                </c:pt>
                <c:pt idx="5">
                  <c:v>42036</c:v>
                </c:pt>
                <c:pt idx="6">
                  <c:v>42005</c:v>
                </c:pt>
                <c:pt idx="7">
                  <c:v>41974</c:v>
                </c:pt>
                <c:pt idx="8">
                  <c:v>41944</c:v>
                </c:pt>
                <c:pt idx="9">
                  <c:v>41913</c:v>
                </c:pt>
                <c:pt idx="10">
                  <c:v>41883</c:v>
                </c:pt>
                <c:pt idx="11">
                  <c:v>41852</c:v>
                </c:pt>
                <c:pt idx="12">
                  <c:v>41821</c:v>
                </c:pt>
                <c:pt idx="13">
                  <c:v>41791</c:v>
                </c:pt>
                <c:pt idx="14">
                  <c:v>41760</c:v>
                </c:pt>
                <c:pt idx="15">
                  <c:v>41730</c:v>
                </c:pt>
                <c:pt idx="16">
                  <c:v>41699</c:v>
                </c:pt>
                <c:pt idx="17">
                  <c:v>41671</c:v>
                </c:pt>
                <c:pt idx="18">
                  <c:v>41640</c:v>
                </c:pt>
                <c:pt idx="19">
                  <c:v>41609</c:v>
                </c:pt>
                <c:pt idx="20">
                  <c:v>41579</c:v>
                </c:pt>
                <c:pt idx="21">
                  <c:v>41548</c:v>
                </c:pt>
                <c:pt idx="22">
                  <c:v>41518</c:v>
                </c:pt>
                <c:pt idx="23">
                  <c:v>41487</c:v>
                </c:pt>
                <c:pt idx="24">
                  <c:v>41456</c:v>
                </c:pt>
                <c:pt idx="25">
                  <c:v>41426</c:v>
                </c:pt>
                <c:pt idx="26">
                  <c:v>41395</c:v>
                </c:pt>
                <c:pt idx="27">
                  <c:v>41365</c:v>
                </c:pt>
                <c:pt idx="28">
                  <c:v>41334</c:v>
                </c:pt>
                <c:pt idx="29">
                  <c:v>41306</c:v>
                </c:pt>
                <c:pt idx="30">
                  <c:v>41275</c:v>
                </c:pt>
                <c:pt idx="31">
                  <c:v>41244</c:v>
                </c:pt>
                <c:pt idx="32">
                  <c:v>41214</c:v>
                </c:pt>
                <c:pt idx="33">
                  <c:v>41183</c:v>
                </c:pt>
                <c:pt idx="34">
                  <c:v>41153</c:v>
                </c:pt>
                <c:pt idx="35">
                  <c:v>41122</c:v>
                </c:pt>
                <c:pt idx="36">
                  <c:v>41091</c:v>
                </c:pt>
                <c:pt idx="37">
                  <c:v>41061</c:v>
                </c:pt>
                <c:pt idx="38">
                  <c:v>41030</c:v>
                </c:pt>
                <c:pt idx="39">
                  <c:v>41000</c:v>
                </c:pt>
                <c:pt idx="40">
                  <c:v>40969</c:v>
                </c:pt>
                <c:pt idx="41">
                  <c:v>40940</c:v>
                </c:pt>
                <c:pt idx="42">
                  <c:v>40909</c:v>
                </c:pt>
                <c:pt idx="43">
                  <c:v>40878</c:v>
                </c:pt>
                <c:pt idx="44">
                  <c:v>40848</c:v>
                </c:pt>
                <c:pt idx="45">
                  <c:v>40817</c:v>
                </c:pt>
                <c:pt idx="46">
                  <c:v>40787</c:v>
                </c:pt>
                <c:pt idx="47">
                  <c:v>40756</c:v>
                </c:pt>
                <c:pt idx="48">
                  <c:v>40725</c:v>
                </c:pt>
                <c:pt idx="49">
                  <c:v>40695</c:v>
                </c:pt>
                <c:pt idx="50">
                  <c:v>40664</c:v>
                </c:pt>
                <c:pt idx="51">
                  <c:v>40634</c:v>
                </c:pt>
                <c:pt idx="52">
                  <c:v>40603</c:v>
                </c:pt>
                <c:pt idx="53">
                  <c:v>40575</c:v>
                </c:pt>
                <c:pt idx="54">
                  <c:v>40544</c:v>
                </c:pt>
                <c:pt idx="55">
                  <c:v>40513</c:v>
                </c:pt>
                <c:pt idx="56">
                  <c:v>40483</c:v>
                </c:pt>
                <c:pt idx="57">
                  <c:v>40452</c:v>
                </c:pt>
                <c:pt idx="58">
                  <c:v>40422</c:v>
                </c:pt>
                <c:pt idx="59">
                  <c:v>40391</c:v>
                </c:pt>
                <c:pt idx="60">
                  <c:v>40360</c:v>
                </c:pt>
                <c:pt idx="61">
                  <c:v>40330</c:v>
                </c:pt>
                <c:pt idx="62">
                  <c:v>40299</c:v>
                </c:pt>
                <c:pt idx="63">
                  <c:v>40269</c:v>
                </c:pt>
                <c:pt idx="64">
                  <c:v>40238</c:v>
                </c:pt>
                <c:pt idx="65">
                  <c:v>40210</c:v>
                </c:pt>
                <c:pt idx="66">
                  <c:v>40179</c:v>
                </c:pt>
                <c:pt idx="67">
                  <c:v>40148</c:v>
                </c:pt>
                <c:pt idx="68">
                  <c:v>40118</c:v>
                </c:pt>
                <c:pt idx="69">
                  <c:v>40087</c:v>
                </c:pt>
                <c:pt idx="70">
                  <c:v>40057</c:v>
                </c:pt>
                <c:pt idx="71">
                  <c:v>40026</c:v>
                </c:pt>
                <c:pt idx="72">
                  <c:v>39904</c:v>
                </c:pt>
                <c:pt idx="73">
                  <c:v>39873</c:v>
                </c:pt>
                <c:pt idx="74">
                  <c:v>39845</c:v>
                </c:pt>
                <c:pt idx="75">
                  <c:v>39814</c:v>
                </c:pt>
                <c:pt idx="76">
                  <c:v>39783</c:v>
                </c:pt>
                <c:pt idx="77">
                  <c:v>39753</c:v>
                </c:pt>
                <c:pt idx="78">
                  <c:v>39722</c:v>
                </c:pt>
                <c:pt idx="79">
                  <c:v>39692</c:v>
                </c:pt>
                <c:pt idx="80">
                  <c:v>39661</c:v>
                </c:pt>
                <c:pt idx="81">
                  <c:v>39630</c:v>
                </c:pt>
                <c:pt idx="82">
                  <c:v>39600</c:v>
                </c:pt>
                <c:pt idx="83">
                  <c:v>39569</c:v>
                </c:pt>
                <c:pt idx="84">
                  <c:v>39539</c:v>
                </c:pt>
                <c:pt idx="85">
                  <c:v>39508</c:v>
                </c:pt>
                <c:pt idx="86">
                  <c:v>39479</c:v>
                </c:pt>
                <c:pt idx="87">
                  <c:v>39448</c:v>
                </c:pt>
                <c:pt idx="88">
                  <c:v>39417</c:v>
                </c:pt>
                <c:pt idx="89">
                  <c:v>39387</c:v>
                </c:pt>
                <c:pt idx="90">
                  <c:v>39356</c:v>
                </c:pt>
                <c:pt idx="91">
                  <c:v>39326</c:v>
                </c:pt>
                <c:pt idx="92">
                  <c:v>39295</c:v>
                </c:pt>
                <c:pt idx="93">
                  <c:v>39203</c:v>
                </c:pt>
                <c:pt idx="94">
                  <c:v>39173</c:v>
                </c:pt>
                <c:pt idx="95">
                  <c:v>39142</c:v>
                </c:pt>
                <c:pt idx="96">
                  <c:v>39114</c:v>
                </c:pt>
                <c:pt idx="97">
                  <c:v>39083</c:v>
                </c:pt>
              </c:numCache>
            </c:numRef>
          </c:cat>
          <c:val>
            <c:numRef>
              <c:f>'Result Combine'!$J$4:$J$101</c:f>
              <c:numCache>
                <c:formatCode>0%</c:formatCode>
                <c:ptCount val="98"/>
                <c:pt idx="0">
                  <c:v>0.55059692836683627</c:v>
                </c:pt>
                <c:pt idx="1">
                  <c:v>0.38197645520039114</c:v>
                </c:pt>
                <c:pt idx="2">
                  <c:v>0.39338428734084496</c:v>
                </c:pt>
                <c:pt idx="3">
                  <c:v>0.36042404622634999</c:v>
                </c:pt>
                <c:pt idx="4">
                  <c:v>0.38149050078882191</c:v>
                </c:pt>
                <c:pt idx="5">
                  <c:v>0.43778743049059332</c:v>
                </c:pt>
                <c:pt idx="6">
                  <c:v>0.46564970651681964</c:v>
                </c:pt>
                <c:pt idx="7">
                  <c:v>0.38345948254548712</c:v>
                </c:pt>
                <c:pt idx="8">
                  <c:v>0.58631084910757492</c:v>
                </c:pt>
                <c:pt idx="9">
                  <c:v>0.41145217484818325</c:v>
                </c:pt>
                <c:pt idx="10">
                  <c:v>0.50606669527010262</c:v>
                </c:pt>
                <c:pt idx="11">
                  <c:v>0.40170324381148426</c:v>
                </c:pt>
                <c:pt idx="12">
                  <c:v>0.38906514458785929</c:v>
                </c:pt>
                <c:pt idx="13">
                  <c:v>0.41316539541436825</c:v>
                </c:pt>
                <c:pt idx="14">
                  <c:v>0.38347362399829577</c:v>
                </c:pt>
                <c:pt idx="15">
                  <c:v>0.45135930192319007</c:v>
                </c:pt>
                <c:pt idx="16">
                  <c:v>0.42023168941995176</c:v>
                </c:pt>
                <c:pt idx="17">
                  <c:v>0.48747919831441333</c:v>
                </c:pt>
                <c:pt idx="18">
                  <c:v>0.41129616606176511</c:v>
                </c:pt>
                <c:pt idx="19">
                  <c:v>0.45379391115001161</c:v>
                </c:pt>
                <c:pt idx="20">
                  <c:v>0.5092111745747373</c:v>
                </c:pt>
                <c:pt idx="21">
                  <c:v>0.46308538067212168</c:v>
                </c:pt>
                <c:pt idx="22">
                  <c:v>0.54635145867477775</c:v>
                </c:pt>
                <c:pt idx="23">
                  <c:v>0.54995593294235179</c:v>
                </c:pt>
                <c:pt idx="24">
                  <c:v>0.52133399472132003</c:v>
                </c:pt>
                <c:pt idx="25">
                  <c:v>0.5333828824268575</c:v>
                </c:pt>
                <c:pt idx="26">
                  <c:v>0.52430758675880762</c:v>
                </c:pt>
                <c:pt idx="27">
                  <c:v>0.50818913567767987</c:v>
                </c:pt>
                <c:pt idx="28">
                  <c:v>0.48951551437848634</c:v>
                </c:pt>
                <c:pt idx="29">
                  <c:v>0.52462396827840363</c:v>
                </c:pt>
                <c:pt idx="30">
                  <c:v>0.48029103375120463</c:v>
                </c:pt>
                <c:pt idx="31">
                  <c:v>0.4316605880690641</c:v>
                </c:pt>
                <c:pt idx="32">
                  <c:v>0.45407242120173175</c:v>
                </c:pt>
                <c:pt idx="33">
                  <c:v>0.56578384524970737</c:v>
                </c:pt>
                <c:pt idx="34">
                  <c:v>0.542745233010964</c:v>
                </c:pt>
                <c:pt idx="35">
                  <c:v>0.52988955354434797</c:v>
                </c:pt>
                <c:pt idx="36">
                  <c:v>0.54678009909618508</c:v>
                </c:pt>
                <c:pt idx="37">
                  <c:v>0.53543968344576509</c:v>
                </c:pt>
                <c:pt idx="38">
                  <c:v>0.59668828233047966</c:v>
                </c:pt>
                <c:pt idx="39">
                  <c:v>0.50348288238373851</c:v>
                </c:pt>
                <c:pt idx="40">
                  <c:v>0.65837357984302625</c:v>
                </c:pt>
                <c:pt idx="41">
                  <c:v>0.58694524726886232</c:v>
                </c:pt>
                <c:pt idx="42">
                  <c:v>0.58908725591040234</c:v>
                </c:pt>
                <c:pt idx="43">
                  <c:v>0.67983534149609459</c:v>
                </c:pt>
                <c:pt idx="44">
                  <c:v>0.63472480974716072</c:v>
                </c:pt>
                <c:pt idx="45">
                  <c:v>0.60462138868869142</c:v>
                </c:pt>
                <c:pt idx="46">
                  <c:v>0.70521895173025129</c:v>
                </c:pt>
                <c:pt idx="47">
                  <c:v>0.69800228682847743</c:v>
                </c:pt>
                <c:pt idx="48">
                  <c:v>0.65547424321869363</c:v>
                </c:pt>
                <c:pt idx="49">
                  <c:v>0.69906734837567486</c:v>
                </c:pt>
                <c:pt idx="50">
                  <c:v>0.70412311819884632</c:v>
                </c:pt>
                <c:pt idx="51">
                  <c:v>0.72670312561160377</c:v>
                </c:pt>
                <c:pt idx="52">
                  <c:v>0.73305556458319487</c:v>
                </c:pt>
                <c:pt idx="53">
                  <c:v>0.70343448670880093</c:v>
                </c:pt>
                <c:pt idx="54">
                  <c:v>0.67404582655922252</c:v>
                </c:pt>
                <c:pt idx="55">
                  <c:v>0.62612998295673794</c:v>
                </c:pt>
                <c:pt idx="56">
                  <c:v>0.65579387630658992</c:v>
                </c:pt>
                <c:pt idx="57">
                  <c:v>0.73036670298927497</c:v>
                </c:pt>
                <c:pt idx="58">
                  <c:v>0.66959692627896616</c:v>
                </c:pt>
                <c:pt idx="59">
                  <c:v>0.70883899100929548</c:v>
                </c:pt>
                <c:pt idx="60">
                  <c:v>0.7156254786099453</c:v>
                </c:pt>
                <c:pt idx="61">
                  <c:v>0.77945106571302991</c:v>
                </c:pt>
                <c:pt idx="62">
                  <c:v>0.76989769902918825</c:v>
                </c:pt>
                <c:pt idx="63">
                  <c:v>0.78950295541143867</c:v>
                </c:pt>
                <c:pt idx="64">
                  <c:v>0.77198987761874016</c:v>
                </c:pt>
                <c:pt idx="65">
                  <c:v>0.7216283163555367</c:v>
                </c:pt>
                <c:pt idx="66">
                  <c:v>0.7479507732683085</c:v>
                </c:pt>
                <c:pt idx="67">
                  <c:v>0.72465753151748546</c:v>
                </c:pt>
                <c:pt idx="68">
                  <c:v>0.72782691587093595</c:v>
                </c:pt>
                <c:pt idx="69">
                  <c:v>0.70607913097161878</c:v>
                </c:pt>
                <c:pt idx="70">
                  <c:v>0.66841729368308134</c:v>
                </c:pt>
                <c:pt idx="71">
                  <c:v>0.68540251907737237</c:v>
                </c:pt>
                <c:pt idx="72">
                  <c:v>0.7677108961387592</c:v>
                </c:pt>
                <c:pt idx="73">
                  <c:v>0.72946759080252876</c:v>
                </c:pt>
                <c:pt idx="74">
                  <c:v>0.7038161100840955</c:v>
                </c:pt>
                <c:pt idx="75">
                  <c:v>0.82061980589110017</c:v>
                </c:pt>
                <c:pt idx="76">
                  <c:v>0.79373038543231456</c:v>
                </c:pt>
                <c:pt idx="77">
                  <c:v>0.82973930552847597</c:v>
                </c:pt>
                <c:pt idx="78">
                  <c:v>0.80451915645507011</c:v>
                </c:pt>
                <c:pt idx="79">
                  <c:v>0.81087076338181574</c:v>
                </c:pt>
                <c:pt idx="80">
                  <c:v>0.80813697680937824</c:v>
                </c:pt>
                <c:pt idx="81">
                  <c:v>0.81832029671621664</c:v>
                </c:pt>
                <c:pt idx="82">
                  <c:v>0.84894578515123986</c:v>
                </c:pt>
                <c:pt idx="83">
                  <c:v>0.83333097378651533</c:v>
                </c:pt>
                <c:pt idx="84">
                  <c:v>0.82670438751832354</c:v>
                </c:pt>
                <c:pt idx="85">
                  <c:v>0.87473858884312328</c:v>
                </c:pt>
                <c:pt idx="86">
                  <c:v>0.81832322247960332</c:v>
                </c:pt>
                <c:pt idx="87">
                  <c:v>0.84366917946716147</c:v>
                </c:pt>
                <c:pt idx="88">
                  <c:v>0.81340974207374728</c:v>
                </c:pt>
                <c:pt idx="89">
                  <c:v>0.83105304212478759</c:v>
                </c:pt>
                <c:pt idx="90">
                  <c:v>0.79633927432313689</c:v>
                </c:pt>
                <c:pt idx="91">
                  <c:v>0.82312204926633037</c:v>
                </c:pt>
                <c:pt idx="92">
                  <c:v>0.80902255709518578</c:v>
                </c:pt>
                <c:pt idx="93">
                  <c:v>0.82070296342721849</c:v>
                </c:pt>
                <c:pt idx="94">
                  <c:v>0.84909534807570508</c:v>
                </c:pt>
                <c:pt idx="95">
                  <c:v>0.83128848355068297</c:v>
                </c:pt>
                <c:pt idx="96">
                  <c:v>0.84759009584030343</c:v>
                </c:pt>
                <c:pt idx="97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Combine'!$C$4:$C$101</c:f>
              <c:numCache>
                <c:formatCode>m/d/yyyy</c:formatCode>
                <c:ptCount val="98"/>
                <c:pt idx="0">
                  <c:v>42186</c:v>
                </c:pt>
                <c:pt idx="1">
                  <c:v>42156</c:v>
                </c:pt>
                <c:pt idx="2">
                  <c:v>42125</c:v>
                </c:pt>
                <c:pt idx="3">
                  <c:v>42095</c:v>
                </c:pt>
                <c:pt idx="4">
                  <c:v>42064</c:v>
                </c:pt>
                <c:pt idx="5">
                  <c:v>42036</c:v>
                </c:pt>
                <c:pt idx="6">
                  <c:v>42005</c:v>
                </c:pt>
                <c:pt idx="7">
                  <c:v>41974</c:v>
                </c:pt>
                <c:pt idx="8">
                  <c:v>41944</c:v>
                </c:pt>
                <c:pt idx="9">
                  <c:v>41913</c:v>
                </c:pt>
                <c:pt idx="10">
                  <c:v>41883</c:v>
                </c:pt>
                <c:pt idx="11">
                  <c:v>41852</c:v>
                </c:pt>
                <c:pt idx="12">
                  <c:v>41821</c:v>
                </c:pt>
                <c:pt idx="13">
                  <c:v>41791</c:v>
                </c:pt>
                <c:pt idx="14">
                  <c:v>41760</c:v>
                </c:pt>
                <c:pt idx="15">
                  <c:v>41730</c:v>
                </c:pt>
                <c:pt idx="16">
                  <c:v>41699</c:v>
                </c:pt>
                <c:pt idx="17">
                  <c:v>41671</c:v>
                </c:pt>
                <c:pt idx="18">
                  <c:v>41640</c:v>
                </c:pt>
                <c:pt idx="19">
                  <c:v>41609</c:v>
                </c:pt>
                <c:pt idx="20">
                  <c:v>41579</c:v>
                </c:pt>
                <c:pt idx="21">
                  <c:v>41548</c:v>
                </c:pt>
                <c:pt idx="22">
                  <c:v>41518</c:v>
                </c:pt>
                <c:pt idx="23">
                  <c:v>41487</c:v>
                </c:pt>
                <c:pt idx="24">
                  <c:v>41456</c:v>
                </c:pt>
                <c:pt idx="25">
                  <c:v>41426</c:v>
                </c:pt>
                <c:pt idx="26">
                  <c:v>41395</c:v>
                </c:pt>
                <c:pt idx="27">
                  <c:v>41365</c:v>
                </c:pt>
                <c:pt idx="28">
                  <c:v>41334</c:v>
                </c:pt>
                <c:pt idx="29">
                  <c:v>41306</c:v>
                </c:pt>
                <c:pt idx="30">
                  <c:v>41275</c:v>
                </c:pt>
                <c:pt idx="31">
                  <c:v>41244</c:v>
                </c:pt>
                <c:pt idx="32">
                  <c:v>41214</c:v>
                </c:pt>
                <c:pt idx="33">
                  <c:v>41183</c:v>
                </c:pt>
                <c:pt idx="34">
                  <c:v>41153</c:v>
                </c:pt>
                <c:pt idx="35">
                  <c:v>41122</c:v>
                </c:pt>
                <c:pt idx="36">
                  <c:v>41091</c:v>
                </c:pt>
                <c:pt idx="37">
                  <c:v>41061</c:v>
                </c:pt>
                <c:pt idx="38">
                  <c:v>41030</c:v>
                </c:pt>
                <c:pt idx="39">
                  <c:v>41000</c:v>
                </c:pt>
                <c:pt idx="40">
                  <c:v>40969</c:v>
                </c:pt>
                <c:pt idx="41">
                  <c:v>40940</c:v>
                </c:pt>
                <c:pt idx="42">
                  <c:v>40909</c:v>
                </c:pt>
                <c:pt idx="43">
                  <c:v>40878</c:v>
                </c:pt>
                <c:pt idx="44">
                  <c:v>40848</c:v>
                </c:pt>
                <c:pt idx="45">
                  <c:v>40817</c:v>
                </c:pt>
                <c:pt idx="46">
                  <c:v>40787</c:v>
                </c:pt>
                <c:pt idx="47">
                  <c:v>40756</c:v>
                </c:pt>
                <c:pt idx="48">
                  <c:v>40725</c:v>
                </c:pt>
                <c:pt idx="49">
                  <c:v>40695</c:v>
                </c:pt>
                <c:pt idx="50">
                  <c:v>40664</c:v>
                </c:pt>
                <c:pt idx="51">
                  <c:v>40634</c:v>
                </c:pt>
                <c:pt idx="52">
                  <c:v>40603</c:v>
                </c:pt>
                <c:pt idx="53">
                  <c:v>40575</c:v>
                </c:pt>
                <c:pt idx="54">
                  <c:v>40544</c:v>
                </c:pt>
                <c:pt idx="55">
                  <c:v>40513</c:v>
                </c:pt>
                <c:pt idx="56">
                  <c:v>40483</c:v>
                </c:pt>
                <c:pt idx="57">
                  <c:v>40452</c:v>
                </c:pt>
                <c:pt idx="58">
                  <c:v>40422</c:v>
                </c:pt>
                <c:pt idx="59">
                  <c:v>40391</c:v>
                </c:pt>
                <c:pt idx="60">
                  <c:v>40360</c:v>
                </c:pt>
                <c:pt idx="61">
                  <c:v>40330</c:v>
                </c:pt>
                <c:pt idx="62">
                  <c:v>40299</c:v>
                </c:pt>
                <c:pt idx="63">
                  <c:v>40269</c:v>
                </c:pt>
                <c:pt idx="64">
                  <c:v>40238</c:v>
                </c:pt>
                <c:pt idx="65">
                  <c:v>40210</c:v>
                </c:pt>
                <c:pt idx="66">
                  <c:v>40179</c:v>
                </c:pt>
                <c:pt idx="67">
                  <c:v>40148</c:v>
                </c:pt>
                <c:pt idx="68">
                  <c:v>40118</c:v>
                </c:pt>
                <c:pt idx="69">
                  <c:v>40087</c:v>
                </c:pt>
                <c:pt idx="70">
                  <c:v>40057</c:v>
                </c:pt>
                <c:pt idx="71">
                  <c:v>40026</c:v>
                </c:pt>
                <c:pt idx="72">
                  <c:v>39904</c:v>
                </c:pt>
                <c:pt idx="73">
                  <c:v>39873</c:v>
                </c:pt>
                <c:pt idx="74">
                  <c:v>39845</c:v>
                </c:pt>
                <c:pt idx="75">
                  <c:v>39814</c:v>
                </c:pt>
                <c:pt idx="76">
                  <c:v>39783</c:v>
                </c:pt>
                <c:pt idx="77">
                  <c:v>39753</c:v>
                </c:pt>
                <c:pt idx="78">
                  <c:v>39722</c:v>
                </c:pt>
                <c:pt idx="79">
                  <c:v>39692</c:v>
                </c:pt>
                <c:pt idx="80">
                  <c:v>39661</c:v>
                </c:pt>
                <c:pt idx="81">
                  <c:v>39630</c:v>
                </c:pt>
                <c:pt idx="82">
                  <c:v>39600</c:v>
                </c:pt>
                <c:pt idx="83">
                  <c:v>39569</c:v>
                </c:pt>
                <c:pt idx="84">
                  <c:v>39539</c:v>
                </c:pt>
                <c:pt idx="85">
                  <c:v>39508</c:v>
                </c:pt>
                <c:pt idx="86">
                  <c:v>39479</c:v>
                </c:pt>
                <c:pt idx="87">
                  <c:v>39448</c:v>
                </c:pt>
                <c:pt idx="88">
                  <c:v>39417</c:v>
                </c:pt>
                <c:pt idx="89">
                  <c:v>39387</c:v>
                </c:pt>
                <c:pt idx="90">
                  <c:v>39356</c:v>
                </c:pt>
                <c:pt idx="91">
                  <c:v>39326</c:v>
                </c:pt>
                <c:pt idx="92">
                  <c:v>39295</c:v>
                </c:pt>
                <c:pt idx="93">
                  <c:v>39203</c:v>
                </c:pt>
                <c:pt idx="94">
                  <c:v>39173</c:v>
                </c:pt>
                <c:pt idx="95">
                  <c:v>39142</c:v>
                </c:pt>
                <c:pt idx="96">
                  <c:v>39114</c:v>
                </c:pt>
                <c:pt idx="97">
                  <c:v>39083</c:v>
                </c:pt>
              </c:numCache>
            </c:numRef>
          </c:cat>
          <c:val>
            <c:numRef>
              <c:f>'Result Combine'!$K$4:$K$101</c:f>
              <c:numCache>
                <c:formatCode>0%</c:formatCode>
                <c:ptCount val="98"/>
                <c:pt idx="0">
                  <c:v>0.44663702101727465</c:v>
                </c:pt>
                <c:pt idx="1">
                  <c:v>0.28543189103846073</c:v>
                </c:pt>
                <c:pt idx="2">
                  <c:v>0.29720977765034523</c:v>
                </c:pt>
                <c:pt idx="3">
                  <c:v>0.26628579090511989</c:v>
                </c:pt>
                <c:pt idx="4">
                  <c:v>0.27912294823338124</c:v>
                </c:pt>
                <c:pt idx="5">
                  <c:v>0.31903378659892195</c:v>
                </c:pt>
                <c:pt idx="6">
                  <c:v>0.36115212460521173</c:v>
                </c:pt>
                <c:pt idx="7">
                  <c:v>0.2755176749063678</c:v>
                </c:pt>
                <c:pt idx="8">
                  <c:v>0.46607103801276961</c:v>
                </c:pt>
                <c:pt idx="9">
                  <c:v>0.29815026101565772</c:v>
                </c:pt>
                <c:pt idx="10">
                  <c:v>0.37650720617432248</c:v>
                </c:pt>
                <c:pt idx="11">
                  <c:v>0.29668378133778861</c:v>
                </c:pt>
                <c:pt idx="12">
                  <c:v>0.28439160342249298</c:v>
                </c:pt>
                <c:pt idx="13">
                  <c:v>0.3070838992847022</c:v>
                </c:pt>
                <c:pt idx="14">
                  <c:v>0.27328492450060798</c:v>
                </c:pt>
                <c:pt idx="15">
                  <c:v>0.33154651598505952</c:v>
                </c:pt>
                <c:pt idx="16">
                  <c:v>0.32399196243151174</c:v>
                </c:pt>
                <c:pt idx="17">
                  <c:v>0.39379710747999969</c:v>
                </c:pt>
                <c:pt idx="18">
                  <c:v>0.3190262395195787</c:v>
                </c:pt>
                <c:pt idx="19">
                  <c:v>0.34212696756287014</c:v>
                </c:pt>
                <c:pt idx="20">
                  <c:v>0.39037227134507407</c:v>
                </c:pt>
                <c:pt idx="21">
                  <c:v>0.35234883305906189</c:v>
                </c:pt>
                <c:pt idx="22">
                  <c:v>0.44548802422767836</c:v>
                </c:pt>
                <c:pt idx="23">
                  <c:v>0.42856423108876229</c:v>
                </c:pt>
                <c:pt idx="24">
                  <c:v>0.41499462931587877</c:v>
                </c:pt>
                <c:pt idx="25">
                  <c:v>0.43858959918241808</c:v>
                </c:pt>
                <c:pt idx="26">
                  <c:v>0.43291452062975999</c:v>
                </c:pt>
                <c:pt idx="27">
                  <c:v>0.40503782108391456</c:v>
                </c:pt>
                <c:pt idx="28">
                  <c:v>0.39972941708166609</c:v>
                </c:pt>
                <c:pt idx="29">
                  <c:v>0.41708621627743192</c:v>
                </c:pt>
                <c:pt idx="30">
                  <c:v>0.37637043891170746</c:v>
                </c:pt>
                <c:pt idx="31">
                  <c:v>0.33936176578144811</c:v>
                </c:pt>
                <c:pt idx="32">
                  <c:v>0.3600935834826865</c:v>
                </c:pt>
                <c:pt idx="33">
                  <c:v>0.44431407031360698</c:v>
                </c:pt>
                <c:pt idx="34">
                  <c:v>0.4501393443356087</c:v>
                </c:pt>
                <c:pt idx="35">
                  <c:v>0.43500545608719388</c:v>
                </c:pt>
                <c:pt idx="36">
                  <c:v>0.45645689725828892</c:v>
                </c:pt>
                <c:pt idx="37">
                  <c:v>0.41199964627964303</c:v>
                </c:pt>
                <c:pt idx="38">
                  <c:v>0.50974396894948748</c:v>
                </c:pt>
                <c:pt idx="39">
                  <c:v>0.43144250736317885</c:v>
                </c:pt>
                <c:pt idx="40">
                  <c:v>0.57229445128856948</c:v>
                </c:pt>
                <c:pt idx="41">
                  <c:v>0.49036776316084707</c:v>
                </c:pt>
                <c:pt idx="42">
                  <c:v>0.49729338941401685</c:v>
                </c:pt>
                <c:pt idx="43">
                  <c:v>0.59842087725924453</c:v>
                </c:pt>
                <c:pt idx="44">
                  <c:v>0.53414167235629861</c:v>
                </c:pt>
                <c:pt idx="45">
                  <c:v>0.48179963107670093</c:v>
                </c:pt>
                <c:pt idx="46">
                  <c:v>0.60340143749194408</c:v>
                </c:pt>
                <c:pt idx="47">
                  <c:v>0.58815810110069311</c:v>
                </c:pt>
                <c:pt idx="48">
                  <c:v>0.55844757250597343</c:v>
                </c:pt>
                <c:pt idx="49">
                  <c:v>0.60201757888390139</c:v>
                </c:pt>
                <c:pt idx="50">
                  <c:v>0.61305264167744788</c:v>
                </c:pt>
                <c:pt idx="51">
                  <c:v>0.63038375430667215</c:v>
                </c:pt>
                <c:pt idx="52">
                  <c:v>0.63110413855606695</c:v>
                </c:pt>
                <c:pt idx="53">
                  <c:v>0.59387821527091189</c:v>
                </c:pt>
                <c:pt idx="54">
                  <c:v>0.59800947688755879</c:v>
                </c:pt>
                <c:pt idx="55">
                  <c:v>0.50751769552016823</c:v>
                </c:pt>
                <c:pt idx="56">
                  <c:v>0.5595676094859019</c:v>
                </c:pt>
                <c:pt idx="57">
                  <c:v>0.62944282252470773</c:v>
                </c:pt>
                <c:pt idx="58">
                  <c:v>0.55805775289735315</c:v>
                </c:pt>
                <c:pt idx="59">
                  <c:v>0.63315696017467626</c:v>
                </c:pt>
                <c:pt idx="60">
                  <c:v>0.62969704274353655</c:v>
                </c:pt>
                <c:pt idx="61">
                  <c:v>0.68733338153608714</c:v>
                </c:pt>
                <c:pt idx="62">
                  <c:v>0.69023458531878512</c:v>
                </c:pt>
                <c:pt idx="63">
                  <c:v>0.72288996819528029</c:v>
                </c:pt>
                <c:pt idx="64">
                  <c:v>0.70476091713093048</c:v>
                </c:pt>
                <c:pt idx="65">
                  <c:v>0.64012526475228637</c:v>
                </c:pt>
                <c:pt idx="66">
                  <c:v>0.6453417467159126</c:v>
                </c:pt>
                <c:pt idx="67">
                  <c:v>0.61380485688141773</c:v>
                </c:pt>
                <c:pt idx="68">
                  <c:v>0.6388984731944346</c:v>
                </c:pt>
                <c:pt idx="69">
                  <c:v>0.64294162331896221</c:v>
                </c:pt>
                <c:pt idx="70">
                  <c:v>0.58252307424613325</c:v>
                </c:pt>
                <c:pt idx="71">
                  <c:v>0.59322757276468918</c:v>
                </c:pt>
                <c:pt idx="72">
                  <c:v>0.66249266809271756</c:v>
                </c:pt>
                <c:pt idx="73">
                  <c:v>0.60946073958699809</c:v>
                </c:pt>
                <c:pt idx="74">
                  <c:v>0.58056152178394227</c:v>
                </c:pt>
                <c:pt idx="75">
                  <c:v>0.61425261338238335</c:v>
                </c:pt>
                <c:pt idx="76">
                  <c:v>0.63876184903482536</c:v>
                </c:pt>
                <c:pt idx="77">
                  <c:v>0.63925896082261091</c:v>
                </c:pt>
                <c:pt idx="78">
                  <c:v>0.66719020931947037</c:v>
                </c:pt>
                <c:pt idx="79">
                  <c:v>0.66024138920147801</c:v>
                </c:pt>
                <c:pt idx="80">
                  <c:v>0.654055597922794</c:v>
                </c:pt>
                <c:pt idx="81">
                  <c:v>0.69570835774597106</c:v>
                </c:pt>
                <c:pt idx="82">
                  <c:v>0.68923290077531063</c:v>
                </c:pt>
                <c:pt idx="83">
                  <c:v>0.6651885250582108</c:v>
                </c:pt>
                <c:pt idx="84">
                  <c:v>0.66614255677342116</c:v>
                </c:pt>
                <c:pt idx="85">
                  <c:v>0.70402319257163559</c:v>
                </c:pt>
                <c:pt idx="86">
                  <c:v>0.6524090043104801</c:v>
                </c:pt>
                <c:pt idx="87">
                  <c:v>0.67937899499851695</c:v>
                </c:pt>
                <c:pt idx="88">
                  <c:v>0.61778676925991571</c:v>
                </c:pt>
                <c:pt idx="89">
                  <c:v>0.65124946646364579</c:v>
                </c:pt>
                <c:pt idx="90">
                  <c:v>0.65114981482513734</c:v>
                </c:pt>
                <c:pt idx="91">
                  <c:v>0.6518948692557156</c:v>
                </c:pt>
                <c:pt idx="92">
                  <c:v>0.65194307133524076</c:v>
                </c:pt>
                <c:pt idx="93">
                  <c:v>0.69388019062103157</c:v>
                </c:pt>
                <c:pt idx="94">
                  <c:v>0.69387438314627425</c:v>
                </c:pt>
                <c:pt idx="95">
                  <c:v>0.66439575742773882</c:v>
                </c:pt>
                <c:pt idx="96">
                  <c:v>0.71178118212515928</c:v>
                </c:pt>
                <c:pt idx="97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Combine'!$C$4:$C$101</c:f>
              <c:numCache>
                <c:formatCode>m/d/yyyy</c:formatCode>
                <c:ptCount val="98"/>
                <c:pt idx="0">
                  <c:v>42186</c:v>
                </c:pt>
                <c:pt idx="1">
                  <c:v>42156</c:v>
                </c:pt>
                <c:pt idx="2">
                  <c:v>42125</c:v>
                </c:pt>
                <c:pt idx="3">
                  <c:v>42095</c:v>
                </c:pt>
                <c:pt idx="4">
                  <c:v>42064</c:v>
                </c:pt>
                <c:pt idx="5">
                  <c:v>42036</c:v>
                </c:pt>
                <c:pt idx="6">
                  <c:v>42005</c:v>
                </c:pt>
                <c:pt idx="7">
                  <c:v>41974</c:v>
                </c:pt>
                <c:pt idx="8">
                  <c:v>41944</c:v>
                </c:pt>
                <c:pt idx="9">
                  <c:v>41913</c:v>
                </c:pt>
                <c:pt idx="10">
                  <c:v>41883</c:v>
                </c:pt>
                <c:pt idx="11">
                  <c:v>41852</c:v>
                </c:pt>
                <c:pt idx="12">
                  <c:v>41821</c:v>
                </c:pt>
                <c:pt idx="13">
                  <c:v>41791</c:v>
                </c:pt>
                <c:pt idx="14">
                  <c:v>41760</c:v>
                </c:pt>
                <c:pt idx="15">
                  <c:v>41730</c:v>
                </c:pt>
                <c:pt idx="16">
                  <c:v>41699</c:v>
                </c:pt>
                <c:pt idx="17">
                  <c:v>41671</c:v>
                </c:pt>
                <c:pt idx="18">
                  <c:v>41640</c:v>
                </c:pt>
                <c:pt idx="19">
                  <c:v>41609</c:v>
                </c:pt>
                <c:pt idx="20">
                  <c:v>41579</c:v>
                </c:pt>
                <c:pt idx="21">
                  <c:v>41548</c:v>
                </c:pt>
                <c:pt idx="22">
                  <c:v>41518</c:v>
                </c:pt>
                <c:pt idx="23">
                  <c:v>41487</c:v>
                </c:pt>
                <c:pt idx="24">
                  <c:v>41456</c:v>
                </c:pt>
                <c:pt idx="25">
                  <c:v>41426</c:v>
                </c:pt>
                <c:pt idx="26">
                  <c:v>41395</c:v>
                </c:pt>
                <c:pt idx="27">
                  <c:v>41365</c:v>
                </c:pt>
                <c:pt idx="28">
                  <c:v>41334</c:v>
                </c:pt>
                <c:pt idx="29">
                  <c:v>41306</c:v>
                </c:pt>
                <c:pt idx="30">
                  <c:v>41275</c:v>
                </c:pt>
                <c:pt idx="31">
                  <c:v>41244</c:v>
                </c:pt>
                <c:pt idx="32">
                  <c:v>41214</c:v>
                </c:pt>
                <c:pt idx="33">
                  <c:v>41183</c:v>
                </c:pt>
                <c:pt idx="34">
                  <c:v>41153</c:v>
                </c:pt>
                <c:pt idx="35">
                  <c:v>41122</c:v>
                </c:pt>
                <c:pt idx="36">
                  <c:v>41091</c:v>
                </c:pt>
                <c:pt idx="37">
                  <c:v>41061</c:v>
                </c:pt>
                <c:pt idx="38">
                  <c:v>41030</c:v>
                </c:pt>
                <c:pt idx="39">
                  <c:v>41000</c:v>
                </c:pt>
                <c:pt idx="40">
                  <c:v>40969</c:v>
                </c:pt>
                <c:pt idx="41">
                  <c:v>40940</c:v>
                </c:pt>
                <c:pt idx="42">
                  <c:v>40909</c:v>
                </c:pt>
                <c:pt idx="43">
                  <c:v>40878</c:v>
                </c:pt>
                <c:pt idx="44">
                  <c:v>40848</c:v>
                </c:pt>
                <c:pt idx="45">
                  <c:v>40817</c:v>
                </c:pt>
                <c:pt idx="46">
                  <c:v>40787</c:v>
                </c:pt>
                <c:pt idx="47">
                  <c:v>40756</c:v>
                </c:pt>
                <c:pt idx="48">
                  <c:v>40725</c:v>
                </c:pt>
                <c:pt idx="49">
                  <c:v>40695</c:v>
                </c:pt>
                <c:pt idx="50">
                  <c:v>40664</c:v>
                </c:pt>
                <c:pt idx="51">
                  <c:v>40634</c:v>
                </c:pt>
                <c:pt idx="52">
                  <c:v>40603</c:v>
                </c:pt>
                <c:pt idx="53">
                  <c:v>40575</c:v>
                </c:pt>
                <c:pt idx="54">
                  <c:v>40544</c:v>
                </c:pt>
                <c:pt idx="55">
                  <c:v>40513</c:v>
                </c:pt>
                <c:pt idx="56">
                  <c:v>40483</c:v>
                </c:pt>
                <c:pt idx="57">
                  <c:v>40452</c:v>
                </c:pt>
                <c:pt idx="58">
                  <c:v>40422</c:v>
                </c:pt>
                <c:pt idx="59">
                  <c:v>40391</c:v>
                </c:pt>
                <c:pt idx="60">
                  <c:v>40360</c:v>
                </c:pt>
                <c:pt idx="61">
                  <c:v>40330</c:v>
                </c:pt>
                <c:pt idx="62">
                  <c:v>40299</c:v>
                </c:pt>
                <c:pt idx="63">
                  <c:v>40269</c:v>
                </c:pt>
                <c:pt idx="64">
                  <c:v>40238</c:v>
                </c:pt>
                <c:pt idx="65">
                  <c:v>40210</c:v>
                </c:pt>
                <c:pt idx="66">
                  <c:v>40179</c:v>
                </c:pt>
                <c:pt idx="67">
                  <c:v>40148</c:v>
                </c:pt>
                <c:pt idx="68">
                  <c:v>40118</c:v>
                </c:pt>
                <c:pt idx="69">
                  <c:v>40087</c:v>
                </c:pt>
                <c:pt idx="70">
                  <c:v>40057</c:v>
                </c:pt>
                <c:pt idx="71">
                  <c:v>40026</c:v>
                </c:pt>
                <c:pt idx="72">
                  <c:v>39904</c:v>
                </c:pt>
                <c:pt idx="73">
                  <c:v>39873</c:v>
                </c:pt>
                <c:pt idx="74">
                  <c:v>39845</c:v>
                </c:pt>
                <c:pt idx="75">
                  <c:v>39814</c:v>
                </c:pt>
                <c:pt idx="76">
                  <c:v>39783</c:v>
                </c:pt>
                <c:pt idx="77">
                  <c:v>39753</c:v>
                </c:pt>
                <c:pt idx="78">
                  <c:v>39722</c:v>
                </c:pt>
                <c:pt idx="79">
                  <c:v>39692</c:v>
                </c:pt>
                <c:pt idx="80">
                  <c:v>39661</c:v>
                </c:pt>
                <c:pt idx="81">
                  <c:v>39630</c:v>
                </c:pt>
                <c:pt idx="82">
                  <c:v>39600</c:v>
                </c:pt>
                <c:pt idx="83">
                  <c:v>39569</c:v>
                </c:pt>
                <c:pt idx="84">
                  <c:v>39539</c:v>
                </c:pt>
                <c:pt idx="85">
                  <c:v>39508</c:v>
                </c:pt>
                <c:pt idx="86">
                  <c:v>39479</c:v>
                </c:pt>
                <c:pt idx="87">
                  <c:v>39448</c:v>
                </c:pt>
                <c:pt idx="88">
                  <c:v>39417</c:v>
                </c:pt>
                <c:pt idx="89">
                  <c:v>39387</c:v>
                </c:pt>
                <c:pt idx="90">
                  <c:v>39356</c:v>
                </c:pt>
                <c:pt idx="91">
                  <c:v>39326</c:v>
                </c:pt>
                <c:pt idx="92">
                  <c:v>39295</c:v>
                </c:pt>
                <c:pt idx="93">
                  <c:v>39203</c:v>
                </c:pt>
                <c:pt idx="94">
                  <c:v>39173</c:v>
                </c:pt>
                <c:pt idx="95">
                  <c:v>39142</c:v>
                </c:pt>
                <c:pt idx="96">
                  <c:v>39114</c:v>
                </c:pt>
                <c:pt idx="97">
                  <c:v>39083</c:v>
                </c:pt>
              </c:numCache>
            </c:numRef>
          </c:cat>
          <c:val>
            <c:numRef>
              <c:f>'Result Combine'!$L$4:$L$101</c:f>
              <c:numCache>
                <c:formatCode>0%</c:formatCode>
                <c:ptCount val="98"/>
                <c:pt idx="0" formatCode="0.0%">
                  <c:v>0.2493142094406732</c:v>
                </c:pt>
                <c:pt idx="1">
                  <c:v>0.1245746677698677</c:v>
                </c:pt>
                <c:pt idx="2">
                  <c:v>0.14194430830578247</c:v>
                </c:pt>
                <c:pt idx="3">
                  <c:v>0.11758101727615224</c:v>
                </c:pt>
                <c:pt idx="4">
                  <c:v>9.5735165542004744E-2</c:v>
                </c:pt>
                <c:pt idx="5">
                  <c:v>0.13842082055570962</c:v>
                </c:pt>
                <c:pt idx="6">
                  <c:v>0.14843419264898794</c:v>
                </c:pt>
                <c:pt idx="7">
                  <c:v>8.8781543733720061E-2</c:v>
                </c:pt>
                <c:pt idx="8">
                  <c:v>0.12649563285886281</c:v>
                </c:pt>
                <c:pt idx="9">
                  <c:v>0.10733836837032491</c:v>
                </c:pt>
                <c:pt idx="10">
                  <c:v>0.10614234541357448</c:v>
                </c:pt>
                <c:pt idx="11">
                  <c:v>0.12673324615180936</c:v>
                </c:pt>
                <c:pt idx="12">
                  <c:v>0.12085463487828252</c:v>
                </c:pt>
                <c:pt idx="13">
                  <c:v>0.13044216278581333</c:v>
                </c:pt>
                <c:pt idx="14">
                  <c:v>0.13465606727864013</c:v>
                </c:pt>
                <c:pt idx="15">
                  <c:v>0.12066604916483431</c:v>
                </c:pt>
                <c:pt idx="16">
                  <c:v>0.11813005590663331</c:v>
                </c:pt>
                <c:pt idx="17">
                  <c:v>0.15330593737789833</c:v>
                </c:pt>
                <c:pt idx="18">
                  <c:v>0.11048797770122237</c:v>
                </c:pt>
                <c:pt idx="19">
                  <c:v>0.17434310865196506</c:v>
                </c:pt>
                <c:pt idx="20">
                  <c:v>0.18778472171903177</c:v>
                </c:pt>
                <c:pt idx="21">
                  <c:v>0.19393279658314272</c:v>
                </c:pt>
                <c:pt idx="22">
                  <c:v>0.24856088571956081</c:v>
                </c:pt>
                <c:pt idx="23">
                  <c:v>0.24666303957543467</c:v>
                </c:pt>
                <c:pt idx="24">
                  <c:v>0.2362497192872991</c:v>
                </c:pt>
                <c:pt idx="25">
                  <c:v>0.23273770874479344</c:v>
                </c:pt>
                <c:pt idx="26">
                  <c:v>0.22534845396174477</c:v>
                </c:pt>
                <c:pt idx="27">
                  <c:v>0.14933102666462436</c:v>
                </c:pt>
                <c:pt idx="28">
                  <c:v>0.15469059938989357</c:v>
                </c:pt>
                <c:pt idx="29">
                  <c:v>0.15614216878414058</c:v>
                </c:pt>
                <c:pt idx="30">
                  <c:v>0.15161888765447315</c:v>
                </c:pt>
                <c:pt idx="31">
                  <c:v>8.9734383414537738E-2</c:v>
                </c:pt>
                <c:pt idx="32">
                  <c:v>0.17438212924529908</c:v>
                </c:pt>
                <c:pt idx="33">
                  <c:v>0.21973453439735005</c:v>
                </c:pt>
                <c:pt idx="34">
                  <c:v>0.1946334640178424</c:v>
                </c:pt>
                <c:pt idx="35">
                  <c:v>0.19667025638218466</c:v>
                </c:pt>
                <c:pt idx="36">
                  <c:v>0.25134181658646837</c:v>
                </c:pt>
                <c:pt idx="37">
                  <c:v>0.19449005977193409</c:v>
                </c:pt>
                <c:pt idx="38">
                  <c:v>0.30815860240445414</c:v>
                </c:pt>
                <c:pt idx="39">
                  <c:v>0.22390155687493629</c:v>
                </c:pt>
                <c:pt idx="40">
                  <c:v>0.35609524748844013</c:v>
                </c:pt>
                <c:pt idx="41">
                  <c:v>0.26099054875216227</c:v>
                </c:pt>
                <c:pt idx="42">
                  <c:v>0.26347707672147674</c:v>
                </c:pt>
                <c:pt idx="43">
                  <c:v>0.32413005229471015</c:v>
                </c:pt>
                <c:pt idx="44">
                  <c:v>0.23476625856973524</c:v>
                </c:pt>
                <c:pt idx="45">
                  <c:v>0.2314270177862145</c:v>
                </c:pt>
                <c:pt idx="46">
                  <c:v>0.21748640056540269</c:v>
                </c:pt>
                <c:pt idx="47">
                  <c:v>0.23514065698177397</c:v>
                </c:pt>
                <c:pt idx="48">
                  <c:v>0.1733687581647082</c:v>
                </c:pt>
                <c:pt idx="49">
                  <c:v>0.22878844991226946</c:v>
                </c:pt>
                <c:pt idx="50">
                  <c:v>0.23577980701780243</c:v>
                </c:pt>
                <c:pt idx="51">
                  <c:v>0.18470634174024339</c:v>
                </c:pt>
                <c:pt idx="52">
                  <c:v>0.25591485351597654</c:v>
                </c:pt>
                <c:pt idx="53">
                  <c:v>0.22957188495669772</c:v>
                </c:pt>
                <c:pt idx="54">
                  <c:v>0.17774501775598905</c:v>
                </c:pt>
                <c:pt idx="55">
                  <c:v>0.18488393073974052</c:v>
                </c:pt>
                <c:pt idx="56">
                  <c:v>0.20621698716838782</c:v>
                </c:pt>
                <c:pt idx="57">
                  <c:v>0.18904510664903632</c:v>
                </c:pt>
                <c:pt idx="58">
                  <c:v>0.23207238394783508</c:v>
                </c:pt>
                <c:pt idx="59">
                  <c:v>0.22209856432238018</c:v>
                </c:pt>
                <c:pt idx="60">
                  <c:v>0.21411757028363768</c:v>
                </c:pt>
                <c:pt idx="61">
                  <c:v>0.26154400601732475</c:v>
                </c:pt>
                <c:pt idx="62">
                  <c:v>0.28336065864683552</c:v>
                </c:pt>
                <c:pt idx="63">
                  <c:v>0.23221855217642162</c:v>
                </c:pt>
                <c:pt idx="64">
                  <c:v>0.26340112469461252</c:v>
                </c:pt>
                <c:pt idx="65">
                  <c:v>0.25945914883095961</c:v>
                </c:pt>
                <c:pt idx="66">
                  <c:v>0.24938925253036257</c:v>
                </c:pt>
                <c:pt idx="67">
                  <c:v>0.21690748757067005</c:v>
                </c:pt>
                <c:pt idx="68">
                  <c:v>0.26132512234393679</c:v>
                </c:pt>
                <c:pt idx="69">
                  <c:v>0.26636989305782133</c:v>
                </c:pt>
                <c:pt idx="70">
                  <c:v>0.24916868550830817</c:v>
                </c:pt>
                <c:pt idx="71">
                  <c:v>0.22905909097314606</c:v>
                </c:pt>
                <c:pt idx="72">
                  <c:v>0.23633644320086647</c:v>
                </c:pt>
                <c:pt idx="73">
                  <c:v>0.22312392267497616</c:v>
                </c:pt>
                <c:pt idx="74">
                  <c:v>0.1766367222480027</c:v>
                </c:pt>
                <c:pt idx="75">
                  <c:v>0.21430122319796135</c:v>
                </c:pt>
                <c:pt idx="76">
                  <c:v>0.20602999284109241</c:v>
                </c:pt>
                <c:pt idx="77">
                  <c:v>0.19079921884197154</c:v>
                </c:pt>
                <c:pt idx="78">
                  <c:v>0.20390101803626007</c:v>
                </c:pt>
                <c:pt idx="79">
                  <c:v>0.16748588520581784</c:v>
                </c:pt>
                <c:pt idx="80">
                  <c:v>0.17513053790699545</c:v>
                </c:pt>
                <c:pt idx="81">
                  <c:v>0.22344343624794941</c:v>
                </c:pt>
                <c:pt idx="82">
                  <c:v>0.22128133654971505</c:v>
                </c:pt>
                <c:pt idx="83">
                  <c:v>0.21654719329590358</c:v>
                </c:pt>
                <c:pt idx="84">
                  <c:v>0.17431360154276068</c:v>
                </c:pt>
                <c:pt idx="85">
                  <c:v>0.22930488835202725</c:v>
                </c:pt>
                <c:pt idx="86">
                  <c:v>0.24110548865093293</c:v>
                </c:pt>
                <c:pt idx="87">
                  <c:v>0.24972476246886532</c:v>
                </c:pt>
                <c:pt idx="88">
                  <c:v>0.21980679978152803</c:v>
                </c:pt>
                <c:pt idx="89">
                  <c:v>0.22817381475112358</c:v>
                </c:pt>
                <c:pt idx="90">
                  <c:v>0.26022610926824746</c:v>
                </c:pt>
                <c:pt idx="91">
                  <c:v>0.23501288103876991</c:v>
                </c:pt>
                <c:pt idx="92">
                  <c:v>0.22722420734431414</c:v>
                </c:pt>
                <c:pt idx="93">
                  <c:v>0.26512732652857557</c:v>
                </c:pt>
                <c:pt idx="94">
                  <c:v>0.25581238177079269</c:v>
                </c:pt>
                <c:pt idx="95">
                  <c:v>0.24949982685433592</c:v>
                </c:pt>
                <c:pt idx="96">
                  <c:v>0.2841822858931442</c:v>
                </c:pt>
                <c:pt idx="97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539200"/>
        <c:axId val="293553280"/>
      </c:lineChart>
      <c:dateAx>
        <c:axId val="293539200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293553280"/>
        <c:crosses val="autoZero"/>
        <c:auto val="1"/>
        <c:lblOffset val="100"/>
        <c:baseTimeUnit val="months"/>
        <c:majorUnit val="2"/>
        <c:majorTimeUnit val="months"/>
      </c:dateAx>
      <c:valAx>
        <c:axId val="293553280"/>
        <c:scaling>
          <c:orientation val="minMax"/>
          <c:max val="0.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293539200"/>
        <c:crosses val="autoZero"/>
        <c:crossBetween val="between"/>
      </c:valAx>
      <c:valAx>
        <c:axId val="293555200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93557760"/>
        <c:crosses val="max"/>
        <c:crossBetween val="between"/>
        <c:dispUnits>
          <c:builtInUnit val="billions"/>
        </c:dispUnits>
      </c:valAx>
      <c:catAx>
        <c:axId val="293557760"/>
        <c:scaling>
          <c:orientation val="minMax"/>
        </c:scaling>
        <c:delete val="1"/>
        <c:axPos val="b"/>
        <c:majorTickMark val="out"/>
        <c:minorTickMark val="none"/>
        <c:tickLblPos val="nextTo"/>
        <c:crossAx val="29355520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0.2493142094406732</c:v>
                </c:pt>
                <c:pt idx="1">
                  <c:v>7.6548160481536884E-2</c:v>
                </c:pt>
                <c:pt idx="2">
                  <c:v>5.8037709132463519E-2</c:v>
                </c:pt>
                <c:pt idx="3">
                  <c:v>3.2643303611375817E-2</c:v>
                </c:pt>
                <c:pt idx="4">
                  <c:v>3.0093638351225242E-2</c:v>
                </c:pt>
                <c:pt idx="5">
                  <c:v>2.8380913086285334E-2</c:v>
                </c:pt>
                <c:pt idx="6">
                  <c:v>2.273488411502754E-2</c:v>
                </c:pt>
                <c:pt idx="7">
                  <c:v>1.9086888087838635E-2</c:v>
                </c:pt>
                <c:pt idx="8">
                  <c:v>1.7070190062655363E-2</c:v>
                </c:pt>
                <c:pt idx="9">
                  <c:v>1.6687031997754787E-2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0.1245746677698677</c:v>
                </c:pt>
                <c:pt idx="1">
                  <c:v>6.0435622052487828E-2</c:v>
                </c:pt>
                <c:pt idx="2">
                  <c:v>4.1208990124127855E-2</c:v>
                </c:pt>
                <c:pt idx="3">
                  <c:v>3.4577501604985038E-2</c:v>
                </c:pt>
                <c:pt idx="4">
                  <c:v>2.4635109486992341E-2</c:v>
                </c:pt>
                <c:pt idx="5">
                  <c:v>2.1089466728549416E-2</c:v>
                </c:pt>
                <c:pt idx="6">
                  <c:v>2.0979323609270035E-2</c:v>
                </c:pt>
                <c:pt idx="7">
                  <c:v>1.9270857863553634E-2</c:v>
                </c:pt>
                <c:pt idx="8">
                  <c:v>1.7912799991437661E-2</c:v>
                </c:pt>
                <c:pt idx="9">
                  <c:v>1.7292115969119674E-2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579008"/>
        <c:axId val="293597568"/>
      </c:barChart>
      <c:catAx>
        <c:axId val="293579008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93597568"/>
        <c:crosses val="autoZero"/>
        <c:auto val="1"/>
        <c:lblAlgn val="ctr"/>
        <c:lblOffset val="100"/>
        <c:noMultiLvlLbl val="0"/>
      </c:catAx>
      <c:valAx>
        <c:axId val="29359756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29357900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0.22905909097314606</c:v>
                </c:pt>
                <c:pt idx="30">
                  <c:v>0.24916868550830817</c:v>
                </c:pt>
                <c:pt idx="31">
                  <c:v>0.26636989305782133</c:v>
                </c:pt>
                <c:pt idx="32">
                  <c:v>0.26132512234393679</c:v>
                </c:pt>
                <c:pt idx="33">
                  <c:v>0.21690748757067005</c:v>
                </c:pt>
                <c:pt idx="34">
                  <c:v>0.24938925253036257</c:v>
                </c:pt>
                <c:pt idx="35">
                  <c:v>0.25945914883095961</c:v>
                </c:pt>
                <c:pt idx="36">
                  <c:v>0.26340112469461252</c:v>
                </c:pt>
                <c:pt idx="37">
                  <c:v>0.23221855217642162</c:v>
                </c:pt>
                <c:pt idx="38">
                  <c:v>0.28336065864683552</c:v>
                </c:pt>
                <c:pt idx="39">
                  <c:v>0.26154400601732475</c:v>
                </c:pt>
                <c:pt idx="40">
                  <c:v>0.21411757028363768</c:v>
                </c:pt>
                <c:pt idx="41">
                  <c:v>0.22209856432238018</c:v>
                </c:pt>
                <c:pt idx="42">
                  <c:v>0.23207238394783508</c:v>
                </c:pt>
                <c:pt idx="43">
                  <c:v>0.18904510664903632</c:v>
                </c:pt>
                <c:pt idx="44">
                  <c:v>0.20621698716838782</c:v>
                </c:pt>
                <c:pt idx="45">
                  <c:v>0.18488393073974052</c:v>
                </c:pt>
                <c:pt idx="46">
                  <c:v>0.17774501775598905</c:v>
                </c:pt>
                <c:pt idx="47">
                  <c:v>0.22957188495669772</c:v>
                </c:pt>
                <c:pt idx="48">
                  <c:v>0.25591485351597654</c:v>
                </c:pt>
                <c:pt idx="49">
                  <c:v>0.18470634174024339</c:v>
                </c:pt>
                <c:pt idx="50">
                  <c:v>0.23577980701780243</c:v>
                </c:pt>
                <c:pt idx="51">
                  <c:v>0.22878844991226946</c:v>
                </c:pt>
                <c:pt idx="52">
                  <c:v>0.23561613857322325</c:v>
                </c:pt>
                <c:pt idx="53">
                  <c:v>0.18024855405800505</c:v>
                </c:pt>
                <c:pt idx="54">
                  <c:v>0.2241613499507375</c:v>
                </c:pt>
                <c:pt idx="55">
                  <c:v>0.21949732387745682</c:v>
                </c:pt>
                <c:pt idx="56">
                  <c:v>0.23970654509869141</c:v>
                </c:pt>
                <c:pt idx="57">
                  <c:v>0.23877487605465297</c:v>
                </c:pt>
                <c:pt idx="58">
                  <c:v>0.31991216756100593</c:v>
                </c:pt>
                <c:pt idx="59">
                  <c:v>0.2684757093875183</c:v>
                </c:pt>
                <c:pt idx="60">
                  <c:v>0.26106533078291561</c:v>
                </c:pt>
                <c:pt idx="61">
                  <c:v>0.35795720020052219</c:v>
                </c:pt>
                <c:pt idx="62">
                  <c:v>0.22892275323862449</c:v>
                </c:pt>
                <c:pt idx="63">
                  <c:v>0.31080586294319845</c:v>
                </c:pt>
                <c:pt idx="64">
                  <c:v>0.19506759561596548</c:v>
                </c:pt>
                <c:pt idx="65">
                  <c:v>0.25307285769095378</c:v>
                </c:pt>
                <c:pt idx="66">
                  <c:v>0.19783012765877508</c:v>
                </c:pt>
                <c:pt idx="67">
                  <c:v>0.18726065266600217</c:v>
                </c:pt>
                <c:pt idx="68">
                  <c:v>0.2206778111197692</c:v>
                </c:pt>
                <c:pt idx="69">
                  <c:v>0.17656361667081691</c:v>
                </c:pt>
                <c:pt idx="70">
                  <c:v>8.4019467689846125E-2</c:v>
                </c:pt>
                <c:pt idx="71">
                  <c:v>0.14715480369802222</c:v>
                </c:pt>
                <c:pt idx="72">
                  <c:v>0.15543212209873777</c:v>
                </c:pt>
                <c:pt idx="73">
                  <c:v>0.15240421371496468</c:v>
                </c:pt>
                <c:pt idx="74">
                  <c:v>0.148335265574044</c:v>
                </c:pt>
                <c:pt idx="75">
                  <c:v>0.22759616801521063</c:v>
                </c:pt>
                <c:pt idx="76">
                  <c:v>0.23220142964113813</c:v>
                </c:pt>
                <c:pt idx="77">
                  <c:v>0.23677842979061098</c:v>
                </c:pt>
                <c:pt idx="78">
                  <c:v>0.24361723778169839</c:v>
                </c:pt>
                <c:pt idx="79">
                  <c:v>0.24915486552110575</c:v>
                </c:pt>
                <c:pt idx="80">
                  <c:v>0.19661707526669342</c:v>
                </c:pt>
                <c:pt idx="81">
                  <c:v>0.19210481133245383</c:v>
                </c:pt>
                <c:pt idx="82">
                  <c:v>0.16235553377970091</c:v>
                </c:pt>
                <c:pt idx="83">
                  <c:v>0.10217808324968256</c:v>
                </c:pt>
                <c:pt idx="84">
                  <c:v>0.14469396786863739</c:v>
                </c:pt>
                <c:pt idx="85">
                  <c:v>0.11959707031534259</c:v>
                </c:pt>
                <c:pt idx="86">
                  <c:v>0.12175721902507194</c:v>
                </c:pt>
                <c:pt idx="87">
                  <c:v>0.13038574255632018</c:v>
                </c:pt>
                <c:pt idx="88">
                  <c:v>0.12696528542041305</c:v>
                </c:pt>
                <c:pt idx="89">
                  <c:v>0.11848884385691461</c:v>
                </c:pt>
                <c:pt idx="90">
                  <c:v>0.12763021479156866</c:v>
                </c:pt>
                <c:pt idx="91">
                  <c:v>9.889565738178506E-2</c:v>
                </c:pt>
                <c:pt idx="92">
                  <c:v>0.10116639670896706</c:v>
                </c:pt>
                <c:pt idx="93">
                  <c:v>0.12880289441241849</c:v>
                </c:pt>
                <c:pt idx="94">
                  <c:v>8.0706504100514415E-2</c:v>
                </c:pt>
                <c:pt idx="95">
                  <c:v>0.14733742692845792</c:v>
                </c:pt>
                <c:pt idx="96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0.59322757276468918</c:v>
                </c:pt>
                <c:pt idx="30">
                  <c:v>0.58252307424613325</c:v>
                </c:pt>
                <c:pt idx="31">
                  <c:v>0.64294162331896221</c:v>
                </c:pt>
                <c:pt idx="32">
                  <c:v>0.6388984731944346</c:v>
                </c:pt>
                <c:pt idx="33">
                  <c:v>0.61380485688141773</c:v>
                </c:pt>
                <c:pt idx="34">
                  <c:v>0.6453417467159126</c:v>
                </c:pt>
                <c:pt idx="35">
                  <c:v>0.64012526475228637</c:v>
                </c:pt>
                <c:pt idx="36">
                  <c:v>0.70476091713093048</c:v>
                </c:pt>
                <c:pt idx="37">
                  <c:v>0.72288996819528029</c:v>
                </c:pt>
                <c:pt idx="38">
                  <c:v>0.69023458531878512</c:v>
                </c:pt>
                <c:pt idx="39">
                  <c:v>0.68733338153608714</c:v>
                </c:pt>
                <c:pt idx="40">
                  <c:v>0.62969704274353655</c:v>
                </c:pt>
                <c:pt idx="41">
                  <c:v>0.63315696017467626</c:v>
                </c:pt>
                <c:pt idx="42">
                  <c:v>0.55805775289735315</c:v>
                </c:pt>
                <c:pt idx="43">
                  <c:v>0.62944282252470773</c:v>
                </c:pt>
                <c:pt idx="44">
                  <c:v>0.5595676094859019</c:v>
                </c:pt>
                <c:pt idx="45">
                  <c:v>0.50751769552016823</c:v>
                </c:pt>
                <c:pt idx="46">
                  <c:v>0.59800947688755879</c:v>
                </c:pt>
                <c:pt idx="47">
                  <c:v>0.59387821527091189</c:v>
                </c:pt>
                <c:pt idx="48">
                  <c:v>0.63110413855606695</c:v>
                </c:pt>
                <c:pt idx="49">
                  <c:v>0.63038375430667215</c:v>
                </c:pt>
                <c:pt idx="50">
                  <c:v>0.61305264167744788</c:v>
                </c:pt>
                <c:pt idx="51">
                  <c:v>0.60201757888390139</c:v>
                </c:pt>
                <c:pt idx="52">
                  <c:v>0.63378109487029743</c:v>
                </c:pt>
                <c:pt idx="53">
                  <c:v>0.59040523237371945</c:v>
                </c:pt>
                <c:pt idx="54">
                  <c:v>0.56163517511182515</c:v>
                </c:pt>
                <c:pt idx="55">
                  <c:v>0.60735372857505066</c:v>
                </c:pt>
                <c:pt idx="56">
                  <c:v>0.50078184720149421</c:v>
                </c:pt>
                <c:pt idx="57">
                  <c:v>0.54753332588225001</c:v>
                </c:pt>
                <c:pt idx="58">
                  <c:v>0.5839375127078773</c:v>
                </c:pt>
                <c:pt idx="59">
                  <c:v>0.51007598670676924</c:v>
                </c:pt>
                <c:pt idx="60">
                  <c:v>0.49826055007523629</c:v>
                </c:pt>
                <c:pt idx="61">
                  <c:v>0.57541079089651459</c:v>
                </c:pt>
                <c:pt idx="62">
                  <c:v>0.44513905983860069</c:v>
                </c:pt>
                <c:pt idx="63">
                  <c:v>0.51760398357307569</c:v>
                </c:pt>
                <c:pt idx="64">
                  <c:v>0.41103631466349622</c:v>
                </c:pt>
                <c:pt idx="65">
                  <c:v>0.46241638852973094</c:v>
                </c:pt>
                <c:pt idx="66">
                  <c:v>0.44164198644180641</c:v>
                </c:pt>
                <c:pt idx="67">
                  <c:v>0.44438649016413884</c:v>
                </c:pt>
                <c:pt idx="68">
                  <c:v>0.45184864917921763</c:v>
                </c:pt>
                <c:pt idx="69">
                  <c:v>0.36505972786371155</c:v>
                </c:pt>
                <c:pt idx="70">
                  <c:v>0.33702326509064801</c:v>
                </c:pt>
                <c:pt idx="71">
                  <c:v>0.37470156812099736</c:v>
                </c:pt>
                <c:pt idx="72">
                  <c:v>0.4205332857330451</c:v>
                </c:pt>
                <c:pt idx="73">
                  <c:v>0.40014884747366275</c:v>
                </c:pt>
                <c:pt idx="74">
                  <c:v>0.40883260320162551</c:v>
                </c:pt>
                <c:pt idx="75">
                  <c:v>0.43738407576174293</c:v>
                </c:pt>
                <c:pt idx="76">
                  <c:v>0.44006519611605494</c:v>
                </c:pt>
                <c:pt idx="77">
                  <c:v>0.41746954085792631</c:v>
                </c:pt>
                <c:pt idx="78">
                  <c:v>0.42778849043288125</c:v>
                </c:pt>
                <c:pt idx="79">
                  <c:v>0.44795982088886382</c:v>
                </c:pt>
                <c:pt idx="80">
                  <c:v>0.35807032123398946</c:v>
                </c:pt>
                <c:pt idx="81">
                  <c:v>0.40008571475088917</c:v>
                </c:pt>
                <c:pt idx="82">
                  <c:v>0.33228822068798325</c:v>
                </c:pt>
                <c:pt idx="83">
                  <c:v>0.31603122926106775</c:v>
                </c:pt>
                <c:pt idx="84">
                  <c:v>0.38858480436722431</c:v>
                </c:pt>
                <c:pt idx="85">
                  <c:v>0.3285253026054718</c:v>
                </c:pt>
                <c:pt idx="86">
                  <c:v>0.33759538418962715</c:v>
                </c:pt>
                <c:pt idx="87">
                  <c:v>0.27156599576585394</c:v>
                </c:pt>
                <c:pt idx="88">
                  <c:v>0.30651291927338403</c:v>
                </c:pt>
                <c:pt idx="89">
                  <c:v>0.28223098713675887</c:v>
                </c:pt>
                <c:pt idx="90">
                  <c:v>0.30042343545306915</c:v>
                </c:pt>
                <c:pt idx="91">
                  <c:v>0.37311794915481006</c:v>
                </c:pt>
                <c:pt idx="92">
                  <c:v>0.28976308057961853</c:v>
                </c:pt>
                <c:pt idx="93">
                  <c:v>0.47409383747366829</c:v>
                </c:pt>
                <c:pt idx="94">
                  <c:v>0.24466213441779025</c:v>
                </c:pt>
                <c:pt idx="95">
                  <c:v>0.34800949996292735</c:v>
                </c:pt>
                <c:pt idx="96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0.68540251907737237</c:v>
                </c:pt>
                <c:pt idx="30">
                  <c:v>0.66841729368308134</c:v>
                </c:pt>
                <c:pt idx="31">
                  <c:v>0.70607913097161878</c:v>
                </c:pt>
                <c:pt idx="32">
                  <c:v>0.72782691587093595</c:v>
                </c:pt>
                <c:pt idx="33">
                  <c:v>0.72465753151748546</c:v>
                </c:pt>
                <c:pt idx="34">
                  <c:v>0.7479507732683085</c:v>
                </c:pt>
                <c:pt idx="35">
                  <c:v>0.7216283163555367</c:v>
                </c:pt>
                <c:pt idx="36">
                  <c:v>0.77198987761874016</c:v>
                </c:pt>
                <c:pt idx="37">
                  <c:v>0.78950295541143867</c:v>
                </c:pt>
                <c:pt idx="38">
                  <c:v>0.76989769902918825</c:v>
                </c:pt>
                <c:pt idx="39">
                  <c:v>0.77945106571302991</c:v>
                </c:pt>
                <c:pt idx="40">
                  <c:v>0.7156254786099453</c:v>
                </c:pt>
                <c:pt idx="41">
                  <c:v>0.70883899100929548</c:v>
                </c:pt>
                <c:pt idx="42">
                  <c:v>0.66959692627896616</c:v>
                </c:pt>
                <c:pt idx="43">
                  <c:v>0.73036670298927497</c:v>
                </c:pt>
                <c:pt idx="44">
                  <c:v>0.65579387630658992</c:v>
                </c:pt>
                <c:pt idx="45">
                  <c:v>0.62612998295673794</c:v>
                </c:pt>
                <c:pt idx="46">
                  <c:v>0.67404582655922252</c:v>
                </c:pt>
                <c:pt idx="47">
                  <c:v>0.70343448670880093</c:v>
                </c:pt>
                <c:pt idx="48">
                  <c:v>0.73305556458319487</c:v>
                </c:pt>
                <c:pt idx="49">
                  <c:v>0.72670312561160377</c:v>
                </c:pt>
                <c:pt idx="50">
                  <c:v>0.70412311819884632</c:v>
                </c:pt>
                <c:pt idx="51">
                  <c:v>0.69906734837567486</c:v>
                </c:pt>
                <c:pt idx="52">
                  <c:v>0.72803724129952629</c:v>
                </c:pt>
                <c:pt idx="53">
                  <c:v>0.68268030583218564</c:v>
                </c:pt>
                <c:pt idx="54">
                  <c:v>0.67195896023622037</c:v>
                </c:pt>
                <c:pt idx="55">
                  <c:v>0.70734096133000712</c:v>
                </c:pt>
                <c:pt idx="56">
                  <c:v>0.62715853156865475</c:v>
                </c:pt>
                <c:pt idx="57">
                  <c:v>0.65160506996569434</c:v>
                </c:pt>
                <c:pt idx="58">
                  <c:v>0.66446746530531131</c:v>
                </c:pt>
                <c:pt idx="59">
                  <c:v>0.60413048031754624</c:v>
                </c:pt>
                <c:pt idx="60">
                  <c:v>0.59323136576638857</c:v>
                </c:pt>
                <c:pt idx="61">
                  <c:v>0.66202813793798931</c:v>
                </c:pt>
                <c:pt idx="62">
                  <c:v>0.51827344247529805</c:v>
                </c:pt>
                <c:pt idx="63">
                  <c:v>0.60326406321066961</c:v>
                </c:pt>
                <c:pt idx="64">
                  <c:v>0.53180208283598618</c:v>
                </c:pt>
                <c:pt idx="65">
                  <c:v>0.55380739694478975</c:v>
                </c:pt>
                <c:pt idx="66">
                  <c:v>0.53640508903739337</c:v>
                </c:pt>
                <c:pt idx="67">
                  <c:v>0.53322716624439437</c:v>
                </c:pt>
                <c:pt idx="68">
                  <c:v>0.57656714660342656</c:v>
                </c:pt>
                <c:pt idx="69">
                  <c:v>0.45809918086386209</c:v>
                </c:pt>
                <c:pt idx="70">
                  <c:v>0.42750747566862818</c:v>
                </c:pt>
                <c:pt idx="71">
                  <c:v>0.47636750931304078</c:v>
                </c:pt>
                <c:pt idx="72">
                  <c:v>0.53016030023400917</c:v>
                </c:pt>
                <c:pt idx="73">
                  <c:v>0.49118168131946977</c:v>
                </c:pt>
                <c:pt idx="74">
                  <c:v>0.51423689511354909</c:v>
                </c:pt>
                <c:pt idx="75">
                  <c:v>0.53022634128906176</c:v>
                </c:pt>
                <c:pt idx="76">
                  <c:v>0.53611580967658246</c:v>
                </c:pt>
                <c:pt idx="77">
                  <c:v>0.5245788025053657</c:v>
                </c:pt>
                <c:pt idx="78">
                  <c:v>0.55136166086286253</c:v>
                </c:pt>
                <c:pt idx="79">
                  <c:v>0.54901597302674554</c:v>
                </c:pt>
                <c:pt idx="80">
                  <c:v>0.4714550045096445</c:v>
                </c:pt>
                <c:pt idx="81">
                  <c:v>0.50694565309934003</c:v>
                </c:pt>
                <c:pt idx="82">
                  <c:v>0.42730908067034029</c:v>
                </c:pt>
                <c:pt idx="83">
                  <c:v>0.41066008757998562</c:v>
                </c:pt>
                <c:pt idx="84">
                  <c:v>0.48006278568588912</c:v>
                </c:pt>
                <c:pt idx="85">
                  <c:v>0.41482990705589201</c:v>
                </c:pt>
                <c:pt idx="86">
                  <c:v>0.44343178569243091</c:v>
                </c:pt>
                <c:pt idx="87">
                  <c:v>0.37696147391733809</c:v>
                </c:pt>
                <c:pt idx="88">
                  <c:v>0.39686718876134325</c:v>
                </c:pt>
                <c:pt idx="89">
                  <c:v>0.37683083728409794</c:v>
                </c:pt>
                <c:pt idx="90">
                  <c:v>0.39088376774196576</c:v>
                </c:pt>
                <c:pt idx="91">
                  <c:v>0.49117851484051983</c:v>
                </c:pt>
                <c:pt idx="92">
                  <c:v>0.37920193602628349</c:v>
                </c:pt>
                <c:pt idx="93">
                  <c:v>0.58766100974565816</c:v>
                </c:pt>
                <c:pt idx="94">
                  <c:v>0.32757627754419832</c:v>
                </c:pt>
                <c:pt idx="95">
                  <c:v>0.44169472718951891</c:v>
                </c:pt>
                <c:pt idx="96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665280"/>
        <c:axId val="231420672"/>
      </c:lineChart>
      <c:dateAx>
        <c:axId val="173665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1420672"/>
        <c:crosses val="autoZero"/>
        <c:auto val="1"/>
        <c:lblOffset val="100"/>
        <c:baseTimeUnit val="months"/>
      </c:dateAx>
      <c:valAx>
        <c:axId val="2314206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3665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539072"/>
        <c:axId val="231540608"/>
      </c:lineChart>
      <c:dateAx>
        <c:axId val="231539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1540608"/>
        <c:crosses val="autoZero"/>
        <c:auto val="1"/>
        <c:lblOffset val="100"/>
        <c:baseTimeUnit val="months"/>
      </c:dateAx>
      <c:valAx>
        <c:axId val="23154060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231539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575936"/>
        <c:axId val="231577472"/>
      </c:lineChart>
      <c:dateAx>
        <c:axId val="231575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1577472"/>
        <c:crosses val="autoZero"/>
        <c:auto val="1"/>
        <c:lblOffset val="100"/>
        <c:baseTimeUnit val="months"/>
      </c:dateAx>
      <c:valAx>
        <c:axId val="2315774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1575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257176</xdr:colOff>
      <xdr:row>5</xdr:row>
      <xdr:rowOff>85726</xdr:rowOff>
    </xdr:from>
    <xdr:to>
      <xdr:col>23</xdr:col>
      <xdr:colOff>28576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3644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6</xdr:col>
      <xdr:colOff>314325</xdr:colOff>
      <xdr:row>59</xdr:row>
      <xdr:rowOff>38100</xdr:rowOff>
    </xdr:to>
    <xdr:sp macro="" textlink="">
      <xdr:nvSpPr>
        <xdr:cNvPr id="7" name="TextBox 6"/>
        <xdr:cNvSpPr txBox="1"/>
      </xdr:nvSpPr>
      <xdr:spPr>
        <a:xfrm>
          <a:off x="3067050" y="9429749"/>
          <a:ext cx="2657475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/>
        </a:p>
      </xdr:txBody>
    </xdr:sp>
    <xdr:clientData/>
  </xdr:twoCellAnchor>
  <xdr:twoCellAnchor>
    <xdr:from>
      <xdr:col>2</xdr:col>
      <xdr:colOff>0</xdr:colOff>
      <xdr:row>58</xdr:row>
      <xdr:rowOff>114299</xdr:rowOff>
    </xdr:from>
    <xdr:to>
      <xdr:col>6</xdr:col>
      <xdr:colOff>904875</xdr:colOff>
      <xdr:row>62</xdr:row>
      <xdr:rowOff>28575</xdr:rowOff>
    </xdr:to>
    <xdr:sp macro="" textlink="">
      <xdr:nvSpPr>
        <xdr:cNvPr id="9" name="TextBox 8"/>
        <xdr:cNvSpPr txBox="1"/>
      </xdr:nvSpPr>
      <xdr:spPr>
        <a:xfrm>
          <a:off x="1219200" y="9534524"/>
          <a:ext cx="5095875" cy="561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Note:</a:t>
          </a:r>
          <a:r>
            <a:rPr lang="en-US" sz="1000" b="1" baseline="0"/>
            <a:t> </a:t>
          </a:r>
          <a:r>
            <a:rPr lang="en-US" sz="1000" baseline="0"/>
            <a:t>Calculation includes all FNMA fixed rate products.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aseline="0"/>
            <a:t>           </a:t>
          </a:r>
          <a:r>
            <a:rPr 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data</a:t>
          </a:r>
          <a:r>
            <a:rPr lang="en-US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will be updated on the 4th business day.</a:t>
          </a:r>
          <a:endParaRPr lang="en-US" sz="10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rket%20Concentration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 r:id="rId2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05.417957291669" createdVersion="4" refreshedVersion="4" minRefreshableVersion="3" recordCount="103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5-07-02T00:00:00" count="103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</sharedItems>
    </cacheField>
    <cacheField name="TotalBalance" numFmtId="0">
      <sharedItems containsSemiMixedTypes="0" containsString="0" containsNumber="1" minValue="36942000" maxValue="30737250033.549999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30">
  <r>
    <x v="0"/>
    <n v="9008075393"/>
    <s v="BANK OF AMERICA"/>
    <x v="0"/>
  </r>
  <r>
    <x v="0"/>
    <n v="8711508813"/>
    <s v="CWB"/>
    <x v="1"/>
  </r>
  <r>
    <x v="0"/>
    <n v="2548529360"/>
    <s v="WELLS FARGO"/>
    <x v="2"/>
  </r>
  <r>
    <x v="0"/>
    <n v="2473400845.6300001"/>
    <s v="ALLY"/>
    <x v="3"/>
  </r>
  <r>
    <x v="0"/>
    <n v="2005484093.8599999"/>
    <s v="CHASE"/>
    <x v="4"/>
  </r>
  <r>
    <x v="0"/>
    <n v="1392884745"/>
    <s v="SUNTRUST"/>
    <x v="5"/>
  </r>
  <r>
    <x v="0"/>
    <n v="1242926127.8399999"/>
    <s v="CITI"/>
    <x v="6"/>
  </r>
  <r>
    <x v="0"/>
    <n v="1078120428"/>
    <s v="OHIO SAVINGS BANK"/>
    <x v="7"/>
  </r>
  <r>
    <x v="0"/>
    <n v="879027187"/>
    <s v="INDYMAC BANK, FSB"/>
    <x v="8"/>
  </r>
  <r>
    <x v="0"/>
    <n v="685226876.82000005"/>
    <s v="PNC"/>
    <x v="9"/>
  </r>
  <r>
    <x v="1"/>
    <n v="8625817045"/>
    <s v="BANK OF AMERICA"/>
    <x v="0"/>
  </r>
  <r>
    <x v="1"/>
    <n v="5541527303"/>
    <s v="CWB"/>
    <x v="1"/>
  </r>
  <r>
    <x v="1"/>
    <n v="3033979449"/>
    <s v="WELLS FARGO"/>
    <x v="2"/>
  </r>
  <r>
    <x v="1"/>
    <n v="3014522924.1199999"/>
    <s v="CHASE"/>
    <x v="3"/>
  </r>
  <r>
    <x v="1"/>
    <n v="2787288153"/>
    <s v="SUNTRUST"/>
    <x v="4"/>
  </r>
  <r>
    <x v="1"/>
    <n v="2239793798.6599998"/>
    <s v="CITI"/>
    <x v="5"/>
  </r>
  <r>
    <x v="1"/>
    <n v="1685524401.6800001"/>
    <s v="ALLY"/>
    <x v="6"/>
  </r>
  <r>
    <x v="1"/>
    <n v="1347925403"/>
    <s v="OHIO SAVINGS BANK"/>
    <x v="7"/>
  </r>
  <r>
    <x v="1"/>
    <n v="919494049"/>
    <s v="INDYMAC BANK, FSB"/>
    <x v="8"/>
  </r>
  <r>
    <x v="1"/>
    <n v="912306666"/>
    <s v="FLAGSTAR"/>
    <x v="9"/>
  </r>
  <r>
    <x v="2"/>
    <n v="7241357422"/>
    <s v="BANK OF AMERICA"/>
    <x v="0"/>
  </r>
  <r>
    <x v="2"/>
    <n v="6789301646"/>
    <s v="CWB"/>
    <x v="1"/>
  </r>
  <r>
    <x v="2"/>
    <n v="2812455484.5799999"/>
    <s v="WELLS FARGO"/>
    <x v="2"/>
  </r>
  <r>
    <x v="2"/>
    <n v="2508344240.5799999"/>
    <s v="CHASE"/>
    <x v="3"/>
  </r>
  <r>
    <x v="2"/>
    <n v="2057675204"/>
    <s v="CITI"/>
    <x v="4"/>
  </r>
  <r>
    <x v="2"/>
    <n v="1782572404.98"/>
    <s v="ALLY"/>
    <x v="5"/>
  </r>
  <r>
    <x v="2"/>
    <n v="1580728720"/>
    <s v="SUNTRUST"/>
    <x v="6"/>
  </r>
  <r>
    <x v="2"/>
    <n v="1390421450"/>
    <s v="OHIO SAVINGS BANK"/>
    <x v="7"/>
  </r>
  <r>
    <x v="2"/>
    <n v="1178120322"/>
    <s v="INDYMAC BANK, FSB"/>
    <x v="8"/>
  </r>
  <r>
    <x v="2"/>
    <n v="842320272.16999996"/>
    <s v="PNC"/>
    <x v="9"/>
  </r>
  <r>
    <x v="3"/>
    <n v="8435795278.75"/>
    <s v="BANK OF AMERICA"/>
    <x v="0"/>
  </r>
  <r>
    <x v="3"/>
    <n v="8059609431.75"/>
    <s v="CWB"/>
    <x v="1"/>
  </r>
  <r>
    <x v="3"/>
    <n v="3218432922.27"/>
    <s v="CITI"/>
    <x v="2"/>
  </r>
  <r>
    <x v="3"/>
    <n v="2904342886.1500001"/>
    <s v="CHASE"/>
    <x v="3"/>
  </r>
  <r>
    <x v="3"/>
    <n v="2719459776.3200002"/>
    <s v="WELLS FARGO"/>
    <x v="4"/>
  </r>
  <r>
    <x v="3"/>
    <n v="1716124604.6500001"/>
    <s v="SUNTRUST"/>
    <x v="5"/>
  </r>
  <r>
    <x v="3"/>
    <n v="1447162932"/>
    <s v="OHIO SAVINGS BANK"/>
    <x v="6"/>
  </r>
  <r>
    <x v="3"/>
    <n v="1297147899.78"/>
    <s v="ALLY"/>
    <x v="7"/>
  </r>
  <r>
    <x v="3"/>
    <n v="907569900.02999997"/>
    <s v="FLAGSTAR"/>
    <x v="8"/>
  </r>
  <r>
    <x v="3"/>
    <n v="827685883"/>
    <s v="INDYMAC BANK, FSB"/>
    <x v="9"/>
  </r>
  <r>
    <x v="4"/>
    <n v="8757031646.7099991"/>
    <s v="BANK OF AMERICA"/>
    <x v="0"/>
  </r>
  <r>
    <x v="4"/>
    <n v="8265482641.71"/>
    <s v="CWB"/>
    <x v="1"/>
  </r>
  <r>
    <x v="4"/>
    <n v="3833114648.75"/>
    <s v="CHASE"/>
    <x v="2"/>
  </r>
  <r>
    <x v="4"/>
    <n v="3345271361.5599999"/>
    <s v="WELLS FARGO"/>
    <x v="3"/>
  </r>
  <r>
    <x v="4"/>
    <n v="2879827673.1599998"/>
    <s v="CITI"/>
    <x v="4"/>
  </r>
  <r>
    <x v="4"/>
    <n v="2817963532.98"/>
    <s v="SUNTRUST"/>
    <x v="5"/>
  </r>
  <r>
    <x v="4"/>
    <n v="2391529898.25"/>
    <s v="ALLY"/>
    <x v="6"/>
  </r>
  <r>
    <x v="4"/>
    <n v="1500398960"/>
    <s v="AMTRUST"/>
    <x v="7"/>
  </r>
  <r>
    <x v="4"/>
    <n v="1299005761.8"/>
    <s v="FLAGSTAR"/>
    <x v="8"/>
  </r>
  <r>
    <x v="4"/>
    <n v="1228350512.52"/>
    <s v="PHH"/>
    <x v="9"/>
  </r>
  <r>
    <x v="5"/>
    <n v="529500000"/>
    <s v="DB MORTGAGE SERVICES, LLC"/>
    <x v="0"/>
  </r>
  <r>
    <x v="5"/>
    <n v="525451496"/>
    <s v="PRUDENTIAL MULTIFAMILY MORTGAGE INC."/>
    <x v="1"/>
  </r>
  <r>
    <x v="5"/>
    <n v="199240159"/>
    <s v="WACHOVIA"/>
    <x v="2"/>
  </r>
  <r>
    <x v="5"/>
    <n v="199240159"/>
    <s v="WELLS FARGO"/>
    <x v="2"/>
  </r>
  <r>
    <x v="5"/>
    <n v="186664202"/>
    <s v="GREEN PARK FINANCIAL LIMITED PARTNERSHIP"/>
    <x v="4"/>
  </r>
  <r>
    <x v="5"/>
    <n v="128010000"/>
    <s v="CAPMARK FINANCE INC."/>
    <x v="5"/>
  </r>
  <r>
    <x v="5"/>
    <n v="88341541"/>
    <s v="RED MORTGAGE CAPITAL, INC."/>
    <x v="6"/>
  </r>
  <r>
    <x v="5"/>
    <n v="78371000"/>
    <s v="ARCS COMMERCIAL MORTGAGE COMPANY, L.P."/>
    <x v="7"/>
  </r>
  <r>
    <x v="5"/>
    <n v="49097527.210000001"/>
    <s v="BANK OF AMERICA"/>
    <x v="8"/>
  </r>
  <r>
    <x v="5"/>
    <n v="36942000"/>
    <s v="M &amp; T REALTY CAPITAL CORPORATION"/>
    <x v="9"/>
  </r>
  <r>
    <x v="6"/>
    <n v="587402404.38"/>
    <s v="PHH"/>
    <x v="0"/>
  </r>
  <r>
    <x v="6"/>
    <n v="289054248.91000003"/>
    <s v="CITI"/>
    <x v="1"/>
  </r>
  <r>
    <x v="6"/>
    <n v="165294713.30000001"/>
    <s v="FIFTH THIRD"/>
    <x v="2"/>
  </r>
  <r>
    <x v="6"/>
    <n v="159905398.22"/>
    <s v="ALLY"/>
    <x v="3"/>
  </r>
  <r>
    <x v="6"/>
    <n v="143507290.88"/>
    <s v="PNC"/>
    <x v="4"/>
  </r>
  <r>
    <x v="6"/>
    <n v="126500000"/>
    <s v="PRUDENTIAL MULTIFAMILY MORTGAGE INC."/>
    <x v="5"/>
  </r>
  <r>
    <x v="6"/>
    <n v="121943584.34"/>
    <s v="SUNTRUST"/>
    <x v="6"/>
  </r>
  <r>
    <x v="6"/>
    <n v="107554000"/>
    <s v="CAPMARK FINANCE INC."/>
    <x v="7"/>
  </r>
  <r>
    <x v="6"/>
    <n v="106526391.84"/>
    <s v="WELLS FARGO"/>
    <x v="8"/>
  </r>
  <r>
    <x v="6"/>
    <n v="106526391.84"/>
    <s v="WACHOVIA"/>
    <x v="8"/>
  </r>
  <r>
    <x v="7"/>
    <n v="7970383527.0900002"/>
    <s v="BANK OF AMERICA"/>
    <x v="0"/>
  </r>
  <r>
    <x v="7"/>
    <n v="5549416466.0900002"/>
    <s v="CWB"/>
    <x v="1"/>
  </r>
  <r>
    <x v="7"/>
    <n v="5368827950.8599997"/>
    <s v="WELLS FARGO"/>
    <x v="2"/>
  </r>
  <r>
    <x v="7"/>
    <n v="4354798481.1899996"/>
    <s v="CHASE"/>
    <x v="3"/>
  </r>
  <r>
    <x v="7"/>
    <n v="3653159455.4499998"/>
    <s v="CITI"/>
    <x v="4"/>
  </r>
  <r>
    <x v="7"/>
    <n v="2776259321.4400001"/>
    <s v="ALLY"/>
    <x v="5"/>
  </r>
  <r>
    <x v="7"/>
    <n v="2602983126.1300001"/>
    <s v="SUNTRUST"/>
    <x v="6"/>
  </r>
  <r>
    <x v="7"/>
    <n v="1376195197"/>
    <s v="AMTRUST"/>
    <x v="7"/>
  </r>
  <r>
    <x v="7"/>
    <n v="1348505248.95"/>
    <s v="PNC"/>
    <x v="8"/>
  </r>
  <r>
    <x v="7"/>
    <n v="1162595939.1300001"/>
    <s v="FLAGSTAR"/>
    <x v="9"/>
  </r>
  <r>
    <x v="8"/>
    <n v="11906421034.719999"/>
    <s v="BANK OF AMERICA"/>
    <x v="0"/>
  </r>
  <r>
    <x v="8"/>
    <n v="8448582032.3299999"/>
    <s v="CWB"/>
    <x v="1"/>
  </r>
  <r>
    <x v="8"/>
    <n v="4931521660.5"/>
    <s v="WELLS FARGO"/>
    <x v="2"/>
  </r>
  <r>
    <x v="8"/>
    <n v="3402261850.23"/>
    <s v="CITI"/>
    <x v="3"/>
  </r>
  <r>
    <x v="8"/>
    <n v="2698937355.0500002"/>
    <s v="CHASE"/>
    <x v="4"/>
  </r>
  <r>
    <x v="8"/>
    <n v="1933443256.51"/>
    <s v="ALLY"/>
    <x v="5"/>
  </r>
  <r>
    <x v="8"/>
    <n v="1794706224.6300001"/>
    <s v="SUNTRUST"/>
    <x v="6"/>
  </r>
  <r>
    <x v="8"/>
    <n v="1598243031.95"/>
    <s v="FLAGSTAR"/>
    <x v="7"/>
  </r>
  <r>
    <x v="8"/>
    <n v="1509377032.0999999"/>
    <s v="INDYMAC BANK, FSB"/>
    <x v="8"/>
  </r>
  <r>
    <x v="8"/>
    <n v="1504357495.8299999"/>
    <s v="USAA"/>
    <x v="9"/>
  </r>
  <r>
    <x v="9"/>
    <n v="7611233645.2799997"/>
    <s v="BANK OF AMERICA"/>
    <x v="0"/>
  </r>
  <r>
    <x v="9"/>
    <n v="6234694095.2799997"/>
    <s v="CWB"/>
    <x v="1"/>
  </r>
  <r>
    <x v="9"/>
    <n v="5542233010.0799999"/>
    <s v="WELLS FARGO"/>
    <x v="2"/>
  </r>
  <r>
    <x v="9"/>
    <n v="3527666157.7399998"/>
    <s v="CHASE"/>
    <x v="3"/>
  </r>
  <r>
    <x v="9"/>
    <n v="2350697844.6399999"/>
    <s v="SUNTRUST"/>
    <x v="4"/>
  </r>
  <r>
    <x v="9"/>
    <n v="2279214477"/>
    <s v="CITI"/>
    <x v="5"/>
  </r>
  <r>
    <x v="9"/>
    <n v="1995857574.76"/>
    <s v="ALLY"/>
    <x v="6"/>
  </r>
  <r>
    <x v="9"/>
    <n v="1924748303.6900001"/>
    <s v="INDYMAC BANK, FSB"/>
    <x v="7"/>
  </r>
  <r>
    <x v="9"/>
    <n v="1724424141.5899999"/>
    <s v="FLAGSTAR"/>
    <x v="8"/>
  </r>
  <r>
    <x v="9"/>
    <n v="1420438348.6199999"/>
    <s v="PNC"/>
    <x v="9"/>
  </r>
  <r>
    <x v="10"/>
    <n v="9251362639"/>
    <s v="BANK OF AMERICA"/>
    <x v="0"/>
  </r>
  <r>
    <x v="10"/>
    <n v="5971674440.9099998"/>
    <s v="WELLS FARGO"/>
    <x v="1"/>
  </r>
  <r>
    <x v="10"/>
    <n v="5620224592"/>
    <s v="CWB"/>
    <x v="2"/>
  </r>
  <r>
    <x v="10"/>
    <n v="4108599053.3899999"/>
    <s v="CHASE"/>
    <x v="3"/>
  </r>
  <r>
    <x v="10"/>
    <n v="2965658446.6199999"/>
    <s v="SUNTRUST"/>
    <x v="4"/>
  </r>
  <r>
    <x v="10"/>
    <n v="2860822903"/>
    <s v="CITI"/>
    <x v="5"/>
  </r>
  <r>
    <x v="10"/>
    <n v="2316613344.4400001"/>
    <s v="ALLY"/>
    <x v="6"/>
  </r>
  <r>
    <x v="10"/>
    <n v="2288150693"/>
    <s v="PNC"/>
    <x v="7"/>
  </r>
  <r>
    <x v="10"/>
    <n v="1576791161"/>
    <s v="AMTRUST"/>
    <x v="8"/>
  </r>
  <r>
    <x v="10"/>
    <n v="1466684614.3"/>
    <s v="FLAGSTAR"/>
    <x v="9"/>
  </r>
  <r>
    <x v="11"/>
    <n v="12421827356.389999"/>
    <s v="BANK OF AMERICA"/>
    <x v="0"/>
  </r>
  <r>
    <x v="11"/>
    <n v="10045544086.389999"/>
    <s v="CWB"/>
    <x v="1"/>
  </r>
  <r>
    <x v="11"/>
    <n v="5882860464.71"/>
    <s v="CHASE"/>
    <x v="2"/>
  </r>
  <r>
    <x v="11"/>
    <n v="4169881135"/>
    <s v="WELLS FARGO"/>
    <x v="3"/>
  </r>
  <r>
    <x v="11"/>
    <n v="2828027093.6300001"/>
    <s v="ALLY"/>
    <x v="4"/>
  </r>
  <r>
    <x v="11"/>
    <n v="2768397368.6799998"/>
    <s v="SUNTRUST"/>
    <x v="5"/>
  </r>
  <r>
    <x v="11"/>
    <n v="2580187388"/>
    <s v="CITI"/>
    <x v="6"/>
  </r>
  <r>
    <x v="11"/>
    <n v="1812559084.9200001"/>
    <s v="PNC"/>
    <x v="7"/>
  </r>
  <r>
    <x v="11"/>
    <n v="1736453448"/>
    <s v="INDYMAC BANK, FSB"/>
    <x v="8"/>
  </r>
  <r>
    <x v="11"/>
    <n v="1592827444.7"/>
    <s v="FLAGSTAR"/>
    <x v="9"/>
  </r>
  <r>
    <x v="12"/>
    <n v="8728590817.0499992"/>
    <s v="BANK OF AMERICA"/>
    <x v="0"/>
  </r>
  <r>
    <x v="12"/>
    <n v="7108699161"/>
    <s v="CWB"/>
    <x v="1"/>
  </r>
  <r>
    <x v="12"/>
    <n v="5183225453.21"/>
    <s v="WELLS FARGO"/>
    <x v="2"/>
  </r>
  <r>
    <x v="12"/>
    <n v="3079886257.0799999"/>
    <s v="CHASE"/>
    <x v="3"/>
  </r>
  <r>
    <x v="12"/>
    <n v="2858003053.02"/>
    <s v="ALLY"/>
    <x v="4"/>
  </r>
  <r>
    <x v="12"/>
    <n v="2753435609.96"/>
    <s v="CITI"/>
    <x v="5"/>
  </r>
  <r>
    <x v="12"/>
    <n v="2721529982.6700001"/>
    <s v="SUNTRUST"/>
    <x v="6"/>
  </r>
  <r>
    <x v="12"/>
    <n v="1575464486"/>
    <s v="INDYMAC BANK, FSB"/>
    <x v="7"/>
  </r>
  <r>
    <x v="12"/>
    <n v="1438300798"/>
    <s v="AMTRUST"/>
    <x v="8"/>
  </r>
  <r>
    <x v="12"/>
    <n v="1002322471"/>
    <s v="ABM"/>
    <x v="9"/>
  </r>
  <r>
    <x v="13"/>
    <n v="10940578643.9"/>
    <s v="BANK OF AMERICA"/>
    <x v="0"/>
  </r>
  <r>
    <x v="13"/>
    <n v="8522227078.8999996"/>
    <s v="CWB"/>
    <x v="1"/>
  </r>
  <r>
    <x v="13"/>
    <n v="6061047145.0900002"/>
    <s v="WELLS FARGO"/>
    <x v="2"/>
  </r>
  <r>
    <x v="13"/>
    <n v="3648839072.79"/>
    <s v="CHASE"/>
    <x v="3"/>
  </r>
  <r>
    <x v="13"/>
    <n v="3383016344.3800001"/>
    <s v="SUNTRUST"/>
    <x v="4"/>
  </r>
  <r>
    <x v="13"/>
    <n v="2975112864.3200002"/>
    <s v="CITI"/>
    <x v="5"/>
  </r>
  <r>
    <x v="13"/>
    <n v="2798703942.1700001"/>
    <s v="ALLY"/>
    <x v="6"/>
  </r>
  <r>
    <x v="13"/>
    <n v="1512143012.0999999"/>
    <s v="FLAGSTAR"/>
    <x v="7"/>
  </r>
  <r>
    <x v="13"/>
    <n v="1473943766.0599999"/>
    <s v="INDYMAC BANK, FSB"/>
    <x v="8"/>
  </r>
  <r>
    <x v="13"/>
    <n v="1324787937"/>
    <s v="AMTRUST"/>
    <x v="9"/>
  </r>
  <r>
    <x v="14"/>
    <n v="7127437485.3199997"/>
    <s v="BANK OF AMERICA"/>
    <x v="0"/>
  </r>
  <r>
    <x v="14"/>
    <n v="6990008893.75"/>
    <s v="CWB"/>
    <x v="1"/>
  </r>
  <r>
    <x v="14"/>
    <n v="3877796837.6100001"/>
    <s v="WELLS FARGO"/>
    <x v="2"/>
  </r>
  <r>
    <x v="14"/>
    <n v="3475050859"/>
    <s v="CITI"/>
    <x v="3"/>
  </r>
  <r>
    <x v="14"/>
    <n v="2845541368.1100001"/>
    <s v="ALLY"/>
    <x v="4"/>
  </r>
  <r>
    <x v="14"/>
    <n v="1371503307"/>
    <s v="AMTRUST"/>
    <x v="5"/>
  </r>
  <r>
    <x v="14"/>
    <n v="1259568820.0799999"/>
    <s v="SUNTRUST"/>
    <x v="6"/>
  </r>
  <r>
    <x v="14"/>
    <n v="1043995891.96"/>
    <s v="CHASE"/>
    <x v="7"/>
  </r>
  <r>
    <x v="14"/>
    <n v="616279069.29999995"/>
    <s v="PHH"/>
    <x v="8"/>
  </r>
  <r>
    <x v="14"/>
    <n v="585339226"/>
    <s v="FLAGSTAR"/>
    <x v="9"/>
  </r>
  <r>
    <x v="15"/>
    <n v="9380905884.8600006"/>
    <s v="BANK OF AMERICA"/>
    <x v="0"/>
  </r>
  <r>
    <x v="15"/>
    <n v="7330185288.3299999"/>
    <s v="WELLS FARGO"/>
    <x v="1"/>
  </r>
  <r>
    <x v="15"/>
    <n v="7056504465.8599997"/>
    <s v="CWB"/>
    <x v="2"/>
  </r>
  <r>
    <x v="15"/>
    <n v="4688377142"/>
    <s v="CITI"/>
    <x v="3"/>
  </r>
  <r>
    <x v="15"/>
    <n v="3682275010.96"/>
    <s v="ALLY"/>
    <x v="4"/>
  </r>
  <r>
    <x v="15"/>
    <n v="2862737507.9400001"/>
    <s v="SUNTRUST"/>
    <x v="5"/>
  </r>
  <r>
    <x v="15"/>
    <n v="1641602106"/>
    <s v="AMTRUST"/>
    <x v="6"/>
  </r>
  <r>
    <x v="15"/>
    <n v="1458591196"/>
    <s v="CHASE"/>
    <x v="7"/>
  </r>
  <r>
    <x v="15"/>
    <n v="1254020508.1600001"/>
    <s v="FLAGSTAR"/>
    <x v="8"/>
  </r>
  <r>
    <x v="15"/>
    <n v="1144391387.9100001"/>
    <s v="PHH"/>
    <x v="9"/>
  </r>
  <r>
    <x v="16"/>
    <n v="12080553097.469999"/>
    <s v="BANK OF AMERICA"/>
    <x v="0"/>
  </r>
  <r>
    <x v="16"/>
    <n v="7196631371.5799999"/>
    <s v="CWB"/>
    <x v="1"/>
  </r>
  <r>
    <x v="16"/>
    <n v="5336823509"/>
    <s v="WELLS FARGO"/>
    <x v="2"/>
  </r>
  <r>
    <x v="16"/>
    <n v="3359247837.3800001"/>
    <s v="CHASE"/>
    <x v="3"/>
  </r>
  <r>
    <x v="16"/>
    <n v="2889767287.1399999"/>
    <s v="CITI"/>
    <x v="4"/>
  </r>
  <r>
    <x v="16"/>
    <n v="2135218352.8499999"/>
    <s v="ALLY"/>
    <x v="5"/>
  </r>
  <r>
    <x v="16"/>
    <n v="1735953431.48"/>
    <s v="SUNTRUST"/>
    <x v="6"/>
  </r>
  <r>
    <x v="16"/>
    <n v="1202353395.3900001"/>
    <s v="FLAGSTAR"/>
    <x v="7"/>
  </r>
  <r>
    <x v="16"/>
    <n v="1180682631.77"/>
    <s v="PHH"/>
    <x v="8"/>
  </r>
  <r>
    <x v="16"/>
    <n v="1033761031"/>
    <s v="AMTRUST"/>
    <x v="9"/>
  </r>
  <r>
    <x v="17"/>
    <n v="11170458526.360001"/>
    <s v="WELLS FARGO"/>
    <x v="0"/>
  </r>
  <r>
    <x v="17"/>
    <n v="7158543878.4300003"/>
    <s v="BANK OF AMERICA"/>
    <x v="1"/>
  </r>
  <r>
    <x v="17"/>
    <n v="4246827120.4299998"/>
    <s v="CWB"/>
    <x v="2"/>
  </r>
  <r>
    <x v="17"/>
    <n v="4180802344.75"/>
    <s v="CHASE"/>
    <x v="3"/>
  </r>
  <r>
    <x v="17"/>
    <n v="3685367093.4400001"/>
    <s v="CITI"/>
    <x v="4"/>
  </r>
  <r>
    <x v="17"/>
    <n v="1731032257"/>
    <s v="AMTRUST"/>
    <x v="5"/>
  </r>
  <r>
    <x v="17"/>
    <n v="1080842069.0799999"/>
    <s v="ALLY"/>
    <x v="6"/>
  </r>
  <r>
    <x v="17"/>
    <n v="1060745072.6799999"/>
    <s v="WAMU"/>
    <x v="7"/>
  </r>
  <r>
    <x v="17"/>
    <n v="1025803901.03"/>
    <s v="SUNTRUST"/>
    <x v="8"/>
  </r>
  <r>
    <x v="17"/>
    <n v="934123233.22000003"/>
    <s v="PHH"/>
    <x v="9"/>
  </r>
  <r>
    <x v="18"/>
    <n v="5246259446.8599997"/>
    <s v="BANK OF AMERICA"/>
    <x v="0"/>
  </r>
  <r>
    <x v="18"/>
    <n v="5061020702"/>
    <s v="WELLS FARGO"/>
    <x v="1"/>
  </r>
  <r>
    <x v="18"/>
    <n v="3677510879.8600001"/>
    <s v="CWB"/>
    <x v="2"/>
  </r>
  <r>
    <x v="18"/>
    <n v="3379179274.5999999"/>
    <s v="CHASE"/>
    <x v="3"/>
  </r>
  <r>
    <x v="18"/>
    <n v="2293997579.0900002"/>
    <s v="CITI"/>
    <x v="4"/>
  </r>
  <r>
    <x v="18"/>
    <n v="1370360829.9300001"/>
    <s v="SUNTRUST"/>
    <x v="5"/>
  </r>
  <r>
    <x v="18"/>
    <n v="1349863752"/>
    <s v="AMTRUST"/>
    <x v="6"/>
  </r>
  <r>
    <x v="18"/>
    <n v="1296601251.3199999"/>
    <s v="ALLY"/>
    <x v="7"/>
  </r>
  <r>
    <x v="18"/>
    <n v="1041107194.3200001"/>
    <s v="PHH"/>
    <x v="8"/>
  </r>
  <r>
    <x v="18"/>
    <n v="945798148.61000001"/>
    <s v="FLAGSTAR"/>
    <x v="9"/>
  </r>
  <r>
    <x v="19"/>
    <n v="4827258509.6899996"/>
    <s v="WELLS FARGO"/>
    <x v="0"/>
  </r>
  <r>
    <x v="19"/>
    <n v="3855453030.6300001"/>
    <s v="CHASE"/>
    <x v="1"/>
  </r>
  <r>
    <x v="19"/>
    <n v="3724004372.54"/>
    <s v="BANK OF AMERICA"/>
    <x v="2"/>
  </r>
  <r>
    <x v="19"/>
    <n v="2510869452.54"/>
    <s v="CWB"/>
    <x v="3"/>
  </r>
  <r>
    <x v="19"/>
    <n v="1811019241.5799999"/>
    <s v="CITI"/>
    <x v="4"/>
  </r>
  <r>
    <x v="19"/>
    <n v="1212308338"/>
    <s v="AMTRUST"/>
    <x v="5"/>
  </r>
  <r>
    <x v="19"/>
    <n v="1137551331.23"/>
    <s v="SUNTRUST"/>
    <x v="6"/>
  </r>
  <r>
    <x v="19"/>
    <n v="1050886755.36"/>
    <s v="PHH"/>
    <x v="7"/>
  </r>
  <r>
    <x v="19"/>
    <n v="1009149437.96"/>
    <s v="ALLY"/>
    <x v="8"/>
  </r>
  <r>
    <x v="19"/>
    <n v="829290393.58000004"/>
    <s v="FLAGSTAR"/>
    <x v="9"/>
  </r>
  <r>
    <x v="20"/>
    <n v="6826679614.1599998"/>
    <s v="WELLS FARGO"/>
    <x v="0"/>
  </r>
  <r>
    <x v="20"/>
    <n v="4576290883.3400002"/>
    <s v="CHASE"/>
    <x v="1"/>
  </r>
  <r>
    <x v="20"/>
    <n v="3721284450.75"/>
    <s v="BANK OF AMERICA"/>
    <x v="2"/>
  </r>
  <r>
    <x v="20"/>
    <n v="2390970582.23"/>
    <s v="WACHOVIA"/>
    <x v="3"/>
  </r>
  <r>
    <x v="20"/>
    <n v="2326562293.4099998"/>
    <s v="CITI"/>
    <x v="4"/>
  </r>
  <r>
    <x v="20"/>
    <n v="1757341434.5"/>
    <s v="CWB"/>
    <x v="5"/>
  </r>
  <r>
    <x v="20"/>
    <n v="1332940093.6900001"/>
    <s v="SUNTRUST"/>
    <x v="6"/>
  </r>
  <r>
    <x v="20"/>
    <n v="1097946836.3599999"/>
    <s v="AMTRUST"/>
    <x v="7"/>
  </r>
  <r>
    <x v="20"/>
    <n v="1080669747.9100001"/>
    <s v="ALLY"/>
    <x v="8"/>
  </r>
  <r>
    <x v="20"/>
    <n v="711290312.90999997"/>
    <s v="FLAGSTAR"/>
    <x v="9"/>
  </r>
  <r>
    <x v="21"/>
    <n v="3655203702.7600002"/>
    <s v="WELLS FARGO"/>
    <x v="0"/>
  </r>
  <r>
    <x v="21"/>
    <n v="3299307846.8800001"/>
    <s v="CITI"/>
    <x v="1"/>
  </r>
  <r>
    <x v="21"/>
    <n v="2740026309.71"/>
    <s v="BANK OF AMERICA"/>
    <x v="2"/>
  </r>
  <r>
    <x v="21"/>
    <n v="2029327063.1300001"/>
    <s v="CWB"/>
    <x v="3"/>
  </r>
  <r>
    <x v="21"/>
    <n v="1556910841.1199999"/>
    <s v="CHASE"/>
    <x v="4"/>
  </r>
  <r>
    <x v="21"/>
    <n v="1199444316"/>
    <s v="SUNTRUST"/>
    <x v="5"/>
  </r>
  <r>
    <x v="21"/>
    <n v="1065916156.21"/>
    <s v="AMTRUST"/>
    <x v="6"/>
  </r>
  <r>
    <x v="21"/>
    <n v="995868510.13"/>
    <s v="ALLY"/>
    <x v="7"/>
  </r>
  <r>
    <x v="21"/>
    <n v="681109796"/>
    <s v="FLAGSTAR"/>
    <x v="8"/>
  </r>
  <r>
    <x v="21"/>
    <n v="548837801.54999995"/>
    <s v="PHH"/>
    <x v="9"/>
  </r>
  <r>
    <x v="22"/>
    <n v="4550926488.3800001"/>
    <s v="WELLS FARGO"/>
    <x v="0"/>
  </r>
  <r>
    <x v="22"/>
    <n v="2515091694.6199999"/>
    <s v="BANK OF AMERICA"/>
    <x v="1"/>
  </r>
  <r>
    <x v="22"/>
    <n v="2424326679.6300001"/>
    <s v="CITI"/>
    <x v="2"/>
  </r>
  <r>
    <x v="22"/>
    <n v="2418760155.1700001"/>
    <s v="CHASE"/>
    <x v="3"/>
  </r>
  <r>
    <x v="22"/>
    <n v="1685306018.4400001"/>
    <s v="CWB"/>
    <x v="4"/>
  </r>
  <r>
    <x v="22"/>
    <n v="1232068329"/>
    <s v="SUNTRUST"/>
    <x v="5"/>
  </r>
  <r>
    <x v="22"/>
    <n v="715357720.58000004"/>
    <s v="AMTRUST"/>
    <x v="6"/>
  </r>
  <r>
    <x v="22"/>
    <n v="653795272.74000001"/>
    <s v="ALLY"/>
    <x v="7"/>
  </r>
  <r>
    <x v="22"/>
    <n v="484912507.41000003"/>
    <s v="PHH"/>
    <x v="8"/>
  </r>
  <r>
    <x v="22"/>
    <n v="401866202.69999999"/>
    <s v="FLAGSTAR"/>
    <x v="9"/>
  </r>
  <r>
    <x v="23"/>
    <n v="8422014425.4099998"/>
    <s v="CHASE"/>
    <x v="0"/>
  </r>
  <r>
    <x v="23"/>
    <n v="5550356551.6300001"/>
    <s v="WELLS FARGO"/>
    <x v="1"/>
  </r>
  <r>
    <x v="23"/>
    <n v="3106185436.3600001"/>
    <s v="BANK OF AMERICA"/>
    <x v="2"/>
  </r>
  <r>
    <x v="23"/>
    <n v="2591575469.4400001"/>
    <s v="CITI"/>
    <x v="3"/>
  </r>
  <r>
    <x v="23"/>
    <n v="2336672835.98"/>
    <s v="HSBC"/>
    <x v="4"/>
  </r>
  <r>
    <x v="23"/>
    <n v="2178270115.3600001"/>
    <s v="CWB"/>
    <x v="5"/>
  </r>
  <r>
    <x v="23"/>
    <n v="1530928194.1400001"/>
    <s v="RBS"/>
    <x v="6"/>
  </r>
  <r>
    <x v="23"/>
    <n v="1525277871.1700001"/>
    <s v="PNC"/>
    <x v="7"/>
  </r>
  <r>
    <x v="23"/>
    <n v="1283604308.3099999"/>
    <s v="ALLY"/>
    <x v="8"/>
  </r>
  <r>
    <x v="23"/>
    <n v="1081151550.25"/>
    <s v="SUNTRUST"/>
    <x v="9"/>
  </r>
  <r>
    <x v="24"/>
    <n v="3756680738.23"/>
    <s v="WELLS FARGO"/>
    <x v="0"/>
  </r>
  <r>
    <x v="24"/>
    <n v="3537510920.7199998"/>
    <s v="BANK OF AMERICA"/>
    <x v="1"/>
  </r>
  <r>
    <x v="24"/>
    <n v="2557155019.7199998"/>
    <s v="CWB"/>
    <x v="2"/>
  </r>
  <r>
    <x v="24"/>
    <n v="1760296401.01"/>
    <s v="CITI"/>
    <x v="3"/>
  </r>
  <r>
    <x v="24"/>
    <n v="923120637.58000004"/>
    <s v="AMTRUST"/>
    <x v="4"/>
  </r>
  <r>
    <x v="24"/>
    <n v="855120211.13"/>
    <s v="CHASE"/>
    <x v="5"/>
  </r>
  <r>
    <x v="24"/>
    <n v="724583556.05999994"/>
    <s v="SUNTRUST"/>
    <x v="6"/>
  </r>
  <r>
    <x v="24"/>
    <n v="520733159.38"/>
    <s v="PHH"/>
    <x v="7"/>
  </r>
  <r>
    <x v="24"/>
    <n v="478631006.50999999"/>
    <s v="WACHOVIA"/>
    <x v="8"/>
  </r>
  <r>
    <x v="24"/>
    <n v="459181459.44"/>
    <s v="FLAGSTAR"/>
    <x v="9"/>
  </r>
  <r>
    <x v="25"/>
    <n v="9511580945.1800003"/>
    <s v="WELLS FARGO"/>
    <x v="0"/>
  </r>
  <r>
    <x v="25"/>
    <n v="9257448004.8400002"/>
    <s v="BANK OF AMERICA"/>
    <x v="1"/>
  </r>
  <r>
    <x v="25"/>
    <n v="2380664984.6799998"/>
    <s v="CITI"/>
    <x v="2"/>
  </r>
  <r>
    <x v="25"/>
    <n v="2220890353.6799998"/>
    <s v="SUNTRUST"/>
    <x v="3"/>
  </r>
  <r>
    <x v="25"/>
    <n v="1405817023"/>
    <s v="FLAGSTAR"/>
    <x v="4"/>
  </r>
  <r>
    <x v="25"/>
    <n v="1403736406.28"/>
    <s v="CHASE"/>
    <x v="5"/>
  </r>
  <r>
    <x v="25"/>
    <n v="1273764070.76"/>
    <s v="WACHOVIA"/>
    <x v="6"/>
  </r>
  <r>
    <x v="25"/>
    <n v="1078154854.03"/>
    <s v="AMTRUST"/>
    <x v="7"/>
  </r>
  <r>
    <x v="25"/>
    <n v="715164383.12"/>
    <s v="ALLY"/>
    <x v="8"/>
  </r>
  <r>
    <x v="25"/>
    <n v="630938838.39999998"/>
    <s v="PHH"/>
    <x v="9"/>
  </r>
  <r>
    <x v="26"/>
    <n v="14453685921.889999"/>
    <s v="BANK OF AMERICA"/>
    <x v="0"/>
  </r>
  <r>
    <x v="26"/>
    <n v="14368376825.32"/>
    <s v="WELLS FARGO"/>
    <x v="1"/>
  </r>
  <r>
    <x v="26"/>
    <n v="9514998899.3199997"/>
    <s v="CHASE"/>
    <x v="2"/>
  </r>
  <r>
    <x v="26"/>
    <n v="3669633504.7399998"/>
    <s v="CITI"/>
    <x v="3"/>
  </r>
  <r>
    <x v="26"/>
    <n v="2581902036.8600001"/>
    <s v="SUNTRUST"/>
    <x v="4"/>
  </r>
  <r>
    <x v="26"/>
    <n v="2137733570.1199999"/>
    <s v="AMTRUST"/>
    <x v="5"/>
  </r>
  <r>
    <x v="26"/>
    <n v="1622213766.6099999"/>
    <s v="ALLY"/>
    <x v="6"/>
  </r>
  <r>
    <x v="26"/>
    <n v="1427198629.9000001"/>
    <s v="WACHOVIA"/>
    <x v="7"/>
  </r>
  <r>
    <x v="26"/>
    <n v="1307784771.1199999"/>
    <s v="PHH"/>
    <x v="8"/>
  </r>
  <r>
    <x v="26"/>
    <n v="1216935785.27"/>
    <s v="FLAGSTAR"/>
    <x v="9"/>
  </r>
  <r>
    <x v="27"/>
    <n v="10866823472.32"/>
    <s v="WELLS FARGO"/>
    <x v="0"/>
  </r>
  <r>
    <x v="27"/>
    <n v="6613979565.25"/>
    <s v="BANK OF AMERICA"/>
    <x v="1"/>
  </r>
  <r>
    <x v="27"/>
    <n v="2636791196"/>
    <s v="SUNTRUST"/>
    <x v="2"/>
  </r>
  <r>
    <x v="27"/>
    <n v="2635227445.8499999"/>
    <s v="AMTRUST"/>
    <x v="3"/>
  </r>
  <r>
    <x v="27"/>
    <n v="2574869351.5599999"/>
    <s v="PHH"/>
    <x v="4"/>
  </r>
  <r>
    <x v="27"/>
    <n v="2214641693.3699999"/>
    <s v="CITI"/>
    <x v="5"/>
  </r>
  <r>
    <x v="27"/>
    <n v="1831852270.22"/>
    <s v="CHASE"/>
    <x v="6"/>
  </r>
  <r>
    <x v="27"/>
    <n v="1134925696.8199999"/>
    <s v="ALLY"/>
    <x v="7"/>
  </r>
  <r>
    <x v="27"/>
    <n v="1001661409"/>
    <s v="WACHOVIA"/>
    <x v="8"/>
  </r>
  <r>
    <x v="27"/>
    <n v="953947303"/>
    <s v="FLAGSTAR"/>
    <x v="9"/>
  </r>
  <r>
    <x v="28"/>
    <n v="16377153576.040001"/>
    <s v="WELLS FARGO"/>
    <x v="0"/>
  </r>
  <r>
    <x v="28"/>
    <n v="10980515274.559999"/>
    <s v="BANK OF AMERICA"/>
    <x v="1"/>
  </r>
  <r>
    <x v="28"/>
    <n v="7832451449.5500002"/>
    <s v="CHASE"/>
    <x v="2"/>
  </r>
  <r>
    <x v="28"/>
    <n v="7694647345.4300003"/>
    <s v="CITI"/>
    <x v="3"/>
  </r>
  <r>
    <x v="28"/>
    <n v="5729582604.1499996"/>
    <s v="PHH"/>
    <x v="4"/>
  </r>
  <r>
    <x v="28"/>
    <n v="3149383417.9400001"/>
    <s v="SUNTRUST"/>
    <x v="5"/>
  </r>
  <r>
    <x v="28"/>
    <n v="2568225957.29"/>
    <s v="AMTRUST"/>
    <x v="6"/>
  </r>
  <r>
    <x v="28"/>
    <n v="2007873609.8199999"/>
    <s v="ALLY"/>
    <x v="7"/>
  </r>
  <r>
    <x v="28"/>
    <n v="1538541620.98"/>
    <s v="FLAGSTAR"/>
    <x v="8"/>
  </r>
  <r>
    <x v="28"/>
    <n v="1367891457.2"/>
    <s v="PNC"/>
    <x v="9"/>
  </r>
  <r>
    <x v="29"/>
    <n v="18556306988.82"/>
    <s v="WELLS FARGO"/>
    <x v="0"/>
  </r>
  <r>
    <x v="29"/>
    <n v="16385859796.799999"/>
    <s v="BANK OF AMERICA"/>
    <x v="1"/>
  </r>
  <r>
    <x v="29"/>
    <n v="6300278425.04"/>
    <s v="CHASE"/>
    <x v="2"/>
  </r>
  <r>
    <x v="29"/>
    <n v="5504690092.9399996"/>
    <s v="CITI"/>
    <x v="3"/>
  </r>
  <r>
    <x v="29"/>
    <n v="3886793291.8899999"/>
    <s v="PHH"/>
    <x v="4"/>
  </r>
  <r>
    <x v="29"/>
    <n v="3485600189.8299999"/>
    <s v="SUNTRUST"/>
    <x v="5"/>
  </r>
  <r>
    <x v="29"/>
    <n v="2890599988.1900001"/>
    <s v="ALLY"/>
    <x v="6"/>
  </r>
  <r>
    <x v="29"/>
    <n v="2085681943.29"/>
    <s v="AMTRUST"/>
    <x v="7"/>
  </r>
  <r>
    <x v="29"/>
    <n v="2041508250.48"/>
    <s v="FLAGSTAR"/>
    <x v="8"/>
  </r>
  <r>
    <x v="29"/>
    <n v="1411001019.22"/>
    <s v="FANNIE MAE"/>
    <x v="9"/>
  </r>
  <r>
    <x v="30"/>
    <n v="17780279923.57"/>
    <s v="WELLS FARGO"/>
    <x v="0"/>
  </r>
  <r>
    <x v="30"/>
    <n v="13232923368.200001"/>
    <s v="BANK OF AMERICA"/>
    <x v="1"/>
  </r>
  <r>
    <x v="30"/>
    <n v="4078320972.77"/>
    <s v="CITI"/>
    <x v="2"/>
  </r>
  <r>
    <x v="30"/>
    <n v="3555049260.5900002"/>
    <s v="SUNTRUST"/>
    <x v="3"/>
  </r>
  <r>
    <x v="30"/>
    <n v="2256690852.2199998"/>
    <s v="ALLY"/>
    <x v="4"/>
  </r>
  <r>
    <x v="30"/>
    <n v="1985615127.78"/>
    <s v="PHH"/>
    <x v="5"/>
  </r>
  <r>
    <x v="30"/>
    <n v="1534118490.3199999"/>
    <s v="AMTRUST"/>
    <x v="6"/>
  </r>
  <r>
    <x v="30"/>
    <n v="1252653319.1900001"/>
    <s v="FLAGSTAR"/>
    <x v="7"/>
  </r>
  <r>
    <x v="30"/>
    <n v="933539103.72000003"/>
    <s v="CHASE"/>
    <x v="8"/>
  </r>
  <r>
    <x v="30"/>
    <n v="883282992.5"/>
    <s v="EVERBANK"/>
    <x v="9"/>
  </r>
  <r>
    <x v="31"/>
    <n v="13559469118.879999"/>
    <s v="WELLS FARGO"/>
    <x v="0"/>
  </r>
  <r>
    <x v="31"/>
    <n v="10631867083.52"/>
    <s v="BANK OF AMERICA"/>
    <x v="1"/>
  </r>
  <r>
    <x v="31"/>
    <n v="2226606400.2800002"/>
    <s v="CITI"/>
    <x v="2"/>
  </r>
  <r>
    <x v="31"/>
    <n v="2019788713.0599999"/>
    <s v="CHASE"/>
    <x v="3"/>
  </r>
  <r>
    <x v="31"/>
    <n v="1758618024"/>
    <s v="SUNTRUST"/>
    <x v="4"/>
  </r>
  <r>
    <x v="31"/>
    <n v="1508806380.53"/>
    <s v="ALLY"/>
    <x v="5"/>
  </r>
  <r>
    <x v="31"/>
    <n v="1454096040.6600001"/>
    <s v="PHH"/>
    <x v="6"/>
  </r>
  <r>
    <x v="31"/>
    <n v="1031320812.12"/>
    <s v="AMTRUST"/>
    <x v="7"/>
  </r>
  <r>
    <x v="31"/>
    <n v="954606164.92999995"/>
    <s v="FLAGSTAR"/>
    <x v="8"/>
  </r>
  <r>
    <x v="31"/>
    <n v="477277200.41000003"/>
    <s v="ASSOCIATED"/>
    <x v="9"/>
  </r>
  <r>
    <x v="32"/>
    <n v="9711261406.9500008"/>
    <s v="BANK OF AMERICA"/>
    <x v="0"/>
  </r>
  <r>
    <x v="32"/>
    <n v="9300876014.7000008"/>
    <s v="WELLS FARGO"/>
    <x v="1"/>
  </r>
  <r>
    <x v="32"/>
    <n v="3350176866.5500002"/>
    <s v="CHASE"/>
    <x v="2"/>
  </r>
  <r>
    <x v="32"/>
    <n v="1540011743"/>
    <s v="SUNTRUST"/>
    <x v="3"/>
  </r>
  <r>
    <x v="32"/>
    <n v="1511640714.96"/>
    <s v="CITI"/>
    <x v="4"/>
  </r>
  <r>
    <x v="32"/>
    <n v="1455262864.3900001"/>
    <s v="ALLY"/>
    <x v="5"/>
  </r>
  <r>
    <x v="32"/>
    <n v="1386139068.05"/>
    <s v="PHH"/>
    <x v="6"/>
  </r>
  <r>
    <x v="32"/>
    <n v="662314912"/>
    <s v="FLAGSTAR"/>
    <x v="7"/>
  </r>
  <r>
    <x v="32"/>
    <n v="535204931.82999998"/>
    <s v="AMTRUST"/>
    <x v="8"/>
  </r>
  <r>
    <x v="32"/>
    <n v="392896483"/>
    <s v="USAA"/>
    <x v="9"/>
  </r>
  <r>
    <x v="33"/>
    <n v="7211282362.8500004"/>
    <s v="WELLS FARGO"/>
    <x v="0"/>
  </r>
  <r>
    <x v="33"/>
    <n v="4625680962.5299997"/>
    <s v="BANK OF AMERICA"/>
    <x v="1"/>
  </r>
  <r>
    <x v="33"/>
    <n v="1418743217.1300001"/>
    <s v="ALLY"/>
    <x v="2"/>
  </r>
  <r>
    <x v="33"/>
    <n v="953298136"/>
    <s v="SUNTRUST"/>
    <x v="3"/>
  </r>
  <r>
    <x v="33"/>
    <n v="904919262.65999997"/>
    <s v="CHASE"/>
    <x v="4"/>
  </r>
  <r>
    <x v="33"/>
    <n v="715387862"/>
    <s v="FLAGSTAR"/>
    <x v="5"/>
  </r>
  <r>
    <x v="33"/>
    <n v="708008708.12"/>
    <s v="CITI"/>
    <x v="6"/>
  </r>
  <r>
    <x v="33"/>
    <n v="601179484.77999997"/>
    <s v="HSBC"/>
    <x v="7"/>
  </r>
  <r>
    <x v="33"/>
    <n v="583166238.41999996"/>
    <s v="PHH"/>
    <x v="8"/>
  </r>
  <r>
    <x v="33"/>
    <n v="328546288.49000001"/>
    <s v="AMTRUST"/>
    <x v="9"/>
  </r>
  <r>
    <x v="34"/>
    <n v="7751269955.25"/>
    <s v="WELLS FARGO"/>
    <x v="0"/>
  </r>
  <r>
    <x v="34"/>
    <n v="4687150253.25"/>
    <s v="CHASE"/>
    <x v="1"/>
  </r>
  <r>
    <x v="34"/>
    <n v="2540213073.8200002"/>
    <s v="BANK OF AMERICA"/>
    <x v="2"/>
  </r>
  <r>
    <x v="34"/>
    <n v="1807093775.6700001"/>
    <s v="ALLY"/>
    <x v="3"/>
  </r>
  <r>
    <x v="34"/>
    <n v="928978146"/>
    <s v="SUNTRUST"/>
    <x v="4"/>
  </r>
  <r>
    <x v="34"/>
    <n v="920145976.58000004"/>
    <s v="CITI"/>
    <x v="5"/>
  </r>
  <r>
    <x v="34"/>
    <n v="725941382.64999998"/>
    <s v="FLAGSTAR"/>
    <x v="6"/>
  </r>
  <r>
    <x v="34"/>
    <n v="677909185.74000001"/>
    <s v="AMTRUST"/>
    <x v="7"/>
  </r>
  <r>
    <x v="34"/>
    <n v="664611984.01999998"/>
    <s v="PHH"/>
    <x v="8"/>
  </r>
  <r>
    <x v="34"/>
    <n v="333607808.50999999"/>
    <s v="HSBC"/>
    <x v="9"/>
  </r>
  <r>
    <x v="35"/>
    <n v="11583901052.780001"/>
    <s v="WELLS FARGO"/>
    <x v="0"/>
  </r>
  <r>
    <x v="35"/>
    <n v="6453958851"/>
    <s v="BANK OF AMERICA"/>
    <x v="1"/>
  </r>
  <r>
    <x v="35"/>
    <n v="2038481662.5999999"/>
    <s v="CHASE"/>
    <x v="2"/>
  </r>
  <r>
    <x v="35"/>
    <n v="1731178948.49"/>
    <s v="ALLY"/>
    <x v="3"/>
  </r>
  <r>
    <x v="35"/>
    <n v="1127780359"/>
    <s v="SUNTRUST"/>
    <x v="4"/>
  </r>
  <r>
    <x v="35"/>
    <n v="975997990"/>
    <s v="FLAGSTAR"/>
    <x v="5"/>
  </r>
  <r>
    <x v="35"/>
    <n v="973330970.29999995"/>
    <s v="HSBC"/>
    <x v="6"/>
  </r>
  <r>
    <x v="35"/>
    <n v="852057605.63"/>
    <s v="CITI"/>
    <x v="7"/>
  </r>
  <r>
    <x v="35"/>
    <n v="851642916.98000002"/>
    <s v="PHH"/>
    <x v="8"/>
  </r>
  <r>
    <x v="35"/>
    <n v="421704151"/>
    <s v="USAA"/>
    <x v="9"/>
  </r>
  <r>
    <x v="36"/>
    <n v="9978849287.2000008"/>
    <s v="WELLS FARGO"/>
    <x v="0"/>
  </r>
  <r>
    <x v="36"/>
    <n v="5521288700.1800003"/>
    <s v="BANK OF AMERICA"/>
    <x v="1"/>
  </r>
  <r>
    <x v="36"/>
    <n v="2582467892.6500001"/>
    <s v="CHASE"/>
    <x v="2"/>
  </r>
  <r>
    <x v="36"/>
    <n v="1887253190.6600001"/>
    <s v="ALLY"/>
    <x v="3"/>
  </r>
  <r>
    <x v="36"/>
    <n v="889060529"/>
    <s v="SUNTRUST"/>
    <x v="4"/>
  </r>
  <r>
    <x v="36"/>
    <n v="779839250.55999994"/>
    <s v="CITI"/>
    <x v="5"/>
  </r>
  <r>
    <x v="36"/>
    <n v="736021209.74000001"/>
    <s v="FLAGSTAR"/>
    <x v="6"/>
  </r>
  <r>
    <x v="36"/>
    <n v="657628874.59000003"/>
    <s v="AMTRUST"/>
    <x v="7"/>
  </r>
  <r>
    <x v="36"/>
    <n v="498952028"/>
    <s v="USAA"/>
    <x v="8"/>
  </r>
  <r>
    <x v="36"/>
    <n v="386823003.75999999"/>
    <s v="FREMONT BANK"/>
    <x v="9"/>
  </r>
  <r>
    <x v="37"/>
    <n v="9807430995.9200001"/>
    <s v="WELLS FARGO"/>
    <x v="0"/>
  </r>
  <r>
    <x v="37"/>
    <n v="5305630826.1899996"/>
    <s v="BANK OF AMERICA"/>
    <x v="1"/>
  </r>
  <r>
    <x v="37"/>
    <n v="4446325379.8299999"/>
    <s v="CHASE"/>
    <x v="2"/>
  </r>
  <r>
    <x v="37"/>
    <n v="2017223525.6800001"/>
    <s v="ALLY"/>
    <x v="3"/>
  </r>
  <r>
    <x v="37"/>
    <n v="1155889082.1500001"/>
    <s v="CITI"/>
    <x v="4"/>
  </r>
  <r>
    <x v="37"/>
    <n v="719496863"/>
    <s v="SUNTRUST"/>
    <x v="5"/>
  </r>
  <r>
    <x v="37"/>
    <n v="535898276.69"/>
    <s v="FLAGSTAR"/>
    <x v="6"/>
  </r>
  <r>
    <x v="37"/>
    <n v="442717691"/>
    <s v="USAA"/>
    <x v="7"/>
  </r>
  <r>
    <x v="37"/>
    <n v="415371190.91000003"/>
    <s v="PHH"/>
    <x v="8"/>
  </r>
  <r>
    <x v="37"/>
    <n v="373476000"/>
    <s v="DB MORTGAGE SERVICES, LLC"/>
    <x v="9"/>
  </r>
  <r>
    <x v="38"/>
    <n v="7752148414.0900002"/>
    <s v="WELLS FARGO"/>
    <x v="0"/>
  </r>
  <r>
    <x v="38"/>
    <n v="3913725904.1500001"/>
    <s v="CHASE"/>
    <x v="1"/>
  </r>
  <r>
    <x v="38"/>
    <n v="3199831541.8899999"/>
    <s v="BANK OF AMERICA"/>
    <x v="2"/>
  </r>
  <r>
    <x v="38"/>
    <n v="1009165492.87"/>
    <s v="ALLY"/>
    <x v="3"/>
  </r>
  <r>
    <x v="38"/>
    <n v="751666992.55999994"/>
    <s v="CITI"/>
    <x v="4"/>
  </r>
  <r>
    <x v="38"/>
    <n v="509344142.41000003"/>
    <s v="SUNTRUST"/>
    <x v="5"/>
  </r>
  <r>
    <x v="38"/>
    <n v="489940410.56"/>
    <s v="PHH"/>
    <x v="6"/>
  </r>
  <r>
    <x v="38"/>
    <n v="466248926.74000001"/>
    <s v="FLAGSTAR"/>
    <x v="7"/>
  </r>
  <r>
    <x v="38"/>
    <n v="357652436"/>
    <s v="USAA"/>
    <x v="8"/>
  </r>
  <r>
    <x v="38"/>
    <n v="280526539.32999998"/>
    <s v="NY COMMUNITY"/>
    <x v="9"/>
  </r>
  <r>
    <x v="39"/>
    <n v="8759856160.0100002"/>
    <s v="WELLS FARGO"/>
    <x v="0"/>
  </r>
  <r>
    <x v="39"/>
    <n v="6045923010.6400003"/>
    <s v="BANK OF AMERICA"/>
    <x v="1"/>
  </r>
  <r>
    <x v="39"/>
    <n v="2196781706.52"/>
    <s v="CHASE"/>
    <x v="2"/>
  </r>
  <r>
    <x v="39"/>
    <n v="1206641880.98"/>
    <s v="ALLY"/>
    <x v="3"/>
  </r>
  <r>
    <x v="39"/>
    <n v="717269259.21000004"/>
    <s v="CITI"/>
    <x v="4"/>
  </r>
  <r>
    <x v="39"/>
    <n v="622792880"/>
    <s v="SUNTRUST"/>
    <x v="5"/>
  </r>
  <r>
    <x v="39"/>
    <n v="566563714.44000006"/>
    <s v="NY COMMUNITY"/>
    <x v="6"/>
  </r>
  <r>
    <x v="39"/>
    <n v="544126887.90999997"/>
    <s v="FLAGSTAR"/>
    <x v="7"/>
  </r>
  <r>
    <x v="39"/>
    <n v="376001263"/>
    <s v="USAA"/>
    <x v="8"/>
  </r>
  <r>
    <x v="39"/>
    <n v="365340363"/>
    <s v="WALKER&amp;DUNLOP"/>
    <x v="9"/>
  </r>
  <r>
    <x v="40"/>
    <n v="7983117228.6700001"/>
    <s v="WELLS FARGO"/>
    <x v="0"/>
  </r>
  <r>
    <x v="40"/>
    <n v="6085851450.0900002"/>
    <s v="BANK OF AMERICA"/>
    <x v="1"/>
  </r>
  <r>
    <x v="40"/>
    <n v="3408756489.0999999"/>
    <s v="CHASE"/>
    <x v="2"/>
  </r>
  <r>
    <x v="40"/>
    <n v="1280550786.26"/>
    <s v="ALLY"/>
    <x v="3"/>
  </r>
  <r>
    <x v="40"/>
    <n v="979069118.75"/>
    <s v="CITI"/>
    <x v="4"/>
  </r>
  <r>
    <x v="40"/>
    <n v="827846631.82000005"/>
    <s v="PHH"/>
    <x v="5"/>
  </r>
  <r>
    <x v="40"/>
    <n v="757778464"/>
    <s v="SUNTRUST"/>
    <x v="6"/>
  </r>
  <r>
    <x v="40"/>
    <n v="748562261.27999997"/>
    <s v="FLAGSTAR"/>
    <x v="7"/>
  </r>
  <r>
    <x v="40"/>
    <n v="397458378.94"/>
    <s v="NY COMMUNITY"/>
    <x v="8"/>
  </r>
  <r>
    <x v="40"/>
    <n v="325610197.19999999"/>
    <s v="PNC"/>
    <x v="9"/>
  </r>
  <r>
    <x v="41"/>
    <n v="8159699856.3800001"/>
    <s v="WELLS FARGO"/>
    <x v="0"/>
  </r>
  <r>
    <x v="41"/>
    <n v="6657706403.3699999"/>
    <s v="BANK OF AMERICA"/>
    <x v="1"/>
  </r>
  <r>
    <x v="41"/>
    <n v="5102381874.5"/>
    <s v="CHASE"/>
    <x v="2"/>
  </r>
  <r>
    <x v="41"/>
    <n v="1873141654.6800001"/>
    <s v="ALLY"/>
    <x v="3"/>
  </r>
  <r>
    <x v="41"/>
    <n v="1302820990.45"/>
    <s v="CITI"/>
    <x v="4"/>
  </r>
  <r>
    <x v="41"/>
    <n v="987339146.05999994"/>
    <s v="PHH"/>
    <x v="5"/>
  </r>
  <r>
    <x v="41"/>
    <n v="843058237.84000003"/>
    <s v="FLAGSTAR"/>
    <x v="6"/>
  </r>
  <r>
    <x v="41"/>
    <n v="705883099.42999995"/>
    <s v="SUNTRUST"/>
    <x v="7"/>
  </r>
  <r>
    <x v="41"/>
    <n v="418791874.29000002"/>
    <s v="NY COMMUNITY"/>
    <x v="8"/>
  </r>
  <r>
    <x v="41"/>
    <n v="306820436.19"/>
    <s v="PNC"/>
    <x v="9"/>
  </r>
  <r>
    <x v="42"/>
    <n v="8955541938.4400005"/>
    <s v="WELLS FARGO"/>
    <x v="0"/>
  </r>
  <r>
    <x v="42"/>
    <n v="6566683766.2700005"/>
    <s v="BANK OF AMERICA"/>
    <x v="1"/>
  </r>
  <r>
    <x v="42"/>
    <n v="5566835247.3199997"/>
    <s v="CHASE"/>
    <x v="2"/>
  </r>
  <r>
    <x v="42"/>
    <n v="2520047942.54"/>
    <s v="ALLY"/>
    <x v="3"/>
  </r>
  <r>
    <x v="42"/>
    <n v="1445083188.54"/>
    <s v="CITI"/>
    <x v="4"/>
  </r>
  <r>
    <x v="42"/>
    <n v="974133095.32000005"/>
    <s v="PHH"/>
    <x v="5"/>
  </r>
  <r>
    <x v="42"/>
    <n v="675914527.42999995"/>
    <s v="NY COMMUNITY"/>
    <x v="6"/>
  </r>
  <r>
    <x v="42"/>
    <n v="652414196.23000002"/>
    <s v="SUNTRUST"/>
    <x v="7"/>
  </r>
  <r>
    <x v="42"/>
    <n v="621237152.12"/>
    <s v="FLAGSTAR"/>
    <x v="8"/>
  </r>
  <r>
    <x v="42"/>
    <n v="474094385.06999999"/>
    <s v="THIRD FEDERAL"/>
    <x v="9"/>
  </r>
  <r>
    <x v="43"/>
    <n v="10445666888.360001"/>
    <s v="WELLS FARGO"/>
    <x v="0"/>
  </r>
  <r>
    <x v="43"/>
    <n v="6780683677.4899998"/>
    <s v="BANK OF AMERICA"/>
    <x v="1"/>
  </r>
  <r>
    <x v="43"/>
    <n v="2690541294.77"/>
    <s v="ALLY"/>
    <x v="2"/>
  </r>
  <r>
    <x v="43"/>
    <n v="2635279121.3899999"/>
    <s v="CITI"/>
    <x v="3"/>
  </r>
  <r>
    <x v="43"/>
    <n v="2469426656.7399998"/>
    <s v="CHASE"/>
    <x v="4"/>
  </r>
  <r>
    <x v="43"/>
    <n v="1438161442.27"/>
    <s v="FLAGSTAR"/>
    <x v="5"/>
  </r>
  <r>
    <x v="43"/>
    <n v="1411205922.8599999"/>
    <s v="PHH"/>
    <x v="6"/>
  </r>
  <r>
    <x v="43"/>
    <n v="1027381931.53"/>
    <s v="SUNTRUST"/>
    <x v="7"/>
  </r>
  <r>
    <x v="43"/>
    <n v="679976598.80999994"/>
    <s v="NY COMMUNITY"/>
    <x v="8"/>
  </r>
  <r>
    <x v="43"/>
    <n v="604184628"/>
    <s v="TD BANK, N.A."/>
    <x v="9"/>
  </r>
  <r>
    <x v="44"/>
    <n v="13523481421.540001"/>
    <s v="CHASE"/>
    <x v="0"/>
  </r>
  <r>
    <x v="44"/>
    <n v="12647051419.92"/>
    <s v="WELLS FARGO"/>
    <x v="1"/>
  </r>
  <r>
    <x v="44"/>
    <n v="8801662456.9899998"/>
    <s v="BANK OF AMERICA"/>
    <x v="2"/>
  </r>
  <r>
    <x v="44"/>
    <n v="4518559940.5299997"/>
    <s v="CITI"/>
    <x v="3"/>
  </r>
  <r>
    <x v="44"/>
    <n v="3646842839.0100002"/>
    <s v="ALLY"/>
    <x v="4"/>
  </r>
  <r>
    <x v="44"/>
    <n v="2082908596.8599999"/>
    <s v="FLAGSTAR"/>
    <x v="5"/>
  </r>
  <r>
    <x v="44"/>
    <n v="1754955724.47"/>
    <s v="PHH"/>
    <x v="6"/>
  </r>
  <r>
    <x v="44"/>
    <n v="1120073087.9000001"/>
    <s v="SUNTRUST"/>
    <x v="7"/>
  </r>
  <r>
    <x v="44"/>
    <n v="1105134409.6900001"/>
    <s v="NY COMMUNITY"/>
    <x v="8"/>
  </r>
  <r>
    <x v="44"/>
    <n v="842265479.03999996"/>
    <s v="QUICKEN"/>
    <x v="9"/>
  </r>
  <r>
    <x v="45"/>
    <n v="13935891180.24"/>
    <s v="WELLS FARGO"/>
    <x v="0"/>
  </r>
  <r>
    <x v="45"/>
    <n v="7173559851.6000004"/>
    <s v="BANK OF AMERICA"/>
    <x v="1"/>
  </r>
  <r>
    <x v="45"/>
    <n v="7032221976"/>
    <s v="CHASE"/>
    <x v="2"/>
  </r>
  <r>
    <x v="45"/>
    <n v="4867074403.2299995"/>
    <s v="ALLY"/>
    <x v="3"/>
  </r>
  <r>
    <x v="45"/>
    <n v="4545541491.3000002"/>
    <s v="CITI"/>
    <x v="4"/>
  </r>
  <r>
    <x v="45"/>
    <n v="1772716757.7"/>
    <s v="PHH"/>
    <x v="5"/>
  </r>
  <r>
    <x v="45"/>
    <n v="1584815106.8800001"/>
    <s v="FLAGSTAR"/>
    <x v="6"/>
  </r>
  <r>
    <x v="45"/>
    <n v="1236774477.01"/>
    <s v="SUNTRUST"/>
    <x v="7"/>
  </r>
  <r>
    <x v="45"/>
    <n v="1043295632.48"/>
    <s v="PNC"/>
    <x v="8"/>
  </r>
  <r>
    <x v="45"/>
    <n v="985412820.13999999"/>
    <s v="QUICKEN"/>
    <x v="9"/>
  </r>
  <r>
    <x v="46"/>
    <n v="13909502726.82"/>
    <s v="WELLS FARGO"/>
    <x v="0"/>
  </r>
  <r>
    <x v="46"/>
    <n v="8077232839.9099998"/>
    <s v="BANK OF AMERICA"/>
    <x v="1"/>
  </r>
  <r>
    <x v="46"/>
    <n v="5669944072.8400002"/>
    <s v="CHASE"/>
    <x v="2"/>
  </r>
  <r>
    <x v="46"/>
    <n v="4631288816.5799999"/>
    <s v="ALLY"/>
    <x v="3"/>
  </r>
  <r>
    <x v="46"/>
    <n v="4042775700.8400002"/>
    <s v="CITI"/>
    <x v="4"/>
  </r>
  <r>
    <x v="46"/>
    <n v="2192767460.75"/>
    <s v="PHH"/>
    <x v="5"/>
  </r>
  <r>
    <x v="46"/>
    <n v="1752605955.22"/>
    <s v="QUICKEN"/>
    <x v="6"/>
  </r>
  <r>
    <x v="46"/>
    <n v="1652225345.79"/>
    <s v="FLAGSTAR"/>
    <x v="7"/>
  </r>
  <r>
    <x v="46"/>
    <n v="1583568018.25"/>
    <s v="SUNTRUST"/>
    <x v="8"/>
  </r>
  <r>
    <x v="46"/>
    <n v="1122048685"/>
    <s v="PRUDENTIAL MULTIFAMILY MORTGAGE INC."/>
    <x v="9"/>
  </r>
  <r>
    <x v="47"/>
    <n v="14878642995.780001"/>
    <s v="WELLS FARGO"/>
    <x v="0"/>
  </r>
  <r>
    <x v="47"/>
    <n v="13177768197.51"/>
    <s v="CHASE"/>
    <x v="1"/>
  </r>
  <r>
    <x v="47"/>
    <n v="11678030199.870001"/>
    <s v="BANK OF AMERICA"/>
    <x v="2"/>
  </r>
  <r>
    <x v="47"/>
    <n v="4455935640.6099997"/>
    <s v="CITI"/>
    <x v="3"/>
  </r>
  <r>
    <x v="47"/>
    <n v="4077546240.5599999"/>
    <s v="ALLY"/>
    <x v="4"/>
  </r>
  <r>
    <x v="47"/>
    <n v="1808961584.6800001"/>
    <s v="SUNTRUST"/>
    <x v="5"/>
  </r>
  <r>
    <x v="47"/>
    <n v="1787042808.5599999"/>
    <s v="FLAGSTAR"/>
    <x v="6"/>
  </r>
  <r>
    <x v="47"/>
    <n v="1232116719.6400001"/>
    <s v="REGIONS BANK"/>
    <x v="7"/>
  </r>
  <r>
    <x v="47"/>
    <n v="1213409683.3399999"/>
    <s v="PHH"/>
    <x v="8"/>
  </r>
  <r>
    <x v="47"/>
    <n v="1075335371.8499999"/>
    <s v="PNC"/>
    <x v="9"/>
  </r>
  <r>
    <x v="48"/>
    <n v="15157548488.809999"/>
    <s v="WELLS FARGO"/>
    <x v="0"/>
  </r>
  <r>
    <x v="48"/>
    <n v="10056413197.809999"/>
    <s v="BANK OF AMERICA"/>
    <x v="1"/>
  </r>
  <r>
    <x v="48"/>
    <n v="5654825118.79"/>
    <s v="CHASE"/>
    <x v="2"/>
  </r>
  <r>
    <x v="48"/>
    <n v="4288064391.23"/>
    <s v="CITI"/>
    <x v="3"/>
  </r>
  <r>
    <x v="48"/>
    <n v="3768046307.4699998"/>
    <s v="ALLY"/>
    <x v="4"/>
  </r>
  <r>
    <x v="48"/>
    <n v="2454761687.0100002"/>
    <s v="PHH"/>
    <x v="5"/>
  </r>
  <r>
    <x v="48"/>
    <n v="1652845494.29"/>
    <s v="FLAGSTAR"/>
    <x v="6"/>
  </r>
  <r>
    <x v="48"/>
    <n v="1553817144.2"/>
    <s v="SUNTRUST"/>
    <x v="7"/>
  </r>
  <r>
    <x v="48"/>
    <n v="835486551.41999996"/>
    <s v="NY COMMUNITY"/>
    <x v="8"/>
  </r>
  <r>
    <x v="48"/>
    <n v="805596212.40999997"/>
    <s v="PNC"/>
    <x v="9"/>
  </r>
  <r>
    <x v="49"/>
    <n v="12839332402.040001"/>
    <s v="WELLS FARGO"/>
    <x v="0"/>
  </r>
  <r>
    <x v="49"/>
    <n v="9579024294.3700008"/>
    <s v="BANK OF AMERICA"/>
    <x v="1"/>
  </r>
  <r>
    <x v="49"/>
    <n v="4282742234.9099998"/>
    <s v="CHASE"/>
    <x v="2"/>
  </r>
  <r>
    <x v="49"/>
    <n v="2523521818.0799999"/>
    <s v="CITI"/>
    <x v="3"/>
  </r>
  <r>
    <x v="49"/>
    <n v="2208311207.8699999"/>
    <s v="PHH"/>
    <x v="4"/>
  </r>
  <r>
    <x v="49"/>
    <n v="1927727999.48"/>
    <s v="ALLY"/>
    <x v="5"/>
  </r>
  <r>
    <x v="49"/>
    <n v="1247167117.3299999"/>
    <s v="SUNTRUST"/>
    <x v="6"/>
  </r>
  <r>
    <x v="49"/>
    <n v="855765018.10000002"/>
    <s v="FLAGSTAR"/>
    <x v="7"/>
  </r>
  <r>
    <x v="49"/>
    <n v="731935459.64999998"/>
    <s v="PNC"/>
    <x v="8"/>
  </r>
  <r>
    <x v="49"/>
    <n v="447638536.25"/>
    <s v="NY COMMUNITY"/>
    <x v="9"/>
  </r>
  <r>
    <x v="50"/>
    <n v="9636191150.4599991"/>
    <s v="WELLS FARGO"/>
    <x v="0"/>
  </r>
  <r>
    <x v="50"/>
    <n v="9485405797.4699993"/>
    <s v="CHASE"/>
    <x v="1"/>
  </r>
  <r>
    <x v="50"/>
    <n v="8683894317.7800007"/>
    <s v="BANK OF AMERICA"/>
    <x v="2"/>
  </r>
  <r>
    <x v="50"/>
    <n v="2657649716.0999999"/>
    <s v="CITI"/>
    <x v="3"/>
  </r>
  <r>
    <x v="50"/>
    <n v="2586644966.1999998"/>
    <s v="PHH"/>
    <x v="4"/>
  </r>
  <r>
    <x v="50"/>
    <n v="2121205602.46"/>
    <s v="ALLY"/>
    <x v="5"/>
  </r>
  <r>
    <x v="50"/>
    <n v="1186577224.8"/>
    <s v="SUNTRUST"/>
    <x v="6"/>
  </r>
  <r>
    <x v="50"/>
    <n v="740800134.88999999"/>
    <s v="FLAGSTAR"/>
    <x v="7"/>
  </r>
  <r>
    <x v="50"/>
    <n v="705043007.98000002"/>
    <s v="PNC"/>
    <x v="8"/>
  </r>
  <r>
    <x v="50"/>
    <n v="488914060"/>
    <s v="WALKER&amp;DUNLOP"/>
    <x v="9"/>
  </r>
  <r>
    <x v="51"/>
    <n v="7444150512.3199997"/>
    <s v="WELLS FARGO"/>
    <x v="0"/>
  </r>
  <r>
    <x v="51"/>
    <n v="4730559226.2700005"/>
    <s v="BANK OF AMERICA"/>
    <x v="1"/>
  </r>
  <r>
    <x v="51"/>
    <n v="3767154561.3800001"/>
    <s v="CHASE"/>
    <x v="2"/>
  </r>
  <r>
    <x v="51"/>
    <n v="2120004498.6400001"/>
    <s v="CITI"/>
    <x v="3"/>
  </r>
  <r>
    <x v="51"/>
    <n v="1116379416.3"/>
    <s v="ALLY"/>
    <x v="4"/>
  </r>
  <r>
    <x v="51"/>
    <n v="811722395.58000004"/>
    <s v="FLAGSTAR"/>
    <x v="5"/>
  </r>
  <r>
    <x v="51"/>
    <n v="764963730.72000003"/>
    <s v="PNC"/>
    <x v="6"/>
  </r>
  <r>
    <x v="51"/>
    <n v="674113666.69000006"/>
    <s v="SUNTRUST"/>
    <x v="7"/>
  </r>
  <r>
    <x v="51"/>
    <n v="581314774.17999995"/>
    <s v="PHH"/>
    <x v="8"/>
  </r>
  <r>
    <x v="51"/>
    <n v="341092933.08999997"/>
    <s v="REGIONS BANK"/>
    <x v="9"/>
  </r>
  <r>
    <x v="52"/>
    <n v="6796796476.5"/>
    <s v="WELLS FARGO"/>
    <x v="0"/>
  </r>
  <r>
    <x v="52"/>
    <n v="4462100152.5799999"/>
    <s v="CHASE"/>
    <x v="1"/>
  </r>
  <r>
    <x v="52"/>
    <n v="2894353490.4000001"/>
    <s v="BANK OF AMERICA"/>
    <x v="2"/>
  </r>
  <r>
    <x v="52"/>
    <n v="1772156272.1099999"/>
    <s v="CITI"/>
    <x v="3"/>
  </r>
  <r>
    <x v="52"/>
    <n v="1714672795.1500001"/>
    <s v="ALLY"/>
    <x v="4"/>
  </r>
  <r>
    <x v="52"/>
    <n v="841140321.39999998"/>
    <s v="FLAGSTAR"/>
    <x v="5"/>
  </r>
  <r>
    <x v="52"/>
    <n v="752156908.72000003"/>
    <s v="PHH"/>
    <x v="6"/>
  </r>
  <r>
    <x v="52"/>
    <n v="563716044.37"/>
    <s v="SUNTRUST"/>
    <x v="7"/>
  </r>
  <r>
    <x v="52"/>
    <n v="489084046.74000001"/>
    <s v="PNC"/>
    <x v="8"/>
  </r>
  <r>
    <x v="52"/>
    <n v="284055237"/>
    <s v="ARBOR"/>
    <x v="9"/>
  </r>
  <r>
    <x v="53"/>
    <n v="8100182361.9399996"/>
    <s v="WELLS FARGO"/>
    <x v="0"/>
  </r>
  <r>
    <x v="53"/>
    <n v="5545967032.6400003"/>
    <s v="CHASE"/>
    <x v="1"/>
  </r>
  <r>
    <x v="53"/>
    <n v="3143184905.6100001"/>
    <s v="ALLY"/>
    <x v="2"/>
  </r>
  <r>
    <x v="53"/>
    <n v="2911823738.5799999"/>
    <s v="BANK OF AMERICA"/>
    <x v="3"/>
  </r>
  <r>
    <x v="53"/>
    <n v="1549429492.6099999"/>
    <s v="CITI"/>
    <x v="4"/>
  </r>
  <r>
    <x v="53"/>
    <n v="1268561247.9400001"/>
    <s v="PHH"/>
    <x v="5"/>
  </r>
  <r>
    <x v="53"/>
    <n v="602058992.67999995"/>
    <s v="SUNTRUST"/>
    <x v="6"/>
  </r>
  <r>
    <x v="53"/>
    <n v="539015420.57000005"/>
    <s v="FLAGSTAR"/>
    <x v="7"/>
  </r>
  <r>
    <x v="53"/>
    <n v="494592251"/>
    <s v="M &amp; T REALTY CAPITAL CORPORATION"/>
    <x v="8"/>
  </r>
  <r>
    <x v="53"/>
    <n v="440788343.07999998"/>
    <s v="PNC"/>
    <x v="9"/>
  </r>
  <r>
    <x v="54"/>
    <n v="5308788048.8400002"/>
    <s v="WELLS FARGO"/>
    <x v="0"/>
  </r>
  <r>
    <x v="54"/>
    <n v="3552030616.75"/>
    <s v="CHASE"/>
    <x v="1"/>
  </r>
  <r>
    <x v="54"/>
    <n v="3451560618.73"/>
    <s v="CITI"/>
    <x v="2"/>
  </r>
  <r>
    <x v="54"/>
    <n v="3164049641.8699999"/>
    <s v="BANK OF AMERICA"/>
    <x v="3"/>
  </r>
  <r>
    <x v="54"/>
    <n v="1623998106.96"/>
    <s v="ALLY"/>
    <x v="4"/>
  </r>
  <r>
    <x v="54"/>
    <n v="848545824.13999999"/>
    <s v="FLAGSTAR"/>
    <x v="5"/>
  </r>
  <r>
    <x v="54"/>
    <n v="722217253.57000005"/>
    <s v="SUNTRUST"/>
    <x v="6"/>
  </r>
  <r>
    <x v="54"/>
    <n v="598908757.10000002"/>
    <s v="PNC"/>
    <x v="7"/>
  </r>
  <r>
    <x v="54"/>
    <n v="488802884.07999998"/>
    <s v="PHH"/>
    <x v="8"/>
  </r>
  <r>
    <x v="54"/>
    <n v="312614394"/>
    <s v="BEECH STREET CAPITAL, LLC"/>
    <x v="9"/>
  </r>
  <r>
    <x v="55"/>
    <n v="8975675585.0300007"/>
    <s v="WELLS FARGO"/>
    <x v="0"/>
  </r>
  <r>
    <x v="55"/>
    <n v="5856036812.3699999"/>
    <s v="CHASE"/>
    <x v="1"/>
  </r>
  <r>
    <x v="55"/>
    <n v="3731162831.54"/>
    <s v="BANK OF AMERICA"/>
    <x v="2"/>
  </r>
  <r>
    <x v="55"/>
    <n v="2329334472.6700001"/>
    <s v="ALLY"/>
    <x v="3"/>
  </r>
  <r>
    <x v="55"/>
    <n v="1558677252.3900001"/>
    <s v="CITI"/>
    <x v="4"/>
  </r>
  <r>
    <x v="55"/>
    <n v="1496155189.5"/>
    <s v="PHH"/>
    <x v="5"/>
  </r>
  <r>
    <x v="55"/>
    <n v="1238482339.3800001"/>
    <s v="FLAGSTAR"/>
    <x v="6"/>
  </r>
  <r>
    <x v="55"/>
    <n v="725416086.88"/>
    <s v="SUNTRUST"/>
    <x v="7"/>
  </r>
  <r>
    <x v="55"/>
    <n v="486453805.94"/>
    <s v="PNC"/>
    <x v="8"/>
  </r>
  <r>
    <x v="55"/>
    <n v="246411781"/>
    <s v="USAA"/>
    <x v="9"/>
  </r>
  <r>
    <x v="56"/>
    <n v="9862037476.5100002"/>
    <s v="WELLS FARGO"/>
    <x v="0"/>
  </r>
  <r>
    <x v="56"/>
    <n v="8513787528.9200001"/>
    <s v="CHASE"/>
    <x v="1"/>
  </r>
  <r>
    <x v="56"/>
    <n v="3396559955.0900002"/>
    <s v="ALLY"/>
    <x v="2"/>
  </r>
  <r>
    <x v="56"/>
    <n v="2892361811.9899998"/>
    <s v="BANK OF AMERICA"/>
    <x v="3"/>
  </r>
  <r>
    <x v="56"/>
    <n v="2696815028.3899999"/>
    <s v="CITI"/>
    <x v="4"/>
  </r>
  <r>
    <x v="56"/>
    <n v="1481093219.7"/>
    <s v="FLAGSTAR"/>
    <x v="5"/>
  </r>
  <r>
    <x v="56"/>
    <n v="1068656827.8200001"/>
    <s v="PHH"/>
    <x v="6"/>
  </r>
  <r>
    <x v="56"/>
    <n v="823178100.25"/>
    <s v="QUICKEN"/>
    <x v="7"/>
  </r>
  <r>
    <x v="56"/>
    <n v="634350715.39999998"/>
    <s v="PNC"/>
    <x v="8"/>
  </r>
  <r>
    <x v="56"/>
    <n v="609690927"/>
    <s v="SUNTRUST"/>
    <x v="9"/>
  </r>
  <r>
    <x v="57"/>
    <n v="11864275980.860001"/>
    <s v="WELLS FARGO"/>
    <x v="0"/>
  </r>
  <r>
    <x v="57"/>
    <n v="5145732963.04"/>
    <s v="CHASE"/>
    <x v="1"/>
  </r>
  <r>
    <x v="57"/>
    <n v="3368885713.6900001"/>
    <s v="CITI"/>
    <x v="2"/>
  </r>
  <r>
    <x v="57"/>
    <n v="2189275465.2199998"/>
    <s v="FLAGSTAR"/>
    <x v="3"/>
  </r>
  <r>
    <x v="57"/>
    <n v="2131641702.3199999"/>
    <s v="PHH"/>
    <x v="4"/>
  </r>
  <r>
    <x v="57"/>
    <n v="2008947925.9400001"/>
    <s v="BANK OF AMERICA"/>
    <x v="5"/>
  </r>
  <r>
    <x v="57"/>
    <n v="1820954758.3199999"/>
    <s v="ALLY"/>
    <x v="6"/>
  </r>
  <r>
    <x v="57"/>
    <n v="1103750509.5999999"/>
    <s v="QUICKEN"/>
    <x v="7"/>
  </r>
  <r>
    <x v="57"/>
    <n v="784533038"/>
    <s v="SUNTRUST"/>
    <x v="8"/>
  </r>
  <r>
    <x v="57"/>
    <n v="578361348.02999997"/>
    <s v="NYCB MORTGAGE COMPANY, LLC"/>
    <x v="9"/>
  </r>
  <r>
    <x v="58"/>
    <n v="14706099941.799999"/>
    <s v="WELLS FARGO"/>
    <x v="0"/>
  </r>
  <r>
    <x v="58"/>
    <n v="7980975998.8500004"/>
    <s v="CHASE"/>
    <x v="1"/>
  </r>
  <r>
    <x v="58"/>
    <n v="4736787040.8299999"/>
    <s v="CITI"/>
    <x v="2"/>
  </r>
  <r>
    <x v="58"/>
    <n v="3660860542.1399999"/>
    <s v="ALLY"/>
    <x v="3"/>
  </r>
  <r>
    <x v="58"/>
    <n v="2374687827.0900002"/>
    <s v="FLAGSTAR"/>
    <x v="4"/>
  </r>
  <r>
    <x v="58"/>
    <n v="2096048439.96"/>
    <s v="PHH"/>
    <x v="5"/>
  </r>
  <r>
    <x v="58"/>
    <n v="1485254304.1099999"/>
    <s v="BANK OF AMERICA"/>
    <x v="6"/>
  </r>
  <r>
    <x v="58"/>
    <n v="1418009753.6300001"/>
    <s v="QUICKEN"/>
    <x v="7"/>
  </r>
  <r>
    <x v="58"/>
    <n v="747707839.65999997"/>
    <s v="NYCB MORTGAGE COMPANY, LLC"/>
    <x v="8"/>
  </r>
  <r>
    <x v="58"/>
    <n v="553653703.02999997"/>
    <s v="US BANK"/>
    <x v="9"/>
  </r>
  <r>
    <x v="59"/>
    <n v="23937608890.639999"/>
    <s v="WELLS FARGO"/>
    <x v="0"/>
  </r>
  <r>
    <x v="59"/>
    <n v="8179192202.6400003"/>
    <s v="CHASE"/>
    <x v="1"/>
  </r>
  <r>
    <x v="59"/>
    <n v="4852780436.3599997"/>
    <s v="CITI"/>
    <x v="2"/>
  </r>
  <r>
    <x v="59"/>
    <n v="4076990497.6900001"/>
    <s v="ALLY"/>
    <x v="3"/>
  </r>
  <r>
    <x v="59"/>
    <n v="3147925861.4400001"/>
    <s v="PHH"/>
    <x v="4"/>
  </r>
  <r>
    <x v="59"/>
    <n v="2364623596.77"/>
    <s v="FLAGSTAR"/>
    <x v="5"/>
  </r>
  <r>
    <x v="59"/>
    <n v="1127153197.6199999"/>
    <s v="BANK OF AMERICA"/>
    <x v="6"/>
  </r>
  <r>
    <x v="59"/>
    <n v="1125319396.6300001"/>
    <s v="QUICKEN"/>
    <x v="7"/>
  </r>
  <r>
    <x v="59"/>
    <n v="726071421.08000004"/>
    <s v="NYCB MORTGAGE COMPANY, LLC"/>
    <x v="8"/>
  </r>
  <r>
    <x v="59"/>
    <n v="669442416.33000004"/>
    <s v="PNC"/>
    <x v="9"/>
  </r>
  <r>
    <x v="60"/>
    <n v="15368979575.26"/>
    <s v="WELLS FARGO"/>
    <x v="0"/>
  </r>
  <r>
    <x v="60"/>
    <n v="4888087268.7600002"/>
    <s v="CITI"/>
    <x v="1"/>
  </r>
  <r>
    <x v="60"/>
    <n v="4842312645.9700003"/>
    <s v="CHASE"/>
    <x v="2"/>
  </r>
  <r>
    <x v="60"/>
    <n v="2078917820.78"/>
    <s v="FLAGSTAR"/>
    <x v="3"/>
  </r>
  <r>
    <x v="60"/>
    <n v="1829508756.9100001"/>
    <s v="ALLY"/>
    <x v="4"/>
  </r>
  <r>
    <x v="60"/>
    <n v="1686254886.4100001"/>
    <s v="PHH"/>
    <x v="5"/>
  </r>
  <r>
    <x v="60"/>
    <n v="1325451283.1400001"/>
    <s v="QUICKEN"/>
    <x v="6"/>
  </r>
  <r>
    <x v="60"/>
    <n v="900533697.60000002"/>
    <s v="BANK OF AMERICA"/>
    <x v="7"/>
  </r>
  <r>
    <x v="60"/>
    <n v="755828484.13"/>
    <s v="SUNTRUST"/>
    <x v="8"/>
  </r>
  <r>
    <x v="60"/>
    <n v="686393892.15999997"/>
    <s v="FIFTH THIRD"/>
    <x v="9"/>
  </r>
  <r>
    <x v="61"/>
    <n v="14632091015.389999"/>
    <s v="WELLS FARGO"/>
    <x v="0"/>
  </r>
  <r>
    <x v="61"/>
    <n v="6039781731.0699997"/>
    <s v="CHASE"/>
    <x v="1"/>
  </r>
  <r>
    <x v="61"/>
    <n v="2741562711.46"/>
    <s v="FLAGSTAR"/>
    <x v="2"/>
  </r>
  <r>
    <x v="61"/>
    <n v="2226729317.7600002"/>
    <s v="CITI"/>
    <x v="3"/>
  </r>
  <r>
    <x v="61"/>
    <n v="1851657345.4200001"/>
    <s v="PHH"/>
    <x v="4"/>
  </r>
  <r>
    <x v="61"/>
    <n v="1764296230.9100001"/>
    <s v="QUICKEN"/>
    <x v="5"/>
  </r>
  <r>
    <x v="61"/>
    <n v="1397963595.51"/>
    <s v="ALLY"/>
    <x v="6"/>
  </r>
  <r>
    <x v="61"/>
    <n v="959494576.99000001"/>
    <s v="SUNTRUST"/>
    <x v="7"/>
  </r>
  <r>
    <x v="61"/>
    <n v="672231724.96000004"/>
    <s v="AMERICAN HOME MORTGAGE CORPORATION"/>
    <x v="8"/>
  </r>
  <r>
    <x v="61"/>
    <n v="620503186.51999998"/>
    <s v="CHICAGO MORTGAGE SOLUTIONS DBA INTERBANK"/>
    <x v="9"/>
  </r>
  <r>
    <x v="62"/>
    <n v="30737250033.549999"/>
    <s v="WELLS FARGO"/>
    <x v="0"/>
  </r>
  <r>
    <x v="62"/>
    <n v="9495153084.0799999"/>
    <s v="CHASE"/>
    <x v="1"/>
  </r>
  <r>
    <x v="62"/>
    <n v="3358009211.0900002"/>
    <s v="CITI"/>
    <x v="2"/>
  </r>
  <r>
    <x v="62"/>
    <n v="2975788477.54"/>
    <s v="FLAGSTAR"/>
    <x v="3"/>
  </r>
  <r>
    <x v="62"/>
    <n v="2832823095.7399998"/>
    <s v="QUICKEN"/>
    <x v="4"/>
  </r>
  <r>
    <x v="62"/>
    <n v="1924511400.8299999"/>
    <s v="PHH"/>
    <x v="5"/>
  </r>
  <r>
    <x v="62"/>
    <n v="1504075776.73"/>
    <s v="ALLY"/>
    <x v="6"/>
  </r>
  <r>
    <x v="62"/>
    <n v="1482408591.4000001"/>
    <s v="SUNTRUST"/>
    <x v="7"/>
  </r>
  <r>
    <x v="62"/>
    <n v="1327709733.49"/>
    <s v="BANK OF AMERICA"/>
    <x v="8"/>
  </r>
  <r>
    <x v="62"/>
    <n v="1191429316"/>
    <s v="FRANKLIN AMERICAN MORTGAGE COMPANY"/>
    <x v="9"/>
  </r>
  <r>
    <x v="63"/>
    <n v="10763728285.6"/>
    <s v="WELLS FARGO"/>
    <x v="0"/>
  </r>
  <r>
    <x v="63"/>
    <n v="5066088765.9499998"/>
    <s v="CHASE"/>
    <x v="1"/>
  </r>
  <r>
    <x v="63"/>
    <n v="2312712574.1100001"/>
    <s v="FLAGSTAR"/>
    <x v="2"/>
  </r>
  <r>
    <x v="63"/>
    <n v="1502180272.8599999"/>
    <s v="PHH"/>
    <x v="3"/>
  </r>
  <r>
    <x v="63"/>
    <n v="1096235296.02"/>
    <s v="CITI"/>
    <x v="4"/>
  </r>
  <r>
    <x v="63"/>
    <n v="978164872.58000004"/>
    <s v="ALLY"/>
    <x v="5"/>
  </r>
  <r>
    <x v="63"/>
    <n v="751845393.07000005"/>
    <s v="QUICKEN"/>
    <x v="6"/>
  </r>
  <r>
    <x v="63"/>
    <n v="720179506.47000003"/>
    <s v="SUNTRUST"/>
    <x v="7"/>
  </r>
  <r>
    <x v="63"/>
    <n v="556381127.55999994"/>
    <s v="AMERICAN HOME MORTGAGE CORPORATION"/>
    <x v="8"/>
  </r>
  <r>
    <x v="63"/>
    <n v="456661036.43000001"/>
    <s v="CHICAGO MORTGAGE SOLUTIONS DBA INTERBANK"/>
    <x v="9"/>
  </r>
  <r>
    <x v="64"/>
    <n v="20542825807.290001"/>
    <s v="WELLS FARGO"/>
    <x v="0"/>
  </r>
  <r>
    <x v="64"/>
    <n v="5710467218.3900003"/>
    <s v="CHASE"/>
    <x v="1"/>
  </r>
  <r>
    <x v="64"/>
    <n v="2844809039.77"/>
    <s v="FLAGSTAR"/>
    <x v="2"/>
  </r>
  <r>
    <x v="64"/>
    <n v="2695975128.2800002"/>
    <s v="QUICKEN"/>
    <x v="3"/>
  </r>
  <r>
    <x v="64"/>
    <n v="2187065888.8899999"/>
    <s v="CITI"/>
    <x v="4"/>
  </r>
  <r>
    <x v="64"/>
    <n v="1384629177.7"/>
    <s v="BANK OF AMERICA"/>
    <x v="5"/>
  </r>
  <r>
    <x v="64"/>
    <n v="1158437334"/>
    <s v="US BANK"/>
    <x v="6"/>
  </r>
  <r>
    <x v="64"/>
    <n v="1144409990.77"/>
    <s v="PHH"/>
    <x v="7"/>
  </r>
  <r>
    <x v="64"/>
    <n v="1118076494.6500001"/>
    <s v="SUNTRUST"/>
    <x v="8"/>
  </r>
  <r>
    <x v="64"/>
    <n v="990429561.15999997"/>
    <s v="NAVY FED"/>
    <x v="9"/>
  </r>
  <r>
    <x v="65"/>
    <n v="12662763974.040001"/>
    <s v="WELLS FARGO"/>
    <x v="0"/>
  </r>
  <r>
    <x v="65"/>
    <n v="7062009262.0699997"/>
    <s v="CHASE"/>
    <x v="1"/>
  </r>
  <r>
    <x v="65"/>
    <n v="2599950568.2399998"/>
    <s v="FLAGSTAR"/>
    <x v="2"/>
  </r>
  <r>
    <x v="65"/>
    <n v="2411198355.8499999"/>
    <s v="CITI"/>
    <x v="3"/>
  </r>
  <r>
    <x v="65"/>
    <n v="2088349909.77"/>
    <s v="QUICKEN"/>
    <x v="4"/>
  </r>
  <r>
    <x v="65"/>
    <n v="2025978231"/>
    <s v="BANK OF AMERICA"/>
    <x v="5"/>
  </r>
  <r>
    <x v="65"/>
    <n v="1850167235.51"/>
    <s v="SUNTRUST"/>
    <x v="6"/>
  </r>
  <r>
    <x v="65"/>
    <n v="1717496541.8199999"/>
    <s v="ALLY"/>
    <x v="7"/>
  </r>
  <r>
    <x v="65"/>
    <n v="1361383888.96"/>
    <s v="PHH"/>
    <x v="8"/>
  </r>
  <r>
    <x v="65"/>
    <n v="1081847850.47"/>
    <s v="US BANK"/>
    <x v="9"/>
  </r>
  <r>
    <x v="66"/>
    <n v="18046078270.810001"/>
    <s v="WELLS FARGO"/>
    <x v="0"/>
  </r>
  <r>
    <x v="66"/>
    <n v="5842620786.8999996"/>
    <s v="CHASE"/>
    <x v="1"/>
  </r>
  <r>
    <x v="66"/>
    <n v="3652881360.4099998"/>
    <s v="QUICKEN"/>
    <x v="2"/>
  </r>
  <r>
    <x v="66"/>
    <n v="3207267837.8099999"/>
    <s v="FLAGSTAR"/>
    <x v="3"/>
  </r>
  <r>
    <x v="66"/>
    <n v="2024277231.29"/>
    <s v="CITI"/>
    <x v="4"/>
  </r>
  <r>
    <x v="66"/>
    <n v="1549662752.79"/>
    <s v="ALLY"/>
    <x v="5"/>
  </r>
  <r>
    <x v="66"/>
    <n v="1398096825.71"/>
    <s v="PHH"/>
    <x v="6"/>
  </r>
  <r>
    <x v="66"/>
    <n v="1319650369.6600001"/>
    <s v="SUNTRUST"/>
    <x v="7"/>
  </r>
  <r>
    <x v="66"/>
    <n v="1273015336.48"/>
    <s v="BANK OF AMERICA"/>
    <x v="8"/>
  </r>
  <r>
    <x v="66"/>
    <n v="944685677.69000006"/>
    <s v="PNC"/>
    <x v="9"/>
  </r>
  <r>
    <x v="67"/>
    <n v="15782096596.040001"/>
    <s v="WELLS FARGO"/>
    <x v="0"/>
  </r>
  <r>
    <x v="67"/>
    <n v="8442355092.7799997"/>
    <s v="CHASE"/>
    <x v="1"/>
  </r>
  <r>
    <x v="67"/>
    <n v="4795732432.7799997"/>
    <s v="QUICKEN"/>
    <x v="2"/>
  </r>
  <r>
    <x v="67"/>
    <n v="3590695127.9499998"/>
    <s v="FLAGSTAR"/>
    <x v="3"/>
  </r>
  <r>
    <x v="67"/>
    <n v="2296779153.21"/>
    <s v="CITI"/>
    <x v="4"/>
  </r>
  <r>
    <x v="67"/>
    <n v="2048484161.77"/>
    <s v="BANK OF AMERICA"/>
    <x v="5"/>
  </r>
  <r>
    <x v="67"/>
    <n v="1685314349.4100001"/>
    <s v="ALLY"/>
    <x v="6"/>
  </r>
  <r>
    <x v="67"/>
    <n v="1448609964.23"/>
    <s v="SUNTRUST"/>
    <x v="7"/>
  </r>
  <r>
    <x v="67"/>
    <n v="1337029246.04"/>
    <s v="PHH"/>
    <x v="8"/>
  </r>
  <r>
    <x v="67"/>
    <n v="1094677493.75"/>
    <s v="PENNYMAC CORP."/>
    <x v="9"/>
  </r>
  <r>
    <x v="68"/>
    <n v="16358817450.4"/>
    <s v="WELLS FARGO"/>
    <x v="0"/>
  </r>
  <r>
    <x v="68"/>
    <n v="9641813829.6700001"/>
    <s v="CHASE"/>
    <x v="1"/>
  </r>
  <r>
    <x v="68"/>
    <n v="4937311483.1499996"/>
    <s v="QUICKEN"/>
    <x v="2"/>
  </r>
  <r>
    <x v="68"/>
    <n v="3528216594.1500001"/>
    <s v="CITI"/>
    <x v="3"/>
  </r>
  <r>
    <x v="68"/>
    <n v="3367762976.5300002"/>
    <s v="FLAGSTAR"/>
    <x v="4"/>
  </r>
  <r>
    <x v="68"/>
    <n v="2141757846.5799999"/>
    <s v="ALLY"/>
    <x v="5"/>
  </r>
  <r>
    <x v="68"/>
    <n v="1694741437.22"/>
    <s v="SUNTRUST"/>
    <x v="6"/>
  </r>
  <r>
    <x v="68"/>
    <n v="1656770244.25"/>
    <s v="PHH"/>
    <x v="7"/>
  </r>
  <r>
    <x v="68"/>
    <n v="1194725137.48"/>
    <s v="BANK OF AMERICA"/>
    <x v="8"/>
  </r>
  <r>
    <x v="68"/>
    <n v="1095470707.79"/>
    <s v="PENNYMAC CORP."/>
    <x v="9"/>
  </r>
  <r>
    <x v="69"/>
    <n v="13583725455.1"/>
    <s v="WELLS FARGO"/>
    <x v="0"/>
  </r>
  <r>
    <x v="69"/>
    <n v="4517401460.5299997"/>
    <s v="CHASE"/>
    <x v="1"/>
  </r>
  <r>
    <x v="69"/>
    <n v="4269923296.52"/>
    <s v="QUICKEN"/>
    <x v="2"/>
  </r>
  <r>
    <x v="69"/>
    <n v="3102558509.5100002"/>
    <s v="FLAGSTAR"/>
    <x v="3"/>
  </r>
  <r>
    <x v="69"/>
    <n v="1993354373.29"/>
    <s v="SUNTRUST"/>
    <x v="4"/>
  </r>
  <r>
    <x v="69"/>
    <n v="1975668254.21"/>
    <s v="BANK OF AMERICA"/>
    <x v="5"/>
  </r>
  <r>
    <x v="69"/>
    <n v="1757170071.4400001"/>
    <s v="PENNYMAC CORP."/>
    <x v="6"/>
  </r>
  <r>
    <x v="69"/>
    <n v="1671217469.95"/>
    <s v="ALLY"/>
    <x v="7"/>
  </r>
  <r>
    <x v="69"/>
    <n v="1075838630.21"/>
    <s v="PHH"/>
    <x v="8"/>
  </r>
  <r>
    <x v="69"/>
    <n v="1029221418.6799999"/>
    <s v="CITI"/>
    <x v="9"/>
  </r>
  <r>
    <x v="70"/>
    <n v="18702888793.82"/>
    <s v="WELLS FARGO"/>
    <x v="0"/>
  </r>
  <r>
    <x v="70"/>
    <n v="7664238085.7700005"/>
    <s v="CHASE"/>
    <x v="1"/>
  </r>
  <r>
    <x v="70"/>
    <n v="5319861378.3900003"/>
    <s v="QUICKEN"/>
    <x v="2"/>
  </r>
  <r>
    <x v="70"/>
    <n v="3882765467.3400002"/>
    <s v="FLAGSTAR"/>
    <x v="3"/>
  </r>
  <r>
    <x v="70"/>
    <n v="3051120308"/>
    <s v="CITI"/>
    <x v="4"/>
  </r>
  <r>
    <x v="70"/>
    <n v="2524129754.2800002"/>
    <s v="PENNYMAC CORP."/>
    <x v="5"/>
  </r>
  <r>
    <x v="70"/>
    <n v="2418355741.52"/>
    <s v="BANK OF AMERICA"/>
    <x v="6"/>
  </r>
  <r>
    <x v="70"/>
    <n v="1998429887.1300001"/>
    <s v="ALLY"/>
    <x v="7"/>
  </r>
  <r>
    <x v="70"/>
    <n v="1588213809"/>
    <s v="PROVIDENT FUNDING"/>
    <x v="8"/>
  </r>
  <r>
    <x v="70"/>
    <n v="1550319650.9000001"/>
    <s v="SUNTRUST"/>
    <x v="9"/>
  </r>
  <r>
    <x v="71"/>
    <n v="5990993955.3400002"/>
    <s v="WELLS FARGO"/>
    <x v="0"/>
  </r>
  <r>
    <x v="71"/>
    <n v="5462589667.8999996"/>
    <s v="CHASE"/>
    <x v="1"/>
  </r>
  <r>
    <x v="71"/>
    <n v="4866573877.1400003"/>
    <s v="QUICKEN"/>
    <x v="2"/>
  </r>
  <r>
    <x v="71"/>
    <n v="3912376920.6900001"/>
    <s v="FLAGSTAR"/>
    <x v="3"/>
  </r>
  <r>
    <x v="71"/>
    <n v="2424491906.04"/>
    <s v="ALLY"/>
    <x v="4"/>
  </r>
  <r>
    <x v="71"/>
    <n v="1613083367.98"/>
    <s v="PENNYMAC CORP."/>
    <x v="5"/>
  </r>
  <r>
    <x v="71"/>
    <n v="1304094351.97"/>
    <s v="BANK OF AMERICA"/>
    <x v="6"/>
  </r>
  <r>
    <x v="71"/>
    <n v="1178548513.0699999"/>
    <s v="US BANK"/>
    <x v="7"/>
  </r>
  <r>
    <x v="71"/>
    <n v="1082046177.3"/>
    <s v="CITI"/>
    <x v="8"/>
  </r>
  <r>
    <x v="71"/>
    <n v="984432815.47000003"/>
    <s v="SUNTRUST"/>
    <x v="9"/>
  </r>
  <r>
    <x v="72"/>
    <n v="12960800578.620001"/>
    <s v="WELLS FARGO"/>
    <x v="0"/>
  </r>
  <r>
    <x v="72"/>
    <n v="7322099685.6199999"/>
    <s v="CHASE"/>
    <x v="1"/>
  </r>
  <r>
    <x v="72"/>
    <n v="5979329449.8800001"/>
    <s v="QUICKEN"/>
    <x v="2"/>
  </r>
  <r>
    <x v="72"/>
    <n v="3555445910.4099998"/>
    <s v="FLAGSTAR"/>
    <x v="3"/>
  </r>
  <r>
    <x v="72"/>
    <n v="2355507267.6900001"/>
    <s v="ALLY"/>
    <x v="4"/>
  </r>
  <r>
    <x v="72"/>
    <n v="2198109024.29"/>
    <s v="PENNYMAC CORP."/>
    <x v="5"/>
  </r>
  <r>
    <x v="72"/>
    <n v="1907610161.7"/>
    <s v="BANK OF AMERICA"/>
    <x v="6"/>
  </r>
  <r>
    <x v="72"/>
    <n v="1752051096.6099999"/>
    <s v="CITI"/>
    <x v="7"/>
  </r>
  <r>
    <x v="72"/>
    <n v="1602774666.5599999"/>
    <s v="PHH"/>
    <x v="8"/>
  </r>
  <r>
    <x v="72"/>
    <n v="1422874040.1400001"/>
    <s v="SUNTRUST"/>
    <x v="9"/>
  </r>
  <r>
    <x v="73"/>
    <n v="12090154945.85"/>
    <s v="WELLS FARGO"/>
    <x v="0"/>
  </r>
  <r>
    <x v="73"/>
    <n v="7231687296.3800001"/>
    <s v="CHASE"/>
    <x v="1"/>
  </r>
  <r>
    <x v="73"/>
    <n v="5069266638.7200003"/>
    <s v="QUICKEN"/>
    <x v="2"/>
  </r>
  <r>
    <x v="73"/>
    <n v="4833507966.8299999"/>
    <s v="CITI"/>
    <x v="3"/>
  </r>
  <r>
    <x v="73"/>
    <n v="3070547359.5500002"/>
    <s v="FLAGSTAR"/>
    <x v="4"/>
  </r>
  <r>
    <x v="73"/>
    <n v="2029149646.1500001"/>
    <s v="BANK OF AMERICA"/>
    <x v="5"/>
  </r>
  <r>
    <x v="73"/>
    <n v="1932080772.45"/>
    <s v="ALLY"/>
    <x v="6"/>
  </r>
  <r>
    <x v="73"/>
    <n v="1812863135.98"/>
    <s v="SUNTRUST"/>
    <x v="7"/>
  </r>
  <r>
    <x v="73"/>
    <n v="1306980096.78"/>
    <s v="PHH"/>
    <x v="8"/>
  </r>
  <r>
    <x v="73"/>
    <n v="1245620504"/>
    <s v="US BANK"/>
    <x v="9"/>
  </r>
  <r>
    <x v="74"/>
    <n v="10298222135.870001"/>
    <s v="WELLS FARGO"/>
    <x v="0"/>
  </r>
  <r>
    <x v="74"/>
    <n v="6926091191.3800001"/>
    <s v="CHASE"/>
    <x v="1"/>
  </r>
  <r>
    <x v="74"/>
    <n v="4567963477.21"/>
    <s v="QUICKEN"/>
    <x v="2"/>
  </r>
  <r>
    <x v="74"/>
    <n v="2511285341.6500001"/>
    <s v="CITI"/>
    <x v="3"/>
  </r>
  <r>
    <x v="74"/>
    <n v="2307636902.73"/>
    <s v="BANK OF AMERICA"/>
    <x v="4"/>
  </r>
  <r>
    <x v="74"/>
    <n v="1901922494.5"/>
    <s v="FLAGSTAR"/>
    <x v="5"/>
  </r>
  <r>
    <x v="74"/>
    <n v="1855493018.1600001"/>
    <s v="SUNTRUST"/>
    <x v="6"/>
  </r>
  <r>
    <x v="74"/>
    <n v="799515520.72000003"/>
    <s v="PHH"/>
    <x v="7"/>
  </r>
  <r>
    <x v="74"/>
    <n v="716978597.38"/>
    <s v="ALLY"/>
    <x v="8"/>
  </r>
  <r>
    <x v="74"/>
    <n v="703423047"/>
    <s v="PROVIDENT FUNDING"/>
    <x v="9"/>
  </r>
  <r>
    <x v="75"/>
    <n v="10983062364.98"/>
    <s v="WELLS FARGO"/>
    <x v="0"/>
  </r>
  <r>
    <x v="75"/>
    <n v="6538495087.7299995"/>
    <s v="CHASE"/>
    <x v="1"/>
  </r>
  <r>
    <x v="75"/>
    <n v="4621470486.8500004"/>
    <s v="CITI"/>
    <x v="2"/>
  </r>
  <r>
    <x v="75"/>
    <n v="4125896876.8099999"/>
    <s v="QUICKEN"/>
    <x v="3"/>
  </r>
  <r>
    <x v="75"/>
    <n v="3520970482.02"/>
    <s v="BANK OF AMERICA"/>
    <x v="4"/>
  </r>
  <r>
    <x v="75"/>
    <n v="2866774138.8499999"/>
    <s v="FLAGSTAR"/>
    <x v="5"/>
  </r>
  <r>
    <x v="75"/>
    <n v="1599161362.23"/>
    <s v="US BANK"/>
    <x v="6"/>
  </r>
  <r>
    <x v="75"/>
    <n v="1051421255.6900001"/>
    <s v="PHH"/>
    <x v="7"/>
  </r>
  <r>
    <x v="75"/>
    <n v="1037437524.3099999"/>
    <s v="NATIONSTAR"/>
    <x v="8"/>
  </r>
  <r>
    <x v="75"/>
    <n v="1031822824"/>
    <s v="PROVIDENT FUNDING"/>
    <x v="9"/>
  </r>
  <r>
    <x v="76"/>
    <n v="16565187107.59"/>
    <s v="WELLS FARGO"/>
    <x v="0"/>
  </r>
  <r>
    <x v="76"/>
    <n v="5637410167.5500002"/>
    <s v="CHASE"/>
    <x v="1"/>
  </r>
  <r>
    <x v="76"/>
    <n v="3985547277.6199999"/>
    <s v="CITI"/>
    <x v="2"/>
  </r>
  <r>
    <x v="76"/>
    <n v="3459242035.96"/>
    <s v="QUICKEN"/>
    <x v="3"/>
  </r>
  <r>
    <x v="76"/>
    <n v="2175818362.3200002"/>
    <s v="BANK OF AMERICA"/>
    <x v="4"/>
  </r>
  <r>
    <x v="76"/>
    <n v="1879426390.98"/>
    <s v="SUNTRUST"/>
    <x v="5"/>
  </r>
  <r>
    <x v="76"/>
    <n v="1856516396.73"/>
    <s v="FLAGSTAR"/>
    <x v="6"/>
  </r>
  <r>
    <x v="76"/>
    <n v="1129016102.25"/>
    <s v="GREEN TREE SERVICING, LLC"/>
    <x v="7"/>
  </r>
  <r>
    <x v="76"/>
    <n v="977753136.09000003"/>
    <s v="PHH"/>
    <x v="8"/>
  </r>
  <r>
    <x v="76"/>
    <n v="875520179"/>
    <s v="PROVIDENT FUNDING"/>
    <x v="9"/>
  </r>
  <r>
    <x v="77"/>
    <n v="15486832649.959999"/>
    <s v="WELLS FARGO"/>
    <x v="0"/>
  </r>
  <r>
    <x v="77"/>
    <n v="4561843788.71"/>
    <s v="CHASE"/>
    <x v="1"/>
  </r>
  <r>
    <x v="77"/>
    <n v="4055990638.6799998"/>
    <s v="QUICKEN"/>
    <x v="2"/>
  </r>
  <r>
    <x v="77"/>
    <n v="2681103987.0500002"/>
    <s v="CITI"/>
    <x v="3"/>
  </r>
  <r>
    <x v="77"/>
    <n v="2398858109.7199998"/>
    <s v="BANK OF AMERICA"/>
    <x v="4"/>
  </r>
  <r>
    <x v="77"/>
    <n v="1997314246.6300001"/>
    <s v="FLAGSTAR"/>
    <x v="5"/>
  </r>
  <r>
    <x v="77"/>
    <n v="1573203721.77"/>
    <s v="GREEN TREE SERVICING, LLC"/>
    <x v="6"/>
  </r>
  <r>
    <x v="77"/>
    <n v="1169087126"/>
    <s v="PROVIDENT FUNDING"/>
    <x v="7"/>
  </r>
  <r>
    <x v="77"/>
    <n v="1000640774.4400001"/>
    <s v="NATIONSTAR"/>
    <x v="8"/>
  </r>
  <r>
    <x v="77"/>
    <n v="567488798.92999995"/>
    <s v="PHH"/>
    <x v="9"/>
  </r>
  <r>
    <x v="78"/>
    <n v="16978552578.67"/>
    <s v="WELLS FARGO"/>
    <x v="0"/>
  </r>
  <r>
    <x v="78"/>
    <n v="4468738110.4300003"/>
    <s v="QUICKEN"/>
    <x v="1"/>
  </r>
  <r>
    <x v="78"/>
    <n v="3148298719.46"/>
    <s v="CHASE"/>
    <x v="2"/>
  </r>
  <r>
    <x v="78"/>
    <n v="2941250839.6100001"/>
    <s v="CITI"/>
    <x v="3"/>
  </r>
  <r>
    <x v="78"/>
    <n v="2287568241.9699998"/>
    <s v="FLAGSTAR"/>
    <x v="4"/>
  </r>
  <r>
    <x v="78"/>
    <n v="2212331897.6900001"/>
    <s v="GREEN TREE SERVICING, LLC"/>
    <x v="5"/>
  </r>
  <r>
    <x v="78"/>
    <n v="2001957601.3199999"/>
    <s v="BANK OF AMERICA"/>
    <x v="6"/>
  </r>
  <r>
    <x v="78"/>
    <n v="1569984561.9200001"/>
    <s v="NATIONSTAR"/>
    <x v="7"/>
  </r>
  <r>
    <x v="78"/>
    <n v="1144305792.9000001"/>
    <s v="PENNYMAC CORP."/>
    <x v="8"/>
  </r>
  <r>
    <x v="78"/>
    <n v="713708620.26999998"/>
    <s v="PHH"/>
    <x v="9"/>
  </r>
  <r>
    <x v="79"/>
    <n v="16043754924.049999"/>
    <s v="WELLS FARGO"/>
    <x v="0"/>
  </r>
  <r>
    <x v="79"/>
    <n v="4118976924.3200002"/>
    <s v="QUICKEN"/>
    <x v="1"/>
  </r>
  <r>
    <x v="79"/>
    <n v="2883350418.2600002"/>
    <s v="NATIONSTAR"/>
    <x v="2"/>
  </r>
  <r>
    <x v="79"/>
    <n v="2572723252.1300001"/>
    <s v="CHASE"/>
    <x v="3"/>
  </r>
  <r>
    <x v="79"/>
    <n v="2256386097.4499998"/>
    <s v="CITI"/>
    <x v="4"/>
  </r>
  <r>
    <x v="79"/>
    <n v="2159130451.9000001"/>
    <s v="GREEN TREE SERVICING, LLC"/>
    <x v="5"/>
  </r>
  <r>
    <x v="79"/>
    <n v="1796265185.45"/>
    <s v="FLAGSTAR"/>
    <x v="6"/>
  </r>
  <r>
    <x v="79"/>
    <n v="1724530644.54"/>
    <s v="BANK OF AMERICA"/>
    <x v="7"/>
  </r>
  <r>
    <x v="79"/>
    <n v="1299299846"/>
    <s v="FRANKLIN AMERICAN MORTGAGE COMPANY"/>
    <x v="8"/>
  </r>
  <r>
    <x v="79"/>
    <n v="916479356.41999996"/>
    <s v="SUNTRUST"/>
    <x v="9"/>
  </r>
  <r>
    <x v="80"/>
    <n v="12954391824.35"/>
    <s v="WELLS FARGO"/>
    <x v="0"/>
  </r>
  <r>
    <x v="80"/>
    <n v="3270291712.54"/>
    <s v="CHASE"/>
    <x v="1"/>
  </r>
  <r>
    <x v="80"/>
    <n v="2820572445.3699999"/>
    <s v="CITI"/>
    <x v="2"/>
  </r>
  <r>
    <x v="80"/>
    <n v="2360176115.9099998"/>
    <s v="QUICKEN"/>
    <x v="3"/>
  </r>
  <r>
    <x v="80"/>
    <n v="1812325604.1099999"/>
    <s v="GREEN TREE SERVICING, LLC"/>
    <x v="4"/>
  </r>
  <r>
    <x v="80"/>
    <n v="1353122738.8900001"/>
    <s v="NATIONSTAR"/>
    <x v="5"/>
  </r>
  <r>
    <x v="80"/>
    <n v="1183299223.6300001"/>
    <s v="FLAGSTAR"/>
    <x v="6"/>
  </r>
  <r>
    <x v="80"/>
    <n v="1080194081.3399999"/>
    <s v="BANK OF AMERICA"/>
    <x v="7"/>
  </r>
  <r>
    <x v="80"/>
    <n v="969610409"/>
    <s v="FRANKLIN AMERICAN MORTGAGE COMPANY"/>
    <x v="8"/>
  </r>
  <r>
    <x v="80"/>
    <n v="670531652.08000004"/>
    <s v="PHH"/>
    <x v="9"/>
  </r>
  <r>
    <x v="81"/>
    <n v="9148941452.2000008"/>
    <s v="WELLS FARGO"/>
    <x v="0"/>
  </r>
  <r>
    <x v="81"/>
    <n v="2258522897.0300002"/>
    <s v="CHASE"/>
    <x v="1"/>
  </r>
  <r>
    <x v="81"/>
    <n v="1853106711.96"/>
    <s v="QUICKEN"/>
    <x v="2"/>
  </r>
  <r>
    <x v="81"/>
    <n v="1732002462.3699999"/>
    <s v="NATIONSTAR"/>
    <x v="3"/>
  </r>
  <r>
    <x v="81"/>
    <n v="1629776595.6800001"/>
    <s v="GREEN TREE SERVICING, LLC"/>
    <x v="4"/>
  </r>
  <r>
    <x v="81"/>
    <n v="1573100292.4300001"/>
    <s v="CITI"/>
    <x v="5"/>
  </r>
  <r>
    <x v="81"/>
    <n v="1281505531.45"/>
    <s v="FLAGSTAR"/>
    <x v="6"/>
  </r>
  <r>
    <x v="81"/>
    <n v="866449074.45000005"/>
    <s v="BANK OF AMERICA"/>
    <x v="7"/>
  </r>
  <r>
    <x v="81"/>
    <n v="768083664"/>
    <s v="FRANKLIN AMERICAN MORTGAGE COMPANY"/>
    <x v="8"/>
  </r>
  <r>
    <x v="81"/>
    <n v="734950444.69000006"/>
    <s v="PHH"/>
    <x v="9"/>
  </r>
  <r>
    <x v="82"/>
    <n v="7277980089.6000004"/>
    <s v="WELLS FARGO"/>
    <x v="0"/>
  </r>
  <r>
    <x v="82"/>
    <n v="3297359031.2800002"/>
    <s v="CHASE"/>
    <x v="1"/>
  </r>
  <r>
    <x v="82"/>
    <n v="1694525112.9400001"/>
    <s v="QUICKEN"/>
    <x v="2"/>
  </r>
  <r>
    <x v="82"/>
    <n v="1443375065.3"/>
    <s v="GREEN TREE SERVICING, LLC"/>
    <x v="3"/>
  </r>
  <r>
    <x v="82"/>
    <n v="1416434682.73"/>
    <s v="CITI"/>
    <x v="4"/>
  </r>
  <r>
    <x v="82"/>
    <n v="1390967449.5"/>
    <s v="FLAGSTAR"/>
    <x v="5"/>
  </r>
  <r>
    <x v="82"/>
    <n v="933820791.04999995"/>
    <s v="ROUNDPOINT MORTGAGE SERVICING CORPORATIO"/>
    <x v="6"/>
  </r>
  <r>
    <x v="82"/>
    <n v="888998572.20000005"/>
    <s v="NATIONSTAR"/>
    <x v="7"/>
  </r>
  <r>
    <x v="82"/>
    <n v="837105658.42999995"/>
    <s v="BANK OF AMERICA"/>
    <x v="8"/>
  </r>
  <r>
    <x v="82"/>
    <n v="554951729.87"/>
    <s v="PHH"/>
    <x v="9"/>
  </r>
  <r>
    <x v="83"/>
    <n v="6588450968.0200005"/>
    <s v="WELLS FARGO"/>
    <x v="0"/>
  </r>
  <r>
    <x v="83"/>
    <n v="2223527627.8699999"/>
    <s v="CHASE"/>
    <x v="1"/>
  </r>
  <r>
    <x v="83"/>
    <n v="1561280492.8699999"/>
    <s v="GREEN TREE SERVICING, LLC"/>
    <x v="2"/>
  </r>
  <r>
    <x v="83"/>
    <n v="1421676922.75"/>
    <s v="QUICKEN"/>
    <x v="3"/>
  </r>
  <r>
    <x v="83"/>
    <n v="1134090940.3099999"/>
    <s v="CITI"/>
    <x v="4"/>
  </r>
  <r>
    <x v="83"/>
    <n v="1105190231.8399999"/>
    <s v="NATIONSTAR"/>
    <x v="5"/>
  </r>
  <r>
    <x v="83"/>
    <n v="969676537.08000004"/>
    <s v="FLAGSTAR"/>
    <x v="6"/>
  </r>
  <r>
    <x v="83"/>
    <n v="812497002.57000005"/>
    <s v="ROUNDPOINT MORTGAGE SERVICING CORPORATIO"/>
    <x v="7"/>
  </r>
  <r>
    <x v="83"/>
    <n v="682173000"/>
    <s v="BEECH STREET CAPITAL, LLC"/>
    <x v="8"/>
  </r>
  <r>
    <x v="83"/>
    <n v="650372970.05999994"/>
    <s v="BANK OF AMERICA"/>
    <x v="9"/>
  </r>
  <r>
    <x v="84"/>
    <n v="3105702600.8000002"/>
    <s v="WELLS FARGO"/>
    <x v="0"/>
  </r>
  <r>
    <x v="84"/>
    <n v="1760019879.1099999"/>
    <s v="QUICKEN"/>
    <x v="1"/>
  </r>
  <r>
    <x v="84"/>
    <n v="1699856288.3499999"/>
    <s v="CHASE"/>
    <x v="2"/>
  </r>
  <r>
    <x v="84"/>
    <n v="1342307631.3399999"/>
    <s v="GREEN TREE SERVICING, LLC"/>
    <x v="3"/>
  </r>
  <r>
    <x v="84"/>
    <n v="1059610720.12"/>
    <s v="NATIONSTAR"/>
    <x v="4"/>
  </r>
  <r>
    <x v="84"/>
    <n v="774649500.94000006"/>
    <s v="CITI"/>
    <x v="5"/>
  </r>
  <r>
    <x v="84"/>
    <n v="609932112.33000004"/>
    <s v="FLAGSTAR"/>
    <x v="6"/>
  </r>
  <r>
    <x v="84"/>
    <n v="439011145.83999997"/>
    <s v="BANK OF AMERICA"/>
    <x v="7"/>
  </r>
  <r>
    <x v="84"/>
    <n v="386720717.35000002"/>
    <s v="PNC"/>
    <x v="8"/>
  </r>
  <r>
    <x v="84"/>
    <n v="383298577.99000001"/>
    <s v="FREEDOM"/>
    <x v="9"/>
  </r>
  <r>
    <x v="85"/>
    <n v="4228977520.5"/>
    <s v="WELLS FARGO"/>
    <x v="0"/>
  </r>
  <r>
    <x v="85"/>
    <n v="2141375023.72"/>
    <s v="CHASE"/>
    <x v="1"/>
  </r>
  <r>
    <x v="85"/>
    <n v="1922831147.77"/>
    <s v="QUICKEN"/>
    <x v="2"/>
  </r>
  <r>
    <x v="85"/>
    <n v="1297808997.26"/>
    <s v="NATIONSTAR"/>
    <x v="3"/>
  </r>
  <r>
    <x v="85"/>
    <n v="1271985898.8900001"/>
    <s v="GREEN TREE SERVICING, LLC"/>
    <x v="4"/>
  </r>
  <r>
    <x v="85"/>
    <n v="697193636.46000004"/>
    <s v="CITI"/>
    <x v="5"/>
  </r>
  <r>
    <x v="85"/>
    <n v="627431948.79999995"/>
    <s v="FLAGSTAR"/>
    <x v="6"/>
  </r>
  <r>
    <x v="85"/>
    <n v="471783633.49000001"/>
    <s v="BANK OF AMERICA"/>
    <x v="7"/>
  </r>
  <r>
    <x v="85"/>
    <n v="410110073.08999997"/>
    <s v="FREEDOM"/>
    <x v="8"/>
  </r>
  <r>
    <x v="85"/>
    <n v="377721494.83999997"/>
    <s v="ROUNDPOINT MORTGAGE SERVICING CORPORATIO"/>
    <x v="9"/>
  </r>
  <r>
    <x v="86"/>
    <n v="2771745679.8800001"/>
    <s v="WELLS FARGO"/>
    <x v="0"/>
  </r>
  <r>
    <x v="86"/>
    <n v="1574474809.8399999"/>
    <s v="QUICKEN"/>
    <x v="1"/>
  </r>
  <r>
    <x v="86"/>
    <n v="1404683501.8"/>
    <s v="CHASE"/>
    <x v="2"/>
  </r>
  <r>
    <x v="86"/>
    <n v="940764804.61000001"/>
    <s v="NATIONSTAR"/>
    <x v="3"/>
  </r>
  <r>
    <x v="86"/>
    <n v="910319667.28999996"/>
    <s v="GREEN TREE SERVICING, LLC"/>
    <x v="4"/>
  </r>
  <r>
    <x v="86"/>
    <n v="564630562.90999997"/>
    <s v="STEARNS LENDING, INC."/>
    <x v="5"/>
  </r>
  <r>
    <x v="86"/>
    <n v="536183752.19"/>
    <s v="FLAGSTAR"/>
    <x v="6"/>
  </r>
  <r>
    <x v="86"/>
    <n v="524009255.14999998"/>
    <s v="CITI"/>
    <x v="7"/>
  </r>
  <r>
    <x v="86"/>
    <n v="319855477.95999998"/>
    <s v="FREEDOM"/>
    <x v="8"/>
  </r>
  <r>
    <x v="86"/>
    <n v="313442692.82999998"/>
    <s v="PENNYMAC CORP."/>
    <x v="9"/>
  </r>
  <r>
    <x v="87"/>
    <n v="3281937556.02"/>
    <s v="WELLS FARGO"/>
    <x v="0"/>
  </r>
  <r>
    <x v="87"/>
    <n v="2423937054.6999998"/>
    <s v="CHASE"/>
    <x v="1"/>
  </r>
  <r>
    <x v="87"/>
    <n v="1578860937.1900001"/>
    <s v="QUICKEN"/>
    <x v="2"/>
  </r>
  <r>
    <x v="87"/>
    <n v="870248563.14999998"/>
    <s v="GREEN TREE SERVICING, LLC"/>
    <x v="3"/>
  </r>
  <r>
    <x v="87"/>
    <n v="862589348.16999996"/>
    <s v="NATIONSTAR"/>
    <x v="4"/>
  </r>
  <r>
    <x v="87"/>
    <n v="837007926.10000002"/>
    <s v="FLAGSTAR"/>
    <x v="5"/>
  </r>
  <r>
    <x v="87"/>
    <n v="732016079.92999995"/>
    <s v="STEARNS LENDING, INC."/>
    <x v="6"/>
  </r>
  <r>
    <x v="87"/>
    <n v="632588474.88999999"/>
    <s v="CITI"/>
    <x v="7"/>
  </r>
  <r>
    <x v="87"/>
    <n v="587267554.23000002"/>
    <s v="ROUNDPOINT MORTGAGE SERVICING CORPORATIO"/>
    <x v="8"/>
  </r>
  <r>
    <x v="87"/>
    <n v="469850026.73000002"/>
    <s v="FREEDOM"/>
    <x v="9"/>
  </r>
  <r>
    <x v="88"/>
    <n v="3701376306.8000002"/>
    <s v="WELLS FARGO"/>
    <x v="0"/>
  </r>
  <r>
    <x v="88"/>
    <n v="1528205247.9400001"/>
    <s v="QUICKEN"/>
    <x v="1"/>
  </r>
  <r>
    <x v="88"/>
    <n v="901247559.58000004"/>
    <s v="GREEN TREE SERVICING, LLC"/>
    <x v="2"/>
  </r>
  <r>
    <x v="88"/>
    <n v="697483806.19000006"/>
    <s v="CITI"/>
    <x v="3"/>
  </r>
  <r>
    <x v="88"/>
    <n v="683642277.61000001"/>
    <s v="FLAGSTAR"/>
    <x v="4"/>
  </r>
  <r>
    <x v="88"/>
    <n v="678517253.62"/>
    <s v="CHASE"/>
    <x v="5"/>
  </r>
  <r>
    <x v="88"/>
    <n v="651405516.88999999"/>
    <s v="ROUNDPOINT MORTGAGE SERVICING CORPORATIO"/>
    <x v="6"/>
  </r>
  <r>
    <x v="88"/>
    <n v="586473141.58000004"/>
    <s v="STEARNS LENDING, INC."/>
    <x v="7"/>
  </r>
  <r>
    <x v="88"/>
    <n v="585060774.85000002"/>
    <s v="NATIONSTAR"/>
    <x v="8"/>
  </r>
  <r>
    <x v="88"/>
    <n v="527369639.56999999"/>
    <s v="FREEDOM"/>
    <x v="9"/>
  </r>
  <r>
    <x v="89"/>
    <n v="4119664079.48"/>
    <s v="WELLS FARGO"/>
    <x v="0"/>
  </r>
  <r>
    <x v="89"/>
    <n v="1822050222.5"/>
    <s v="QUICKEN"/>
    <x v="1"/>
  </r>
  <r>
    <x v="89"/>
    <n v="1598605020.27"/>
    <s v="CHASE"/>
    <x v="2"/>
  </r>
  <r>
    <x v="89"/>
    <n v="1290844061.5799999"/>
    <s v="GREEN TREE SERVICING, LLC"/>
    <x v="3"/>
  </r>
  <r>
    <x v="89"/>
    <n v="867253770.96000004"/>
    <s v="FLAGSTAR"/>
    <x v="4"/>
  </r>
  <r>
    <x v="89"/>
    <n v="774995345.41999996"/>
    <s v="NATIONSTAR"/>
    <x v="5"/>
  </r>
  <r>
    <x v="89"/>
    <n v="721574813.37"/>
    <s v="STEARNS LENDING, INC."/>
    <x v="6"/>
  </r>
  <r>
    <x v="89"/>
    <n v="630908308.03999996"/>
    <s v="CITI"/>
    <x v="7"/>
  </r>
  <r>
    <x v="89"/>
    <n v="624925467.57000005"/>
    <s v="ROUNDPOINT MORTGAGE SERVICING CORPORATIO"/>
    <x v="8"/>
  </r>
  <r>
    <x v="89"/>
    <n v="597894157.63999999"/>
    <s v="FREEDOM"/>
    <x v="9"/>
  </r>
  <r>
    <x v="90"/>
    <n v="4404846709.1300001"/>
    <s v="WELLS FARGO"/>
    <x v="0"/>
  </r>
  <r>
    <x v="90"/>
    <n v="2307113272.52"/>
    <s v="QUICKEN"/>
    <x v="1"/>
  </r>
  <r>
    <x v="90"/>
    <n v="1448787273.48"/>
    <s v="GREEN TREE SERVICING, LLC"/>
    <x v="2"/>
  </r>
  <r>
    <x v="90"/>
    <n v="1266367352.4300001"/>
    <s v="CHASE"/>
    <x v="3"/>
  </r>
  <r>
    <x v="90"/>
    <n v="938242250.29999995"/>
    <s v="STEARNS LENDING, INC."/>
    <x v="4"/>
  </r>
  <r>
    <x v="90"/>
    <n v="826115611.47000003"/>
    <s v="NATIONSTAR"/>
    <x v="5"/>
  </r>
  <r>
    <x v="90"/>
    <n v="825523368.76999998"/>
    <s v="FREEDOM"/>
    <x v="6"/>
  </r>
  <r>
    <x v="90"/>
    <n v="768797131.27999997"/>
    <s v="SUNTRUST"/>
    <x v="7"/>
  </r>
  <r>
    <x v="90"/>
    <n v="726777824.34000003"/>
    <s v="FLAGSTAR"/>
    <x v="8"/>
  </r>
  <r>
    <x v="90"/>
    <n v="667872707.69000006"/>
    <s v="PINGORA LOAN SERVICING, INC."/>
    <x v="9"/>
  </r>
  <r>
    <x v="91"/>
    <n v="4351012772.2799997"/>
    <s v="WELLS FARGO"/>
    <x v="0"/>
  </r>
  <r>
    <x v="91"/>
    <n v="2194803673.75"/>
    <s v="QUICKEN"/>
    <x v="1"/>
  </r>
  <r>
    <x v="91"/>
    <n v="1540916705.1800001"/>
    <s v="GREEN TREE SERVICING, LLC"/>
    <x v="2"/>
  </r>
  <r>
    <x v="91"/>
    <n v="1176366465.74"/>
    <s v="CHASE"/>
    <x v="3"/>
  </r>
  <r>
    <x v="91"/>
    <n v="922664270"/>
    <s v="NATIONSTAR"/>
    <x v="4"/>
  </r>
  <r>
    <x v="91"/>
    <n v="787559163.98000002"/>
    <s v="FLAGSTAR"/>
    <x v="5"/>
  </r>
  <r>
    <x v="91"/>
    <n v="746652178.22000003"/>
    <s v="SUNTRUST"/>
    <x v="6"/>
  </r>
  <r>
    <x v="91"/>
    <n v="696445840.41999996"/>
    <s v="STEARNS LENDING, INC."/>
    <x v="7"/>
  </r>
  <r>
    <x v="91"/>
    <n v="689637671.97000003"/>
    <s v="ROUNDPOINT MORTGAGE SERVICING CORPORATIO"/>
    <x v="8"/>
  </r>
  <r>
    <x v="91"/>
    <n v="685239103.03999996"/>
    <s v="PINGORA LOAN SERVICING, INC."/>
    <x v="9"/>
  </r>
  <r>
    <x v="92"/>
    <n v="4282578991.9000001"/>
    <s v="WELLS FARGO"/>
    <x v="0"/>
  </r>
  <r>
    <x v="92"/>
    <n v="3595254259.9400001"/>
    <s v="BANK OF AMERICA"/>
    <x v="1"/>
  </r>
  <r>
    <x v="92"/>
    <n v="2814510250.8400002"/>
    <s v="SUNTRUST"/>
    <x v="2"/>
  </r>
  <r>
    <x v="92"/>
    <n v="2398305642.0999999"/>
    <s v="QUICKEN"/>
    <x v="3"/>
  </r>
  <r>
    <x v="92"/>
    <n v="2100477876"/>
    <s v="CHASE"/>
    <x v="4"/>
  </r>
  <r>
    <x v="92"/>
    <n v="1540397265.4100001"/>
    <s v="GREEN TREE SERVICING, LLC"/>
    <x v="5"/>
  </r>
  <r>
    <x v="92"/>
    <n v="1153583979.72"/>
    <s v="NATIONSTAR"/>
    <x v="6"/>
  </r>
  <r>
    <x v="92"/>
    <n v="973320000"/>
    <s v="PRUDENTIAL MULTIFAMILY MORTGAGE INC."/>
    <x v="7"/>
  </r>
  <r>
    <x v="92"/>
    <n v="874596962.26999998"/>
    <s v="FLAGSTAR"/>
    <x v="8"/>
  </r>
  <r>
    <x v="92"/>
    <n v="685504145.92999995"/>
    <s v="ROUNDPOINT MORTGAGE SERVICING CORPORATIO"/>
    <x v="9"/>
  </r>
  <r>
    <x v="93"/>
    <n v="4328284495.8800001"/>
    <s v="WELLS FARGO"/>
    <x v="0"/>
  </r>
  <r>
    <x v="93"/>
    <n v="2885476838.1799998"/>
    <s v="CHASE"/>
    <x v="1"/>
  </r>
  <r>
    <x v="93"/>
    <n v="2043426912.0999999"/>
    <s v="QUICKEN"/>
    <x v="2"/>
  </r>
  <r>
    <x v="93"/>
    <n v="1584140311.48"/>
    <s v="GREEN TREE SERVICING, LLC"/>
    <x v="3"/>
  </r>
  <r>
    <x v="93"/>
    <n v="1181205153.1800001"/>
    <s v="ROUNDPOINT MORTGAGE SERVICING CORPORATIO"/>
    <x v="4"/>
  </r>
  <r>
    <x v="93"/>
    <n v="1076952006.8"/>
    <s v="PINGORA LOAN SERVICING, INC."/>
    <x v="5"/>
  </r>
  <r>
    <x v="93"/>
    <n v="978700583.25"/>
    <s v="NATIONSTAR"/>
    <x v="6"/>
  </r>
  <r>
    <x v="93"/>
    <n v="915816431.82000005"/>
    <s v="SUNTRUST"/>
    <x v="7"/>
  </r>
  <r>
    <x v="93"/>
    <n v="880893025.72000003"/>
    <s v="FLAGSTAR"/>
    <x v="8"/>
  </r>
  <r>
    <x v="93"/>
    <n v="716394907.08000004"/>
    <s v="FREEDOM"/>
    <x v="9"/>
  </r>
  <r>
    <x v="94"/>
    <n v="4110188403.46"/>
    <s v="BANK OF AMERICA"/>
    <x v="0"/>
  </r>
  <r>
    <x v="94"/>
    <n v="3849600798.1199999"/>
    <s v="WELLS FARGO"/>
    <x v="1"/>
  </r>
  <r>
    <x v="94"/>
    <n v="3015072775.0799999"/>
    <s v="CHASE"/>
    <x v="2"/>
  </r>
  <r>
    <x v="94"/>
    <n v="2775970767.79"/>
    <s v="QUICKEN"/>
    <x v="3"/>
  </r>
  <r>
    <x v="94"/>
    <n v="1393087502.71"/>
    <s v="GREEN TREE SERVICING, LLC"/>
    <x v="4"/>
  </r>
  <r>
    <x v="94"/>
    <n v="998050265.50999999"/>
    <s v="ROUNDPOINT MORTGAGE SERVICING CORPORATIO"/>
    <x v="5"/>
  </r>
  <r>
    <x v="94"/>
    <n v="810311187.20000005"/>
    <s v="NATIONSTAR"/>
    <x v="6"/>
  </r>
  <r>
    <x v="94"/>
    <n v="773265401.87"/>
    <s v="SUNTRUST"/>
    <x v="7"/>
  </r>
  <r>
    <x v="94"/>
    <n v="718640760.32000005"/>
    <s v="FLAGSTAR"/>
    <x v="8"/>
  </r>
  <r>
    <x v="94"/>
    <n v="606652063.09000003"/>
    <s v="CITI"/>
    <x v="9"/>
  </r>
  <r>
    <x v="95"/>
    <n v="3928850698.1300001"/>
    <s v="WELLS FARGO"/>
    <x v="0"/>
  </r>
  <r>
    <x v="95"/>
    <n v="2913297453.96"/>
    <s v="CITI"/>
    <x v="1"/>
  </r>
  <r>
    <x v="95"/>
    <n v="2066146511.47"/>
    <s v="QUICKEN"/>
    <x v="2"/>
  </r>
  <r>
    <x v="95"/>
    <n v="1879715467.6099999"/>
    <s v="ROUNDPOINT MORTGAGE SERVICING CORPORATIO"/>
    <x v="3"/>
  </r>
  <r>
    <x v="95"/>
    <n v="1404476774.0999999"/>
    <s v="PINGORA LOAN SERVICING, INC."/>
    <x v="4"/>
  </r>
  <r>
    <x v="95"/>
    <n v="1117301751.3599999"/>
    <s v="FLAGSTAR"/>
    <x v="5"/>
  </r>
  <r>
    <x v="95"/>
    <n v="1076041614.8099999"/>
    <s v="GREEN TREE SERVICING, LLC"/>
    <x v="6"/>
  </r>
  <r>
    <x v="95"/>
    <n v="960946838.37"/>
    <s v="CHASE"/>
    <x v="7"/>
  </r>
  <r>
    <x v="95"/>
    <n v="956205375.35000002"/>
    <s v="NATIONSTAR"/>
    <x v="8"/>
  </r>
  <r>
    <x v="95"/>
    <n v="666254502"/>
    <s v="PNC"/>
    <x v="9"/>
  </r>
  <r>
    <x v="96"/>
    <n v="5489190091.1700001"/>
    <s v="WELLS FARGO"/>
    <x v="0"/>
  </r>
  <r>
    <x v="96"/>
    <n v="3191572944.1500001"/>
    <s v="QUICKEN"/>
    <x v="1"/>
  </r>
  <r>
    <x v="96"/>
    <n v="1859953180.3399999"/>
    <s v="CHASE"/>
    <x v="2"/>
  </r>
  <r>
    <x v="96"/>
    <n v="1575481438.27"/>
    <s v="ROUNDPOINT MORTGAGE SERVICING CORPORATIO"/>
    <x v="3"/>
  </r>
  <r>
    <x v="96"/>
    <n v="1239435764.55"/>
    <s v="GREEN TREE SERVICING, LLC"/>
    <x v="4"/>
  </r>
  <r>
    <x v="96"/>
    <n v="908465632.36000001"/>
    <s v="FLAGSTAR"/>
    <x v="5"/>
  </r>
  <r>
    <x v="96"/>
    <n v="820018959.46000004"/>
    <s v="PINGORA LOAN SERVICING, INC."/>
    <x v="6"/>
  </r>
  <r>
    <x v="96"/>
    <n v="818350088.14999998"/>
    <s v="SUNTRUST"/>
    <x v="7"/>
  </r>
  <r>
    <x v="96"/>
    <n v="727299851.34000003"/>
    <s v="NATIONSTAR"/>
    <x v="8"/>
  </r>
  <r>
    <x v="96"/>
    <n v="590251975.22000003"/>
    <s v="CITI"/>
    <x v="9"/>
  </r>
  <r>
    <x v="97"/>
    <n v="5063985040.1199999"/>
    <s v="WELLS FARGO"/>
    <x v="0"/>
  </r>
  <r>
    <x v="97"/>
    <n v="2391607148.8299999"/>
    <s v="QUICKEN"/>
    <x v="1"/>
  </r>
  <r>
    <x v="97"/>
    <n v="1754464295.02"/>
    <s v="CHASE"/>
    <x v="2"/>
  </r>
  <r>
    <x v="97"/>
    <n v="1363400170.6300001"/>
    <s v="ROUNDPOINT MORTGAGE SERVICING CORPORATIO"/>
    <x v="3"/>
  </r>
  <r>
    <x v="97"/>
    <n v="1098070187.5599999"/>
    <s v="GREEN TREE SERVICING, LLC"/>
    <x v="4"/>
  </r>
  <r>
    <x v="97"/>
    <n v="986818665.65999997"/>
    <s v="PINGORA LOAN SERVICING, INC."/>
    <x v="5"/>
  </r>
  <r>
    <x v="97"/>
    <n v="972342136.94000006"/>
    <s v="FLAGSTAR"/>
    <x v="6"/>
  </r>
  <r>
    <x v="97"/>
    <n v="917470993.57000005"/>
    <s v="NATIONSTAR"/>
    <x v="7"/>
  </r>
  <r>
    <x v="97"/>
    <n v="842065425.11000001"/>
    <s v="SUNTRUST"/>
    <x v="8"/>
  </r>
  <r>
    <x v="97"/>
    <n v="625784148.74000001"/>
    <s v="FREEDOM"/>
    <x v="9"/>
  </r>
  <r>
    <x v="98"/>
    <n v="4246970201.73"/>
    <s v="WELLS FARGO"/>
    <x v="0"/>
  </r>
  <r>
    <x v="98"/>
    <n v="4001267869.9400001"/>
    <s v="QUICKEN"/>
    <x v="1"/>
  </r>
  <r>
    <x v="98"/>
    <n v="1662191360.9000001"/>
    <s v="PINGORA LOAN SERVICING, INC."/>
    <x v="2"/>
  </r>
  <r>
    <x v="98"/>
    <n v="1296799355.3"/>
    <s v="GREEN TREE SERVICING, LLC"/>
    <x v="3"/>
  </r>
  <r>
    <x v="98"/>
    <n v="1175126609.49"/>
    <s v="CHASE"/>
    <x v="4"/>
  </r>
  <r>
    <x v="98"/>
    <n v="1102188321.1500001"/>
    <s v="ROUNDPOINT MORTGAGE SERVICING CORPORATIO"/>
    <x v="5"/>
  </r>
  <r>
    <x v="98"/>
    <n v="1068904418.66"/>
    <s v="FLAGSTAR"/>
    <x v="6"/>
  </r>
  <r>
    <x v="98"/>
    <n v="985085018.16999996"/>
    <s v="NATIONSTAR"/>
    <x v="7"/>
  </r>
  <r>
    <x v="98"/>
    <n v="759587215.17999995"/>
    <s v="CITI"/>
    <x v="8"/>
  </r>
  <r>
    <x v="98"/>
    <n v="625428880.38"/>
    <s v="FREEDOM"/>
    <x v="9"/>
  </r>
  <r>
    <x v="99"/>
    <n v="6018108576.21"/>
    <s v="WELLS FARGO"/>
    <x v="0"/>
  </r>
  <r>
    <x v="99"/>
    <n v="2942739567.1399999"/>
    <s v="QUICKEN"/>
    <x v="1"/>
  </r>
  <r>
    <x v="99"/>
    <n v="1640723673.55"/>
    <s v="PINGORA LOAN SERVICING, INC."/>
    <x v="2"/>
  </r>
  <r>
    <x v="99"/>
    <n v="1569958762.79"/>
    <s v="GREEN TREE SERVICING, LLC"/>
    <x v="3"/>
  </r>
  <r>
    <x v="99"/>
    <n v="1457683039.0799999"/>
    <s v="CHASE"/>
    <x v="4"/>
  </r>
  <r>
    <x v="99"/>
    <n v="1037654600.58"/>
    <s v="SUNTRUST"/>
    <x v="5"/>
  </r>
  <r>
    <x v="99"/>
    <n v="1016702522.09"/>
    <s v="FLAGSTAR"/>
    <x v="6"/>
  </r>
  <r>
    <x v="99"/>
    <n v="991941266.66999996"/>
    <s v="NATIONSTAR"/>
    <x v="7"/>
  </r>
  <r>
    <x v="99"/>
    <n v="944084402.55999994"/>
    <s v="ROUNDPOINT MORTGAGE SERVICING CORPORATIO"/>
    <x v="8"/>
  </r>
  <r>
    <x v="99"/>
    <n v="827863000"/>
    <s v="KEYBANK NATIONAL ASSOCIATION"/>
    <x v="9"/>
  </r>
  <r>
    <x v="100"/>
    <n v="6352931391.3199997"/>
    <s v="WELLS FARGO"/>
    <x v="0"/>
  </r>
  <r>
    <x v="100"/>
    <n v="2798725237.3699999"/>
    <s v="QUICKEN"/>
    <x v="1"/>
  </r>
  <r>
    <x v="100"/>
    <n v="1577703116.29"/>
    <s v="PINGORA LOAN SERVICING, INC."/>
    <x v="2"/>
  </r>
  <r>
    <x v="100"/>
    <n v="1307933538.6099999"/>
    <s v="CHASE"/>
    <x v="3"/>
  </r>
  <r>
    <x v="100"/>
    <n v="1264778132.8599999"/>
    <s v="GREEN TREE SERVICING, LLC"/>
    <x v="4"/>
  </r>
  <r>
    <x v="100"/>
    <n v="918726824.01999998"/>
    <s v="FLAGSTAR"/>
    <x v="5"/>
  </r>
  <r>
    <x v="100"/>
    <n v="883119798.46000004"/>
    <s v="NATIONSTAR"/>
    <x v="6"/>
  </r>
  <r>
    <x v="100"/>
    <n v="855599988.80999994"/>
    <s v="BANK OF AMERICA"/>
    <x v="7"/>
  </r>
  <r>
    <x v="100"/>
    <n v="849341000"/>
    <s v="WALKER&amp;DUNLOP"/>
    <x v="8"/>
  </r>
  <r>
    <x v="100"/>
    <n v="797647479.84000003"/>
    <s v="SUNTRUST"/>
    <x v="9"/>
  </r>
  <r>
    <x v="101"/>
    <n v="5813912461.1999998"/>
    <s v="WELLS FARGO"/>
    <x v="0"/>
  </r>
  <r>
    <x v="101"/>
    <n v="2820536650.3600001"/>
    <s v="QUICKEN"/>
    <x v="1"/>
  </r>
  <r>
    <x v="101"/>
    <n v="1923227775.6400001"/>
    <s v="CITI"/>
    <x v="2"/>
  </r>
  <r>
    <x v="101"/>
    <n v="1613735529.52"/>
    <s v="PINGORA LOAN SERVICING, INC."/>
    <x v="3"/>
  </r>
  <r>
    <x v="101"/>
    <n v="1149723074.47"/>
    <s v="FLAGSTAR"/>
    <x v="4"/>
  </r>
  <r>
    <x v="101"/>
    <n v="984247565"/>
    <s v="BERKADIA"/>
    <x v="5"/>
  </r>
  <r>
    <x v="101"/>
    <n v="979107174.38"/>
    <s v="GREEN TREE SERVICING, LLC"/>
    <x v="6"/>
  </r>
  <r>
    <x v="101"/>
    <n v="899372903.63"/>
    <s v="SUNTRUST"/>
    <x v="7"/>
  </r>
  <r>
    <x v="101"/>
    <n v="835992204.11000001"/>
    <s v="CHASE"/>
    <x v="8"/>
  </r>
  <r>
    <x v="101"/>
    <n v="807024817.42999995"/>
    <s v="NATIONSTAR"/>
    <x v="9"/>
  </r>
  <r>
    <x v="102"/>
    <n v="6405337071"/>
    <s v="WELLS FARGO"/>
    <x v="0"/>
  </r>
  <r>
    <x v="102"/>
    <n v="1966661953"/>
    <s v="QUICKEN"/>
    <x v="1"/>
  </r>
  <r>
    <x v="102"/>
    <n v="1491094673.8900001"/>
    <s v="GREEN TREE SERVICING, LLC"/>
    <x v="2"/>
  </r>
  <r>
    <x v="102"/>
    <n v="838666048"/>
    <s v="SUNTRUST"/>
    <x v="3"/>
  </r>
  <r>
    <x v="102"/>
    <n v="773160494"/>
    <s v="FLAGSTAR"/>
    <x v="4"/>
  </r>
  <r>
    <x v="102"/>
    <n v="729157456"/>
    <s v="FRANKLIN AMERICAN MORTGAGE COMPANY"/>
    <x v="5"/>
  </r>
  <r>
    <x v="102"/>
    <n v="584100667"/>
    <s v="LOANDEPOT.COM, LLC"/>
    <x v="6"/>
  </r>
  <r>
    <x v="102"/>
    <n v="490376991"/>
    <s v="FREEDOM"/>
    <x v="7"/>
  </r>
  <r>
    <x v="102"/>
    <n v="438564338"/>
    <s v="CITI"/>
    <x v="8"/>
  </r>
  <r>
    <x v="102"/>
    <n v="428720308"/>
    <s v="CHASE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07" firstHeaderRow="1" firstDataRow="1" firstDataCol="1" rowPageCount="1" colPageCount="1"/>
  <pivotFields count="4">
    <pivotField axis="axisRow" numFmtId="14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07" firstHeaderRow="1" firstDataRow="1" firstDataCol="1" rowPageCount="1" colPageCount="1"/>
  <pivotFields count="4">
    <pivotField axis="axisRow" numFmtId="14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07" firstHeaderRow="1" firstDataRow="1" firstDataCol="1"/>
  <pivotFields count="4">
    <pivotField axis="axisRow" numFmtId="14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dataField="1" showAll="0"/>
    <pivotField showAll="0"/>
    <pivotField showAll="0"/>
  </pivotFields>
  <rowFields count="1">
    <field x="0"/>
  </rowFields>
  <rowItems count="1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101" tableType="queryTable" totalsRowShown="0" headerRowDxfId="40" dataDxfId="39">
  <tableColumns count="12">
    <tableColumn id="2" uniqueName="2" name="asOf" queryTableFieldId="57" dataDxfId="38"/>
    <tableColumn id="3" uniqueName="3" name="TotalBalance" queryTableFieldId="58" dataDxfId="37"/>
    <tableColumn id="1" uniqueName="1" name="Total Amount" queryTableFieldId="60" dataDxfId="36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35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34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33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32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31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0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29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28" dataCellStyle="Percent">
      <calculatedColumnFormula>CurrentMtgRatesDataTable934[[#This Row],[N/A Amount]]/CurrentMtgRatesDataTable934[[#This Row],[Total Amount]]</calculatedColumnFormula>
    </tableColumn>
    <tableColumn id="13" uniqueName="13" name="Lag" queryTableFieldId="70" dataDxfId="27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101" tableType="queryTable" totalsRowShown="0" headerRowDxfId="26" dataDxfId="25">
  <tableColumns count="11">
    <tableColumn id="2" uniqueName="2" name="asOf" queryTableFieldId="57" dataDxfId="24"/>
    <tableColumn id="3" uniqueName="3" name="TotalBalance" queryTableFieldId="58" dataDxfId="23"/>
    <tableColumn id="1" uniqueName="1" name="Top 10 Amount" queryTableFieldId="60" dataDxfId="22">
      <calculatedColumnFormula>VLOOKUP($N4,'Pivot equal'!C:D,2,0)</calculatedColumnFormula>
    </tableColumn>
    <tableColumn id="4" uniqueName="4" name="Top 5 Amount" queryTableFieldId="61" dataDxfId="21">
      <calculatedColumnFormula>VLOOKUP(N4,'Pivot equal'!G:H,2,0)</calculatedColumnFormula>
    </tableColumn>
    <tableColumn id="5" uniqueName="5" name="Top 1 Amount" queryTableFieldId="62" dataDxfId="20">
      <calculatedColumnFormula>VLOOKUP(N4,'Pivot equal'!K:L,2,0)</calculatedColumnFormula>
    </tableColumn>
    <tableColumn id="6" uniqueName="6" name="Remaining Amount" queryTableFieldId="63" dataDxfId="19">
      <calculatedColumnFormula>VLOOKUP(N4,CurrentMtgRatesDataTable9[],2,0)</calculatedColumnFormula>
    </tableColumn>
    <tableColumn id="7" uniqueName="7" name="N/A Amount" queryTableFieldId="64" dataDxfId="18">
      <calculatedColumnFormula>VLOOKUP(N4,CurrentMtgRatesDataTable93[],2,0)</calculatedColumnFormula>
    </tableColumn>
    <tableColumn id="8" uniqueName="8" name="Top 10" queryTableFieldId="65" dataDxfId="17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16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15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14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04" tableType="queryTable" totalsRowShown="0" headerRowDxfId="13" dataDxfId="12">
  <tableColumns count="2">
    <tableColumn id="2" uniqueName="2" name="asOf" queryTableFieldId="57" dataDxfId="11"/>
    <tableColumn id="3" uniqueName="3" name="TotalBalance" queryTableFieldId="58" dataDxfId="1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1033" tableType="queryTable" totalsRowShown="0" headerRowDxfId="9" dataDxfId="8">
  <tableColumns count="4">
    <tableColumn id="2" uniqueName="2" name="asOf" queryTableFieldId="57" dataDxfId="7"/>
    <tableColumn id="3" uniqueName="3" name="TotalBalance" queryTableFieldId="58" dataDxfId="6"/>
    <tableColumn id="1" uniqueName="1" name="servicerName" queryTableFieldId="60" dataDxfId="5"/>
    <tableColumn id="4" uniqueName="4" name="Rank" queryTableFieldId="61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103" tableType="queryTable" totalsRowShown="0" headerRowDxfId="3" dataDxfId="2">
  <tableColumns count="2">
    <tableColumn id="2" uniqueName="2" name="asOf" queryTableFieldId="57" dataDxfId="1"/>
    <tableColumn id="3" uniqueName="3" name="TotalBalance" queryTableFieldId="58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tabSelected="1" zoomScaleNormal="100" workbookViewId="0">
      <selection activeCell="U13" sqref="U13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79</v>
      </c>
      <c r="U1" s="13" t="s">
        <v>80</v>
      </c>
      <c r="V1" s="17" t="s">
        <v>81</v>
      </c>
      <c r="W1" s="13" t="s">
        <v>82</v>
      </c>
    </row>
    <row r="2" spans="3:23">
      <c r="T2" s="12" t="s">
        <v>83</v>
      </c>
      <c r="U2" s="14">
        <v>42202</v>
      </c>
    </row>
    <row r="3" spans="3:23">
      <c r="T3" s="12" t="s">
        <v>104</v>
      </c>
      <c r="U3" s="40" t="s">
        <v>115</v>
      </c>
    </row>
    <row r="4" spans="3:23">
      <c r="T4" s="12" t="s">
        <v>84</v>
      </c>
      <c r="U4" s="13" t="str">
        <f>PDFReportDir&amp;"Market Concentration " &amp; TEXT(CurrentCloseDate, "yyyy-mm-dd") &amp; ".pdf"</f>
        <v>S:\IT\Production\Daily Reports\Primary Market\tmp\Market Concentration 2015-07-17.pdf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99</v>
      </c>
      <c r="U9" s="31">
        <f>IF(DAY(CurrentCloseDate)&lt;7,(CurrentCloseDate-DAY(CurrentCloseDate))-DAY((CurrentCloseDate-DAY(CurrentCloseDate)))+1,CurrentCloseDate-DAY(CurrentCloseDate)+1)</f>
        <v>42186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100</v>
      </c>
      <c r="U10" s="32">
        <f>(U9-1)-DAY((U9-1))+1</f>
        <v>42156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112</v>
      </c>
      <c r="U12" s="32">
        <v>40695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40" spans="3:11">
      <c r="D40" s="20"/>
      <c r="E40" s="21" t="s">
        <v>93</v>
      </c>
      <c r="F40" s="22" t="s">
        <v>94</v>
      </c>
      <c r="G40" s="22" t="s">
        <v>95</v>
      </c>
      <c r="H40" s="22" t="s">
        <v>96</v>
      </c>
      <c r="I40" s="22" t="s">
        <v>97</v>
      </c>
    </row>
    <row r="41" spans="3:11">
      <c r="D41" s="23" t="s">
        <v>90</v>
      </c>
      <c r="E41" s="33">
        <f>'Result Combine'!$J$4</f>
        <v>0.55059692836683627</v>
      </c>
      <c r="F41" s="27">
        <f>'Result Combine'!$J$4-'Result Combine'!$J$5</f>
        <v>0.16862047316644513</v>
      </c>
      <c r="G41" s="27">
        <f>'Result Combine'!$J$4-'Result Combine'!$J$7</f>
        <v>0.19017288214048628</v>
      </c>
      <c r="H41" s="27">
        <f>'Result Combine'!$J$4-'Result Combine'!$J$10</f>
        <v>8.494722185001663E-2</v>
      </c>
      <c r="I41" s="27">
        <f>'Result Combine'!$J$4-'Result Combine'!$J$16</f>
        <v>0.16153178377897698</v>
      </c>
    </row>
    <row r="42" spans="3:11">
      <c r="D42" s="23" t="s">
        <v>91</v>
      </c>
      <c r="E42" s="33">
        <f>'Result Combine'!$K$4</f>
        <v>0.44663702101727465</v>
      </c>
      <c r="F42" s="27">
        <f>'Result Combine'!$K$4-'Result Combine'!$K$5</f>
        <v>0.16120512997881392</v>
      </c>
      <c r="G42" s="27">
        <f>'Result Combine'!$K$4-'Result Combine'!$K$7</f>
        <v>0.18035123011215476</v>
      </c>
      <c r="H42" s="27">
        <f>'Result Combine'!$K$4-'Result Combine'!$K$10</f>
        <v>8.5484896412062916E-2</v>
      </c>
      <c r="I42" s="27">
        <f>'Result Combine'!$K$4-'Result Combine'!$K$16</f>
        <v>0.16224541759478167</v>
      </c>
    </row>
    <row r="43" spans="3:11">
      <c r="D43" s="23" t="s">
        <v>92</v>
      </c>
      <c r="E43" s="33">
        <f>'Result Combine'!$L$4</f>
        <v>0.2493142094406732</v>
      </c>
      <c r="F43" s="27">
        <f>'Result Combine'!$L$4-'Result Combine'!$L$5</f>
        <v>0.1247395416708055</v>
      </c>
      <c r="G43" s="27">
        <f>'Result Combine'!$L$4-'Result Combine'!$L$7</f>
        <v>0.13173319216452095</v>
      </c>
      <c r="H43" s="27">
        <f>'Result Combine'!$L$4-'Result Combine'!$L$10</f>
        <v>0.10088001679168526</v>
      </c>
      <c r="I43" s="27">
        <f>'Result Combine'!$L$4-'Result Combine'!$L$16</f>
        <v>0.12845957456239068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102</v>
      </c>
      <c r="E47" s="57" t="s">
        <v>116</v>
      </c>
      <c r="F47" s="58">
        <f>U9</f>
        <v>42186</v>
      </c>
      <c r="H47" s="15" t="s">
        <v>103</v>
      </c>
      <c r="J47" s="57" t="s">
        <v>116</v>
      </c>
      <c r="K47" s="58">
        <f>U10</f>
        <v>42156</v>
      </c>
    </row>
    <row r="48" spans="3:11">
      <c r="C48" s="50" t="s">
        <v>3</v>
      </c>
      <c r="D48" s="51" t="s">
        <v>101</v>
      </c>
      <c r="E48" s="51" t="s">
        <v>98</v>
      </c>
      <c r="F48" s="52" t="s">
        <v>114</v>
      </c>
      <c r="H48" s="50" t="s">
        <v>3</v>
      </c>
      <c r="I48" s="51" t="s">
        <v>101</v>
      </c>
      <c r="J48" s="51" t="s">
        <v>98</v>
      </c>
      <c r="K48" s="52" t="s">
        <v>114</v>
      </c>
    </row>
    <row r="49" spans="3:11">
      <c r="C49" s="50">
        <v>1</v>
      </c>
      <c r="D49" s="53" t="str">
        <f t="array" ref="D49">VLOOKUP(C49&amp;$U$9,IF({1,0},CurrentMtgRatesDataTable82[Rank]&amp;CurrentMtgRatesDataTable82[asOf],CurrentMtgRatesDataTable82[servicerName]),2,0)</f>
        <v>WELLS FARGO</v>
      </c>
      <c r="E49" s="54">
        <f t="array" ref="E49">VLOOKUP(C49&amp;$U$9,IF({1,0},CurrentMtgRatesDataTable82[Rank]&amp;CurrentMtgRatesDataTable82[asOf],CurrentMtgRatesDataTable82[TotalBalance]),2,0)/VLOOKUP($U$9,CurrentMtgRatesDataTable8[],2,0)</f>
        <v>0.2493142094406732</v>
      </c>
      <c r="F49" s="55">
        <f t="array" ref="F49">VLOOKUP(C49&amp;$U$9,IF({1,0},CurrentMtgRatesDataTable82[Rank]&amp;CurrentMtgRatesDataTable82[asOf],CurrentMtgRatesDataTable82[TotalBalance]),2,0)/1000000</f>
        <v>6405.3370709999999</v>
      </c>
      <c r="H49" s="50">
        <v>1</v>
      </c>
      <c r="I49" s="53" t="str">
        <f t="array" ref="I49">VLOOKUP(C49&amp;$U$10,IF({1,0},CurrentMtgRatesDataTable82[Rank]&amp;CurrentMtgRatesDataTable82[asOf],CurrentMtgRatesDataTable82[servicerName]),2,0)</f>
        <v>WELLS FARGO</v>
      </c>
      <c r="J49" s="54">
        <f t="array" ref="J49">VLOOKUP(C49&amp;$U$10,IF({1,0},CurrentMtgRatesDataTable82[Rank]&amp;CurrentMtgRatesDataTable82[asOf],CurrentMtgRatesDataTable82[TotalBalance]),2,0)/VLOOKUP($U$10,CurrentMtgRatesDataTable8[],2,0)</f>
        <v>0.1245746677698677</v>
      </c>
      <c r="K49" s="56">
        <f t="array" ref="K49">VLOOKUP(C49&amp;$U$10,IF({1,0},CurrentMtgRatesDataTable82[Rank]&amp;CurrentMtgRatesDataTable82[asOf],CurrentMtgRatesDataTable82[TotalBalance]),2,0)/1000000</f>
        <v>5813.9124611999996</v>
      </c>
    </row>
    <row r="50" spans="3:11">
      <c r="C50" s="50">
        <v>2</v>
      </c>
      <c r="D50" s="53" t="str">
        <f t="array" ref="D50">VLOOKUP(C50&amp;$U$9,IF({1,0},CurrentMtgRatesDataTable82[Rank]&amp;CurrentMtgRatesDataTable82[asOf],CurrentMtgRatesDataTable82[servicerName]),2,0)</f>
        <v>QUICKEN</v>
      </c>
      <c r="E50" s="54">
        <f t="array" ref="E50">VLOOKUP(C50&amp;$U$9,IF({1,0},CurrentMtgRatesDataTable82[Rank]&amp;CurrentMtgRatesDataTable82[asOf],CurrentMtgRatesDataTable82[TotalBalance]),2,0)/VLOOKUP($U$9,CurrentMtgRatesDataTable8[],2,0)</f>
        <v>7.6548160481536884E-2</v>
      </c>
      <c r="F50" s="55">
        <f t="array" ref="F50">VLOOKUP(C50&amp;$U$9,IF({1,0},CurrentMtgRatesDataTable82[Rank]&amp;CurrentMtgRatesDataTable82[asOf],CurrentMtgRatesDataTable82[TotalBalance]),2,0)/1000000</f>
        <v>1966.661953</v>
      </c>
      <c r="H50" s="50">
        <v>2</v>
      </c>
      <c r="I50" s="53" t="str">
        <f t="array" ref="I50">VLOOKUP(C50&amp;$U$10,IF({1,0},CurrentMtgRatesDataTable82[Rank]&amp;CurrentMtgRatesDataTable82[asOf],CurrentMtgRatesDataTable82[servicerName]),2,0)</f>
        <v>QUICKEN</v>
      </c>
      <c r="J50" s="54">
        <f t="array" ref="J50">VLOOKUP(C50&amp;$U$10,IF({1,0},CurrentMtgRatesDataTable82[Rank]&amp;CurrentMtgRatesDataTable82[asOf],CurrentMtgRatesDataTable82[TotalBalance]),2,0)/VLOOKUP($U$10,CurrentMtgRatesDataTable8[],2,0)</f>
        <v>6.0435622052487828E-2</v>
      </c>
      <c r="K50" s="56">
        <f t="array" ref="K50">VLOOKUP(C50&amp;$U$10,IF({1,0},CurrentMtgRatesDataTable82[Rank]&amp;CurrentMtgRatesDataTable82[asOf],CurrentMtgRatesDataTable82[TotalBalance]),2,0)/1000000</f>
        <v>2820.5366503600003</v>
      </c>
    </row>
    <row r="51" spans="3:11">
      <c r="C51" s="50">
        <v>3</v>
      </c>
      <c r="D51" s="53" t="str">
        <f t="array" ref="D51">VLOOKUP(C51&amp;$U$9,IF({1,0},CurrentMtgRatesDataTable82[Rank]&amp;CurrentMtgRatesDataTable82[asOf],CurrentMtgRatesDataTable82[servicerName]),2,0)</f>
        <v>GREEN TREE SERVICING, LLC</v>
      </c>
      <c r="E51" s="54">
        <f t="array" ref="E51">VLOOKUP(C51&amp;$U$9,IF({1,0},CurrentMtgRatesDataTable82[Rank]&amp;CurrentMtgRatesDataTable82[asOf],CurrentMtgRatesDataTable82[TotalBalance]),2,0)/VLOOKUP($U$9,CurrentMtgRatesDataTable8[],2,0)</f>
        <v>5.8037709132463519E-2</v>
      </c>
      <c r="F51" s="55">
        <f t="array" ref="F51">VLOOKUP(C51&amp;$U$9,IF({1,0},CurrentMtgRatesDataTable82[Rank]&amp;CurrentMtgRatesDataTable82[asOf],CurrentMtgRatesDataTable82[TotalBalance]),2,0)/1000000</f>
        <v>1491.0946738900002</v>
      </c>
      <c r="H51" s="50">
        <v>3</v>
      </c>
      <c r="I51" s="53" t="str">
        <f t="array" ref="I51">VLOOKUP(C51&amp;$U$10,IF({1,0},CurrentMtgRatesDataTable82[Rank]&amp;CurrentMtgRatesDataTable82[asOf],CurrentMtgRatesDataTable82[servicerName]),2,0)</f>
        <v>CITI</v>
      </c>
      <c r="J51" s="54">
        <f t="array" ref="J51">VLOOKUP(C51&amp;$U$10,IF({1,0},CurrentMtgRatesDataTable82[Rank]&amp;CurrentMtgRatesDataTable82[asOf],CurrentMtgRatesDataTable82[TotalBalance]),2,0)/VLOOKUP($U$10,CurrentMtgRatesDataTable8[],2,0)</f>
        <v>4.1208990124127855E-2</v>
      </c>
      <c r="K51" s="56">
        <f t="array" ref="K51">VLOOKUP(C51&amp;$U$10,IF({1,0},CurrentMtgRatesDataTable82[Rank]&amp;CurrentMtgRatesDataTable82[asOf],CurrentMtgRatesDataTable82[TotalBalance]),2,0)/1000000</f>
        <v>1923.2277756400001</v>
      </c>
    </row>
    <row r="52" spans="3:11">
      <c r="C52" s="50">
        <v>4</v>
      </c>
      <c r="D52" s="53" t="str">
        <f t="array" ref="D52">VLOOKUP(C52&amp;$U$9,IF({1,0},CurrentMtgRatesDataTable82[Rank]&amp;CurrentMtgRatesDataTable82[asOf],CurrentMtgRatesDataTable82[servicerName]),2,0)</f>
        <v>SUNTRUST</v>
      </c>
      <c r="E52" s="54">
        <f t="array" ref="E52">VLOOKUP(C52&amp;$U$9,IF({1,0},CurrentMtgRatesDataTable82[Rank]&amp;CurrentMtgRatesDataTable82[asOf],CurrentMtgRatesDataTable82[TotalBalance]),2,0)/VLOOKUP($U$9,CurrentMtgRatesDataTable8[],2,0)</f>
        <v>3.2643303611375817E-2</v>
      </c>
      <c r="F52" s="55">
        <f t="array" ref="F52">VLOOKUP(C52&amp;$U$9,IF({1,0},CurrentMtgRatesDataTable82[Rank]&amp;CurrentMtgRatesDataTable82[asOf],CurrentMtgRatesDataTable82[TotalBalance]),2,0)/1000000</f>
        <v>838.66604800000005</v>
      </c>
      <c r="H52" s="50">
        <v>4</v>
      </c>
      <c r="I52" s="53" t="str">
        <f t="array" ref="I52">VLOOKUP(C52&amp;$U$10,IF({1,0},CurrentMtgRatesDataTable82[Rank]&amp;CurrentMtgRatesDataTable82[asOf],CurrentMtgRatesDataTable82[servicerName]),2,0)</f>
        <v>PINGORA LOAN SERVICING, INC.</v>
      </c>
      <c r="J52" s="54">
        <f t="array" ref="J52">VLOOKUP(C52&amp;$U$10,IF({1,0},CurrentMtgRatesDataTable82[Rank]&amp;CurrentMtgRatesDataTable82[asOf],CurrentMtgRatesDataTable82[TotalBalance]),2,0)/VLOOKUP($U$10,CurrentMtgRatesDataTable8[],2,0)</f>
        <v>3.4577501604985038E-2</v>
      </c>
      <c r="K52" s="56">
        <f t="array" ref="K52">VLOOKUP(C52&amp;$U$10,IF({1,0},CurrentMtgRatesDataTable82[Rank]&amp;CurrentMtgRatesDataTable82[asOf],CurrentMtgRatesDataTable82[TotalBalance]),2,0)/1000000</f>
        <v>1613.73552952</v>
      </c>
    </row>
    <row r="53" spans="3:11">
      <c r="C53" s="50">
        <v>5</v>
      </c>
      <c r="D53" s="53" t="str">
        <f t="array" ref="D53">VLOOKUP(C53&amp;$U$9,IF({1,0},CurrentMtgRatesDataTable82[Rank]&amp;CurrentMtgRatesDataTable82[asOf],CurrentMtgRatesDataTable82[servicerName]),2,0)</f>
        <v>FLAGSTAR</v>
      </c>
      <c r="E53" s="54">
        <f t="array" ref="E53">VLOOKUP(C53&amp;$U$9,IF({1,0},CurrentMtgRatesDataTable82[Rank]&amp;CurrentMtgRatesDataTable82[asOf],CurrentMtgRatesDataTable82[TotalBalance]),2,0)/VLOOKUP($U$9,CurrentMtgRatesDataTable8[],2,0)</f>
        <v>3.0093638351225242E-2</v>
      </c>
      <c r="F53" s="55">
        <f t="array" ref="F53">VLOOKUP(C53&amp;$U$9,IF({1,0},CurrentMtgRatesDataTable82[Rank]&amp;CurrentMtgRatesDataTable82[asOf],CurrentMtgRatesDataTable82[TotalBalance]),2,0)/1000000</f>
        <v>773.16049399999997</v>
      </c>
      <c r="H53" s="50">
        <v>5</v>
      </c>
      <c r="I53" s="53" t="str">
        <f t="array" ref="I53">VLOOKUP(C53&amp;$U$10,IF({1,0},CurrentMtgRatesDataTable82[Rank]&amp;CurrentMtgRatesDataTable82[asOf],CurrentMtgRatesDataTable82[servicerName]),2,0)</f>
        <v>FLAGSTAR</v>
      </c>
      <c r="J53" s="54">
        <f t="array" ref="J53">VLOOKUP(C53&amp;$U$10,IF({1,0},CurrentMtgRatesDataTable82[Rank]&amp;CurrentMtgRatesDataTable82[asOf],CurrentMtgRatesDataTable82[TotalBalance]),2,0)/VLOOKUP($U$10,CurrentMtgRatesDataTable8[],2,0)</f>
        <v>2.4635109486992341E-2</v>
      </c>
      <c r="K53" s="56">
        <f t="array" ref="K53">VLOOKUP(C53&amp;$U$10,IF({1,0},CurrentMtgRatesDataTable82[Rank]&amp;CurrentMtgRatesDataTable82[asOf],CurrentMtgRatesDataTable82[TotalBalance]),2,0)/1000000</f>
        <v>1149.72307447</v>
      </c>
    </row>
    <row r="54" spans="3:11">
      <c r="C54" s="50">
        <v>6</v>
      </c>
      <c r="D54" s="53" t="str">
        <f t="array" ref="D54">VLOOKUP(C54&amp;$U$9,IF({1,0},CurrentMtgRatesDataTable82[Rank]&amp;CurrentMtgRatesDataTable82[asOf],CurrentMtgRatesDataTable82[servicerName]),2,0)</f>
        <v>FRANKLIN AMERICAN MORTGAGE COMPANY</v>
      </c>
      <c r="E54" s="54">
        <f t="array" ref="E54">VLOOKUP(C54&amp;$U$9,IF({1,0},CurrentMtgRatesDataTable82[Rank]&amp;CurrentMtgRatesDataTable82[asOf],CurrentMtgRatesDataTable82[TotalBalance]),2,0)/VLOOKUP($U$9,CurrentMtgRatesDataTable8[],2,0)</f>
        <v>2.8380913086285334E-2</v>
      </c>
      <c r="F54" s="55">
        <f t="array" ref="F54">VLOOKUP(C54&amp;$U$9,IF({1,0},CurrentMtgRatesDataTable82[Rank]&amp;CurrentMtgRatesDataTable82[asOf],CurrentMtgRatesDataTable82[TotalBalance]),2,0)/1000000</f>
        <v>729.15745600000002</v>
      </c>
      <c r="H54" s="50">
        <v>6</v>
      </c>
      <c r="I54" s="53" t="str">
        <f t="array" ref="I54">VLOOKUP(C54&amp;$U$10,IF({1,0},CurrentMtgRatesDataTable82[Rank]&amp;CurrentMtgRatesDataTable82[asOf],CurrentMtgRatesDataTable82[servicerName]),2,0)</f>
        <v>BERKADIA</v>
      </c>
      <c r="J54" s="54">
        <f t="array" ref="J54">VLOOKUP(C54&amp;$U$10,IF({1,0},CurrentMtgRatesDataTable82[Rank]&amp;CurrentMtgRatesDataTable82[asOf],CurrentMtgRatesDataTable82[TotalBalance]),2,0)/VLOOKUP($U$10,CurrentMtgRatesDataTable8[],2,0)</f>
        <v>2.1089466728549416E-2</v>
      </c>
      <c r="K54" s="56">
        <f t="array" ref="K54">VLOOKUP(C54&amp;$U$10,IF({1,0},CurrentMtgRatesDataTable82[Rank]&amp;CurrentMtgRatesDataTable82[asOf],CurrentMtgRatesDataTable82[TotalBalance]),2,0)/1000000</f>
        <v>984.24756500000001</v>
      </c>
    </row>
    <row r="55" spans="3:11">
      <c r="C55" s="50">
        <v>7</v>
      </c>
      <c r="D55" s="53" t="str">
        <f t="array" ref="D55">VLOOKUP(C55&amp;$U$9,IF({1,0},CurrentMtgRatesDataTable82[Rank]&amp;CurrentMtgRatesDataTable82[asOf],CurrentMtgRatesDataTable82[servicerName]),2,0)</f>
        <v>LOANDEPOT.COM, LLC</v>
      </c>
      <c r="E55" s="54">
        <f t="array" ref="E55">VLOOKUP(C55&amp;$U$9,IF({1,0},CurrentMtgRatesDataTable82[Rank]&amp;CurrentMtgRatesDataTable82[asOf],CurrentMtgRatesDataTable82[TotalBalance]),2,0)/VLOOKUP($U$9,CurrentMtgRatesDataTable8[],2,0)</f>
        <v>2.273488411502754E-2</v>
      </c>
      <c r="F55" s="55">
        <f t="array" ref="F55">VLOOKUP(C55&amp;$U$9,IF({1,0},CurrentMtgRatesDataTable82[Rank]&amp;CurrentMtgRatesDataTable82[asOf],CurrentMtgRatesDataTable82[TotalBalance]),2,0)/1000000</f>
        <v>584.10066700000004</v>
      </c>
      <c r="H55" s="50">
        <v>7</v>
      </c>
      <c r="I55" s="53" t="str">
        <f t="array" ref="I55">VLOOKUP(C55&amp;$U$10,IF({1,0},CurrentMtgRatesDataTable82[Rank]&amp;CurrentMtgRatesDataTable82[asOf],CurrentMtgRatesDataTable82[servicerName]),2,0)</f>
        <v>GREEN TREE SERVICING, LLC</v>
      </c>
      <c r="J55" s="54">
        <f t="array" ref="J55">VLOOKUP(C55&amp;$U$10,IF({1,0},CurrentMtgRatesDataTable82[Rank]&amp;CurrentMtgRatesDataTable82[asOf],CurrentMtgRatesDataTable82[TotalBalance]),2,0)/VLOOKUP($U$10,CurrentMtgRatesDataTable8[],2,0)</f>
        <v>2.0979323609270035E-2</v>
      </c>
      <c r="K55" s="56">
        <f t="array" ref="K55">VLOOKUP(C55&amp;$U$10,IF({1,0},CurrentMtgRatesDataTable82[Rank]&amp;CurrentMtgRatesDataTable82[asOf],CurrentMtgRatesDataTable82[TotalBalance]),2,0)/1000000</f>
        <v>979.10717437999995</v>
      </c>
    </row>
    <row r="56" spans="3:11">
      <c r="C56" s="50">
        <v>8</v>
      </c>
      <c r="D56" s="53" t="str">
        <f t="array" ref="D56">VLOOKUP(C56&amp;$U$9,IF({1,0},CurrentMtgRatesDataTable82[Rank]&amp;CurrentMtgRatesDataTable82[asOf],CurrentMtgRatesDataTable82[servicerName]),2,0)</f>
        <v>FREEDOM</v>
      </c>
      <c r="E56" s="54">
        <f t="array" ref="E56">VLOOKUP(C56&amp;$U$9,IF({1,0},CurrentMtgRatesDataTable82[Rank]&amp;CurrentMtgRatesDataTable82[asOf],CurrentMtgRatesDataTable82[TotalBalance]),2,0)/VLOOKUP($U$9,CurrentMtgRatesDataTable8[],2,0)</f>
        <v>1.9086888087838635E-2</v>
      </c>
      <c r="F56" s="55">
        <f t="array" ref="F56">VLOOKUP(C56&amp;$U$9,IF({1,0},CurrentMtgRatesDataTable82[Rank]&amp;CurrentMtgRatesDataTable82[asOf],CurrentMtgRatesDataTable82[TotalBalance]),2,0)/1000000</f>
        <v>490.37699099999998</v>
      </c>
      <c r="H56" s="50">
        <v>8</v>
      </c>
      <c r="I56" s="53" t="str">
        <f t="array" ref="I56">VLOOKUP(C56&amp;$U$10,IF({1,0},CurrentMtgRatesDataTable82[Rank]&amp;CurrentMtgRatesDataTable82[asOf],CurrentMtgRatesDataTable82[servicerName]),2,0)</f>
        <v>SUNTRUST</v>
      </c>
      <c r="J56" s="54">
        <f t="array" ref="J56">VLOOKUP(C56&amp;$U$10,IF({1,0},CurrentMtgRatesDataTable82[Rank]&amp;CurrentMtgRatesDataTable82[asOf],CurrentMtgRatesDataTable82[TotalBalance]),2,0)/VLOOKUP($U$10,CurrentMtgRatesDataTable8[],2,0)</f>
        <v>1.9270857863553634E-2</v>
      </c>
      <c r="K56" s="56">
        <f t="array" ref="K56">VLOOKUP(C56&amp;$U$10,IF({1,0},CurrentMtgRatesDataTable82[Rank]&amp;CurrentMtgRatesDataTable82[asOf],CurrentMtgRatesDataTable82[TotalBalance]),2,0)/1000000</f>
        <v>899.37290363</v>
      </c>
    </row>
    <row r="57" spans="3:11">
      <c r="C57" s="50">
        <v>9</v>
      </c>
      <c r="D57" s="53" t="str">
        <f t="array" ref="D57">VLOOKUP(C57&amp;$U$9,IF({1,0},CurrentMtgRatesDataTable82[Rank]&amp;CurrentMtgRatesDataTable82[asOf],CurrentMtgRatesDataTable82[servicerName]),2,0)</f>
        <v>CITI</v>
      </c>
      <c r="E57" s="54">
        <f t="array" ref="E57">VLOOKUP(C57&amp;$U$9,IF({1,0},CurrentMtgRatesDataTable82[Rank]&amp;CurrentMtgRatesDataTable82[asOf],CurrentMtgRatesDataTable82[TotalBalance]),2,0)/VLOOKUP($U$9,CurrentMtgRatesDataTable8[],2,0)</f>
        <v>1.7070190062655363E-2</v>
      </c>
      <c r="F57" s="55">
        <f t="array" ref="F57">VLOOKUP(C57&amp;$U$9,IF({1,0},CurrentMtgRatesDataTable82[Rank]&amp;CurrentMtgRatesDataTable82[asOf],CurrentMtgRatesDataTable82[TotalBalance]),2,0)/1000000</f>
        <v>438.56433800000002</v>
      </c>
      <c r="H57" s="50">
        <v>9</v>
      </c>
      <c r="I57" s="53" t="str">
        <f t="array" ref="I57">VLOOKUP(C57&amp;$U$10,IF({1,0},CurrentMtgRatesDataTable82[Rank]&amp;CurrentMtgRatesDataTable82[asOf],CurrentMtgRatesDataTable82[servicerName]),2,0)</f>
        <v>CHASE</v>
      </c>
      <c r="J57" s="54">
        <f t="array" ref="J57">VLOOKUP(C57&amp;$U$10,IF({1,0},CurrentMtgRatesDataTable82[Rank]&amp;CurrentMtgRatesDataTable82[asOf],CurrentMtgRatesDataTable82[TotalBalance]),2,0)/VLOOKUP($U$10,CurrentMtgRatesDataTable8[],2,0)</f>
        <v>1.7912799991437661E-2</v>
      </c>
      <c r="K57" s="56">
        <f t="array" ref="K57">VLOOKUP(C57&amp;$U$10,IF({1,0},CurrentMtgRatesDataTable82[Rank]&amp;CurrentMtgRatesDataTable82[asOf],CurrentMtgRatesDataTable82[TotalBalance]),2,0)/1000000</f>
        <v>835.99220410999999</v>
      </c>
    </row>
    <row r="58" spans="3:11">
      <c r="C58" s="50">
        <v>10</v>
      </c>
      <c r="D58" s="53" t="str">
        <f t="array" ref="D58">VLOOKUP(C58&amp;$U$9,IF({1,0},CurrentMtgRatesDataTable82[Rank]&amp;CurrentMtgRatesDataTable82[asOf],CurrentMtgRatesDataTable82[servicerName]),2,0)</f>
        <v>CHASE</v>
      </c>
      <c r="E58" s="54">
        <f t="array" ref="E58">VLOOKUP(C58&amp;$U$9,IF({1,0},CurrentMtgRatesDataTable82[Rank]&amp;CurrentMtgRatesDataTable82[asOf],CurrentMtgRatesDataTable82[TotalBalance]),2,0)/VLOOKUP($U$9,CurrentMtgRatesDataTable8[],2,0)</f>
        <v>1.6687031997754787E-2</v>
      </c>
      <c r="F58" s="55">
        <f t="array" ref="F58">VLOOKUP(C58&amp;$U$9,IF({1,0},CurrentMtgRatesDataTable82[Rank]&amp;CurrentMtgRatesDataTable82[asOf],CurrentMtgRatesDataTable82[TotalBalance]),2,0)/1000000</f>
        <v>428.72030799999999</v>
      </c>
      <c r="H58" s="50">
        <v>10</v>
      </c>
      <c r="I58" s="53" t="str">
        <f t="array" ref="I58">VLOOKUP(C58&amp;$U$10,IF({1,0},CurrentMtgRatesDataTable82[Rank]&amp;CurrentMtgRatesDataTable82[asOf],CurrentMtgRatesDataTable82[servicerName]),2,0)</f>
        <v>NATIONSTAR</v>
      </c>
      <c r="J58" s="54">
        <f t="array" ref="J58">VLOOKUP(C58&amp;$U$10,IF({1,0},CurrentMtgRatesDataTable82[Rank]&amp;CurrentMtgRatesDataTable82[asOf],CurrentMtgRatesDataTable82[TotalBalance]),2,0)/VLOOKUP($U$10,CurrentMtgRatesDataTable8[],2,0)</f>
        <v>1.7292115969119674E-2</v>
      </c>
      <c r="K58" s="56">
        <f t="array" ref="K58">VLOOKUP(C58&amp;$U$10,IF({1,0},CurrentMtgRatesDataTable82[Rank]&amp;CurrentMtgRatesDataTable82[asOf],CurrentMtgRatesDataTable82[TotalBalance]),2,0)/1000000</f>
        <v>807.02481742999998</v>
      </c>
    </row>
    <row r="84" spans="16:17">
      <c r="P84" s="28" t="s">
        <v>89</v>
      </c>
      <c r="Q84" s="29" t="s">
        <v>85</v>
      </c>
    </row>
    <row r="85" spans="16:17">
      <c r="Q85" s="29" t="s">
        <v>86</v>
      </c>
    </row>
    <row r="86" spans="16:17">
      <c r="Q86" s="29" t="s">
        <v>87</v>
      </c>
    </row>
    <row r="87" spans="16:17">
      <c r="Q87" s="30" t="s">
        <v>88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&amp;R&amp;"-,Bold"&amp;10&amp;K2E398A
As of 07/17/2015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101"/>
  <sheetViews>
    <sheetView workbookViewId="0">
      <selection activeCell="E4" sqref="E4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111</v>
      </c>
      <c r="F3" s="17" t="s">
        <v>105</v>
      </c>
      <c r="G3" s="17" t="s">
        <v>106</v>
      </c>
      <c r="H3" s="17" t="s">
        <v>107</v>
      </c>
      <c r="I3" s="17" t="s">
        <v>109</v>
      </c>
      <c r="J3" s="17" t="s">
        <v>66</v>
      </c>
      <c r="K3" s="17" t="s">
        <v>67</v>
      </c>
      <c r="L3" s="17" t="s">
        <v>68</v>
      </c>
      <c r="M3" s="17" t="s">
        <v>110</v>
      </c>
      <c r="N3" s="43" t="s">
        <v>117</v>
      </c>
    </row>
    <row r="4" spans="3:14">
      <c r="C4" s="37">
        <v>42186</v>
      </c>
      <c r="D4" s="16">
        <v>25691825128.5</v>
      </c>
      <c r="E4" s="17">
        <f>IF(C4&lt;=DateToChangeLag,VLOOKUP(C4,'Result-lag'!$C$4:$H$100,2,0),VLOOKUP(C4,CurrentMtgRatesDataTable8[],2,0))</f>
        <v>25691825128.5</v>
      </c>
      <c r="F4" s="17">
        <f>IF($C4&lt;=DateToChangeLag,VLOOKUP($C4,'Result-lag'!$C$4:$I$100,3,0),VLOOKUP($C4,CurrentMtgRatesDataTable8[],3,0))</f>
        <v>14145839999.889999</v>
      </c>
      <c r="G4" s="17">
        <f>IF($C4&lt;=DateToChangeLag,VLOOKUP($C4,'Result-lag'!$C$4:$I$100,4,0),VLOOKUP($C4,CurrentMtgRatesDataTable8[],4,0))</f>
        <v>11474920239.889999</v>
      </c>
      <c r="H4" s="43">
        <f>IF($C4&lt;=DateToChangeLag,VLOOKUP($C4,'Result-lag'!$C$4:$I$100,5,0),VLOOKUP($C4,CurrentMtgRatesDataTable8[],5,0))</f>
        <v>6405337071</v>
      </c>
      <c r="I4" s="43">
        <f>IF($C4&lt;=DateToChangeLag,VLOOKUP($C4,'Result-lag'!$C$4:$I$100,6,0),VLOOKUP($C4,CurrentMtgRatesDataTable8[],6,0))</f>
        <v>1387368980</v>
      </c>
      <c r="J4" s="44">
        <f>CurrentMtgRatesDataTable934[[#This Row],[Top 10 Amount]]/CurrentMtgRatesDataTable934[[#This Row],[Total Amount]]</f>
        <v>0.55059692836683627</v>
      </c>
      <c r="K4" s="44">
        <f>CurrentMtgRatesDataTable934[[#This Row],[Top 5 Amount]]/CurrentMtgRatesDataTable934[[#This Row],[Total Amount]]</f>
        <v>0.44663702101727465</v>
      </c>
      <c r="L4" s="45">
        <f>CurrentMtgRatesDataTable934[[#This Row],[Top 1 Amount]]/CurrentMtgRatesDataTable934[[#This Row],[Total Amount]]</f>
        <v>0.2493142094406732</v>
      </c>
      <c r="M4" s="44">
        <f>CurrentMtgRatesDataTable934[[#This Row],[N/A Amount]]/CurrentMtgRatesDataTable934[[#This Row],[Total Amount]]</f>
        <v>5.4000405695622943E-2</v>
      </c>
      <c r="N4" s="48">
        <f t="shared" ref="N4:N35" si="0">IF(C4&lt;=DateToChangeLag,1,0)</f>
        <v>0</v>
      </c>
    </row>
    <row r="5" spans="3:14">
      <c r="C5" s="37">
        <v>42156</v>
      </c>
      <c r="D5" s="16">
        <v>46670102078.379997</v>
      </c>
      <c r="E5" s="17">
        <f>IF(C5&lt;=DateToChangeLag,VLOOKUP(C5,'Result-lag'!$C$4:$H$100,2,0),VLOOKUP(C5,CurrentMtgRatesDataTable8[],2,0))</f>
        <v>46670102078.379997</v>
      </c>
      <c r="F5" s="17">
        <f>IF($C5&lt;=DateToChangeLag,VLOOKUP($C5,'Result-lag'!$C$4:$I$100,3,0),VLOOKUP($C5,CurrentMtgRatesDataTable8[],3,0))</f>
        <v>17826880155.739998</v>
      </c>
      <c r="G5" s="17">
        <f>IF($C5&lt;=DateToChangeLag,VLOOKUP($C5,'Result-lag'!$C$4:$I$100,4,0),VLOOKUP($C5,CurrentMtgRatesDataTable8[],4,0))</f>
        <v>13321135491.189999</v>
      </c>
      <c r="H5" s="43">
        <f>IF($C5&lt;=DateToChangeLag,VLOOKUP($C5,'Result-lag'!$C$4:$I$100,5,0),VLOOKUP($C5,CurrentMtgRatesDataTable8[],5,0))</f>
        <v>5813912461.1999998</v>
      </c>
      <c r="I5" s="43">
        <f>IF($C5&lt;=DateToChangeLag,VLOOKUP($C5,'Result-lag'!$C$4:$I$100,6,0),VLOOKUP($C5,CurrentMtgRatesDataTable8[],6,0))</f>
        <v>505993870</v>
      </c>
      <c r="J5" s="44">
        <f>CurrentMtgRatesDataTable934[[#This Row],[Top 10 Amount]]/CurrentMtgRatesDataTable934[[#This Row],[Total Amount]]</f>
        <v>0.38197645520039114</v>
      </c>
      <c r="K5" s="44">
        <f>CurrentMtgRatesDataTable934[[#This Row],[Top 5 Amount]]/CurrentMtgRatesDataTable934[[#This Row],[Total Amount]]</f>
        <v>0.28543189103846073</v>
      </c>
      <c r="L5" s="44">
        <f>CurrentMtgRatesDataTable934[[#This Row],[Top 1 Amount]]/CurrentMtgRatesDataTable934[[#This Row],[Total Amount]]</f>
        <v>0.1245746677698677</v>
      </c>
      <c r="M5" s="44">
        <f>CurrentMtgRatesDataTable934[[#This Row],[N/A Amount]]/CurrentMtgRatesDataTable934[[#This Row],[Total Amount]]</f>
        <v>1.0841927646745013E-2</v>
      </c>
      <c r="N5" s="48">
        <f t="shared" si="0"/>
        <v>0</v>
      </c>
    </row>
    <row r="6" spans="3:14">
      <c r="C6" s="37">
        <v>42125</v>
      </c>
      <c r="D6" s="16">
        <v>44756506739.489998</v>
      </c>
      <c r="E6" s="17">
        <f>IF(C6&lt;=DateToChangeLag,VLOOKUP(C6,'Result-lag'!$C$4:$H$100,2,0),VLOOKUP(C6,CurrentMtgRatesDataTable8[],2,0))</f>
        <v>44756506739.489998</v>
      </c>
      <c r="F6" s="17">
        <f>IF($C6&lt;=DateToChangeLag,VLOOKUP($C6,'Result-lag'!$C$4:$I$100,3,0),VLOOKUP($C6,CurrentMtgRatesDataTable8[],3,0))</f>
        <v>17606506507.579998</v>
      </c>
      <c r="G6" s="17">
        <f>IF($C6&lt;=DateToChangeLag,VLOOKUP($C6,'Result-lag'!$C$4:$I$100,4,0),VLOOKUP($C6,CurrentMtgRatesDataTable8[],4,0))</f>
        <v>13302071416.449999</v>
      </c>
      <c r="H6" s="43">
        <f>IF($C6&lt;=DateToChangeLag,VLOOKUP($C6,'Result-lag'!$C$4:$I$100,5,0),VLOOKUP($C6,CurrentMtgRatesDataTable8[],5,0))</f>
        <v>6352931391.3199997</v>
      </c>
      <c r="I6" s="43">
        <f>IF($C6&lt;=DateToChangeLag,VLOOKUP($C6,'Result-lag'!$C$4:$I$100,6,0),VLOOKUP($C6,CurrentMtgRatesDataTable8[],6,0))</f>
        <v>574678000</v>
      </c>
      <c r="J6" s="44">
        <f>CurrentMtgRatesDataTable934[[#This Row],[Top 10 Amount]]/CurrentMtgRatesDataTable934[[#This Row],[Total Amount]]</f>
        <v>0.39338428734084496</v>
      </c>
      <c r="K6" s="44">
        <f>CurrentMtgRatesDataTable934[[#This Row],[Top 5 Amount]]/CurrentMtgRatesDataTable934[[#This Row],[Total Amount]]</f>
        <v>0.29720977765034523</v>
      </c>
      <c r="L6" s="44">
        <f>CurrentMtgRatesDataTable934[[#This Row],[Top 1 Amount]]/CurrentMtgRatesDataTable934[[#This Row],[Total Amount]]</f>
        <v>0.14194430830578247</v>
      </c>
      <c r="M6" s="44">
        <f>CurrentMtgRatesDataTable934[[#This Row],[N/A Amount]]/CurrentMtgRatesDataTable934[[#This Row],[Total Amount]]</f>
        <v>1.2840099504301672E-2</v>
      </c>
      <c r="N6" s="48">
        <f t="shared" si="0"/>
        <v>0</v>
      </c>
    </row>
    <row r="7" spans="3:14">
      <c r="C7" s="37">
        <v>42095</v>
      </c>
      <c r="D7" s="16">
        <v>51182654442.220001</v>
      </c>
      <c r="E7" s="17">
        <f>IF(C7&lt;=DateToChangeLag,VLOOKUP(C7,'Result-lag'!$C$4:$H$100,2,0),VLOOKUP(C7,CurrentMtgRatesDataTable8[],2,0))</f>
        <v>51182654442.220001</v>
      </c>
      <c r="F7" s="17">
        <f>IF($C7&lt;=DateToChangeLag,VLOOKUP($C7,'Result-lag'!$C$4:$I$100,3,0),VLOOKUP($C7,CurrentMtgRatesDataTable8[],3,0))</f>
        <v>18447459410.669998</v>
      </c>
      <c r="G7" s="17">
        <f>IF($C7&lt;=DateToChangeLag,VLOOKUP($C7,'Result-lag'!$C$4:$I$100,4,0),VLOOKUP($C7,CurrentMtgRatesDataTable8[],4,0))</f>
        <v>13629213618.77</v>
      </c>
      <c r="H7" s="43">
        <f>IF($C7&lt;=DateToChangeLag,VLOOKUP($C7,'Result-lag'!$C$4:$I$100,5,0),VLOOKUP($C7,CurrentMtgRatesDataTable8[],5,0))</f>
        <v>6018108576.21</v>
      </c>
      <c r="I7" s="43">
        <f>IF($C7&lt;=DateToChangeLag,VLOOKUP($C7,'Result-lag'!$C$4:$I$100,6,0),VLOOKUP($C7,CurrentMtgRatesDataTable8[],6,0))</f>
        <v>807228600</v>
      </c>
      <c r="J7" s="44">
        <f>CurrentMtgRatesDataTable934[[#This Row],[Top 10 Amount]]/CurrentMtgRatesDataTable934[[#This Row],[Total Amount]]</f>
        <v>0.36042404622634999</v>
      </c>
      <c r="K7" s="44">
        <f>CurrentMtgRatesDataTable934[[#This Row],[Top 5 Amount]]/CurrentMtgRatesDataTable934[[#This Row],[Total Amount]]</f>
        <v>0.26628579090511989</v>
      </c>
      <c r="L7" s="44">
        <f>CurrentMtgRatesDataTable934[[#This Row],[Top 1 Amount]]/CurrentMtgRatesDataTable934[[#This Row],[Total Amount]]</f>
        <v>0.11758101727615224</v>
      </c>
      <c r="M7" s="44">
        <f>CurrentMtgRatesDataTable934[[#This Row],[N/A Amount]]/CurrentMtgRatesDataTable934[[#This Row],[Total Amount]]</f>
        <v>1.5771526678267124E-2</v>
      </c>
      <c r="N7" s="48">
        <f t="shared" si="0"/>
        <v>0</v>
      </c>
    </row>
    <row r="8" spans="3:14">
      <c r="C8" s="37">
        <v>42064</v>
      </c>
      <c r="D8" s="16">
        <v>44361653084.169998</v>
      </c>
      <c r="E8" s="17">
        <f>IF(C8&lt;=DateToChangeLag,VLOOKUP(C8,'Result-lag'!$C$4:$H$100,2,0),VLOOKUP(C8,CurrentMtgRatesDataTable8[],2,0))</f>
        <v>44361653084.169998</v>
      </c>
      <c r="F8" s="17">
        <f>IF($C8&lt;=DateToChangeLag,VLOOKUP($C8,'Result-lag'!$C$4:$I$100,3,0),VLOOKUP($C8,CurrentMtgRatesDataTable8[],3,0))</f>
        <v>16923549250.899998</v>
      </c>
      <c r="G8" s="17">
        <f>IF($C8&lt;=DateToChangeLag,VLOOKUP($C8,'Result-lag'!$C$4:$I$100,4,0),VLOOKUP($C8,CurrentMtgRatesDataTable8[],4,0))</f>
        <v>12382355397.360001</v>
      </c>
      <c r="H8" s="43">
        <f>IF($C8&lt;=DateToChangeLag,VLOOKUP($C8,'Result-lag'!$C$4:$I$100,5,0),VLOOKUP($C8,CurrentMtgRatesDataTable8[],5,0))</f>
        <v>4246970201.73</v>
      </c>
      <c r="I8" s="43">
        <f>IF($C8&lt;=DateToChangeLag,VLOOKUP($C8,'Result-lag'!$C$4:$I$100,6,0),VLOOKUP($C8,CurrentMtgRatesDataTable8[],6,0))</f>
        <v>524124870</v>
      </c>
      <c r="J8" s="44">
        <f>CurrentMtgRatesDataTable934[[#This Row],[Top 10 Amount]]/CurrentMtgRatesDataTable934[[#This Row],[Total Amount]]</f>
        <v>0.38149050078882191</v>
      </c>
      <c r="K8" s="44">
        <f>CurrentMtgRatesDataTable934[[#This Row],[Top 5 Amount]]/CurrentMtgRatesDataTable934[[#This Row],[Total Amount]]</f>
        <v>0.27912294823338124</v>
      </c>
      <c r="L8" s="44">
        <f>CurrentMtgRatesDataTable934[[#This Row],[Top 1 Amount]]/CurrentMtgRatesDataTable934[[#This Row],[Total Amount]]</f>
        <v>9.5735165542004744E-2</v>
      </c>
      <c r="M8" s="44">
        <f>CurrentMtgRatesDataTable934[[#This Row],[N/A Amount]]/CurrentMtgRatesDataTable934[[#This Row],[Total Amount]]</f>
        <v>1.1814818284736748E-2</v>
      </c>
      <c r="N8" s="48">
        <f t="shared" si="0"/>
        <v>0</v>
      </c>
    </row>
    <row r="9" spans="3:14">
      <c r="C9" s="37">
        <v>42036</v>
      </c>
      <c r="D9" s="16">
        <v>36583983679.550003</v>
      </c>
      <c r="E9" s="17">
        <f>IF(C9&lt;=DateToChangeLag,VLOOKUP(C9,'Result-lag'!$C$4:$H$100,2,0),VLOOKUP(C9,CurrentMtgRatesDataTable8[],2,0))</f>
        <v>36583983679.550003</v>
      </c>
      <c r="F9" s="17">
        <f>IF($C9&lt;=DateToChangeLag,VLOOKUP($C9,'Result-lag'!$C$4:$I$100,3,0),VLOOKUP($C9,CurrentMtgRatesDataTable8[],3,0))</f>
        <v>16016008212.179998</v>
      </c>
      <c r="G9" s="17">
        <f>IF($C9&lt;=DateToChangeLag,VLOOKUP($C9,'Result-lag'!$C$4:$I$100,4,0),VLOOKUP($C9,CurrentMtgRatesDataTable8[],4,0))</f>
        <v>11671526842.16</v>
      </c>
      <c r="H9" s="43">
        <f>IF($C9&lt;=DateToChangeLag,VLOOKUP($C9,'Result-lag'!$C$4:$I$100,5,0),VLOOKUP($C9,CurrentMtgRatesDataTable8[],5,0))</f>
        <v>5063985040.1199999</v>
      </c>
      <c r="I9" s="43">
        <f>IF($C9&lt;=DateToChangeLag,VLOOKUP($C9,'Result-lag'!$C$4:$I$100,6,0),VLOOKUP($C9,CurrentMtgRatesDataTable8[],6,0))</f>
        <v>697783000</v>
      </c>
      <c r="J9" s="44">
        <f>CurrentMtgRatesDataTable934[[#This Row],[Top 10 Amount]]/CurrentMtgRatesDataTable934[[#This Row],[Total Amount]]</f>
        <v>0.43778743049059332</v>
      </c>
      <c r="K9" s="44">
        <f>CurrentMtgRatesDataTable934[[#This Row],[Top 5 Amount]]/CurrentMtgRatesDataTable934[[#This Row],[Total Amount]]</f>
        <v>0.31903378659892195</v>
      </c>
      <c r="L9" s="44">
        <f>CurrentMtgRatesDataTable934[[#This Row],[Top 1 Amount]]/CurrentMtgRatesDataTable934[[#This Row],[Total Amount]]</f>
        <v>0.13842082055570962</v>
      </c>
      <c r="M9" s="44">
        <f>CurrentMtgRatesDataTable934[[#This Row],[N/A Amount]]/CurrentMtgRatesDataTable934[[#This Row],[Total Amount]]</f>
        <v>1.9073455917542739E-2</v>
      </c>
      <c r="N9" s="48">
        <f t="shared" si="0"/>
        <v>0</v>
      </c>
    </row>
    <row r="10" spans="3:14">
      <c r="C10" s="37">
        <v>42005</v>
      </c>
      <c r="D10" s="16">
        <v>36980630899.18</v>
      </c>
      <c r="E10" s="17">
        <f>IF(C10&lt;=DateToChangeLag,VLOOKUP(C10,'Result-lag'!$C$4:$H$100,2,0),VLOOKUP(C10,CurrentMtgRatesDataTable8[],2,0))</f>
        <v>36980630899.18</v>
      </c>
      <c r="F10" s="17">
        <f>IF($C10&lt;=DateToChangeLag,VLOOKUP($C10,'Result-lag'!$C$4:$I$100,3,0),VLOOKUP($C10,CurrentMtgRatesDataTable8[],3,0))</f>
        <v>17220019925.009998</v>
      </c>
      <c r="G10" s="17">
        <f>IF($C10&lt;=DateToChangeLag,VLOOKUP($C10,'Result-lag'!$C$4:$I$100,4,0),VLOOKUP($C10,CurrentMtgRatesDataTable8[],4,0))</f>
        <v>13355633418.48</v>
      </c>
      <c r="H10" s="43">
        <f>IF($C10&lt;=DateToChangeLag,VLOOKUP($C10,'Result-lag'!$C$4:$I$100,5,0),VLOOKUP($C10,CurrentMtgRatesDataTable8[],5,0))</f>
        <v>5489190091.1700001</v>
      </c>
      <c r="I10" s="43">
        <f>IF($C10&lt;=DateToChangeLag,VLOOKUP($C10,'Result-lag'!$C$4:$I$100,6,0),VLOOKUP($C10,CurrentMtgRatesDataTable8[],6,0))</f>
        <v>855334400</v>
      </c>
      <c r="J10" s="44">
        <f>CurrentMtgRatesDataTable934[[#This Row],[Top 10 Amount]]/CurrentMtgRatesDataTable934[[#This Row],[Total Amount]]</f>
        <v>0.46564970651681964</v>
      </c>
      <c r="K10" s="44">
        <f>CurrentMtgRatesDataTable934[[#This Row],[Top 5 Amount]]/CurrentMtgRatesDataTable934[[#This Row],[Total Amount]]</f>
        <v>0.36115212460521173</v>
      </c>
      <c r="L10" s="44">
        <f>CurrentMtgRatesDataTable934[[#This Row],[Top 1 Amount]]/CurrentMtgRatesDataTable934[[#This Row],[Total Amount]]</f>
        <v>0.14843419264898794</v>
      </c>
      <c r="M10" s="44">
        <f>CurrentMtgRatesDataTable934[[#This Row],[N/A Amount]]/CurrentMtgRatesDataTable934[[#This Row],[Total Amount]]</f>
        <v>2.3129253860808687E-2</v>
      </c>
      <c r="N10" s="48">
        <f t="shared" si="0"/>
        <v>0</v>
      </c>
    </row>
    <row r="11" spans="3:14">
      <c r="C11" s="37">
        <v>41974</v>
      </c>
      <c r="D11" s="16">
        <v>44253011751.110001</v>
      </c>
      <c r="E11" s="17">
        <f>IF(C11&lt;=DateToChangeLag,VLOOKUP(C11,'Result-lag'!$C$4:$H$100,2,0),VLOOKUP(C11,CurrentMtgRatesDataTable8[],2,0))</f>
        <v>44253011751.110001</v>
      </c>
      <c r="F11" s="17">
        <f>IF($C11&lt;=DateToChangeLag,VLOOKUP($C11,'Result-lag'!$C$4:$I$100,3,0),VLOOKUP($C11,CurrentMtgRatesDataTable8[],3,0))</f>
        <v>16969236987.160002</v>
      </c>
      <c r="G11" s="17">
        <f>IF($C11&lt;=DateToChangeLag,VLOOKUP($C11,'Result-lag'!$C$4:$I$100,4,0),VLOOKUP($C11,CurrentMtgRatesDataTable8[],4,0))</f>
        <v>12192486905.27</v>
      </c>
      <c r="H11" s="43">
        <f>IF($C11&lt;=DateToChangeLag,VLOOKUP($C11,'Result-lag'!$C$4:$I$100,5,0),VLOOKUP($C11,CurrentMtgRatesDataTable8[],5,0))</f>
        <v>3928850698.1300001</v>
      </c>
      <c r="I11" s="43">
        <f>IF($C11&lt;=DateToChangeLag,VLOOKUP($C11,'Result-lag'!$C$4:$I$100,6,0),VLOOKUP($C11,CurrentMtgRatesDataTable8[],6,0))</f>
        <v>624271500</v>
      </c>
      <c r="J11" s="44">
        <f>CurrentMtgRatesDataTable934[[#This Row],[Top 10 Amount]]/CurrentMtgRatesDataTable934[[#This Row],[Total Amount]]</f>
        <v>0.38345948254548712</v>
      </c>
      <c r="K11" s="44">
        <f>CurrentMtgRatesDataTable934[[#This Row],[Top 5 Amount]]/CurrentMtgRatesDataTable934[[#This Row],[Total Amount]]</f>
        <v>0.2755176749063678</v>
      </c>
      <c r="L11" s="44">
        <f>CurrentMtgRatesDataTable934[[#This Row],[Top 1 Amount]]/CurrentMtgRatesDataTable934[[#This Row],[Total Amount]]</f>
        <v>8.8781543733720061E-2</v>
      </c>
      <c r="M11" s="44">
        <f>CurrentMtgRatesDataTable934[[#This Row],[N/A Amount]]/CurrentMtgRatesDataTable934[[#This Row],[Total Amount]]</f>
        <v>1.4106870364237783E-2</v>
      </c>
      <c r="N11" s="48">
        <f t="shared" si="0"/>
        <v>0</v>
      </c>
    </row>
    <row r="12" spans="3:14">
      <c r="C12" s="37">
        <v>41944</v>
      </c>
      <c r="D12" s="16">
        <v>32492729674.279999</v>
      </c>
      <c r="E12" s="17">
        <f>IF(C12&lt;=DateToChangeLag,VLOOKUP(C12,'Result-lag'!$C$4:$H$100,2,0),VLOOKUP(C12,CurrentMtgRatesDataTable8[],2,0))</f>
        <v>32492729674.279999</v>
      </c>
      <c r="F12" s="17">
        <f>IF($C12&lt;=DateToChangeLag,VLOOKUP($C12,'Result-lag'!$C$4:$I$100,3,0),VLOOKUP($C12,CurrentMtgRatesDataTable8[],3,0))</f>
        <v>19050839925.150002</v>
      </c>
      <c r="G12" s="17">
        <f>IF($C12&lt;=DateToChangeLag,VLOOKUP($C12,'Result-lag'!$C$4:$I$100,4,0),VLOOKUP($C12,CurrentMtgRatesDataTable8[],4,0))</f>
        <v>15143920247.16</v>
      </c>
      <c r="H12" s="43">
        <f>IF($C12&lt;=DateToChangeLag,VLOOKUP($C12,'Result-lag'!$C$4:$I$100,5,0),VLOOKUP($C12,CurrentMtgRatesDataTable8[],5,0))</f>
        <v>4110188403.46</v>
      </c>
      <c r="I12" s="43">
        <f>IF($C12&lt;=DateToChangeLag,VLOOKUP($C12,'Result-lag'!$C$4:$I$100,6,0),VLOOKUP($C12,CurrentMtgRatesDataTable8[],6,0))</f>
        <v>831784416</v>
      </c>
      <c r="J12" s="44">
        <f>CurrentMtgRatesDataTable934[[#This Row],[Top 10 Amount]]/CurrentMtgRatesDataTable934[[#This Row],[Total Amount]]</f>
        <v>0.58631084910757492</v>
      </c>
      <c r="K12" s="44">
        <f>CurrentMtgRatesDataTable934[[#This Row],[Top 5 Amount]]/CurrentMtgRatesDataTable934[[#This Row],[Total Amount]]</f>
        <v>0.46607103801276961</v>
      </c>
      <c r="L12" s="44">
        <f>CurrentMtgRatesDataTable934[[#This Row],[Top 1 Amount]]/CurrentMtgRatesDataTable934[[#This Row],[Total Amount]]</f>
        <v>0.12649563285886281</v>
      </c>
      <c r="M12" s="44">
        <f>CurrentMtgRatesDataTable934[[#This Row],[N/A Amount]]/CurrentMtgRatesDataTable934[[#This Row],[Total Amount]]</f>
        <v>2.559909322294977E-2</v>
      </c>
      <c r="N12" s="48">
        <f t="shared" si="0"/>
        <v>0</v>
      </c>
    </row>
    <row r="13" spans="3:14">
      <c r="C13" s="37">
        <v>41913</v>
      </c>
      <c r="D13" s="16">
        <v>40323740351.139999</v>
      </c>
      <c r="E13" s="17">
        <f>IF(C13&lt;=DateToChangeLag,VLOOKUP(C13,'Result-lag'!$C$4:$H$100,2,0),VLOOKUP(C13,CurrentMtgRatesDataTable8[],2,0))</f>
        <v>40323740351.139999</v>
      </c>
      <c r="F13" s="17">
        <f>IF($C13&lt;=DateToChangeLag,VLOOKUP($C13,'Result-lag'!$C$4:$I$100,3,0),VLOOKUP($C13,CurrentMtgRatesDataTable8[],3,0))</f>
        <v>16591290665.489998</v>
      </c>
      <c r="G13" s="17">
        <f>IF($C13&lt;=DateToChangeLag,VLOOKUP($C13,'Result-lag'!$C$4:$I$100,4,0),VLOOKUP($C13,CurrentMtgRatesDataTable8[],4,0))</f>
        <v>12022533710.82</v>
      </c>
      <c r="H13" s="43">
        <f>IF($C13&lt;=DateToChangeLag,VLOOKUP($C13,'Result-lag'!$C$4:$I$100,5,0),VLOOKUP($C13,CurrentMtgRatesDataTable8[],5,0))</f>
        <v>4328284495.8800001</v>
      </c>
      <c r="I13" s="43">
        <f>IF($C13&lt;=DateToChangeLag,VLOOKUP($C13,'Result-lag'!$C$4:$I$100,6,0),VLOOKUP($C13,CurrentMtgRatesDataTable8[],6,0))</f>
        <v>1116288094</v>
      </c>
      <c r="J13" s="44">
        <f>CurrentMtgRatesDataTable934[[#This Row],[Top 10 Amount]]/CurrentMtgRatesDataTable934[[#This Row],[Total Amount]]</f>
        <v>0.41145217484818325</v>
      </c>
      <c r="K13" s="44">
        <f>CurrentMtgRatesDataTable934[[#This Row],[Top 5 Amount]]/CurrentMtgRatesDataTable934[[#This Row],[Total Amount]]</f>
        <v>0.29815026101565772</v>
      </c>
      <c r="L13" s="44">
        <f>CurrentMtgRatesDataTable934[[#This Row],[Top 1 Amount]]/CurrentMtgRatesDataTable934[[#This Row],[Total Amount]]</f>
        <v>0.10733836837032491</v>
      </c>
      <c r="M13" s="44">
        <f>CurrentMtgRatesDataTable934[[#This Row],[N/A Amount]]/CurrentMtgRatesDataTable934[[#This Row],[Total Amount]]</f>
        <v>2.7683148544240668E-2</v>
      </c>
      <c r="N13" s="48">
        <f t="shared" si="0"/>
        <v>0</v>
      </c>
    </row>
    <row r="14" spans="3:14">
      <c r="C14" s="37">
        <v>41883</v>
      </c>
      <c r="D14" s="16">
        <v>40347506692.199997</v>
      </c>
      <c r="E14" s="17">
        <f>IF(C14&lt;=DateToChangeLag,VLOOKUP(C14,'Result-lag'!$C$4:$H$100,2,0),VLOOKUP(C14,CurrentMtgRatesDataTable8[],2,0))</f>
        <v>40347506692.199997</v>
      </c>
      <c r="F14" s="17">
        <f>IF($C14&lt;=DateToChangeLag,VLOOKUP($C14,'Result-lag'!$C$4:$I$100,3,0),VLOOKUP($C14,CurrentMtgRatesDataTable8[],3,0))</f>
        <v>20418529374.110001</v>
      </c>
      <c r="G14" s="17">
        <f>IF($C14&lt;=DateToChangeLag,VLOOKUP($C14,'Result-lag'!$C$4:$I$100,4,0),VLOOKUP($C14,CurrentMtgRatesDataTable8[],4,0))</f>
        <v>15191127020.780001</v>
      </c>
      <c r="H14" s="43">
        <f>IF($C14&lt;=DateToChangeLag,VLOOKUP($C14,'Result-lag'!$C$4:$I$100,5,0),VLOOKUP($C14,CurrentMtgRatesDataTable8[],5,0))</f>
        <v>4282578991.9000001</v>
      </c>
      <c r="I14" s="43">
        <f>IF($C14&lt;=DateToChangeLag,VLOOKUP($C14,'Result-lag'!$C$4:$I$100,6,0),VLOOKUP($C14,CurrentMtgRatesDataTable8[],6,0))</f>
        <v>692754683</v>
      </c>
      <c r="J14" s="44">
        <f>CurrentMtgRatesDataTable934[[#This Row],[Top 10 Amount]]/CurrentMtgRatesDataTable934[[#This Row],[Total Amount]]</f>
        <v>0.50606669527010262</v>
      </c>
      <c r="K14" s="44">
        <f>CurrentMtgRatesDataTable934[[#This Row],[Top 5 Amount]]/CurrentMtgRatesDataTable934[[#This Row],[Total Amount]]</f>
        <v>0.37650720617432248</v>
      </c>
      <c r="L14" s="44">
        <f>CurrentMtgRatesDataTable934[[#This Row],[Top 1 Amount]]/CurrentMtgRatesDataTable934[[#This Row],[Total Amount]]</f>
        <v>0.10614234541357448</v>
      </c>
      <c r="M14" s="44">
        <f>CurrentMtgRatesDataTable934[[#This Row],[N/A Amount]]/CurrentMtgRatesDataTable934[[#This Row],[Total Amount]]</f>
        <v>1.7169702412712498E-2</v>
      </c>
      <c r="N14" s="48">
        <f t="shared" si="0"/>
        <v>0</v>
      </c>
    </row>
    <row r="15" spans="3:14">
      <c r="C15" s="37">
        <v>41852</v>
      </c>
      <c r="D15" s="16">
        <v>34332054961.080002</v>
      </c>
      <c r="E15" s="17">
        <f>IF(C15&lt;=DateToChangeLag,VLOOKUP(C15,'Result-lag'!$C$4:$H$100,2,0),VLOOKUP(C15,CurrentMtgRatesDataTable8[],2,0))</f>
        <v>34332054961.080002</v>
      </c>
      <c r="F15" s="17">
        <f>IF($C15&lt;=DateToChangeLag,VLOOKUP($C15,'Result-lag'!$C$4:$I$100,3,0),VLOOKUP($C15,CurrentMtgRatesDataTable8[],3,0))</f>
        <v>13791297844.579998</v>
      </c>
      <c r="G15" s="17">
        <f>IF($C15&lt;=DateToChangeLag,VLOOKUP($C15,'Result-lag'!$C$4:$I$100,4,0),VLOOKUP($C15,CurrentMtgRatesDataTable8[],4,0))</f>
        <v>10185763886.950001</v>
      </c>
      <c r="H15" s="43">
        <f>IF($C15&lt;=DateToChangeLag,VLOOKUP($C15,'Result-lag'!$C$4:$I$100,5,0),VLOOKUP($C15,CurrentMtgRatesDataTable8[],5,0))</f>
        <v>4351012772.2799997</v>
      </c>
      <c r="I15" s="43">
        <f>IF($C15&lt;=DateToChangeLag,VLOOKUP($C15,'Result-lag'!$C$4:$I$100,6,0),VLOOKUP($C15,CurrentMtgRatesDataTable8[],6,0))</f>
        <v>866330115</v>
      </c>
      <c r="J15" s="44">
        <f>CurrentMtgRatesDataTable934[[#This Row],[Top 10 Amount]]/CurrentMtgRatesDataTable934[[#This Row],[Total Amount]]</f>
        <v>0.40170324381148426</v>
      </c>
      <c r="K15" s="44">
        <f>CurrentMtgRatesDataTable934[[#This Row],[Top 5 Amount]]/CurrentMtgRatesDataTable934[[#This Row],[Total Amount]]</f>
        <v>0.29668378133778861</v>
      </c>
      <c r="L15" s="44">
        <f>CurrentMtgRatesDataTable934[[#This Row],[Top 1 Amount]]/CurrentMtgRatesDataTable934[[#This Row],[Total Amount]]</f>
        <v>0.12673324615180936</v>
      </c>
      <c r="M15" s="44">
        <f>CurrentMtgRatesDataTable934[[#This Row],[N/A Amount]]/CurrentMtgRatesDataTable934[[#This Row],[Total Amount]]</f>
        <v>2.5233855531866696E-2</v>
      </c>
      <c r="N15" s="48">
        <f t="shared" si="0"/>
        <v>0</v>
      </c>
    </row>
    <row r="16" spans="3:14">
      <c r="C16" s="37">
        <v>41821</v>
      </c>
      <c r="D16" s="16">
        <v>36447478522.989998</v>
      </c>
      <c r="E16" s="17">
        <f>IF(C16&lt;=DateToChangeLag,VLOOKUP(C16,'Result-lag'!$C$4:$H$100,2,0),VLOOKUP(C16,CurrentMtgRatesDataTable8[],2,0))</f>
        <v>36447478522.989998</v>
      </c>
      <c r="F16" s="17">
        <f>IF($C16&lt;=DateToChangeLag,VLOOKUP($C16,'Result-lag'!$C$4:$I$100,3,0),VLOOKUP($C16,CurrentMtgRatesDataTable8[],3,0))</f>
        <v>14180443501.41</v>
      </c>
      <c r="G16" s="17">
        <f>IF($C16&lt;=DateToChangeLag,VLOOKUP($C16,'Result-lag'!$C$4:$I$100,4,0),VLOOKUP($C16,CurrentMtgRatesDataTable8[],4,0))</f>
        <v>10365356857.860001</v>
      </c>
      <c r="H16" s="43">
        <f>IF($C16&lt;=DateToChangeLag,VLOOKUP($C16,'Result-lag'!$C$4:$I$100,5,0),VLOOKUP($C16,CurrentMtgRatesDataTable8[],5,0))</f>
        <v>4404846709.1300001</v>
      </c>
      <c r="I16" s="43">
        <f>IF($C16&lt;=DateToChangeLag,VLOOKUP($C16,'Result-lag'!$C$4:$I$100,6,0),VLOOKUP($C16,CurrentMtgRatesDataTable8[],6,0))</f>
        <v>766012000</v>
      </c>
      <c r="J16" s="44">
        <f>CurrentMtgRatesDataTable934[[#This Row],[Top 10 Amount]]/CurrentMtgRatesDataTable934[[#This Row],[Total Amount]]</f>
        <v>0.38906514458785929</v>
      </c>
      <c r="K16" s="44">
        <f>CurrentMtgRatesDataTable934[[#This Row],[Top 5 Amount]]/CurrentMtgRatesDataTable934[[#This Row],[Total Amount]]</f>
        <v>0.28439160342249298</v>
      </c>
      <c r="L16" s="44">
        <f>CurrentMtgRatesDataTable934[[#This Row],[Top 1 Amount]]/CurrentMtgRatesDataTable934[[#This Row],[Total Amount]]</f>
        <v>0.12085463487828252</v>
      </c>
      <c r="M16" s="44">
        <f>CurrentMtgRatesDataTable934[[#This Row],[N/A Amount]]/CurrentMtgRatesDataTable934[[#This Row],[Total Amount]]</f>
        <v>2.1016872251308747E-2</v>
      </c>
      <c r="N16" s="48">
        <f t="shared" si="0"/>
        <v>0</v>
      </c>
    </row>
    <row r="17" spans="3:14">
      <c r="C17" s="37">
        <v>41791</v>
      </c>
      <c r="D17" s="16">
        <v>31582304306.349998</v>
      </c>
      <c r="E17" s="17">
        <f>IF(C17&lt;=DateToChangeLag,VLOOKUP(C17,'Result-lag'!$C$4:$H$100,2,0),VLOOKUP(C17,CurrentMtgRatesDataTable8[],2,0))</f>
        <v>31582304306.349998</v>
      </c>
      <c r="F17" s="17">
        <f>IF($C17&lt;=DateToChangeLag,VLOOKUP($C17,'Result-lag'!$C$4:$I$100,3,0),VLOOKUP($C17,CurrentMtgRatesDataTable8[],3,0))</f>
        <v>13048715246.830002</v>
      </c>
      <c r="G17" s="17">
        <f>IF($C17&lt;=DateToChangeLag,VLOOKUP($C17,'Result-lag'!$C$4:$I$100,4,0),VLOOKUP($C17,CurrentMtgRatesDataTable8[],4,0))</f>
        <v>9698417154.789999</v>
      </c>
      <c r="H17" s="43">
        <f>IF($C17&lt;=DateToChangeLag,VLOOKUP($C17,'Result-lag'!$C$4:$I$100,5,0),VLOOKUP($C17,CurrentMtgRatesDataTable8[],5,0))</f>
        <v>4119664079.48</v>
      </c>
      <c r="I17" s="43">
        <f>IF($C17&lt;=DateToChangeLag,VLOOKUP($C17,'Result-lag'!$C$4:$I$100,6,0),VLOOKUP($C17,CurrentMtgRatesDataTable8[],6,0))</f>
        <v>565998636</v>
      </c>
      <c r="J17" s="44">
        <f>CurrentMtgRatesDataTable934[[#This Row],[Top 10 Amount]]/CurrentMtgRatesDataTable934[[#This Row],[Total Amount]]</f>
        <v>0.41316539541436825</v>
      </c>
      <c r="K17" s="44">
        <f>CurrentMtgRatesDataTable934[[#This Row],[Top 5 Amount]]/CurrentMtgRatesDataTable934[[#This Row],[Total Amount]]</f>
        <v>0.3070838992847022</v>
      </c>
      <c r="L17" s="44">
        <f>CurrentMtgRatesDataTable934[[#This Row],[Top 1 Amount]]/CurrentMtgRatesDataTable934[[#This Row],[Total Amount]]</f>
        <v>0.13044216278581333</v>
      </c>
      <c r="M17" s="44">
        <f>CurrentMtgRatesDataTable934[[#This Row],[N/A Amount]]/CurrentMtgRatesDataTable934[[#This Row],[Total Amount]]</f>
        <v>1.7921385042389045E-2</v>
      </c>
      <c r="N17" s="48">
        <f t="shared" si="0"/>
        <v>0</v>
      </c>
    </row>
    <row r="18" spans="3:14">
      <c r="C18" s="37">
        <v>41760</v>
      </c>
      <c r="D18" s="16">
        <v>27487631130.209999</v>
      </c>
      <c r="E18" s="17">
        <f>IF(C18&lt;=DateToChangeLag,VLOOKUP(C18,'Result-lag'!$C$4:$H$100,2,0),VLOOKUP(C18,CurrentMtgRatesDataTable8[],2,0))</f>
        <v>27487631130.209999</v>
      </c>
      <c r="F18" s="17">
        <f>IF($C18&lt;=DateToChangeLag,VLOOKUP($C18,'Result-lag'!$C$4:$I$100,3,0),VLOOKUP($C18,CurrentMtgRatesDataTable8[],3,0))</f>
        <v>10540781524.629999</v>
      </c>
      <c r="G18" s="17">
        <f>IF($C18&lt;=DateToChangeLag,VLOOKUP($C18,'Result-lag'!$C$4:$I$100,4,0),VLOOKUP($C18,CurrentMtgRatesDataTable8[],4,0))</f>
        <v>7511955198.1200008</v>
      </c>
      <c r="H18" s="43">
        <f>IF($C18&lt;=DateToChangeLag,VLOOKUP($C18,'Result-lag'!$C$4:$I$100,5,0),VLOOKUP($C18,CurrentMtgRatesDataTable8[],5,0))</f>
        <v>3701376306.8000002</v>
      </c>
      <c r="I18" s="43">
        <f>IF($C18&lt;=DateToChangeLag,VLOOKUP($C18,'Result-lag'!$C$4:$I$100,6,0),VLOOKUP($C18,CurrentMtgRatesDataTable8[],6,0))</f>
        <v>603934000</v>
      </c>
      <c r="J18" s="44">
        <f>CurrentMtgRatesDataTable934[[#This Row],[Top 10 Amount]]/CurrentMtgRatesDataTable934[[#This Row],[Total Amount]]</f>
        <v>0.38347362399829577</v>
      </c>
      <c r="K18" s="44">
        <f>CurrentMtgRatesDataTable934[[#This Row],[Top 5 Amount]]/CurrentMtgRatesDataTable934[[#This Row],[Total Amount]]</f>
        <v>0.27328492450060798</v>
      </c>
      <c r="L18" s="44">
        <f>CurrentMtgRatesDataTable934[[#This Row],[Top 1 Amount]]/CurrentMtgRatesDataTable934[[#This Row],[Total Amount]]</f>
        <v>0.13465606727864013</v>
      </c>
      <c r="M18" s="44">
        <f>CurrentMtgRatesDataTable934[[#This Row],[N/A Amount]]/CurrentMtgRatesDataTable934[[#This Row],[Total Amount]]</f>
        <v>2.197111846921769E-2</v>
      </c>
      <c r="N18" s="48">
        <f t="shared" si="0"/>
        <v>0</v>
      </c>
    </row>
    <row r="19" spans="3:14">
      <c r="C19" s="37">
        <v>41730</v>
      </c>
      <c r="D19" s="16">
        <v>27198516722.27</v>
      </c>
      <c r="E19" s="17">
        <f>IF(C19&lt;=DateToChangeLag,VLOOKUP(C19,'Result-lag'!$C$4:$H$100,2,0),VLOOKUP(C19,CurrentMtgRatesDataTable8[],2,0))</f>
        <v>27198516722.27</v>
      </c>
      <c r="F19" s="17">
        <f>IF($C19&lt;=DateToChangeLag,VLOOKUP($C19,'Result-lag'!$C$4:$I$100,3,0),VLOOKUP($C19,CurrentMtgRatesDataTable8[],3,0))</f>
        <v>12276303521.109999</v>
      </c>
      <c r="G19" s="17">
        <f>IF($C19&lt;=DateToChangeLag,VLOOKUP($C19,'Result-lag'!$C$4:$I$100,4,0),VLOOKUP($C19,CurrentMtgRatesDataTable8[],4,0))</f>
        <v>9017573459.2299995</v>
      </c>
      <c r="H19" s="43">
        <f>IF($C19&lt;=DateToChangeLag,VLOOKUP($C19,'Result-lag'!$C$4:$I$100,5,0),VLOOKUP($C19,CurrentMtgRatesDataTable8[],5,0))</f>
        <v>3281937556.02</v>
      </c>
      <c r="I19" s="43">
        <f>IF($C19&lt;=DateToChangeLag,VLOOKUP($C19,'Result-lag'!$C$4:$I$100,6,0),VLOOKUP($C19,CurrentMtgRatesDataTable8[],6,0))</f>
        <v>800224200</v>
      </c>
      <c r="J19" s="44">
        <f>CurrentMtgRatesDataTable934[[#This Row],[Top 10 Amount]]/CurrentMtgRatesDataTable934[[#This Row],[Total Amount]]</f>
        <v>0.45135930192319007</v>
      </c>
      <c r="K19" s="44">
        <f>CurrentMtgRatesDataTable934[[#This Row],[Top 5 Amount]]/CurrentMtgRatesDataTable934[[#This Row],[Total Amount]]</f>
        <v>0.33154651598505952</v>
      </c>
      <c r="L19" s="44">
        <f>CurrentMtgRatesDataTable934[[#This Row],[Top 1 Amount]]/CurrentMtgRatesDataTable934[[#This Row],[Total Amount]]</f>
        <v>0.12066604916483431</v>
      </c>
      <c r="M19" s="44">
        <f>CurrentMtgRatesDataTable934[[#This Row],[N/A Amount]]/CurrentMtgRatesDataTable934[[#This Row],[Total Amount]]</f>
        <v>2.9421611780203465E-2</v>
      </c>
      <c r="N19" s="48">
        <f t="shared" si="0"/>
        <v>0</v>
      </c>
    </row>
    <row r="20" spans="3:14">
      <c r="C20" s="37">
        <v>41699</v>
      </c>
      <c r="D20" s="16">
        <v>23463509422.790001</v>
      </c>
      <c r="E20" s="17">
        <f>IF(C20&lt;=DateToChangeLag,VLOOKUP(C20,'Result-lag'!$C$4:$H$100,2,0),VLOOKUP(C20,CurrentMtgRatesDataTable8[],2,0))</f>
        <v>23463509422.790001</v>
      </c>
      <c r="F20" s="17">
        <f>IF($C20&lt;=DateToChangeLag,VLOOKUP($C20,'Result-lag'!$C$4:$I$100,3,0),VLOOKUP($C20,CurrentMtgRatesDataTable8[],3,0))</f>
        <v>9860110204.4599991</v>
      </c>
      <c r="G20" s="17">
        <f>IF($C20&lt;=DateToChangeLag,VLOOKUP($C20,'Result-lag'!$C$4:$I$100,4,0),VLOOKUP($C20,CurrentMtgRatesDataTable8[],4,0))</f>
        <v>7601988463.4200001</v>
      </c>
      <c r="H20" s="43">
        <f>IF($C20&lt;=DateToChangeLag,VLOOKUP($C20,'Result-lag'!$C$4:$I$100,5,0),VLOOKUP($C20,CurrentMtgRatesDataTable8[],5,0))</f>
        <v>2771745679.8800001</v>
      </c>
      <c r="I20" s="43">
        <f>IF($C20&lt;=DateToChangeLag,VLOOKUP($C20,'Result-lag'!$C$4:$I$100,6,0),VLOOKUP($C20,CurrentMtgRatesDataTable8[],6,0))</f>
        <v>619867269</v>
      </c>
      <c r="J20" s="44">
        <f>CurrentMtgRatesDataTable934[[#This Row],[Top 10 Amount]]/CurrentMtgRatesDataTable934[[#This Row],[Total Amount]]</f>
        <v>0.42023168941995176</v>
      </c>
      <c r="K20" s="44">
        <f>CurrentMtgRatesDataTable934[[#This Row],[Top 5 Amount]]/CurrentMtgRatesDataTable934[[#This Row],[Total Amount]]</f>
        <v>0.32399196243151174</v>
      </c>
      <c r="L20" s="44">
        <f>CurrentMtgRatesDataTable934[[#This Row],[Top 1 Amount]]/CurrentMtgRatesDataTable934[[#This Row],[Total Amount]]</f>
        <v>0.11813005590663331</v>
      </c>
      <c r="M20" s="44">
        <f>CurrentMtgRatesDataTable934[[#This Row],[N/A Amount]]/CurrentMtgRatesDataTable934[[#This Row],[Total Amount]]</f>
        <v>2.6418352763458552E-2</v>
      </c>
      <c r="N20" s="48">
        <f t="shared" si="0"/>
        <v>0</v>
      </c>
    </row>
    <row r="21" spans="3:14">
      <c r="C21" s="37">
        <v>41671</v>
      </c>
      <c r="D21" s="16">
        <v>27585216807.849998</v>
      </c>
      <c r="E21" s="17">
        <f>IF(C21&lt;=DateToChangeLag,VLOOKUP(C21,'Result-lag'!$C$4:$H$100,2,0),VLOOKUP(C21,CurrentMtgRatesDataTable8[],2,0))</f>
        <v>27585216807.849998</v>
      </c>
      <c r="F21" s="17">
        <f>IF($C21&lt;=DateToChangeLag,VLOOKUP($C21,'Result-lag'!$C$4:$I$100,3,0),VLOOKUP($C21,CurrentMtgRatesDataTable8[],3,0))</f>
        <v>13447219374.819998</v>
      </c>
      <c r="G21" s="17">
        <f>IF($C21&lt;=DateToChangeLag,VLOOKUP($C21,'Result-lag'!$C$4:$I$100,4,0),VLOOKUP($C21,CurrentMtgRatesDataTable8[],4,0))</f>
        <v>10862978588.139999</v>
      </c>
      <c r="H21" s="43">
        <f>IF($C21&lt;=DateToChangeLag,VLOOKUP($C21,'Result-lag'!$C$4:$I$100,5,0),VLOOKUP($C21,CurrentMtgRatesDataTable8[],5,0))</f>
        <v>4228977520.5</v>
      </c>
      <c r="I21" s="43">
        <f>IF($C21&lt;=DateToChangeLag,VLOOKUP($C21,'Result-lag'!$C$4:$I$100,6,0),VLOOKUP($C21,CurrentMtgRatesDataTable8[],6,0))</f>
        <v>732302230</v>
      </c>
      <c r="J21" s="44">
        <f>CurrentMtgRatesDataTable934[[#This Row],[Top 10 Amount]]/CurrentMtgRatesDataTable934[[#This Row],[Total Amount]]</f>
        <v>0.48747919831441333</v>
      </c>
      <c r="K21" s="44">
        <f>CurrentMtgRatesDataTable934[[#This Row],[Top 5 Amount]]/CurrentMtgRatesDataTable934[[#This Row],[Total Amount]]</f>
        <v>0.39379710747999969</v>
      </c>
      <c r="L21" s="44">
        <f>CurrentMtgRatesDataTable934[[#This Row],[Top 1 Amount]]/CurrentMtgRatesDataTable934[[#This Row],[Total Amount]]</f>
        <v>0.15330593737789833</v>
      </c>
      <c r="M21" s="44">
        <f>CurrentMtgRatesDataTable934[[#This Row],[N/A Amount]]/CurrentMtgRatesDataTable934[[#This Row],[Total Amount]]</f>
        <v>2.6546908625043209E-2</v>
      </c>
      <c r="N21" s="48">
        <f t="shared" si="0"/>
        <v>0</v>
      </c>
    </row>
    <row r="22" spans="3:14">
      <c r="C22" s="37">
        <v>41640</v>
      </c>
      <c r="D22" s="16">
        <v>28108964119.139999</v>
      </c>
      <c r="E22" s="17">
        <f>IF(C22&lt;=DateToChangeLag,VLOOKUP(C22,'Result-lag'!$C$4:$H$100,2,0),VLOOKUP(C22,CurrentMtgRatesDataTable8[],2,0))</f>
        <v>28108964119.139999</v>
      </c>
      <c r="F22" s="17">
        <f>IF($C22&lt;=DateToChangeLag,VLOOKUP($C22,'Result-lag'!$C$4:$I$100,3,0),VLOOKUP($C22,CurrentMtgRatesDataTable8[],3,0))</f>
        <v>11561109174.170002</v>
      </c>
      <c r="G22" s="17">
        <f>IF($C22&lt;=DateToChangeLag,VLOOKUP($C22,'Result-lag'!$C$4:$I$100,4,0),VLOOKUP($C22,CurrentMtgRatesDataTable8[],4,0))</f>
        <v>8967497119.7200012</v>
      </c>
      <c r="H22" s="43">
        <f>IF($C22&lt;=DateToChangeLag,VLOOKUP($C22,'Result-lag'!$C$4:$I$100,5,0),VLOOKUP($C22,CurrentMtgRatesDataTable8[],5,0))</f>
        <v>3105702600.8000002</v>
      </c>
      <c r="I22" s="43">
        <f>IF($C22&lt;=DateToChangeLag,VLOOKUP($C22,'Result-lag'!$C$4:$I$100,6,0),VLOOKUP($C22,CurrentMtgRatesDataTable8[],6,0))</f>
        <v>690934900</v>
      </c>
      <c r="J22" s="44">
        <f>CurrentMtgRatesDataTable934[[#This Row],[Top 10 Amount]]/CurrentMtgRatesDataTable934[[#This Row],[Total Amount]]</f>
        <v>0.41129616606176511</v>
      </c>
      <c r="K22" s="44">
        <f>CurrentMtgRatesDataTable934[[#This Row],[Top 5 Amount]]/CurrentMtgRatesDataTable934[[#This Row],[Total Amount]]</f>
        <v>0.3190262395195787</v>
      </c>
      <c r="L22" s="44">
        <f>CurrentMtgRatesDataTable934[[#This Row],[Top 1 Amount]]/CurrentMtgRatesDataTable934[[#This Row],[Total Amount]]</f>
        <v>0.11048797770122237</v>
      </c>
      <c r="M22" s="44">
        <f>CurrentMtgRatesDataTable934[[#This Row],[N/A Amount]]/CurrentMtgRatesDataTable934[[#This Row],[Total Amount]]</f>
        <v>2.4580589205332102E-2</v>
      </c>
      <c r="N22" s="48">
        <f t="shared" si="0"/>
        <v>0</v>
      </c>
    </row>
    <row r="23" spans="3:14">
      <c r="C23" s="37">
        <v>41609</v>
      </c>
      <c r="D23" s="16">
        <v>37790142776.290001</v>
      </c>
      <c r="E23" s="17">
        <f>IF(C23&lt;=DateToChangeLag,VLOOKUP(C23,'Result-lag'!$C$4:$H$100,2,0),VLOOKUP(C23,CurrentMtgRatesDataTable8[],2,0))</f>
        <v>37790142776.290001</v>
      </c>
      <c r="F23" s="17">
        <f>IF($C23&lt;=DateToChangeLag,VLOOKUP($C23,'Result-lag'!$C$4:$I$100,3,0),VLOOKUP($C23,CurrentMtgRatesDataTable8[],3,0))</f>
        <v>17148936693.369997</v>
      </c>
      <c r="G23" s="17">
        <f>IF($C23&lt;=DateToChangeLag,VLOOKUP($C23,'Result-lag'!$C$4:$I$100,4,0),VLOOKUP($C23,CurrentMtgRatesDataTable8[],4,0))</f>
        <v>12929026951.82</v>
      </c>
      <c r="H23" s="43">
        <f>IF($C23&lt;=DateToChangeLag,VLOOKUP($C23,'Result-lag'!$C$4:$I$100,5,0),VLOOKUP($C23,CurrentMtgRatesDataTable8[],5,0))</f>
        <v>6588450968.0200005</v>
      </c>
      <c r="I23" s="43">
        <f>IF($C23&lt;=DateToChangeLag,VLOOKUP($C23,'Result-lag'!$C$4:$I$100,6,0),VLOOKUP($C23,CurrentMtgRatesDataTable8[],6,0))</f>
        <v>856201500</v>
      </c>
      <c r="J23" s="44">
        <f>CurrentMtgRatesDataTable934[[#This Row],[Top 10 Amount]]/CurrentMtgRatesDataTable934[[#This Row],[Total Amount]]</f>
        <v>0.45379391115001161</v>
      </c>
      <c r="K23" s="44">
        <f>CurrentMtgRatesDataTable934[[#This Row],[Top 5 Amount]]/CurrentMtgRatesDataTable934[[#This Row],[Total Amount]]</f>
        <v>0.34212696756287014</v>
      </c>
      <c r="L23" s="44">
        <f>CurrentMtgRatesDataTable934[[#This Row],[Top 1 Amount]]/CurrentMtgRatesDataTable934[[#This Row],[Total Amount]]</f>
        <v>0.17434310865196506</v>
      </c>
      <c r="M23" s="44">
        <f>CurrentMtgRatesDataTable934[[#This Row],[N/A Amount]]/CurrentMtgRatesDataTable934[[#This Row],[Total Amount]]</f>
        <v>2.2656741602394562E-2</v>
      </c>
      <c r="N23" s="48">
        <f t="shared" si="0"/>
        <v>0</v>
      </c>
    </row>
    <row r="24" spans="3:14">
      <c r="C24" s="37">
        <v>41579</v>
      </c>
      <c r="D24" s="16">
        <v>38757040631.290001</v>
      </c>
      <c r="E24" s="17">
        <f>IF(C24&lt;=DateToChangeLag,VLOOKUP(C24,'Result-lag'!$C$4:$H$100,2,0),VLOOKUP(C24,CurrentMtgRatesDataTable8[],2,0))</f>
        <v>38757040631.290001</v>
      </c>
      <c r="F24" s="17">
        <f>IF($C24&lt;=DateToChangeLag,VLOOKUP($C24,'Result-lag'!$C$4:$I$100,3,0),VLOOKUP($C24,CurrentMtgRatesDataTable8[],3,0))</f>
        <v>19735518182.900002</v>
      </c>
      <c r="G24" s="17">
        <f>IF($C24&lt;=DateToChangeLag,VLOOKUP($C24,'Result-lag'!$C$4:$I$100,4,0),VLOOKUP($C24,CurrentMtgRatesDataTable8[],4,0))</f>
        <v>15129673981.85</v>
      </c>
      <c r="H24" s="43">
        <f>IF($C24&lt;=DateToChangeLag,VLOOKUP($C24,'Result-lag'!$C$4:$I$100,5,0),VLOOKUP($C24,CurrentMtgRatesDataTable8[],5,0))</f>
        <v>7277980089.6000004</v>
      </c>
      <c r="I24" s="43">
        <f>IF($C24&lt;=DateToChangeLag,VLOOKUP($C24,'Result-lag'!$C$4:$I$100,6,0),VLOOKUP($C24,CurrentMtgRatesDataTable8[],6,0))</f>
        <v>1144678013</v>
      </c>
      <c r="J24" s="44">
        <f>CurrentMtgRatesDataTable934[[#This Row],[Top 10 Amount]]/CurrentMtgRatesDataTable934[[#This Row],[Total Amount]]</f>
        <v>0.5092111745747373</v>
      </c>
      <c r="K24" s="44">
        <f>CurrentMtgRatesDataTable934[[#This Row],[Top 5 Amount]]/CurrentMtgRatesDataTable934[[#This Row],[Total Amount]]</f>
        <v>0.39037227134507407</v>
      </c>
      <c r="L24" s="44">
        <f>CurrentMtgRatesDataTable934[[#This Row],[Top 1 Amount]]/CurrentMtgRatesDataTable934[[#This Row],[Total Amount]]</f>
        <v>0.18778472171903177</v>
      </c>
      <c r="M24" s="44">
        <f>CurrentMtgRatesDataTable934[[#This Row],[N/A Amount]]/CurrentMtgRatesDataTable934[[#This Row],[Total Amount]]</f>
        <v>2.9534711483514529E-2</v>
      </c>
      <c r="N24" s="48">
        <f t="shared" si="0"/>
        <v>0</v>
      </c>
    </row>
    <row r="25" spans="3:14">
      <c r="C25" s="37">
        <v>41548</v>
      </c>
      <c r="D25" s="16">
        <v>47175834172.419998</v>
      </c>
      <c r="E25" s="17">
        <f>IF(C25&lt;=DateToChangeLag,VLOOKUP(C25,'Result-lag'!$C$4:$H$100,2,0),VLOOKUP(C25,CurrentMtgRatesDataTable8[],2,0))</f>
        <v>47175834172.419998</v>
      </c>
      <c r="F25" s="17">
        <f>IF($C25&lt;=DateToChangeLag,VLOOKUP($C25,'Result-lag'!$C$4:$I$100,3,0),VLOOKUP($C25,CurrentMtgRatesDataTable8[],3,0))</f>
        <v>21846439126.260002</v>
      </c>
      <c r="G25" s="17">
        <f>IF($C25&lt;=DateToChangeLag,VLOOKUP($C25,'Result-lag'!$C$4:$I$100,4,0),VLOOKUP($C25,CurrentMtgRatesDataTable8[],4,0))</f>
        <v>16622350119.240002</v>
      </c>
      <c r="H25" s="43">
        <f>IF($C25&lt;=DateToChangeLag,VLOOKUP($C25,'Result-lag'!$C$4:$I$100,5,0),VLOOKUP($C25,CurrentMtgRatesDataTable8[],5,0))</f>
        <v>9148941452.2000008</v>
      </c>
      <c r="I25" s="43">
        <f>IF($C25&lt;=DateToChangeLag,VLOOKUP($C25,'Result-lag'!$C$4:$I$100,6,0),VLOOKUP($C25,CurrentMtgRatesDataTable8[],6,0))</f>
        <v>1114601890</v>
      </c>
      <c r="J25" s="44">
        <f>CurrentMtgRatesDataTable934[[#This Row],[Top 10 Amount]]/CurrentMtgRatesDataTable934[[#This Row],[Total Amount]]</f>
        <v>0.46308538067212168</v>
      </c>
      <c r="K25" s="44">
        <f>CurrentMtgRatesDataTable934[[#This Row],[Top 5 Amount]]/CurrentMtgRatesDataTable934[[#This Row],[Total Amount]]</f>
        <v>0.35234883305906189</v>
      </c>
      <c r="L25" s="44">
        <f>CurrentMtgRatesDataTable934[[#This Row],[Top 1 Amount]]/CurrentMtgRatesDataTable934[[#This Row],[Total Amount]]</f>
        <v>0.19393279658314272</v>
      </c>
      <c r="M25" s="44">
        <f>CurrentMtgRatesDataTable934[[#This Row],[N/A Amount]]/CurrentMtgRatesDataTable934[[#This Row],[Total Amount]]</f>
        <v>2.3626543325684743E-2</v>
      </c>
      <c r="N25" s="48">
        <f t="shared" si="0"/>
        <v>0</v>
      </c>
    </row>
    <row r="26" spans="3:14">
      <c r="C26" s="37">
        <v>41518</v>
      </c>
      <c r="D26" s="16">
        <v>52117579911.449997</v>
      </c>
      <c r="E26" s="17">
        <f>IF(C26&lt;=DateToChangeLag,VLOOKUP(C26,'Result-lag'!$C$4:$H$100,2,0),VLOOKUP(C26,CurrentMtgRatesDataTable8[],2,0))</f>
        <v>52117579911.449997</v>
      </c>
      <c r="F26" s="17">
        <f>IF($C26&lt;=DateToChangeLag,VLOOKUP($C26,'Result-lag'!$C$4:$I$100,3,0),VLOOKUP($C26,CurrentMtgRatesDataTable8[],3,0))</f>
        <v>28474515807.220001</v>
      </c>
      <c r="G26" s="17">
        <f>IF($C26&lt;=DateToChangeLag,VLOOKUP($C26,'Result-lag'!$C$4:$I$100,4,0),VLOOKUP($C26,CurrentMtgRatesDataTable8[],4,0))</f>
        <v>23217757702.279999</v>
      </c>
      <c r="H26" s="43">
        <f>IF($C26&lt;=DateToChangeLag,VLOOKUP($C26,'Result-lag'!$C$4:$I$100,5,0),VLOOKUP($C26,CurrentMtgRatesDataTable8[],5,0))</f>
        <v>12954391824.35</v>
      </c>
      <c r="I26" s="43">
        <f>IF($C26&lt;=DateToChangeLag,VLOOKUP($C26,'Result-lag'!$C$4:$I$100,6,0),VLOOKUP($C26,CurrentMtgRatesDataTable8[],6,0))</f>
        <v>760592802</v>
      </c>
      <c r="J26" s="44">
        <f>CurrentMtgRatesDataTable934[[#This Row],[Top 10 Amount]]/CurrentMtgRatesDataTable934[[#This Row],[Total Amount]]</f>
        <v>0.54635145867477775</v>
      </c>
      <c r="K26" s="44">
        <f>CurrentMtgRatesDataTable934[[#This Row],[Top 5 Amount]]/CurrentMtgRatesDataTable934[[#This Row],[Total Amount]]</f>
        <v>0.44548802422767836</v>
      </c>
      <c r="L26" s="44">
        <f>CurrentMtgRatesDataTable934[[#This Row],[Top 1 Amount]]/CurrentMtgRatesDataTable934[[#This Row],[Total Amount]]</f>
        <v>0.24856088571956081</v>
      </c>
      <c r="M26" s="44">
        <f>CurrentMtgRatesDataTable934[[#This Row],[N/A Amount]]/CurrentMtgRatesDataTable934[[#This Row],[Total Amount]]</f>
        <v>1.4593785883617002E-2</v>
      </c>
      <c r="N26" s="48">
        <f t="shared" si="0"/>
        <v>0</v>
      </c>
    </row>
    <row r="27" spans="3:14">
      <c r="C27" s="37">
        <v>41487</v>
      </c>
      <c r="D27" s="16">
        <v>65043206114.970001</v>
      </c>
      <c r="E27" s="17">
        <f>IF(C27&lt;=DateToChangeLag,VLOOKUP(C27,'Result-lag'!$C$4:$H$100,2,0),VLOOKUP(C27,CurrentMtgRatesDataTable8[],2,0))</f>
        <v>65043206114.970001</v>
      </c>
      <c r="F27" s="17">
        <f>IF($C27&lt;=DateToChangeLag,VLOOKUP($C27,'Result-lag'!$C$4:$I$100,3,0),VLOOKUP($C27,CurrentMtgRatesDataTable8[],3,0))</f>
        <v>35770897100.520004</v>
      </c>
      <c r="G27" s="17">
        <f>IF($C27&lt;=DateToChangeLag,VLOOKUP($C27,'Result-lag'!$C$4:$I$100,4,0),VLOOKUP($C27,CurrentMtgRatesDataTable8[],4,0))</f>
        <v>27875191616.209999</v>
      </c>
      <c r="H27" s="43">
        <f>IF($C27&lt;=DateToChangeLag,VLOOKUP($C27,'Result-lag'!$C$4:$I$100,5,0),VLOOKUP($C27,CurrentMtgRatesDataTable8[],5,0))</f>
        <v>16043754924.049999</v>
      </c>
      <c r="I27" s="43">
        <f>IF($C27&lt;=DateToChangeLag,VLOOKUP($C27,'Result-lag'!$C$4:$I$100,6,0),VLOOKUP($C27,CurrentMtgRatesDataTable8[],6,0))</f>
        <v>1050686660</v>
      </c>
      <c r="J27" s="44">
        <f>CurrentMtgRatesDataTable934[[#This Row],[Top 10 Amount]]/CurrentMtgRatesDataTable934[[#This Row],[Total Amount]]</f>
        <v>0.54995593294235179</v>
      </c>
      <c r="K27" s="44">
        <f>CurrentMtgRatesDataTable934[[#This Row],[Top 5 Amount]]/CurrentMtgRatesDataTable934[[#This Row],[Total Amount]]</f>
        <v>0.42856423108876229</v>
      </c>
      <c r="L27" s="44">
        <f>CurrentMtgRatesDataTable934[[#This Row],[Top 1 Amount]]/CurrentMtgRatesDataTable934[[#This Row],[Total Amount]]</f>
        <v>0.24666303957543467</v>
      </c>
      <c r="M27" s="44">
        <f>CurrentMtgRatesDataTable934[[#This Row],[N/A Amount]]/CurrentMtgRatesDataTable934[[#This Row],[Total Amount]]</f>
        <v>1.6153672654801367E-2</v>
      </c>
      <c r="N27" s="48">
        <f t="shared" si="0"/>
        <v>0</v>
      </c>
    </row>
    <row r="28" spans="3:14">
      <c r="C28" s="37">
        <v>41456</v>
      </c>
      <c r="D28" s="16">
        <v>71866974614.360001</v>
      </c>
      <c r="E28" s="17">
        <f>IF(C28&lt;=DateToChangeLag,VLOOKUP(C28,'Result-lag'!$C$4:$H$100,2,0),VLOOKUP(C28,CurrentMtgRatesDataTable8[],2,0))</f>
        <v>71866974614.360001</v>
      </c>
      <c r="F28" s="17">
        <f>IF($C28&lt;=DateToChangeLag,VLOOKUP($C28,'Result-lag'!$C$4:$I$100,3,0),VLOOKUP($C28,CurrentMtgRatesDataTable8[],3,0))</f>
        <v>37466696964.239998</v>
      </c>
      <c r="G28" s="17">
        <f>IF($C28&lt;=DateToChangeLag,VLOOKUP($C28,'Result-lag'!$C$4:$I$100,4,0),VLOOKUP($C28,CurrentMtgRatesDataTable8[],4,0))</f>
        <v>29824408490.139999</v>
      </c>
      <c r="H28" s="43">
        <f>IF($C28&lt;=DateToChangeLag,VLOOKUP($C28,'Result-lag'!$C$4:$I$100,5,0),VLOOKUP($C28,CurrentMtgRatesDataTable8[],5,0))</f>
        <v>16978552578.67</v>
      </c>
      <c r="I28" s="43">
        <f>IF($C28&lt;=DateToChangeLag,VLOOKUP($C28,'Result-lag'!$C$4:$I$100,6,0),VLOOKUP($C28,CurrentMtgRatesDataTable8[],6,0))</f>
        <v>689921868</v>
      </c>
      <c r="J28" s="44">
        <f>CurrentMtgRatesDataTable934[[#This Row],[Top 10 Amount]]/CurrentMtgRatesDataTable934[[#This Row],[Total Amount]]</f>
        <v>0.52133399472132003</v>
      </c>
      <c r="K28" s="44">
        <f>CurrentMtgRatesDataTable934[[#This Row],[Top 5 Amount]]/CurrentMtgRatesDataTable934[[#This Row],[Total Amount]]</f>
        <v>0.41499462931587877</v>
      </c>
      <c r="L28" s="44">
        <f>CurrentMtgRatesDataTable934[[#This Row],[Top 1 Amount]]/CurrentMtgRatesDataTable934[[#This Row],[Total Amount]]</f>
        <v>0.2362497192872991</v>
      </c>
      <c r="M28" s="44">
        <f>CurrentMtgRatesDataTable934[[#This Row],[N/A Amount]]/CurrentMtgRatesDataTable934[[#This Row],[Total Amount]]</f>
        <v>9.5999848567737568E-3</v>
      </c>
      <c r="N28" s="48">
        <f t="shared" si="0"/>
        <v>0</v>
      </c>
    </row>
    <row r="29" spans="3:14">
      <c r="C29" s="37">
        <v>41426</v>
      </c>
      <c r="D29" s="16">
        <v>66542000148.940002</v>
      </c>
      <c r="E29" s="17">
        <f>IF(C29&lt;=DateToChangeLag,VLOOKUP(C29,'Result-lag'!$C$4:$H$100,2,0),VLOOKUP(C29,CurrentMtgRatesDataTable8[],2,0))</f>
        <v>66542000148.940002</v>
      </c>
      <c r="F29" s="17">
        <f>IF($C29&lt;=DateToChangeLag,VLOOKUP($C29,'Result-lag'!$C$4:$I$100,3,0),VLOOKUP($C29,CurrentMtgRatesDataTable8[],3,0))</f>
        <v>35492363841.889999</v>
      </c>
      <c r="G29" s="17">
        <f>IF($C29&lt;=DateToChangeLag,VLOOKUP($C29,'Result-lag'!$C$4:$I$100,4,0),VLOOKUP($C29,CurrentMtgRatesDataTable8[],4,0))</f>
        <v>29184629174.119999</v>
      </c>
      <c r="H29" s="43">
        <f>IF($C29&lt;=DateToChangeLag,VLOOKUP($C29,'Result-lag'!$C$4:$I$100,5,0),VLOOKUP($C29,CurrentMtgRatesDataTable8[],5,0))</f>
        <v>15486832649.959999</v>
      </c>
      <c r="I29" s="43">
        <f>IF($C29&lt;=DateToChangeLag,VLOOKUP($C29,'Result-lag'!$C$4:$I$100,6,0),VLOOKUP($C29,CurrentMtgRatesDataTable8[],6,0))</f>
        <v>967290699</v>
      </c>
      <c r="J29" s="44">
        <f>CurrentMtgRatesDataTable934[[#This Row],[Top 10 Amount]]/CurrentMtgRatesDataTable934[[#This Row],[Total Amount]]</f>
        <v>0.5333828824268575</v>
      </c>
      <c r="K29" s="44">
        <f>CurrentMtgRatesDataTable934[[#This Row],[Top 5 Amount]]/CurrentMtgRatesDataTable934[[#This Row],[Total Amount]]</f>
        <v>0.43858959918241808</v>
      </c>
      <c r="L29" s="44">
        <f>CurrentMtgRatesDataTable934[[#This Row],[Top 1 Amount]]/CurrentMtgRatesDataTable934[[#This Row],[Total Amount]]</f>
        <v>0.23273770874479344</v>
      </c>
      <c r="M29" s="44">
        <f>CurrentMtgRatesDataTable934[[#This Row],[N/A Amount]]/CurrentMtgRatesDataTable934[[#This Row],[Total Amount]]</f>
        <v>1.4536543789410104E-2</v>
      </c>
      <c r="N29" s="48">
        <f t="shared" si="0"/>
        <v>0</v>
      </c>
    </row>
    <row r="30" spans="3:14">
      <c r="C30" s="37">
        <v>41395</v>
      </c>
      <c r="D30" s="16">
        <v>73509211252.020004</v>
      </c>
      <c r="E30" s="17">
        <f>IF(C30&lt;=DateToChangeLag,VLOOKUP(C30,'Result-lag'!$C$4:$H$100,2,0),VLOOKUP(C30,CurrentMtgRatesDataTable8[],2,0))</f>
        <v>73509211252.020004</v>
      </c>
      <c r="F30" s="17">
        <f>IF($C30&lt;=DateToChangeLag,VLOOKUP($C30,'Result-lag'!$C$4:$I$100,3,0),VLOOKUP($C30,CurrentMtgRatesDataTable8[],3,0))</f>
        <v>38541437156.089996</v>
      </c>
      <c r="G30" s="17">
        <f>IF($C30&lt;=DateToChangeLag,VLOOKUP($C30,'Result-lag'!$C$4:$I$100,4,0),VLOOKUP($C30,CurrentMtgRatesDataTable8[],4,0))</f>
        <v>31823204951.040001</v>
      </c>
      <c r="H30" s="43">
        <f>IF($C30&lt;=DateToChangeLag,VLOOKUP($C30,'Result-lag'!$C$4:$I$100,5,0),VLOOKUP($C30,CurrentMtgRatesDataTable8[],5,0))</f>
        <v>16565187107.59</v>
      </c>
      <c r="I30" s="43">
        <f>IF($C30&lt;=DateToChangeLag,VLOOKUP($C30,'Result-lag'!$C$4:$I$100,6,0),VLOOKUP($C30,CurrentMtgRatesDataTable8[],6,0))</f>
        <v>1288259374</v>
      </c>
      <c r="J30" s="44">
        <f>CurrentMtgRatesDataTable934[[#This Row],[Top 10 Amount]]/CurrentMtgRatesDataTable934[[#This Row],[Total Amount]]</f>
        <v>0.52430758675880762</v>
      </c>
      <c r="K30" s="44">
        <f>CurrentMtgRatesDataTable934[[#This Row],[Top 5 Amount]]/CurrentMtgRatesDataTable934[[#This Row],[Total Amount]]</f>
        <v>0.43291452062975999</v>
      </c>
      <c r="L30" s="44">
        <f>CurrentMtgRatesDataTable934[[#This Row],[Top 1 Amount]]/CurrentMtgRatesDataTable934[[#This Row],[Total Amount]]</f>
        <v>0.22534845396174477</v>
      </c>
      <c r="M30" s="44">
        <f>CurrentMtgRatesDataTable934[[#This Row],[N/A Amount]]/CurrentMtgRatesDataTable934[[#This Row],[Total Amount]]</f>
        <v>1.7525142115636549E-2</v>
      </c>
      <c r="N30" s="48">
        <f t="shared" si="0"/>
        <v>0</v>
      </c>
    </row>
    <row r="31" spans="3:14">
      <c r="C31" s="37">
        <v>41365</v>
      </c>
      <c r="D31" s="16">
        <v>73548428684.190002</v>
      </c>
      <c r="E31" s="17">
        <f>IF(C31&lt;=DateToChangeLag,VLOOKUP(C31,'Result-lag'!$C$4:$H$100,2,0),VLOOKUP(C31,CurrentMtgRatesDataTable8[],2,0))</f>
        <v>73548428684.190002</v>
      </c>
      <c r="F31" s="17">
        <f>IF($C31&lt;=DateToChangeLag,VLOOKUP($C31,'Result-lag'!$C$4:$I$100,3,0),VLOOKUP($C31,CurrentMtgRatesDataTable8[],3,0))</f>
        <v>37376512403.469994</v>
      </c>
      <c r="G31" s="17">
        <f>IF($C31&lt;=DateToChangeLag,VLOOKUP($C31,'Result-lag'!$C$4:$I$100,4,0),VLOOKUP($C31,CurrentMtgRatesDataTable8[],4,0))</f>
        <v>29789895298.389999</v>
      </c>
      <c r="H31" s="43">
        <f>IF($C31&lt;=DateToChangeLag,VLOOKUP($C31,'Result-lag'!$C$4:$I$100,5,0),VLOOKUP($C31,CurrentMtgRatesDataTable8[],5,0))</f>
        <v>10983062364.98</v>
      </c>
      <c r="I31" s="43">
        <f>IF($C31&lt;=DateToChangeLag,VLOOKUP($C31,'Result-lag'!$C$4:$I$100,6,0),VLOOKUP($C31,CurrentMtgRatesDataTable8[],6,0))</f>
        <v>1534207191</v>
      </c>
      <c r="J31" s="44">
        <f>CurrentMtgRatesDataTable934[[#This Row],[Top 10 Amount]]/CurrentMtgRatesDataTable934[[#This Row],[Total Amount]]</f>
        <v>0.50818913567767987</v>
      </c>
      <c r="K31" s="44">
        <f>CurrentMtgRatesDataTable934[[#This Row],[Top 5 Amount]]/CurrentMtgRatesDataTable934[[#This Row],[Total Amount]]</f>
        <v>0.40503782108391456</v>
      </c>
      <c r="L31" s="44">
        <f>CurrentMtgRatesDataTable934[[#This Row],[Top 1 Amount]]/CurrentMtgRatesDataTable934[[#This Row],[Total Amount]]</f>
        <v>0.14933102666462436</v>
      </c>
      <c r="M31" s="44">
        <f>CurrentMtgRatesDataTable934[[#This Row],[N/A Amount]]/CurrentMtgRatesDataTable934[[#This Row],[Total Amount]]</f>
        <v>2.085982281943426E-2</v>
      </c>
      <c r="N31" s="48">
        <f t="shared" si="0"/>
        <v>0</v>
      </c>
    </row>
    <row r="32" spans="3:14">
      <c r="C32" s="37">
        <v>41334</v>
      </c>
      <c r="D32" s="16">
        <v>66573031434.919998</v>
      </c>
      <c r="E32" s="17">
        <f>IF(C32&lt;=DateToChangeLag,VLOOKUP(C32,'Result-lag'!$C$4:$H$100,2,0),VLOOKUP(C32,CurrentMtgRatesDataTable8[],2,0))</f>
        <v>66573031434.919998</v>
      </c>
      <c r="F32" s="17">
        <f>IF($C32&lt;=DateToChangeLag,VLOOKUP($C32,'Result-lag'!$C$4:$I$100,3,0),VLOOKUP($C32,CurrentMtgRatesDataTable8[],3,0))</f>
        <v>32588531726.600002</v>
      </c>
      <c r="G32" s="17">
        <f>IF($C32&lt;=DateToChangeLag,VLOOKUP($C32,'Result-lag'!$C$4:$I$100,4,0),VLOOKUP($C32,CurrentMtgRatesDataTable8[],4,0))</f>
        <v>26611199048.840004</v>
      </c>
      <c r="H32" s="43">
        <f>IF($C32&lt;=DateToChangeLag,VLOOKUP($C32,'Result-lag'!$C$4:$I$100,5,0),VLOOKUP($C32,CurrentMtgRatesDataTable8[],5,0))</f>
        <v>10298222135.870001</v>
      </c>
      <c r="I32" s="43">
        <f>IF($C32&lt;=DateToChangeLag,VLOOKUP($C32,'Result-lag'!$C$4:$I$100,6,0),VLOOKUP($C32,CurrentMtgRatesDataTable8[],6,0))</f>
        <v>873595500</v>
      </c>
      <c r="J32" s="44">
        <f>CurrentMtgRatesDataTable934[[#This Row],[Top 10 Amount]]/CurrentMtgRatesDataTable934[[#This Row],[Total Amount]]</f>
        <v>0.48951551437848634</v>
      </c>
      <c r="K32" s="44">
        <f>CurrentMtgRatesDataTable934[[#This Row],[Top 5 Amount]]/CurrentMtgRatesDataTable934[[#This Row],[Total Amount]]</f>
        <v>0.39972941708166609</v>
      </c>
      <c r="L32" s="44">
        <f>CurrentMtgRatesDataTable934[[#This Row],[Top 1 Amount]]/CurrentMtgRatesDataTable934[[#This Row],[Total Amount]]</f>
        <v>0.15469059938989357</v>
      </c>
      <c r="M32" s="44">
        <f>CurrentMtgRatesDataTable934[[#This Row],[N/A Amount]]/CurrentMtgRatesDataTable934[[#This Row],[Total Amount]]</f>
        <v>1.3122363232835558E-2</v>
      </c>
      <c r="N32" s="48">
        <f t="shared" si="0"/>
        <v>0</v>
      </c>
    </row>
    <row r="33" spans="3:14">
      <c r="C33" s="37">
        <v>41306</v>
      </c>
      <c r="D33" s="16">
        <v>77430427923.440002</v>
      </c>
      <c r="E33" s="17">
        <f>IF(C33&lt;=DateToChangeLag,VLOOKUP(C33,'Result-lag'!$C$4:$H$100,2,0),VLOOKUP(C33,CurrentMtgRatesDataTable8[],2,0))</f>
        <v>77430427923.440002</v>
      </c>
      <c r="F33" s="17">
        <f>IF($C33&lt;=DateToChangeLag,VLOOKUP($C33,'Result-lag'!$C$4:$I$100,3,0),VLOOKUP($C33,CurrentMtgRatesDataTable8[],3,0))</f>
        <v>40621858362.690002</v>
      </c>
      <c r="G33" s="17">
        <f>IF($C33&lt;=DateToChangeLag,VLOOKUP($C33,'Result-lag'!$C$4:$I$100,4,0),VLOOKUP($C33,CurrentMtgRatesDataTable8[],4,0))</f>
        <v>32295164207.330002</v>
      </c>
      <c r="H33" s="43">
        <f>IF($C33&lt;=DateToChangeLag,VLOOKUP($C33,'Result-lag'!$C$4:$I$100,5,0),VLOOKUP($C33,CurrentMtgRatesDataTable8[],5,0))</f>
        <v>12090154945.85</v>
      </c>
      <c r="I33" s="43">
        <f>IF($C33&lt;=DateToChangeLag,VLOOKUP($C33,'Result-lag'!$C$4:$I$100,6,0),VLOOKUP($C33,CurrentMtgRatesDataTable8[],6,0))</f>
        <v>1475078768</v>
      </c>
      <c r="J33" s="44">
        <f>CurrentMtgRatesDataTable934[[#This Row],[Top 10 Amount]]/CurrentMtgRatesDataTable934[[#This Row],[Total Amount]]</f>
        <v>0.52462396827840363</v>
      </c>
      <c r="K33" s="44">
        <f>CurrentMtgRatesDataTable934[[#This Row],[Top 5 Amount]]/CurrentMtgRatesDataTable934[[#This Row],[Total Amount]]</f>
        <v>0.41708621627743192</v>
      </c>
      <c r="L33" s="44">
        <f>CurrentMtgRatesDataTable934[[#This Row],[Top 1 Amount]]/CurrentMtgRatesDataTable934[[#This Row],[Total Amount]]</f>
        <v>0.15614216878414058</v>
      </c>
      <c r="M33" s="44">
        <f>CurrentMtgRatesDataTable934[[#This Row],[N/A Amount]]/CurrentMtgRatesDataTable934[[#This Row],[Total Amount]]</f>
        <v>1.9050376028639501E-2</v>
      </c>
      <c r="N33" s="48">
        <f t="shared" si="0"/>
        <v>0</v>
      </c>
    </row>
    <row r="34" spans="3:14">
      <c r="C34" s="37">
        <v>41275</v>
      </c>
      <c r="D34" s="16">
        <v>85482757320.820007</v>
      </c>
      <c r="E34" s="17">
        <f>IF(C34&lt;=DateToChangeLag,VLOOKUP(C34,'Result-lag'!$C$4:$H$100,2,0),VLOOKUP(C34,CurrentMtgRatesDataTable8[],2,0))</f>
        <v>85482757320.820007</v>
      </c>
      <c r="F34" s="17">
        <f>IF($C34&lt;=DateToChangeLag,VLOOKUP($C34,'Result-lag'!$C$4:$I$100,3,0),VLOOKUP($C34,CurrentMtgRatesDataTable8[],3,0))</f>
        <v>41056601881.519997</v>
      </c>
      <c r="G34" s="17">
        <f>IF($C34&lt;=DateToChangeLag,VLOOKUP($C34,'Result-lag'!$C$4:$I$100,4,0),VLOOKUP($C34,CurrentMtgRatesDataTable8[],4,0))</f>
        <v>32173182892.220001</v>
      </c>
      <c r="H34" s="43">
        <f>IF($C34&lt;=DateToChangeLag,VLOOKUP($C34,'Result-lag'!$C$4:$I$100,5,0),VLOOKUP($C34,CurrentMtgRatesDataTable8[],5,0))</f>
        <v>12960800578.620001</v>
      </c>
      <c r="I34" s="43">
        <f>IF($C34&lt;=DateToChangeLag,VLOOKUP($C34,'Result-lag'!$C$4:$I$100,6,0),VLOOKUP($C34,CurrentMtgRatesDataTable8[],6,0))</f>
        <v>1327173549</v>
      </c>
      <c r="J34" s="44">
        <f>CurrentMtgRatesDataTable934[[#This Row],[Top 10 Amount]]/CurrentMtgRatesDataTable934[[#This Row],[Total Amount]]</f>
        <v>0.48029103375120463</v>
      </c>
      <c r="K34" s="44">
        <f>CurrentMtgRatesDataTable934[[#This Row],[Top 5 Amount]]/CurrentMtgRatesDataTable934[[#This Row],[Total Amount]]</f>
        <v>0.37637043891170746</v>
      </c>
      <c r="L34" s="44">
        <f>CurrentMtgRatesDataTable934[[#This Row],[Top 1 Amount]]/CurrentMtgRatesDataTable934[[#This Row],[Total Amount]]</f>
        <v>0.15161888765447315</v>
      </c>
      <c r="M34" s="44">
        <f>CurrentMtgRatesDataTable934[[#This Row],[N/A Amount]]/CurrentMtgRatesDataTable934[[#This Row],[Total Amount]]</f>
        <v>1.5525628683443933E-2</v>
      </c>
      <c r="N34" s="48">
        <f t="shared" si="0"/>
        <v>0</v>
      </c>
    </row>
    <row r="35" spans="3:14">
      <c r="C35" s="37">
        <v>41244</v>
      </c>
      <c r="D35" s="16">
        <v>66763638723.230003</v>
      </c>
      <c r="E35" s="17">
        <f>IF(C35&lt;=DateToChangeLag,VLOOKUP(C35,'Result-lag'!$C$4:$H$100,2,0),VLOOKUP(C35,CurrentMtgRatesDataTable8[],2,0))</f>
        <v>66763638723.230003</v>
      </c>
      <c r="F35" s="17">
        <f>IF($C35&lt;=DateToChangeLag,VLOOKUP($C35,'Result-lag'!$C$4:$I$100,3,0),VLOOKUP($C35,CurrentMtgRatesDataTable8[],3,0))</f>
        <v>28819231552.900002</v>
      </c>
      <c r="G35" s="17">
        <f>IF($C35&lt;=DateToChangeLag,VLOOKUP($C35,'Result-lag'!$C$4:$I$100,4,0),VLOOKUP($C35,CurrentMtgRatesDataTable8[],4,0))</f>
        <v>22657026327.110001</v>
      </c>
      <c r="H35" s="43">
        <f>IF($C35&lt;=DateToChangeLag,VLOOKUP($C35,'Result-lag'!$C$4:$I$100,5,0),VLOOKUP($C35,CurrentMtgRatesDataTable8[],5,0))</f>
        <v>5990993955.3400002</v>
      </c>
      <c r="I35" s="43">
        <f>IF($C35&lt;=DateToChangeLag,VLOOKUP($C35,'Result-lag'!$C$4:$I$100,6,0),VLOOKUP($C35,CurrentMtgRatesDataTable8[],6,0))</f>
        <v>882436640</v>
      </c>
      <c r="J35" s="44">
        <f>CurrentMtgRatesDataTable934[[#This Row],[Top 10 Amount]]/CurrentMtgRatesDataTable934[[#This Row],[Total Amount]]</f>
        <v>0.4316605880690641</v>
      </c>
      <c r="K35" s="44">
        <f>CurrentMtgRatesDataTable934[[#This Row],[Top 5 Amount]]/CurrentMtgRatesDataTable934[[#This Row],[Total Amount]]</f>
        <v>0.33936176578144811</v>
      </c>
      <c r="L35" s="44">
        <f>CurrentMtgRatesDataTable934[[#This Row],[Top 1 Amount]]/CurrentMtgRatesDataTable934[[#This Row],[Total Amount]]</f>
        <v>8.9734383414537738E-2</v>
      </c>
      <c r="M35" s="44">
        <f>CurrentMtgRatesDataTable934[[#This Row],[N/A Amount]]/CurrentMtgRatesDataTable934[[#This Row],[Total Amount]]</f>
        <v>1.3217323933738223E-2</v>
      </c>
      <c r="N35" s="48">
        <f t="shared" si="0"/>
        <v>0</v>
      </c>
    </row>
    <row r="36" spans="3:14">
      <c r="C36" s="37">
        <v>41214</v>
      </c>
      <c r="D36" s="16">
        <v>107252324964.50999</v>
      </c>
      <c r="E36" s="17">
        <f>IF(C36&lt;=DateToChangeLag,VLOOKUP(C36,'Result-lag'!$C$4:$H$100,2,0),VLOOKUP(C36,CurrentMtgRatesDataTable8[],2,0))</f>
        <v>107252324964.50999</v>
      </c>
      <c r="F36" s="17">
        <f>IF($C36&lt;=DateToChangeLag,VLOOKUP($C36,'Result-lag'!$C$4:$I$100,3,0),VLOOKUP($C36,CurrentMtgRatesDataTable8[],3,0))</f>
        <v>48700322876.149994</v>
      </c>
      <c r="G36" s="17">
        <f>IF($C36&lt;=DateToChangeLag,VLOOKUP($C36,'Result-lag'!$C$4:$I$100,4,0),VLOOKUP($C36,CurrentMtgRatesDataTable8[],4,0))</f>
        <v>38620874033.32</v>
      </c>
      <c r="H36" s="43">
        <f>IF($C36&lt;=DateToChangeLag,VLOOKUP($C36,'Result-lag'!$C$4:$I$100,5,0),VLOOKUP($C36,CurrentMtgRatesDataTable8[],5,0))</f>
        <v>18702888793.82</v>
      </c>
      <c r="I36" s="43">
        <f>IF($C36&lt;=DateToChangeLag,VLOOKUP($C36,'Result-lag'!$C$4:$I$100,6,0),VLOOKUP($C36,CurrentMtgRatesDataTable8[],6,0))</f>
        <v>1786397242</v>
      </c>
      <c r="J36" s="44">
        <f>CurrentMtgRatesDataTable934[[#This Row],[Top 10 Amount]]/CurrentMtgRatesDataTable934[[#This Row],[Total Amount]]</f>
        <v>0.45407242120173175</v>
      </c>
      <c r="K36" s="44">
        <f>CurrentMtgRatesDataTable934[[#This Row],[Top 5 Amount]]/CurrentMtgRatesDataTable934[[#This Row],[Total Amount]]</f>
        <v>0.3600935834826865</v>
      </c>
      <c r="L36" s="44">
        <f>CurrentMtgRatesDataTable934[[#This Row],[Top 1 Amount]]/CurrentMtgRatesDataTable934[[#This Row],[Total Amount]]</f>
        <v>0.17438212924529908</v>
      </c>
      <c r="M36" s="44">
        <f>CurrentMtgRatesDataTable934[[#This Row],[N/A Amount]]/CurrentMtgRatesDataTable934[[#This Row],[Total Amount]]</f>
        <v>1.665602347166947E-2</v>
      </c>
      <c r="N36" s="48">
        <f t="shared" ref="N36:N67" si="1">IF(C36&lt;=DateToChangeLag,1,0)</f>
        <v>0</v>
      </c>
    </row>
    <row r="37" spans="3:14">
      <c r="C37" s="37">
        <v>41183</v>
      </c>
      <c r="D37" s="16">
        <v>61818801001.650002</v>
      </c>
      <c r="E37" s="17">
        <f>IF(C37&lt;=DateToChangeLag,VLOOKUP(C37,'Result-lag'!$C$4:$H$100,2,0),VLOOKUP(C37,CurrentMtgRatesDataTable8[],2,0))</f>
        <v>61818801001.650002</v>
      </c>
      <c r="F37" s="17">
        <f>IF($C37&lt;=DateToChangeLag,VLOOKUP($C37,'Result-lag'!$C$4:$I$100,3,0),VLOOKUP($C37,CurrentMtgRatesDataTable8[],3,0))</f>
        <v>34976078939.440002</v>
      </c>
      <c r="G37" s="17">
        <f>IF($C37&lt;=DateToChangeLag,VLOOKUP($C37,'Result-lag'!$C$4:$I$100,4,0),VLOOKUP($C37,CurrentMtgRatesDataTable8[],4,0))</f>
        <v>27466963094.949997</v>
      </c>
      <c r="H37" s="43">
        <f>IF($C37&lt;=DateToChangeLag,VLOOKUP($C37,'Result-lag'!$C$4:$I$100,5,0),VLOOKUP($C37,CurrentMtgRatesDataTable8[],5,0))</f>
        <v>13583725455.1</v>
      </c>
      <c r="I37" s="43">
        <f>IF($C37&lt;=DateToChangeLag,VLOOKUP($C37,'Result-lag'!$C$4:$I$100,6,0),VLOOKUP($C37,CurrentMtgRatesDataTable8[],6,0))</f>
        <v>1649348778</v>
      </c>
      <c r="J37" s="44">
        <f>CurrentMtgRatesDataTable934[[#This Row],[Top 10 Amount]]/CurrentMtgRatesDataTable934[[#This Row],[Total Amount]]</f>
        <v>0.56578384524970737</v>
      </c>
      <c r="K37" s="44">
        <f>CurrentMtgRatesDataTable934[[#This Row],[Top 5 Amount]]/CurrentMtgRatesDataTable934[[#This Row],[Total Amount]]</f>
        <v>0.44431407031360698</v>
      </c>
      <c r="L37" s="44">
        <f>CurrentMtgRatesDataTable934[[#This Row],[Top 1 Amount]]/CurrentMtgRatesDataTable934[[#This Row],[Total Amount]]</f>
        <v>0.21973453439735005</v>
      </c>
      <c r="M37" s="44">
        <f>CurrentMtgRatesDataTable934[[#This Row],[N/A Amount]]/CurrentMtgRatesDataTable934[[#This Row],[Total Amount]]</f>
        <v>2.6680374761004783E-2</v>
      </c>
      <c r="N37" s="48">
        <f t="shared" si="1"/>
        <v>0</v>
      </c>
    </row>
    <row r="38" spans="3:14">
      <c r="C38" s="37">
        <v>41153</v>
      </c>
      <c r="D38" s="16">
        <v>84049356738.059998</v>
      </c>
      <c r="E38" s="17">
        <f>IF(C38&lt;=DateToChangeLag,VLOOKUP(C38,'Result-lag'!$C$4:$H$100,2,0),VLOOKUP(C38,CurrentMtgRatesDataTable8[],2,0))</f>
        <v>84049356738.059998</v>
      </c>
      <c r="F38" s="17">
        <f>IF($C38&lt;=DateToChangeLag,VLOOKUP($C38,'Result-lag'!$C$4:$I$100,3,0),VLOOKUP($C38,CurrentMtgRatesDataTable8[],3,0))</f>
        <v>45617387707.220009</v>
      </c>
      <c r="G38" s="17">
        <f>IF($C38&lt;=DateToChangeLag,VLOOKUP($C38,'Result-lag'!$C$4:$I$100,4,0),VLOOKUP($C38,CurrentMtgRatesDataTable8[],4,0))</f>
        <v>37833922333.900002</v>
      </c>
      <c r="H38" s="43">
        <f>IF($C38&lt;=DateToChangeLag,VLOOKUP($C38,'Result-lag'!$C$4:$I$100,5,0),VLOOKUP($C38,CurrentMtgRatesDataTable8[],5,0))</f>
        <v>16358817450.4</v>
      </c>
      <c r="I38" s="43">
        <f>IF($C38&lt;=DateToChangeLag,VLOOKUP($C38,'Result-lag'!$C$4:$I$100,6,0),VLOOKUP($C38,CurrentMtgRatesDataTable8[],6,0))</f>
        <v>842537107</v>
      </c>
      <c r="J38" s="44">
        <f>CurrentMtgRatesDataTable934[[#This Row],[Top 10 Amount]]/CurrentMtgRatesDataTable934[[#This Row],[Total Amount]]</f>
        <v>0.542745233010964</v>
      </c>
      <c r="K38" s="44">
        <f>CurrentMtgRatesDataTable934[[#This Row],[Top 5 Amount]]/CurrentMtgRatesDataTable934[[#This Row],[Total Amount]]</f>
        <v>0.4501393443356087</v>
      </c>
      <c r="L38" s="44">
        <f>CurrentMtgRatesDataTable934[[#This Row],[Top 1 Amount]]/CurrentMtgRatesDataTable934[[#This Row],[Total Amount]]</f>
        <v>0.1946334640178424</v>
      </c>
      <c r="M38" s="44">
        <f>CurrentMtgRatesDataTable934[[#This Row],[N/A Amount]]/CurrentMtgRatesDataTable934[[#This Row],[Total Amount]]</f>
        <v>1.0024313566441309E-2</v>
      </c>
      <c r="N38" s="48">
        <f t="shared" si="1"/>
        <v>0</v>
      </c>
    </row>
    <row r="39" spans="3:14">
      <c r="C39" s="37">
        <v>41122</v>
      </c>
      <c r="D39" s="16">
        <v>80246484071.139999</v>
      </c>
      <c r="E39" s="17">
        <f>IF(C39&lt;=DateToChangeLag,VLOOKUP(C39,'Result-lag'!$C$4:$H$100,2,0),VLOOKUP(C39,CurrentMtgRatesDataTable8[],2,0))</f>
        <v>80246484071.139999</v>
      </c>
      <c r="F39" s="17">
        <f>IF($C39&lt;=DateToChangeLag,VLOOKUP($C39,'Result-lag'!$C$4:$I$100,3,0),VLOOKUP($C39,CurrentMtgRatesDataTable8[],3,0))</f>
        <v>42521773617.960007</v>
      </c>
      <c r="G39" s="17">
        <f>IF($C39&lt;=DateToChangeLag,VLOOKUP($C39,'Result-lag'!$C$4:$I$100,4,0),VLOOKUP($C39,CurrentMtgRatesDataTable8[],4,0))</f>
        <v>34907658402.759995</v>
      </c>
      <c r="H39" s="43">
        <f>IF($C39&lt;=DateToChangeLag,VLOOKUP($C39,'Result-lag'!$C$4:$I$100,5,0),VLOOKUP($C39,CurrentMtgRatesDataTable8[],5,0))</f>
        <v>15782096596.040001</v>
      </c>
      <c r="I39" s="43">
        <f>IF($C39&lt;=DateToChangeLag,VLOOKUP($C39,'Result-lag'!$C$4:$I$100,6,0),VLOOKUP($C39,CurrentMtgRatesDataTable8[],6,0))</f>
        <v>1821001924</v>
      </c>
      <c r="J39" s="44">
        <f>CurrentMtgRatesDataTable934[[#This Row],[Top 10 Amount]]/CurrentMtgRatesDataTable934[[#This Row],[Total Amount]]</f>
        <v>0.52988955354434797</v>
      </c>
      <c r="K39" s="44">
        <f>CurrentMtgRatesDataTable934[[#This Row],[Top 5 Amount]]/CurrentMtgRatesDataTable934[[#This Row],[Total Amount]]</f>
        <v>0.43500545608719388</v>
      </c>
      <c r="L39" s="44">
        <f>CurrentMtgRatesDataTable934[[#This Row],[Top 1 Amount]]/CurrentMtgRatesDataTable934[[#This Row],[Total Amount]]</f>
        <v>0.19667025638218466</v>
      </c>
      <c r="M39" s="44">
        <f>CurrentMtgRatesDataTable934[[#This Row],[N/A Amount]]/CurrentMtgRatesDataTable934[[#This Row],[Total Amount]]</f>
        <v>2.269260697310611E-2</v>
      </c>
      <c r="N39" s="48">
        <f t="shared" si="1"/>
        <v>0</v>
      </c>
    </row>
    <row r="40" spans="3:14">
      <c r="C40" s="37">
        <v>41091</v>
      </c>
      <c r="D40" s="16">
        <v>71798949000.600006</v>
      </c>
      <c r="E40" s="17">
        <f>IF(C40&lt;=DateToChangeLag,VLOOKUP(C40,'Result-lag'!$C$4:$H$100,2,0),VLOOKUP(C40,CurrentMtgRatesDataTable8[],2,0))</f>
        <v>71798949000.600006</v>
      </c>
      <c r="F40" s="17">
        <f>IF($C40&lt;=DateToChangeLag,VLOOKUP($C40,'Result-lag'!$C$4:$I$100,3,0),VLOOKUP($C40,CurrentMtgRatesDataTable8[],3,0))</f>
        <v>39258236449.550011</v>
      </c>
      <c r="G40" s="17">
        <f>IF($C40&lt;=DateToChangeLag,VLOOKUP($C40,'Result-lag'!$C$4:$I$100,4,0),VLOOKUP($C40,CurrentMtgRatesDataTable8[],4,0))</f>
        <v>32773125487.220001</v>
      </c>
      <c r="H40" s="43">
        <f>IF($C40&lt;=DateToChangeLag,VLOOKUP($C40,'Result-lag'!$C$4:$I$100,5,0),VLOOKUP($C40,CurrentMtgRatesDataTable8[],5,0))</f>
        <v>18046078270.810001</v>
      </c>
      <c r="I40" s="43">
        <f>IF($C40&lt;=DateToChangeLag,VLOOKUP($C40,'Result-lag'!$C$4:$I$100,6,0),VLOOKUP($C40,CurrentMtgRatesDataTable8[],6,0))</f>
        <v>1485398807</v>
      </c>
      <c r="J40" s="44">
        <f>CurrentMtgRatesDataTable934[[#This Row],[Top 10 Amount]]/CurrentMtgRatesDataTable934[[#This Row],[Total Amount]]</f>
        <v>0.54678009909618508</v>
      </c>
      <c r="K40" s="44">
        <f>CurrentMtgRatesDataTable934[[#This Row],[Top 5 Amount]]/CurrentMtgRatesDataTable934[[#This Row],[Total Amount]]</f>
        <v>0.45645689725828892</v>
      </c>
      <c r="L40" s="44">
        <f>CurrentMtgRatesDataTable934[[#This Row],[Top 1 Amount]]/CurrentMtgRatesDataTable934[[#This Row],[Total Amount]]</f>
        <v>0.25134181658646837</v>
      </c>
      <c r="M40" s="44">
        <f>CurrentMtgRatesDataTable934[[#This Row],[N/A Amount]]/CurrentMtgRatesDataTable934[[#This Row],[Total Amount]]</f>
        <v>2.0688308501390276E-2</v>
      </c>
      <c r="N40" s="48">
        <f t="shared" si="1"/>
        <v>0</v>
      </c>
    </row>
    <row r="41" spans="3:14">
      <c r="C41" s="37">
        <v>41061</v>
      </c>
      <c r="D41" s="16">
        <v>65107512378.209999</v>
      </c>
      <c r="E41" s="17">
        <f>IF(C41&lt;=DateToChangeLag,VLOOKUP(C41,'Result-lag'!$C$4:$H$100,2,0),VLOOKUP(C41,CurrentMtgRatesDataTable8[],2,0))</f>
        <v>65107512378.209999</v>
      </c>
      <c r="F41" s="17">
        <f>IF($C41&lt;=DateToChangeLag,VLOOKUP($C41,'Result-lag'!$C$4:$I$100,3,0),VLOOKUP($C41,CurrentMtgRatesDataTable8[],3,0))</f>
        <v>34861145817.729996</v>
      </c>
      <c r="G41" s="17">
        <f>IF($C41&lt;=DateToChangeLag,VLOOKUP($C41,'Result-lag'!$C$4:$I$100,4,0),VLOOKUP($C41,CurrentMtgRatesDataTable8[],4,0))</f>
        <v>26824272069.970001</v>
      </c>
      <c r="H41" s="43">
        <f>IF($C41&lt;=DateToChangeLag,VLOOKUP($C41,'Result-lag'!$C$4:$I$100,5,0),VLOOKUP($C41,CurrentMtgRatesDataTable8[],5,0))</f>
        <v>12662763974.040001</v>
      </c>
      <c r="I41" s="43">
        <f>IF($C41&lt;=DateToChangeLag,VLOOKUP($C41,'Result-lag'!$C$4:$I$100,6,0),VLOOKUP($C41,CurrentMtgRatesDataTable8[],6,0))</f>
        <v>751265816</v>
      </c>
      <c r="J41" s="44">
        <f>CurrentMtgRatesDataTable934[[#This Row],[Top 10 Amount]]/CurrentMtgRatesDataTable934[[#This Row],[Total Amount]]</f>
        <v>0.53543968344576509</v>
      </c>
      <c r="K41" s="44">
        <f>CurrentMtgRatesDataTable934[[#This Row],[Top 5 Amount]]/CurrentMtgRatesDataTable934[[#This Row],[Total Amount]]</f>
        <v>0.41199964627964303</v>
      </c>
      <c r="L41" s="44">
        <f>CurrentMtgRatesDataTable934[[#This Row],[Top 1 Amount]]/CurrentMtgRatesDataTable934[[#This Row],[Total Amount]]</f>
        <v>0.19449005977193409</v>
      </c>
      <c r="M41" s="44">
        <f>CurrentMtgRatesDataTable934[[#This Row],[N/A Amount]]/CurrentMtgRatesDataTable934[[#This Row],[Total Amount]]</f>
        <v>1.1538849950768992E-2</v>
      </c>
      <c r="N41" s="48">
        <f t="shared" si="1"/>
        <v>0</v>
      </c>
    </row>
    <row r="42" spans="3:14">
      <c r="C42" s="37">
        <v>41030</v>
      </c>
      <c r="D42" s="16">
        <v>66663158668.949997</v>
      </c>
      <c r="E42" s="17">
        <f>IF(C42&lt;=DateToChangeLag,VLOOKUP(C42,'Result-lag'!$C$4:$H$100,2,0),VLOOKUP(C42,CurrentMtgRatesDataTable8[],2,0))</f>
        <v>66663158668.949997</v>
      </c>
      <c r="F42" s="17">
        <f>IF($C42&lt;=DateToChangeLag,VLOOKUP($C42,'Result-lag'!$C$4:$I$100,3,0),VLOOKUP($C42,CurrentMtgRatesDataTable8[],3,0))</f>
        <v>39777125640.900002</v>
      </c>
      <c r="G42" s="17">
        <f>IF($C42&lt;=DateToChangeLag,VLOOKUP($C42,'Result-lag'!$C$4:$I$100,4,0),VLOOKUP($C42,CurrentMtgRatesDataTable8[],4,0))</f>
        <v>33981143082.620003</v>
      </c>
      <c r="H42" s="43">
        <f>IF($C42&lt;=DateToChangeLag,VLOOKUP($C42,'Result-lag'!$C$4:$I$100,5,0),VLOOKUP($C42,CurrentMtgRatesDataTable8[],5,0))</f>
        <v>20542825807.290001</v>
      </c>
      <c r="I42" s="43">
        <f>IF($C42&lt;=DateToChangeLag,VLOOKUP($C42,'Result-lag'!$C$4:$I$100,6,0),VLOOKUP($C42,CurrentMtgRatesDataTable8[],6,0))</f>
        <v>1810114247</v>
      </c>
      <c r="J42" s="44">
        <f>CurrentMtgRatesDataTable934[[#This Row],[Top 10 Amount]]/CurrentMtgRatesDataTable934[[#This Row],[Total Amount]]</f>
        <v>0.59668828233047966</v>
      </c>
      <c r="K42" s="44">
        <f>CurrentMtgRatesDataTable934[[#This Row],[Top 5 Amount]]/CurrentMtgRatesDataTable934[[#This Row],[Total Amount]]</f>
        <v>0.50974396894948748</v>
      </c>
      <c r="L42" s="44">
        <f>CurrentMtgRatesDataTable934[[#This Row],[Top 1 Amount]]/CurrentMtgRatesDataTable934[[#This Row],[Total Amount]]</f>
        <v>0.30815860240445414</v>
      </c>
      <c r="M42" s="44">
        <f>CurrentMtgRatesDataTable934[[#This Row],[N/A Amount]]/CurrentMtgRatesDataTable934[[#This Row],[Total Amount]]</f>
        <v>2.7153142502428482E-2</v>
      </c>
      <c r="N42" s="48">
        <f t="shared" si="1"/>
        <v>0</v>
      </c>
    </row>
    <row r="43" spans="3:14">
      <c r="C43" s="37">
        <v>41000</v>
      </c>
      <c r="D43" s="16">
        <v>48073485668.580002</v>
      </c>
      <c r="E43" s="17">
        <f>IF(C43&lt;=DateToChangeLag,VLOOKUP(C43,'Result-lag'!$C$4:$H$100,2,0),VLOOKUP(C43,CurrentMtgRatesDataTable8[],2,0))</f>
        <v>48073485668.580002</v>
      </c>
      <c r="F43" s="17">
        <f>IF($C43&lt;=DateToChangeLag,VLOOKUP($C43,'Result-lag'!$C$4:$I$100,3,0),VLOOKUP($C43,CurrentMtgRatesDataTable8[],3,0))</f>
        <v>24204177130.650005</v>
      </c>
      <c r="G43" s="17">
        <f>IF($C43&lt;=DateToChangeLag,VLOOKUP($C43,'Result-lag'!$C$4:$I$100,4,0),VLOOKUP($C43,CurrentMtgRatesDataTable8[],4,0))</f>
        <v>20740945194.540001</v>
      </c>
      <c r="H43" s="43">
        <f>IF($C43&lt;=DateToChangeLag,VLOOKUP($C43,'Result-lag'!$C$4:$I$100,5,0),VLOOKUP($C43,CurrentMtgRatesDataTable8[],5,0))</f>
        <v>10763728285.6</v>
      </c>
      <c r="I43" s="43">
        <f>IF($C43&lt;=DateToChangeLag,VLOOKUP($C43,'Result-lag'!$C$4:$I$100,6,0),VLOOKUP($C43,CurrentMtgRatesDataTable8[],6,0))</f>
        <v>2058237642</v>
      </c>
      <c r="J43" s="44">
        <f>CurrentMtgRatesDataTable934[[#This Row],[Top 10 Amount]]/CurrentMtgRatesDataTable934[[#This Row],[Total Amount]]</f>
        <v>0.50348288238373851</v>
      </c>
      <c r="K43" s="44">
        <f>CurrentMtgRatesDataTable934[[#This Row],[Top 5 Amount]]/CurrentMtgRatesDataTable934[[#This Row],[Total Amount]]</f>
        <v>0.43144250736317885</v>
      </c>
      <c r="L43" s="44">
        <f>CurrentMtgRatesDataTable934[[#This Row],[Top 1 Amount]]/CurrentMtgRatesDataTable934[[#This Row],[Total Amount]]</f>
        <v>0.22390155687493629</v>
      </c>
      <c r="M43" s="44">
        <f>CurrentMtgRatesDataTable934[[#This Row],[N/A Amount]]/CurrentMtgRatesDataTable934[[#This Row],[Total Amount]]</f>
        <v>4.2814404101869159E-2</v>
      </c>
      <c r="N43" s="48">
        <f t="shared" si="1"/>
        <v>0</v>
      </c>
    </row>
    <row r="44" spans="3:14">
      <c r="C44" s="37">
        <v>40969</v>
      </c>
      <c r="D44" s="16">
        <v>86317495811.419998</v>
      </c>
      <c r="E44" s="17">
        <f>IF(C44&lt;=DateToChangeLag,VLOOKUP(C44,'Result-lag'!$C$4:$H$100,2,0),VLOOKUP(C44,CurrentMtgRatesDataTable8[],2,0))</f>
        <v>86317495811.419998</v>
      </c>
      <c r="F44" s="17">
        <f>IF($C44&lt;=DateToChangeLag,VLOOKUP($C44,'Result-lag'!$C$4:$I$100,3,0),VLOOKUP($C44,CurrentMtgRatesDataTable8[],3,0))</f>
        <v>56829158720.450005</v>
      </c>
      <c r="G44" s="17">
        <f>IF($C44&lt;=DateToChangeLag,VLOOKUP($C44,'Result-lag'!$C$4:$I$100,4,0),VLOOKUP($C44,CurrentMtgRatesDataTable8[],4,0))</f>
        <v>49399023902</v>
      </c>
      <c r="H44" s="43">
        <f>IF($C44&lt;=DateToChangeLag,VLOOKUP($C44,'Result-lag'!$C$4:$I$100,5,0),VLOOKUP($C44,CurrentMtgRatesDataTable8[],5,0))</f>
        <v>30737250033.549999</v>
      </c>
      <c r="I44" s="43">
        <f>IF($C44&lt;=DateToChangeLag,VLOOKUP($C44,'Result-lag'!$C$4:$I$100,6,0),VLOOKUP($C44,CurrentMtgRatesDataTable8[],6,0))</f>
        <v>715758973</v>
      </c>
      <c r="J44" s="44">
        <f>CurrentMtgRatesDataTable934[[#This Row],[Top 10 Amount]]/CurrentMtgRatesDataTable934[[#This Row],[Total Amount]]</f>
        <v>0.65837357984302625</v>
      </c>
      <c r="K44" s="44">
        <f>CurrentMtgRatesDataTable934[[#This Row],[Top 5 Amount]]/CurrentMtgRatesDataTable934[[#This Row],[Total Amount]]</f>
        <v>0.57229445128856948</v>
      </c>
      <c r="L44" s="44">
        <f>CurrentMtgRatesDataTable934[[#This Row],[Top 1 Amount]]/CurrentMtgRatesDataTable934[[#This Row],[Total Amount]]</f>
        <v>0.35609524748844013</v>
      </c>
      <c r="M44" s="44">
        <f>CurrentMtgRatesDataTable934[[#This Row],[N/A Amount]]/CurrentMtgRatesDataTable934[[#This Row],[Total Amount]]</f>
        <v>8.292165641178198E-3</v>
      </c>
      <c r="N44" s="48">
        <f t="shared" si="1"/>
        <v>0</v>
      </c>
    </row>
    <row r="45" spans="3:14">
      <c r="C45" s="37">
        <v>40940</v>
      </c>
      <c r="D45" s="16">
        <v>56063681559.919998</v>
      </c>
      <c r="E45" s="17">
        <f>IF(C45&lt;=DateToChangeLag,VLOOKUP(C45,'Result-lag'!$C$4:$H$100,2,0),VLOOKUP(C45,CurrentMtgRatesDataTable8[],2,0))</f>
        <v>56063681559.919998</v>
      </c>
      <c r="F45" s="17">
        <f>IF($C45&lt;=DateToChangeLag,VLOOKUP($C45,'Result-lag'!$C$4:$I$100,3,0),VLOOKUP($C45,CurrentMtgRatesDataTable8[],3,0))</f>
        <v>32906311435.989998</v>
      </c>
      <c r="G45" s="17">
        <f>IF($C45&lt;=DateToChangeLag,VLOOKUP($C45,'Result-lag'!$C$4:$I$100,4,0),VLOOKUP($C45,CurrentMtgRatesDataTable8[],4,0))</f>
        <v>27491822121.099998</v>
      </c>
      <c r="H45" s="43">
        <f>IF($C45&lt;=DateToChangeLag,VLOOKUP($C45,'Result-lag'!$C$4:$I$100,5,0),VLOOKUP($C45,CurrentMtgRatesDataTable8[],5,0))</f>
        <v>14632091015.389999</v>
      </c>
      <c r="I45" s="43">
        <f>IF($C45&lt;=DateToChangeLag,VLOOKUP($C45,'Result-lag'!$C$4:$I$100,6,0),VLOOKUP($C45,CurrentMtgRatesDataTable8[],6,0))</f>
        <v>2030824500</v>
      </c>
      <c r="J45" s="44">
        <f>CurrentMtgRatesDataTable934[[#This Row],[Top 10 Amount]]/CurrentMtgRatesDataTable934[[#This Row],[Total Amount]]</f>
        <v>0.58694524726886232</v>
      </c>
      <c r="K45" s="44">
        <f>CurrentMtgRatesDataTable934[[#This Row],[Top 5 Amount]]/CurrentMtgRatesDataTable934[[#This Row],[Total Amount]]</f>
        <v>0.49036776316084707</v>
      </c>
      <c r="L45" s="44">
        <f>CurrentMtgRatesDataTable934[[#This Row],[Top 1 Amount]]/CurrentMtgRatesDataTable934[[#This Row],[Total Amount]]</f>
        <v>0.26099054875216227</v>
      </c>
      <c r="M45" s="44">
        <f>CurrentMtgRatesDataTable934[[#This Row],[N/A Amount]]/CurrentMtgRatesDataTable934[[#This Row],[Total Amount]]</f>
        <v>3.6223530875857411E-2</v>
      </c>
      <c r="N45" s="48">
        <f t="shared" si="1"/>
        <v>0</v>
      </c>
    </row>
    <row r="46" spans="3:14">
      <c r="C46" s="37">
        <v>40909</v>
      </c>
      <c r="D46" s="16">
        <v>58331372757.360001</v>
      </c>
      <c r="E46" s="17">
        <f>IF(C46&lt;=DateToChangeLag,VLOOKUP(C46,'Result-lag'!$C$4:$H$100,2,0),VLOOKUP(C46,CurrentMtgRatesDataTable8[],2,0))</f>
        <v>58331372757.360001</v>
      </c>
      <c r="F46" s="17">
        <f>IF($C46&lt;=DateToChangeLag,VLOOKUP($C46,'Result-lag'!$C$4:$I$100,3,0),VLOOKUP($C46,CurrentMtgRatesDataTable8[],3,0))</f>
        <v>34362268311.120003</v>
      </c>
      <c r="G46" s="17">
        <f>IF($C46&lt;=DateToChangeLag,VLOOKUP($C46,'Result-lag'!$C$4:$I$100,4,0),VLOOKUP($C46,CurrentMtgRatesDataTable8[],4,0))</f>
        <v>29007806067.68</v>
      </c>
      <c r="H46" s="43">
        <f>IF($C46&lt;=DateToChangeLag,VLOOKUP($C46,'Result-lag'!$C$4:$I$100,5,0),VLOOKUP($C46,CurrentMtgRatesDataTable8[],5,0))</f>
        <v>15368979575.26</v>
      </c>
      <c r="I46" s="43">
        <f>IF($C46&lt;=DateToChangeLag,VLOOKUP($C46,'Result-lag'!$C$4:$I$100,6,0),VLOOKUP($C46,CurrentMtgRatesDataTable8[],6,0))</f>
        <v>1987883207</v>
      </c>
      <c r="J46" s="44">
        <f>CurrentMtgRatesDataTable934[[#This Row],[Top 10 Amount]]/CurrentMtgRatesDataTable934[[#This Row],[Total Amount]]</f>
        <v>0.58908725591040234</v>
      </c>
      <c r="K46" s="44">
        <f>CurrentMtgRatesDataTable934[[#This Row],[Top 5 Amount]]/CurrentMtgRatesDataTable934[[#This Row],[Total Amount]]</f>
        <v>0.49729338941401685</v>
      </c>
      <c r="L46" s="44">
        <f>CurrentMtgRatesDataTable934[[#This Row],[Top 1 Amount]]/CurrentMtgRatesDataTable934[[#This Row],[Total Amount]]</f>
        <v>0.26347707672147674</v>
      </c>
      <c r="M46" s="44">
        <f>CurrentMtgRatesDataTable934[[#This Row],[N/A Amount]]/CurrentMtgRatesDataTable934[[#This Row],[Total Amount]]</f>
        <v>3.407914322998986E-2</v>
      </c>
      <c r="N46" s="48">
        <f t="shared" si="1"/>
        <v>0</v>
      </c>
    </row>
    <row r="47" spans="3:14">
      <c r="C47" s="37">
        <v>40878</v>
      </c>
      <c r="D47" s="16">
        <v>73851865080.610001</v>
      </c>
      <c r="E47" s="17">
        <f>IF(C47&lt;=DateToChangeLag,VLOOKUP(C47,'Result-lag'!$C$4:$H$100,2,0),VLOOKUP(C47,CurrentMtgRatesDataTable8[],2,0))</f>
        <v>73851865080.610001</v>
      </c>
      <c r="F47" s="17">
        <f>IF($C47&lt;=DateToChangeLag,VLOOKUP($C47,'Result-lag'!$C$4:$I$100,3,0),VLOOKUP($C47,CurrentMtgRatesDataTable8[],3,0))</f>
        <v>50207107917.200005</v>
      </c>
      <c r="G47" s="17">
        <f>IF($C47&lt;=DateToChangeLag,VLOOKUP($C47,'Result-lag'!$C$4:$I$100,4,0),VLOOKUP($C47,CurrentMtgRatesDataTable8[],4,0))</f>
        <v>44194497888.770004</v>
      </c>
      <c r="H47" s="43">
        <f>IF($C47&lt;=DateToChangeLag,VLOOKUP($C47,'Result-lag'!$C$4:$I$100,5,0),VLOOKUP($C47,CurrentMtgRatesDataTable8[],5,0))</f>
        <v>23937608890.639999</v>
      </c>
      <c r="I47" s="43">
        <f>IF($C47&lt;=DateToChangeLag,VLOOKUP($C47,'Result-lag'!$C$4:$I$100,6,0),VLOOKUP($C47,CurrentMtgRatesDataTable8[],6,0))</f>
        <v>1033984596</v>
      </c>
      <c r="J47" s="44">
        <f>CurrentMtgRatesDataTable934[[#This Row],[Top 10 Amount]]/CurrentMtgRatesDataTable934[[#This Row],[Total Amount]]</f>
        <v>0.67983534149609459</v>
      </c>
      <c r="K47" s="44">
        <f>CurrentMtgRatesDataTable934[[#This Row],[Top 5 Amount]]/CurrentMtgRatesDataTable934[[#This Row],[Total Amount]]</f>
        <v>0.59842087725924453</v>
      </c>
      <c r="L47" s="44">
        <f>CurrentMtgRatesDataTable934[[#This Row],[Top 1 Amount]]/CurrentMtgRatesDataTable934[[#This Row],[Total Amount]]</f>
        <v>0.32413005229471015</v>
      </c>
      <c r="M47" s="44">
        <f>CurrentMtgRatesDataTable934[[#This Row],[N/A Amount]]/CurrentMtgRatesDataTable934[[#This Row],[Total Amount]]</f>
        <v>1.4000791921387444E-2</v>
      </c>
      <c r="N47" s="48">
        <f t="shared" si="1"/>
        <v>0</v>
      </c>
    </row>
    <row r="48" spans="3:14">
      <c r="C48" s="37">
        <v>40848</v>
      </c>
      <c r="D48" s="16">
        <v>62641454659.599998</v>
      </c>
      <c r="E48" s="17">
        <f>IF(C48&lt;=DateToChangeLag,VLOOKUP(C48,'Result-lag'!$C$4:$H$100,2,0),VLOOKUP(C48,CurrentMtgRatesDataTable8[],2,0))</f>
        <v>62641454659.599998</v>
      </c>
      <c r="F48" s="17">
        <f>IF($C48&lt;=DateToChangeLag,VLOOKUP($C48,'Result-lag'!$C$4:$I$100,3,0),VLOOKUP($C48,CurrentMtgRatesDataTable8[],3,0))</f>
        <v>39760085391.100006</v>
      </c>
      <c r="G48" s="17">
        <f>IF($C48&lt;=DateToChangeLag,VLOOKUP($C48,'Result-lag'!$C$4:$I$100,4,0),VLOOKUP($C48,CurrentMtgRatesDataTable8[],4,0))</f>
        <v>33459411350.709999</v>
      </c>
      <c r="H48" s="43">
        <f>IF($C48&lt;=DateToChangeLag,VLOOKUP($C48,'Result-lag'!$C$4:$I$100,5,0),VLOOKUP($C48,CurrentMtgRatesDataTable8[],5,0))</f>
        <v>14706099941.799999</v>
      </c>
      <c r="I48" s="43">
        <f>IF($C48&lt;=DateToChangeLag,VLOOKUP($C48,'Result-lag'!$C$4:$I$100,6,0),VLOOKUP($C48,CurrentMtgRatesDataTable8[],6,0))</f>
        <v>2095343206</v>
      </c>
      <c r="J48" s="44">
        <f>CurrentMtgRatesDataTable934[[#This Row],[Top 10 Amount]]/CurrentMtgRatesDataTable934[[#This Row],[Total Amount]]</f>
        <v>0.63472480974716072</v>
      </c>
      <c r="K48" s="44">
        <f>CurrentMtgRatesDataTable934[[#This Row],[Top 5 Amount]]/CurrentMtgRatesDataTable934[[#This Row],[Total Amount]]</f>
        <v>0.53414167235629861</v>
      </c>
      <c r="L48" s="44">
        <f>CurrentMtgRatesDataTable934[[#This Row],[Top 1 Amount]]/CurrentMtgRatesDataTable934[[#This Row],[Total Amount]]</f>
        <v>0.23476625856973524</v>
      </c>
      <c r="M48" s="44">
        <f>CurrentMtgRatesDataTable934[[#This Row],[N/A Amount]]/CurrentMtgRatesDataTable934[[#This Row],[Total Amount]]</f>
        <v>3.3449785248224312E-2</v>
      </c>
      <c r="N48" s="48">
        <f t="shared" si="1"/>
        <v>0</v>
      </c>
    </row>
    <row r="49" spans="3:14">
      <c r="C49" s="37">
        <v>40817</v>
      </c>
      <c r="D49" s="16">
        <v>51265734201.440002</v>
      </c>
      <c r="E49" s="17">
        <f>IF(C49&lt;=DateToChangeLag,VLOOKUP(C49,'Result-lag'!$C$4:$H$100,2,0),VLOOKUP(C49,CurrentMtgRatesDataTable8[],2,0))</f>
        <v>51265734201.440002</v>
      </c>
      <c r="F49" s="17">
        <f>IF($C49&lt;=DateToChangeLag,VLOOKUP($C49,'Result-lag'!$C$4:$I$100,3,0),VLOOKUP($C49,CurrentMtgRatesDataTable8[],3,0))</f>
        <v>30996359405.019997</v>
      </c>
      <c r="G49" s="17">
        <f>IF($C49&lt;=DateToChangeLag,VLOOKUP($C49,'Result-lag'!$C$4:$I$100,4,0),VLOOKUP($C49,CurrentMtgRatesDataTable8[],4,0))</f>
        <v>24699811825.130001</v>
      </c>
      <c r="H49" s="43">
        <f>IF($C49&lt;=DateToChangeLag,VLOOKUP($C49,'Result-lag'!$C$4:$I$100,5,0),VLOOKUP($C49,CurrentMtgRatesDataTable8[],5,0))</f>
        <v>11864275980.860001</v>
      </c>
      <c r="I49" s="43">
        <f>IF($C49&lt;=DateToChangeLag,VLOOKUP($C49,'Result-lag'!$C$4:$I$100,6,0),VLOOKUP($C49,CurrentMtgRatesDataTable8[],6,0))</f>
        <v>2285618285</v>
      </c>
      <c r="J49" s="44">
        <f>CurrentMtgRatesDataTable934[[#This Row],[Top 10 Amount]]/CurrentMtgRatesDataTable934[[#This Row],[Total Amount]]</f>
        <v>0.60462138868869142</v>
      </c>
      <c r="K49" s="44">
        <f>CurrentMtgRatesDataTable934[[#This Row],[Top 5 Amount]]/CurrentMtgRatesDataTable934[[#This Row],[Total Amount]]</f>
        <v>0.48179963107670093</v>
      </c>
      <c r="L49" s="44">
        <f>CurrentMtgRatesDataTable934[[#This Row],[Top 1 Amount]]/CurrentMtgRatesDataTable934[[#This Row],[Total Amount]]</f>
        <v>0.2314270177862145</v>
      </c>
      <c r="M49" s="44">
        <f>CurrentMtgRatesDataTable934[[#This Row],[N/A Amount]]/CurrentMtgRatesDataTable934[[#This Row],[Total Amount]]</f>
        <v>4.4583742349598485E-2</v>
      </c>
      <c r="N49" s="48">
        <f t="shared" si="1"/>
        <v>0</v>
      </c>
    </row>
    <row r="50" spans="3:14">
      <c r="C50" s="37">
        <v>40787</v>
      </c>
      <c r="D50" s="16">
        <v>45345536322.599998</v>
      </c>
      <c r="E50" s="17">
        <f>IF(C50&lt;=DateToChangeLag,VLOOKUP(C50,'Result-lag'!$C$4:$H$100,2,0),VLOOKUP(C50,CurrentMtgRatesDataTable8[],2,0))</f>
        <v>45345536322.599998</v>
      </c>
      <c r="F50" s="17">
        <f>IF($C50&lt;=DateToChangeLag,VLOOKUP($C50,'Result-lag'!$C$4:$I$100,3,0),VLOOKUP($C50,CurrentMtgRatesDataTable8[],3,0))</f>
        <v>31978531591.070004</v>
      </c>
      <c r="G50" s="17">
        <f>IF($C50&lt;=DateToChangeLag,VLOOKUP($C50,'Result-lag'!$C$4:$I$100,4,0),VLOOKUP($C50,CurrentMtgRatesDataTable8[],4,0))</f>
        <v>27361561800.900002</v>
      </c>
      <c r="H50" s="43">
        <f>IF($C50&lt;=DateToChangeLag,VLOOKUP($C50,'Result-lag'!$C$4:$I$100,5,0),VLOOKUP($C50,CurrentMtgRatesDataTable8[],5,0))</f>
        <v>9862037476.5100002</v>
      </c>
      <c r="I50" s="43">
        <f>IF($C50&lt;=DateToChangeLag,VLOOKUP($C50,'Result-lag'!$C$4:$I$100,6,0),VLOOKUP($C50,CurrentMtgRatesDataTable8[],6,0))</f>
        <v>876898783</v>
      </c>
      <c r="J50" s="44">
        <f>CurrentMtgRatesDataTable934[[#This Row],[Top 10 Amount]]/CurrentMtgRatesDataTable934[[#This Row],[Total Amount]]</f>
        <v>0.70521895173025129</v>
      </c>
      <c r="K50" s="44">
        <f>CurrentMtgRatesDataTable934[[#This Row],[Top 5 Amount]]/CurrentMtgRatesDataTable934[[#This Row],[Total Amount]]</f>
        <v>0.60340143749194408</v>
      </c>
      <c r="L50" s="44">
        <f>CurrentMtgRatesDataTable934[[#This Row],[Top 1 Amount]]/CurrentMtgRatesDataTable934[[#This Row],[Total Amount]]</f>
        <v>0.21748640056540269</v>
      </c>
      <c r="M50" s="44">
        <f>CurrentMtgRatesDataTable934[[#This Row],[N/A Amount]]/CurrentMtgRatesDataTable934[[#This Row],[Total Amount]]</f>
        <v>1.9338149994775955E-2</v>
      </c>
      <c r="N50" s="48">
        <f t="shared" si="1"/>
        <v>0</v>
      </c>
    </row>
    <row r="51" spans="3:14">
      <c r="C51" s="37">
        <v>40756</v>
      </c>
      <c r="D51" s="17">
        <v>38171516998.550003</v>
      </c>
      <c r="E51" s="17">
        <f>IF(C51&lt;=DateToChangeLag,VLOOKUP(C51,'Result-lag'!$C$4:$H$100,2,0),VLOOKUP(C51,CurrentMtgRatesDataTable8[],2,0))</f>
        <v>38171516998.550003</v>
      </c>
      <c r="F51" s="17">
        <f>IF($C51&lt;=DateToChangeLag,VLOOKUP($C51,'Result-lag'!$C$4:$I$100,3,0),VLOOKUP($C51,CurrentMtgRatesDataTable8[],3,0))</f>
        <v>26643806156.700001</v>
      </c>
      <c r="G51" s="17">
        <f>IF($C51&lt;=DateToChangeLag,VLOOKUP($C51,'Result-lag'!$C$4:$I$100,4,0),VLOOKUP($C51,CurrentMtgRatesDataTable8[],4,0))</f>
        <v>22450886954</v>
      </c>
      <c r="H51" s="43">
        <f>IF($C51&lt;=DateToChangeLag,VLOOKUP($C51,'Result-lag'!$C$4:$I$100,5,0),VLOOKUP($C51,CurrentMtgRatesDataTable8[],5,0))</f>
        <v>8975675585.0300007</v>
      </c>
      <c r="I51" s="43">
        <f>IF($C51&lt;=DateToChangeLag,VLOOKUP($C51,'Result-lag'!$C$4:$I$100,6,0),VLOOKUP($C51,CurrentMtgRatesDataTable8[],6,0))</f>
        <v>1994047984</v>
      </c>
      <c r="J51" s="44">
        <f>CurrentMtgRatesDataTable934[[#This Row],[Top 10 Amount]]/CurrentMtgRatesDataTable934[[#This Row],[Total Amount]]</f>
        <v>0.69800228682847743</v>
      </c>
      <c r="K51" s="44">
        <f>CurrentMtgRatesDataTable934[[#This Row],[Top 5 Amount]]/CurrentMtgRatesDataTable934[[#This Row],[Total Amount]]</f>
        <v>0.58815810110069311</v>
      </c>
      <c r="L51" s="44">
        <f>CurrentMtgRatesDataTable934[[#This Row],[Top 1 Amount]]/CurrentMtgRatesDataTable934[[#This Row],[Total Amount]]</f>
        <v>0.23514065698177397</v>
      </c>
      <c r="M51" s="44">
        <f>CurrentMtgRatesDataTable934[[#This Row],[N/A Amount]]/CurrentMtgRatesDataTable934[[#This Row],[Total Amount]]</f>
        <v>5.2239160001834525E-2</v>
      </c>
      <c r="N51" s="48">
        <f t="shared" si="1"/>
        <v>0</v>
      </c>
    </row>
    <row r="52" spans="3:14">
      <c r="C52" s="37">
        <v>40725</v>
      </c>
      <c r="D52" s="17">
        <v>30621365146.98</v>
      </c>
      <c r="E52" s="17">
        <f>IF(C52&lt;=DateToChangeLag,VLOOKUP(C52,'Result-lag'!$C$4:$H$100,2,0),VLOOKUP(C52,CurrentMtgRatesDataTable8[],2,0))</f>
        <v>30621365146.98</v>
      </c>
      <c r="F52" s="17">
        <f>IF($C52&lt;=DateToChangeLag,VLOOKUP($C52,'Result-lag'!$C$4:$I$100,3,0),VLOOKUP($C52,CurrentMtgRatesDataTable8[],3,0))</f>
        <v>20071516146.039997</v>
      </c>
      <c r="G52" s="17">
        <f>IF($C52&lt;=DateToChangeLag,VLOOKUP($C52,'Result-lag'!$C$4:$I$100,4,0),VLOOKUP($C52,CurrentMtgRatesDataTable8[],4,0))</f>
        <v>17100427033.15</v>
      </c>
      <c r="H52" s="43">
        <f>IF($C52&lt;=DateToChangeLag,VLOOKUP($C52,'Result-lag'!$C$4:$I$100,5,0),VLOOKUP($C52,CurrentMtgRatesDataTable8[],5,0))</f>
        <v>5308788048.8400002</v>
      </c>
      <c r="I52" s="43">
        <f>IF($C52&lt;=DateToChangeLag,VLOOKUP($C52,'Result-lag'!$C$4:$I$100,6,0),VLOOKUP($C52,CurrentMtgRatesDataTable8[],6,0))</f>
        <v>2279698435</v>
      </c>
      <c r="J52" s="44">
        <f>CurrentMtgRatesDataTable934[[#This Row],[Top 10 Amount]]/CurrentMtgRatesDataTable934[[#This Row],[Total Amount]]</f>
        <v>0.65547424321869363</v>
      </c>
      <c r="K52" s="44">
        <f>CurrentMtgRatesDataTable934[[#This Row],[Top 5 Amount]]/CurrentMtgRatesDataTable934[[#This Row],[Total Amount]]</f>
        <v>0.55844757250597343</v>
      </c>
      <c r="L52" s="44">
        <f>CurrentMtgRatesDataTable934[[#This Row],[Top 1 Amount]]/CurrentMtgRatesDataTable934[[#This Row],[Total Amount]]</f>
        <v>0.1733687581647082</v>
      </c>
      <c r="M52" s="44">
        <f>CurrentMtgRatesDataTable934[[#This Row],[N/A Amount]]/CurrentMtgRatesDataTable934[[#This Row],[Total Amount]]</f>
        <v>7.4447968732211559E-2</v>
      </c>
      <c r="N52" s="48">
        <f t="shared" si="1"/>
        <v>0</v>
      </c>
    </row>
    <row r="53" spans="3:14">
      <c r="C53" s="37">
        <v>40695</v>
      </c>
      <c r="D53" s="17">
        <v>34031377587.419998</v>
      </c>
      <c r="E53" s="17">
        <f>IF(C53&lt;=DateToChangeLag,VLOOKUP(C53,'Result-lag'!$C$4:$H$100,2,0),VLOOKUP(C53,CurrentMtgRatesDataTable8[],2,0))</f>
        <v>28676295277.299999</v>
      </c>
      <c r="F53" s="17">
        <f>IF($C53&lt;=DateToChangeLag,VLOOKUP($C53,'Result-lag'!$C$4:$I$100,3,0),VLOOKUP($C53,CurrentMtgRatesDataTable8[],3,0))</f>
        <v>20046661700.739998</v>
      </c>
      <c r="G53" s="17">
        <f>IF($C53&lt;=DateToChangeLag,VLOOKUP($C53,'Result-lag'!$C$4:$I$100,4,0),VLOOKUP($C53,CurrentMtgRatesDataTable8[],4,0))</f>
        <v>17263633854.200001</v>
      </c>
      <c r="H53" s="43">
        <f>IF($C53&lt;=DateToChangeLag,VLOOKUP($C53,'Result-lag'!$C$4:$I$100,5,0),VLOOKUP($C53,CurrentMtgRatesDataTable8[],5,0))</f>
        <v>6560805145.7200003</v>
      </c>
      <c r="I53" s="43">
        <f>IF($C53&lt;=DateToChangeLag,VLOOKUP($C53,'Result-lag'!$C$4:$I$100,6,0),VLOOKUP($C53,CurrentMtgRatesDataTable8[],6,0))</f>
        <v>5749274469.8800001</v>
      </c>
      <c r="J53" s="44">
        <f>CurrentMtgRatesDataTable934[[#This Row],[Top 10 Amount]]/CurrentMtgRatesDataTable934[[#This Row],[Total Amount]]</f>
        <v>0.69906734837567486</v>
      </c>
      <c r="K53" s="44">
        <f>CurrentMtgRatesDataTable934[[#This Row],[Top 5 Amount]]/CurrentMtgRatesDataTable934[[#This Row],[Total Amount]]</f>
        <v>0.60201757888390139</v>
      </c>
      <c r="L53" s="44">
        <f>CurrentMtgRatesDataTable934[[#This Row],[Top 1 Amount]]/CurrentMtgRatesDataTable934[[#This Row],[Total Amount]]</f>
        <v>0.22878844991226946</v>
      </c>
      <c r="M53" s="44">
        <f>CurrentMtgRatesDataTable934[[#This Row],[N/A Amount]]/CurrentMtgRatesDataTable934[[#This Row],[Total Amount]]</f>
        <v>0.20048874564459848</v>
      </c>
      <c r="N53" s="48">
        <f t="shared" si="1"/>
        <v>1</v>
      </c>
    </row>
    <row r="54" spans="3:14">
      <c r="C54" s="37">
        <v>40664</v>
      </c>
      <c r="D54" s="17">
        <v>30964833391.43</v>
      </c>
      <c r="E54" s="17">
        <f>IF(C54&lt;=DateToChangeLag,VLOOKUP(C54,'Result-lag'!$C$4:$H$100,2,0),VLOOKUP(C54,CurrentMtgRatesDataTable8[],2,0))</f>
        <v>30805015553.650002</v>
      </c>
      <c r="F54" s="17">
        <f>IF($C54&lt;=DateToChangeLag,VLOOKUP($C54,'Result-lag'!$C$4:$I$100,3,0),VLOOKUP($C54,CurrentMtgRatesDataTable8[],3,0))</f>
        <v>21690523607.799999</v>
      </c>
      <c r="G54" s="17">
        <f>IF($C54&lt;=DateToChangeLag,VLOOKUP($C54,'Result-lag'!$C$4:$I$100,4,0),VLOOKUP($C54,CurrentMtgRatesDataTable8[],4,0))</f>
        <v>18885096162.080002</v>
      </c>
      <c r="H54" s="43">
        <f>IF($C54&lt;=DateToChangeLag,VLOOKUP($C54,'Result-lag'!$C$4:$I$100,5,0),VLOOKUP($C54,CurrentMtgRatesDataTable8[],5,0))</f>
        <v>7263200622.4200001</v>
      </c>
      <c r="I54" s="43">
        <f>IF($C54&lt;=DateToChangeLag,VLOOKUP($C54,'Result-lag'!$C$4:$I$100,6,0),VLOOKUP($C54,CurrentMtgRatesDataTable8[],6,0))</f>
        <v>5833468204.71</v>
      </c>
      <c r="J54" s="44">
        <f>CurrentMtgRatesDataTable934[[#This Row],[Top 10 Amount]]/CurrentMtgRatesDataTable934[[#This Row],[Total Amount]]</f>
        <v>0.70412311819884632</v>
      </c>
      <c r="K54" s="44">
        <f>CurrentMtgRatesDataTable934[[#This Row],[Top 5 Amount]]/CurrentMtgRatesDataTable934[[#This Row],[Total Amount]]</f>
        <v>0.61305264167744788</v>
      </c>
      <c r="L54" s="44">
        <f>CurrentMtgRatesDataTable934[[#This Row],[Top 1 Amount]]/CurrentMtgRatesDataTable934[[#This Row],[Total Amount]]</f>
        <v>0.23577980701780243</v>
      </c>
      <c r="M54" s="44">
        <f>CurrentMtgRatesDataTable934[[#This Row],[N/A Amount]]/CurrentMtgRatesDataTable934[[#This Row],[Total Amount]]</f>
        <v>0.18936748123208813</v>
      </c>
      <c r="N54" s="48">
        <f t="shared" si="1"/>
        <v>1</v>
      </c>
    </row>
    <row r="55" spans="3:14">
      <c r="C55" s="37">
        <v>40634</v>
      </c>
      <c r="D55" s="17">
        <v>33088841042.959999</v>
      </c>
      <c r="E55" s="17">
        <f>IF(C55&lt;=DateToChangeLag,VLOOKUP(C55,'Result-lag'!$C$4:$H$100,2,0),VLOOKUP(C55,CurrentMtgRatesDataTable8[],2,0))</f>
        <v>50756307252.699997</v>
      </c>
      <c r="F55" s="17">
        <f>IF($C55&lt;=DateToChangeLag,VLOOKUP($C55,'Result-lag'!$C$4:$I$100,3,0),VLOOKUP($C55,CurrentMtgRatesDataTable8[],3,0))</f>
        <v>36884767125.040001</v>
      </c>
      <c r="G55" s="17">
        <f>IF($C55&lt;=DateToChangeLag,VLOOKUP($C55,'Result-lag'!$C$4:$I$100,4,0),VLOOKUP($C55,CurrentMtgRatesDataTable8[],4,0))</f>
        <v>31995951520.699997</v>
      </c>
      <c r="H55" s="43">
        <f>IF($C55&lt;=DateToChangeLag,VLOOKUP($C55,'Result-lag'!$C$4:$I$100,5,0),VLOOKUP($C55,CurrentMtgRatesDataTable8[],5,0))</f>
        <v>9375011832.8899994</v>
      </c>
      <c r="I55" s="43">
        <f>IF($C55&lt;=DateToChangeLag,VLOOKUP($C55,'Result-lag'!$C$4:$I$100,6,0),VLOOKUP($C55,CurrentMtgRatesDataTable8[],6,0))</f>
        <v>9394709143.4799995</v>
      </c>
      <c r="J55" s="44">
        <f>CurrentMtgRatesDataTable934[[#This Row],[Top 10 Amount]]/CurrentMtgRatesDataTable934[[#This Row],[Total Amount]]</f>
        <v>0.72670312561160377</v>
      </c>
      <c r="K55" s="44">
        <f>CurrentMtgRatesDataTable934[[#This Row],[Top 5 Amount]]/CurrentMtgRatesDataTable934[[#This Row],[Total Amount]]</f>
        <v>0.63038375430667215</v>
      </c>
      <c r="L55" s="44">
        <f>CurrentMtgRatesDataTable934[[#This Row],[Top 1 Amount]]/CurrentMtgRatesDataTable934[[#This Row],[Total Amount]]</f>
        <v>0.18470634174024339</v>
      </c>
      <c r="M55" s="44">
        <f>CurrentMtgRatesDataTable934[[#This Row],[N/A Amount]]/CurrentMtgRatesDataTable934[[#This Row],[Total Amount]]</f>
        <v>0.18509441785641814</v>
      </c>
      <c r="N55" s="48">
        <f t="shared" si="1"/>
        <v>1</v>
      </c>
    </row>
    <row r="56" spans="3:14">
      <c r="C56" s="37">
        <v>40603</v>
      </c>
      <c r="D56" s="17">
        <v>52478992160.580002</v>
      </c>
      <c r="E56" s="17">
        <f>IF(C56&lt;=DateToChangeLag,VLOOKUP(C56,'Result-lag'!$C$4:$H$100,2,0),VLOOKUP(C56,CurrentMtgRatesDataTable8[],2,0))</f>
        <v>48877979273.129997</v>
      </c>
      <c r="F56" s="17">
        <f>IF($C56&lt;=DateToChangeLag,VLOOKUP($C56,'Result-lag'!$C$4:$I$100,3,0),VLOOKUP($C56,CurrentMtgRatesDataTable8[],3,0))</f>
        <v>35830274691.750008</v>
      </c>
      <c r="G56" s="17">
        <f>IF($C56&lt;=DateToChangeLag,VLOOKUP($C56,'Result-lag'!$C$4:$I$100,4,0),VLOOKUP($C56,CurrentMtgRatesDataTable8[],4,0))</f>
        <v>30847095003.530003</v>
      </c>
      <c r="H56" s="43">
        <f>IF($C56&lt;=DateToChangeLag,VLOOKUP($C56,'Result-lag'!$C$4:$I$100,5,0),VLOOKUP($C56,CurrentMtgRatesDataTable8[],5,0))</f>
        <v>12508600905.84</v>
      </c>
      <c r="I56" s="43">
        <f>IF($C56&lt;=DateToChangeLag,VLOOKUP($C56,'Result-lag'!$C$4:$I$100,6,0),VLOOKUP($C56,CurrentMtgRatesDataTable8[],6,0))</f>
        <v>7652424808.5900002</v>
      </c>
      <c r="J56" s="44">
        <f>CurrentMtgRatesDataTable934[[#This Row],[Top 10 Amount]]/CurrentMtgRatesDataTable934[[#This Row],[Total Amount]]</f>
        <v>0.73305556458319487</v>
      </c>
      <c r="K56" s="44">
        <f>CurrentMtgRatesDataTable934[[#This Row],[Top 5 Amount]]/CurrentMtgRatesDataTable934[[#This Row],[Total Amount]]</f>
        <v>0.63110413855606695</v>
      </c>
      <c r="L56" s="44">
        <f>CurrentMtgRatesDataTable934[[#This Row],[Top 1 Amount]]/CurrentMtgRatesDataTable934[[#This Row],[Total Amount]]</f>
        <v>0.25591485351597654</v>
      </c>
      <c r="M56" s="44">
        <f>CurrentMtgRatesDataTable934[[#This Row],[N/A Amount]]/CurrentMtgRatesDataTable934[[#This Row],[Total Amount]]</f>
        <v>0.1565618080450559</v>
      </c>
      <c r="N56" s="48">
        <f t="shared" si="1"/>
        <v>1</v>
      </c>
    </row>
    <row r="57" spans="3:14">
      <c r="C57" s="37">
        <v>40575</v>
      </c>
      <c r="D57" s="17">
        <v>51211208108.309998</v>
      </c>
      <c r="E57" s="17">
        <f>IF(C57&lt;=DateToChangeLag,VLOOKUP(C57,'Result-lag'!$C$4:$H$100,2,0),VLOOKUP(C57,CurrentMtgRatesDataTable8[],2,0))</f>
        <v>63764397417.18</v>
      </c>
      <c r="F57" s="17">
        <f>IF($C57&lt;=DateToChangeLag,VLOOKUP($C57,'Result-lag'!$C$4:$I$100,3,0),VLOOKUP($C57,CurrentMtgRatesDataTable8[],3,0))</f>
        <v>44854076167.450005</v>
      </c>
      <c r="G57" s="17">
        <f>IF($C57&lt;=DateToChangeLag,VLOOKUP($C57,'Result-lag'!$C$4:$I$100,4,0),VLOOKUP($C57,CurrentMtgRatesDataTable8[],4,0))</f>
        <v>37868286535.940002</v>
      </c>
      <c r="H57" s="43">
        <f>IF($C57&lt;=DateToChangeLag,VLOOKUP($C57,'Result-lag'!$C$4:$I$100,5,0),VLOOKUP($C57,CurrentMtgRatesDataTable8[],5,0))</f>
        <v>14638512908.190001</v>
      </c>
      <c r="I57" s="43">
        <f>IF($C57&lt;=DateToChangeLag,VLOOKUP($C57,'Result-lag'!$C$4:$I$100,6,0),VLOOKUP($C57,CurrentMtgRatesDataTable8[],6,0))</f>
        <v>11490900350.65</v>
      </c>
      <c r="J57" s="44">
        <f>CurrentMtgRatesDataTable934[[#This Row],[Top 10 Amount]]/CurrentMtgRatesDataTable934[[#This Row],[Total Amount]]</f>
        <v>0.70343448670880093</v>
      </c>
      <c r="K57" s="44">
        <f>CurrentMtgRatesDataTable934[[#This Row],[Top 5 Amount]]/CurrentMtgRatesDataTable934[[#This Row],[Total Amount]]</f>
        <v>0.59387821527091189</v>
      </c>
      <c r="L57" s="44">
        <f>CurrentMtgRatesDataTable934[[#This Row],[Top 1 Amount]]/CurrentMtgRatesDataTable934[[#This Row],[Total Amount]]</f>
        <v>0.22957188495669772</v>
      </c>
      <c r="M57" s="44">
        <f>CurrentMtgRatesDataTable934[[#This Row],[N/A Amount]]/CurrentMtgRatesDataTable934[[#This Row],[Total Amount]]</f>
        <v>0.18020871859684529</v>
      </c>
      <c r="N57" s="48">
        <f t="shared" si="1"/>
        <v>1</v>
      </c>
    </row>
    <row r="58" spans="3:14">
      <c r="C58" s="37">
        <v>40544</v>
      </c>
      <c r="D58" s="17">
        <v>66493575674.870003</v>
      </c>
      <c r="E58" s="17">
        <f>IF(C58&lt;=DateToChangeLag,VLOOKUP(C58,'Result-lag'!$C$4:$H$100,2,0),VLOOKUP(C58,CurrentMtgRatesDataTable8[],2,0))</f>
        <v>79153858723.479996</v>
      </c>
      <c r="F58" s="17">
        <f>IF($C58&lt;=DateToChangeLag,VLOOKUP($C58,'Result-lag'!$C$4:$I$100,3,0),VLOOKUP($C58,CurrentMtgRatesDataTable8[],3,0))</f>
        <v>53353328128.620003</v>
      </c>
      <c r="G58" s="17">
        <f>IF($C58&lt;=DateToChangeLag,VLOOKUP($C58,'Result-lag'!$C$4:$I$100,4,0),VLOOKUP($C58,CurrentMtgRatesDataTable8[],4,0))</f>
        <v>47334757648.860001</v>
      </c>
      <c r="H58" s="43">
        <f>IF($C58&lt;=DateToChangeLag,VLOOKUP($C58,'Result-lag'!$C$4:$I$100,5,0),VLOOKUP($C58,CurrentMtgRatesDataTable8[],5,0))</f>
        <v>14069204024.26</v>
      </c>
      <c r="I58" s="43">
        <f>IF($C58&lt;=DateToChangeLag,VLOOKUP($C58,'Result-lag'!$C$4:$I$100,6,0),VLOOKUP($C58,CurrentMtgRatesDataTable8[],6,0))</f>
        <v>17444293018.130001</v>
      </c>
      <c r="J58" s="44">
        <f>CurrentMtgRatesDataTable934[[#This Row],[Top 10 Amount]]/CurrentMtgRatesDataTable934[[#This Row],[Total Amount]]</f>
        <v>0.67404582655922252</v>
      </c>
      <c r="K58" s="44">
        <f>CurrentMtgRatesDataTable934[[#This Row],[Top 5 Amount]]/CurrentMtgRatesDataTable934[[#This Row],[Total Amount]]</f>
        <v>0.59800947688755879</v>
      </c>
      <c r="L58" s="44">
        <f>CurrentMtgRatesDataTable934[[#This Row],[Top 1 Amount]]/CurrentMtgRatesDataTable934[[#This Row],[Total Amount]]</f>
        <v>0.17774501775598905</v>
      </c>
      <c r="M58" s="44">
        <f>CurrentMtgRatesDataTable934[[#This Row],[N/A Amount]]/CurrentMtgRatesDataTable934[[#This Row],[Total Amount]]</f>
        <v>0.22038461926500333</v>
      </c>
      <c r="N58" s="48">
        <f t="shared" si="1"/>
        <v>1</v>
      </c>
    </row>
    <row r="59" spans="3:14">
      <c r="C59" s="37">
        <v>40513</v>
      </c>
      <c r="D59" s="17">
        <v>81193901238.820007</v>
      </c>
      <c r="E59" s="17">
        <f>IF(C59&lt;=DateToChangeLag,VLOOKUP(C59,'Result-lag'!$C$4:$H$100,2,0),VLOOKUP(C59,CurrentMtgRatesDataTable8[],2,0))</f>
        <v>69073769739.929993</v>
      </c>
      <c r="F59" s="17">
        <f>IF($C59&lt;=DateToChangeLag,VLOOKUP($C59,'Result-lag'!$C$4:$I$100,3,0),VLOOKUP($C59,CurrentMtgRatesDataTable8[],3,0))</f>
        <v>43249158270.020004</v>
      </c>
      <c r="G59" s="17">
        <f>IF($C59&lt;=DateToChangeLag,VLOOKUP($C59,'Result-lag'!$C$4:$I$100,4,0),VLOOKUP($C59,CurrentMtgRatesDataTable8[],4,0))</f>
        <v>35056160439.300003</v>
      </c>
      <c r="H59" s="43">
        <f>IF($C59&lt;=DateToChangeLag,VLOOKUP($C59,'Result-lag'!$C$4:$I$100,5,0),VLOOKUP($C59,CurrentMtgRatesDataTable8[],5,0))</f>
        <v>12770630060.530001</v>
      </c>
      <c r="I59" s="43">
        <f>IF($C59&lt;=DateToChangeLag,VLOOKUP($C59,'Result-lag'!$C$4:$I$100,6,0),VLOOKUP($C59,CurrentMtgRatesDataTable8[],6,0))</f>
        <v>16380557214.389999</v>
      </c>
      <c r="J59" s="44">
        <f>CurrentMtgRatesDataTable934[[#This Row],[Top 10 Amount]]/CurrentMtgRatesDataTable934[[#This Row],[Total Amount]]</f>
        <v>0.62612998295673794</v>
      </c>
      <c r="K59" s="44">
        <f>CurrentMtgRatesDataTable934[[#This Row],[Top 5 Amount]]/CurrentMtgRatesDataTable934[[#This Row],[Total Amount]]</f>
        <v>0.50751769552016823</v>
      </c>
      <c r="L59" s="44">
        <f>CurrentMtgRatesDataTable934[[#This Row],[Top 1 Amount]]/CurrentMtgRatesDataTable934[[#This Row],[Total Amount]]</f>
        <v>0.18488393073974052</v>
      </c>
      <c r="M59" s="44">
        <f>CurrentMtgRatesDataTable934[[#This Row],[N/A Amount]]/CurrentMtgRatesDataTable934[[#This Row],[Total Amount]]</f>
        <v>0.23714584097645922</v>
      </c>
      <c r="N59" s="48">
        <f t="shared" si="1"/>
        <v>1</v>
      </c>
    </row>
    <row r="60" spans="3:14">
      <c r="C60" s="37">
        <v>40483</v>
      </c>
      <c r="D60" s="17">
        <v>71397253151.929993</v>
      </c>
      <c r="E60" s="17">
        <f>IF(C60&lt;=DateToChangeLag,VLOOKUP(C60,'Result-lag'!$C$4:$H$100,2,0),VLOOKUP(C60,CurrentMtgRatesDataTable8[],2,0))</f>
        <v>66148630556.470001</v>
      </c>
      <c r="F60" s="17">
        <f>IF($C60&lt;=DateToChangeLag,VLOOKUP($C60,'Result-lag'!$C$4:$I$100,3,0),VLOOKUP($C60,CurrentMtgRatesDataTable8[],3,0))</f>
        <v>43379866845</v>
      </c>
      <c r="G60" s="17">
        <f>IF($C60&lt;=DateToChangeLag,VLOOKUP($C60,'Result-lag'!$C$4:$I$100,4,0),VLOOKUP($C60,CurrentMtgRatesDataTable8[],4,0))</f>
        <v>37014631071.25</v>
      </c>
      <c r="H60" s="43">
        <f>IF($C60&lt;=DateToChangeLag,VLOOKUP($C60,'Result-lag'!$C$4:$I$100,5,0),VLOOKUP($C60,CurrentMtgRatesDataTable8[],5,0))</f>
        <v>13640971298.67</v>
      </c>
      <c r="I60" s="43">
        <f>IF($C60&lt;=DateToChangeLag,VLOOKUP($C60,'Result-lag'!$C$4:$I$100,6,0),VLOOKUP($C60,CurrentMtgRatesDataTable8[],6,0))</f>
        <v>14263271296.870001</v>
      </c>
      <c r="J60" s="44">
        <f>CurrentMtgRatesDataTable934[[#This Row],[Top 10 Amount]]/CurrentMtgRatesDataTable934[[#This Row],[Total Amount]]</f>
        <v>0.65579387630658992</v>
      </c>
      <c r="K60" s="44">
        <f>CurrentMtgRatesDataTable934[[#This Row],[Top 5 Amount]]/CurrentMtgRatesDataTable934[[#This Row],[Total Amount]]</f>
        <v>0.5595676094859019</v>
      </c>
      <c r="L60" s="44">
        <f>CurrentMtgRatesDataTable934[[#This Row],[Top 1 Amount]]/CurrentMtgRatesDataTable934[[#This Row],[Total Amount]]</f>
        <v>0.20621698716838782</v>
      </c>
      <c r="M60" s="44">
        <f>CurrentMtgRatesDataTable934[[#This Row],[N/A Amount]]/CurrentMtgRatesDataTable934[[#This Row],[Total Amount]]</f>
        <v>0.21562458930564979</v>
      </c>
      <c r="N60" s="48">
        <f t="shared" si="1"/>
        <v>1</v>
      </c>
    </row>
    <row r="61" spans="3:14">
      <c r="C61" s="37">
        <v>40452</v>
      </c>
      <c r="D61" s="17">
        <v>68963882096.149994</v>
      </c>
      <c r="E61" s="17">
        <f>IF(C61&lt;=DateToChangeLag,VLOOKUP(C61,'Result-lag'!$C$4:$H$100,2,0),VLOOKUP(C61,CurrentMtgRatesDataTable8[],2,0))</f>
        <v>66478903663.989998</v>
      </c>
      <c r="F61" s="17">
        <f>IF($C61&lt;=DateToChangeLag,VLOOKUP($C61,'Result-lag'!$C$4:$I$100,3,0),VLOOKUP($C61,CurrentMtgRatesDataTable8[],3,0))</f>
        <v>48553977687.410004</v>
      </c>
      <c r="G61" s="17">
        <f>IF($C61&lt;=DateToChangeLag,VLOOKUP($C61,'Result-lag'!$C$4:$I$100,4,0),VLOOKUP($C61,CurrentMtgRatesDataTable8[],4,0))</f>
        <v>41844668760.610001</v>
      </c>
      <c r="H61" s="43">
        <f>IF($C61&lt;=DateToChangeLag,VLOOKUP($C61,'Result-lag'!$C$4:$I$100,5,0),VLOOKUP($C61,CurrentMtgRatesDataTable8[],5,0))</f>
        <v>12567511433.07</v>
      </c>
      <c r="I61" s="43">
        <f>IF($C61&lt;=DateToChangeLag,VLOOKUP($C61,'Result-lag'!$C$4:$I$100,6,0),VLOOKUP($C61,CurrentMtgRatesDataTable8[],6,0))</f>
        <v>11239609971.59</v>
      </c>
      <c r="J61" s="44">
        <f>CurrentMtgRatesDataTable934[[#This Row],[Top 10 Amount]]/CurrentMtgRatesDataTable934[[#This Row],[Total Amount]]</f>
        <v>0.73036670298927497</v>
      </c>
      <c r="K61" s="44">
        <f>CurrentMtgRatesDataTable934[[#This Row],[Top 5 Amount]]/CurrentMtgRatesDataTable934[[#This Row],[Total Amount]]</f>
        <v>0.62944282252470773</v>
      </c>
      <c r="L61" s="44">
        <f>CurrentMtgRatesDataTable934[[#This Row],[Top 1 Amount]]/CurrentMtgRatesDataTable934[[#This Row],[Total Amount]]</f>
        <v>0.18904510664903632</v>
      </c>
      <c r="M61" s="44">
        <f>CurrentMtgRatesDataTable934[[#This Row],[N/A Amount]]/CurrentMtgRatesDataTable934[[#This Row],[Total Amount]]</f>
        <v>0.16907032685736398</v>
      </c>
      <c r="N61" s="48">
        <f t="shared" si="1"/>
        <v>1</v>
      </c>
    </row>
    <row r="62" spans="3:14">
      <c r="C62" s="37">
        <v>40422</v>
      </c>
      <c r="D62" s="17">
        <v>69384338986.350006</v>
      </c>
      <c r="E62" s="17">
        <f>IF(C62&lt;=DateToChangeLag,VLOOKUP(C62,'Result-lag'!$C$4:$H$100,2,0),VLOOKUP(C62,CurrentMtgRatesDataTable8[],2,0))</f>
        <v>44231744040.459999</v>
      </c>
      <c r="F62" s="17">
        <f>IF($C62&lt;=DateToChangeLag,VLOOKUP($C62,'Result-lag'!$C$4:$I$100,3,0),VLOOKUP($C62,CurrentMtgRatesDataTable8[],3,0))</f>
        <v>29617439853.449997</v>
      </c>
      <c r="G62" s="17">
        <f>IF($C62&lt;=DateToChangeLag,VLOOKUP($C62,'Result-lag'!$C$4:$I$100,4,0),VLOOKUP($C62,CurrentMtgRatesDataTable8[],4,0))</f>
        <v>24683867685.949997</v>
      </c>
      <c r="H62" s="43">
        <f>IF($C62&lt;=DateToChangeLag,VLOOKUP($C62,'Result-lag'!$C$4:$I$100,5,0),VLOOKUP($C62,CurrentMtgRatesDataTable8[],5,0))</f>
        <v>10264966285.639999</v>
      </c>
      <c r="I62" s="43">
        <f>IF($C62&lt;=DateToChangeLag,VLOOKUP($C62,'Result-lag'!$C$4:$I$100,6,0),VLOOKUP($C62,CurrentMtgRatesDataTable8[],6,0))</f>
        <v>9514071989.3199997</v>
      </c>
      <c r="J62" s="44">
        <f>CurrentMtgRatesDataTable934[[#This Row],[Top 10 Amount]]/CurrentMtgRatesDataTable934[[#This Row],[Total Amount]]</f>
        <v>0.66959692627896616</v>
      </c>
      <c r="K62" s="44">
        <f>CurrentMtgRatesDataTable934[[#This Row],[Top 5 Amount]]/CurrentMtgRatesDataTable934[[#This Row],[Total Amount]]</f>
        <v>0.55805775289735315</v>
      </c>
      <c r="L62" s="44">
        <f>CurrentMtgRatesDataTable934[[#This Row],[Top 1 Amount]]/CurrentMtgRatesDataTable934[[#This Row],[Total Amount]]</f>
        <v>0.23207238394783508</v>
      </c>
      <c r="M62" s="44">
        <f>CurrentMtgRatesDataTable934[[#This Row],[N/A Amount]]/CurrentMtgRatesDataTable934[[#This Row],[Total Amount]]</f>
        <v>0.21509601748050483</v>
      </c>
      <c r="N62" s="48">
        <f t="shared" si="1"/>
        <v>1</v>
      </c>
    </row>
    <row r="63" spans="3:14">
      <c r="C63" s="37">
        <v>40391</v>
      </c>
      <c r="D63" s="17">
        <v>46909004959.040001</v>
      </c>
      <c r="E63" s="17">
        <f>IF(C63&lt;=DateToChangeLag,VLOOKUP(C63,'Result-lag'!$C$4:$H$100,2,0),VLOOKUP(C63,CurrentMtgRatesDataTable8[],2,0))</f>
        <v>38950467364.989998</v>
      </c>
      <c r="F63" s="17">
        <f>IF($C63&lt;=DateToChangeLag,VLOOKUP($C63,'Result-lag'!$C$4:$I$100,3,0),VLOOKUP($C63,CurrentMtgRatesDataTable8[],3,0))</f>
        <v>27609609986.340004</v>
      </c>
      <c r="G63" s="17">
        <f>IF($C63&lt;=DateToChangeLag,VLOOKUP($C63,'Result-lag'!$C$4:$I$100,4,0),VLOOKUP($C63,CurrentMtgRatesDataTable8[],4,0))</f>
        <v>24661759514.200001</v>
      </c>
      <c r="H63" s="43">
        <f>IF($C63&lt;=DateToChangeLag,VLOOKUP($C63,'Result-lag'!$C$4:$I$100,5,0),VLOOKUP($C63,CurrentMtgRatesDataTable8[],5,0))</f>
        <v>8650842881.4500008</v>
      </c>
      <c r="I63" s="43">
        <f>IF($C63&lt;=DateToChangeLag,VLOOKUP($C63,'Result-lag'!$C$4:$I$100,6,0),VLOOKUP($C63,CurrentMtgRatesDataTable8[],6,0))</f>
        <v>7511074364.2700005</v>
      </c>
      <c r="J63" s="44">
        <f>CurrentMtgRatesDataTable934[[#This Row],[Top 10 Amount]]/CurrentMtgRatesDataTable934[[#This Row],[Total Amount]]</f>
        <v>0.70883899100929548</v>
      </c>
      <c r="K63" s="44">
        <f>CurrentMtgRatesDataTable934[[#This Row],[Top 5 Amount]]/CurrentMtgRatesDataTable934[[#This Row],[Total Amount]]</f>
        <v>0.63315696017467626</v>
      </c>
      <c r="L63" s="44">
        <f>CurrentMtgRatesDataTable934[[#This Row],[Top 1 Amount]]/CurrentMtgRatesDataTable934[[#This Row],[Total Amount]]</f>
        <v>0.22209856432238018</v>
      </c>
      <c r="M63" s="44">
        <f>CurrentMtgRatesDataTable934[[#This Row],[N/A Amount]]/CurrentMtgRatesDataTable934[[#This Row],[Total Amount]]</f>
        <v>0.19283656583338482</v>
      </c>
      <c r="N63" s="48">
        <f t="shared" si="1"/>
        <v>1</v>
      </c>
    </row>
    <row r="64" spans="3:14">
      <c r="C64" s="37">
        <v>40360</v>
      </c>
      <c r="D64" s="17">
        <v>40829244339.580002</v>
      </c>
      <c r="E64" s="17">
        <f>IF(C64&lt;=DateToChangeLag,VLOOKUP(C64,'Result-lag'!$C$4:$H$100,2,0),VLOOKUP(C64,CurrentMtgRatesDataTable8[],2,0))</f>
        <v>37058941299.720001</v>
      </c>
      <c r="F64" s="17">
        <f>IF($C64&lt;=DateToChangeLag,VLOOKUP($C64,'Result-lag'!$C$4:$I$100,3,0),VLOOKUP($C64,CurrentMtgRatesDataTable8[],3,0))</f>
        <v>26520322604.389996</v>
      </c>
      <c r="G64" s="17">
        <f>IF($C64&lt;=DateToChangeLag,VLOOKUP($C64,'Result-lag'!$C$4:$I$100,4,0),VLOOKUP($C64,CurrentMtgRatesDataTable8[],4,0))</f>
        <v>23335905743.639999</v>
      </c>
      <c r="H64" s="43">
        <f>IF($C64&lt;=DateToChangeLag,VLOOKUP($C64,'Result-lag'!$C$4:$I$100,5,0),VLOOKUP($C64,CurrentMtgRatesDataTable8[],5,0))</f>
        <v>7934970468.3800001</v>
      </c>
      <c r="I64" s="43">
        <f>IF($C64&lt;=DateToChangeLag,VLOOKUP($C64,'Result-lag'!$C$4:$I$100,6,0),VLOOKUP($C64,CurrentMtgRatesDataTable8[],6,0))</f>
        <v>7398138252.6400003</v>
      </c>
      <c r="J64" s="44">
        <f>CurrentMtgRatesDataTable934[[#This Row],[Top 10 Amount]]/CurrentMtgRatesDataTable934[[#This Row],[Total Amount]]</f>
        <v>0.7156254786099453</v>
      </c>
      <c r="K64" s="44">
        <f>CurrentMtgRatesDataTable934[[#This Row],[Top 5 Amount]]/CurrentMtgRatesDataTable934[[#This Row],[Total Amount]]</f>
        <v>0.62969704274353655</v>
      </c>
      <c r="L64" s="44">
        <f>CurrentMtgRatesDataTable934[[#This Row],[Top 1 Amount]]/CurrentMtgRatesDataTable934[[#This Row],[Total Amount]]</f>
        <v>0.21411757028363768</v>
      </c>
      <c r="M64" s="44">
        <f>CurrentMtgRatesDataTable934[[#This Row],[N/A Amount]]/CurrentMtgRatesDataTable934[[#This Row],[Total Amount]]</f>
        <v>0.19963166764010867</v>
      </c>
      <c r="N64" s="48">
        <f t="shared" si="1"/>
        <v>1</v>
      </c>
    </row>
    <row r="65" spans="3:14">
      <c r="C65" s="37">
        <v>40330</v>
      </c>
      <c r="D65" s="17">
        <v>37643702495.970001</v>
      </c>
      <c r="E65" s="17">
        <f>IF(C65&lt;=DateToChangeLag,VLOOKUP(C65,'Result-lag'!$C$4:$H$100,2,0),VLOOKUP(C65,CurrentMtgRatesDataTable8[],2,0))</f>
        <v>33643649195.490002</v>
      </c>
      <c r="F65" s="17">
        <f>IF($C65&lt;=DateToChangeLag,VLOOKUP($C65,'Result-lag'!$C$4:$I$100,3,0),VLOOKUP($C65,CurrentMtgRatesDataTable8[],3,0))</f>
        <v>26223578219.900002</v>
      </c>
      <c r="G65" s="17">
        <f>IF($C65&lt;=DateToChangeLag,VLOOKUP($C65,'Result-lag'!$C$4:$I$100,4,0),VLOOKUP($C65,CurrentMtgRatesDataTable8[],4,0))</f>
        <v>23124403168.75</v>
      </c>
      <c r="H65" s="43">
        <f>IF($C65&lt;=DateToChangeLag,VLOOKUP($C65,'Result-lag'!$C$4:$I$100,5,0),VLOOKUP($C65,CurrentMtgRatesDataTable8[],5,0))</f>
        <v>8799294787.6299992</v>
      </c>
      <c r="I65" s="43">
        <f>IF($C65&lt;=DateToChangeLag,VLOOKUP($C65,'Result-lag'!$C$4:$I$100,6,0),VLOOKUP($C65,CurrentMtgRatesDataTable8[],6,0))</f>
        <v>4255466989.4200001</v>
      </c>
      <c r="J65" s="44">
        <f>CurrentMtgRatesDataTable934[[#This Row],[Top 10 Amount]]/CurrentMtgRatesDataTable934[[#This Row],[Total Amount]]</f>
        <v>0.77945106571302991</v>
      </c>
      <c r="K65" s="44">
        <f>CurrentMtgRatesDataTable934[[#This Row],[Top 5 Amount]]/CurrentMtgRatesDataTable934[[#This Row],[Total Amount]]</f>
        <v>0.68733338153608714</v>
      </c>
      <c r="L65" s="44">
        <f>CurrentMtgRatesDataTable934[[#This Row],[Top 1 Amount]]/CurrentMtgRatesDataTable934[[#This Row],[Total Amount]]</f>
        <v>0.26154400601732475</v>
      </c>
      <c r="M65" s="44">
        <f>CurrentMtgRatesDataTable934[[#This Row],[N/A Amount]]/CurrentMtgRatesDataTable934[[#This Row],[Total Amount]]</f>
        <v>0.12648648678664901</v>
      </c>
      <c r="N65" s="48">
        <f t="shared" si="1"/>
        <v>1</v>
      </c>
    </row>
    <row r="66" spans="3:14">
      <c r="C66" s="37">
        <v>40299</v>
      </c>
      <c r="D66" s="17">
        <v>36336611081.309998</v>
      </c>
      <c r="E66" s="17">
        <f>IF(C66&lt;=DateToChangeLag,VLOOKUP(C66,'Result-lag'!$C$4:$H$100,2,0),VLOOKUP(C66,CurrentMtgRatesDataTable8[],2,0))</f>
        <v>34561761859.559998</v>
      </c>
      <c r="F66" s="17">
        <f>IF($C66&lt;=DateToChangeLag,VLOOKUP($C66,'Result-lag'!$C$4:$I$100,3,0),VLOOKUP($C66,CurrentMtgRatesDataTable8[],3,0))</f>
        <v>26609020930.07</v>
      </c>
      <c r="G66" s="17">
        <f>IF($C66&lt;=DateToChangeLag,VLOOKUP($C66,'Result-lag'!$C$4:$I$100,4,0),VLOOKUP($C66,CurrentMtgRatesDataTable8[],4,0))</f>
        <v>23855723365.02</v>
      </c>
      <c r="H66" s="43">
        <f>IF($C66&lt;=DateToChangeLag,VLOOKUP($C66,'Result-lag'!$C$4:$I$100,5,0),VLOOKUP($C66,CurrentMtgRatesDataTable8[],5,0))</f>
        <v>9793443604.5200005</v>
      </c>
      <c r="I66" s="43">
        <f>IF($C66&lt;=DateToChangeLag,VLOOKUP($C66,'Result-lag'!$C$4:$I$100,6,0),VLOOKUP($C66,CurrentMtgRatesDataTable8[],6,0))</f>
        <v>4878666055.8000002</v>
      </c>
      <c r="J66" s="44">
        <f>CurrentMtgRatesDataTable934[[#This Row],[Top 10 Amount]]/CurrentMtgRatesDataTable934[[#This Row],[Total Amount]]</f>
        <v>0.76989769902918825</v>
      </c>
      <c r="K66" s="44">
        <f>CurrentMtgRatesDataTable934[[#This Row],[Top 5 Amount]]/CurrentMtgRatesDataTable934[[#This Row],[Total Amount]]</f>
        <v>0.69023458531878512</v>
      </c>
      <c r="L66" s="44">
        <f>CurrentMtgRatesDataTable934[[#This Row],[Top 1 Amount]]/CurrentMtgRatesDataTable934[[#This Row],[Total Amount]]</f>
        <v>0.28336065864683552</v>
      </c>
      <c r="M66" s="44">
        <f>CurrentMtgRatesDataTable934[[#This Row],[N/A Amount]]/CurrentMtgRatesDataTable934[[#This Row],[Total Amount]]</f>
        <v>0.14115790958875932</v>
      </c>
      <c r="N66" s="48">
        <f t="shared" si="1"/>
        <v>1</v>
      </c>
    </row>
    <row r="67" spans="3:14">
      <c r="C67" s="37">
        <v>40269</v>
      </c>
      <c r="D67" s="17">
        <v>36544416365.050003</v>
      </c>
      <c r="E67" s="17">
        <f>IF(C67&lt;=DateToChangeLag,VLOOKUP(C67,'Result-lag'!$C$4:$H$100,2,0),VLOOKUP(C67,CurrentMtgRatesDataTable8[],2,0))</f>
        <v>34495230505.029999</v>
      </c>
      <c r="F67" s="17">
        <f>IF($C67&lt;=DateToChangeLag,VLOOKUP($C67,'Result-lag'!$C$4:$I$100,3,0),VLOOKUP($C67,CurrentMtgRatesDataTable8[],3,0))</f>
        <v>27234086431.32</v>
      </c>
      <c r="G67" s="17">
        <f>IF($C67&lt;=DateToChangeLag,VLOOKUP($C67,'Result-lag'!$C$4:$I$100,4,0),VLOOKUP($C67,CurrentMtgRatesDataTable8[],4,0))</f>
        <v>24936256082.669998</v>
      </c>
      <c r="H67" s="43">
        <f>IF($C67&lt;=DateToChangeLag,VLOOKUP($C67,'Result-lag'!$C$4:$I$100,5,0),VLOOKUP($C67,CurrentMtgRatesDataTable8[],5,0))</f>
        <v>8010432484.8699999</v>
      </c>
      <c r="I67" s="43">
        <f>IF($C67&lt;=DateToChangeLag,VLOOKUP($C67,'Result-lag'!$C$4:$I$100,6,0),VLOOKUP($C67,CurrentMtgRatesDataTable8[],6,0))</f>
        <v>4384186680.7299995</v>
      </c>
      <c r="J67" s="44">
        <f>CurrentMtgRatesDataTable934[[#This Row],[Top 10 Amount]]/CurrentMtgRatesDataTable934[[#This Row],[Total Amount]]</f>
        <v>0.78950295541143867</v>
      </c>
      <c r="K67" s="44">
        <f>CurrentMtgRatesDataTable934[[#This Row],[Top 5 Amount]]/CurrentMtgRatesDataTable934[[#This Row],[Total Amount]]</f>
        <v>0.72288996819528029</v>
      </c>
      <c r="L67" s="44">
        <f>CurrentMtgRatesDataTable934[[#This Row],[Top 1 Amount]]/CurrentMtgRatesDataTable934[[#This Row],[Total Amount]]</f>
        <v>0.23221855217642162</v>
      </c>
      <c r="M67" s="44">
        <f>CurrentMtgRatesDataTable934[[#This Row],[N/A Amount]]/CurrentMtgRatesDataTable934[[#This Row],[Total Amount]]</f>
        <v>0.12709544527005581</v>
      </c>
      <c r="N67" s="48">
        <f t="shared" si="1"/>
        <v>1</v>
      </c>
    </row>
    <row r="68" spans="3:14">
      <c r="C68" s="37">
        <v>40238</v>
      </c>
      <c r="D68" s="17">
        <v>36714521904.68</v>
      </c>
      <c r="E68" s="17">
        <f>IF(C68&lt;=DateToChangeLag,VLOOKUP(C68,'Result-lag'!$C$4:$H$100,2,0),VLOOKUP(C68,CurrentMtgRatesDataTable8[],2,0))</f>
        <v>40750598821.720001</v>
      </c>
      <c r="F68" s="17">
        <f>IF($C68&lt;=DateToChangeLag,VLOOKUP($C68,'Result-lag'!$C$4:$I$100,3,0),VLOOKUP($C68,CurrentMtgRatesDataTable8[],3,0))</f>
        <v>31459049797.27</v>
      </c>
      <c r="G68" s="17">
        <f>IF($C68&lt;=DateToChangeLag,VLOOKUP($C68,'Result-lag'!$C$4:$I$100,4,0),VLOOKUP($C68,CurrentMtgRatesDataTable8[],4,0))</f>
        <v>28719429399.230003</v>
      </c>
      <c r="H68" s="43">
        <f>IF($C68&lt;=DateToChangeLag,VLOOKUP($C68,'Result-lag'!$C$4:$I$100,5,0),VLOOKUP($C68,CurrentMtgRatesDataTable8[],5,0))</f>
        <v>10733753561.620001</v>
      </c>
      <c r="I68" s="43">
        <f>IF($C68&lt;=DateToChangeLag,VLOOKUP($C68,'Result-lag'!$C$4:$I$100,6,0),VLOOKUP($C68,CurrentMtgRatesDataTable8[],6,0))</f>
        <v>5513307940.1800003</v>
      </c>
      <c r="J68" s="44">
        <f>CurrentMtgRatesDataTable934[[#This Row],[Top 10 Amount]]/CurrentMtgRatesDataTable934[[#This Row],[Total Amount]]</f>
        <v>0.77198987761874016</v>
      </c>
      <c r="K68" s="44">
        <f>CurrentMtgRatesDataTable934[[#This Row],[Top 5 Amount]]/CurrentMtgRatesDataTable934[[#This Row],[Total Amount]]</f>
        <v>0.70476091713093048</v>
      </c>
      <c r="L68" s="44">
        <f>CurrentMtgRatesDataTable934[[#This Row],[Top 1 Amount]]/CurrentMtgRatesDataTable934[[#This Row],[Total Amount]]</f>
        <v>0.26340112469461252</v>
      </c>
      <c r="M68" s="44">
        <f>CurrentMtgRatesDataTable934[[#This Row],[N/A Amount]]/CurrentMtgRatesDataTable934[[#This Row],[Total Amount]]</f>
        <v>0.13529391222691473</v>
      </c>
      <c r="N68" s="48">
        <f t="shared" ref="N68:N101" si="2">IF(C68&lt;=DateToChangeLag,1,0)</f>
        <v>1</v>
      </c>
    </row>
    <row r="69" spans="3:14">
      <c r="C69" s="37">
        <v>40210</v>
      </c>
      <c r="D69" s="17">
        <v>43331380880.580002</v>
      </c>
      <c r="E69" s="17">
        <f>IF(C69&lt;=DateToChangeLag,VLOOKUP(C69,'Result-lag'!$C$4:$H$100,2,0),VLOOKUP(C69,CurrentMtgRatesDataTable8[],2,0))</f>
        <v>39245939454.400002</v>
      </c>
      <c r="F69" s="17">
        <f>IF($C69&lt;=DateToChangeLag,VLOOKUP($C69,'Result-lag'!$C$4:$I$100,3,0),VLOOKUP($C69,CurrentMtgRatesDataTable8[],3,0))</f>
        <v>28320981212.270004</v>
      </c>
      <c r="G69" s="17">
        <f>IF($C69&lt;=DateToChangeLag,VLOOKUP($C69,'Result-lag'!$C$4:$I$100,4,0),VLOOKUP($C69,CurrentMtgRatesDataTable8[],4,0))</f>
        <v>25122317383.700001</v>
      </c>
      <c r="H69" s="43">
        <f>IF($C69&lt;=DateToChangeLag,VLOOKUP($C69,'Result-lag'!$C$4:$I$100,5,0),VLOOKUP($C69,CurrentMtgRatesDataTable8[],5,0))</f>
        <v>10182718045.91</v>
      </c>
      <c r="I69" s="43">
        <f>IF($C69&lt;=DateToChangeLag,VLOOKUP($C69,'Result-lag'!$C$4:$I$100,6,0),VLOOKUP($C69,CurrentMtgRatesDataTable8[],6,0))</f>
        <v>7313276582.3500004</v>
      </c>
      <c r="J69" s="44">
        <f>CurrentMtgRatesDataTable934[[#This Row],[Top 10 Amount]]/CurrentMtgRatesDataTable934[[#This Row],[Total Amount]]</f>
        <v>0.7216283163555367</v>
      </c>
      <c r="K69" s="44">
        <f>CurrentMtgRatesDataTable934[[#This Row],[Top 5 Amount]]/CurrentMtgRatesDataTable934[[#This Row],[Total Amount]]</f>
        <v>0.64012526475228637</v>
      </c>
      <c r="L69" s="44">
        <f>CurrentMtgRatesDataTable934[[#This Row],[Top 1 Amount]]/CurrentMtgRatesDataTable934[[#This Row],[Total Amount]]</f>
        <v>0.25945914883095961</v>
      </c>
      <c r="M69" s="44">
        <f>CurrentMtgRatesDataTable934[[#This Row],[N/A Amount]]/CurrentMtgRatesDataTable934[[#This Row],[Total Amount]]</f>
        <v>0.18634479602271523</v>
      </c>
      <c r="N69" s="48">
        <f t="shared" si="2"/>
        <v>1</v>
      </c>
    </row>
    <row r="70" spans="3:14">
      <c r="C70" s="37">
        <v>40179</v>
      </c>
      <c r="D70" s="17">
        <v>41171224451.529999</v>
      </c>
      <c r="E70" s="17">
        <f>IF(C70&lt;=DateToChangeLag,VLOOKUP(C70,'Result-lag'!$C$4:$H$100,2,0),VLOOKUP(C70,CurrentMtgRatesDataTable8[],2,0))</f>
        <v>47221077996.639999</v>
      </c>
      <c r="F70" s="17">
        <f>IF($C70&lt;=DateToChangeLag,VLOOKUP($C70,'Result-lag'!$C$4:$I$100,3,0),VLOOKUP($C70,CurrentMtgRatesDataTable8[],3,0))</f>
        <v>35319041802.149994</v>
      </c>
      <c r="G70" s="17">
        <f>IF($C70&lt;=DateToChangeLag,VLOOKUP($C70,'Result-lag'!$C$4:$I$100,4,0),VLOOKUP($C70,CurrentMtgRatesDataTable8[],4,0))</f>
        <v>30473732956.160004</v>
      </c>
      <c r="H70" s="43">
        <f>IF($C70&lt;=DateToChangeLag,VLOOKUP($C70,'Result-lag'!$C$4:$I$100,5,0),VLOOKUP($C70,CurrentMtgRatesDataTable8[],5,0))</f>
        <v>11776429345.26</v>
      </c>
      <c r="I70" s="43">
        <f>IF($C70&lt;=DateToChangeLag,VLOOKUP($C70,'Result-lag'!$C$4:$I$100,6,0),VLOOKUP($C70,CurrentMtgRatesDataTable8[],6,0))</f>
        <v>7787526961.9899998</v>
      </c>
      <c r="J70" s="44">
        <f>CurrentMtgRatesDataTable934[[#This Row],[Top 10 Amount]]/CurrentMtgRatesDataTable934[[#This Row],[Total Amount]]</f>
        <v>0.7479507732683085</v>
      </c>
      <c r="K70" s="44">
        <f>CurrentMtgRatesDataTable934[[#This Row],[Top 5 Amount]]/CurrentMtgRatesDataTable934[[#This Row],[Total Amount]]</f>
        <v>0.6453417467159126</v>
      </c>
      <c r="L70" s="44">
        <f>CurrentMtgRatesDataTable934[[#This Row],[Top 1 Amount]]/CurrentMtgRatesDataTable934[[#This Row],[Total Amount]]</f>
        <v>0.24938925253036257</v>
      </c>
      <c r="M70" s="44">
        <f>CurrentMtgRatesDataTable934[[#This Row],[N/A Amount]]/CurrentMtgRatesDataTable934[[#This Row],[Total Amount]]</f>
        <v>0.16491633169713149</v>
      </c>
      <c r="N70" s="48">
        <f t="shared" si="2"/>
        <v>1</v>
      </c>
    </row>
    <row r="71" spans="3:14">
      <c r="C71" s="37">
        <v>40148</v>
      </c>
      <c r="D71" s="17">
        <v>49380885366.279999</v>
      </c>
      <c r="E71" s="17">
        <f>IF(C71&lt;=DateToChangeLag,VLOOKUP(C71,'Result-lag'!$C$4:$H$100,2,0),VLOOKUP(C71,CurrentMtgRatesDataTable8[],2,0))</f>
        <v>36508839962.290001</v>
      </c>
      <c r="F71" s="17">
        <f>IF($C71&lt;=DateToChangeLag,VLOOKUP($C71,'Result-lag'!$C$4:$I$100,3,0),VLOOKUP($C71,CurrentMtgRatesDataTable8[],3,0))</f>
        <v>26456405845.639999</v>
      </c>
      <c r="G71" s="17">
        <f>IF($C71&lt;=DateToChangeLag,VLOOKUP($C71,'Result-lag'!$C$4:$I$100,4,0),VLOOKUP($C71,CurrentMtgRatesDataTable8[],4,0))</f>
        <v>22409303287.959999</v>
      </c>
      <c r="H71" s="43">
        <f>IF($C71&lt;=DateToChangeLag,VLOOKUP($C71,'Result-lag'!$C$4:$I$100,5,0),VLOOKUP($C71,CurrentMtgRatesDataTable8[],5,0))</f>
        <v>7919040750.3400002</v>
      </c>
      <c r="I71" s="43">
        <f>IF($C71&lt;=DateToChangeLag,VLOOKUP($C71,'Result-lag'!$C$4:$I$100,6,0),VLOOKUP($C71,CurrentMtgRatesDataTable8[],6,0))</f>
        <v>6367737885.9099998</v>
      </c>
      <c r="J71" s="44">
        <f>CurrentMtgRatesDataTable934[[#This Row],[Top 10 Amount]]/CurrentMtgRatesDataTable934[[#This Row],[Total Amount]]</f>
        <v>0.72465753151748546</v>
      </c>
      <c r="K71" s="44">
        <f>CurrentMtgRatesDataTable934[[#This Row],[Top 5 Amount]]/CurrentMtgRatesDataTable934[[#This Row],[Total Amount]]</f>
        <v>0.61380485688141773</v>
      </c>
      <c r="L71" s="44">
        <f>CurrentMtgRatesDataTable934[[#This Row],[Top 1 Amount]]/CurrentMtgRatesDataTable934[[#This Row],[Total Amount]]</f>
        <v>0.21690748757067005</v>
      </c>
      <c r="M71" s="44">
        <f>CurrentMtgRatesDataTable934[[#This Row],[N/A Amount]]/CurrentMtgRatesDataTable934[[#This Row],[Total Amount]]</f>
        <v>0.17441633019529626</v>
      </c>
      <c r="N71" s="48">
        <f t="shared" si="2"/>
        <v>1</v>
      </c>
    </row>
    <row r="72" spans="3:14">
      <c r="C72" s="37">
        <v>40118</v>
      </c>
      <c r="D72" s="17">
        <v>39630338873.360001</v>
      </c>
      <c r="E72" s="17">
        <f>IF(C72&lt;=DateToChangeLag,VLOOKUP(C72,'Result-lag'!$C$4:$H$100,2,0),VLOOKUP(C72,CurrentMtgRatesDataTable8[],2,0))</f>
        <v>37508648146.959999</v>
      </c>
      <c r="F72" s="17">
        <f>IF($C72&lt;=DateToChangeLag,VLOOKUP($C72,'Result-lag'!$C$4:$I$100,3,0),VLOOKUP($C72,CurrentMtgRatesDataTable8[],3,0))</f>
        <v>27299803699.289993</v>
      </c>
      <c r="G72" s="17">
        <f>IF($C72&lt;=DateToChangeLag,VLOOKUP($C72,'Result-lag'!$C$4:$I$100,4,0),VLOOKUP($C72,CurrentMtgRatesDataTable8[],4,0))</f>
        <v>23964218032.68</v>
      </c>
      <c r="H72" s="43">
        <f>IF($C72&lt;=DateToChangeLag,VLOOKUP($C72,'Result-lag'!$C$4:$I$100,5,0),VLOOKUP($C72,CurrentMtgRatesDataTable8[],5,0))</f>
        <v>9801952065.9599991</v>
      </c>
      <c r="I72" s="43">
        <f>IF($C72&lt;=DateToChangeLag,VLOOKUP($C72,'Result-lag'!$C$4:$I$100,6,0),VLOOKUP($C72,CurrentMtgRatesDataTable8[],6,0))</f>
        <v>7065936096.5500002</v>
      </c>
      <c r="J72" s="44">
        <f>CurrentMtgRatesDataTable934[[#This Row],[Top 10 Amount]]/CurrentMtgRatesDataTable934[[#This Row],[Total Amount]]</f>
        <v>0.72782691587093595</v>
      </c>
      <c r="K72" s="44">
        <f>CurrentMtgRatesDataTable934[[#This Row],[Top 5 Amount]]/CurrentMtgRatesDataTable934[[#This Row],[Total Amount]]</f>
        <v>0.6388984731944346</v>
      </c>
      <c r="L72" s="44">
        <f>CurrentMtgRatesDataTable934[[#This Row],[Top 1 Amount]]/CurrentMtgRatesDataTable934[[#This Row],[Total Amount]]</f>
        <v>0.26132512234393679</v>
      </c>
      <c r="M72" s="44">
        <f>CurrentMtgRatesDataTable934[[#This Row],[N/A Amount]]/CurrentMtgRatesDataTable934[[#This Row],[Total Amount]]</f>
        <v>0.18838151854648166</v>
      </c>
      <c r="N72" s="48">
        <f t="shared" si="2"/>
        <v>1</v>
      </c>
    </row>
    <row r="73" spans="3:14">
      <c r="C73" s="37">
        <v>40087</v>
      </c>
      <c r="D73" s="17">
        <v>40018067422.019997</v>
      </c>
      <c r="E73" s="17">
        <f>IF(C73&lt;=DateToChangeLag,VLOOKUP(C73,'Result-lag'!$C$4:$H$100,2,0),VLOOKUP(C73,CurrentMtgRatesDataTable8[],2,0))</f>
        <v>56386030208.150002</v>
      </c>
      <c r="F73" s="17">
        <f>IF($C73&lt;=DateToChangeLag,VLOOKUP($C73,'Result-lag'!$C$4:$I$100,3,0),VLOOKUP($C73,CurrentMtgRatesDataTable8[],3,0))</f>
        <v>39812999208.309998</v>
      </c>
      <c r="G73" s="17">
        <f>IF($C73&lt;=DateToChangeLag,VLOOKUP($C73,'Result-lag'!$C$4:$I$100,4,0),VLOOKUP($C73,CurrentMtgRatesDataTable8[],4,0))</f>
        <v>36252925794.540001</v>
      </c>
      <c r="H73" s="43">
        <f>IF($C73&lt;=DateToChangeLag,VLOOKUP($C73,'Result-lag'!$C$4:$I$100,5,0),VLOOKUP($C73,CurrentMtgRatesDataTable8[],5,0))</f>
        <v>15019540836.5</v>
      </c>
      <c r="I73" s="43">
        <f>IF($C73&lt;=DateToChangeLag,VLOOKUP($C73,'Result-lag'!$C$4:$I$100,6,0),VLOOKUP($C73,CurrentMtgRatesDataTable8[],6,0))</f>
        <v>12597168617.459999</v>
      </c>
      <c r="J73" s="44">
        <f>CurrentMtgRatesDataTable934[[#This Row],[Top 10 Amount]]/CurrentMtgRatesDataTable934[[#This Row],[Total Amount]]</f>
        <v>0.70607913097161878</v>
      </c>
      <c r="K73" s="44">
        <f>CurrentMtgRatesDataTable934[[#This Row],[Top 5 Amount]]/CurrentMtgRatesDataTable934[[#This Row],[Total Amount]]</f>
        <v>0.64294162331896221</v>
      </c>
      <c r="L73" s="44">
        <f>CurrentMtgRatesDataTable934[[#This Row],[Top 1 Amount]]/CurrentMtgRatesDataTable934[[#This Row],[Total Amount]]</f>
        <v>0.26636989305782133</v>
      </c>
      <c r="M73" s="44">
        <f>CurrentMtgRatesDataTable934[[#This Row],[N/A Amount]]/CurrentMtgRatesDataTable934[[#This Row],[Total Amount]]</f>
        <v>0.22340939007334501</v>
      </c>
      <c r="N73" s="48">
        <f t="shared" si="2"/>
        <v>1</v>
      </c>
    </row>
    <row r="74" spans="3:14">
      <c r="C74" s="37">
        <v>40057</v>
      </c>
      <c r="D74" s="17">
        <v>58721966516.220001</v>
      </c>
      <c r="E74" s="17">
        <f>IF(C74&lt;=DateToChangeLag,VLOOKUP(C74,'Result-lag'!$C$4:$H$100,2,0),VLOOKUP(C74,CurrentMtgRatesDataTable8[],2,0))</f>
        <v>59684456334.959999</v>
      </c>
      <c r="F74" s="17">
        <f>IF($C74&lt;=DateToChangeLag,VLOOKUP($C74,'Result-lag'!$C$4:$I$100,3,0),VLOOKUP($C74,CurrentMtgRatesDataTable8[],3,0))</f>
        <v>39894122778.360001</v>
      </c>
      <c r="G74" s="17">
        <f>IF($C74&lt;=DateToChangeLag,VLOOKUP($C74,'Result-lag'!$C$4:$I$100,4,0),VLOOKUP($C74,CurrentMtgRatesDataTable8[],4,0))</f>
        <v>34767572988.950005</v>
      </c>
      <c r="H74" s="43">
        <f>IF($C74&lt;=DateToChangeLag,VLOOKUP($C74,'Result-lag'!$C$4:$I$100,5,0),VLOOKUP($C74,CurrentMtgRatesDataTable8[],5,0))</f>
        <v>14871497530.26</v>
      </c>
      <c r="I74" s="43">
        <f>IF($C74&lt;=DateToChangeLag,VLOOKUP($C74,'Result-lag'!$C$4:$I$100,6,0),VLOOKUP($C74,CurrentMtgRatesDataTable8[],6,0))</f>
        <v>13851899196.700001</v>
      </c>
      <c r="J74" s="44">
        <f>CurrentMtgRatesDataTable934[[#This Row],[Top 10 Amount]]/CurrentMtgRatesDataTable934[[#This Row],[Total Amount]]</f>
        <v>0.66841729368308134</v>
      </c>
      <c r="K74" s="44">
        <f>CurrentMtgRatesDataTable934[[#This Row],[Top 5 Amount]]/CurrentMtgRatesDataTable934[[#This Row],[Total Amount]]</f>
        <v>0.58252307424613325</v>
      </c>
      <c r="L74" s="44">
        <f>CurrentMtgRatesDataTable934[[#This Row],[Top 1 Amount]]/CurrentMtgRatesDataTable934[[#This Row],[Total Amount]]</f>
        <v>0.24916868550830817</v>
      </c>
      <c r="M74" s="44">
        <f>CurrentMtgRatesDataTable934[[#This Row],[N/A Amount]]/CurrentMtgRatesDataTable934[[#This Row],[Total Amount]]</f>
        <v>0.23208553863606679</v>
      </c>
      <c r="N74" s="48">
        <f t="shared" si="2"/>
        <v>1</v>
      </c>
    </row>
    <row r="75" spans="3:14">
      <c r="C75" s="41">
        <v>40026</v>
      </c>
      <c r="D75" s="42">
        <v>62725888062.300003</v>
      </c>
      <c r="E75" s="47">
        <f>IF(C75&lt;=DateToChangeLag,VLOOKUP(C75,'Result-lag'!$C$4:$H$100,2,0),VLOOKUP(C75,CurrentMtgRatesDataTable8[],2,0))</f>
        <v>78436521989.979996</v>
      </c>
      <c r="F75" s="47">
        <f>IF($C75&lt;=DateToChangeLag,VLOOKUP($C75,'Result-lag'!$C$4:$I$100,3,0),VLOOKUP($C75,CurrentMtgRatesDataTable8[],3,0))</f>
        <v>53760589759.599998</v>
      </c>
      <c r="G75" s="47">
        <f>IF($C75&lt;=DateToChangeLag,VLOOKUP($C75,'Result-lag'!$C$4:$I$100,4,0),VLOOKUP($C75,CurrentMtgRatesDataTable8[],4,0))</f>
        <v>46530707556.220001</v>
      </c>
      <c r="H75" s="47">
        <f>IF($C75&lt;=DateToChangeLag,VLOOKUP($C75,'Result-lag'!$C$4:$I$100,5,0),VLOOKUP($C75,CurrentMtgRatesDataTable8[],5,0))</f>
        <v>17966598426.119999</v>
      </c>
      <c r="I75" s="47">
        <f>IF($C75&lt;=DateToChangeLag,VLOOKUP($C75,'Result-lag'!$C$4:$I$100,6,0),VLOOKUP($C75,CurrentMtgRatesDataTable8[],6,0))</f>
        <v>16641693291.17</v>
      </c>
      <c r="J75" s="46">
        <f>CurrentMtgRatesDataTable934[[#This Row],[Top 10 Amount]]/CurrentMtgRatesDataTable934[[#This Row],[Total Amount]]</f>
        <v>0.68540251907737237</v>
      </c>
      <c r="K75" s="46">
        <f>CurrentMtgRatesDataTable934[[#This Row],[Top 5 Amount]]/CurrentMtgRatesDataTable934[[#This Row],[Total Amount]]</f>
        <v>0.59322757276468918</v>
      </c>
      <c r="L75" s="46">
        <f>CurrentMtgRatesDataTable934[[#This Row],[Top 1 Amount]]/CurrentMtgRatesDataTable934[[#This Row],[Total Amount]]</f>
        <v>0.22905909097314606</v>
      </c>
      <c r="M75" s="46">
        <f>CurrentMtgRatesDataTable934[[#This Row],[N/A Amount]]/CurrentMtgRatesDataTable934[[#This Row],[Total Amount]]</f>
        <v>0.21216765951575364</v>
      </c>
      <c r="N75" s="48">
        <f t="shared" si="2"/>
        <v>1</v>
      </c>
    </row>
    <row r="76" spans="3:14">
      <c r="C76" s="41">
        <v>39904</v>
      </c>
      <c r="D76" s="42">
        <v>58732734355.699997</v>
      </c>
      <c r="E76" s="47">
        <f>IF(C76&lt;=DateToChangeLag,VLOOKUP(C76,'Result-lag'!$C$4:$H$100,2,0),VLOOKUP(C76,CurrentMtgRatesDataTable8[],2,0))</f>
        <v>89107406685.440002</v>
      </c>
      <c r="F76" s="47">
        <f>IF($C76&lt;=DateToChangeLag,VLOOKUP($C76,'Result-lag'!$C$4:$I$100,3,0),VLOOKUP($C76,CurrentMtgRatesDataTable8[],3,0))</f>
        <v>68408727039.080009</v>
      </c>
      <c r="G76" s="47">
        <f>IF($C76&lt;=DateToChangeLag,VLOOKUP($C76,'Result-lag'!$C$4:$I$100,4,0),VLOOKUP($C76,CurrentMtgRatesDataTable8[],4,0))</f>
        <v>59033003601.860008</v>
      </c>
      <c r="H76" s="47">
        <f>IF($C76&lt;=DateToChangeLag,VLOOKUP($C76,'Result-lag'!$C$4:$I$100,5,0),VLOOKUP($C76,CurrentMtgRatesDataTable8[],5,0))</f>
        <v>21059327558.889999</v>
      </c>
      <c r="I76" s="47">
        <f>IF($C76&lt;=DateToChangeLag,VLOOKUP($C76,'Result-lag'!$C$4:$I$100,6,0),VLOOKUP($C76,CurrentMtgRatesDataTable8[],6,0))</f>
        <v>13124113584.77</v>
      </c>
      <c r="J76" s="46">
        <f>CurrentMtgRatesDataTable934[[#This Row],[Top 10 Amount]]/CurrentMtgRatesDataTable934[[#This Row],[Total Amount]]</f>
        <v>0.7677108961387592</v>
      </c>
      <c r="K76" s="46">
        <f>CurrentMtgRatesDataTable934[[#This Row],[Top 5 Amount]]/CurrentMtgRatesDataTable934[[#This Row],[Total Amount]]</f>
        <v>0.66249266809271756</v>
      </c>
      <c r="L76" s="46">
        <f>CurrentMtgRatesDataTable934[[#This Row],[Top 1 Amount]]/CurrentMtgRatesDataTable934[[#This Row],[Total Amount]]</f>
        <v>0.23633644320086647</v>
      </c>
      <c r="M76" s="46">
        <f>CurrentMtgRatesDataTable934[[#This Row],[N/A Amount]]/CurrentMtgRatesDataTable934[[#This Row],[Total Amount]]</f>
        <v>0.14728420535343059</v>
      </c>
      <c r="N76" s="48">
        <f t="shared" si="2"/>
        <v>1</v>
      </c>
    </row>
    <row r="77" spans="3:14">
      <c r="C77" s="41">
        <v>39873</v>
      </c>
      <c r="D77" s="42">
        <v>91030919352.979996</v>
      </c>
      <c r="E77" s="47">
        <f>IF(C77&lt;=DateToChangeLag,VLOOKUP(C77,'Result-lag'!$C$4:$H$100,2,0),VLOOKUP(C77,CurrentMtgRatesDataTable8[],2,0))</f>
        <v>44753198527.510002</v>
      </c>
      <c r="F77" s="47">
        <f>IF($C77&lt;=DateToChangeLag,VLOOKUP($C77,'Result-lag'!$C$4:$I$100,3,0),VLOOKUP($C77,CurrentMtgRatesDataTable8[],3,0))</f>
        <v>32646007910.57</v>
      </c>
      <c r="G77" s="47">
        <f>IF($C77&lt;=DateToChangeLag,VLOOKUP($C77,'Result-lag'!$C$4:$I$100,4,0),VLOOKUP($C77,CurrentMtgRatesDataTable8[],4,0))</f>
        <v>27275317473.459999</v>
      </c>
      <c r="H77" s="47">
        <f>IF($C77&lt;=DateToChangeLag,VLOOKUP($C77,'Result-lag'!$C$4:$I$100,5,0),VLOOKUP($C77,CurrentMtgRatesDataTable8[],5,0))</f>
        <v>9985509207.7099991</v>
      </c>
      <c r="I77" s="47">
        <f>IF($C77&lt;=DateToChangeLag,VLOOKUP($C77,'Result-lag'!$C$4:$I$100,6,0),VLOOKUP($C77,CurrentMtgRatesDataTable8[],6,0))</f>
        <v>7282838476.5600004</v>
      </c>
      <c r="J77" s="46">
        <f>CurrentMtgRatesDataTable934[[#This Row],[Top 10 Amount]]/CurrentMtgRatesDataTable934[[#This Row],[Total Amount]]</f>
        <v>0.72946759080252876</v>
      </c>
      <c r="K77" s="46">
        <f>CurrentMtgRatesDataTable934[[#This Row],[Top 5 Amount]]/CurrentMtgRatesDataTable934[[#This Row],[Total Amount]]</f>
        <v>0.60946073958699809</v>
      </c>
      <c r="L77" s="46">
        <f>CurrentMtgRatesDataTable934[[#This Row],[Top 1 Amount]]/CurrentMtgRatesDataTable934[[#This Row],[Total Amount]]</f>
        <v>0.22312392267497616</v>
      </c>
      <c r="M77" s="46">
        <f>CurrentMtgRatesDataTable934[[#This Row],[N/A Amount]]/CurrentMtgRatesDataTable934[[#This Row],[Total Amount]]</f>
        <v>0.16273336244521619</v>
      </c>
      <c r="N77" s="48">
        <f t="shared" si="2"/>
        <v>1</v>
      </c>
    </row>
    <row r="78" spans="3:14">
      <c r="C78" s="41">
        <v>39845</v>
      </c>
      <c r="D78" s="42">
        <v>47498482306.410004</v>
      </c>
      <c r="E78" s="47">
        <f>IF(C78&lt;=DateToChangeLag,VLOOKUP(C78,'Result-lag'!$C$4:$H$100,2,0),VLOOKUP(C78,CurrentMtgRatesDataTable8[],2,0))</f>
        <v>24388048591.91</v>
      </c>
      <c r="F78" s="47">
        <f>IF($C78&lt;=DateToChangeLag,VLOOKUP($C78,'Result-lag'!$C$4:$I$100,3,0),VLOOKUP($C78,CurrentMtgRatesDataTable8[],3,0))</f>
        <v>17164701492.5</v>
      </c>
      <c r="G78" s="47">
        <f>IF($C78&lt;=DateToChangeLag,VLOOKUP($C78,'Result-lag'!$C$4:$I$100,4,0),VLOOKUP($C78,CurrentMtgRatesDataTable8[],4,0))</f>
        <v>14158762603.860001</v>
      </c>
      <c r="H78" s="47">
        <f>IF($C78&lt;=DateToChangeLag,VLOOKUP($C78,'Result-lag'!$C$4:$I$100,5,0),VLOOKUP($C78,CurrentMtgRatesDataTable8[],5,0))</f>
        <v>4307824965.3000002</v>
      </c>
      <c r="I78" s="47">
        <f>IF($C78&lt;=DateToChangeLag,VLOOKUP($C78,'Result-lag'!$C$4:$I$100,6,0),VLOOKUP($C78,CurrentMtgRatesDataTable8[],6,0))</f>
        <v>4022859899.9899998</v>
      </c>
      <c r="J78" s="46">
        <f>CurrentMtgRatesDataTable934[[#This Row],[Top 10 Amount]]/CurrentMtgRatesDataTable934[[#This Row],[Total Amount]]</f>
        <v>0.7038161100840955</v>
      </c>
      <c r="K78" s="46">
        <f>CurrentMtgRatesDataTable934[[#This Row],[Top 5 Amount]]/CurrentMtgRatesDataTable934[[#This Row],[Total Amount]]</f>
        <v>0.58056152178394227</v>
      </c>
      <c r="L78" s="46">
        <f>CurrentMtgRatesDataTable934[[#This Row],[Top 1 Amount]]/CurrentMtgRatesDataTable934[[#This Row],[Total Amount]]</f>
        <v>0.1766367222480027</v>
      </c>
      <c r="M78" s="46">
        <f>CurrentMtgRatesDataTable934[[#This Row],[N/A Amount]]/CurrentMtgRatesDataTable934[[#This Row],[Total Amount]]</f>
        <v>0.16495210286420631</v>
      </c>
      <c r="N78" s="48">
        <f t="shared" si="2"/>
        <v>1</v>
      </c>
    </row>
    <row r="79" spans="3:14">
      <c r="C79" s="41">
        <v>39814</v>
      </c>
      <c r="D79" s="42">
        <v>26074589597.5</v>
      </c>
      <c r="E79" s="47">
        <f>IF(C79&lt;=DateToChangeLag,VLOOKUP(C79,'Result-lag'!$C$4:$H$100,2,0),VLOOKUP(C79,CurrentMtgRatesDataTable8[],2,0))</f>
        <v>40088863428.669998</v>
      </c>
      <c r="F79" s="47">
        <f>IF($C79&lt;=DateToChangeLag,VLOOKUP($C79,'Result-lag'!$C$4:$I$100,3,0),VLOOKUP($C79,CurrentMtgRatesDataTable8[],3,0))</f>
        <v>32897715325.23</v>
      </c>
      <c r="G79" s="47">
        <f>IF($C79&lt;=DateToChangeLag,VLOOKUP($C79,'Result-lag'!$C$4:$I$100,4,0),VLOOKUP($C79,CurrentMtgRatesDataTable8[],4,0))</f>
        <v>24624689128.59</v>
      </c>
      <c r="H79" s="47">
        <f>IF($C79&lt;=DateToChangeLag,VLOOKUP($C79,'Result-lag'!$C$4:$I$100,5,0),VLOOKUP($C79,CurrentMtgRatesDataTable8[],5,0))</f>
        <v>8591092469.3799992</v>
      </c>
      <c r="I79" s="47">
        <f>IF($C79&lt;=DateToChangeLag,VLOOKUP($C79,'Result-lag'!$C$4:$I$100,6,0),VLOOKUP($C79,CurrentMtgRatesDataTable8[],6,0))</f>
        <v>2341858898.6399999</v>
      </c>
      <c r="J79" s="46">
        <f>CurrentMtgRatesDataTable934[[#This Row],[Top 10 Amount]]/CurrentMtgRatesDataTable934[[#This Row],[Total Amount]]</f>
        <v>0.82061980589110017</v>
      </c>
      <c r="K79" s="46">
        <f>CurrentMtgRatesDataTable934[[#This Row],[Top 5 Amount]]/CurrentMtgRatesDataTable934[[#This Row],[Total Amount]]</f>
        <v>0.61425261338238335</v>
      </c>
      <c r="L79" s="46">
        <f>CurrentMtgRatesDataTable934[[#This Row],[Top 1 Amount]]/CurrentMtgRatesDataTable934[[#This Row],[Total Amount]]</f>
        <v>0.21430122319796135</v>
      </c>
      <c r="M79" s="46">
        <f>CurrentMtgRatesDataTable934[[#This Row],[N/A Amount]]/CurrentMtgRatesDataTable934[[#This Row],[Total Amount]]</f>
        <v>5.8416694771276388E-2</v>
      </c>
      <c r="N79" s="48">
        <f t="shared" si="2"/>
        <v>1</v>
      </c>
    </row>
    <row r="80" spans="3:14">
      <c r="C80" s="41">
        <v>39783</v>
      </c>
      <c r="D80" s="42">
        <v>41233749209.5</v>
      </c>
      <c r="E80" s="47">
        <f>IF(C80&lt;=DateToChangeLag,VLOOKUP(C80,'Result-lag'!$C$4:$H$100,2,0),VLOOKUP(C80,CurrentMtgRatesDataTable8[],2,0))</f>
        <v>26257543334.880001</v>
      </c>
      <c r="F80" s="47">
        <f>IF($C80&lt;=DateToChangeLag,VLOOKUP($C80,'Result-lag'!$C$4:$I$100,3,0),VLOOKUP($C80,CurrentMtgRatesDataTable8[],3,0))</f>
        <v>20841409991.700005</v>
      </c>
      <c r="G80" s="47">
        <f>IF($C80&lt;=DateToChangeLag,VLOOKUP($C80,'Result-lag'!$C$4:$I$100,4,0),VLOOKUP($C80,CurrentMtgRatesDataTable8[],4,0))</f>
        <v>16772316931.700003</v>
      </c>
      <c r="H80" s="47">
        <f>IF($C80&lt;=DateToChangeLag,VLOOKUP($C80,'Result-lag'!$C$4:$I$100,5,0),VLOOKUP($C80,CurrentMtgRatesDataTable8[],5,0))</f>
        <v>5409841465.3100004</v>
      </c>
      <c r="I80" s="47">
        <f>IF($C80&lt;=DateToChangeLag,VLOOKUP($C80,'Result-lag'!$C$4:$I$100,6,0),VLOOKUP($C80,CurrentMtgRatesDataTable8[],6,0))</f>
        <v>2716307694.77</v>
      </c>
      <c r="J80" s="46">
        <f>CurrentMtgRatesDataTable934[[#This Row],[Top 10 Amount]]/CurrentMtgRatesDataTable934[[#This Row],[Total Amount]]</f>
        <v>0.79373038543231456</v>
      </c>
      <c r="K80" s="46">
        <f>CurrentMtgRatesDataTable934[[#This Row],[Top 5 Amount]]/CurrentMtgRatesDataTable934[[#This Row],[Total Amount]]</f>
        <v>0.63876184903482536</v>
      </c>
      <c r="L80" s="46">
        <f>CurrentMtgRatesDataTable934[[#This Row],[Top 1 Amount]]/CurrentMtgRatesDataTable934[[#This Row],[Total Amount]]</f>
        <v>0.20602999284109241</v>
      </c>
      <c r="M80" s="46">
        <f>CurrentMtgRatesDataTable934[[#This Row],[N/A Amount]]/CurrentMtgRatesDataTable934[[#This Row],[Total Amount]]</f>
        <v>0.10344866083346459</v>
      </c>
      <c r="N80" s="48">
        <f t="shared" si="2"/>
        <v>1</v>
      </c>
    </row>
    <row r="81" spans="3:14">
      <c r="C81" s="41">
        <v>39753</v>
      </c>
      <c r="D81" s="42">
        <v>27385866902.009998</v>
      </c>
      <c r="E81" s="47">
        <f>IF(C81&lt;=DateToChangeLag,VLOOKUP(C81,'Result-lag'!$C$4:$H$100,2,0),VLOOKUP(C81,CurrentMtgRatesDataTable8[],2,0))</f>
        <v>32829619039.73</v>
      </c>
      <c r="F81" s="47">
        <f>IF($C81&lt;=DateToChangeLag,VLOOKUP($C81,'Result-lag'!$C$4:$I$100,3,0),VLOOKUP($C81,CurrentMtgRatesDataTable8[],3,0))</f>
        <v>27240025302.790001</v>
      </c>
      <c r="G81" s="47">
        <f>IF($C81&lt;=DateToChangeLag,VLOOKUP($C81,'Result-lag'!$C$4:$I$100,4,0),VLOOKUP($C81,CurrentMtgRatesDataTable8[],4,0))</f>
        <v>20986628151.540001</v>
      </c>
      <c r="H81" s="47">
        <f>IF($C81&lt;=DateToChangeLag,VLOOKUP($C81,'Result-lag'!$C$4:$I$100,5,0),VLOOKUP($C81,CurrentMtgRatesDataTable8[],5,0))</f>
        <v>6263865667.6599998</v>
      </c>
      <c r="I81" s="47">
        <f>IF($C81&lt;=DateToChangeLag,VLOOKUP($C81,'Result-lag'!$C$4:$I$100,6,0),VLOOKUP($C81,CurrentMtgRatesDataTable8[],6,0))</f>
        <v>2848084766.9000001</v>
      </c>
      <c r="J81" s="46">
        <f>CurrentMtgRatesDataTable934[[#This Row],[Top 10 Amount]]/CurrentMtgRatesDataTable934[[#This Row],[Total Amount]]</f>
        <v>0.82973930552847597</v>
      </c>
      <c r="K81" s="46">
        <f>CurrentMtgRatesDataTable934[[#This Row],[Top 5 Amount]]/CurrentMtgRatesDataTable934[[#This Row],[Total Amount]]</f>
        <v>0.63925896082261091</v>
      </c>
      <c r="L81" s="46">
        <f>CurrentMtgRatesDataTable934[[#This Row],[Top 1 Amount]]/CurrentMtgRatesDataTable934[[#This Row],[Total Amount]]</f>
        <v>0.19079921884197154</v>
      </c>
      <c r="M81" s="46">
        <f>CurrentMtgRatesDataTable934[[#This Row],[N/A Amount]]/CurrentMtgRatesDataTable934[[#This Row],[Total Amount]]</f>
        <v>8.6753512535533331E-2</v>
      </c>
      <c r="N81" s="48">
        <f t="shared" si="2"/>
        <v>1</v>
      </c>
    </row>
    <row r="82" spans="3:14">
      <c r="C82" s="41">
        <v>39722</v>
      </c>
      <c r="D82" s="42">
        <v>32554558169.93</v>
      </c>
      <c r="E82" s="47">
        <f>IF(C82&lt;=DateToChangeLag,VLOOKUP(C82,'Result-lag'!$C$4:$H$100,2,0),VLOOKUP(C82,CurrentMtgRatesDataTable8[],2,0))</f>
        <v>38978181473.309998</v>
      </c>
      <c r="F82" s="47">
        <f>IF($C82&lt;=DateToChangeLag,VLOOKUP($C82,'Result-lag'!$C$4:$I$100,3,0),VLOOKUP($C82,CurrentMtgRatesDataTable8[],3,0))</f>
        <v>31358693679.060001</v>
      </c>
      <c r="G82" s="47">
        <f>IF($C82&lt;=DateToChangeLag,VLOOKUP($C82,'Result-lag'!$C$4:$I$100,4,0),VLOOKUP($C82,CurrentMtgRatesDataTable8[],4,0))</f>
        <v>26005861056.07</v>
      </c>
      <c r="H82" s="47">
        <f>IF($C82&lt;=DateToChangeLag,VLOOKUP($C82,'Result-lag'!$C$4:$I$100,5,0),VLOOKUP($C82,CurrentMtgRatesDataTable8[],5,0))</f>
        <v>7947690883.6099997</v>
      </c>
      <c r="I82" s="47">
        <f>IF($C82&lt;=DateToChangeLag,VLOOKUP($C82,'Result-lag'!$C$4:$I$100,6,0),VLOOKUP($C82,CurrentMtgRatesDataTable8[],6,0))</f>
        <v>3909470688.3099999</v>
      </c>
      <c r="J82" s="46">
        <f>CurrentMtgRatesDataTable934[[#This Row],[Top 10 Amount]]/CurrentMtgRatesDataTable934[[#This Row],[Total Amount]]</f>
        <v>0.80451915645507011</v>
      </c>
      <c r="K82" s="46">
        <f>CurrentMtgRatesDataTable934[[#This Row],[Top 5 Amount]]/CurrentMtgRatesDataTable934[[#This Row],[Total Amount]]</f>
        <v>0.66719020931947037</v>
      </c>
      <c r="L82" s="46">
        <f>CurrentMtgRatesDataTable934[[#This Row],[Top 1 Amount]]/CurrentMtgRatesDataTable934[[#This Row],[Total Amount]]</f>
        <v>0.20390101803626007</v>
      </c>
      <c r="M82" s="46">
        <f>CurrentMtgRatesDataTable934[[#This Row],[N/A Amount]]/CurrentMtgRatesDataTable934[[#This Row],[Total Amount]]</f>
        <v>0.10029895034962007</v>
      </c>
      <c r="N82" s="48">
        <f t="shared" si="2"/>
        <v>1</v>
      </c>
    </row>
    <row r="83" spans="3:14">
      <c r="C83" s="41">
        <v>39692</v>
      </c>
      <c r="D83" s="42">
        <v>41506327516.75</v>
      </c>
      <c r="E83" s="47">
        <f>IF(C83&lt;=DateToChangeLag,VLOOKUP(C83,'Result-lag'!$C$4:$H$100,2,0),VLOOKUP(C83,CurrentMtgRatesDataTable8[],2,0))</f>
        <v>32713650876.889999</v>
      </c>
      <c r="F83" s="47">
        <f>IF($C83&lt;=DateToChangeLag,VLOOKUP($C83,'Result-lag'!$C$4:$I$100,3,0),VLOOKUP($C83,CurrentMtgRatesDataTable8[],3,0))</f>
        <v>26526543059.549999</v>
      </c>
      <c r="G83" s="47">
        <f>IF($C83&lt;=DateToChangeLag,VLOOKUP($C83,'Result-lag'!$C$4:$I$100,4,0),VLOOKUP($C83,CurrentMtgRatesDataTable8[],4,0))</f>
        <v>21598906300.810001</v>
      </c>
      <c r="H83" s="47">
        <f>IF($C83&lt;=DateToChangeLag,VLOOKUP($C83,'Result-lag'!$C$4:$I$100,5,0),VLOOKUP($C83,CurrentMtgRatesDataTable8[],5,0))</f>
        <v>5479074775.4300003</v>
      </c>
      <c r="I83" s="47">
        <f>IF($C83&lt;=DateToChangeLag,VLOOKUP($C83,'Result-lag'!$C$4:$I$100,6,0),VLOOKUP($C83,CurrentMtgRatesDataTable8[],6,0))</f>
        <v>2494839817.1700001</v>
      </c>
      <c r="J83" s="46">
        <f>CurrentMtgRatesDataTable934[[#This Row],[Top 10 Amount]]/CurrentMtgRatesDataTable934[[#This Row],[Total Amount]]</f>
        <v>0.81087076338181574</v>
      </c>
      <c r="K83" s="46">
        <f>CurrentMtgRatesDataTable934[[#This Row],[Top 5 Amount]]/CurrentMtgRatesDataTable934[[#This Row],[Total Amount]]</f>
        <v>0.66024138920147801</v>
      </c>
      <c r="L83" s="46">
        <f>CurrentMtgRatesDataTable934[[#This Row],[Top 1 Amount]]/CurrentMtgRatesDataTable934[[#This Row],[Total Amount]]</f>
        <v>0.16748588520581784</v>
      </c>
      <c r="M83" s="46">
        <f>CurrentMtgRatesDataTable934[[#This Row],[N/A Amount]]/CurrentMtgRatesDataTable934[[#This Row],[Total Amount]]</f>
        <v>7.6262959049075055E-2</v>
      </c>
      <c r="N83" s="48">
        <f t="shared" si="2"/>
        <v>1</v>
      </c>
    </row>
    <row r="84" spans="3:14">
      <c r="C84" s="41">
        <v>39661</v>
      </c>
      <c r="D84" s="42">
        <v>33987473164.599998</v>
      </c>
      <c r="E84" s="47">
        <f>IF(C84&lt;=DateToChangeLag,VLOOKUP(C84,'Result-lag'!$C$4:$H$100,2,0),VLOOKUP(C84,CurrentMtgRatesDataTable8[],2,0))</f>
        <v>38900118248.239998</v>
      </c>
      <c r="F84" s="47">
        <f>IF($C84&lt;=DateToChangeLag,VLOOKUP($C84,'Result-lag'!$C$4:$I$100,3,0),VLOOKUP($C84,CurrentMtgRatesDataTable8[],3,0))</f>
        <v>31436623958.66</v>
      </c>
      <c r="G84" s="47">
        <f>IF($C84&lt;=DateToChangeLag,VLOOKUP($C84,'Result-lag'!$C$4:$I$100,4,0),VLOOKUP($C84,CurrentMtgRatesDataTable8[],4,0))</f>
        <v>25442840100.120003</v>
      </c>
      <c r="H84" s="47">
        <f>IF($C84&lt;=DateToChangeLag,VLOOKUP($C84,'Result-lag'!$C$4:$I$100,5,0),VLOOKUP($C84,CurrentMtgRatesDataTable8[],5,0))</f>
        <v>6812598633.46</v>
      </c>
      <c r="I84" s="47">
        <f>IF($C84&lt;=DateToChangeLag,VLOOKUP($C84,'Result-lag'!$C$4:$I$100,6,0),VLOOKUP($C84,CurrentMtgRatesDataTable8[],6,0))</f>
        <v>2735541204.4699998</v>
      </c>
      <c r="J84" s="46">
        <f>CurrentMtgRatesDataTable934[[#This Row],[Top 10 Amount]]/CurrentMtgRatesDataTable934[[#This Row],[Total Amount]]</f>
        <v>0.80813697680937824</v>
      </c>
      <c r="K84" s="46">
        <f>CurrentMtgRatesDataTable934[[#This Row],[Top 5 Amount]]/CurrentMtgRatesDataTable934[[#This Row],[Total Amount]]</f>
        <v>0.654055597922794</v>
      </c>
      <c r="L84" s="46">
        <f>CurrentMtgRatesDataTable934[[#This Row],[Top 1 Amount]]/CurrentMtgRatesDataTable934[[#This Row],[Total Amount]]</f>
        <v>0.17513053790699545</v>
      </c>
      <c r="M84" s="46">
        <f>CurrentMtgRatesDataTable934[[#This Row],[N/A Amount]]/CurrentMtgRatesDataTable934[[#This Row],[Total Amount]]</f>
        <v>7.0322182236393763E-2</v>
      </c>
      <c r="N84" s="48">
        <f t="shared" si="2"/>
        <v>1</v>
      </c>
    </row>
    <row r="85" spans="3:14">
      <c r="C85" s="41">
        <v>39630</v>
      </c>
      <c r="D85" s="42">
        <v>39254673980.809998</v>
      </c>
      <c r="E85" s="47">
        <f>IF(C85&lt;=DateToChangeLag,VLOOKUP(C85,'Result-lag'!$C$4:$H$100,2,0),VLOOKUP(C85,CurrentMtgRatesDataTable8[],2,0))</f>
        <v>55712916044.559998</v>
      </c>
      <c r="F85" s="47">
        <f>IF($C85&lt;=DateToChangeLag,VLOOKUP($C85,'Result-lag'!$C$4:$I$100,3,0),VLOOKUP($C85,CurrentMtgRatesDataTable8[],3,0))</f>
        <v>45591009988.510002</v>
      </c>
      <c r="G85" s="47">
        <f>IF($C85&lt;=DateToChangeLag,VLOOKUP($C85,'Result-lag'!$C$4:$I$100,4,0),VLOOKUP($C85,CurrentMtgRatesDataTable8[],4,0))</f>
        <v>38759941326.599998</v>
      </c>
      <c r="H85" s="47">
        <f>IF($C85&lt;=DateToChangeLag,VLOOKUP($C85,'Result-lag'!$C$4:$I$100,5,0),VLOOKUP($C85,CurrentMtgRatesDataTable8[],5,0))</f>
        <v>12448685404.389999</v>
      </c>
      <c r="I85" s="47">
        <f>IF($C85&lt;=DateToChangeLag,VLOOKUP($C85,'Result-lag'!$C$4:$I$100,6,0),VLOOKUP($C85,CurrentMtgRatesDataTable8[],6,0))</f>
        <v>4590315319.1099997</v>
      </c>
      <c r="J85" s="46">
        <f>CurrentMtgRatesDataTable934[[#This Row],[Top 10 Amount]]/CurrentMtgRatesDataTable934[[#This Row],[Total Amount]]</f>
        <v>0.81832029671621664</v>
      </c>
      <c r="K85" s="46">
        <f>CurrentMtgRatesDataTable934[[#This Row],[Top 5 Amount]]/CurrentMtgRatesDataTable934[[#This Row],[Total Amount]]</f>
        <v>0.69570835774597106</v>
      </c>
      <c r="L85" s="46">
        <f>CurrentMtgRatesDataTable934[[#This Row],[Top 1 Amount]]/CurrentMtgRatesDataTable934[[#This Row],[Total Amount]]</f>
        <v>0.22344343624794941</v>
      </c>
      <c r="M85" s="46">
        <f>CurrentMtgRatesDataTable934[[#This Row],[N/A Amount]]/CurrentMtgRatesDataTable934[[#This Row],[Total Amount]]</f>
        <v>8.2392300475505512E-2</v>
      </c>
      <c r="N85" s="48">
        <f t="shared" si="2"/>
        <v>1</v>
      </c>
    </row>
    <row r="86" spans="3:14">
      <c r="C86" s="37">
        <v>39600</v>
      </c>
      <c r="D86" s="17">
        <v>54754255797.940002</v>
      </c>
      <c r="E86" s="43">
        <f>IF(C86&lt;=DateToChangeLag,VLOOKUP(C86,'Result-lag'!$C$4:$H$100,2,0),VLOOKUP(C86,CurrentMtgRatesDataTable8[],2,0))</f>
        <v>72602408533.720001</v>
      </c>
      <c r="F86" s="43">
        <f>IF($C86&lt;=DateToChangeLag,VLOOKUP($C86,'Result-lag'!$C$4:$I$100,3,0),VLOOKUP($C86,CurrentMtgRatesDataTable8[],3,0))</f>
        <v>61635508716.530006</v>
      </c>
      <c r="G86" s="43">
        <f>IF($C86&lt;=DateToChangeLag,VLOOKUP($C86,'Result-lag'!$C$4:$I$100,4,0),VLOOKUP($C86,CurrentMtgRatesDataTable8[],4,0))</f>
        <v>50039968636.970001</v>
      </c>
      <c r="H86" s="43">
        <f>IF($C86&lt;=DateToChangeLag,VLOOKUP($C86,'Result-lag'!$C$4:$I$100,5,0),VLOOKUP($C86,CurrentMtgRatesDataTable8[],5,0))</f>
        <v>16065557997.07</v>
      </c>
      <c r="I86" s="43">
        <f>IF($C86&lt;=DateToChangeLag,VLOOKUP($C86,'Result-lag'!$C$4:$I$100,6,0),VLOOKUP($C86,CurrentMtgRatesDataTable8[],6,0))</f>
        <v>4606226475.4300003</v>
      </c>
      <c r="J86" s="44">
        <f>CurrentMtgRatesDataTable934[[#This Row],[Top 10 Amount]]/CurrentMtgRatesDataTable934[[#This Row],[Total Amount]]</f>
        <v>0.84894578515123986</v>
      </c>
      <c r="K86" s="44">
        <f>CurrentMtgRatesDataTable934[[#This Row],[Top 5 Amount]]/CurrentMtgRatesDataTable934[[#This Row],[Total Amount]]</f>
        <v>0.68923290077531063</v>
      </c>
      <c r="L86" s="44">
        <f>CurrentMtgRatesDataTable934[[#This Row],[Top 1 Amount]]/CurrentMtgRatesDataTable934[[#This Row],[Total Amount]]</f>
        <v>0.22128133654971505</v>
      </c>
      <c r="M86" s="44">
        <f>CurrentMtgRatesDataTable934[[#This Row],[N/A Amount]]/CurrentMtgRatesDataTable934[[#This Row],[Total Amount]]</f>
        <v>6.3444540869338387E-2</v>
      </c>
      <c r="N86" s="49">
        <f t="shared" si="2"/>
        <v>1</v>
      </c>
    </row>
    <row r="87" spans="3:14">
      <c r="C87" s="37">
        <v>39569</v>
      </c>
      <c r="D87" s="17">
        <v>67752280712.029999</v>
      </c>
      <c r="E87" s="43">
        <f>IF(C87&lt;=DateToChangeLag,VLOOKUP(C87,'Result-lag'!$C$4:$H$100,2,0),VLOOKUP(C87,CurrentMtgRatesDataTable8[],2,0))</f>
        <v>63162385903.519997</v>
      </c>
      <c r="F87" s="43">
        <f>IF($C87&lt;=DateToChangeLag,VLOOKUP($C87,'Result-lag'!$C$4:$I$100,3,0),VLOOKUP($C87,CurrentMtgRatesDataTable8[],3,0))</f>
        <v>52635172551.659988</v>
      </c>
      <c r="G87" s="43">
        <f>IF($C87&lt;=DateToChangeLag,VLOOKUP($C87,'Result-lag'!$C$4:$I$100,4,0),VLOOKUP($C87,CurrentMtgRatesDataTable8[],4,0))</f>
        <v>42014894318.319992</v>
      </c>
      <c r="H87" s="43">
        <f>IF($C87&lt;=DateToChangeLag,VLOOKUP($C87,'Result-lag'!$C$4:$I$100,5,0),VLOOKUP($C87,CurrentMtgRatesDataTable8[],5,0))</f>
        <v>13677637389.280001</v>
      </c>
      <c r="I87" s="43">
        <f>IF($C87&lt;=DateToChangeLag,VLOOKUP($C87,'Result-lag'!$C$4:$I$100,6,0),VLOOKUP($C87,CurrentMtgRatesDataTable8[],6,0))</f>
        <v>4716019657.6199999</v>
      </c>
      <c r="J87" s="44">
        <f>CurrentMtgRatesDataTable934[[#This Row],[Top 10 Amount]]/CurrentMtgRatesDataTable934[[#This Row],[Total Amount]]</f>
        <v>0.83333097378651533</v>
      </c>
      <c r="K87" s="44">
        <f>CurrentMtgRatesDataTable934[[#This Row],[Top 5 Amount]]/CurrentMtgRatesDataTable934[[#This Row],[Total Amount]]</f>
        <v>0.6651885250582108</v>
      </c>
      <c r="L87" s="44">
        <f>CurrentMtgRatesDataTable934[[#This Row],[Top 1 Amount]]/CurrentMtgRatesDataTable934[[#This Row],[Total Amount]]</f>
        <v>0.21654719329590358</v>
      </c>
      <c r="M87" s="44">
        <f>CurrentMtgRatesDataTable934[[#This Row],[N/A Amount]]/CurrentMtgRatesDataTable934[[#This Row],[Total Amount]]</f>
        <v>7.4665001806988096E-2</v>
      </c>
      <c r="N87" s="49">
        <f t="shared" si="2"/>
        <v>1</v>
      </c>
    </row>
    <row r="88" spans="3:14">
      <c r="C88" s="37">
        <v>39539</v>
      </c>
      <c r="D88" s="17">
        <v>61021756747.739998</v>
      </c>
      <c r="E88" s="43">
        <f>IF(C88&lt;=DateToChangeLag,VLOOKUP(C88,'Result-lag'!$C$4:$H$100,2,0),VLOOKUP(C88,CurrentMtgRatesDataTable8[],2,0))</f>
        <v>56946711891.239998</v>
      </c>
      <c r="F88" s="43">
        <f>IF($C88&lt;=DateToChangeLag,VLOOKUP($C88,'Result-lag'!$C$4:$I$100,3,0),VLOOKUP($C88,CurrentMtgRatesDataTable8[],3,0))</f>
        <v>47078096575.229996</v>
      </c>
      <c r="G88" s="43">
        <f>IF($C88&lt;=DateToChangeLag,VLOOKUP($C88,'Result-lag'!$C$4:$I$100,4,0),VLOOKUP($C88,CurrentMtgRatesDataTable8[],4,0))</f>
        <v>37934628259.07</v>
      </c>
      <c r="H88" s="43">
        <f>IF($C88&lt;=DateToChangeLag,VLOOKUP($C88,'Result-lag'!$C$4:$I$100,5,0),VLOOKUP($C88,CurrentMtgRatesDataTable8[],5,0))</f>
        <v>9926586445.7800007</v>
      </c>
      <c r="I88" s="43">
        <f>IF($C88&lt;=DateToChangeLag,VLOOKUP($C88,'Result-lag'!$C$4:$I$100,6,0),VLOOKUP($C88,CurrentMtgRatesDataTable8[],6,0))</f>
        <v>4627286735.46</v>
      </c>
      <c r="J88" s="44">
        <f>CurrentMtgRatesDataTable934[[#This Row],[Top 10 Amount]]/CurrentMtgRatesDataTable934[[#This Row],[Total Amount]]</f>
        <v>0.82670438751832354</v>
      </c>
      <c r="K88" s="44">
        <f>CurrentMtgRatesDataTable934[[#This Row],[Top 5 Amount]]/CurrentMtgRatesDataTable934[[#This Row],[Total Amount]]</f>
        <v>0.66614255677342116</v>
      </c>
      <c r="L88" s="44">
        <f>CurrentMtgRatesDataTable934[[#This Row],[Top 1 Amount]]/CurrentMtgRatesDataTable934[[#This Row],[Total Amount]]</f>
        <v>0.17431360154276068</v>
      </c>
      <c r="M88" s="44">
        <f>CurrentMtgRatesDataTable934[[#This Row],[N/A Amount]]/CurrentMtgRatesDataTable934[[#This Row],[Total Amount]]</f>
        <v>8.1256433985116644E-2</v>
      </c>
      <c r="N88" s="49">
        <f t="shared" si="2"/>
        <v>1</v>
      </c>
    </row>
    <row r="89" spans="3:14">
      <c r="C89" s="37">
        <v>39508</v>
      </c>
      <c r="D89" s="17">
        <v>54036130386.260002</v>
      </c>
      <c r="E89" s="43">
        <f>IF(C89&lt;=DateToChangeLag,VLOOKUP(C89,'Result-lag'!$C$4:$H$100,2,0),VLOOKUP(C89,CurrentMtgRatesDataTable8[],2,0))</f>
        <v>82288506502.539993</v>
      </c>
      <c r="F89" s="43">
        <f>IF($C89&lt;=DateToChangeLag,VLOOKUP($C89,'Result-lag'!$C$4:$I$100,3,0),VLOOKUP($C89,CurrentMtgRatesDataTable8[],3,0))</f>
        <v>71980932056.040009</v>
      </c>
      <c r="G89" s="43">
        <f>IF($C89&lt;=DateToChangeLag,VLOOKUP($C89,'Result-lag'!$C$4:$I$100,4,0),VLOOKUP($C89,CurrentMtgRatesDataTable8[],4,0))</f>
        <v>57933017059.870003</v>
      </c>
      <c r="H89" s="43">
        <f>IF($C89&lt;=DateToChangeLag,VLOOKUP($C89,'Result-lag'!$C$4:$I$100,5,0),VLOOKUP($C89,CurrentMtgRatesDataTable8[],5,0))</f>
        <v>18869156796.220001</v>
      </c>
      <c r="I89" s="43">
        <f>IF($C89&lt;=DateToChangeLag,VLOOKUP($C89,'Result-lag'!$C$4:$I$100,6,0),VLOOKUP($C89,CurrentMtgRatesDataTable8[],6,0))</f>
        <v>2534262717.98</v>
      </c>
      <c r="J89" s="44">
        <f>CurrentMtgRatesDataTable934[[#This Row],[Top 10 Amount]]/CurrentMtgRatesDataTable934[[#This Row],[Total Amount]]</f>
        <v>0.87473858884312328</v>
      </c>
      <c r="K89" s="44">
        <f>CurrentMtgRatesDataTable934[[#This Row],[Top 5 Amount]]/CurrentMtgRatesDataTable934[[#This Row],[Total Amount]]</f>
        <v>0.70402319257163559</v>
      </c>
      <c r="L89" s="44">
        <f>CurrentMtgRatesDataTable934[[#This Row],[Top 1 Amount]]/CurrentMtgRatesDataTable934[[#This Row],[Total Amount]]</f>
        <v>0.22930488835202725</v>
      </c>
      <c r="M89" s="44">
        <f>CurrentMtgRatesDataTable934[[#This Row],[N/A Amount]]/CurrentMtgRatesDataTable934[[#This Row],[Total Amount]]</f>
        <v>3.0797286591922469E-2</v>
      </c>
      <c r="N89" s="49">
        <f t="shared" si="2"/>
        <v>1</v>
      </c>
    </row>
    <row r="90" spans="3:14">
      <c r="C90" s="37">
        <v>39479</v>
      </c>
      <c r="D90" s="17">
        <v>76264291344.479996</v>
      </c>
      <c r="E90" s="43">
        <f>IF(C90&lt;=DateToChangeLag,VLOOKUP(C90,'Result-lag'!$C$4:$H$100,2,0),VLOOKUP(C90,CurrentMtgRatesDataTable8[],2,0))</f>
        <v>58904329066.650002</v>
      </c>
      <c r="F90" s="43">
        <f>IF($C90&lt;=DateToChangeLag,VLOOKUP($C90,'Result-lag'!$C$4:$I$100,3,0),VLOOKUP($C90,CurrentMtgRatesDataTable8[],3,0))</f>
        <v>48202780379.819992</v>
      </c>
      <c r="G90" s="43">
        <f>IF($C90&lt;=DateToChangeLag,VLOOKUP($C90,'Result-lag'!$C$4:$I$100,4,0),VLOOKUP($C90,CurrentMtgRatesDataTable8[],4,0))</f>
        <v>38429714675.949997</v>
      </c>
      <c r="H90" s="43">
        <f>IF($C90&lt;=DateToChangeLag,VLOOKUP($C90,'Result-lag'!$C$4:$I$100,5,0),VLOOKUP($C90,CurrentMtgRatesDataTable8[],5,0))</f>
        <v>14202157043.27</v>
      </c>
      <c r="I90" s="43">
        <f>IF($C90&lt;=DateToChangeLag,VLOOKUP($C90,'Result-lag'!$C$4:$I$100,6,0),VLOOKUP($C90,CurrentMtgRatesDataTable8[],6,0))</f>
        <v>3365807073.5500002</v>
      </c>
      <c r="J90" s="44">
        <f>CurrentMtgRatesDataTable934[[#This Row],[Top 10 Amount]]/CurrentMtgRatesDataTable934[[#This Row],[Total Amount]]</f>
        <v>0.81832322247960332</v>
      </c>
      <c r="K90" s="44">
        <f>CurrentMtgRatesDataTable934[[#This Row],[Top 5 Amount]]/CurrentMtgRatesDataTable934[[#This Row],[Total Amount]]</f>
        <v>0.6524090043104801</v>
      </c>
      <c r="L90" s="44">
        <f>CurrentMtgRatesDataTable934[[#This Row],[Top 1 Amount]]/CurrentMtgRatesDataTable934[[#This Row],[Total Amount]]</f>
        <v>0.24110548865093293</v>
      </c>
      <c r="M90" s="44">
        <f>CurrentMtgRatesDataTable934[[#This Row],[N/A Amount]]/CurrentMtgRatesDataTable934[[#This Row],[Total Amount]]</f>
        <v>5.7140232761867187E-2</v>
      </c>
      <c r="N90" s="49">
        <f t="shared" si="2"/>
        <v>1</v>
      </c>
    </row>
    <row r="91" spans="3:14">
      <c r="C91" s="37">
        <v>39448</v>
      </c>
      <c r="D91" s="17">
        <v>55380966103.379997</v>
      </c>
      <c r="E91" s="43">
        <f>IF(C91&lt;=DateToChangeLag,VLOOKUP(C91,'Result-lag'!$C$4:$H$100,2,0),VLOOKUP(C91,CurrentMtgRatesDataTable8[],2,0))</f>
        <v>77064970164.339996</v>
      </c>
      <c r="F91" s="43">
        <f>IF($C91&lt;=DateToChangeLag,VLOOKUP($C91,'Result-lag'!$C$4:$I$100,3,0),VLOOKUP($C91,CurrentMtgRatesDataTable8[],3,0))</f>
        <v>65017340144.210007</v>
      </c>
      <c r="G91" s="43">
        <f>IF($C91&lt;=DateToChangeLag,VLOOKUP($C91,'Result-lag'!$C$4:$I$100,4,0),VLOOKUP($C91,CurrentMtgRatesDataTable8[],4,0))</f>
        <v>52356321979.840004</v>
      </c>
      <c r="H91" s="43">
        <f>IF($C91&lt;=DateToChangeLag,VLOOKUP($C91,'Result-lag'!$C$4:$I$100,5,0),VLOOKUP($C91,CurrentMtgRatesDataTable8[],5,0))</f>
        <v>19245031368.959999</v>
      </c>
      <c r="I91" s="43">
        <f>IF($C91&lt;=DateToChangeLag,VLOOKUP($C91,'Result-lag'!$C$4:$I$100,6,0),VLOOKUP($C91,CurrentMtgRatesDataTable8[],6,0))</f>
        <v>2742976340.8400002</v>
      </c>
      <c r="J91" s="44">
        <f>CurrentMtgRatesDataTable934[[#This Row],[Top 10 Amount]]/CurrentMtgRatesDataTable934[[#This Row],[Total Amount]]</f>
        <v>0.84366917946716147</v>
      </c>
      <c r="K91" s="44">
        <f>CurrentMtgRatesDataTable934[[#This Row],[Top 5 Amount]]/CurrentMtgRatesDataTable934[[#This Row],[Total Amount]]</f>
        <v>0.67937899499851695</v>
      </c>
      <c r="L91" s="44">
        <f>CurrentMtgRatesDataTable934[[#This Row],[Top 1 Amount]]/CurrentMtgRatesDataTable934[[#This Row],[Total Amount]]</f>
        <v>0.24972476246886532</v>
      </c>
      <c r="M91" s="44">
        <f>CurrentMtgRatesDataTable934[[#This Row],[N/A Amount]]/CurrentMtgRatesDataTable934[[#This Row],[Total Amount]]</f>
        <v>3.5593037082745124E-2</v>
      </c>
      <c r="N91" s="49">
        <f t="shared" si="2"/>
        <v>1</v>
      </c>
    </row>
    <row r="92" spans="3:14">
      <c r="C92" s="37">
        <v>39417</v>
      </c>
      <c r="D92" s="17">
        <v>70720993110.179993</v>
      </c>
      <c r="E92" s="43">
        <f>IF(C92&lt;=DateToChangeLag,VLOOKUP(C92,'Result-lag'!$C$4:$H$100,2,0),VLOOKUP(C92,CurrentMtgRatesDataTable8[],2,0))</f>
        <v>57339598522.279999</v>
      </c>
      <c r="F92" s="43">
        <f>IF($C92&lt;=DateToChangeLag,VLOOKUP($C92,'Result-lag'!$C$4:$I$100,3,0),VLOOKUP($C92,CurrentMtgRatesDataTable8[],3,0))</f>
        <v>46640588044.619995</v>
      </c>
      <c r="G92" s="43">
        <f>IF($C92&lt;=DateToChangeLag,VLOOKUP($C92,'Result-lag'!$C$4:$I$100,4,0),VLOOKUP($C92,CurrentMtgRatesDataTable8[],4,0))</f>
        <v>35423645321.739998</v>
      </c>
      <c r="H92" s="43">
        <f>IF($C92&lt;=DateToChangeLag,VLOOKUP($C92,'Result-lag'!$C$4:$I$100,5,0),VLOOKUP($C92,CurrentMtgRatesDataTable8[],5,0))</f>
        <v>12603633651.940001</v>
      </c>
      <c r="I92" s="43">
        <f>IF($C92&lt;=DateToChangeLag,VLOOKUP($C92,'Result-lag'!$C$4:$I$100,6,0),VLOOKUP($C92,CurrentMtgRatesDataTable8[],6,0))</f>
        <v>2642277157.3299999</v>
      </c>
      <c r="J92" s="44">
        <f>CurrentMtgRatesDataTable934[[#This Row],[Top 10 Amount]]/CurrentMtgRatesDataTable934[[#This Row],[Total Amount]]</f>
        <v>0.81340974207374728</v>
      </c>
      <c r="K92" s="44">
        <f>CurrentMtgRatesDataTable934[[#This Row],[Top 5 Amount]]/CurrentMtgRatesDataTable934[[#This Row],[Total Amount]]</f>
        <v>0.61778676925991571</v>
      </c>
      <c r="L92" s="44">
        <f>CurrentMtgRatesDataTable934[[#This Row],[Top 1 Amount]]/CurrentMtgRatesDataTable934[[#This Row],[Total Amount]]</f>
        <v>0.21980679978152803</v>
      </c>
      <c r="M92" s="44">
        <f>CurrentMtgRatesDataTable934[[#This Row],[N/A Amount]]/CurrentMtgRatesDataTable934[[#This Row],[Total Amount]]</f>
        <v>4.6081193894360994E-2</v>
      </c>
      <c r="N92" s="49">
        <f t="shared" si="2"/>
        <v>1</v>
      </c>
    </row>
    <row r="93" spans="3:14">
      <c r="C93" s="37">
        <v>39387</v>
      </c>
      <c r="D93" s="17">
        <v>56318004683</v>
      </c>
      <c r="E93" s="43">
        <f>IF(C93&lt;=DateToChangeLag,VLOOKUP(C93,'Result-lag'!$C$4:$H$100,2,0),VLOOKUP(C93,CurrentMtgRatesDataTable8[],2,0))</f>
        <v>57017095444.980003</v>
      </c>
      <c r="F93" s="43">
        <f>IF($C93&lt;=DateToChangeLag,VLOOKUP($C93,'Result-lag'!$C$4:$I$100,3,0),VLOOKUP($C93,CurrentMtgRatesDataTable8[],3,0))</f>
        <v>47384230622.669998</v>
      </c>
      <c r="G93" s="43">
        <f>IF($C93&lt;=DateToChangeLag,VLOOKUP($C93,'Result-lag'!$C$4:$I$100,4,0),VLOOKUP($C93,CurrentMtgRatesDataTable8[],4,0))</f>
        <v>37132352987.849998</v>
      </c>
      <c r="H93" s="43">
        <f>IF($C93&lt;=DateToChangeLag,VLOOKUP($C93,'Result-lag'!$C$4:$I$100,5,0),VLOOKUP($C93,CurrentMtgRatesDataTable8[],5,0))</f>
        <v>13009808173.709999</v>
      </c>
      <c r="I93" s="43">
        <f>IF($C93&lt;=DateToChangeLag,VLOOKUP($C93,'Result-lag'!$C$4:$I$100,6,0),VLOOKUP($C93,CurrentMtgRatesDataTable8[],6,0))</f>
        <v>2060441341.49</v>
      </c>
      <c r="J93" s="44">
        <f>CurrentMtgRatesDataTable934[[#This Row],[Top 10 Amount]]/CurrentMtgRatesDataTable934[[#This Row],[Total Amount]]</f>
        <v>0.83105304212478759</v>
      </c>
      <c r="K93" s="44">
        <f>CurrentMtgRatesDataTable934[[#This Row],[Top 5 Amount]]/CurrentMtgRatesDataTable934[[#This Row],[Total Amount]]</f>
        <v>0.65124946646364579</v>
      </c>
      <c r="L93" s="44">
        <f>CurrentMtgRatesDataTable934[[#This Row],[Top 1 Amount]]/CurrentMtgRatesDataTable934[[#This Row],[Total Amount]]</f>
        <v>0.22817381475112358</v>
      </c>
      <c r="M93" s="44">
        <f>CurrentMtgRatesDataTable934[[#This Row],[N/A Amount]]/CurrentMtgRatesDataTable934[[#This Row],[Total Amount]]</f>
        <v>3.6137255421547589E-2</v>
      </c>
      <c r="N93" s="49">
        <f t="shared" si="2"/>
        <v>1</v>
      </c>
    </row>
    <row r="94" spans="3:14">
      <c r="C94" s="37">
        <v>39356</v>
      </c>
      <c r="D94" s="17">
        <v>53589853815.260002</v>
      </c>
      <c r="E94" s="43">
        <f>IF(C94&lt;=DateToChangeLag,VLOOKUP(C94,'Result-lag'!$C$4:$H$100,2,0),VLOOKUP(C94,CurrentMtgRatesDataTable8[],2,0))</f>
        <v>61720788837.040001</v>
      </c>
      <c r="F94" s="43">
        <f>IF($C94&lt;=DateToChangeLag,VLOOKUP($C94,'Result-lag'!$C$4:$I$100,3,0),VLOOKUP($C94,CurrentMtgRatesDataTable8[],3,0))</f>
        <v>49150688193.139999</v>
      </c>
      <c r="G94" s="43">
        <f>IF($C94&lt;=DateToChangeLag,VLOOKUP($C94,'Result-lag'!$C$4:$I$100,4,0),VLOOKUP($C94,CurrentMtgRatesDataTable8[],4,0))</f>
        <v>40189480222.099998</v>
      </c>
      <c r="H94" s="43">
        <f>IF($C94&lt;=DateToChangeLag,VLOOKUP($C94,'Result-lag'!$C$4:$I$100,5,0),VLOOKUP($C94,CurrentMtgRatesDataTable8[],5,0))</f>
        <v>16061360740.030001</v>
      </c>
      <c r="I94" s="43">
        <f>IF($C94&lt;=DateToChangeLag,VLOOKUP($C94,'Result-lag'!$C$4:$I$100,6,0),VLOOKUP($C94,CurrentMtgRatesDataTable8[],6,0))</f>
        <v>2569971167.4499998</v>
      </c>
      <c r="J94" s="44">
        <f>CurrentMtgRatesDataTable934[[#This Row],[Top 10 Amount]]/CurrentMtgRatesDataTable934[[#This Row],[Total Amount]]</f>
        <v>0.79633927432313689</v>
      </c>
      <c r="K94" s="44">
        <f>CurrentMtgRatesDataTable934[[#This Row],[Top 5 Amount]]/CurrentMtgRatesDataTable934[[#This Row],[Total Amount]]</f>
        <v>0.65114981482513734</v>
      </c>
      <c r="L94" s="44">
        <f>CurrentMtgRatesDataTable934[[#This Row],[Top 1 Amount]]/CurrentMtgRatesDataTable934[[#This Row],[Total Amount]]</f>
        <v>0.26022610926824746</v>
      </c>
      <c r="M94" s="44">
        <f>CurrentMtgRatesDataTable934[[#This Row],[N/A Amount]]/CurrentMtgRatesDataTable934[[#This Row],[Total Amount]]</f>
        <v>4.1638663663801131E-2</v>
      </c>
      <c r="N94" s="49">
        <f t="shared" si="2"/>
        <v>1</v>
      </c>
    </row>
    <row r="95" spans="3:14">
      <c r="C95" s="37">
        <v>39326</v>
      </c>
      <c r="D95" s="17">
        <v>59519283040.339996</v>
      </c>
      <c r="E95" s="43">
        <f>IF(C95&lt;=DateToChangeLag,VLOOKUP(C95,'Result-lag'!$C$4:$H$100,2,0),VLOOKUP(C95,CurrentMtgRatesDataTable8[],2,0))</f>
        <v>58844726717.25</v>
      </c>
      <c r="F95" s="43">
        <f>IF($C95&lt;=DateToChangeLag,VLOOKUP($C95,'Result-lag'!$C$4:$I$100,3,0),VLOOKUP($C95,CurrentMtgRatesDataTable8[],3,0))</f>
        <v>48436392044.020004</v>
      </c>
      <c r="G95" s="43">
        <f>IF($C95&lt;=DateToChangeLag,VLOOKUP($C95,'Result-lag'!$C$4:$I$100,4,0),VLOOKUP($C95,CurrentMtgRatesDataTable8[],4,0))</f>
        <v>38360575429.730003</v>
      </c>
      <c r="H95" s="43">
        <f>IF($C95&lt;=DateToChangeLag,VLOOKUP($C95,'Result-lag'!$C$4:$I$100,5,0),VLOOKUP($C95,CurrentMtgRatesDataTable8[],5,0))</f>
        <v>13829268759.76</v>
      </c>
      <c r="I95" s="43">
        <f>IF($C95&lt;=DateToChangeLag,VLOOKUP($C95,'Result-lag'!$C$4:$I$100,6,0),VLOOKUP($C95,CurrentMtgRatesDataTable8[],6,0))</f>
        <v>2575823371.0500002</v>
      </c>
      <c r="J95" s="44">
        <f>CurrentMtgRatesDataTable934[[#This Row],[Top 10 Amount]]/CurrentMtgRatesDataTable934[[#This Row],[Total Amount]]</f>
        <v>0.82312204926633037</v>
      </c>
      <c r="K95" s="44">
        <f>CurrentMtgRatesDataTable934[[#This Row],[Top 5 Amount]]/CurrentMtgRatesDataTable934[[#This Row],[Total Amount]]</f>
        <v>0.6518948692557156</v>
      </c>
      <c r="L95" s="44">
        <f>CurrentMtgRatesDataTable934[[#This Row],[Top 1 Amount]]/CurrentMtgRatesDataTable934[[#This Row],[Total Amount]]</f>
        <v>0.23501288103876991</v>
      </c>
      <c r="M95" s="44">
        <f>CurrentMtgRatesDataTable934[[#This Row],[N/A Amount]]/CurrentMtgRatesDataTable934[[#This Row],[Total Amount]]</f>
        <v>4.3773223443230168E-2</v>
      </c>
      <c r="N95" s="49">
        <f t="shared" si="2"/>
        <v>1</v>
      </c>
    </row>
    <row r="96" spans="3:14">
      <c r="C96" s="37">
        <v>39295</v>
      </c>
      <c r="D96" s="17">
        <v>55852222730.150002</v>
      </c>
      <c r="E96" s="43">
        <f>IF(C96&lt;=DateToChangeLag,VLOOKUP(C96,'Result-lag'!$C$4:$H$100,2,0),VLOOKUP(C96,CurrentMtgRatesDataTable8[],2,0))</f>
        <v>66841769232.779999</v>
      </c>
      <c r="F96" s="43">
        <f>IF($C96&lt;=DateToChangeLag,VLOOKUP($C96,'Result-lag'!$C$4:$I$100,3,0),VLOOKUP($C96,CurrentMtgRatesDataTable8[],3,0))</f>
        <v>54076499065.469986</v>
      </c>
      <c r="G96" s="43">
        <f>IF($C96&lt;=DateToChangeLag,VLOOKUP($C96,'Result-lag'!$C$4:$I$100,4,0),VLOOKUP($C96,CurrentMtgRatesDataTable8[],4,0))</f>
        <v>43577028327.099991</v>
      </c>
      <c r="H96" s="43">
        <f>IF($C96&lt;=DateToChangeLag,VLOOKUP($C96,'Result-lag'!$C$4:$I$100,5,0),VLOOKUP($C96,CurrentMtgRatesDataTable8[],5,0))</f>
        <v>15188068031.41</v>
      </c>
      <c r="I96" s="43">
        <f>IF($C96&lt;=DateToChangeLag,VLOOKUP($C96,'Result-lag'!$C$4:$I$100,6,0),VLOOKUP($C96,CurrentMtgRatesDataTable8[],6,0))</f>
        <v>3267541007.4200001</v>
      </c>
      <c r="J96" s="44">
        <f>CurrentMtgRatesDataTable934[[#This Row],[Top 10 Amount]]/CurrentMtgRatesDataTable934[[#This Row],[Total Amount]]</f>
        <v>0.80902255709518578</v>
      </c>
      <c r="K96" s="44">
        <f>CurrentMtgRatesDataTable934[[#This Row],[Top 5 Amount]]/CurrentMtgRatesDataTable934[[#This Row],[Total Amount]]</f>
        <v>0.65194307133524076</v>
      </c>
      <c r="L96" s="44">
        <f>CurrentMtgRatesDataTable934[[#This Row],[Top 1 Amount]]/CurrentMtgRatesDataTable934[[#This Row],[Total Amount]]</f>
        <v>0.22722420734431414</v>
      </c>
      <c r="M96" s="44">
        <f>CurrentMtgRatesDataTable934[[#This Row],[N/A Amount]]/CurrentMtgRatesDataTable934[[#This Row],[Total Amount]]</f>
        <v>4.8884717519080259E-2</v>
      </c>
      <c r="N96" s="49">
        <f t="shared" si="2"/>
        <v>1</v>
      </c>
    </row>
    <row r="97" spans="3:14">
      <c r="C97" s="37">
        <v>39203</v>
      </c>
      <c r="D97" s="17">
        <v>58241869995.239998</v>
      </c>
      <c r="E97" s="43">
        <f>IF(C97&lt;=DateToChangeLag,VLOOKUP(C97,'Result-lag'!$C$4:$H$100,2,0),VLOOKUP(C97,CurrentMtgRatesDataTable8[],2,0))</f>
        <v>55030123991.339996</v>
      </c>
      <c r="F97" s="43">
        <f>IF($C97&lt;=DateToChangeLag,VLOOKUP($C97,'Result-lag'!$C$4:$I$100,3,0),VLOOKUP($C97,CurrentMtgRatesDataTable8[],3,0))</f>
        <v>45163385837.460007</v>
      </c>
      <c r="G97" s="43">
        <f>IF($C97&lt;=DateToChangeLag,VLOOKUP($C97,'Result-lag'!$C$4:$I$100,4,0),VLOOKUP($C97,CurrentMtgRatesDataTable8[],4,0))</f>
        <v>38184312925.010002</v>
      </c>
      <c r="H97" s="43">
        <f>IF($C97&lt;=DateToChangeLag,VLOOKUP($C97,'Result-lag'!$C$4:$I$100,5,0),VLOOKUP($C97,CurrentMtgRatesDataTable8[],5,0))</f>
        <v>14589989652.360001</v>
      </c>
      <c r="I97" s="43">
        <f>IF($C97&lt;=DateToChangeLag,VLOOKUP($C97,'Result-lag'!$C$4:$I$100,6,0),VLOOKUP($C97,CurrentMtgRatesDataTable8[],6,0))</f>
        <v>2772906165.9000001</v>
      </c>
      <c r="J97" s="44">
        <f>CurrentMtgRatesDataTable934[[#This Row],[Top 10 Amount]]/CurrentMtgRatesDataTable934[[#This Row],[Total Amount]]</f>
        <v>0.82070296342721849</v>
      </c>
      <c r="K97" s="44">
        <f>CurrentMtgRatesDataTable934[[#This Row],[Top 5 Amount]]/CurrentMtgRatesDataTable934[[#This Row],[Total Amount]]</f>
        <v>0.69388019062103157</v>
      </c>
      <c r="L97" s="44">
        <f>CurrentMtgRatesDataTable934[[#This Row],[Top 1 Amount]]/CurrentMtgRatesDataTable934[[#This Row],[Total Amount]]</f>
        <v>0.26512732652857557</v>
      </c>
      <c r="M97" s="44">
        <f>CurrentMtgRatesDataTable934[[#This Row],[N/A Amount]]/CurrentMtgRatesDataTable934[[#This Row],[Total Amount]]</f>
        <v>5.0388877305389462E-2</v>
      </c>
      <c r="N97" s="49">
        <f t="shared" si="2"/>
        <v>1</v>
      </c>
    </row>
    <row r="98" spans="3:14">
      <c r="C98" s="59">
        <v>39173</v>
      </c>
      <c r="D98" s="60">
        <v>51130390876.290001</v>
      </c>
      <c r="E98" s="61">
        <f>IF(C98&lt;=DateToChangeLag,VLOOKUP(C98,'Result-lag'!$C$4:$H$100,2,0),VLOOKUP(C98,CurrentMtgRatesDataTable8[],2,0))</f>
        <v>52540646459.18</v>
      </c>
      <c r="F98" s="61">
        <f>IF($C98&lt;=DateToChangeLag,VLOOKUP($C98,'Result-lag'!$C$4:$I$100,3,0),VLOOKUP($C98,CurrentMtgRatesDataTable8[],3,0))</f>
        <v>44612018493.380005</v>
      </c>
      <c r="G98" s="61">
        <f>IF($C98&lt;=DateToChangeLag,VLOOKUP($C98,'Result-lag'!$C$4:$I$100,4,0),VLOOKUP($C98,CurrentMtgRatesDataTable8[],4,0))</f>
        <v>36456608651.970001</v>
      </c>
      <c r="H98" s="61">
        <f>IF($C98&lt;=DateToChangeLag,VLOOKUP($C98,'Result-lag'!$C$4:$I$100,5,0),VLOOKUP($C98,CurrentMtgRatesDataTable8[],5,0))</f>
        <v>13440547910.5</v>
      </c>
      <c r="I98" s="61">
        <f>IF($C98&lt;=DateToChangeLag,VLOOKUP($C98,'Result-lag'!$C$4:$I$100,6,0),VLOOKUP($C98,CurrentMtgRatesDataTable8[],6,0))</f>
        <v>1582934759.3800001</v>
      </c>
      <c r="J98" s="62">
        <f>CurrentMtgRatesDataTable934[[#This Row],[Top 10 Amount]]/CurrentMtgRatesDataTable934[[#This Row],[Total Amount]]</f>
        <v>0.84909534807570508</v>
      </c>
      <c r="K98" s="62">
        <f>CurrentMtgRatesDataTable934[[#This Row],[Top 5 Amount]]/CurrentMtgRatesDataTable934[[#This Row],[Total Amount]]</f>
        <v>0.69387438314627425</v>
      </c>
      <c r="L98" s="62">
        <f>CurrentMtgRatesDataTable934[[#This Row],[Top 1 Amount]]/CurrentMtgRatesDataTable934[[#This Row],[Total Amount]]</f>
        <v>0.25581238177079269</v>
      </c>
      <c r="M98" s="62">
        <f>CurrentMtgRatesDataTable934[[#This Row],[N/A Amount]]/CurrentMtgRatesDataTable934[[#This Row],[Total Amount]]</f>
        <v>3.0127812770819586E-2</v>
      </c>
      <c r="N98" s="63">
        <f t="shared" si="2"/>
        <v>1</v>
      </c>
    </row>
    <row r="99" spans="3:14">
      <c r="C99" s="37">
        <v>39142</v>
      </c>
      <c r="D99" s="17">
        <v>47629783273.940002</v>
      </c>
      <c r="E99" s="43">
        <f>IF(C99&lt;=DateToChangeLag,VLOOKUP(C99,'Result-lag'!$C$4:$H$100,2,0),VLOOKUP(C99,CurrentMtgRatesDataTable8[],2,0))</f>
        <v>47757143575.32</v>
      </c>
      <c r="F99" s="43">
        <f>IF($C99&lt;=DateToChangeLag,VLOOKUP($C99,'Result-lag'!$C$4:$I$100,3,0),VLOOKUP($C99,CurrentMtgRatesDataTable8[],3,0))</f>
        <v>39699963461.440002</v>
      </c>
      <c r="G99" s="43">
        <f>IF($C99&lt;=DateToChangeLag,VLOOKUP($C99,'Result-lag'!$C$4:$I$100,4,0),VLOOKUP($C99,CurrentMtgRatesDataTable8[],4,0))</f>
        <v>31729643578.310001</v>
      </c>
      <c r="H99" s="43">
        <f>IF($C99&lt;=DateToChangeLag,VLOOKUP($C99,'Result-lag'!$C$4:$I$100,5,0),VLOOKUP($C99,CurrentMtgRatesDataTable8[],5,0))</f>
        <v>11915399053.1</v>
      </c>
      <c r="I99" s="43">
        <f>IF($C99&lt;=DateToChangeLag,VLOOKUP($C99,'Result-lag'!$C$4:$I$100,6,0),VLOOKUP($C99,CurrentMtgRatesDataTable8[],6,0))</f>
        <v>1672712786.0699999</v>
      </c>
      <c r="J99" s="44">
        <f>CurrentMtgRatesDataTable934[[#This Row],[Top 10 Amount]]/CurrentMtgRatesDataTable934[[#This Row],[Total Amount]]</f>
        <v>0.83128848355068297</v>
      </c>
      <c r="K99" s="44">
        <f>CurrentMtgRatesDataTable934[[#This Row],[Top 5 Amount]]/CurrentMtgRatesDataTable934[[#This Row],[Total Amount]]</f>
        <v>0.66439575742773882</v>
      </c>
      <c r="L99" s="44">
        <f>CurrentMtgRatesDataTable934[[#This Row],[Top 1 Amount]]/CurrentMtgRatesDataTable934[[#This Row],[Total Amount]]</f>
        <v>0.24949982685433592</v>
      </c>
      <c r="M99" s="44">
        <f>CurrentMtgRatesDataTable934[[#This Row],[N/A Amount]]/CurrentMtgRatesDataTable934[[#This Row],[Total Amount]]</f>
        <v>3.5025394335653416E-2</v>
      </c>
      <c r="N99" s="49">
        <f t="shared" si="2"/>
        <v>1</v>
      </c>
    </row>
    <row r="100" spans="3:14">
      <c r="C100" s="37">
        <v>39114</v>
      </c>
      <c r="D100" s="17">
        <v>46067240921.730003</v>
      </c>
      <c r="E100" s="43">
        <f>IF(C100&lt;=DateToChangeLag,VLOOKUP(C100,'Result-lag'!$C$4:$H$100,2,0),VLOOKUP(C100,CurrentMtgRatesDataTable8[],2,0))</f>
        <v>52453433791.699997</v>
      </c>
      <c r="F100" s="43">
        <f>IF($C100&lt;=DateToChangeLag,VLOOKUP($C100,'Result-lag'!$C$4:$I$100,3,0),VLOOKUP($C100,CurrentMtgRatesDataTable8[],3,0))</f>
        <v>44459010974.660011</v>
      </c>
      <c r="G100" s="43">
        <f>IF($C100&lt;=DateToChangeLag,VLOOKUP($C100,'Result-lag'!$C$4:$I$100,4,0),VLOOKUP($C100,CurrentMtgRatesDataTable8[],4,0))</f>
        <v>37335367110.779999</v>
      </c>
      <c r="H100" s="43">
        <f>IF($C100&lt;=DateToChangeLag,VLOOKUP($C100,'Result-lag'!$C$4:$I$100,5,0),VLOOKUP($C100,CurrentMtgRatesDataTable8[],5,0))</f>
        <v>14906336717.870001</v>
      </c>
      <c r="I100" s="43">
        <f>IF($C100&lt;=DateToChangeLag,VLOOKUP($C100,'Result-lag'!$C$4:$I$100,6,0),VLOOKUP($C100,CurrentMtgRatesDataTable8[],6,0))</f>
        <v>1679990333.1500001</v>
      </c>
      <c r="J100" s="44">
        <f>CurrentMtgRatesDataTable934[[#This Row],[Top 10 Amount]]/CurrentMtgRatesDataTable934[[#This Row],[Total Amount]]</f>
        <v>0.84759009584030343</v>
      </c>
      <c r="K100" s="44">
        <f>CurrentMtgRatesDataTable934[[#This Row],[Top 5 Amount]]/CurrentMtgRatesDataTable934[[#This Row],[Total Amount]]</f>
        <v>0.71178118212515928</v>
      </c>
      <c r="L100" s="44">
        <f>CurrentMtgRatesDataTable934[[#This Row],[Top 1 Amount]]/CurrentMtgRatesDataTable934[[#This Row],[Total Amount]]</f>
        <v>0.2841822858931442</v>
      </c>
      <c r="M100" s="44">
        <f>CurrentMtgRatesDataTable934[[#This Row],[N/A Amount]]/CurrentMtgRatesDataTable934[[#This Row],[Total Amount]]</f>
        <v>3.2028224116298645E-2</v>
      </c>
      <c r="N100" s="49">
        <f t="shared" si="2"/>
        <v>1</v>
      </c>
    </row>
    <row r="101" spans="3:14">
      <c r="C101" s="64">
        <v>39083</v>
      </c>
      <c r="D101" s="65">
        <v>49068464062.099998</v>
      </c>
      <c r="E101" s="66">
        <f>IF(C101&lt;=DateToChangeLag,VLOOKUP(C101,'Result-lag'!$C$4:$H$100,2,0),VLOOKUP(C101,CurrentMtgRatesDataTable8[],2,0))</f>
        <v>48986973755.699997</v>
      </c>
      <c r="F101" s="66">
        <f>IF($C101&lt;=DateToChangeLag,VLOOKUP($C101,'Result-lag'!$C$4:$I$100,3,0),VLOOKUP($C101,CurrentMtgRatesDataTable8[],3,0))</f>
        <v>40280509023.150002</v>
      </c>
      <c r="G101" s="66">
        <f>IF($C101&lt;=DateToChangeLag,VLOOKUP($C101,'Result-lag'!$C$4:$I$100,4,0),VLOOKUP($C101,CurrentMtgRatesDataTable8[],4,0))</f>
        <v>32982461525.719997</v>
      </c>
      <c r="H101" s="66">
        <f>IF($C101&lt;=DateToChangeLag,VLOOKUP($C101,'Result-lag'!$C$4:$I$100,5,0),VLOOKUP($C101,CurrentMtgRatesDataTable8[],5,0))</f>
        <v>12068562737.24</v>
      </c>
      <c r="I101" s="66">
        <f>IF($C101&lt;=DateToChangeLag,VLOOKUP($C101,'Result-lag'!$C$4:$I$100,6,0),VLOOKUP($C101,CurrentMtgRatesDataTable8[],6,0))</f>
        <v>1805491105.6700001</v>
      </c>
      <c r="J101" s="67">
        <f>CurrentMtgRatesDataTable934[[#This Row],[Top 10 Amount]]/CurrentMtgRatesDataTable934[[#This Row],[Total Amount]]</f>
        <v>0.82226979817186741</v>
      </c>
      <c r="K101" s="67">
        <f>CurrentMtgRatesDataTable934[[#This Row],[Top 5 Amount]]/CurrentMtgRatesDataTable934[[#This Row],[Total Amount]]</f>
        <v>0.67329044839970842</v>
      </c>
      <c r="L101" s="67">
        <f>CurrentMtgRatesDataTable934[[#This Row],[Top 1 Amount]]/CurrentMtgRatesDataTable934[[#This Row],[Total Amount]]</f>
        <v>0.24636269220112281</v>
      </c>
      <c r="M101" s="67">
        <f>CurrentMtgRatesDataTable934[[#This Row],[N/A Amount]]/CurrentMtgRatesDataTable934[[#This Row],[Total Amount]]</f>
        <v>3.6856555268632366E-2</v>
      </c>
      <c r="N101" s="68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topLeftCell="B1" workbookViewId="0">
      <selection activeCell="C49" sqref="C49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61</v>
      </c>
      <c r="E3" s="10" t="s">
        <v>66</v>
      </c>
      <c r="F3" s="10" t="s">
        <v>67</v>
      </c>
      <c r="G3" s="10" t="s">
        <v>68</v>
      </c>
      <c r="H3" s="10" t="s">
        <v>69</v>
      </c>
      <c r="I3" s="10" t="s">
        <v>70</v>
      </c>
      <c r="J3" s="10"/>
      <c r="K3" s="10"/>
      <c r="L3" s="10" t="s">
        <v>66</v>
      </c>
      <c r="M3" s="10" t="s">
        <v>67</v>
      </c>
      <c r="N3" s="10" t="s">
        <v>68</v>
      </c>
      <c r="O3" s="10" t="s">
        <v>69</v>
      </c>
      <c r="P3" s="10" t="s">
        <v>70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0.84759009584030343</v>
      </c>
      <c r="M5" s="7">
        <f t="shared" ref="M5:M34" si="3">F5/$D5</f>
        <v>0.71178118212515928</v>
      </c>
      <c r="N5" s="7">
        <f t="shared" ref="N5:N34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53760589759.599998</v>
      </c>
      <c r="F33" s="8">
        <f>VLOOKUP(C33,'Pivot - lag'!$I$4:$J$144,2,0)</f>
        <v>46530707556.220001</v>
      </c>
      <c r="G33" s="8">
        <f>VLOOKUP(C33,'Pivot - lag'!$M$3:$N$144,2,0)</f>
        <v>17966598426.119999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0.68540251907737237</v>
      </c>
      <c r="M33" s="7">
        <f t="shared" si="3"/>
        <v>0.59322757276468918</v>
      </c>
      <c r="N33" s="7">
        <f t="shared" si="4"/>
        <v>0.22905909097314606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39894122778.360001</v>
      </c>
      <c r="F34" s="8">
        <f>VLOOKUP(C34,'Pivot - lag'!$I$4:$J$144,2,0)</f>
        <v>34767572988.950005</v>
      </c>
      <c r="G34" s="8">
        <f>VLOOKUP(C34,'Pivot - lag'!$M$3:$N$144,2,0)</f>
        <v>14871497530.26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0.66841729368308134</v>
      </c>
      <c r="M34" s="7">
        <f t="shared" si="3"/>
        <v>0.58252307424613325</v>
      </c>
      <c r="N34" s="7">
        <f t="shared" si="4"/>
        <v>0.24916868550830817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39812999208.309998</v>
      </c>
      <c r="F35" s="8">
        <f>VLOOKUP(C35,'Pivot - lag'!$I$4:$J$144,2,0)</f>
        <v>36252925794.540001</v>
      </c>
      <c r="G35" s="8">
        <f>VLOOKUP(C35,'Pivot - lag'!$M$3:$N$144,2,0)</f>
        <v>15019540836.5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0.70607913097161878</v>
      </c>
      <c r="M35" s="7">
        <f t="shared" ref="M35:M66" si="7">F35/$D35</f>
        <v>0.64294162331896221</v>
      </c>
      <c r="N35" s="7">
        <f t="shared" ref="N35:N66" si="8">G35/$D35</f>
        <v>0.26636989305782133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27299803699.289993</v>
      </c>
      <c r="F36" s="8">
        <f>VLOOKUP(C36,'Pivot - lag'!$I$4:$J$144,2,0)</f>
        <v>23964218032.68</v>
      </c>
      <c r="G36" s="8">
        <f>VLOOKUP(C36,'Pivot - lag'!$M$3:$N$144,2,0)</f>
        <v>9801952065.9599991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0.72782691587093595</v>
      </c>
      <c r="M36" s="7">
        <f t="shared" si="7"/>
        <v>0.6388984731944346</v>
      </c>
      <c r="N36" s="7">
        <f t="shared" si="8"/>
        <v>0.26132512234393679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26456405845.639999</v>
      </c>
      <c r="F37" s="8">
        <f>VLOOKUP(C37,'Pivot - lag'!$I$4:$J$144,2,0)</f>
        <v>22409303287.959999</v>
      </c>
      <c r="G37" s="8">
        <f>VLOOKUP(C37,'Pivot - lag'!$M$3:$N$144,2,0)</f>
        <v>7919040750.3400002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0.72465753151748546</v>
      </c>
      <c r="M37" s="7">
        <f t="shared" si="7"/>
        <v>0.61380485688141773</v>
      </c>
      <c r="N37" s="7">
        <f t="shared" si="8"/>
        <v>0.21690748757067005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35319041802.149994</v>
      </c>
      <c r="F38" s="8">
        <f>VLOOKUP(C38,'Pivot - lag'!$I$4:$J$144,2,0)</f>
        <v>30473732956.160004</v>
      </c>
      <c r="G38" s="8">
        <f>VLOOKUP(C38,'Pivot - lag'!$M$3:$N$144,2,0)</f>
        <v>11776429345.26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0.7479507732683085</v>
      </c>
      <c r="M38" s="7">
        <f t="shared" si="7"/>
        <v>0.6453417467159126</v>
      </c>
      <c r="N38" s="7">
        <f t="shared" si="8"/>
        <v>0.24938925253036257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28320981212.270004</v>
      </c>
      <c r="F39" s="8">
        <f>VLOOKUP(C39,'Pivot - lag'!$I$4:$J$144,2,0)</f>
        <v>25122317383.700001</v>
      </c>
      <c r="G39" s="8">
        <f>VLOOKUP(C39,'Pivot - lag'!$M$3:$N$144,2,0)</f>
        <v>10182718045.91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0.7216283163555367</v>
      </c>
      <c r="M39" s="7">
        <f t="shared" si="7"/>
        <v>0.64012526475228637</v>
      </c>
      <c r="N39" s="7">
        <f t="shared" si="8"/>
        <v>0.25945914883095961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31459049797.27</v>
      </c>
      <c r="F40" s="8">
        <f>VLOOKUP(C40,'Pivot - lag'!$I$4:$J$144,2,0)</f>
        <v>28719429399.230003</v>
      </c>
      <c r="G40" s="8">
        <f>VLOOKUP(C40,'Pivot - lag'!$M$3:$N$144,2,0)</f>
        <v>10733753561.620001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0.77198987761874016</v>
      </c>
      <c r="M40" s="7">
        <f t="shared" si="7"/>
        <v>0.70476091713093048</v>
      </c>
      <c r="N40" s="7">
        <f t="shared" si="8"/>
        <v>0.26340112469461252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27234086431.32</v>
      </c>
      <c r="F41" s="8">
        <f>VLOOKUP(C41,'Pivot - lag'!$I$4:$J$144,2,0)</f>
        <v>24936256082.669998</v>
      </c>
      <c r="G41" s="8">
        <f>VLOOKUP(C41,'Pivot - lag'!$M$3:$N$144,2,0)</f>
        <v>8010432484.8699999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0.78950295541143867</v>
      </c>
      <c r="M41" s="7">
        <f t="shared" si="7"/>
        <v>0.72288996819528029</v>
      </c>
      <c r="N41" s="7">
        <f t="shared" si="8"/>
        <v>0.23221855217642162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26609020930.07</v>
      </c>
      <c r="F42" s="8">
        <f>VLOOKUP(C42,'Pivot - lag'!$I$4:$J$144,2,0)</f>
        <v>23855723365.02</v>
      </c>
      <c r="G42" s="8">
        <f>VLOOKUP(C42,'Pivot - lag'!$M$3:$N$144,2,0)</f>
        <v>9793443604.5200005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0.76989769902918825</v>
      </c>
      <c r="M42" s="7">
        <f t="shared" si="7"/>
        <v>0.69023458531878512</v>
      </c>
      <c r="N42" s="7">
        <f t="shared" si="8"/>
        <v>0.28336065864683552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26223578219.900002</v>
      </c>
      <c r="F43" s="8">
        <f>VLOOKUP(C43,'Pivot - lag'!$I$4:$J$144,2,0)</f>
        <v>23124403168.75</v>
      </c>
      <c r="G43" s="8">
        <f>VLOOKUP(C43,'Pivot - lag'!$M$3:$N$144,2,0)</f>
        <v>8799294787.6299992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0.77945106571302991</v>
      </c>
      <c r="M43" s="7">
        <f t="shared" si="7"/>
        <v>0.68733338153608714</v>
      </c>
      <c r="N43" s="7">
        <f t="shared" si="8"/>
        <v>0.26154400601732475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26520322604.389996</v>
      </c>
      <c r="F44" s="8">
        <f>VLOOKUP(C44,'Pivot - lag'!$I$4:$J$144,2,0)</f>
        <v>23335905743.639999</v>
      </c>
      <c r="G44" s="8">
        <f>VLOOKUP(C44,'Pivot - lag'!$M$3:$N$144,2,0)</f>
        <v>7934970468.3800001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0.7156254786099453</v>
      </c>
      <c r="M44" s="7">
        <f t="shared" si="7"/>
        <v>0.62969704274353655</v>
      </c>
      <c r="N44" s="7">
        <f t="shared" si="8"/>
        <v>0.21411757028363768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27609609986.340004</v>
      </c>
      <c r="F45" s="8">
        <f>VLOOKUP(C45,'Pivot - lag'!$I$4:$J$144,2,0)</f>
        <v>24661759514.200001</v>
      </c>
      <c r="G45" s="8">
        <f>VLOOKUP(C45,'Pivot - lag'!$M$3:$N$144,2,0)</f>
        <v>8650842881.4500008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0.70883899100929548</v>
      </c>
      <c r="M45" s="7">
        <f t="shared" si="7"/>
        <v>0.63315696017467626</v>
      </c>
      <c r="N45" s="7">
        <f t="shared" si="8"/>
        <v>0.22209856432238018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29617439853.449997</v>
      </c>
      <c r="F46" s="8">
        <f>VLOOKUP(C46,'Pivot - lag'!$I$4:$J$144,2,0)</f>
        <v>24683867685.949997</v>
      </c>
      <c r="G46" s="8">
        <f>VLOOKUP(C46,'Pivot - lag'!$M$3:$N$144,2,0)</f>
        <v>10264966285.639999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0.66959692627896616</v>
      </c>
      <c r="M46" s="7">
        <f t="shared" si="7"/>
        <v>0.55805775289735315</v>
      </c>
      <c r="N46" s="7">
        <f t="shared" si="8"/>
        <v>0.23207238394783508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48553977687.410004</v>
      </c>
      <c r="F47" s="8">
        <f>VLOOKUP(C47,'Pivot - lag'!$I$4:$J$144,2,0)</f>
        <v>41844668760.610001</v>
      </c>
      <c r="G47" s="8">
        <f>VLOOKUP(C47,'Pivot - lag'!$M$3:$N$144,2,0)</f>
        <v>12567511433.07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0.73036670298927497</v>
      </c>
      <c r="M47" s="7">
        <f t="shared" si="7"/>
        <v>0.62944282252470773</v>
      </c>
      <c r="N47" s="7">
        <f t="shared" si="8"/>
        <v>0.18904510664903632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43379866845</v>
      </c>
      <c r="F48" s="8">
        <f>VLOOKUP(C48,'Pivot - lag'!$I$4:$J$144,2,0)</f>
        <v>37014631071.25</v>
      </c>
      <c r="G48" s="8">
        <f>VLOOKUP(C48,'Pivot - lag'!$M$3:$N$144,2,0)</f>
        <v>13640971298.67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0.65579387630658992</v>
      </c>
      <c r="M48" s="7">
        <f t="shared" si="7"/>
        <v>0.5595676094859019</v>
      </c>
      <c r="N48" s="7">
        <f t="shared" si="8"/>
        <v>0.20621698716838782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43249158270.020004</v>
      </c>
      <c r="F49" s="8">
        <f>VLOOKUP(C49,'Pivot - lag'!$I$4:$J$144,2,0)</f>
        <v>35056160439.300003</v>
      </c>
      <c r="G49" s="8">
        <f>VLOOKUP(C49,'Pivot - lag'!$M$3:$N$144,2,0)</f>
        <v>12770630060.530001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0.62612998295673794</v>
      </c>
      <c r="M49" s="7">
        <f t="shared" si="7"/>
        <v>0.50751769552016823</v>
      </c>
      <c r="N49" s="7">
        <f t="shared" si="8"/>
        <v>0.18488393073974052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53353328128.620003</v>
      </c>
      <c r="F50" s="8">
        <f>VLOOKUP(C50,'Pivot - lag'!$I$4:$J$144,2,0)</f>
        <v>47334757648.860001</v>
      </c>
      <c r="G50" s="8">
        <f>VLOOKUP(C50,'Pivot - lag'!$M$3:$N$144,2,0)</f>
        <v>14069204024.26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0.67404582655922252</v>
      </c>
      <c r="M50" s="7">
        <f t="shared" si="7"/>
        <v>0.59800947688755879</v>
      </c>
      <c r="N50" s="7">
        <f t="shared" si="8"/>
        <v>0.17774501775598905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44854076167.450005</v>
      </c>
      <c r="F51" s="8">
        <f>VLOOKUP(C51,'Pivot - lag'!$I$4:$J$144,2,0)</f>
        <v>37868286535.940002</v>
      </c>
      <c r="G51" s="8">
        <f>VLOOKUP(C51,'Pivot - lag'!$M$3:$N$144,2,0)</f>
        <v>14638512908.190001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0.70343448670880093</v>
      </c>
      <c r="M51" s="7">
        <f t="shared" si="7"/>
        <v>0.59387821527091189</v>
      </c>
      <c r="N51" s="7">
        <f t="shared" si="8"/>
        <v>0.22957188495669772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35830274691.750008</v>
      </c>
      <c r="F52" s="8">
        <f>VLOOKUP(C52,'Pivot - lag'!$I$4:$J$144,2,0)</f>
        <v>30847095003.530003</v>
      </c>
      <c r="G52" s="8">
        <f>VLOOKUP(C52,'Pivot - lag'!$M$3:$N$144,2,0)</f>
        <v>12508600905.84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0.73305556458319487</v>
      </c>
      <c r="M52" s="7">
        <f t="shared" si="7"/>
        <v>0.63110413855606695</v>
      </c>
      <c r="N52" s="7">
        <f t="shared" si="8"/>
        <v>0.25591485351597654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36884767125.040001</v>
      </c>
      <c r="F53" s="8">
        <f>VLOOKUP(C53,'Pivot - lag'!$I$4:$J$144,2,0)</f>
        <v>31995951520.699997</v>
      </c>
      <c r="G53" s="8">
        <f>VLOOKUP(C53,'Pivot - lag'!$M$3:$N$144,2,0)</f>
        <v>9375011832.8899994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0.72670312561160377</v>
      </c>
      <c r="M53" s="7">
        <f t="shared" si="7"/>
        <v>0.63038375430667215</v>
      </c>
      <c r="N53" s="7">
        <f t="shared" si="8"/>
        <v>0.18470634174024339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21690523607.799999</v>
      </c>
      <c r="F54" s="8">
        <f>VLOOKUP(C54,'Pivot - lag'!$I$4:$J$144,2,0)</f>
        <v>18885096162.080002</v>
      </c>
      <c r="G54" s="8">
        <f>VLOOKUP(C54,'Pivot - lag'!$M$3:$N$144,2,0)</f>
        <v>7263200622.4200001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0.70412311819884632</v>
      </c>
      <c r="M54" s="7">
        <f t="shared" si="7"/>
        <v>0.61305264167744788</v>
      </c>
      <c r="N54" s="7">
        <f t="shared" si="8"/>
        <v>0.23577980701780243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20046661700.739998</v>
      </c>
      <c r="F55" s="8">
        <f>VLOOKUP(C55,'Pivot - lag'!$I$4:$J$144,2,0)</f>
        <v>17263633854.200001</v>
      </c>
      <c r="G55" s="8">
        <f>VLOOKUP(C55,'Pivot - lag'!$M$3:$N$144,2,0)</f>
        <v>6560805145.7200003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0.69906734837567486</v>
      </c>
      <c r="M55" s="7">
        <f t="shared" si="7"/>
        <v>0.60201757888390139</v>
      </c>
      <c r="N55" s="7">
        <f t="shared" si="8"/>
        <v>0.22878844991226946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23865091870.369999</v>
      </c>
      <c r="F56" s="8">
        <f>VLOOKUP(C56,'Pivot - lag'!$I$4:$J$144,2,0)</f>
        <v>20775371363.949997</v>
      </c>
      <c r="G56" s="8">
        <f>VLOOKUP(C56,'Pivot - lag'!$M$3:$N$144,2,0)</f>
        <v>7723507087.5699997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0.72803724129952629</v>
      </c>
      <c r="M56" s="7">
        <f t="shared" si="7"/>
        <v>0.63378109487029743</v>
      </c>
      <c r="N56" s="7">
        <f t="shared" si="8"/>
        <v>0.23561613857322325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19227300217.380001</v>
      </c>
      <c r="F57" s="8">
        <f>VLOOKUP(C57,'Pivot - lag'!$I$4:$J$144,2,0)</f>
        <v>16628425568.720001</v>
      </c>
      <c r="G57" s="8">
        <f>VLOOKUP(C57,'Pivot - lag'!$M$3:$N$144,2,0)</f>
        <v>5076597395.6099997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0.68268030583218564</v>
      </c>
      <c r="M57" s="7">
        <f t="shared" si="7"/>
        <v>0.59040523237371945</v>
      </c>
      <c r="N57" s="7">
        <f t="shared" si="8"/>
        <v>0.18024855405800505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24060651555.790005</v>
      </c>
      <c r="F58" s="8">
        <f>VLOOKUP(C58,'Pivot - lag'!$I$4:$J$144,2,0)</f>
        <v>20110317816.27</v>
      </c>
      <c r="G58" s="8">
        <f>VLOOKUP(C58,'Pivot - lag'!$M$3:$N$144,2,0)</f>
        <v>8026484432.2399998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0.67195896023622037</v>
      </c>
      <c r="M58" s="7">
        <f t="shared" si="7"/>
        <v>0.56163517511182515</v>
      </c>
      <c r="N58" s="7">
        <f t="shared" si="8"/>
        <v>0.2241613499507375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31033821212.829994</v>
      </c>
      <c r="F59" s="8">
        <f>VLOOKUP(C59,'Pivot - lag'!$I$4:$J$144,2,0)</f>
        <v>26646989296.510002</v>
      </c>
      <c r="G59" s="8">
        <f>VLOOKUP(C59,'Pivot - lag'!$M$3:$N$144,2,0)</f>
        <v>9630208171.6000004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0.70734096133000712</v>
      </c>
      <c r="M59" s="7">
        <f t="shared" si="7"/>
        <v>0.60735372857505066</v>
      </c>
      <c r="N59" s="7">
        <f t="shared" si="8"/>
        <v>0.21949732387745682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30575938219.929993</v>
      </c>
      <c r="F60" s="8">
        <f>VLOOKUP(C60,'Pivot - lag'!$I$4:$J$144,2,0)</f>
        <v>24414679942.879997</v>
      </c>
      <c r="G60" s="8">
        <f>VLOOKUP(C60,'Pivot - lag'!$M$3:$N$144,2,0)</f>
        <v>11686443131.879999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0.62715853156865475</v>
      </c>
      <c r="M60" s="7">
        <f t="shared" si="7"/>
        <v>0.50078184720149421</v>
      </c>
      <c r="N60" s="7">
        <f t="shared" si="8"/>
        <v>0.23970654509869141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39303489223.970001</v>
      </c>
      <c r="F61" s="8">
        <f>VLOOKUP(C61,'Pivot - lag'!$I$4:$J$144,2,0)</f>
        <v>33026093818.93</v>
      </c>
      <c r="G61" s="8">
        <f>VLOOKUP(C61,'Pivot - lag'!$M$3:$N$144,2,0)</f>
        <v>14402413671.309999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0.65160506996569434</v>
      </c>
      <c r="M61" s="7">
        <f t="shared" si="7"/>
        <v>0.54753332588225001</v>
      </c>
      <c r="N61" s="7">
        <f t="shared" si="8"/>
        <v>0.23877487605465297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48205975760.459999</v>
      </c>
      <c r="F62" s="8">
        <f>VLOOKUP(C62,'Pivot - lag'!$I$4:$J$144,2,0)</f>
        <v>42363665721.82</v>
      </c>
      <c r="G62" s="8">
        <f>VLOOKUP(C62,'Pivot - lag'!$M$3:$N$144,2,0)</f>
        <v>23209079451.07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0.66446746530531131</v>
      </c>
      <c r="M62" s="7">
        <f t="shared" si="7"/>
        <v>0.5839375127078773</v>
      </c>
      <c r="N62" s="7">
        <f t="shared" si="8"/>
        <v>0.31991216756100593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33866907694.779995</v>
      </c>
      <c r="F63" s="8">
        <f>VLOOKUP(C63,'Pivot - lag'!$I$4:$J$144,2,0)</f>
        <v>28594313516.580002</v>
      </c>
      <c r="G63" s="8">
        <f>VLOOKUP(C63,'Pivot - lag'!$M$3:$N$144,2,0)</f>
        <v>15050460727.190001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0.60413048031754624</v>
      </c>
      <c r="M63" s="7">
        <f t="shared" si="7"/>
        <v>0.51007598670676924</v>
      </c>
      <c r="N63" s="7">
        <f t="shared" si="8"/>
        <v>0.2684757093875183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31924805261.230003</v>
      </c>
      <c r="F64" s="8">
        <f>VLOOKUP(C64,'Pivot - lag'!$I$4:$J$144,2,0)</f>
        <v>26813941319.43</v>
      </c>
      <c r="G64" s="8">
        <f>VLOOKUP(C64,'Pivot - lag'!$M$3:$N$144,2,0)</f>
        <v>14049256877.940001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0.59323136576638857</v>
      </c>
      <c r="M64" s="7">
        <f t="shared" si="7"/>
        <v>0.49826055007523629</v>
      </c>
      <c r="N64" s="7">
        <f t="shared" si="8"/>
        <v>0.26106533078291561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56496777570.090012</v>
      </c>
      <c r="F65" s="8">
        <f>VLOOKUP(C65,'Pivot - lag'!$I$4:$J$144,2,0)</f>
        <v>49104945245.930008</v>
      </c>
      <c r="G65" s="8">
        <f>VLOOKUP(C65,'Pivot - lag'!$M$3:$N$144,2,0)</f>
        <v>30547686964.380001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0.66202813793798931</v>
      </c>
      <c r="M65" s="7">
        <f t="shared" si="7"/>
        <v>0.57541079089651459</v>
      </c>
      <c r="N65" s="7">
        <f t="shared" si="8"/>
        <v>0.35795720020052219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23767072920.790001</v>
      </c>
      <c r="F66" s="8">
        <f>VLOOKUP(C66,'Pivot - lag'!$I$4:$J$144,2,0)</f>
        <v>20413263787.060001</v>
      </c>
      <c r="G66" s="8">
        <f>VLOOKUP(C66,'Pivot - lag'!$M$3:$N$144,2,0)</f>
        <v>10497979104.360001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0.51827344247529805</v>
      </c>
      <c r="M66" s="7">
        <f t="shared" si="7"/>
        <v>0.44513905983860069</v>
      </c>
      <c r="N66" s="7">
        <f t="shared" si="8"/>
        <v>0.22892275323862449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38985406125.029999</v>
      </c>
      <c r="F67" s="8">
        <f>VLOOKUP(C67,'Pivot - lag'!$I$4:$J$144,2,0)</f>
        <v>33449699297.739998</v>
      </c>
      <c r="G67" s="8">
        <f>VLOOKUP(C67,'Pivot - lag'!$M$3:$N$144,2,0)</f>
        <v>20085553792.799999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0.60326406321066961</v>
      </c>
      <c r="M67" s="7">
        <f t="shared" ref="M67:M100" si="11">F67/$D67</f>
        <v>0.51760398357307569</v>
      </c>
      <c r="N67" s="7">
        <f t="shared" ref="N67:N100" si="12">G67/$D67</f>
        <v>0.31080586294319845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34051928501.080006</v>
      </c>
      <c r="F68" s="8">
        <f>VLOOKUP(C68,'Pivot - lag'!$I$4:$J$144,2,0)</f>
        <v>26319150770.580002</v>
      </c>
      <c r="G68" s="8">
        <f>VLOOKUP(C68,'Pivot - lag'!$M$3:$N$144,2,0)</f>
        <v>12490413319.5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0.53180208283598618</v>
      </c>
      <c r="M68" s="7">
        <f t="shared" si="11"/>
        <v>0.41103631466349622</v>
      </c>
      <c r="N68" s="7">
        <f t="shared" si="12"/>
        <v>0.19506759561596548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38782592583.130005</v>
      </c>
      <c r="F69" s="8">
        <f>VLOOKUP(C69,'Pivot - lag'!$I$4:$J$144,2,0)</f>
        <v>32382569281.389999</v>
      </c>
      <c r="G69" s="8">
        <f>VLOOKUP(C69,'Pivot - lag'!$M$3:$N$144,2,0)</f>
        <v>17722445723.59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0.55380739694478975</v>
      </c>
      <c r="M69" s="7">
        <f t="shared" si="11"/>
        <v>0.46241638852973094</v>
      </c>
      <c r="N69" s="7">
        <f t="shared" si="12"/>
        <v>0.25307285769095378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41893866412.769997</v>
      </c>
      <c r="F70" s="8">
        <f>VLOOKUP(C70,'Pivot - lag'!$I$4:$J$144,2,0)</f>
        <v>34492756986.080002</v>
      </c>
      <c r="G70" s="8">
        <f>VLOOKUP(C70,'Pivot - lag'!$M$3:$N$144,2,0)</f>
        <v>15450764934.82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0.53640508903739337</v>
      </c>
      <c r="M70" s="7">
        <f t="shared" si="11"/>
        <v>0.44164198644180641</v>
      </c>
      <c r="N70" s="7">
        <f t="shared" si="12"/>
        <v>0.19783012765877508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44179607235.949997</v>
      </c>
      <c r="F71" s="8">
        <f>VLOOKUP(C71,'Pivot - lag'!$I$4:$J$144,2,0)</f>
        <v>36818867903.32</v>
      </c>
      <c r="G71" s="8">
        <f>VLOOKUP(C71,'Pivot - lag'!$M$3:$N$144,2,0)</f>
        <v>15515154908.18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0.53322716624439437</v>
      </c>
      <c r="M71" s="7">
        <f t="shared" si="11"/>
        <v>0.44438649016413884</v>
      </c>
      <c r="N71" s="7">
        <f t="shared" si="12"/>
        <v>0.18726065266600217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34510631710.040001</v>
      </c>
      <c r="F72" s="8">
        <f>VLOOKUP(C72,'Pivot - lag'!$I$4:$J$144,2,0)</f>
        <v>27045561670.25</v>
      </c>
      <c r="G72" s="8">
        <f>VLOOKUP(C72,'Pivot - lag'!$M$3:$N$144,2,0)</f>
        <v>13208748904.610001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0.57656714660342656</v>
      </c>
      <c r="M72" s="7">
        <f t="shared" si="11"/>
        <v>0.45184864917921763</v>
      </c>
      <c r="N72" s="7">
        <f t="shared" si="12"/>
        <v>0.2206778111197692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48158686883.839996</v>
      </c>
      <c r="F73" s="8">
        <f>VLOOKUP(C73,'Pivot - lag'!$I$4:$J$144,2,0)</f>
        <v>38377709156.639999</v>
      </c>
      <c r="G73" s="8">
        <f>VLOOKUP(C73,'Pivot - lag'!$M$3:$N$144,2,0)</f>
        <v>18561639674.389999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0.45809918086386209</v>
      </c>
      <c r="M73" s="7">
        <f t="shared" si="11"/>
        <v>0.36505972786371155</v>
      </c>
      <c r="N73" s="7">
        <f t="shared" si="12"/>
        <v>0.17656361667081691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28061391859.560001</v>
      </c>
      <c r="F74" s="8">
        <f>VLOOKUP(C74,'Pivot - lag'!$I$4:$J$144,2,0)</f>
        <v>22122050363.459999</v>
      </c>
      <c r="G74" s="8">
        <f>VLOOKUP(C74,'Pivot - lag'!$M$3:$N$144,2,0)</f>
        <v>5514998779.8199997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0.42750747566862818</v>
      </c>
      <c r="M74" s="7">
        <f t="shared" si="11"/>
        <v>0.33702326509064801</v>
      </c>
      <c r="N74" s="7">
        <f t="shared" si="12"/>
        <v>8.4019467689846125E-2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39917338888.109993</v>
      </c>
      <c r="F75" s="8">
        <f>VLOOKUP(C75,'Pivot - lag'!$I$4:$J$144,2,0)</f>
        <v>31398215000.349998</v>
      </c>
      <c r="G75" s="8">
        <f>VLOOKUP(C75,'Pivot - lag'!$M$3:$N$144,2,0)</f>
        <v>12330874909.370001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0.47636750931304078</v>
      </c>
      <c r="M75" s="7">
        <f t="shared" si="11"/>
        <v>0.37470156812099736</v>
      </c>
      <c r="N75" s="7">
        <f t="shared" si="12"/>
        <v>0.14715480369802222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40121731507.939995</v>
      </c>
      <c r="F76" s="8">
        <f>VLOOKUP(C76,'Pivot - lag'!$I$4:$J$144,2,0)</f>
        <v>31825324478.059998</v>
      </c>
      <c r="G76" s="8">
        <f>VLOOKUP(C76,'Pivot - lag'!$M$3:$N$144,2,0)</f>
        <v>11762868452.809999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0.53016030023400917</v>
      </c>
      <c r="M76" s="7">
        <f t="shared" si="11"/>
        <v>0.4205332857330451</v>
      </c>
      <c r="N76" s="7">
        <f t="shared" si="12"/>
        <v>0.15543212209873777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32167431009.59</v>
      </c>
      <c r="F77" s="8">
        <f>VLOOKUP(C77,'Pivot - lag'!$I$4:$J$144,2,0)</f>
        <v>26205701340.690002</v>
      </c>
      <c r="G77" s="8">
        <f>VLOOKUP(C77,'Pivot - lag'!$M$3:$N$144,2,0)</f>
        <v>9980934177.1000004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0.49118168131946977</v>
      </c>
      <c r="M77" s="7">
        <f t="shared" si="11"/>
        <v>0.40014884747366275</v>
      </c>
      <c r="N77" s="7">
        <f t="shared" si="12"/>
        <v>0.15240421371496468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36913559190.93</v>
      </c>
      <c r="F78" s="8">
        <f>VLOOKUP(C78,'Pivot - lag'!$I$4:$J$144,2,0)</f>
        <v>29347304016.630001</v>
      </c>
      <c r="G78" s="8">
        <f>VLOOKUP(C78,'Pivot - lag'!$M$3:$N$144,2,0)</f>
        <v>10647976949.73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0.51423689511354909</v>
      </c>
      <c r="M78" s="7">
        <f t="shared" si="11"/>
        <v>0.40883260320162551</v>
      </c>
      <c r="N78" s="7">
        <f t="shared" si="12"/>
        <v>0.148335265574044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38156334831.479996</v>
      </c>
      <c r="F79" s="8">
        <f>VLOOKUP(C79,'Pivot - lag'!$I$4:$J$144,2,0)</f>
        <v>31475187000.610001</v>
      </c>
      <c r="G79" s="8">
        <f>VLOOKUP(C79,'Pivot - lag'!$M$3:$N$144,2,0)</f>
        <v>16378355650.98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0.53022634128906176</v>
      </c>
      <c r="M79" s="7">
        <f t="shared" si="11"/>
        <v>0.43738407576174293</v>
      </c>
      <c r="N79" s="7">
        <f t="shared" si="12"/>
        <v>0.22759616801521063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35041617202.470001</v>
      </c>
      <c r="F80" s="8">
        <f>VLOOKUP(C80,'Pivot - lag'!$I$4:$J$144,2,0)</f>
        <v>28763554195</v>
      </c>
      <c r="G80" s="8">
        <f>VLOOKUP(C80,'Pivot - lag'!$M$3:$N$144,2,0)</f>
        <v>15177156622.67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0.53611580967658246</v>
      </c>
      <c r="M80" s="7">
        <f t="shared" si="11"/>
        <v>0.44006519611605494</v>
      </c>
      <c r="N80" s="7">
        <f t="shared" si="12"/>
        <v>0.23220142964113813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37107511523.769997</v>
      </c>
      <c r="F81" s="8">
        <f>VLOOKUP(C81,'Pivot - lag'!$I$4:$J$144,2,0)</f>
        <v>29530845936.25</v>
      </c>
      <c r="G81" s="8">
        <f>VLOOKUP(C81,'Pivot - lag'!$M$3:$N$144,2,0)</f>
        <v>16749167656.17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0.5245788025053657</v>
      </c>
      <c r="M81" s="7">
        <f t="shared" si="11"/>
        <v>0.41746954085792631</v>
      </c>
      <c r="N81" s="7">
        <f t="shared" si="12"/>
        <v>0.23677842979061098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35118791554.82</v>
      </c>
      <c r="F82" s="8">
        <f>VLOOKUP(C82,'Pivot - lag'!$I$4:$J$144,2,0)</f>
        <v>27247840920.879997</v>
      </c>
      <c r="G82" s="8">
        <f>VLOOKUP(C82,'Pivot - lag'!$M$3:$N$144,2,0)</f>
        <v>15517116259.82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0.55136166086286253</v>
      </c>
      <c r="M82" s="7">
        <f t="shared" si="11"/>
        <v>0.42778849043288125</v>
      </c>
      <c r="N82" s="7">
        <f t="shared" si="12"/>
        <v>0.24361723778169839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28064540906.029999</v>
      </c>
      <c r="F83" s="8">
        <f>VLOOKUP(C83,'Pivot - lag'!$I$4:$J$144,2,0)</f>
        <v>22898763123.93</v>
      </c>
      <c r="G83" s="8">
        <f>VLOOKUP(C83,'Pivot - lag'!$M$3:$N$144,2,0)</f>
        <v>12736272274.200001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0.54901597302674554</v>
      </c>
      <c r="M83" s="7">
        <f t="shared" si="11"/>
        <v>0.44795982088886382</v>
      </c>
      <c r="N83" s="7">
        <f t="shared" si="12"/>
        <v>0.24915486552110575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21637776229.040005</v>
      </c>
      <c r="F84" s="8">
        <f>VLOOKUP(C84,'Pivot - lag'!$I$4:$J$144,2,0)</f>
        <v>16433902304.59</v>
      </c>
      <c r="G84" s="8">
        <f>VLOOKUP(C84,'Pivot - lag'!$M$3:$N$144,2,0)</f>
        <v>9023886132.7900009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0.4714550045096445</v>
      </c>
      <c r="M84" s="7">
        <f t="shared" si="11"/>
        <v>0.35807032123398946</v>
      </c>
      <c r="N84" s="7">
        <f t="shared" si="12"/>
        <v>0.19661707526669342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18895718293.77</v>
      </c>
      <c r="F85" s="8">
        <f>VLOOKUP(C85,'Pivot - lag'!$I$4:$J$144,2,0)</f>
        <v>14912657625.279999</v>
      </c>
      <c r="G85" s="8">
        <f>VLOOKUP(C85,'Pivot - lag'!$M$3:$N$144,2,0)</f>
        <v>7160448808.71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0.50694565309934003</v>
      </c>
      <c r="M85" s="7">
        <f t="shared" si="11"/>
        <v>0.40008571475088917</v>
      </c>
      <c r="N85" s="7">
        <f t="shared" si="12"/>
        <v>0.19210481133245383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15713305422.409998</v>
      </c>
      <c r="F86" s="8">
        <f>VLOOKUP(C86,'Pivot - lag'!$I$4:$J$144,2,0)</f>
        <v>12219132557.98</v>
      </c>
      <c r="G86" s="8">
        <f>VLOOKUP(C86,'Pivot - lag'!$M$3:$N$144,2,0)</f>
        <v>5970250118.0100002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0.42730908067034029</v>
      </c>
      <c r="M86" s="7">
        <f t="shared" si="11"/>
        <v>0.33228822068798325</v>
      </c>
      <c r="N86" s="7">
        <f t="shared" si="12"/>
        <v>0.16235553377970091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11202490056.259998</v>
      </c>
      <c r="F87" s="8">
        <f>VLOOKUP(C87,'Pivot - lag'!$I$4:$J$144,2,0)</f>
        <v>8621087878.6100006</v>
      </c>
      <c r="G87" s="8">
        <f>VLOOKUP(C87,'Pivot - lag'!$M$3:$N$144,2,0)</f>
        <v>2787339203.8600001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0.41066008757998562</v>
      </c>
      <c r="M87" s="7">
        <f t="shared" si="11"/>
        <v>0.31603122926106775</v>
      </c>
      <c r="N87" s="7">
        <f t="shared" si="12"/>
        <v>0.10217808324968256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12807228407.780001</v>
      </c>
      <c r="F88" s="8">
        <f>VLOOKUP(C88,'Pivot - lag'!$I$4:$J$144,2,0)</f>
        <v>10366757211.17</v>
      </c>
      <c r="G88" s="8">
        <f>VLOOKUP(C88,'Pivot - lag'!$M$3:$N$144,2,0)</f>
        <v>3860179857.6700001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0.48006278568588912</v>
      </c>
      <c r="M88" s="7">
        <f t="shared" si="11"/>
        <v>0.38858480436722431</v>
      </c>
      <c r="N88" s="7">
        <f t="shared" si="12"/>
        <v>0.14469396786863739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9445831116.8299999</v>
      </c>
      <c r="F89" s="8">
        <f>VLOOKUP(C89,'Pivot - lag'!$I$4:$J$144,2,0)</f>
        <v>7480643206.3700008</v>
      </c>
      <c r="G89" s="8">
        <f>VLOOKUP(C89,'Pivot - lag'!$M$3:$N$144,2,0)</f>
        <v>2723269728.27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0.41482990705589201</v>
      </c>
      <c r="M89" s="7">
        <f t="shared" si="11"/>
        <v>0.3285253026054718</v>
      </c>
      <c r="N89" s="7">
        <f t="shared" si="12"/>
        <v>0.11959707031534259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11658021191.040001</v>
      </c>
      <c r="F90" s="8">
        <f>VLOOKUP(C90,'Pivot - lag'!$I$4:$J$144,2,0)</f>
        <v>8875534568.9399986</v>
      </c>
      <c r="G90" s="8">
        <f>VLOOKUP(C90,'Pivot - lag'!$M$3:$N$144,2,0)</f>
        <v>3201052079.1599998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0.44343178569243091</v>
      </c>
      <c r="M90" s="7">
        <f t="shared" si="11"/>
        <v>0.33759538418962715</v>
      </c>
      <c r="N90" s="7">
        <f t="shared" si="12"/>
        <v>0.12175721902507194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10101047864.390001</v>
      </c>
      <c r="F91" s="8">
        <f>VLOOKUP(C91,'Pivot - lag'!$I$4:$J$144,2,0)</f>
        <v>7276873928.4300003</v>
      </c>
      <c r="G91" s="8">
        <f>VLOOKUP(C91,'Pivot - lag'!$M$3:$N$144,2,0)</f>
        <v>3493812279.3000002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0.37696147391733809</v>
      </c>
      <c r="M91" s="7">
        <f t="shared" si="11"/>
        <v>0.27156599576585394</v>
      </c>
      <c r="N91" s="7">
        <f t="shared" si="12"/>
        <v>0.13038574255632018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12260098921.190001</v>
      </c>
      <c r="F92" s="8">
        <f>VLOOKUP(C92,'Pivot - lag'!$I$4:$J$144,2,0)</f>
        <v>9468857132.3899994</v>
      </c>
      <c r="G92" s="8">
        <f>VLOOKUP(C92,'Pivot - lag'!$M$3:$N$144,2,0)</f>
        <v>3922236463.21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0.39686718876134325</v>
      </c>
      <c r="M92" s="7">
        <f t="shared" si="11"/>
        <v>0.30651291927338403</v>
      </c>
      <c r="N92" s="7">
        <f t="shared" si="12"/>
        <v>0.12696528542041305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13393116719.58</v>
      </c>
      <c r="F93" s="8">
        <f>VLOOKUP(C93,'Pivot - lag'!$I$4:$J$144,2,0)</f>
        <v>10030900283.66</v>
      </c>
      <c r="G93" s="8">
        <f>VLOOKUP(C93,'Pivot - lag'!$M$3:$N$144,2,0)</f>
        <v>4211266060.8699999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0.37683083728409794</v>
      </c>
      <c r="M93" s="7">
        <f t="shared" si="11"/>
        <v>0.28223098713675887</v>
      </c>
      <c r="N93" s="7">
        <f t="shared" si="12"/>
        <v>0.11848884385691461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13038351452.110003</v>
      </c>
      <c r="F94" s="8">
        <f>VLOOKUP(C94,'Pivot - lag'!$I$4:$J$144,2,0)</f>
        <v>10020949088.049999</v>
      </c>
      <c r="G94" s="8">
        <f>VLOOKUP(C94,'Pivot - lag'!$M$3:$N$144,2,0)</f>
        <v>4257244054.8600001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0.39088376774196576</v>
      </c>
      <c r="M94" s="7">
        <f t="shared" si="11"/>
        <v>0.30042343545306915</v>
      </c>
      <c r="N94" s="7">
        <f t="shared" si="12"/>
        <v>0.12763021479156866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19365462678.16</v>
      </c>
      <c r="F95" s="8">
        <f>VLOOKUP(C95,'Pivot - lag'!$I$4:$J$144,2,0)</f>
        <v>14710744669.390001</v>
      </c>
      <c r="G95" s="8">
        <f>VLOOKUP(C95,'Pivot - lag'!$M$3:$N$144,2,0)</f>
        <v>3899112245.7399998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0.49117851484051983</v>
      </c>
      <c r="M95" s="7">
        <f t="shared" si="11"/>
        <v>0.37311794915481006</v>
      </c>
      <c r="N95" s="7">
        <f t="shared" si="12"/>
        <v>9.889565738178506E-2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14716925675.34</v>
      </c>
      <c r="F96" s="8">
        <f>VLOOKUP(C96,'Pivot - lag'!$I$4:$J$144,2,0)</f>
        <v>11245780454.17</v>
      </c>
      <c r="G96" s="8">
        <f>VLOOKUP(C96,'Pivot - lag'!$M$3:$N$144,2,0)</f>
        <v>3926294145.04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0.37920193602628349</v>
      </c>
      <c r="M96" s="7">
        <f t="shared" si="11"/>
        <v>0.28976308057961853</v>
      </c>
      <c r="N96" s="7">
        <f t="shared" si="12"/>
        <v>0.10116639670896706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18525436829.699997</v>
      </c>
      <c r="F97" s="8">
        <f>VLOOKUP(C97,'Pivot - lag'!$I$4:$J$144,2,0)</f>
        <v>14945343134.59</v>
      </c>
      <c r="G97" s="8">
        <f>VLOOKUP(C97,'Pivot - lag'!$M$3:$N$144,2,0)</f>
        <v>4060384889.1599998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0.58766100974565816</v>
      </c>
      <c r="M97" s="7">
        <f t="shared" si="11"/>
        <v>0.47409383747366829</v>
      </c>
      <c r="N97" s="7">
        <f t="shared" si="12"/>
        <v>0.12880289441241849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14235878976.370001</v>
      </c>
      <c r="F98" s="8">
        <f>VLOOKUP(C98,'Pivot - lag'!$I$4:$J$144,2,0)</f>
        <v>10632578652.470001</v>
      </c>
      <c r="G98" s="8">
        <f>VLOOKUP(C98,'Pivot - lag'!$M$3:$N$144,2,0)</f>
        <v>3507360281.3800001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0.32757627754419832</v>
      </c>
      <c r="M98" s="7">
        <f t="shared" si="11"/>
        <v>0.24466213441779025</v>
      </c>
      <c r="N98" s="7">
        <f t="shared" si="12"/>
        <v>8.0706504100514415E-2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15896294717.43</v>
      </c>
      <c r="F99" s="8">
        <f>VLOOKUP(C99,'Pivot - lag'!$I$4:$J$144,2,0)</f>
        <v>12524626705.59</v>
      </c>
      <c r="G99" s="8">
        <f>VLOOKUP(C99,'Pivot - lag'!$M$3:$N$144,2,0)</f>
        <v>5302574418.9099998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0.44169472718951891</v>
      </c>
      <c r="M99" s="7">
        <f t="shared" si="11"/>
        <v>0.34800949996292735</v>
      </c>
      <c r="N99" s="7">
        <f t="shared" si="12"/>
        <v>0.14733742692845792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14377805495.529999</v>
      </c>
      <c r="F100" s="8">
        <f>VLOOKUP(C100,'Pivot - lag'!$I$4:$J$144,2,0)</f>
        <v>10989454105.67</v>
      </c>
      <c r="G100" s="8">
        <f>VLOOKUP(C100,'Pivot - lag'!$M$3:$N$144,2,0)</f>
        <v>4795370179.5500002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0.40230075842482582</v>
      </c>
      <c r="M100" s="7">
        <f t="shared" si="11"/>
        <v>0.30749238628665193</v>
      </c>
      <c r="N100" s="7">
        <f t="shared" si="12"/>
        <v>0.13417771305645587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workbookViewId="0">
      <selection activeCell="U19" sqref="U19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63</v>
      </c>
      <c r="M1" s="2" t="s">
        <v>3</v>
      </c>
      <c r="N1" s="5">
        <v>1</v>
      </c>
    </row>
    <row r="2" spans="5:14">
      <c r="E2" t="s">
        <v>62</v>
      </c>
      <c r="I2" t="s">
        <v>64</v>
      </c>
      <c r="M2" t="s">
        <v>65</v>
      </c>
    </row>
    <row r="3" spans="5:14">
      <c r="E3" s="2" t="s">
        <v>58</v>
      </c>
      <c r="F3" t="s">
        <v>60</v>
      </c>
      <c r="I3" s="2" t="s">
        <v>58</v>
      </c>
      <c r="J3" t="s">
        <v>60</v>
      </c>
      <c r="M3" s="2" t="s">
        <v>58</v>
      </c>
      <c r="N3" t="s">
        <v>60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59</v>
      </c>
      <c r="F144" s="4">
        <v>5309605657569.8809</v>
      </c>
      <c r="I144" s="3" t="s">
        <v>59</v>
      </c>
      <c r="J144" s="4">
        <v>4395887814663.6616</v>
      </c>
      <c r="M144" s="3" t="s">
        <v>59</v>
      </c>
      <c r="N144" s="4">
        <v>1627966640732.8701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03"/>
  <sheetViews>
    <sheetView workbookViewId="0">
      <selection activeCell="G56" sqref="G56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71</v>
      </c>
      <c r="K2" t="s">
        <v>72</v>
      </c>
      <c r="N2" t="s">
        <v>73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13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14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20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10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15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11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34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13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14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20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10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11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15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34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13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14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20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10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15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11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13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14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20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10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15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11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25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13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14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20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10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11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15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34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13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14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20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11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10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34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13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14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20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34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10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11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13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14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20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11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10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74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13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14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20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11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10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22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34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13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14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11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20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10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34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20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13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10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11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14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15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13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14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10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20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15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34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13</v>
      </c>
      <c r="C126" s="1">
        <v>38139</v>
      </c>
      <c r="D126">
        <v>6706818586.9700003</v>
      </c>
      <c r="E126">
        <v>3</v>
      </c>
    </row>
    <row r="127" spans="2:8">
      <c r="B127" s="1" t="s">
        <v>14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20</v>
      </c>
      <c r="C129" s="1">
        <v>38139</v>
      </c>
      <c r="D129">
        <v>2787328884.0300002</v>
      </c>
      <c r="E129">
        <v>6</v>
      </c>
    </row>
    <row r="130" spans="2:5">
      <c r="B130" s="1" t="s">
        <v>10</v>
      </c>
      <c r="C130" s="1">
        <v>38139</v>
      </c>
      <c r="D130">
        <v>1965057030.0799999</v>
      </c>
      <c r="E130">
        <v>7</v>
      </c>
    </row>
    <row r="131" spans="2:5">
      <c r="B131" s="1" t="s">
        <v>15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34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13</v>
      </c>
      <c r="C136" s="1">
        <v>38169</v>
      </c>
      <c r="D136">
        <v>7396016245.1400003</v>
      </c>
      <c r="E136">
        <v>3</v>
      </c>
    </row>
    <row r="137" spans="2:5">
      <c r="B137" s="1" t="s">
        <v>14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20</v>
      </c>
      <c r="C139" s="1">
        <v>38169</v>
      </c>
      <c r="D139">
        <v>2115295841.5</v>
      </c>
      <c r="E139">
        <v>6</v>
      </c>
    </row>
    <row r="140" spans="2:5">
      <c r="B140" s="1" t="s">
        <v>11</v>
      </c>
      <c r="C140" s="1">
        <v>38169</v>
      </c>
      <c r="D140">
        <v>1597395760.1099999</v>
      </c>
      <c r="E140">
        <v>7</v>
      </c>
    </row>
    <row r="141" spans="2:5">
      <c r="B141" s="1" t="s">
        <v>10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15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13</v>
      </c>
      <c r="C146" s="1">
        <v>38200</v>
      </c>
      <c r="D146">
        <v>5574591540.25</v>
      </c>
      <c r="E146">
        <v>3</v>
      </c>
    </row>
    <row r="147" spans="2:5">
      <c r="B147" s="1" t="s">
        <v>14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20</v>
      </c>
      <c r="C149" s="1">
        <v>38200</v>
      </c>
      <c r="D149">
        <v>1946508724.6099999</v>
      </c>
      <c r="E149">
        <v>6</v>
      </c>
    </row>
    <row r="150" spans="2:5">
      <c r="B150" s="1" t="s">
        <v>34</v>
      </c>
      <c r="C150" s="1">
        <v>38200</v>
      </c>
      <c r="D150">
        <v>979790921.73000002</v>
      </c>
      <c r="E150">
        <v>7</v>
      </c>
    </row>
    <row r="151" spans="2:5">
      <c r="B151" s="1" t="s">
        <v>10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15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13</v>
      </c>
      <c r="C156" s="1">
        <v>38231</v>
      </c>
      <c r="D156">
        <v>3141483417.9899998</v>
      </c>
      <c r="E156">
        <v>3</v>
      </c>
    </row>
    <row r="157" spans="2:5">
      <c r="B157" s="1" t="s">
        <v>14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20</v>
      </c>
      <c r="C159" s="1">
        <v>38231</v>
      </c>
      <c r="D159">
        <v>1314841883.22</v>
      </c>
      <c r="E159">
        <v>6</v>
      </c>
    </row>
    <row r="160" spans="2:5">
      <c r="B160" s="1" t="s">
        <v>10</v>
      </c>
      <c r="C160" s="1">
        <v>38231</v>
      </c>
      <c r="D160">
        <v>977772680.30999994</v>
      </c>
      <c r="E160">
        <v>7</v>
      </c>
    </row>
    <row r="161" spans="2:5">
      <c r="B161" s="1" t="s">
        <v>34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15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13</v>
      </c>
      <c r="C166" s="1">
        <v>38261</v>
      </c>
      <c r="D166">
        <v>3643512500.7800002</v>
      </c>
      <c r="E166">
        <v>3</v>
      </c>
    </row>
    <row r="167" spans="2:5">
      <c r="B167" s="1" t="s">
        <v>14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20</v>
      </c>
      <c r="C169" s="1">
        <v>38261</v>
      </c>
      <c r="D169">
        <v>1530308531.2</v>
      </c>
      <c r="E169">
        <v>6</v>
      </c>
    </row>
    <row r="170" spans="2:5">
      <c r="B170" s="1" t="s">
        <v>10</v>
      </c>
      <c r="C170" s="1">
        <v>38261</v>
      </c>
      <c r="D170">
        <v>1119369329.79</v>
      </c>
      <c r="E170">
        <v>7</v>
      </c>
    </row>
    <row r="171" spans="2:5">
      <c r="B171" s="1" t="s">
        <v>11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15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13</v>
      </c>
      <c r="C176" s="1">
        <v>38292</v>
      </c>
      <c r="D176">
        <v>2867262552.0799999</v>
      </c>
      <c r="E176">
        <v>3</v>
      </c>
    </row>
    <row r="177" spans="2:5">
      <c r="B177" s="1" t="s">
        <v>14</v>
      </c>
      <c r="C177" s="1">
        <v>38292</v>
      </c>
      <c r="D177">
        <v>2141612616.1400001</v>
      </c>
      <c r="E177">
        <v>4</v>
      </c>
    </row>
    <row r="178" spans="2:5">
      <c r="B178" s="1" t="s">
        <v>20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11</v>
      </c>
      <c r="C180" s="1">
        <v>38292</v>
      </c>
      <c r="D180">
        <v>1204020887.5699999</v>
      </c>
      <c r="E180">
        <v>7</v>
      </c>
    </row>
    <row r="181" spans="2:5">
      <c r="B181" s="1" t="s">
        <v>10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34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13</v>
      </c>
      <c r="C186" s="1">
        <v>38322</v>
      </c>
      <c r="D186">
        <v>3111033356.3099999</v>
      </c>
      <c r="E186">
        <v>3</v>
      </c>
    </row>
    <row r="187" spans="2:5">
      <c r="B187" s="1" t="s">
        <v>14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20</v>
      </c>
      <c r="C189" s="1">
        <v>38322</v>
      </c>
      <c r="D189">
        <v>1933615871.8099999</v>
      </c>
      <c r="E189">
        <v>6</v>
      </c>
    </row>
    <row r="190" spans="2:5">
      <c r="B190" s="1" t="s">
        <v>11</v>
      </c>
      <c r="C190" s="1">
        <v>38322</v>
      </c>
      <c r="D190">
        <v>1783657058.3</v>
      </c>
      <c r="E190">
        <v>7</v>
      </c>
    </row>
    <row r="191" spans="2:5">
      <c r="B191" s="1" t="s">
        <v>10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15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13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20</v>
      </c>
      <c r="C198" s="1">
        <v>38353</v>
      </c>
      <c r="D198">
        <v>2327791831.7600002</v>
      </c>
      <c r="E198">
        <v>5</v>
      </c>
    </row>
    <row r="199" spans="2:5">
      <c r="B199" s="1" t="s">
        <v>14</v>
      </c>
      <c r="C199" s="1">
        <v>38353</v>
      </c>
      <c r="D199">
        <v>2301561192.1199999</v>
      </c>
      <c r="E199">
        <v>6</v>
      </c>
    </row>
    <row r="200" spans="2:5">
      <c r="B200" s="1" t="s">
        <v>11</v>
      </c>
      <c r="C200" s="1">
        <v>38353</v>
      </c>
      <c r="D200">
        <v>1446986653.54</v>
      </c>
      <c r="E200">
        <v>7</v>
      </c>
    </row>
    <row r="201" spans="2:5">
      <c r="B201" s="1" t="s">
        <v>74</v>
      </c>
      <c r="C201" s="1">
        <v>38353</v>
      </c>
      <c r="D201">
        <v>1044130065.28</v>
      </c>
      <c r="E201">
        <v>8</v>
      </c>
    </row>
    <row r="202" spans="2:5">
      <c r="B202" s="1" t="s">
        <v>10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13</v>
      </c>
      <c r="C206" s="1">
        <v>38384</v>
      </c>
      <c r="D206">
        <v>3820090499.29</v>
      </c>
      <c r="E206">
        <v>3</v>
      </c>
    </row>
    <row r="207" spans="2:5">
      <c r="B207" s="1" t="s">
        <v>14</v>
      </c>
      <c r="C207" s="1">
        <v>38384</v>
      </c>
      <c r="D207">
        <v>2940366449.5</v>
      </c>
      <c r="E207">
        <v>4</v>
      </c>
    </row>
    <row r="208" spans="2:5">
      <c r="B208" s="1" t="s">
        <v>20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10</v>
      </c>
      <c r="C210" s="1">
        <v>38384</v>
      </c>
      <c r="D210">
        <v>1584384715.02</v>
      </c>
      <c r="E210">
        <v>7</v>
      </c>
    </row>
    <row r="211" spans="2:5">
      <c r="B211" s="1" t="s">
        <v>11</v>
      </c>
      <c r="C211" s="1">
        <v>38384</v>
      </c>
      <c r="D211">
        <v>1193168889.51</v>
      </c>
      <c r="E211">
        <v>8</v>
      </c>
    </row>
    <row r="212" spans="2:5">
      <c r="B212" s="1" t="s">
        <v>34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13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14</v>
      </c>
      <c r="C218" s="1">
        <v>38412</v>
      </c>
      <c r="D218">
        <v>2288475168.52</v>
      </c>
      <c r="E218">
        <v>5</v>
      </c>
    </row>
    <row r="219" spans="2:5">
      <c r="B219" s="1" t="s">
        <v>20</v>
      </c>
      <c r="C219" s="1">
        <v>38412</v>
      </c>
      <c r="D219">
        <v>1607330806.52</v>
      </c>
      <c r="E219">
        <v>6</v>
      </c>
    </row>
    <row r="220" spans="2:5">
      <c r="B220" s="1" t="s">
        <v>11</v>
      </c>
      <c r="C220" s="1">
        <v>38412</v>
      </c>
      <c r="D220">
        <v>1346533603.22</v>
      </c>
      <c r="E220">
        <v>7</v>
      </c>
    </row>
    <row r="221" spans="2:5">
      <c r="B221" s="1" t="s">
        <v>10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34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13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14</v>
      </c>
      <c r="C228" s="1">
        <v>38443</v>
      </c>
      <c r="D228">
        <v>2240641016.6799998</v>
      </c>
      <c r="E228">
        <v>5</v>
      </c>
    </row>
    <row r="229" spans="2:5">
      <c r="B229" s="1" t="s">
        <v>20</v>
      </c>
      <c r="C229" s="1">
        <v>38443</v>
      </c>
      <c r="D229">
        <v>2162657746.1500001</v>
      </c>
      <c r="E229">
        <v>6</v>
      </c>
    </row>
    <row r="230" spans="2:5">
      <c r="B230" s="1" t="s">
        <v>10</v>
      </c>
      <c r="C230" s="1">
        <v>38443</v>
      </c>
      <c r="D230">
        <v>1240894459.51</v>
      </c>
      <c r="E230">
        <v>7</v>
      </c>
    </row>
    <row r="231" spans="2:5">
      <c r="B231" s="1" t="s">
        <v>34</v>
      </c>
      <c r="C231" s="1">
        <v>38443</v>
      </c>
      <c r="D231">
        <v>1030204361.03</v>
      </c>
      <c r="E231">
        <v>8</v>
      </c>
    </row>
    <row r="232" spans="2:5">
      <c r="B232" s="1" t="s">
        <v>11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11</v>
      </c>
      <c r="C237" s="1">
        <v>38473</v>
      </c>
      <c r="D237">
        <v>2698667569.0799999</v>
      </c>
      <c r="E237">
        <v>4</v>
      </c>
    </row>
    <row r="238" spans="2:5">
      <c r="B238" s="1" t="s">
        <v>20</v>
      </c>
      <c r="C238" s="1">
        <v>38473</v>
      </c>
      <c r="D238">
        <v>2681093688.6500001</v>
      </c>
      <c r="E238">
        <v>5</v>
      </c>
    </row>
    <row r="239" spans="2:5">
      <c r="B239" s="1" t="s">
        <v>10</v>
      </c>
      <c r="C239" s="1">
        <v>38473</v>
      </c>
      <c r="D239">
        <v>1533778537.5599999</v>
      </c>
      <c r="E239">
        <v>6</v>
      </c>
    </row>
    <row r="240" spans="2:5">
      <c r="B240" s="1" t="s">
        <v>13</v>
      </c>
      <c r="C240" s="1">
        <v>38473</v>
      </c>
      <c r="D240">
        <v>1423590125.0899999</v>
      </c>
      <c r="E240">
        <v>7</v>
      </c>
    </row>
    <row r="241" spans="2:5">
      <c r="B241" s="1" t="s">
        <v>34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15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11</v>
      </c>
      <c r="C247" s="1">
        <v>38504</v>
      </c>
      <c r="D247">
        <v>2489603680.48</v>
      </c>
      <c r="E247">
        <v>4</v>
      </c>
    </row>
    <row r="248" spans="2:5">
      <c r="B248" s="1" t="s">
        <v>13</v>
      </c>
      <c r="C248" s="1">
        <v>38504</v>
      </c>
      <c r="D248">
        <v>2108031999.3800001</v>
      </c>
      <c r="E248">
        <v>5</v>
      </c>
    </row>
    <row r="249" spans="2:5">
      <c r="B249" s="1" t="s">
        <v>20</v>
      </c>
      <c r="C249" s="1">
        <v>38504</v>
      </c>
      <c r="D249">
        <v>1560042290.1199999</v>
      </c>
      <c r="E249">
        <v>6</v>
      </c>
    </row>
    <row r="250" spans="2:5">
      <c r="B250" s="1" t="s">
        <v>34</v>
      </c>
      <c r="C250" s="1">
        <v>38504</v>
      </c>
      <c r="D250">
        <v>1394421152.3599999</v>
      </c>
      <c r="E250">
        <v>7</v>
      </c>
    </row>
    <row r="251" spans="2:5">
      <c r="B251" s="1" t="s">
        <v>10</v>
      </c>
      <c r="C251" s="1">
        <v>38504</v>
      </c>
      <c r="D251">
        <v>1153524647.54</v>
      </c>
      <c r="E251">
        <v>8</v>
      </c>
    </row>
    <row r="252" spans="2:5">
      <c r="B252" s="1" t="s">
        <v>12</v>
      </c>
      <c r="C252" s="1">
        <v>38504</v>
      </c>
      <c r="D252">
        <v>861824321.49000001</v>
      </c>
      <c r="E252">
        <v>9</v>
      </c>
    </row>
    <row r="253" spans="2:5">
      <c r="B253" s="1" t="s">
        <v>14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11</v>
      </c>
      <c r="C257" s="1">
        <v>38534</v>
      </c>
      <c r="D257">
        <v>2018954754.2</v>
      </c>
      <c r="E257">
        <v>4</v>
      </c>
    </row>
    <row r="258" spans="2:5">
      <c r="B258" s="1" t="s">
        <v>13</v>
      </c>
      <c r="C258" s="1">
        <v>38534</v>
      </c>
      <c r="D258">
        <v>1982441542.5</v>
      </c>
      <c r="E258">
        <v>5</v>
      </c>
    </row>
    <row r="259" spans="2:5">
      <c r="B259" s="1" t="s">
        <v>20</v>
      </c>
      <c r="C259" s="1">
        <v>38534</v>
      </c>
      <c r="D259">
        <v>1723209508.3699999</v>
      </c>
      <c r="E259">
        <v>6</v>
      </c>
    </row>
    <row r="260" spans="2:5">
      <c r="B260" s="1" t="s">
        <v>34</v>
      </c>
      <c r="C260" s="1">
        <v>38534</v>
      </c>
      <c r="D260">
        <v>1275430461.9200001</v>
      </c>
      <c r="E260">
        <v>7</v>
      </c>
    </row>
    <row r="261" spans="2:5">
      <c r="B261" s="1" t="s">
        <v>10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15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11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13</v>
      </c>
      <c r="C268" s="1">
        <v>38565</v>
      </c>
      <c r="D268">
        <v>2688700926.5599999</v>
      </c>
      <c r="E268">
        <v>5</v>
      </c>
    </row>
    <row r="269" spans="2:5">
      <c r="B269" s="1" t="s">
        <v>20</v>
      </c>
      <c r="C269" s="1">
        <v>38565</v>
      </c>
      <c r="D269">
        <v>1927742772.05</v>
      </c>
      <c r="E269">
        <v>6</v>
      </c>
    </row>
    <row r="270" spans="2:5">
      <c r="B270" s="1" t="s">
        <v>10</v>
      </c>
      <c r="C270" s="1">
        <v>38565</v>
      </c>
      <c r="D270">
        <v>1437691276.5</v>
      </c>
      <c r="E270">
        <v>7</v>
      </c>
    </row>
    <row r="271" spans="2:5">
      <c r="B271" s="1" t="s">
        <v>34</v>
      </c>
      <c r="C271" s="1">
        <v>38565</v>
      </c>
      <c r="D271">
        <v>1201400093.04</v>
      </c>
      <c r="E271">
        <v>8</v>
      </c>
    </row>
    <row r="272" spans="2:5">
      <c r="B272" s="1" t="s">
        <v>14</v>
      </c>
      <c r="C272" s="1">
        <v>38565</v>
      </c>
      <c r="D272">
        <v>1113176333.8399999</v>
      </c>
      <c r="E272">
        <v>9</v>
      </c>
    </row>
    <row r="273" spans="2:5">
      <c r="B273" s="1" t="s">
        <v>15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11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13</v>
      </c>
      <c r="C278" s="1">
        <v>38596</v>
      </c>
      <c r="D278">
        <v>3275805460.0100002</v>
      </c>
      <c r="E278">
        <v>5</v>
      </c>
    </row>
    <row r="279" spans="2:5">
      <c r="B279" s="1" t="s">
        <v>20</v>
      </c>
      <c r="C279" s="1">
        <v>38596</v>
      </c>
      <c r="D279">
        <v>2905608116.7800002</v>
      </c>
      <c r="E279">
        <v>6</v>
      </c>
    </row>
    <row r="280" spans="2:5">
      <c r="B280" s="1" t="s">
        <v>14</v>
      </c>
      <c r="C280" s="1">
        <v>38596</v>
      </c>
      <c r="D280">
        <v>1284343140.3699999</v>
      </c>
      <c r="E280">
        <v>7</v>
      </c>
    </row>
    <row r="281" spans="2:5">
      <c r="B281" s="1" t="s">
        <v>10</v>
      </c>
      <c r="C281" s="1">
        <v>38596</v>
      </c>
      <c r="D281">
        <v>1164280047.74</v>
      </c>
      <c r="E281">
        <v>8</v>
      </c>
    </row>
    <row r="282" spans="2:5">
      <c r="B282" s="1" t="s">
        <v>34</v>
      </c>
      <c r="C282" s="1">
        <v>38596</v>
      </c>
      <c r="D282">
        <v>1156528305.9200001</v>
      </c>
      <c r="E282">
        <v>9</v>
      </c>
    </row>
    <row r="283" spans="2:5">
      <c r="B283" s="1" t="s">
        <v>15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13</v>
      </c>
      <c r="C287" s="1">
        <v>38626</v>
      </c>
      <c r="D287">
        <v>4126653580.0100002</v>
      </c>
      <c r="E287">
        <v>4</v>
      </c>
    </row>
    <row r="288" spans="2:5">
      <c r="B288" s="1" t="s">
        <v>11</v>
      </c>
      <c r="C288" s="1">
        <v>38626</v>
      </c>
      <c r="D288">
        <v>2772929966.3299999</v>
      </c>
      <c r="E288">
        <v>5</v>
      </c>
    </row>
    <row r="289" spans="2:5">
      <c r="B289" s="1" t="s">
        <v>20</v>
      </c>
      <c r="C289" s="1">
        <v>38626</v>
      </c>
      <c r="D289">
        <v>1975709975.3199999</v>
      </c>
      <c r="E289">
        <v>6</v>
      </c>
    </row>
    <row r="290" spans="2:5">
      <c r="B290" s="1" t="s">
        <v>14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10</v>
      </c>
      <c r="C292" s="1">
        <v>38626</v>
      </c>
      <c r="D292">
        <v>1409329134.6700001</v>
      </c>
      <c r="E292">
        <v>9</v>
      </c>
    </row>
    <row r="293" spans="2:5">
      <c r="B293" s="1" t="s">
        <v>34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11</v>
      </c>
      <c r="C297" s="1">
        <v>38657</v>
      </c>
      <c r="D297">
        <v>2457582090.1799998</v>
      </c>
      <c r="E297">
        <v>4</v>
      </c>
    </row>
    <row r="298" spans="2:5">
      <c r="B298" s="1" t="s">
        <v>13</v>
      </c>
      <c r="C298" s="1">
        <v>38657</v>
      </c>
      <c r="D298">
        <v>2442226315.3899999</v>
      </c>
      <c r="E298">
        <v>5</v>
      </c>
    </row>
    <row r="299" spans="2:5">
      <c r="B299" s="1" t="s">
        <v>20</v>
      </c>
      <c r="C299" s="1">
        <v>38657</v>
      </c>
      <c r="D299">
        <v>1727565585.48</v>
      </c>
      <c r="E299">
        <v>6</v>
      </c>
    </row>
    <row r="300" spans="2:5">
      <c r="B300" s="1" t="s">
        <v>10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34</v>
      </c>
      <c r="C302" s="1">
        <v>38657</v>
      </c>
      <c r="D302">
        <v>1269296283.4100001</v>
      </c>
      <c r="E302">
        <v>9</v>
      </c>
    </row>
    <row r="303" spans="2:5">
      <c r="B303" s="1" t="s">
        <v>15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20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10</v>
      </c>
      <c r="C309" s="1">
        <v>38687</v>
      </c>
      <c r="D309">
        <v>364911443</v>
      </c>
      <c r="E309">
        <v>6</v>
      </c>
    </row>
    <row r="310" spans="2:5">
      <c r="B310" s="1" t="s">
        <v>18</v>
      </c>
      <c r="C310" s="1">
        <v>38687</v>
      </c>
      <c r="D310">
        <v>270607282.56999999</v>
      </c>
      <c r="E310">
        <v>7</v>
      </c>
    </row>
    <row r="311" spans="2:5">
      <c r="B311" s="1" t="s">
        <v>34</v>
      </c>
      <c r="C311" s="1">
        <v>38687</v>
      </c>
      <c r="D311">
        <v>233071797.31999999</v>
      </c>
      <c r="E311">
        <v>8</v>
      </c>
    </row>
    <row r="312" spans="2:5">
      <c r="B312" s="1" t="s">
        <v>25</v>
      </c>
      <c r="C312" s="1">
        <v>38687</v>
      </c>
      <c r="D312">
        <v>205137323.12</v>
      </c>
      <c r="E312">
        <v>9</v>
      </c>
    </row>
    <row r="313" spans="2:5">
      <c r="B313" s="1" t="s">
        <v>13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11</v>
      </c>
      <c r="C316" s="1">
        <v>38718</v>
      </c>
      <c r="D316">
        <v>3453825775.5799999</v>
      </c>
      <c r="E316">
        <v>3</v>
      </c>
    </row>
    <row r="317" spans="2:5">
      <c r="B317" s="1" t="s">
        <v>13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20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10</v>
      </c>
      <c r="C321" s="1">
        <v>38718</v>
      </c>
      <c r="D321">
        <v>759528959.26999998</v>
      </c>
      <c r="E321">
        <v>8</v>
      </c>
    </row>
    <row r="322" spans="2:5">
      <c r="B322" s="1" t="s">
        <v>14</v>
      </c>
      <c r="C322" s="1">
        <v>38718</v>
      </c>
      <c r="D322">
        <v>705864383.04999995</v>
      </c>
      <c r="E322">
        <v>9</v>
      </c>
    </row>
    <row r="323" spans="2:5">
      <c r="B323" s="1" t="s">
        <v>15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13</v>
      </c>
      <c r="C327" s="1">
        <v>38749</v>
      </c>
      <c r="D327">
        <v>2639469374.9000001</v>
      </c>
      <c r="E327">
        <v>4</v>
      </c>
    </row>
    <row r="328" spans="2:5">
      <c r="B328" s="1" t="s">
        <v>11</v>
      </c>
      <c r="C328" s="1">
        <v>38749</v>
      </c>
      <c r="D328">
        <v>2635129657.8800001</v>
      </c>
      <c r="E328">
        <v>5</v>
      </c>
    </row>
    <row r="329" spans="2:5">
      <c r="B329" s="1" t="s">
        <v>34</v>
      </c>
      <c r="C329" s="1">
        <v>38749</v>
      </c>
      <c r="D329">
        <v>2338045896.1799998</v>
      </c>
      <c r="E329">
        <v>6</v>
      </c>
    </row>
    <row r="330" spans="2:5">
      <c r="B330" s="1" t="s">
        <v>20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14</v>
      </c>
      <c r="C332" s="1">
        <v>38749</v>
      </c>
      <c r="D332">
        <v>810137866.02999997</v>
      </c>
      <c r="E332">
        <v>9</v>
      </c>
    </row>
    <row r="333" spans="2:5">
      <c r="B333" s="1" t="s">
        <v>15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13</v>
      </c>
      <c r="C336" s="1">
        <v>38777</v>
      </c>
      <c r="D336">
        <v>3042261494.9299998</v>
      </c>
      <c r="E336">
        <v>3</v>
      </c>
    </row>
    <row r="337" spans="2:5">
      <c r="B337" s="1" t="s">
        <v>11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34</v>
      </c>
      <c r="C339" s="1">
        <v>38777</v>
      </c>
      <c r="D339">
        <v>1883780544.9400001</v>
      </c>
      <c r="E339">
        <v>6</v>
      </c>
    </row>
    <row r="340" spans="2:5">
      <c r="B340" s="1" t="s">
        <v>20</v>
      </c>
      <c r="C340" s="1">
        <v>38777</v>
      </c>
      <c r="D340">
        <v>1740811595.75</v>
      </c>
      <c r="E340">
        <v>7</v>
      </c>
    </row>
    <row r="341" spans="2:5">
      <c r="B341" s="1" t="s">
        <v>14</v>
      </c>
      <c r="C341" s="1">
        <v>38777</v>
      </c>
      <c r="D341">
        <v>1589118989.3299999</v>
      </c>
      <c r="E341">
        <v>8</v>
      </c>
    </row>
    <row r="342" spans="2:5">
      <c r="B342" s="1" t="s">
        <v>21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13</v>
      </c>
      <c r="C346" s="1">
        <v>38808</v>
      </c>
      <c r="D346">
        <v>2565179780.52</v>
      </c>
      <c r="E346">
        <v>3</v>
      </c>
    </row>
    <row r="347" spans="2:5">
      <c r="B347" s="1" t="s">
        <v>34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11</v>
      </c>
      <c r="C349" s="1">
        <v>38808</v>
      </c>
      <c r="D349">
        <v>1808443576.4000001</v>
      </c>
      <c r="E349">
        <v>6</v>
      </c>
    </row>
    <row r="350" spans="2:5">
      <c r="B350" s="1" t="s">
        <v>20</v>
      </c>
      <c r="C350" s="1">
        <v>38808</v>
      </c>
      <c r="D350">
        <v>1318407636.3199999</v>
      </c>
      <c r="E350">
        <v>7</v>
      </c>
    </row>
    <row r="351" spans="2:5">
      <c r="B351" s="1" t="s">
        <v>14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21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11</v>
      </c>
      <c r="C357" s="1">
        <v>38838</v>
      </c>
      <c r="D357">
        <v>3088788943.8800001</v>
      </c>
      <c r="E357">
        <v>4</v>
      </c>
    </row>
    <row r="358" spans="2:5">
      <c r="B358" s="1" t="s">
        <v>13</v>
      </c>
      <c r="C358" s="1">
        <v>38838</v>
      </c>
      <c r="D358">
        <v>2857246235.5100002</v>
      </c>
      <c r="E358">
        <v>5</v>
      </c>
    </row>
    <row r="359" spans="2:5">
      <c r="B359" s="1" t="s">
        <v>34</v>
      </c>
      <c r="C359" s="1">
        <v>38838</v>
      </c>
      <c r="D359">
        <v>1855245672.23</v>
      </c>
      <c r="E359">
        <v>6</v>
      </c>
    </row>
    <row r="360" spans="2:5">
      <c r="B360" s="1" t="s">
        <v>20</v>
      </c>
      <c r="C360" s="1">
        <v>38838</v>
      </c>
      <c r="D360">
        <v>1682540462.5999999</v>
      </c>
      <c r="E360">
        <v>7</v>
      </c>
    </row>
    <row r="361" spans="2:5">
      <c r="B361" s="1" t="s">
        <v>17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10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20</v>
      </c>
      <c r="C367" s="1">
        <v>38869</v>
      </c>
      <c r="D367">
        <v>2990450428.04</v>
      </c>
      <c r="E367">
        <v>4</v>
      </c>
    </row>
    <row r="368" spans="2:5">
      <c r="B368" s="1" t="s">
        <v>13</v>
      </c>
      <c r="C368" s="1">
        <v>38869</v>
      </c>
      <c r="D368">
        <v>2888770196.1999998</v>
      </c>
      <c r="E368">
        <v>5</v>
      </c>
    </row>
    <row r="369" spans="2:5">
      <c r="B369" s="1" t="s">
        <v>11</v>
      </c>
      <c r="C369" s="1">
        <v>38869</v>
      </c>
      <c r="D369">
        <v>2311888321.9299998</v>
      </c>
      <c r="E369">
        <v>6</v>
      </c>
    </row>
    <row r="370" spans="2:5">
      <c r="B370" s="1" t="s">
        <v>34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10</v>
      </c>
      <c r="C372" s="1">
        <v>38869</v>
      </c>
      <c r="D372">
        <v>954021072.17999995</v>
      </c>
      <c r="E372">
        <v>9</v>
      </c>
    </row>
    <row r="373" spans="2:5">
      <c r="B373" s="1" t="s">
        <v>21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20</v>
      </c>
      <c r="C377" s="1">
        <v>38899</v>
      </c>
      <c r="D377">
        <v>3176378793.3400002</v>
      </c>
      <c r="E377">
        <v>4</v>
      </c>
    </row>
    <row r="378" spans="2:5">
      <c r="B378" s="1" t="s">
        <v>13</v>
      </c>
      <c r="C378" s="1">
        <v>38899</v>
      </c>
      <c r="D378">
        <v>2706201429.5500002</v>
      </c>
      <c r="E378">
        <v>5</v>
      </c>
    </row>
    <row r="379" spans="2:5">
      <c r="B379" s="1" t="s">
        <v>11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34</v>
      </c>
      <c r="C381" s="1">
        <v>38899</v>
      </c>
      <c r="D381">
        <v>1485499260.4200001</v>
      </c>
      <c r="E381">
        <v>8</v>
      </c>
    </row>
    <row r="382" spans="2:5">
      <c r="B382" s="1" t="s">
        <v>10</v>
      </c>
      <c r="C382" s="1">
        <v>38899</v>
      </c>
      <c r="D382">
        <v>839725062.69000006</v>
      </c>
      <c r="E382">
        <v>9</v>
      </c>
    </row>
    <row r="383" spans="2:5">
      <c r="B383" s="1" t="s">
        <v>21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11</v>
      </c>
      <c r="C387" s="1">
        <v>38930</v>
      </c>
      <c r="D387">
        <v>2443448786.8000002</v>
      </c>
      <c r="E387">
        <v>4</v>
      </c>
    </row>
    <row r="388" spans="2:5">
      <c r="B388" s="1" t="s">
        <v>13</v>
      </c>
      <c r="C388" s="1">
        <v>38930</v>
      </c>
      <c r="D388">
        <v>2024818342.8499999</v>
      </c>
      <c r="E388">
        <v>5</v>
      </c>
    </row>
    <row r="389" spans="2:5">
      <c r="B389" s="1" t="s">
        <v>20</v>
      </c>
      <c r="C389" s="1">
        <v>38930</v>
      </c>
      <c r="D389">
        <v>1925461790.45</v>
      </c>
      <c r="E389">
        <v>6</v>
      </c>
    </row>
    <row r="390" spans="2:5">
      <c r="B390" s="1" t="s">
        <v>34</v>
      </c>
      <c r="C390" s="1">
        <v>38930</v>
      </c>
      <c r="D390">
        <v>1752991870.7</v>
      </c>
      <c r="E390">
        <v>7</v>
      </c>
    </row>
    <row r="391" spans="2:5">
      <c r="B391" s="1" t="s">
        <v>15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10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11</v>
      </c>
      <c r="C397" s="1">
        <v>39022</v>
      </c>
      <c r="D397">
        <v>2534609295.7800002</v>
      </c>
      <c r="E397">
        <v>4</v>
      </c>
    </row>
    <row r="398" spans="2:5">
      <c r="B398" s="1" t="s">
        <v>13</v>
      </c>
      <c r="C398" s="1">
        <v>39022</v>
      </c>
      <c r="D398">
        <v>2083799576.1600001</v>
      </c>
      <c r="E398">
        <v>5</v>
      </c>
    </row>
    <row r="399" spans="2:5">
      <c r="B399" s="1" t="s">
        <v>20</v>
      </c>
      <c r="C399" s="1">
        <v>39022</v>
      </c>
      <c r="D399">
        <v>1937299624.6199999</v>
      </c>
      <c r="E399">
        <v>6</v>
      </c>
    </row>
    <row r="400" spans="2:5">
      <c r="B400" s="1" t="s">
        <v>34</v>
      </c>
      <c r="C400" s="1">
        <v>39022</v>
      </c>
      <c r="D400">
        <v>1566716834.5999999</v>
      </c>
      <c r="E400">
        <v>7</v>
      </c>
    </row>
    <row r="401" spans="2:5">
      <c r="B401" s="1" t="s">
        <v>21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17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11</v>
      </c>
      <c r="C407" s="1">
        <v>39052</v>
      </c>
      <c r="D407">
        <v>2906462369.3699999</v>
      </c>
      <c r="E407">
        <v>4</v>
      </c>
    </row>
    <row r="408" spans="2:5">
      <c r="B408" s="1" t="s">
        <v>20</v>
      </c>
      <c r="C408" s="1">
        <v>39052</v>
      </c>
      <c r="D408">
        <v>2246071129.2399998</v>
      </c>
      <c r="E408">
        <v>5</v>
      </c>
    </row>
    <row r="409" spans="2:5">
      <c r="B409" s="1" t="s">
        <v>13</v>
      </c>
      <c r="C409" s="1">
        <v>39052</v>
      </c>
      <c r="D409">
        <v>2013738300.99</v>
      </c>
      <c r="E409">
        <v>6</v>
      </c>
    </row>
    <row r="410" spans="2:5">
      <c r="B410" s="1" t="s">
        <v>34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17</v>
      </c>
      <c r="C412" s="1">
        <v>39052</v>
      </c>
      <c r="D412">
        <v>781372045.30999994</v>
      </c>
      <c r="E412">
        <v>9</v>
      </c>
    </row>
    <row r="413" spans="2:5">
      <c r="B413" s="1" t="s">
        <v>15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11</v>
      </c>
      <c r="C416" s="1">
        <v>39083</v>
      </c>
      <c r="D416">
        <v>3297592150.5500002</v>
      </c>
      <c r="E416">
        <v>3</v>
      </c>
    </row>
    <row r="417" spans="2:5">
      <c r="B417" s="1" t="s">
        <v>34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13</v>
      </c>
      <c r="C419" s="1">
        <v>39083</v>
      </c>
      <c r="D419">
        <v>2688316844.1700001</v>
      </c>
      <c r="E419">
        <v>6</v>
      </c>
    </row>
    <row r="420" spans="2:5">
      <c r="B420" s="1" t="s">
        <v>20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12</v>
      </c>
      <c r="C422" s="1">
        <v>39083</v>
      </c>
      <c r="D422">
        <v>964007367.75999999</v>
      </c>
      <c r="E422">
        <v>9</v>
      </c>
    </row>
    <row r="423" spans="2:5">
      <c r="B423" s="1" t="s">
        <v>17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20</v>
      </c>
      <c r="C427" s="1">
        <v>39114</v>
      </c>
      <c r="D427">
        <v>2460469083.1599998</v>
      </c>
      <c r="E427">
        <v>4</v>
      </c>
    </row>
    <row r="428" spans="2:5">
      <c r="B428" s="1" t="s">
        <v>11</v>
      </c>
      <c r="C428" s="1">
        <v>39114</v>
      </c>
      <c r="D428">
        <v>2441724887.9200001</v>
      </c>
      <c r="E428">
        <v>5</v>
      </c>
    </row>
    <row r="429" spans="2:5">
      <c r="B429" s="1" t="s">
        <v>13</v>
      </c>
      <c r="C429" s="1">
        <v>39114</v>
      </c>
      <c r="D429">
        <v>2138867218.3299999</v>
      </c>
      <c r="E429">
        <v>6</v>
      </c>
    </row>
    <row r="430" spans="2:5">
      <c r="B430" s="1" t="s">
        <v>34</v>
      </c>
      <c r="C430" s="1">
        <v>39114</v>
      </c>
      <c r="D430">
        <v>1681152905.8</v>
      </c>
      <c r="E430">
        <v>7</v>
      </c>
    </row>
    <row r="431" spans="2:5">
      <c r="B431" s="1" t="s">
        <v>21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17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13</v>
      </c>
      <c r="C437" s="1">
        <v>39142</v>
      </c>
      <c r="D437">
        <v>3732500424.5999999</v>
      </c>
      <c r="E437">
        <v>4</v>
      </c>
    </row>
    <row r="438" spans="2:5">
      <c r="B438" s="1" t="s">
        <v>11</v>
      </c>
      <c r="C438" s="1">
        <v>39142</v>
      </c>
      <c r="D438">
        <v>2985315385.3099999</v>
      </c>
      <c r="E438">
        <v>5</v>
      </c>
    </row>
    <row r="439" spans="2:5">
      <c r="B439" s="1" t="s">
        <v>34</v>
      </c>
      <c r="C439" s="1">
        <v>39142</v>
      </c>
      <c r="D439">
        <v>2779190717.4200001</v>
      </c>
      <c r="E439">
        <v>6</v>
      </c>
    </row>
    <row r="440" spans="2:5">
      <c r="B440" s="1" t="s">
        <v>20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17</v>
      </c>
      <c r="C442" s="1">
        <v>39142</v>
      </c>
      <c r="D442">
        <v>1076526508.7</v>
      </c>
      <c r="E442">
        <v>9</v>
      </c>
    </row>
    <row r="443" spans="2:5">
      <c r="B443" s="1" t="s">
        <v>10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13</v>
      </c>
      <c r="C447" s="1">
        <v>39173</v>
      </c>
      <c r="D447">
        <v>3377397645.52</v>
      </c>
      <c r="E447">
        <v>4</v>
      </c>
    </row>
    <row r="448" spans="2:5">
      <c r="B448" s="1" t="s">
        <v>11</v>
      </c>
      <c r="C448" s="1">
        <v>39173</v>
      </c>
      <c r="D448">
        <v>2957607339.6300001</v>
      </c>
      <c r="E448">
        <v>5</v>
      </c>
    </row>
    <row r="449" spans="2:5">
      <c r="B449" s="1" t="s">
        <v>21</v>
      </c>
      <c r="C449" s="1">
        <v>39173</v>
      </c>
      <c r="D449">
        <v>2050143179.3699999</v>
      </c>
      <c r="E449">
        <v>6</v>
      </c>
    </row>
    <row r="450" spans="2:5">
      <c r="B450" s="1" t="s">
        <v>34</v>
      </c>
      <c r="C450" s="1">
        <v>39173</v>
      </c>
      <c r="D450">
        <v>1966470786.1099999</v>
      </c>
      <c r="E450">
        <v>7</v>
      </c>
    </row>
    <row r="451" spans="2:5">
      <c r="B451" s="1" t="s">
        <v>20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15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13</v>
      </c>
      <c r="C457" s="1">
        <v>39203</v>
      </c>
      <c r="D457">
        <v>3438763278.0799999</v>
      </c>
      <c r="E457">
        <v>4</v>
      </c>
    </row>
    <row r="458" spans="2:5">
      <c r="B458" s="1" t="s">
        <v>11</v>
      </c>
      <c r="C458" s="1">
        <v>39203</v>
      </c>
      <c r="D458">
        <v>2400431666.98</v>
      </c>
      <c r="E458">
        <v>5</v>
      </c>
    </row>
    <row r="459" spans="2:5">
      <c r="B459" s="1" t="s">
        <v>34</v>
      </c>
      <c r="C459" s="1">
        <v>39203</v>
      </c>
      <c r="D459">
        <v>2073037813.0799999</v>
      </c>
      <c r="E459">
        <v>6</v>
      </c>
    </row>
    <row r="460" spans="2:5">
      <c r="B460" s="1" t="s">
        <v>35</v>
      </c>
      <c r="C460" s="1">
        <v>39203</v>
      </c>
      <c r="D460">
        <v>1477365224.1900001</v>
      </c>
      <c r="E460">
        <v>7</v>
      </c>
    </row>
    <row r="461" spans="2:5">
      <c r="B461" s="1" t="s">
        <v>20</v>
      </c>
      <c r="C461" s="1">
        <v>39203</v>
      </c>
      <c r="D461">
        <v>1294136276.6199999</v>
      </c>
      <c r="E461">
        <v>8</v>
      </c>
    </row>
    <row r="462" spans="2:5">
      <c r="B462" s="1" t="s">
        <v>15</v>
      </c>
      <c r="C462" s="1">
        <v>39203</v>
      </c>
      <c r="D462">
        <v>1081593381.96</v>
      </c>
      <c r="E462">
        <v>9</v>
      </c>
    </row>
    <row r="463" spans="2:5">
      <c r="B463" s="1" t="s">
        <v>17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13</v>
      </c>
      <c r="C466" s="1">
        <v>39234</v>
      </c>
      <c r="D466">
        <v>4704588320.8599997</v>
      </c>
      <c r="E466">
        <v>3</v>
      </c>
    </row>
    <row r="467" spans="2:5">
      <c r="B467" s="1" t="s">
        <v>11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34</v>
      </c>
      <c r="C469" s="1">
        <v>39234</v>
      </c>
      <c r="D469">
        <v>3057896153.2199998</v>
      </c>
      <c r="E469">
        <v>6</v>
      </c>
    </row>
    <row r="470" spans="2:5">
      <c r="B470" s="1" t="s">
        <v>20</v>
      </c>
      <c r="C470" s="1">
        <v>39234</v>
      </c>
      <c r="D470">
        <v>2404088259.6199999</v>
      </c>
      <c r="E470">
        <v>7</v>
      </c>
    </row>
    <row r="471" spans="2:5">
      <c r="B471" s="1" t="s">
        <v>21</v>
      </c>
      <c r="C471" s="1">
        <v>39234</v>
      </c>
      <c r="D471">
        <v>1615440788.0799999</v>
      </c>
      <c r="E471">
        <v>8</v>
      </c>
    </row>
    <row r="472" spans="2:5">
      <c r="B472" s="1" t="s">
        <v>35</v>
      </c>
      <c r="C472" s="1">
        <v>39234</v>
      </c>
      <c r="D472">
        <v>1553581133.7</v>
      </c>
      <c r="E472">
        <v>9</v>
      </c>
    </row>
    <row r="473" spans="2:5">
      <c r="B473" s="1" t="s">
        <v>10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13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11</v>
      </c>
      <c r="C478" s="1">
        <v>39264</v>
      </c>
      <c r="D478">
        <v>2731478604.6999998</v>
      </c>
      <c r="E478">
        <v>5</v>
      </c>
    </row>
    <row r="479" spans="2:5">
      <c r="B479" s="1" t="s">
        <v>34</v>
      </c>
      <c r="C479" s="1">
        <v>39264</v>
      </c>
      <c r="D479">
        <v>2307181922.4299998</v>
      </c>
      <c r="E479">
        <v>6</v>
      </c>
    </row>
    <row r="480" spans="2:5">
      <c r="B480" s="1" t="s">
        <v>20</v>
      </c>
      <c r="C480" s="1">
        <v>39264</v>
      </c>
      <c r="D480">
        <v>2278819237.3600001</v>
      </c>
      <c r="E480">
        <v>7</v>
      </c>
    </row>
    <row r="481" spans="2:5">
      <c r="B481" s="1" t="s">
        <v>35</v>
      </c>
      <c r="C481" s="1">
        <v>39264</v>
      </c>
      <c r="D481">
        <v>1906852083.95</v>
      </c>
      <c r="E481">
        <v>8</v>
      </c>
    </row>
    <row r="482" spans="2:5">
      <c r="B482" s="1" t="s">
        <v>17</v>
      </c>
      <c r="C482" s="1">
        <v>39264</v>
      </c>
      <c r="D482">
        <v>1394224530.9200001</v>
      </c>
      <c r="E482">
        <v>9</v>
      </c>
    </row>
    <row r="483" spans="2:5">
      <c r="B483" s="1" t="s">
        <v>21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11</v>
      </c>
      <c r="C486" s="1">
        <v>39295</v>
      </c>
      <c r="D486">
        <v>6018415234.2799997</v>
      </c>
      <c r="E486">
        <v>3</v>
      </c>
    </row>
    <row r="487" spans="2:5">
      <c r="B487" s="1" t="s">
        <v>13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34</v>
      </c>
      <c r="C489" s="1">
        <v>39295</v>
      </c>
      <c r="D489">
        <v>2842855885.04</v>
      </c>
      <c r="E489">
        <v>6</v>
      </c>
    </row>
    <row r="490" spans="2:5">
      <c r="B490" s="1" t="s">
        <v>21</v>
      </c>
      <c r="C490" s="1">
        <v>39295</v>
      </c>
      <c r="D490">
        <v>2292513360.1999998</v>
      </c>
      <c r="E490">
        <v>7</v>
      </c>
    </row>
    <row r="491" spans="2:5">
      <c r="B491" s="1" t="s">
        <v>20</v>
      </c>
      <c r="C491" s="1">
        <v>39295</v>
      </c>
      <c r="D491">
        <v>1841737385.8499999</v>
      </c>
      <c r="E491">
        <v>8</v>
      </c>
    </row>
    <row r="492" spans="2:5">
      <c r="B492" s="1" t="s">
        <v>22</v>
      </c>
      <c r="C492" s="1">
        <v>39295</v>
      </c>
      <c r="D492">
        <v>1807624275.1300001</v>
      </c>
      <c r="E492">
        <v>9</v>
      </c>
    </row>
    <row r="493" spans="2:5">
      <c r="B493" s="1" t="s">
        <v>35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11</v>
      </c>
      <c r="C496" s="1">
        <v>39326</v>
      </c>
      <c r="D496">
        <v>5143069384.9799995</v>
      </c>
      <c r="E496">
        <v>3</v>
      </c>
    </row>
    <row r="497" spans="2:5">
      <c r="B497" s="1" t="s">
        <v>13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20</v>
      </c>
      <c r="C499" s="1">
        <v>39326</v>
      </c>
      <c r="D499">
        <v>2847267157.4000001</v>
      </c>
      <c r="E499">
        <v>6</v>
      </c>
    </row>
    <row r="500" spans="2:5">
      <c r="B500" s="1" t="s">
        <v>34</v>
      </c>
      <c r="C500" s="1">
        <v>39326</v>
      </c>
      <c r="D500">
        <v>2458473903.25</v>
      </c>
      <c r="E500">
        <v>7</v>
      </c>
    </row>
    <row r="501" spans="2:5">
      <c r="B501" s="1" t="s">
        <v>17</v>
      </c>
      <c r="C501" s="1">
        <v>39326</v>
      </c>
      <c r="D501">
        <v>1994254729.6099999</v>
      </c>
      <c r="E501">
        <v>8</v>
      </c>
    </row>
    <row r="502" spans="2:5">
      <c r="B502" s="1" t="s">
        <v>35</v>
      </c>
      <c r="C502" s="1">
        <v>39326</v>
      </c>
      <c r="D502">
        <v>1388548009.76</v>
      </c>
      <c r="E502">
        <v>9</v>
      </c>
    </row>
    <row r="503" spans="2:5">
      <c r="B503" s="1" t="s">
        <v>22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11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13</v>
      </c>
      <c r="C508" s="1">
        <v>39356</v>
      </c>
      <c r="D508">
        <v>2974413615.9000001</v>
      </c>
      <c r="E508">
        <v>5</v>
      </c>
    </row>
    <row r="509" spans="2:5">
      <c r="B509" s="1" t="s">
        <v>34</v>
      </c>
      <c r="C509" s="1">
        <v>39356</v>
      </c>
      <c r="D509">
        <v>2052835599.0899999</v>
      </c>
      <c r="E509">
        <v>6</v>
      </c>
    </row>
    <row r="510" spans="2:5">
      <c r="B510" s="1" t="s">
        <v>20</v>
      </c>
      <c r="C510" s="1">
        <v>39356</v>
      </c>
      <c r="D510">
        <v>1932771583.74</v>
      </c>
      <c r="E510">
        <v>7</v>
      </c>
    </row>
    <row r="511" spans="2:5">
      <c r="B511" s="1" t="s">
        <v>22</v>
      </c>
      <c r="C511" s="1">
        <v>39356</v>
      </c>
      <c r="D511">
        <v>1716047375.54</v>
      </c>
      <c r="E511">
        <v>8</v>
      </c>
    </row>
    <row r="512" spans="2:5">
      <c r="B512" s="1" t="s">
        <v>10</v>
      </c>
      <c r="C512" s="1">
        <v>39356</v>
      </c>
      <c r="D512">
        <v>1632374005.76</v>
      </c>
      <c r="E512">
        <v>9</v>
      </c>
    </row>
    <row r="513" spans="2:5">
      <c r="B513" s="1" t="s">
        <v>21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11</v>
      </c>
      <c r="C516" s="1">
        <v>39387</v>
      </c>
      <c r="D516">
        <v>5477637374.3699999</v>
      </c>
      <c r="E516">
        <v>3</v>
      </c>
    </row>
    <row r="517" spans="2:5">
      <c r="B517" s="1" t="s">
        <v>13</v>
      </c>
      <c r="C517" s="1">
        <v>39387</v>
      </c>
      <c r="D517">
        <v>4106468626.3499999</v>
      </c>
      <c r="E517">
        <v>4</v>
      </c>
    </row>
    <row r="518" spans="2:5">
      <c r="B518" s="1" t="s">
        <v>21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34</v>
      </c>
      <c r="C520" s="1">
        <v>39387</v>
      </c>
      <c r="D520">
        <v>2295059599.6599998</v>
      </c>
      <c r="E520">
        <v>7</v>
      </c>
    </row>
    <row r="521" spans="2:5">
      <c r="B521" s="1" t="s">
        <v>20</v>
      </c>
      <c r="C521" s="1">
        <v>39387</v>
      </c>
      <c r="D521">
        <v>1898061596.96</v>
      </c>
      <c r="E521">
        <v>8</v>
      </c>
    </row>
    <row r="522" spans="2:5">
      <c r="B522" s="1" t="s">
        <v>17</v>
      </c>
      <c r="C522" s="1">
        <v>39387</v>
      </c>
      <c r="D522">
        <v>1833683351.3399999</v>
      </c>
      <c r="E522">
        <v>9</v>
      </c>
    </row>
    <row r="523" spans="2:5">
      <c r="B523" s="1" t="s">
        <v>10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11</v>
      </c>
      <c r="C526" s="1">
        <v>39417</v>
      </c>
      <c r="D526">
        <v>6128983567.5500002</v>
      </c>
      <c r="E526">
        <v>3</v>
      </c>
    </row>
    <row r="527" spans="2:5">
      <c r="B527" s="1" t="s">
        <v>13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17</v>
      </c>
      <c r="C529" s="1">
        <v>39417</v>
      </c>
      <c r="D529">
        <v>2979385823.8600001</v>
      </c>
      <c r="E529">
        <v>6</v>
      </c>
    </row>
    <row r="530" spans="2:5">
      <c r="B530" s="1" t="s">
        <v>34</v>
      </c>
      <c r="C530" s="1">
        <v>39417</v>
      </c>
      <c r="D530">
        <v>2878585849.6500001</v>
      </c>
      <c r="E530">
        <v>7</v>
      </c>
    </row>
    <row r="531" spans="2:5">
      <c r="B531" s="1" t="s">
        <v>20</v>
      </c>
      <c r="C531" s="1">
        <v>39417</v>
      </c>
      <c r="D531">
        <v>2238443049.8499999</v>
      </c>
      <c r="E531">
        <v>8</v>
      </c>
    </row>
    <row r="532" spans="2:5">
      <c r="B532" s="1" t="s">
        <v>35</v>
      </c>
      <c r="C532" s="1">
        <v>39417</v>
      </c>
      <c r="D532">
        <v>1587214030.9300001</v>
      </c>
      <c r="E532">
        <v>9</v>
      </c>
    </row>
    <row r="533" spans="2:5">
      <c r="B533" s="1" t="s">
        <v>10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13</v>
      </c>
      <c r="C536" s="1">
        <v>39448</v>
      </c>
      <c r="D536">
        <v>7492129106.8599997</v>
      </c>
      <c r="E536">
        <v>3</v>
      </c>
    </row>
    <row r="537" spans="2:5">
      <c r="B537" s="1" t="s">
        <v>11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20</v>
      </c>
      <c r="C539" s="1">
        <v>39448</v>
      </c>
      <c r="D539">
        <v>2777009284.9299998</v>
      </c>
      <c r="E539">
        <v>6</v>
      </c>
    </row>
    <row r="540" spans="2:5">
      <c r="B540" s="1" t="s">
        <v>17</v>
      </c>
      <c r="C540" s="1">
        <v>39448</v>
      </c>
      <c r="D540">
        <v>2709598977.0999999</v>
      </c>
      <c r="E540">
        <v>7</v>
      </c>
    </row>
    <row r="541" spans="2:5">
      <c r="B541" s="1" t="s">
        <v>34</v>
      </c>
      <c r="C541" s="1">
        <v>39448</v>
      </c>
      <c r="D541">
        <v>2693818093.54</v>
      </c>
      <c r="E541">
        <v>8</v>
      </c>
    </row>
    <row r="542" spans="2:5">
      <c r="B542" s="1" t="s">
        <v>21</v>
      </c>
      <c r="C542" s="1">
        <v>39448</v>
      </c>
      <c r="D542">
        <v>2331516295</v>
      </c>
      <c r="E542">
        <v>9</v>
      </c>
    </row>
    <row r="543" spans="2:5">
      <c r="B543" s="1" t="s">
        <v>12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11</v>
      </c>
      <c r="C546" s="1">
        <v>39479</v>
      </c>
      <c r="D546">
        <v>5195462052.75</v>
      </c>
      <c r="E546">
        <v>3</v>
      </c>
    </row>
    <row r="547" spans="2:5">
      <c r="B547" s="1" t="s">
        <v>13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34</v>
      </c>
      <c r="C549" s="1">
        <v>39479</v>
      </c>
      <c r="D549">
        <v>2827494752.0799999</v>
      </c>
      <c r="E549">
        <v>6</v>
      </c>
    </row>
    <row r="550" spans="2:5">
      <c r="B550" s="1" t="s">
        <v>20</v>
      </c>
      <c r="C550" s="1">
        <v>39479</v>
      </c>
      <c r="D550">
        <v>2775332433.4299998</v>
      </c>
      <c r="E550">
        <v>7</v>
      </c>
    </row>
    <row r="551" spans="2:5">
      <c r="B551" s="1" t="s">
        <v>21</v>
      </c>
      <c r="C551" s="1">
        <v>39479</v>
      </c>
      <c r="D551">
        <v>1603611344.5899999</v>
      </c>
      <c r="E551">
        <v>8</v>
      </c>
    </row>
    <row r="552" spans="2:5">
      <c r="B552" s="1" t="s">
        <v>35</v>
      </c>
      <c r="C552" s="1">
        <v>39479</v>
      </c>
      <c r="D552">
        <v>1429750310.99</v>
      </c>
      <c r="E552">
        <v>9</v>
      </c>
    </row>
    <row r="553" spans="2:5">
      <c r="B553" s="1" t="s">
        <v>17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11</v>
      </c>
      <c r="C556" s="1">
        <v>39508</v>
      </c>
      <c r="D556">
        <v>10463321114.809999</v>
      </c>
      <c r="E556">
        <v>3</v>
      </c>
    </row>
    <row r="557" spans="2:5">
      <c r="B557" s="1" t="s">
        <v>13</v>
      </c>
      <c r="C557" s="1">
        <v>39508</v>
      </c>
      <c r="D557">
        <v>8263551375.8699999</v>
      </c>
      <c r="E557">
        <v>4</v>
      </c>
    </row>
    <row r="558" spans="2:5">
      <c r="B558" s="1" t="s">
        <v>34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21</v>
      </c>
      <c r="C560" s="1">
        <v>39508</v>
      </c>
      <c r="D560">
        <v>3021716833.79</v>
      </c>
      <c r="E560">
        <v>7</v>
      </c>
    </row>
    <row r="561" spans="2:5">
      <c r="B561" s="1" t="s">
        <v>20</v>
      </c>
      <c r="C561" s="1">
        <v>39508</v>
      </c>
      <c r="D561">
        <v>2956410222.3499999</v>
      </c>
      <c r="E561">
        <v>8</v>
      </c>
    </row>
    <row r="562" spans="2:5">
      <c r="B562" s="1" t="s">
        <v>10</v>
      </c>
      <c r="C562" s="1">
        <v>39508</v>
      </c>
      <c r="D562">
        <v>2148417999.02</v>
      </c>
      <c r="E562">
        <v>9</v>
      </c>
    </row>
    <row r="563" spans="2:5">
      <c r="B563" s="1" t="s">
        <v>17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11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13</v>
      </c>
      <c r="C568" s="1">
        <v>39539</v>
      </c>
      <c r="D568">
        <v>2918959286.4000001</v>
      </c>
      <c r="E568">
        <v>5</v>
      </c>
    </row>
    <row r="569" spans="2:5">
      <c r="B569" s="1" t="s">
        <v>20</v>
      </c>
      <c r="C569" s="1">
        <v>39539</v>
      </c>
      <c r="D569">
        <v>2689977192.96</v>
      </c>
      <c r="E569">
        <v>6</v>
      </c>
    </row>
    <row r="570" spans="2:5">
      <c r="B570" s="1" t="s">
        <v>12</v>
      </c>
      <c r="C570" s="1">
        <v>39539</v>
      </c>
      <c r="D570">
        <v>2282514196.4699998</v>
      </c>
      <c r="E570">
        <v>7</v>
      </c>
    </row>
    <row r="571" spans="2:5">
      <c r="B571" s="1" t="s">
        <v>35</v>
      </c>
      <c r="C571" s="1">
        <v>39539</v>
      </c>
      <c r="D571">
        <v>1448382903.7</v>
      </c>
      <c r="E571">
        <v>8</v>
      </c>
    </row>
    <row r="572" spans="2:5">
      <c r="B572" s="1" t="s">
        <v>21</v>
      </c>
      <c r="C572" s="1">
        <v>39539</v>
      </c>
      <c r="D572">
        <v>1435114914.6099999</v>
      </c>
      <c r="E572">
        <v>9</v>
      </c>
    </row>
    <row r="573" spans="2:5">
      <c r="B573" s="1" t="s">
        <v>34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11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13</v>
      </c>
      <c r="C578" s="1">
        <v>39569</v>
      </c>
      <c r="D578">
        <v>4264804845.6999998</v>
      </c>
      <c r="E578">
        <v>5</v>
      </c>
    </row>
    <row r="579" spans="2:5">
      <c r="B579" s="1" t="s">
        <v>20</v>
      </c>
      <c r="C579" s="1">
        <v>39569</v>
      </c>
      <c r="D579">
        <v>3658268824.0300002</v>
      </c>
      <c r="E579">
        <v>6</v>
      </c>
    </row>
    <row r="580" spans="2:5">
      <c r="B580" s="1" t="s">
        <v>34</v>
      </c>
      <c r="C580" s="1">
        <v>39569</v>
      </c>
      <c r="D580">
        <v>2994126799.2199998</v>
      </c>
      <c r="E580">
        <v>7</v>
      </c>
    </row>
    <row r="581" spans="2:5">
      <c r="B581" s="1" t="s">
        <v>35</v>
      </c>
      <c r="C581" s="1">
        <v>39569</v>
      </c>
      <c r="D581">
        <v>1694093260.71</v>
      </c>
      <c r="E581">
        <v>8</v>
      </c>
    </row>
    <row r="582" spans="2:5">
      <c r="B582" s="1" t="s">
        <v>10</v>
      </c>
      <c r="C582" s="1">
        <v>39569</v>
      </c>
      <c r="D582">
        <v>1350233547.8599999</v>
      </c>
      <c r="E582">
        <v>9</v>
      </c>
    </row>
    <row r="583" spans="2:5">
      <c r="B583" s="1" t="s">
        <v>12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13</v>
      </c>
      <c r="C586" s="1">
        <v>39600</v>
      </c>
      <c r="D586">
        <v>9252210769.0799999</v>
      </c>
      <c r="E586">
        <v>3</v>
      </c>
    </row>
    <row r="587" spans="2:5">
      <c r="B587" s="1" t="s">
        <v>11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20</v>
      </c>
      <c r="C589" s="1">
        <v>39600</v>
      </c>
      <c r="D589">
        <v>3305671422.6199999</v>
      </c>
      <c r="E589">
        <v>6</v>
      </c>
    </row>
    <row r="590" spans="2:5">
      <c r="B590" s="1" t="s">
        <v>12</v>
      </c>
      <c r="C590" s="1">
        <v>39600</v>
      </c>
      <c r="D590">
        <v>3073082012.29</v>
      </c>
      <c r="E590">
        <v>7</v>
      </c>
    </row>
    <row r="591" spans="2:5">
      <c r="B591" s="1" t="s">
        <v>34</v>
      </c>
      <c r="C591" s="1">
        <v>39600</v>
      </c>
      <c r="D591">
        <v>2181523294.0300002</v>
      </c>
      <c r="E591">
        <v>8</v>
      </c>
    </row>
    <row r="592" spans="2:5">
      <c r="B592" s="1" t="s">
        <v>10</v>
      </c>
      <c r="C592" s="1">
        <v>39600</v>
      </c>
      <c r="D592">
        <v>1971286047.4300001</v>
      </c>
      <c r="E592">
        <v>9</v>
      </c>
    </row>
    <row r="593" spans="2:5">
      <c r="B593" s="1" t="s">
        <v>35</v>
      </c>
      <c r="C593" s="1">
        <v>39600</v>
      </c>
      <c r="D593">
        <v>1063977303.1900001</v>
      </c>
      <c r="E593">
        <v>10</v>
      </c>
    </row>
    <row r="594" spans="2:5">
      <c r="B594" s="1" t="s">
        <v>11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13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14</v>
      </c>
      <c r="C599" s="1">
        <v>39630</v>
      </c>
      <c r="D599">
        <v>2184280083.5799999</v>
      </c>
      <c r="E599">
        <v>6</v>
      </c>
    </row>
    <row r="600" spans="2:5">
      <c r="B600" s="1" t="s">
        <v>35</v>
      </c>
      <c r="C600" s="1">
        <v>39630</v>
      </c>
      <c r="D600">
        <v>1798969583.0799999</v>
      </c>
      <c r="E600">
        <v>7</v>
      </c>
    </row>
    <row r="601" spans="2:5">
      <c r="B601" s="1" t="s">
        <v>34</v>
      </c>
      <c r="C601" s="1">
        <v>39630</v>
      </c>
      <c r="D601">
        <v>1033094421.8</v>
      </c>
      <c r="E601">
        <v>8</v>
      </c>
    </row>
    <row r="602" spans="2:5">
      <c r="B602" s="1" t="s">
        <v>20</v>
      </c>
      <c r="C602" s="1">
        <v>39630</v>
      </c>
      <c r="D602">
        <v>1030762827.8099999</v>
      </c>
      <c r="E602">
        <v>9</v>
      </c>
    </row>
    <row r="603" spans="2:5">
      <c r="B603" s="1" t="s">
        <v>12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11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13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35</v>
      </c>
      <c r="C609" s="1">
        <v>39661</v>
      </c>
      <c r="D609">
        <v>1499404802.6700001</v>
      </c>
      <c r="E609">
        <v>6</v>
      </c>
    </row>
    <row r="610" spans="2:5">
      <c r="B610" s="1" t="s">
        <v>34</v>
      </c>
      <c r="C610" s="1">
        <v>39661</v>
      </c>
      <c r="D610">
        <v>1386167136.9100001</v>
      </c>
      <c r="E610">
        <v>7</v>
      </c>
    </row>
    <row r="611" spans="2:5">
      <c r="B611" s="1" t="s">
        <v>20</v>
      </c>
      <c r="C611" s="1">
        <v>39661</v>
      </c>
      <c r="D611">
        <v>1268489048.78</v>
      </c>
      <c r="E611">
        <v>8</v>
      </c>
    </row>
    <row r="612" spans="2:5">
      <c r="B612" s="1" t="s">
        <v>10</v>
      </c>
      <c r="C612" s="1">
        <v>39661</v>
      </c>
      <c r="D612">
        <v>1010293780.8</v>
      </c>
      <c r="E612">
        <v>9</v>
      </c>
    </row>
    <row r="613" spans="2:5">
      <c r="B613" s="1" t="s">
        <v>21</v>
      </c>
      <c r="C613" s="1">
        <v>39661</v>
      </c>
      <c r="D613">
        <v>829429089.38</v>
      </c>
      <c r="E613">
        <v>10</v>
      </c>
    </row>
    <row r="614" spans="2:5">
      <c r="B614" s="1" t="s">
        <v>11</v>
      </c>
      <c r="C614" s="1">
        <v>39692</v>
      </c>
      <c r="D614">
        <v>5479074775.4300003</v>
      </c>
      <c r="E614">
        <v>1</v>
      </c>
    </row>
    <row r="615" spans="2:5">
      <c r="B615" s="1" t="s">
        <v>13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35</v>
      </c>
      <c r="C619" s="1">
        <v>39692</v>
      </c>
      <c r="D619">
        <v>1321486905.6099999</v>
      </c>
      <c r="E619">
        <v>6</v>
      </c>
    </row>
    <row r="620" spans="2:5">
      <c r="B620" s="1" t="s">
        <v>34</v>
      </c>
      <c r="C620" s="1">
        <v>39692</v>
      </c>
      <c r="D620">
        <v>1212867361.9300001</v>
      </c>
      <c r="E620">
        <v>7</v>
      </c>
    </row>
    <row r="621" spans="2:5">
      <c r="B621" s="1" t="s">
        <v>20</v>
      </c>
      <c r="C621" s="1">
        <v>39692</v>
      </c>
      <c r="D621">
        <v>997632890.15999997</v>
      </c>
      <c r="E621">
        <v>8</v>
      </c>
    </row>
    <row r="622" spans="2:5">
      <c r="B622" s="1" t="s">
        <v>10</v>
      </c>
      <c r="C622" s="1">
        <v>39692</v>
      </c>
      <c r="D622">
        <v>823242354.52999997</v>
      </c>
      <c r="E622">
        <v>9</v>
      </c>
    </row>
    <row r="623" spans="2:5">
      <c r="B623" s="1" t="s">
        <v>12</v>
      </c>
      <c r="C623" s="1">
        <v>39692</v>
      </c>
      <c r="D623">
        <v>572407246.50999999</v>
      </c>
      <c r="E623">
        <v>10</v>
      </c>
    </row>
    <row r="624" spans="2:5">
      <c r="B624" s="1" t="s">
        <v>13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11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34</v>
      </c>
      <c r="C629" s="1">
        <v>39722</v>
      </c>
      <c r="D629">
        <v>1360853316.3699999</v>
      </c>
      <c r="E629">
        <v>6</v>
      </c>
    </row>
    <row r="630" spans="2:5">
      <c r="B630" s="1" t="s">
        <v>35</v>
      </c>
      <c r="C630" s="1">
        <v>39722</v>
      </c>
      <c r="D630">
        <v>1248096513.3399999</v>
      </c>
      <c r="E630">
        <v>7</v>
      </c>
    </row>
    <row r="631" spans="2:5">
      <c r="B631" s="1" t="s">
        <v>20</v>
      </c>
      <c r="C631" s="1">
        <v>39722</v>
      </c>
      <c r="D631">
        <v>1136669931.97</v>
      </c>
      <c r="E631">
        <v>8</v>
      </c>
    </row>
    <row r="632" spans="2:5">
      <c r="B632" s="1" t="s">
        <v>10</v>
      </c>
      <c r="C632" s="1">
        <v>39722</v>
      </c>
      <c r="D632">
        <v>1002288580.52</v>
      </c>
      <c r="E632">
        <v>9</v>
      </c>
    </row>
    <row r="633" spans="2:5">
      <c r="B633" s="1" t="s">
        <v>12</v>
      </c>
      <c r="C633" s="1">
        <v>39722</v>
      </c>
      <c r="D633">
        <v>604924280.78999996</v>
      </c>
      <c r="E633">
        <v>10</v>
      </c>
    </row>
    <row r="634" spans="2:5">
      <c r="B634" s="1" t="s">
        <v>11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12</v>
      </c>
      <c r="C638" s="1">
        <v>39753</v>
      </c>
      <c r="D638">
        <v>2094966319.4200001</v>
      </c>
      <c r="E638">
        <v>5</v>
      </c>
    </row>
    <row r="639" spans="2:5">
      <c r="B639" s="1" t="s">
        <v>13</v>
      </c>
      <c r="C639" s="1">
        <v>39753</v>
      </c>
      <c r="D639">
        <v>1912251961.98</v>
      </c>
      <c r="E639">
        <v>6</v>
      </c>
    </row>
    <row r="640" spans="2:5">
      <c r="B640" s="1" t="s">
        <v>20</v>
      </c>
      <c r="C640" s="1">
        <v>39753</v>
      </c>
      <c r="D640">
        <v>1470669632.5</v>
      </c>
      <c r="E640">
        <v>7</v>
      </c>
    </row>
    <row r="641" spans="2:5">
      <c r="B641" s="1" t="s">
        <v>34</v>
      </c>
      <c r="C641" s="1">
        <v>39753</v>
      </c>
      <c r="D641">
        <v>1224686047.46</v>
      </c>
      <c r="E641">
        <v>8</v>
      </c>
    </row>
    <row r="642" spans="2:5">
      <c r="B642" s="1" t="s">
        <v>35</v>
      </c>
      <c r="C642" s="1">
        <v>39753</v>
      </c>
      <c r="D642">
        <v>843395611.76999998</v>
      </c>
      <c r="E642">
        <v>9</v>
      </c>
    </row>
    <row r="643" spans="2:5">
      <c r="B643" s="1" t="s">
        <v>10</v>
      </c>
      <c r="C643" s="1">
        <v>39753</v>
      </c>
      <c r="D643">
        <v>802393897.53999996</v>
      </c>
      <c r="E643">
        <v>10</v>
      </c>
    </row>
    <row r="644" spans="2:5">
      <c r="B644" s="1" t="s">
        <v>11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13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34</v>
      </c>
      <c r="C649" s="1">
        <v>39783</v>
      </c>
      <c r="D649">
        <v>1270133878.5</v>
      </c>
      <c r="E649">
        <v>6</v>
      </c>
    </row>
    <row r="650" spans="2:5">
      <c r="B650" s="1" t="s">
        <v>12</v>
      </c>
      <c r="C650" s="1">
        <v>39783</v>
      </c>
      <c r="D650">
        <v>1047883427.5599999</v>
      </c>
      <c r="E650">
        <v>7</v>
      </c>
    </row>
    <row r="651" spans="2:5">
      <c r="B651" s="1" t="s">
        <v>20</v>
      </c>
      <c r="C651" s="1">
        <v>39783</v>
      </c>
      <c r="D651">
        <v>620839697.44000006</v>
      </c>
      <c r="E651">
        <v>8</v>
      </c>
    </row>
    <row r="652" spans="2:5">
      <c r="B652" s="1" t="s">
        <v>10</v>
      </c>
      <c r="C652" s="1">
        <v>39783</v>
      </c>
      <c r="D652">
        <v>587970707.45000005</v>
      </c>
      <c r="E652">
        <v>9</v>
      </c>
    </row>
    <row r="653" spans="2:5">
      <c r="B653" s="1" t="s">
        <v>35</v>
      </c>
      <c r="C653" s="1">
        <v>39783</v>
      </c>
      <c r="D653">
        <v>542265349.04999995</v>
      </c>
      <c r="E653">
        <v>10</v>
      </c>
    </row>
    <row r="654" spans="2:5">
      <c r="B654" s="1" t="s">
        <v>13</v>
      </c>
      <c r="C654" s="1">
        <v>39814</v>
      </c>
      <c r="D654">
        <v>8591092469.3799992</v>
      </c>
      <c r="E654">
        <v>1</v>
      </c>
    </row>
    <row r="655" spans="2:5">
      <c r="B655" s="1" t="s">
        <v>11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26</v>
      </c>
      <c r="C659" s="1">
        <v>39814</v>
      </c>
      <c r="D659">
        <v>2255179789.8299999</v>
      </c>
      <c r="E659">
        <v>6</v>
      </c>
    </row>
    <row r="660" spans="2:5">
      <c r="B660" s="1" t="s">
        <v>17</v>
      </c>
      <c r="C660" s="1">
        <v>39814</v>
      </c>
      <c r="D660">
        <v>1726263195.97</v>
      </c>
      <c r="E660">
        <v>7</v>
      </c>
    </row>
    <row r="661" spans="2:5">
      <c r="B661" s="1" t="s">
        <v>38</v>
      </c>
      <c r="C661" s="1">
        <v>39814</v>
      </c>
      <c r="D661">
        <v>1515379715.46</v>
      </c>
      <c r="E661">
        <v>8</v>
      </c>
    </row>
    <row r="662" spans="2:5">
      <c r="B662" s="1" t="s">
        <v>34</v>
      </c>
      <c r="C662" s="1">
        <v>39814</v>
      </c>
      <c r="D662">
        <v>1464856783.98</v>
      </c>
      <c r="E662">
        <v>9</v>
      </c>
    </row>
    <row r="663" spans="2:5">
      <c r="B663" s="1" t="s">
        <v>20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11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13</v>
      </c>
      <c r="C668" s="1">
        <v>39845</v>
      </c>
      <c r="D668">
        <v>963288134.89999998</v>
      </c>
      <c r="E668">
        <v>5</v>
      </c>
    </row>
    <row r="669" spans="2:5">
      <c r="B669" s="1" t="s">
        <v>34</v>
      </c>
      <c r="C669" s="1">
        <v>39845</v>
      </c>
      <c r="D669">
        <v>724463965.13</v>
      </c>
      <c r="E669">
        <v>6</v>
      </c>
    </row>
    <row r="670" spans="2:5">
      <c r="B670" s="1" t="s">
        <v>35</v>
      </c>
      <c r="C670" s="1">
        <v>39845</v>
      </c>
      <c r="D670">
        <v>596455268.49000001</v>
      </c>
      <c r="E670">
        <v>7</v>
      </c>
    </row>
    <row r="671" spans="2:5">
      <c r="B671" s="1" t="s">
        <v>75</v>
      </c>
      <c r="C671" s="1">
        <v>39845</v>
      </c>
      <c r="D671">
        <v>583492367.36000001</v>
      </c>
      <c r="E671">
        <v>8</v>
      </c>
    </row>
    <row r="672" spans="2:5">
      <c r="B672" s="1" t="s">
        <v>10</v>
      </c>
      <c r="C672" s="1">
        <v>39845</v>
      </c>
      <c r="D672">
        <v>552621931.66999996</v>
      </c>
      <c r="E672">
        <v>9</v>
      </c>
    </row>
    <row r="673" spans="2:5">
      <c r="B673" s="1" t="s">
        <v>20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11</v>
      </c>
      <c r="C675" s="1">
        <v>39873</v>
      </c>
      <c r="D675">
        <v>9560375140.2900009</v>
      </c>
      <c r="E675">
        <v>2</v>
      </c>
    </row>
    <row r="676" spans="2:5">
      <c r="B676" s="1" t="s">
        <v>13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34</v>
      </c>
      <c r="C678" s="1">
        <v>39873</v>
      </c>
      <c r="D678">
        <v>2229672563.8899999</v>
      </c>
      <c r="E678">
        <v>5</v>
      </c>
    </row>
    <row r="679" spans="2:5">
      <c r="B679" s="1" t="s">
        <v>10</v>
      </c>
      <c r="C679" s="1">
        <v>39873</v>
      </c>
      <c r="D679">
        <v>1559389357.8900001</v>
      </c>
      <c r="E679">
        <v>6</v>
      </c>
    </row>
    <row r="680" spans="2:5">
      <c r="B680" s="1" t="s">
        <v>12</v>
      </c>
      <c r="C680" s="1">
        <v>39873</v>
      </c>
      <c r="D680">
        <v>1254259027.49</v>
      </c>
      <c r="E680">
        <v>7</v>
      </c>
    </row>
    <row r="681" spans="2:5">
      <c r="B681" s="1" t="s">
        <v>35</v>
      </c>
      <c r="C681" s="1">
        <v>39873</v>
      </c>
      <c r="D681">
        <v>956909872.99000001</v>
      </c>
      <c r="E681">
        <v>8</v>
      </c>
    </row>
    <row r="682" spans="2:5">
      <c r="B682" s="1" t="s">
        <v>75</v>
      </c>
      <c r="C682" s="1">
        <v>39873</v>
      </c>
      <c r="D682">
        <v>841723160.23000002</v>
      </c>
      <c r="E682">
        <v>9</v>
      </c>
    </row>
    <row r="683" spans="2:5">
      <c r="B683" s="1" t="s">
        <v>17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11</v>
      </c>
      <c r="C685" s="1">
        <v>39904</v>
      </c>
      <c r="D685">
        <v>16026314793.370001</v>
      </c>
      <c r="E685">
        <v>2</v>
      </c>
    </row>
    <row r="686" spans="2:5">
      <c r="B686" s="1" t="s">
        <v>13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34</v>
      </c>
      <c r="C688" s="1">
        <v>39904</v>
      </c>
      <c r="D688">
        <v>3407769717.4299998</v>
      </c>
      <c r="E688">
        <v>5</v>
      </c>
    </row>
    <row r="689" spans="2:5">
      <c r="B689" s="1" t="s">
        <v>20</v>
      </c>
      <c r="C689" s="1">
        <v>39904</v>
      </c>
      <c r="D689">
        <v>2441399554.0999999</v>
      </c>
      <c r="E689">
        <v>6</v>
      </c>
    </row>
    <row r="690" spans="2:5">
      <c r="B690" s="1" t="s">
        <v>17</v>
      </c>
      <c r="C690" s="1">
        <v>39904</v>
      </c>
      <c r="D690">
        <v>1922349871.71</v>
      </c>
      <c r="E690">
        <v>7</v>
      </c>
    </row>
    <row r="691" spans="2:5">
      <c r="B691" s="1" t="s">
        <v>12</v>
      </c>
      <c r="C691" s="1">
        <v>39904</v>
      </c>
      <c r="D691">
        <v>1737171982.3699999</v>
      </c>
      <c r="E691">
        <v>8</v>
      </c>
    </row>
    <row r="692" spans="2:5">
      <c r="B692" s="1" t="s">
        <v>10</v>
      </c>
      <c r="C692" s="1">
        <v>39904</v>
      </c>
      <c r="D692">
        <v>1643661737.3099999</v>
      </c>
      <c r="E692">
        <v>9</v>
      </c>
    </row>
    <row r="693" spans="2:5">
      <c r="B693" s="1" t="s">
        <v>35</v>
      </c>
      <c r="C693" s="1">
        <v>39904</v>
      </c>
      <c r="D693">
        <v>1631140291.73</v>
      </c>
      <c r="E693">
        <v>10</v>
      </c>
    </row>
    <row r="694" spans="2:5">
      <c r="B694" s="1" t="s">
        <v>11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34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13</v>
      </c>
      <c r="C699" s="1">
        <v>39934</v>
      </c>
      <c r="D699">
        <v>2061482709.0799999</v>
      </c>
      <c r="E699">
        <v>6</v>
      </c>
    </row>
    <row r="700" spans="2:5">
      <c r="B700" s="1" t="s">
        <v>35</v>
      </c>
      <c r="C700" s="1">
        <v>39934</v>
      </c>
      <c r="D700">
        <v>1520805155.21</v>
      </c>
      <c r="E700">
        <v>7</v>
      </c>
    </row>
    <row r="701" spans="2:5">
      <c r="B701" s="1" t="s">
        <v>10</v>
      </c>
      <c r="C701" s="1">
        <v>39934</v>
      </c>
      <c r="D701">
        <v>1193867589.9300001</v>
      </c>
      <c r="E701">
        <v>8</v>
      </c>
    </row>
    <row r="702" spans="2:5">
      <c r="B702" s="1" t="s">
        <v>20</v>
      </c>
      <c r="C702" s="1">
        <v>39934</v>
      </c>
      <c r="D702">
        <v>1082714427.5699999</v>
      </c>
      <c r="E702">
        <v>9</v>
      </c>
    </row>
    <row r="703" spans="2:5">
      <c r="B703" s="1" t="s">
        <v>12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11</v>
      </c>
      <c r="C705" s="1">
        <v>39965</v>
      </c>
      <c r="D705">
        <v>13334297680.540001</v>
      </c>
      <c r="E705">
        <v>2</v>
      </c>
    </row>
    <row r="706" spans="2:5">
      <c r="B706" s="1" t="s">
        <v>13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34</v>
      </c>
      <c r="C708" s="1">
        <v>39965</v>
      </c>
      <c r="D708">
        <v>2989564840.3499999</v>
      </c>
      <c r="E708">
        <v>5</v>
      </c>
    </row>
    <row r="709" spans="2:5">
      <c r="B709" s="1" t="s">
        <v>10</v>
      </c>
      <c r="C709" s="1">
        <v>39965</v>
      </c>
      <c r="D709">
        <v>1665474577.04</v>
      </c>
      <c r="E709">
        <v>6</v>
      </c>
    </row>
    <row r="710" spans="2:5">
      <c r="B710" s="1" t="s">
        <v>20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38</v>
      </c>
      <c r="C712" s="1">
        <v>39965</v>
      </c>
      <c r="D712">
        <v>978379602</v>
      </c>
      <c r="E712">
        <v>9</v>
      </c>
    </row>
    <row r="713" spans="2:5">
      <c r="B713" s="1" t="s">
        <v>12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11</v>
      </c>
      <c r="C715" s="1">
        <v>39995</v>
      </c>
      <c r="D715">
        <v>19469168924.950001</v>
      </c>
      <c r="E715">
        <v>2</v>
      </c>
    </row>
    <row r="716" spans="2:5">
      <c r="B716" s="1" t="s">
        <v>13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34</v>
      </c>
      <c r="C718" s="1">
        <v>39995</v>
      </c>
      <c r="D718">
        <v>3693076130.73</v>
      </c>
      <c r="E718">
        <v>5</v>
      </c>
    </row>
    <row r="719" spans="2:5">
      <c r="B719" s="1" t="s">
        <v>20</v>
      </c>
      <c r="C719" s="1">
        <v>39995</v>
      </c>
      <c r="D719">
        <v>2869622330.21</v>
      </c>
      <c r="E719">
        <v>6</v>
      </c>
    </row>
    <row r="720" spans="2:5">
      <c r="B720" s="1" t="s">
        <v>10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12</v>
      </c>
      <c r="C722" s="1">
        <v>39995</v>
      </c>
      <c r="D722">
        <v>883955249.34000003</v>
      </c>
      <c r="E722">
        <v>9</v>
      </c>
    </row>
    <row r="723" spans="2:5">
      <c r="B723" s="1" t="s">
        <v>17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11</v>
      </c>
      <c r="C725" s="1">
        <v>40026</v>
      </c>
      <c r="D725">
        <v>17016611877.120001</v>
      </c>
      <c r="E725">
        <v>2</v>
      </c>
    </row>
    <row r="726" spans="2:5">
      <c r="B726" s="1" t="s">
        <v>34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20</v>
      </c>
      <c r="C728" s="1">
        <v>40026</v>
      </c>
      <c r="D728">
        <v>2229551006.6300001</v>
      </c>
      <c r="E728">
        <v>5</v>
      </c>
    </row>
    <row r="729" spans="2:5">
      <c r="B729" s="1" t="s">
        <v>13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10</v>
      </c>
      <c r="C731" s="1">
        <v>40026</v>
      </c>
      <c r="D731">
        <v>1257913308.8199999</v>
      </c>
      <c r="E731">
        <v>8</v>
      </c>
    </row>
    <row r="732" spans="2:5">
      <c r="B732" s="1" t="s">
        <v>75</v>
      </c>
      <c r="C732" s="1">
        <v>40026</v>
      </c>
      <c r="D732">
        <v>913654412.88</v>
      </c>
      <c r="E732">
        <v>9</v>
      </c>
    </row>
    <row r="733" spans="2:5">
      <c r="B733" s="1" t="s">
        <v>17</v>
      </c>
      <c r="C733" s="1">
        <v>40026</v>
      </c>
      <c r="D733">
        <v>832077834.90999997</v>
      </c>
      <c r="E733">
        <v>10</v>
      </c>
    </row>
    <row r="734" spans="2:5">
      <c r="B734" s="1" t="s">
        <v>11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13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34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20</v>
      </c>
      <c r="C740" s="1">
        <v>40057</v>
      </c>
      <c r="D740">
        <v>1462808894.8</v>
      </c>
      <c r="E740">
        <v>7</v>
      </c>
    </row>
    <row r="741" spans="2:5">
      <c r="B741" s="1" t="s">
        <v>10</v>
      </c>
      <c r="C741" s="1">
        <v>40057</v>
      </c>
      <c r="D741">
        <v>1018336962.6</v>
      </c>
      <c r="E741">
        <v>8</v>
      </c>
    </row>
    <row r="742" spans="2:5">
      <c r="B742" s="1" t="s">
        <v>17</v>
      </c>
      <c r="C742" s="1">
        <v>40057</v>
      </c>
      <c r="D742">
        <v>570372803.38999999</v>
      </c>
      <c r="E742">
        <v>9</v>
      </c>
    </row>
    <row r="743" spans="2:5">
      <c r="B743" s="1" t="s">
        <v>75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11</v>
      </c>
      <c r="C745" s="1">
        <v>40087</v>
      </c>
      <c r="D745">
        <v>10137828616.16</v>
      </c>
      <c r="E745">
        <v>2</v>
      </c>
    </row>
    <row r="746" spans="2:5">
      <c r="B746" s="1" t="s">
        <v>13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34</v>
      </c>
      <c r="C748" s="1">
        <v>40087</v>
      </c>
      <c r="D748">
        <v>1620000882.77</v>
      </c>
      <c r="E748">
        <v>5</v>
      </c>
    </row>
    <row r="749" spans="2:5">
      <c r="B749" s="1" t="s">
        <v>20</v>
      </c>
      <c r="C749" s="1">
        <v>40087</v>
      </c>
      <c r="D749">
        <v>1436034214.4200001</v>
      </c>
      <c r="E749">
        <v>6</v>
      </c>
    </row>
    <row r="750" spans="2:5">
      <c r="B750" s="1" t="s">
        <v>10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18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11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13</v>
      </c>
      <c r="C756" s="1">
        <v>40118</v>
      </c>
      <c r="D756">
        <v>2580145583.5</v>
      </c>
      <c r="E756">
        <v>3</v>
      </c>
    </row>
    <row r="757" spans="2:5">
      <c r="B757" s="1" t="s">
        <v>20</v>
      </c>
      <c r="C757" s="1">
        <v>40118</v>
      </c>
      <c r="D757">
        <v>1785454973.51</v>
      </c>
      <c r="E757">
        <v>4</v>
      </c>
    </row>
    <row r="758" spans="2:5">
      <c r="B758" s="1" t="s">
        <v>34</v>
      </c>
      <c r="C758" s="1">
        <v>40118</v>
      </c>
      <c r="D758">
        <v>1151997463.1199999</v>
      </c>
      <c r="E758">
        <v>5</v>
      </c>
    </row>
    <row r="759" spans="2:5">
      <c r="B759" s="1" t="s">
        <v>10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18</v>
      </c>
      <c r="C763" s="1">
        <v>40118</v>
      </c>
      <c r="D763">
        <v>312290532.80000001</v>
      </c>
      <c r="E763">
        <v>10</v>
      </c>
    </row>
    <row r="764" spans="2:5">
      <c r="B764" s="1" t="s">
        <v>11</v>
      </c>
      <c r="C764" s="1">
        <v>40148</v>
      </c>
      <c r="D764">
        <v>7919040750.3400002</v>
      </c>
      <c r="E764">
        <v>1</v>
      </c>
    </row>
    <row r="765" spans="2:5">
      <c r="B765" s="1" t="s">
        <v>13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20</v>
      </c>
      <c r="C767" s="1">
        <v>40148</v>
      </c>
      <c r="D767">
        <v>1884115395.5999999</v>
      </c>
      <c r="E767">
        <v>4</v>
      </c>
    </row>
    <row r="768" spans="2:5">
      <c r="B768" s="1" t="s">
        <v>34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17</v>
      </c>
      <c r="C770" s="1">
        <v>40148</v>
      </c>
      <c r="D770">
        <v>995351291.99000001</v>
      </c>
      <c r="E770">
        <v>7</v>
      </c>
    </row>
    <row r="771" spans="2:5">
      <c r="B771" s="1" t="s">
        <v>10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35</v>
      </c>
      <c r="C773" s="1">
        <v>40148</v>
      </c>
      <c r="D773">
        <v>349406856.70999998</v>
      </c>
      <c r="E773">
        <v>10</v>
      </c>
    </row>
    <row r="774" spans="2:5">
      <c r="B774" s="1" t="s">
        <v>11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13</v>
      </c>
      <c r="C776" s="1">
        <v>40179</v>
      </c>
      <c r="D776">
        <v>4323523894.3900003</v>
      </c>
      <c r="E776">
        <v>3</v>
      </c>
    </row>
    <row r="777" spans="2:5">
      <c r="B777" s="1" t="s">
        <v>20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34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10</v>
      </c>
      <c r="C781" s="1">
        <v>40179</v>
      </c>
      <c r="D781">
        <v>1196133935.4400001</v>
      </c>
      <c r="E781">
        <v>8</v>
      </c>
    </row>
    <row r="782" spans="2:5">
      <c r="B782" s="1" t="s">
        <v>26</v>
      </c>
      <c r="C782" s="1">
        <v>40179</v>
      </c>
      <c r="D782">
        <v>809317697.84000003</v>
      </c>
      <c r="E782">
        <v>9</v>
      </c>
    </row>
    <row r="783" spans="2:5">
      <c r="B783" s="1" t="s">
        <v>18</v>
      </c>
      <c r="C783" s="1">
        <v>40179</v>
      </c>
      <c r="D783">
        <v>421132970.56</v>
      </c>
      <c r="E783">
        <v>10</v>
      </c>
    </row>
    <row r="784" spans="2:5">
      <c r="B784" s="1" t="s">
        <v>11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13</v>
      </c>
      <c r="C786" s="1">
        <v>40210</v>
      </c>
      <c r="D786">
        <v>3172118257.73</v>
      </c>
      <c r="E786">
        <v>3</v>
      </c>
    </row>
    <row r="787" spans="2:5">
      <c r="B787" s="1" t="s">
        <v>20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10</v>
      </c>
      <c r="C789" s="1">
        <v>40210</v>
      </c>
      <c r="D789">
        <v>925689123.63</v>
      </c>
      <c r="E789">
        <v>6</v>
      </c>
    </row>
    <row r="790" spans="2:5">
      <c r="B790" s="1" t="s">
        <v>34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18</v>
      </c>
      <c r="C792" s="1">
        <v>40210</v>
      </c>
      <c r="D792">
        <v>497769158.43000001</v>
      </c>
      <c r="E792">
        <v>9</v>
      </c>
    </row>
    <row r="793" spans="2:5">
      <c r="B793" s="1" t="s">
        <v>37</v>
      </c>
      <c r="C793" s="1">
        <v>40210</v>
      </c>
      <c r="D793">
        <v>312877619.31</v>
      </c>
      <c r="E793">
        <v>10</v>
      </c>
    </row>
    <row r="794" spans="2:5">
      <c r="B794" s="1" t="s">
        <v>11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13</v>
      </c>
      <c r="C796" s="1">
        <v>40238</v>
      </c>
      <c r="D796">
        <v>4898965309.4399996</v>
      </c>
      <c r="E796">
        <v>3</v>
      </c>
    </row>
    <row r="797" spans="2:5">
      <c r="B797" s="1" t="s">
        <v>20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34</v>
      </c>
      <c r="C799" s="1">
        <v>40238</v>
      </c>
      <c r="D799">
        <v>730114015.47000003</v>
      </c>
      <c r="E799">
        <v>6</v>
      </c>
    </row>
    <row r="800" spans="2:5">
      <c r="B800" s="1" t="s">
        <v>10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18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11</v>
      </c>
      <c r="C804" s="1">
        <v>40269</v>
      </c>
      <c r="D804">
        <v>8010432484.8699999</v>
      </c>
      <c r="E804">
        <v>1</v>
      </c>
    </row>
    <row r="805" spans="2:5">
      <c r="B805" s="1" t="s">
        <v>13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20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10</v>
      </c>
      <c r="C810" s="1">
        <v>40269</v>
      </c>
      <c r="D810">
        <v>533160065.02999997</v>
      </c>
      <c r="E810">
        <v>7</v>
      </c>
    </row>
    <row r="811" spans="2:5">
      <c r="B811" s="1" t="s">
        <v>34</v>
      </c>
      <c r="C811" s="1">
        <v>40269</v>
      </c>
      <c r="D811">
        <v>508230714.5</v>
      </c>
      <c r="E811">
        <v>8</v>
      </c>
    </row>
    <row r="812" spans="2:5">
      <c r="B812" s="1" t="s">
        <v>18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11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13</v>
      </c>
      <c r="C816" s="1">
        <v>40299</v>
      </c>
      <c r="D816">
        <v>2776414384.9000001</v>
      </c>
      <c r="E816">
        <v>3</v>
      </c>
    </row>
    <row r="817" spans="2:5">
      <c r="B817" s="1" t="s">
        <v>20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34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10</v>
      </c>
      <c r="C821" s="1">
        <v>40299</v>
      </c>
      <c r="D821">
        <v>609364105.82000005</v>
      </c>
      <c r="E821">
        <v>8</v>
      </c>
    </row>
    <row r="822" spans="2:5">
      <c r="B822" s="1" t="s">
        <v>18</v>
      </c>
      <c r="C822" s="1">
        <v>40299</v>
      </c>
      <c r="D822">
        <v>374451577.42000002</v>
      </c>
      <c r="E822">
        <v>9</v>
      </c>
    </row>
    <row r="823" spans="2:5">
      <c r="B823" s="1" t="s">
        <v>42</v>
      </c>
      <c r="C823" s="1">
        <v>40299</v>
      </c>
      <c r="D823">
        <v>320595795.07999998</v>
      </c>
      <c r="E823">
        <v>10</v>
      </c>
    </row>
    <row r="824" spans="2:5">
      <c r="B824" s="1" t="s">
        <v>11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13</v>
      </c>
      <c r="C826" s="1">
        <v>40330</v>
      </c>
      <c r="D826">
        <v>3622024666.25</v>
      </c>
      <c r="E826">
        <v>3</v>
      </c>
    </row>
    <row r="827" spans="2:5">
      <c r="B827" s="1" t="s">
        <v>20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34</v>
      </c>
      <c r="C830" s="1">
        <v>40330</v>
      </c>
      <c r="D830">
        <v>851895011.08000004</v>
      </c>
      <c r="E830">
        <v>7</v>
      </c>
    </row>
    <row r="831" spans="2:5">
      <c r="B831" s="1" t="s">
        <v>10</v>
      </c>
      <c r="C831" s="1">
        <v>40330</v>
      </c>
      <c r="D831">
        <v>748753735.46000004</v>
      </c>
      <c r="E831">
        <v>8</v>
      </c>
    </row>
    <row r="832" spans="2:5">
      <c r="B832" s="1" t="s">
        <v>42</v>
      </c>
      <c r="C832" s="1">
        <v>40330</v>
      </c>
      <c r="D832">
        <v>326270703.69999999</v>
      </c>
      <c r="E832">
        <v>9</v>
      </c>
    </row>
    <row r="833" spans="2:5">
      <c r="B833" s="1" t="s">
        <v>17</v>
      </c>
      <c r="C833" s="1">
        <v>40330</v>
      </c>
      <c r="D833">
        <v>254275737.40000001</v>
      </c>
      <c r="E833">
        <v>10</v>
      </c>
    </row>
    <row r="834" spans="2:5">
      <c r="B834" s="1" t="s">
        <v>11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13</v>
      </c>
      <c r="C836" s="1">
        <v>40360</v>
      </c>
      <c r="D836">
        <v>5027427171.6099997</v>
      </c>
      <c r="E836">
        <v>3</v>
      </c>
    </row>
    <row r="837" spans="2:5">
      <c r="B837" s="1" t="s">
        <v>20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10</v>
      </c>
      <c r="C840" s="1">
        <v>40360</v>
      </c>
      <c r="D840">
        <v>918705846.91999996</v>
      </c>
      <c r="E840">
        <v>7</v>
      </c>
    </row>
    <row r="841" spans="2:5">
      <c r="B841" s="1" t="s">
        <v>34</v>
      </c>
      <c r="C841" s="1">
        <v>40360</v>
      </c>
      <c r="D841">
        <v>775601724.25999999</v>
      </c>
      <c r="E841">
        <v>8</v>
      </c>
    </row>
    <row r="842" spans="2:5">
      <c r="B842" s="1" t="s">
        <v>42</v>
      </c>
      <c r="C842" s="1">
        <v>40360</v>
      </c>
      <c r="D842">
        <v>300443074.45999998</v>
      </c>
      <c r="E842">
        <v>9</v>
      </c>
    </row>
    <row r="843" spans="2:5">
      <c r="B843" s="1" t="s">
        <v>18</v>
      </c>
      <c r="C843" s="1">
        <v>40360</v>
      </c>
      <c r="D843">
        <v>245275653.34</v>
      </c>
      <c r="E843">
        <v>10</v>
      </c>
    </row>
    <row r="844" spans="2:5">
      <c r="B844" s="1" t="s">
        <v>11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13</v>
      </c>
      <c r="C846" s="1">
        <v>40391</v>
      </c>
      <c r="D846">
        <v>5545327746.9499998</v>
      </c>
      <c r="E846">
        <v>3</v>
      </c>
    </row>
    <row r="847" spans="2:5">
      <c r="B847" s="1" t="s">
        <v>20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34</v>
      </c>
      <c r="C850" s="1">
        <v>40391</v>
      </c>
      <c r="D850">
        <v>649866638.75999999</v>
      </c>
      <c r="E850">
        <v>7</v>
      </c>
    </row>
    <row r="851" spans="2:5">
      <c r="B851" s="1" t="s">
        <v>10</v>
      </c>
      <c r="C851" s="1">
        <v>40391</v>
      </c>
      <c r="D851">
        <v>619739523.94000006</v>
      </c>
      <c r="E851">
        <v>8</v>
      </c>
    </row>
    <row r="852" spans="2:5">
      <c r="B852" s="1" t="s">
        <v>42</v>
      </c>
      <c r="C852" s="1">
        <v>40391</v>
      </c>
      <c r="D852">
        <v>480853769.99000001</v>
      </c>
      <c r="E852">
        <v>9</v>
      </c>
    </row>
    <row r="853" spans="2:5">
      <c r="B853" s="1" t="s">
        <v>37</v>
      </c>
      <c r="C853" s="1">
        <v>40391</v>
      </c>
      <c r="D853">
        <v>264978699.94999999</v>
      </c>
      <c r="E853">
        <v>10</v>
      </c>
    </row>
    <row r="854" spans="2:5">
      <c r="B854" s="1" t="s">
        <v>11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20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13</v>
      </c>
      <c r="C858" s="1">
        <v>40422</v>
      </c>
      <c r="D858">
        <v>2455237346.6399999</v>
      </c>
      <c r="E858">
        <v>5</v>
      </c>
    </row>
    <row r="859" spans="2:5">
      <c r="B859" s="1" t="s">
        <v>10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34</v>
      </c>
      <c r="C861" s="1">
        <v>40422</v>
      </c>
      <c r="D861">
        <v>1023917028.28</v>
      </c>
      <c r="E861">
        <v>8</v>
      </c>
    </row>
    <row r="862" spans="2:5">
      <c r="B862" s="1" t="s">
        <v>45</v>
      </c>
      <c r="C862" s="1">
        <v>40422</v>
      </c>
      <c r="D862">
        <v>593439306.13</v>
      </c>
      <c r="E862">
        <v>9</v>
      </c>
    </row>
    <row r="863" spans="2:5">
      <c r="B863" s="1" t="s">
        <v>42</v>
      </c>
      <c r="C863" s="1">
        <v>40422</v>
      </c>
      <c r="D863">
        <v>539726270.10000002</v>
      </c>
      <c r="E863">
        <v>10</v>
      </c>
    </row>
    <row r="864" spans="2:5">
      <c r="B864" s="1" t="s">
        <v>13</v>
      </c>
      <c r="C864" s="1">
        <v>40452</v>
      </c>
      <c r="D864">
        <v>12567511433.07</v>
      </c>
      <c r="E864">
        <v>1</v>
      </c>
    </row>
    <row r="865" spans="2:5">
      <c r="B865" s="1" t="s">
        <v>11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20</v>
      </c>
      <c r="C868" s="1">
        <v>40452</v>
      </c>
      <c r="D868">
        <v>3628017416.1300001</v>
      </c>
      <c r="E868">
        <v>5</v>
      </c>
    </row>
    <row r="869" spans="2:5">
      <c r="B869" s="1" t="s">
        <v>10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34</v>
      </c>
      <c r="C871" s="1">
        <v>40452</v>
      </c>
      <c r="D871">
        <v>1111899953.1300001</v>
      </c>
      <c r="E871">
        <v>8</v>
      </c>
    </row>
    <row r="872" spans="2:5">
      <c r="B872" s="1" t="s">
        <v>42</v>
      </c>
      <c r="C872" s="1">
        <v>40452</v>
      </c>
      <c r="D872">
        <v>963061126.65999997</v>
      </c>
      <c r="E872">
        <v>9</v>
      </c>
    </row>
    <row r="873" spans="2:5">
      <c r="B873" s="1" t="s">
        <v>46</v>
      </c>
      <c r="C873" s="1">
        <v>40452</v>
      </c>
      <c r="D873">
        <v>832572474.64999998</v>
      </c>
      <c r="E873">
        <v>10</v>
      </c>
    </row>
    <row r="874" spans="2:5">
      <c r="B874" s="1" t="s">
        <v>11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13</v>
      </c>
      <c r="C876" s="1">
        <v>40483</v>
      </c>
      <c r="D876">
        <v>7014707935.25</v>
      </c>
      <c r="E876">
        <v>3</v>
      </c>
    </row>
    <row r="877" spans="2:5">
      <c r="B877" s="1" t="s">
        <v>20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10</v>
      </c>
      <c r="C880" s="1">
        <v>40483</v>
      </c>
      <c r="D880">
        <v>1581926551.48</v>
      </c>
      <c r="E880">
        <v>7</v>
      </c>
    </row>
    <row r="881" spans="2:5">
      <c r="B881" s="1" t="s">
        <v>34</v>
      </c>
      <c r="C881" s="1">
        <v>40483</v>
      </c>
      <c r="D881">
        <v>1232242691.3499999</v>
      </c>
      <c r="E881">
        <v>8</v>
      </c>
    </row>
    <row r="882" spans="2:5">
      <c r="B882" s="1" t="s">
        <v>46</v>
      </c>
      <c r="C882" s="1">
        <v>40483</v>
      </c>
      <c r="D882">
        <v>982787840.32000005</v>
      </c>
      <c r="E882">
        <v>9</v>
      </c>
    </row>
    <row r="883" spans="2:5">
      <c r="B883" s="1" t="s">
        <v>42</v>
      </c>
      <c r="C883" s="1">
        <v>40483</v>
      </c>
      <c r="D883">
        <v>817765201.26999998</v>
      </c>
      <c r="E883">
        <v>10</v>
      </c>
    </row>
    <row r="884" spans="2:5">
      <c r="B884" s="1" t="s">
        <v>11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13</v>
      </c>
      <c r="C886" s="1">
        <v>40513</v>
      </c>
      <c r="D886">
        <v>5641916957.5299997</v>
      </c>
      <c r="E886">
        <v>3</v>
      </c>
    </row>
    <row r="887" spans="2:5">
      <c r="B887" s="1" t="s">
        <v>20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46</v>
      </c>
      <c r="C890" s="1">
        <v>40513</v>
      </c>
      <c r="D890">
        <v>1748243152.5</v>
      </c>
      <c r="E890">
        <v>7</v>
      </c>
    </row>
    <row r="891" spans="2:5">
      <c r="B891" s="1" t="s">
        <v>10</v>
      </c>
      <c r="C891" s="1">
        <v>40513</v>
      </c>
      <c r="D891">
        <v>1648670960.6600001</v>
      </c>
      <c r="E891">
        <v>8</v>
      </c>
    </row>
    <row r="892" spans="2:5">
      <c r="B892" s="1" t="s">
        <v>34</v>
      </c>
      <c r="C892" s="1">
        <v>40513</v>
      </c>
      <c r="D892">
        <v>1577607632.71</v>
      </c>
      <c r="E892">
        <v>9</v>
      </c>
    </row>
    <row r="893" spans="2:5">
      <c r="B893" s="1" t="s">
        <v>53</v>
      </c>
      <c r="C893" s="1">
        <v>40513</v>
      </c>
      <c r="D893">
        <v>1033949121.67</v>
      </c>
      <c r="E893">
        <v>10</v>
      </c>
    </row>
    <row r="894" spans="2:5">
      <c r="B894" s="1" t="s">
        <v>11</v>
      </c>
      <c r="C894" s="1">
        <v>40544</v>
      </c>
      <c r="D894">
        <v>14069204024.26</v>
      </c>
      <c r="E894">
        <v>1</v>
      </c>
    </row>
    <row r="895" spans="2:5">
      <c r="B895" s="1" t="s">
        <v>13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20</v>
      </c>
      <c r="C898" s="1">
        <v>40544</v>
      </c>
      <c r="D898">
        <v>4060874385.6599998</v>
      </c>
      <c r="E898">
        <v>5</v>
      </c>
    </row>
    <row r="899" spans="2:5">
      <c r="B899" s="1" t="s">
        <v>34</v>
      </c>
      <c r="C899" s="1">
        <v>40544</v>
      </c>
      <c r="D899">
        <v>1801951078.1099999</v>
      </c>
      <c r="E899">
        <v>6</v>
      </c>
    </row>
    <row r="900" spans="2:5">
      <c r="B900" s="1" t="s">
        <v>10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46</v>
      </c>
      <c r="C902" s="1">
        <v>40544</v>
      </c>
      <c r="D902">
        <v>653806389.21000004</v>
      </c>
      <c r="E902">
        <v>9</v>
      </c>
    </row>
    <row r="903" spans="2:5">
      <c r="B903" s="1" t="s">
        <v>42</v>
      </c>
      <c r="C903" s="1">
        <v>40544</v>
      </c>
      <c r="D903">
        <v>572032112.40999997</v>
      </c>
      <c r="E903">
        <v>10</v>
      </c>
    </row>
    <row r="904" spans="2:5">
      <c r="B904" s="1" t="s">
        <v>11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13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20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10</v>
      </c>
      <c r="C910" s="1">
        <v>40575</v>
      </c>
      <c r="D910">
        <v>1648672345.8699999</v>
      </c>
      <c r="E910">
        <v>7</v>
      </c>
    </row>
    <row r="911" spans="2:5">
      <c r="B911" s="1" t="s">
        <v>34</v>
      </c>
      <c r="C911" s="1">
        <v>40575</v>
      </c>
      <c r="D911">
        <v>1548157269.8499999</v>
      </c>
      <c r="E911">
        <v>8</v>
      </c>
    </row>
    <row r="912" spans="2:5">
      <c r="B912" s="1" t="s">
        <v>42</v>
      </c>
      <c r="C912" s="1">
        <v>40575</v>
      </c>
      <c r="D912">
        <v>717011195.69000006</v>
      </c>
      <c r="E912">
        <v>9</v>
      </c>
    </row>
    <row r="913" spans="2:5">
      <c r="B913" s="1" t="s">
        <v>17</v>
      </c>
      <c r="C913" s="1">
        <v>40575</v>
      </c>
      <c r="D913">
        <v>637830697.74000001</v>
      </c>
      <c r="E913">
        <v>10</v>
      </c>
    </row>
    <row r="914" spans="2:5">
      <c r="B914" s="1" t="s">
        <v>11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13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20</v>
      </c>
      <c r="C919" s="1">
        <v>40603</v>
      </c>
      <c r="D919">
        <v>1915347141.49</v>
      </c>
      <c r="E919">
        <v>6</v>
      </c>
    </row>
    <row r="920" spans="2:5">
      <c r="B920" s="1" t="s">
        <v>34</v>
      </c>
      <c r="C920" s="1">
        <v>40603</v>
      </c>
      <c r="D920">
        <v>1243211245.6800001</v>
      </c>
      <c r="E920">
        <v>7</v>
      </c>
    </row>
    <row r="921" spans="2:5">
      <c r="B921" s="1" t="s">
        <v>10</v>
      </c>
      <c r="C921" s="1">
        <v>40603</v>
      </c>
      <c r="D921">
        <v>853570632.77999997</v>
      </c>
      <c r="E921">
        <v>8</v>
      </c>
    </row>
    <row r="922" spans="2:5">
      <c r="B922" s="1" t="s">
        <v>17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13</v>
      </c>
      <c r="C924" s="1">
        <v>40634</v>
      </c>
      <c r="D924">
        <v>9375011832.8899994</v>
      </c>
      <c r="E924">
        <v>1</v>
      </c>
    </row>
    <row r="925" spans="2:5">
      <c r="B925" s="1" t="s">
        <v>11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20</v>
      </c>
      <c r="C929" s="1">
        <v>40634</v>
      </c>
      <c r="D929">
        <v>2106788705.9200001</v>
      </c>
      <c r="E929">
        <v>6</v>
      </c>
    </row>
    <row r="930" spans="2:5">
      <c r="B930" s="1" t="s">
        <v>34</v>
      </c>
      <c r="C930" s="1">
        <v>40634</v>
      </c>
      <c r="D930">
        <v>1176664421.78</v>
      </c>
      <c r="E930">
        <v>7</v>
      </c>
    </row>
    <row r="931" spans="2:5">
      <c r="B931" s="1" t="s">
        <v>10</v>
      </c>
      <c r="C931" s="1">
        <v>40634</v>
      </c>
      <c r="D931">
        <v>734868464.33000004</v>
      </c>
      <c r="E931">
        <v>8</v>
      </c>
    </row>
    <row r="932" spans="2:5">
      <c r="B932" s="1" t="s">
        <v>17</v>
      </c>
      <c r="C932" s="1">
        <v>40634</v>
      </c>
      <c r="D932">
        <v>569714776.50999999</v>
      </c>
      <c r="E932">
        <v>9</v>
      </c>
    </row>
    <row r="933" spans="2:5">
      <c r="B933" s="1" t="s">
        <v>18</v>
      </c>
      <c r="C933" s="1">
        <v>40634</v>
      </c>
      <c r="D933">
        <v>300779235.80000001</v>
      </c>
      <c r="E933">
        <v>10</v>
      </c>
    </row>
    <row r="934" spans="2:5">
      <c r="B934" s="1" t="s">
        <v>11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13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20</v>
      </c>
      <c r="C938" s="1">
        <v>40664</v>
      </c>
      <c r="D938">
        <v>1108476066.48</v>
      </c>
      <c r="E938">
        <v>5</v>
      </c>
    </row>
    <row r="939" spans="2:5">
      <c r="B939" s="1" t="s">
        <v>10</v>
      </c>
      <c r="C939" s="1">
        <v>40664</v>
      </c>
      <c r="D939">
        <v>809370651.20000005</v>
      </c>
      <c r="E939">
        <v>6</v>
      </c>
    </row>
    <row r="940" spans="2:5">
      <c r="B940" s="1" t="s">
        <v>34</v>
      </c>
      <c r="C940" s="1">
        <v>40664</v>
      </c>
      <c r="D940">
        <v>670283683.65999997</v>
      </c>
      <c r="E940">
        <v>7</v>
      </c>
    </row>
    <row r="941" spans="2:5">
      <c r="B941" s="1" t="s">
        <v>17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24</v>
      </c>
      <c r="C943" s="1">
        <v>40664</v>
      </c>
      <c r="D943">
        <v>320408343.36000001</v>
      </c>
      <c r="E943">
        <v>10</v>
      </c>
    </row>
    <row r="944" spans="2:5">
      <c r="B944" s="1" t="s">
        <v>11</v>
      </c>
      <c r="C944" s="1">
        <v>40695</v>
      </c>
      <c r="D944">
        <v>6560805145.7200003</v>
      </c>
      <c r="E944">
        <v>1</v>
      </c>
    </row>
    <row r="945" spans="2:5">
      <c r="B945" s="1" t="s">
        <v>13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20</v>
      </c>
      <c r="C948" s="1">
        <v>40695</v>
      </c>
      <c r="D948">
        <v>1705305796.3599999</v>
      </c>
      <c r="E948">
        <v>5</v>
      </c>
    </row>
    <row r="949" spans="2:5">
      <c r="B949" s="1" t="s">
        <v>10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34</v>
      </c>
      <c r="C951" s="1">
        <v>40695</v>
      </c>
      <c r="D951">
        <v>561654246.87</v>
      </c>
      <c r="E951">
        <v>8</v>
      </c>
    </row>
    <row r="952" spans="2:5">
      <c r="B952" s="1" t="s">
        <v>17</v>
      </c>
      <c r="C952" s="1">
        <v>40695</v>
      </c>
      <c r="D952">
        <v>385476927.93000001</v>
      </c>
      <c r="E952">
        <v>9</v>
      </c>
    </row>
    <row r="953" spans="2:5">
      <c r="B953" s="1" t="s">
        <v>24</v>
      </c>
      <c r="C953" s="1">
        <v>40695</v>
      </c>
      <c r="D953">
        <v>272604276.86000001</v>
      </c>
      <c r="E953">
        <v>10</v>
      </c>
    </row>
    <row r="954" spans="2:5">
      <c r="B954" s="1" t="s">
        <v>11</v>
      </c>
      <c r="C954" s="1">
        <v>40725</v>
      </c>
      <c r="D954">
        <v>7723507087.5699997</v>
      </c>
      <c r="E954">
        <v>1</v>
      </c>
    </row>
    <row r="955" spans="2:5">
      <c r="B955" s="1" t="s">
        <v>13</v>
      </c>
      <c r="C955" s="1">
        <v>40725</v>
      </c>
      <c r="D955">
        <v>5521240960.25</v>
      </c>
      <c r="E955">
        <v>2</v>
      </c>
    </row>
    <row r="956" spans="2:5">
      <c r="B956" s="1" t="s">
        <v>20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34</v>
      </c>
      <c r="C960" s="1">
        <v>40725</v>
      </c>
      <c r="D960">
        <v>598841873.17999995</v>
      </c>
      <c r="E960">
        <v>7</v>
      </c>
    </row>
    <row r="961" spans="2:5">
      <c r="B961" s="1" t="s">
        <v>10</v>
      </c>
      <c r="C961" s="1">
        <v>40725</v>
      </c>
      <c r="D961">
        <v>536900681</v>
      </c>
      <c r="E961">
        <v>8</v>
      </c>
    </row>
    <row r="962" spans="2:5">
      <c r="B962" s="1" t="s">
        <v>17</v>
      </c>
      <c r="C962" s="1">
        <v>40725</v>
      </c>
      <c r="D962">
        <v>388098543.69999999</v>
      </c>
      <c r="E962">
        <v>9</v>
      </c>
    </row>
    <row r="963" spans="2:5">
      <c r="B963" s="1" t="s">
        <v>18</v>
      </c>
      <c r="C963" s="1">
        <v>40725</v>
      </c>
      <c r="D963">
        <v>316608413.45999998</v>
      </c>
      <c r="E963">
        <v>10</v>
      </c>
    </row>
    <row r="964" spans="2:5">
      <c r="B964" s="1" t="s">
        <v>11</v>
      </c>
      <c r="C964" s="1">
        <v>40756</v>
      </c>
      <c r="D964">
        <v>5076597395.6099997</v>
      </c>
      <c r="E964">
        <v>1</v>
      </c>
    </row>
    <row r="965" spans="2:5">
      <c r="B965" s="1" t="s">
        <v>13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20</v>
      </c>
      <c r="C968" s="1">
        <v>40756</v>
      </c>
      <c r="D968">
        <v>1613391642.05</v>
      </c>
      <c r="E968">
        <v>5</v>
      </c>
    </row>
    <row r="969" spans="2:5">
      <c r="B969" s="1" t="s">
        <v>10</v>
      </c>
      <c r="C969" s="1">
        <v>40756</v>
      </c>
      <c r="D969">
        <v>846856456.50999999</v>
      </c>
      <c r="E969">
        <v>6</v>
      </c>
    </row>
    <row r="970" spans="2:5">
      <c r="B970" s="1" t="s">
        <v>34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17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11</v>
      </c>
      <c r="C974" s="1">
        <v>40787</v>
      </c>
      <c r="D974">
        <v>8026484432.2399998</v>
      </c>
      <c r="E974">
        <v>1</v>
      </c>
    </row>
    <row r="975" spans="2:5">
      <c r="B975" s="1" t="s">
        <v>13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20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10</v>
      </c>
      <c r="C980" s="1">
        <v>40787</v>
      </c>
      <c r="D980">
        <v>1235686134.8199999</v>
      </c>
      <c r="E980">
        <v>7</v>
      </c>
    </row>
    <row r="981" spans="2:5">
      <c r="B981" s="1" t="s">
        <v>34</v>
      </c>
      <c r="C981" s="1">
        <v>40787</v>
      </c>
      <c r="D981">
        <v>723041247.12</v>
      </c>
      <c r="E981">
        <v>8</v>
      </c>
    </row>
    <row r="982" spans="2:5">
      <c r="B982" s="1" t="s">
        <v>17</v>
      </c>
      <c r="C982" s="1">
        <v>40787</v>
      </c>
      <c r="D982">
        <v>257691149.83000001</v>
      </c>
      <c r="E982">
        <v>9</v>
      </c>
    </row>
    <row r="983" spans="2:5">
      <c r="B983" s="1" t="s">
        <v>18</v>
      </c>
      <c r="C983" s="1">
        <v>40787</v>
      </c>
      <c r="D983">
        <v>245472900.08000001</v>
      </c>
      <c r="E983">
        <v>10</v>
      </c>
    </row>
    <row r="984" spans="2:5">
      <c r="B984" s="1" t="s">
        <v>11</v>
      </c>
      <c r="C984" s="1">
        <v>40817</v>
      </c>
      <c r="D984">
        <v>9630208171.6000004</v>
      </c>
      <c r="E984">
        <v>1</v>
      </c>
    </row>
    <row r="985" spans="2:5">
      <c r="B985" s="1" t="s">
        <v>13</v>
      </c>
      <c r="C985" s="1">
        <v>40817</v>
      </c>
      <c r="D985">
        <v>8148436625.0600004</v>
      </c>
      <c r="E985">
        <v>2</v>
      </c>
    </row>
    <row r="986" spans="2:5">
      <c r="B986" s="1" t="s">
        <v>20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10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46</v>
      </c>
      <c r="C991" s="1">
        <v>40817</v>
      </c>
      <c r="D991">
        <v>818515708.92999995</v>
      </c>
      <c r="E991">
        <v>8</v>
      </c>
    </row>
    <row r="992" spans="2:5">
      <c r="B992" s="1" t="s">
        <v>34</v>
      </c>
      <c r="C992" s="1">
        <v>40817</v>
      </c>
      <c r="D992">
        <v>607535378.60000002</v>
      </c>
      <c r="E992">
        <v>9</v>
      </c>
    </row>
    <row r="993" spans="2:5">
      <c r="B993" s="1" t="s">
        <v>17</v>
      </c>
      <c r="C993" s="1">
        <v>40817</v>
      </c>
      <c r="D993">
        <v>418073981.95999998</v>
      </c>
      <c r="E993">
        <v>10</v>
      </c>
    </row>
    <row r="994" spans="2:5">
      <c r="B994" s="1" t="s">
        <v>11</v>
      </c>
      <c r="C994" s="1">
        <v>40848</v>
      </c>
      <c r="D994">
        <v>11686443131.879999</v>
      </c>
      <c r="E994">
        <v>1</v>
      </c>
    </row>
    <row r="995" spans="2:5">
      <c r="B995" s="1" t="s">
        <v>13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10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20</v>
      </c>
      <c r="C1000" s="1">
        <v>40848</v>
      </c>
      <c r="D1000">
        <v>1808551858.1600001</v>
      </c>
      <c r="E1000">
        <v>7</v>
      </c>
    </row>
    <row r="1001" spans="2:5">
      <c r="B1001" s="1" t="s">
        <v>46</v>
      </c>
      <c r="C1001" s="1">
        <v>40848</v>
      </c>
      <c r="D1001">
        <v>1099145883.3299999</v>
      </c>
      <c r="E1001">
        <v>8</v>
      </c>
    </row>
    <row r="1002" spans="2:5">
      <c r="B1002" s="1" t="s">
        <v>34</v>
      </c>
      <c r="C1002" s="1">
        <v>40848</v>
      </c>
      <c r="D1002">
        <v>781955044.85000002</v>
      </c>
      <c r="E1002">
        <v>9</v>
      </c>
    </row>
    <row r="1003" spans="2:5">
      <c r="B1003" s="1" t="s">
        <v>48</v>
      </c>
      <c r="C1003" s="1">
        <v>40848</v>
      </c>
      <c r="D1003">
        <v>480704275.17000002</v>
      </c>
      <c r="E1003">
        <v>10</v>
      </c>
    </row>
    <row r="1004" spans="2:5">
      <c r="B1004" s="1" t="s">
        <v>11</v>
      </c>
      <c r="C1004" s="1">
        <v>40878</v>
      </c>
      <c r="D1004">
        <v>14402413671.309999</v>
      </c>
      <c r="E1004">
        <v>1</v>
      </c>
    </row>
    <row r="1005" spans="2:5">
      <c r="B1005" s="1" t="s">
        <v>13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20</v>
      </c>
      <c r="C1007" s="1">
        <v>40878</v>
      </c>
      <c r="D1007">
        <v>3647920798.0700002</v>
      </c>
      <c r="E1007">
        <v>4</v>
      </c>
    </row>
    <row r="1008" spans="2:5">
      <c r="B1008" s="1" t="s">
        <v>10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46</v>
      </c>
      <c r="C1011" s="1">
        <v>40878</v>
      </c>
      <c r="D1011">
        <v>1412203171.1800001</v>
      </c>
      <c r="E1011">
        <v>8</v>
      </c>
    </row>
    <row r="1012" spans="2:5">
      <c r="B1012" s="1" t="s">
        <v>48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11</v>
      </c>
      <c r="C1014" s="1">
        <v>40909</v>
      </c>
      <c r="D1014">
        <v>23209079451.07</v>
      </c>
      <c r="E1014">
        <v>1</v>
      </c>
    </row>
    <row r="1015" spans="2:5">
      <c r="B1015" s="1" t="s">
        <v>13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20</v>
      </c>
      <c r="C1017" s="1">
        <v>40909</v>
      </c>
      <c r="D1017">
        <v>4059865643.29</v>
      </c>
      <c r="E1017">
        <v>4</v>
      </c>
    </row>
    <row r="1018" spans="2:5">
      <c r="B1018" s="1" t="s">
        <v>10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46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48</v>
      </c>
      <c r="C1022" s="1">
        <v>40909</v>
      </c>
      <c r="D1022">
        <v>683743002.97000003</v>
      </c>
      <c r="E1022">
        <v>9</v>
      </c>
    </row>
    <row r="1023" spans="2:5">
      <c r="B1023" s="1" t="s">
        <v>37</v>
      </c>
      <c r="C1023" s="1">
        <v>40909</v>
      </c>
      <c r="D1023">
        <v>612015462.09000003</v>
      </c>
      <c r="E1023">
        <v>10</v>
      </c>
    </row>
    <row r="1024" spans="2:5">
      <c r="B1024" s="1" t="s">
        <v>11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13</v>
      </c>
      <c r="C1026" s="1">
        <v>40940</v>
      </c>
      <c r="D1026">
        <v>4796151135.9200001</v>
      </c>
      <c r="E1026">
        <v>3</v>
      </c>
    </row>
    <row r="1027" spans="2:5">
      <c r="B1027" s="1" t="s">
        <v>10</v>
      </c>
      <c r="C1027" s="1">
        <v>40940</v>
      </c>
      <c r="D1027">
        <v>2074382019.1199999</v>
      </c>
      <c r="E1027">
        <v>4</v>
      </c>
    </row>
    <row r="1028" spans="2:5">
      <c r="B1028" s="1" t="s">
        <v>20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46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34</v>
      </c>
      <c r="C1032" s="1">
        <v>40940</v>
      </c>
      <c r="D1032">
        <v>753973852.75999999</v>
      </c>
      <c r="E1032">
        <v>9</v>
      </c>
    </row>
    <row r="1033" spans="2:5">
      <c r="B1033" s="1" t="s">
        <v>37</v>
      </c>
      <c r="C1033" s="1">
        <v>40940</v>
      </c>
      <c r="D1033">
        <v>684074900.45000005</v>
      </c>
      <c r="E1033">
        <v>10</v>
      </c>
    </row>
    <row r="1034" spans="2:5">
      <c r="B1034" s="1" t="s">
        <v>11</v>
      </c>
      <c r="C1034" s="1">
        <v>40969</v>
      </c>
      <c r="D1034">
        <v>14049256877.940001</v>
      </c>
      <c r="E1034">
        <v>1</v>
      </c>
    </row>
    <row r="1035" spans="2:5">
      <c r="B1035" s="1" t="s">
        <v>13</v>
      </c>
      <c r="C1035" s="1">
        <v>40969</v>
      </c>
      <c r="D1035">
        <v>6006376585.1800003</v>
      </c>
      <c r="E1035">
        <v>2</v>
      </c>
    </row>
    <row r="1036" spans="2:5">
      <c r="B1036" s="1" t="s">
        <v>10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46</v>
      </c>
      <c r="C1039" s="1">
        <v>40969</v>
      </c>
      <c r="D1039">
        <v>1757601309.22</v>
      </c>
      <c r="E1039">
        <v>6</v>
      </c>
    </row>
    <row r="1040" spans="2:5">
      <c r="B1040" s="1" t="s">
        <v>20</v>
      </c>
      <c r="C1040" s="1">
        <v>40969</v>
      </c>
      <c r="D1040">
        <v>1392637011.05</v>
      </c>
      <c r="E1040">
        <v>7</v>
      </c>
    </row>
    <row r="1041" spans="2:5">
      <c r="B1041" s="1" t="s">
        <v>34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37</v>
      </c>
      <c r="C1043" s="1">
        <v>40969</v>
      </c>
      <c r="D1043">
        <v>483206328.12</v>
      </c>
      <c r="E1043">
        <v>10</v>
      </c>
    </row>
    <row r="1044" spans="2:5">
      <c r="B1044" s="1" t="s">
        <v>11</v>
      </c>
      <c r="C1044" s="1">
        <v>41000</v>
      </c>
      <c r="D1044">
        <v>30547686964.380001</v>
      </c>
      <c r="E1044">
        <v>1</v>
      </c>
    </row>
    <row r="1045" spans="2:5">
      <c r="B1045" s="1" t="s">
        <v>13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10</v>
      </c>
      <c r="C1047" s="1">
        <v>41000</v>
      </c>
      <c r="D1047">
        <v>2968862432.2199998</v>
      </c>
      <c r="E1047">
        <v>4</v>
      </c>
    </row>
    <row r="1048" spans="2:5">
      <c r="B1048" s="1" t="s">
        <v>46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20</v>
      </c>
      <c r="C1050" s="1">
        <v>41000</v>
      </c>
      <c r="D1050">
        <v>1497727107.4200001</v>
      </c>
      <c r="E1050">
        <v>7</v>
      </c>
    </row>
    <row r="1051" spans="2:5">
      <c r="B1051" s="1" t="s">
        <v>34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50</v>
      </c>
      <c r="C1053" s="1">
        <v>41000</v>
      </c>
      <c r="D1053">
        <v>1188646337.95</v>
      </c>
      <c r="E1053">
        <v>10</v>
      </c>
    </row>
    <row r="1054" spans="2:5">
      <c r="B1054" s="1" t="s">
        <v>11</v>
      </c>
      <c r="C1054" s="1">
        <v>41030</v>
      </c>
      <c r="D1054">
        <v>10497979104.360001</v>
      </c>
      <c r="E1054">
        <v>1</v>
      </c>
    </row>
    <row r="1055" spans="2:5">
      <c r="B1055" s="1" t="s">
        <v>13</v>
      </c>
      <c r="C1055" s="1">
        <v>41030</v>
      </c>
      <c r="D1055">
        <v>5045445465.96</v>
      </c>
      <c r="E1055">
        <v>2</v>
      </c>
    </row>
    <row r="1056" spans="2:5">
      <c r="B1056" s="1" t="s">
        <v>10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20</v>
      </c>
      <c r="C1059" s="1">
        <v>41030</v>
      </c>
      <c r="D1059">
        <v>975876845.86000001</v>
      </c>
      <c r="E1059">
        <v>6</v>
      </c>
    </row>
    <row r="1060" spans="2:5">
      <c r="B1060" s="1" t="s">
        <v>46</v>
      </c>
      <c r="C1060" s="1">
        <v>41030</v>
      </c>
      <c r="D1060">
        <v>749628632.73000002</v>
      </c>
      <c r="E1060">
        <v>7</v>
      </c>
    </row>
    <row r="1061" spans="2:5">
      <c r="B1061" s="1" t="s">
        <v>34</v>
      </c>
      <c r="C1061" s="1">
        <v>41030</v>
      </c>
      <c r="D1061">
        <v>715750834.32000005</v>
      </c>
      <c r="E1061">
        <v>8</v>
      </c>
    </row>
    <row r="1062" spans="2:5">
      <c r="B1062" s="1" t="s">
        <v>19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11</v>
      </c>
      <c r="C1064" s="1">
        <v>41061</v>
      </c>
      <c r="D1064">
        <v>20085553792.799999</v>
      </c>
      <c r="E1064">
        <v>1</v>
      </c>
    </row>
    <row r="1065" spans="2:5">
      <c r="B1065" s="1" t="s">
        <v>13</v>
      </c>
      <c r="C1065" s="1">
        <v>41061</v>
      </c>
      <c r="D1065">
        <v>5672797241.4200001</v>
      </c>
      <c r="E1065">
        <v>2</v>
      </c>
    </row>
    <row r="1066" spans="2:5">
      <c r="B1066" s="1" t="s">
        <v>10</v>
      </c>
      <c r="C1066" s="1">
        <v>41061</v>
      </c>
      <c r="D1066">
        <v>2837371203.46</v>
      </c>
      <c r="E1066">
        <v>3</v>
      </c>
    </row>
    <row r="1067" spans="2:5">
      <c r="B1067" s="1" t="s">
        <v>46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34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20</v>
      </c>
      <c r="C1073" s="1">
        <v>41061</v>
      </c>
      <c r="D1073">
        <v>807433941.49000001</v>
      </c>
      <c r="E1073">
        <v>10</v>
      </c>
    </row>
    <row r="1074" spans="2:5">
      <c r="B1074" s="1" t="s">
        <v>11</v>
      </c>
      <c r="C1074" s="1">
        <v>41091</v>
      </c>
      <c r="D1074">
        <v>12490413319.5</v>
      </c>
      <c r="E1074">
        <v>1</v>
      </c>
    </row>
    <row r="1075" spans="2:5">
      <c r="B1075" s="1" t="s">
        <v>13</v>
      </c>
      <c r="C1075" s="1">
        <v>41091</v>
      </c>
      <c r="D1075">
        <v>7036329639.4899998</v>
      </c>
      <c r="E1075">
        <v>2</v>
      </c>
    </row>
    <row r="1076" spans="2:5">
      <c r="B1076" s="1" t="s">
        <v>10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46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34</v>
      </c>
      <c r="C1080" s="1">
        <v>41091</v>
      </c>
      <c r="D1080">
        <v>1819644112.4000001</v>
      </c>
      <c r="E1080">
        <v>7</v>
      </c>
    </row>
    <row r="1081" spans="2:5">
      <c r="B1081" s="1" t="s">
        <v>20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11</v>
      </c>
      <c r="C1084" s="1">
        <v>41122</v>
      </c>
      <c r="D1084">
        <v>17722445723.59</v>
      </c>
      <c r="E1084">
        <v>1</v>
      </c>
    </row>
    <row r="1085" spans="2:5">
      <c r="B1085" s="1" t="s">
        <v>13</v>
      </c>
      <c r="C1085" s="1">
        <v>41122</v>
      </c>
      <c r="D1085">
        <v>5805711544.7600002</v>
      </c>
      <c r="E1085">
        <v>2</v>
      </c>
    </row>
    <row r="1086" spans="2:5">
      <c r="B1086" s="1" t="s">
        <v>46</v>
      </c>
      <c r="C1086" s="1">
        <v>41122</v>
      </c>
      <c r="D1086">
        <v>3642919334.4899998</v>
      </c>
      <c r="E1086">
        <v>3</v>
      </c>
    </row>
    <row r="1087" spans="2:5">
      <c r="B1087" s="1" t="s">
        <v>10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20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34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17</v>
      </c>
      <c r="C1093" s="1">
        <v>41122</v>
      </c>
      <c r="D1093">
        <v>885810800.47000003</v>
      </c>
      <c r="E1093">
        <v>10</v>
      </c>
    </row>
    <row r="1094" spans="2:5">
      <c r="B1094" s="1" t="s">
        <v>11</v>
      </c>
      <c r="C1094" s="1">
        <v>41153</v>
      </c>
      <c r="D1094">
        <v>15450764934.82</v>
      </c>
      <c r="E1094">
        <v>1</v>
      </c>
    </row>
    <row r="1095" spans="2:5">
      <c r="B1095" s="1" t="s">
        <v>13</v>
      </c>
      <c r="C1095" s="1">
        <v>41153</v>
      </c>
      <c r="D1095">
        <v>8415301500.0699997</v>
      </c>
      <c r="E1095">
        <v>2</v>
      </c>
    </row>
    <row r="1096" spans="2:5">
      <c r="B1096" s="1" t="s">
        <v>46</v>
      </c>
      <c r="C1096" s="1">
        <v>41153</v>
      </c>
      <c r="D1096">
        <v>4782260991.4399996</v>
      </c>
      <c r="E1096">
        <v>3</v>
      </c>
    </row>
    <row r="1097" spans="2:5">
      <c r="B1097" s="1" t="s">
        <v>10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20</v>
      </c>
      <c r="C1100" s="1">
        <v>41153</v>
      </c>
      <c r="D1100">
        <v>1681290589.78</v>
      </c>
      <c r="E1100">
        <v>7</v>
      </c>
    </row>
    <row r="1101" spans="2:5">
      <c r="B1101" s="1" t="s">
        <v>34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50</v>
      </c>
      <c r="C1103" s="1">
        <v>41153</v>
      </c>
      <c r="D1103">
        <v>936397289.01999998</v>
      </c>
      <c r="E1103">
        <v>10</v>
      </c>
    </row>
    <row r="1104" spans="2:5">
      <c r="B1104" s="1" t="s">
        <v>11</v>
      </c>
      <c r="C1104" s="1">
        <v>41183</v>
      </c>
      <c r="D1104">
        <v>15515154908.18</v>
      </c>
      <c r="E1104">
        <v>1</v>
      </c>
    </row>
    <row r="1105" spans="2:5">
      <c r="B1105" s="1" t="s">
        <v>13</v>
      </c>
      <c r="C1105" s="1">
        <v>41183</v>
      </c>
      <c r="D1105">
        <v>9589348332.7900009</v>
      </c>
      <c r="E1105">
        <v>2</v>
      </c>
    </row>
    <row r="1106" spans="2:5">
      <c r="B1106" s="1" t="s">
        <v>46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10</v>
      </c>
      <c r="C1108" s="1">
        <v>41183</v>
      </c>
      <c r="D1108">
        <v>3359844224.2199998</v>
      </c>
      <c r="E1108">
        <v>5</v>
      </c>
    </row>
    <row r="1109" spans="2:5">
      <c r="B1109" s="1" t="s">
        <v>20</v>
      </c>
      <c r="C1109" s="1">
        <v>41183</v>
      </c>
      <c r="D1109">
        <v>1966201200.96</v>
      </c>
      <c r="E1109">
        <v>6</v>
      </c>
    </row>
    <row r="1110" spans="2:5">
      <c r="B1110" s="1" t="s">
        <v>34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52</v>
      </c>
      <c r="C1113" s="1">
        <v>41183</v>
      </c>
      <c r="D1113">
        <v>945225066.88999999</v>
      </c>
      <c r="E1113">
        <v>10</v>
      </c>
    </row>
    <row r="1114" spans="2:5">
      <c r="B1114" s="1" t="s">
        <v>11</v>
      </c>
      <c r="C1114" s="1">
        <v>41214</v>
      </c>
      <c r="D1114">
        <v>13208748904.610001</v>
      </c>
      <c r="E1114">
        <v>1</v>
      </c>
    </row>
    <row r="1115" spans="2:5">
      <c r="B1115" s="1" t="s">
        <v>13</v>
      </c>
      <c r="C1115" s="1">
        <v>41214</v>
      </c>
      <c r="D1115">
        <v>4495620611.7799997</v>
      </c>
      <c r="E1115">
        <v>2</v>
      </c>
    </row>
    <row r="1116" spans="2:5">
      <c r="B1116" s="1" t="s">
        <v>46</v>
      </c>
      <c r="C1116" s="1">
        <v>41214</v>
      </c>
      <c r="D1116">
        <v>4259407226.3299999</v>
      </c>
      <c r="E1116">
        <v>3</v>
      </c>
    </row>
    <row r="1117" spans="2:5">
      <c r="B1117" s="1" t="s">
        <v>10</v>
      </c>
      <c r="C1117" s="1">
        <v>41214</v>
      </c>
      <c r="D1117">
        <v>3094481674.0799999</v>
      </c>
      <c r="E1117">
        <v>4</v>
      </c>
    </row>
    <row r="1118" spans="2:5">
      <c r="B1118" s="1" t="s">
        <v>34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52</v>
      </c>
      <c r="C1120" s="1">
        <v>41214</v>
      </c>
      <c r="D1120">
        <v>1732847138.78</v>
      </c>
      <c r="E1120">
        <v>7</v>
      </c>
    </row>
    <row r="1121" spans="2:5">
      <c r="B1121" s="1" t="s">
        <v>20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11</v>
      </c>
      <c r="C1124" s="1">
        <v>41244</v>
      </c>
      <c r="D1124">
        <v>18561639674.389999</v>
      </c>
      <c r="E1124">
        <v>1</v>
      </c>
    </row>
    <row r="1125" spans="2:5">
      <c r="B1125" s="1" t="s">
        <v>13</v>
      </c>
      <c r="C1125" s="1">
        <v>41244</v>
      </c>
      <c r="D1125">
        <v>7624851409.7200003</v>
      </c>
      <c r="E1125">
        <v>2</v>
      </c>
    </row>
    <row r="1126" spans="2:5">
      <c r="B1126" s="1" t="s">
        <v>46</v>
      </c>
      <c r="C1126" s="1">
        <v>41244</v>
      </c>
      <c r="D1126">
        <v>5306609068.2399998</v>
      </c>
      <c r="E1126">
        <v>3</v>
      </c>
    </row>
    <row r="1127" spans="2:5">
      <c r="B1127" s="1" t="s">
        <v>10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52</v>
      </c>
      <c r="C1130" s="1">
        <v>41244</v>
      </c>
      <c r="D1130">
        <v>2250728428.04</v>
      </c>
      <c r="E1130">
        <v>7</v>
      </c>
    </row>
    <row r="1131" spans="2:5">
      <c r="B1131" s="1" t="s">
        <v>20</v>
      </c>
      <c r="C1131" s="1">
        <v>41244</v>
      </c>
      <c r="D1131">
        <v>1993515527.46</v>
      </c>
      <c r="E1131">
        <v>8</v>
      </c>
    </row>
    <row r="1132" spans="2:5">
      <c r="B1132" s="1" t="s">
        <v>53</v>
      </c>
      <c r="C1132" s="1">
        <v>41244</v>
      </c>
      <c r="D1132">
        <v>1584714943.46</v>
      </c>
      <c r="E1132">
        <v>9</v>
      </c>
    </row>
    <row r="1133" spans="2:5">
      <c r="B1133" s="1" t="s">
        <v>34</v>
      </c>
      <c r="C1133" s="1">
        <v>41244</v>
      </c>
      <c r="D1133">
        <v>1546089705.53</v>
      </c>
      <c r="E1133">
        <v>10</v>
      </c>
    </row>
    <row r="1134" spans="2:5">
      <c r="B1134" s="1" t="s">
        <v>11</v>
      </c>
      <c r="C1134" s="1">
        <v>41275</v>
      </c>
      <c r="D1134">
        <v>5514998779.8199997</v>
      </c>
      <c r="E1134">
        <v>1</v>
      </c>
    </row>
    <row r="1135" spans="2:5">
      <c r="B1135" s="1" t="s">
        <v>13</v>
      </c>
      <c r="C1135" s="1">
        <v>41275</v>
      </c>
      <c r="D1135">
        <v>5430680984.2200003</v>
      </c>
      <c r="E1135">
        <v>2</v>
      </c>
    </row>
    <row r="1136" spans="2:5">
      <c r="B1136" s="1" t="s">
        <v>46</v>
      </c>
      <c r="C1136" s="1">
        <v>41275</v>
      </c>
      <c r="D1136">
        <v>4854996551.6700001</v>
      </c>
      <c r="E1136">
        <v>3</v>
      </c>
    </row>
    <row r="1137" spans="2:5">
      <c r="B1137" s="1" t="s">
        <v>10</v>
      </c>
      <c r="C1137" s="1">
        <v>41275</v>
      </c>
      <c r="D1137">
        <v>3904061336.3899999</v>
      </c>
      <c r="E1137">
        <v>4</v>
      </c>
    </row>
    <row r="1138" spans="2:5">
      <c r="B1138" s="1" t="s">
        <v>20</v>
      </c>
      <c r="C1138" s="1">
        <v>41275</v>
      </c>
      <c r="D1138">
        <v>2417312711.3600001</v>
      </c>
      <c r="E1138">
        <v>5</v>
      </c>
    </row>
    <row r="1139" spans="2:5">
      <c r="B1139" s="1" t="s">
        <v>52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34</v>
      </c>
      <c r="C1143" s="1">
        <v>41275</v>
      </c>
      <c r="D1143">
        <v>979925672.88999999</v>
      </c>
      <c r="E1143">
        <v>10</v>
      </c>
    </row>
    <row r="1144" spans="2:5">
      <c r="B1144" s="1" t="s">
        <v>11</v>
      </c>
      <c r="C1144" s="1">
        <v>41306</v>
      </c>
      <c r="D1144">
        <v>12330874909.370001</v>
      </c>
      <c r="E1144">
        <v>1</v>
      </c>
    </row>
    <row r="1145" spans="2:5">
      <c r="B1145" s="1" t="s">
        <v>13</v>
      </c>
      <c r="C1145" s="1">
        <v>41306</v>
      </c>
      <c r="D1145">
        <v>7204104917.6300001</v>
      </c>
      <c r="E1145">
        <v>2</v>
      </c>
    </row>
    <row r="1146" spans="2:5">
      <c r="B1146" s="1" t="s">
        <v>46</v>
      </c>
      <c r="C1146" s="1">
        <v>41306</v>
      </c>
      <c r="D1146">
        <v>5966617258.3500004</v>
      </c>
      <c r="E1146">
        <v>3</v>
      </c>
    </row>
    <row r="1147" spans="2:5">
      <c r="B1147" s="1" t="s">
        <v>10</v>
      </c>
      <c r="C1147" s="1">
        <v>41306</v>
      </c>
      <c r="D1147">
        <v>3547658348.7199998</v>
      </c>
      <c r="E1147">
        <v>4</v>
      </c>
    </row>
    <row r="1148" spans="2:5">
      <c r="B1148" s="1" t="s">
        <v>20</v>
      </c>
      <c r="C1148" s="1">
        <v>41306</v>
      </c>
      <c r="D1148">
        <v>2348959566.2800002</v>
      </c>
      <c r="E1148">
        <v>5</v>
      </c>
    </row>
    <row r="1149" spans="2:5">
      <c r="B1149" s="1" t="s">
        <v>52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34</v>
      </c>
      <c r="C1153" s="1">
        <v>41306</v>
      </c>
      <c r="D1153">
        <v>1416718881.03</v>
      </c>
      <c r="E1153">
        <v>10</v>
      </c>
    </row>
    <row r="1154" spans="2:5">
      <c r="B1154" s="1" t="s">
        <v>11</v>
      </c>
      <c r="C1154" s="1">
        <v>41334</v>
      </c>
      <c r="D1154">
        <v>11762868452.809999</v>
      </c>
      <c r="E1154">
        <v>1</v>
      </c>
    </row>
    <row r="1155" spans="2:5">
      <c r="B1155" s="1" t="s">
        <v>13</v>
      </c>
      <c r="C1155" s="1">
        <v>41334</v>
      </c>
      <c r="D1155">
        <v>7145425651.6099997</v>
      </c>
      <c r="E1155">
        <v>2</v>
      </c>
    </row>
    <row r="1156" spans="2:5">
      <c r="B1156" s="1" t="s">
        <v>46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10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20</v>
      </c>
      <c r="C1160" s="1">
        <v>41334</v>
      </c>
      <c r="D1160">
        <v>1926771112.8099999</v>
      </c>
      <c r="E1160">
        <v>7</v>
      </c>
    </row>
    <row r="1161" spans="2:5">
      <c r="B1161" s="1" t="s">
        <v>34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11</v>
      </c>
      <c r="C1164" s="1">
        <v>41365</v>
      </c>
      <c r="D1164">
        <v>9980934177.1000004</v>
      </c>
      <c r="E1164">
        <v>1</v>
      </c>
    </row>
    <row r="1165" spans="2:5">
      <c r="B1165" s="1" t="s">
        <v>13</v>
      </c>
      <c r="C1165" s="1">
        <v>41365</v>
      </c>
      <c r="D1165">
        <v>6886584084.6800003</v>
      </c>
      <c r="E1165">
        <v>2</v>
      </c>
    </row>
    <row r="1166" spans="2:5">
      <c r="B1166" s="1" t="s">
        <v>46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10</v>
      </c>
      <c r="C1169" s="1">
        <v>41365</v>
      </c>
      <c r="D1169">
        <v>1898208233.29</v>
      </c>
      <c r="E1169">
        <v>6</v>
      </c>
    </row>
    <row r="1170" spans="2:5">
      <c r="B1170" s="1" t="s">
        <v>34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20</v>
      </c>
      <c r="C1172" s="1">
        <v>41365</v>
      </c>
      <c r="D1172">
        <v>714987470.79999995</v>
      </c>
      <c r="E1172">
        <v>9</v>
      </c>
    </row>
    <row r="1173" spans="2:5">
      <c r="B1173" s="1" t="s">
        <v>53</v>
      </c>
      <c r="C1173" s="1">
        <v>41365</v>
      </c>
      <c r="D1173">
        <v>701559342.30999994</v>
      </c>
      <c r="E1173">
        <v>10</v>
      </c>
    </row>
    <row r="1174" spans="2:5">
      <c r="B1174" s="1" t="s">
        <v>11</v>
      </c>
      <c r="C1174" s="1">
        <v>41395</v>
      </c>
      <c r="D1174">
        <v>10647976949.73</v>
      </c>
      <c r="E1174">
        <v>1</v>
      </c>
    </row>
    <row r="1175" spans="2:5">
      <c r="B1175" s="1" t="s">
        <v>13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46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10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54</v>
      </c>
      <c r="C1182" s="1">
        <v>41395</v>
      </c>
      <c r="D1182">
        <v>1034194462.79</v>
      </c>
      <c r="E1182">
        <v>9</v>
      </c>
    </row>
    <row r="1183" spans="2:5">
      <c r="B1183" t="s">
        <v>53</v>
      </c>
      <c r="C1183" s="1">
        <v>41395</v>
      </c>
      <c r="D1183">
        <v>1029514462.89</v>
      </c>
      <c r="E1183">
        <v>10</v>
      </c>
    </row>
    <row r="1184" spans="2:5">
      <c r="B1184" t="s">
        <v>11</v>
      </c>
      <c r="C1184" s="1">
        <v>41426</v>
      </c>
      <c r="D1184">
        <v>16378355650.98</v>
      </c>
      <c r="E1184">
        <v>1</v>
      </c>
    </row>
    <row r="1185" spans="2:5">
      <c r="B1185" t="s">
        <v>13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46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34</v>
      </c>
      <c r="C1189" s="1">
        <v>41426</v>
      </c>
      <c r="D1189">
        <v>1871436657.03</v>
      </c>
      <c r="E1189">
        <v>6</v>
      </c>
    </row>
    <row r="1190" spans="2:5">
      <c r="B1190" t="s">
        <v>10</v>
      </c>
      <c r="C1190" s="1">
        <v>41426</v>
      </c>
      <c r="D1190">
        <v>1853026355.25</v>
      </c>
      <c r="E1190">
        <v>7</v>
      </c>
    </row>
    <row r="1191" spans="2:5">
      <c r="B1191" t="s">
        <v>55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53</v>
      </c>
      <c r="C1193" s="1">
        <v>41426</v>
      </c>
      <c r="D1193">
        <v>873269722.52999997</v>
      </c>
      <c r="E1193">
        <v>10</v>
      </c>
    </row>
    <row r="1194" spans="2:5">
      <c r="B1194" t="s">
        <v>11</v>
      </c>
      <c r="C1194" s="1">
        <v>41456</v>
      </c>
      <c r="D1194">
        <v>15177156622.67</v>
      </c>
      <c r="E1194">
        <v>1</v>
      </c>
    </row>
    <row r="1195" spans="2:5">
      <c r="B1195" t="s">
        <v>13</v>
      </c>
      <c r="C1195" s="1">
        <v>41456</v>
      </c>
      <c r="D1195">
        <v>4532716807.6599998</v>
      </c>
      <c r="E1195">
        <v>2</v>
      </c>
    </row>
    <row r="1196" spans="2:5">
      <c r="B1196" t="s">
        <v>46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10</v>
      </c>
      <c r="C1199" s="1">
        <v>41456</v>
      </c>
      <c r="D1199">
        <v>1992445611.8499999</v>
      </c>
      <c r="E1199">
        <v>6</v>
      </c>
    </row>
    <row r="1200" spans="2:5">
      <c r="B1200" t="s">
        <v>55</v>
      </c>
      <c r="C1200" s="1">
        <v>41456</v>
      </c>
      <c r="D1200">
        <v>1563390928.6700001</v>
      </c>
      <c r="E1200">
        <v>7</v>
      </c>
    </row>
    <row r="1201" spans="2:5">
      <c r="B1201" t="s">
        <v>53</v>
      </c>
      <c r="C1201" s="1">
        <v>41456</v>
      </c>
      <c r="D1201">
        <v>1165394823.78</v>
      </c>
      <c r="E1201">
        <v>8</v>
      </c>
    </row>
    <row r="1202" spans="2:5">
      <c r="B1202" t="s">
        <v>54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11</v>
      </c>
      <c r="C1204" s="1">
        <v>41487</v>
      </c>
      <c r="D1204">
        <v>16749167656.17</v>
      </c>
      <c r="E1204">
        <v>1</v>
      </c>
    </row>
    <row r="1205" spans="2:5">
      <c r="B1205" t="s">
        <v>46</v>
      </c>
      <c r="C1205" s="1">
        <v>41487</v>
      </c>
      <c r="D1205">
        <v>4431900841.0100002</v>
      </c>
      <c r="E1205">
        <v>2</v>
      </c>
    </row>
    <row r="1206" spans="2:5">
      <c r="B1206" t="s">
        <v>13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10</v>
      </c>
      <c r="C1208" s="1">
        <v>41487</v>
      </c>
      <c r="D1208">
        <v>2282103654.0900002</v>
      </c>
      <c r="E1208">
        <v>5</v>
      </c>
    </row>
    <row r="1209" spans="2:5">
      <c r="B1209" t="s">
        <v>55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54</v>
      </c>
      <c r="C1211" s="1">
        <v>41487</v>
      </c>
      <c r="D1211">
        <v>1563932131.55</v>
      </c>
      <c r="E1211">
        <v>8</v>
      </c>
    </row>
    <row r="1212" spans="2:5">
      <c r="B1212" t="s">
        <v>52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11</v>
      </c>
      <c r="C1214" s="1">
        <v>41518</v>
      </c>
      <c r="D1214">
        <v>15517116259.82</v>
      </c>
      <c r="E1214">
        <v>1</v>
      </c>
    </row>
    <row r="1215" spans="2:5">
      <c r="B1215" t="s">
        <v>46</v>
      </c>
      <c r="C1215" s="1">
        <v>41518</v>
      </c>
      <c r="D1215">
        <v>4099763945.7399998</v>
      </c>
      <c r="E1215">
        <v>2</v>
      </c>
    </row>
    <row r="1216" spans="2:5">
      <c r="B1216" t="s">
        <v>54</v>
      </c>
      <c r="C1216" s="1">
        <v>41518</v>
      </c>
      <c r="D1216">
        <v>2861460099.5799999</v>
      </c>
      <c r="E1216">
        <v>3</v>
      </c>
    </row>
    <row r="1217" spans="2:5">
      <c r="B1217" t="s">
        <v>13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55</v>
      </c>
      <c r="C1219" s="1">
        <v>41518</v>
      </c>
      <c r="D1219">
        <v>2152825718.3000002</v>
      </c>
      <c r="E1219">
        <v>6</v>
      </c>
    </row>
    <row r="1220" spans="2:5">
      <c r="B1220" t="s">
        <v>10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50</v>
      </c>
      <c r="C1222" s="1">
        <v>41518</v>
      </c>
      <c r="D1222">
        <v>1295687786.72</v>
      </c>
      <c r="E1222">
        <v>9</v>
      </c>
    </row>
    <row r="1223" spans="2:5">
      <c r="B1223" t="s">
        <v>34</v>
      </c>
      <c r="C1223" s="1">
        <v>41518</v>
      </c>
      <c r="D1223">
        <v>912925948.12</v>
      </c>
      <c r="E1223">
        <v>10</v>
      </c>
    </row>
    <row r="1224" spans="2:5">
      <c r="B1224" t="s">
        <v>11</v>
      </c>
      <c r="C1224" s="1">
        <v>41548</v>
      </c>
      <c r="D1224">
        <v>12736272274.200001</v>
      </c>
      <c r="E1224">
        <v>1</v>
      </c>
    </row>
    <row r="1225" spans="2:5">
      <c r="B1225" t="s">
        <v>13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46</v>
      </c>
      <c r="C1227" s="1">
        <v>41548</v>
      </c>
      <c r="D1227">
        <v>2353070457.5900002</v>
      </c>
      <c r="E1227">
        <v>4</v>
      </c>
    </row>
    <row r="1228" spans="2:5">
      <c r="B1228" t="s">
        <v>55</v>
      </c>
      <c r="C1228" s="1">
        <v>41548</v>
      </c>
      <c r="D1228">
        <v>1808657114.72</v>
      </c>
      <c r="E1228">
        <v>5</v>
      </c>
    </row>
    <row r="1229" spans="2:5">
      <c r="B1229" t="s">
        <v>54</v>
      </c>
      <c r="C1229" s="1">
        <v>41548</v>
      </c>
      <c r="D1229">
        <v>1339478926.28</v>
      </c>
      <c r="E1229">
        <v>6</v>
      </c>
    </row>
    <row r="1230" spans="2:5">
      <c r="B1230" t="s">
        <v>10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50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11</v>
      </c>
      <c r="C1234" s="1">
        <v>41579</v>
      </c>
      <c r="D1234">
        <v>9023886132.7900009</v>
      </c>
      <c r="E1234">
        <v>1</v>
      </c>
    </row>
    <row r="1235" spans="2:5">
      <c r="B1235" t="s">
        <v>13</v>
      </c>
      <c r="C1235" s="1">
        <v>41579</v>
      </c>
      <c r="D1235">
        <v>2224516923.4400001</v>
      </c>
      <c r="E1235">
        <v>2</v>
      </c>
    </row>
    <row r="1236" spans="2:5">
      <c r="B1236" t="s">
        <v>46</v>
      </c>
      <c r="C1236" s="1">
        <v>41579</v>
      </c>
      <c r="D1236">
        <v>1845973493.28</v>
      </c>
      <c r="E1236">
        <v>3</v>
      </c>
    </row>
    <row r="1237" spans="2:5">
      <c r="B1237" t="s">
        <v>54</v>
      </c>
      <c r="C1237" s="1">
        <v>41579</v>
      </c>
      <c r="D1237">
        <v>1714263954.01</v>
      </c>
      <c r="E1237">
        <v>4</v>
      </c>
    </row>
    <row r="1238" spans="2:5">
      <c r="B1238" t="s">
        <v>55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10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50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11</v>
      </c>
      <c r="C1244" s="1">
        <v>41609</v>
      </c>
      <c r="D1244">
        <v>7160448808.71</v>
      </c>
      <c r="E1244">
        <v>1</v>
      </c>
    </row>
    <row r="1245" spans="2:5">
      <c r="B1245" t="s">
        <v>13</v>
      </c>
      <c r="C1245" s="1">
        <v>41609</v>
      </c>
      <c r="D1245">
        <v>3275629193.4299998</v>
      </c>
      <c r="E1245">
        <v>2</v>
      </c>
    </row>
    <row r="1246" spans="2:5">
      <c r="B1246" t="s">
        <v>46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10</v>
      </c>
      <c r="C1248" s="1">
        <v>41609</v>
      </c>
      <c r="D1248">
        <v>1385947039.5999999</v>
      </c>
      <c r="E1248">
        <v>5</v>
      </c>
    </row>
    <row r="1249" spans="2:5">
      <c r="B1249" t="s">
        <v>55</v>
      </c>
      <c r="C1249" s="1">
        <v>41609</v>
      </c>
      <c r="D1249">
        <v>1234168380.74</v>
      </c>
      <c r="E1249">
        <v>6</v>
      </c>
    </row>
    <row r="1250" spans="2:5">
      <c r="B1250" t="s">
        <v>54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56</v>
      </c>
      <c r="C1253" s="1">
        <v>41609</v>
      </c>
      <c r="D1253">
        <v>478405453.45999998</v>
      </c>
      <c r="E1253">
        <v>10</v>
      </c>
    </row>
    <row r="1254" spans="2:5">
      <c r="B1254" t="s">
        <v>11</v>
      </c>
      <c r="C1254" s="1">
        <v>41640</v>
      </c>
      <c r="D1254">
        <v>5970250118.0100002</v>
      </c>
      <c r="E1254">
        <v>1</v>
      </c>
    </row>
    <row r="1255" spans="2:5">
      <c r="B1255" t="s">
        <v>13</v>
      </c>
      <c r="C1255" s="1">
        <v>41640</v>
      </c>
      <c r="D1255">
        <v>2207793813.1599998</v>
      </c>
      <c r="E1255">
        <v>2</v>
      </c>
    </row>
    <row r="1256" spans="2:5">
      <c r="B1256" t="s">
        <v>55</v>
      </c>
      <c r="C1256" s="1">
        <v>41640</v>
      </c>
      <c r="D1256">
        <v>1555357392.6700001</v>
      </c>
      <c r="E1256">
        <v>3</v>
      </c>
    </row>
    <row r="1257" spans="2:5">
      <c r="B1257" t="s">
        <v>46</v>
      </c>
      <c r="C1257" s="1">
        <v>41640</v>
      </c>
      <c r="D1257">
        <v>1417769963.4200001</v>
      </c>
      <c r="E1257">
        <v>4</v>
      </c>
    </row>
    <row r="1258" spans="2:5">
      <c r="B1258" t="s">
        <v>54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10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23</v>
      </c>
      <c r="C1263" s="1">
        <v>41640</v>
      </c>
      <c r="D1263">
        <v>395465549.91000003</v>
      </c>
      <c r="E1263">
        <v>10</v>
      </c>
    </row>
    <row r="1264" spans="2:5">
      <c r="B1264" t="s">
        <v>11</v>
      </c>
      <c r="C1264" s="1">
        <v>41671</v>
      </c>
      <c r="D1264">
        <v>2787339203.8600001</v>
      </c>
      <c r="E1264">
        <v>1</v>
      </c>
    </row>
    <row r="1265" spans="2:5">
      <c r="B1265" t="s">
        <v>46</v>
      </c>
      <c r="C1265" s="1">
        <v>41671</v>
      </c>
      <c r="D1265">
        <v>1754359485.8099999</v>
      </c>
      <c r="E1265">
        <v>2</v>
      </c>
    </row>
    <row r="1266" spans="2:5">
      <c r="B1266" t="s">
        <v>13</v>
      </c>
      <c r="C1266" s="1">
        <v>41671</v>
      </c>
      <c r="D1266">
        <v>1687480050.0599999</v>
      </c>
      <c r="E1266">
        <v>3</v>
      </c>
    </row>
    <row r="1267" spans="2:5">
      <c r="B1267" t="s">
        <v>55</v>
      </c>
      <c r="C1267" s="1">
        <v>41671</v>
      </c>
      <c r="D1267">
        <v>1337275043.49</v>
      </c>
      <c r="E1267">
        <v>4</v>
      </c>
    </row>
    <row r="1268" spans="2:5">
      <c r="B1268" t="s">
        <v>54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10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23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11</v>
      </c>
      <c r="C1274" s="1">
        <v>41699</v>
      </c>
      <c r="D1274">
        <v>3860179857.6700001</v>
      </c>
      <c r="E1274">
        <v>1</v>
      </c>
    </row>
    <row r="1275" spans="2:5">
      <c r="B1275" t="s">
        <v>13</v>
      </c>
      <c r="C1275" s="1">
        <v>41699</v>
      </c>
      <c r="D1275">
        <v>2055501949.8099999</v>
      </c>
      <c r="E1275">
        <v>2</v>
      </c>
    </row>
    <row r="1276" spans="2:5">
      <c r="B1276" t="s">
        <v>46</v>
      </c>
      <c r="C1276" s="1">
        <v>41699</v>
      </c>
      <c r="D1276">
        <v>1916682883.5699999</v>
      </c>
      <c r="E1276">
        <v>3</v>
      </c>
    </row>
    <row r="1277" spans="2:5">
      <c r="B1277" t="s">
        <v>55</v>
      </c>
      <c r="C1277" s="1">
        <v>41699</v>
      </c>
      <c r="D1277">
        <v>1267206821.6800001</v>
      </c>
      <c r="E1277">
        <v>4</v>
      </c>
    </row>
    <row r="1278" spans="2:5">
      <c r="B1278" t="s">
        <v>54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10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23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11</v>
      </c>
      <c r="C1284" s="1">
        <v>41730</v>
      </c>
      <c r="D1284">
        <v>2723269728.27</v>
      </c>
      <c r="E1284">
        <v>1</v>
      </c>
    </row>
    <row r="1285" spans="2:5">
      <c r="B1285" t="s">
        <v>46</v>
      </c>
      <c r="C1285" s="1">
        <v>41730</v>
      </c>
      <c r="D1285">
        <v>1569133883.05</v>
      </c>
      <c r="E1285">
        <v>2</v>
      </c>
    </row>
    <row r="1286" spans="2:5">
      <c r="B1286" t="s">
        <v>13</v>
      </c>
      <c r="C1286" s="1">
        <v>41730</v>
      </c>
      <c r="D1286">
        <v>1372169527.04</v>
      </c>
      <c r="E1286">
        <v>3</v>
      </c>
    </row>
    <row r="1287" spans="2:5">
      <c r="B1287" t="s">
        <v>54</v>
      </c>
      <c r="C1287" s="1">
        <v>41730</v>
      </c>
      <c r="D1287">
        <v>909424536.85000002</v>
      </c>
      <c r="E1287">
        <v>4</v>
      </c>
    </row>
    <row r="1288" spans="2:5">
      <c r="B1288" t="s">
        <v>55</v>
      </c>
      <c r="C1288" s="1">
        <v>41730</v>
      </c>
      <c r="D1288">
        <v>906645531.15999997</v>
      </c>
      <c r="E1288">
        <v>5</v>
      </c>
    </row>
    <row r="1289" spans="2:5">
      <c r="B1289" t="s">
        <v>10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23</v>
      </c>
      <c r="C1291" s="1">
        <v>41730</v>
      </c>
      <c r="D1291">
        <v>317565010.06999999</v>
      </c>
      <c r="E1291">
        <v>8</v>
      </c>
    </row>
    <row r="1292" spans="2:5">
      <c r="B1292" t="s">
        <v>52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11</v>
      </c>
      <c r="C1294" s="1">
        <v>41760</v>
      </c>
      <c r="D1294">
        <v>3201052079.1599998</v>
      </c>
      <c r="E1294">
        <v>1</v>
      </c>
    </row>
    <row r="1295" spans="2:5">
      <c r="B1295" t="s">
        <v>13</v>
      </c>
      <c r="C1295" s="1">
        <v>41760</v>
      </c>
      <c r="D1295">
        <v>2401374616.25</v>
      </c>
      <c r="E1295">
        <v>2</v>
      </c>
    </row>
    <row r="1296" spans="2:5">
      <c r="B1296" t="s">
        <v>46</v>
      </c>
      <c r="C1296" s="1">
        <v>41760</v>
      </c>
      <c r="D1296">
        <v>1572084510.04</v>
      </c>
      <c r="E1296">
        <v>3</v>
      </c>
    </row>
    <row r="1297" spans="2:5">
      <c r="B1297" t="s">
        <v>55</v>
      </c>
      <c r="C1297" s="1">
        <v>41760</v>
      </c>
      <c r="D1297">
        <v>866292694.84000003</v>
      </c>
      <c r="E1297">
        <v>4</v>
      </c>
    </row>
    <row r="1298" spans="2:5">
      <c r="B1298" t="s">
        <v>10</v>
      </c>
      <c r="C1298" s="1">
        <v>41760</v>
      </c>
      <c r="D1298">
        <v>834730668.64999998</v>
      </c>
      <c r="E1298">
        <v>5</v>
      </c>
    </row>
    <row r="1299" spans="2:5">
      <c r="B1299" t="s">
        <v>54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23</v>
      </c>
      <c r="C1301" s="1">
        <v>41760</v>
      </c>
      <c r="D1301">
        <v>468001431.88999999</v>
      </c>
      <c r="E1301">
        <v>8</v>
      </c>
    </row>
    <row r="1302" spans="2:5">
      <c r="B1302" t="s">
        <v>56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11</v>
      </c>
      <c r="C1304" s="1">
        <v>41791</v>
      </c>
      <c r="D1304">
        <v>3493812279.3000002</v>
      </c>
      <c r="E1304">
        <v>1</v>
      </c>
    </row>
    <row r="1305" spans="2:5">
      <c r="B1305" t="s">
        <v>46</v>
      </c>
      <c r="C1305" s="1">
        <v>41791</v>
      </c>
      <c r="D1305">
        <v>1523092086.4300001</v>
      </c>
      <c r="E1305">
        <v>2</v>
      </c>
    </row>
    <row r="1306" spans="2:5">
      <c r="B1306" t="s">
        <v>55</v>
      </c>
      <c r="C1306" s="1">
        <v>41791</v>
      </c>
      <c r="D1306">
        <v>897813612.57000005</v>
      </c>
      <c r="E1306">
        <v>3</v>
      </c>
    </row>
    <row r="1307" spans="2:5">
      <c r="B1307" t="s">
        <v>10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13</v>
      </c>
      <c r="C1309" s="1">
        <v>41791</v>
      </c>
      <c r="D1309">
        <v>675024826.10000002</v>
      </c>
      <c r="E1309">
        <v>6</v>
      </c>
    </row>
    <row r="1310" spans="2:5">
      <c r="B1310" t="s">
        <v>54</v>
      </c>
      <c r="C1310" s="1">
        <v>41791</v>
      </c>
      <c r="D1310">
        <v>568052778.69000006</v>
      </c>
      <c r="E1310">
        <v>7</v>
      </c>
    </row>
    <row r="1311" spans="2:5">
      <c r="B1311" t="s">
        <v>56</v>
      </c>
      <c r="C1311" s="1">
        <v>41791</v>
      </c>
      <c r="D1311">
        <v>536538819.19999999</v>
      </c>
      <c r="E1311">
        <v>8</v>
      </c>
    </row>
    <row r="1312" spans="2:5">
      <c r="B1312" t="s">
        <v>23</v>
      </c>
      <c r="C1312" s="1">
        <v>41791</v>
      </c>
      <c r="D1312">
        <v>523383504.5</v>
      </c>
      <c r="E1312">
        <v>9</v>
      </c>
    </row>
    <row r="1313" spans="2:5">
      <c r="B1313" t="s">
        <v>50</v>
      </c>
      <c r="C1313" s="1">
        <v>41791</v>
      </c>
      <c r="D1313">
        <v>521174007.47000003</v>
      </c>
      <c r="E1313">
        <v>10</v>
      </c>
    </row>
    <row r="1314" spans="2:5">
      <c r="B1314" t="s">
        <v>11</v>
      </c>
      <c r="C1314" s="1">
        <v>41821</v>
      </c>
      <c r="D1314">
        <v>3922236463.21</v>
      </c>
      <c r="E1314">
        <v>1</v>
      </c>
    </row>
    <row r="1315" spans="2:5">
      <c r="B1315" t="s">
        <v>46</v>
      </c>
      <c r="C1315" s="1">
        <v>41821</v>
      </c>
      <c r="D1315">
        <v>1815521830.9200001</v>
      </c>
      <c r="E1315">
        <v>2</v>
      </c>
    </row>
    <row r="1316" spans="2:5">
      <c r="B1316" t="s">
        <v>13</v>
      </c>
      <c r="C1316" s="1">
        <v>41821</v>
      </c>
      <c r="D1316">
        <v>1578614288.8800001</v>
      </c>
      <c r="E1316">
        <v>3</v>
      </c>
    </row>
    <row r="1317" spans="2:5">
      <c r="B1317" t="s">
        <v>55</v>
      </c>
      <c r="C1317" s="1">
        <v>41821</v>
      </c>
      <c r="D1317">
        <v>1286875630.3800001</v>
      </c>
      <c r="E1317">
        <v>4</v>
      </c>
    </row>
    <row r="1318" spans="2:5">
      <c r="B1318" t="s">
        <v>10</v>
      </c>
      <c r="C1318" s="1">
        <v>41821</v>
      </c>
      <c r="D1318">
        <v>865608919</v>
      </c>
      <c r="E1318">
        <v>5</v>
      </c>
    </row>
    <row r="1319" spans="2:5">
      <c r="B1319" t="s">
        <v>54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23</v>
      </c>
      <c r="C1321" s="1">
        <v>41821</v>
      </c>
      <c r="D1321">
        <v>594661694.71000004</v>
      </c>
      <c r="E1321">
        <v>8</v>
      </c>
    </row>
    <row r="1322" spans="2:5">
      <c r="B1322" t="s">
        <v>56</v>
      </c>
      <c r="C1322" s="1">
        <v>41821</v>
      </c>
      <c r="D1322">
        <v>471094129.24000001</v>
      </c>
      <c r="E1322">
        <v>9</v>
      </c>
    </row>
    <row r="1323" spans="2:5">
      <c r="B1323" t="s">
        <v>52</v>
      </c>
      <c r="C1323" s="1">
        <v>41821</v>
      </c>
      <c r="D1323">
        <v>379516474.86000001</v>
      </c>
      <c r="E1323">
        <v>10</v>
      </c>
    </row>
    <row r="1324" spans="2:5">
      <c r="B1324" t="s">
        <v>11</v>
      </c>
      <c r="C1324" s="1">
        <v>41852</v>
      </c>
      <c r="D1324">
        <v>4211266060.8699999</v>
      </c>
      <c r="E1324">
        <v>1</v>
      </c>
    </row>
    <row r="1325" spans="2:5">
      <c r="B1325" t="s">
        <v>46</v>
      </c>
      <c r="C1325" s="1">
        <v>41852</v>
      </c>
      <c r="D1325">
        <v>2299190742.25</v>
      </c>
      <c r="E1325">
        <v>2</v>
      </c>
    </row>
    <row r="1326" spans="2:5">
      <c r="B1326" t="s">
        <v>55</v>
      </c>
      <c r="C1326" s="1">
        <v>41852</v>
      </c>
      <c r="D1326">
        <v>1444694113.3900001</v>
      </c>
      <c r="E1326">
        <v>3</v>
      </c>
    </row>
    <row r="1327" spans="2:5">
      <c r="B1327" t="s">
        <v>13</v>
      </c>
      <c r="C1327" s="1">
        <v>41852</v>
      </c>
      <c r="D1327">
        <v>1256009451.99</v>
      </c>
      <c r="E1327">
        <v>4</v>
      </c>
    </row>
    <row r="1328" spans="2:5">
      <c r="B1328" t="s">
        <v>23</v>
      </c>
      <c r="C1328" s="1">
        <v>41852</v>
      </c>
      <c r="D1328">
        <v>819739915.15999997</v>
      </c>
      <c r="E1328">
        <v>5</v>
      </c>
    </row>
    <row r="1329" spans="2:5">
      <c r="B1329" t="s">
        <v>34</v>
      </c>
      <c r="C1329" s="1">
        <v>41852</v>
      </c>
      <c r="D1329">
        <v>765661024.61000001</v>
      </c>
      <c r="E1329">
        <v>6</v>
      </c>
    </row>
    <row r="1330" spans="2:5">
      <c r="B1330" t="s">
        <v>54</v>
      </c>
      <c r="C1330" s="1">
        <v>41852</v>
      </c>
      <c r="D1330">
        <v>764448274.14999998</v>
      </c>
      <c r="E1330">
        <v>7</v>
      </c>
    </row>
    <row r="1331" spans="2:5">
      <c r="B1331" t="s">
        <v>10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52</v>
      </c>
      <c r="C1333" s="1">
        <v>41852</v>
      </c>
      <c r="D1333">
        <v>525952501.19</v>
      </c>
      <c r="E1333">
        <v>10</v>
      </c>
    </row>
    <row r="1334" spans="2:5">
      <c r="B1334" t="s">
        <v>11</v>
      </c>
      <c r="C1334" s="1">
        <v>41883</v>
      </c>
      <c r="D1334">
        <v>4257244054.8600001</v>
      </c>
      <c r="E1334">
        <v>1</v>
      </c>
    </row>
    <row r="1335" spans="2:5">
      <c r="B1335" t="s">
        <v>46</v>
      </c>
      <c r="C1335" s="1">
        <v>41883</v>
      </c>
      <c r="D1335">
        <v>2188451666.4499998</v>
      </c>
      <c r="E1335">
        <v>2</v>
      </c>
    </row>
    <row r="1336" spans="2:5">
      <c r="B1336" t="s">
        <v>55</v>
      </c>
      <c r="C1336" s="1">
        <v>41883</v>
      </c>
      <c r="D1336">
        <v>1535693081.29</v>
      </c>
      <c r="E1336">
        <v>3</v>
      </c>
    </row>
    <row r="1337" spans="2:5">
      <c r="B1337" t="s">
        <v>13</v>
      </c>
      <c r="C1337" s="1">
        <v>41883</v>
      </c>
      <c r="D1337">
        <v>1162108590.4200001</v>
      </c>
      <c r="E1337">
        <v>4</v>
      </c>
    </row>
    <row r="1338" spans="2:5">
      <c r="B1338" t="s">
        <v>54</v>
      </c>
      <c r="C1338" s="1">
        <v>41883</v>
      </c>
      <c r="D1338">
        <v>877451695.02999997</v>
      </c>
      <c r="E1338">
        <v>5</v>
      </c>
    </row>
    <row r="1339" spans="2:5">
      <c r="B1339" t="s">
        <v>10</v>
      </c>
      <c r="C1339" s="1">
        <v>41883</v>
      </c>
      <c r="D1339">
        <v>785999239.74000001</v>
      </c>
      <c r="E1339">
        <v>6</v>
      </c>
    </row>
    <row r="1340" spans="2:5">
      <c r="B1340" t="s">
        <v>34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52</v>
      </c>
      <c r="C1342" s="1">
        <v>41883</v>
      </c>
      <c r="D1342">
        <v>460490700.62</v>
      </c>
      <c r="E1342">
        <v>9</v>
      </c>
    </row>
    <row r="1343" spans="2:5">
      <c r="B1343" t="s">
        <v>56</v>
      </c>
      <c r="C1343" s="1">
        <v>41883</v>
      </c>
      <c r="D1343">
        <v>437971221.79000002</v>
      </c>
      <c r="E1343">
        <v>10</v>
      </c>
    </row>
    <row r="1344" spans="2:5">
      <c r="B1344" t="s">
        <v>11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34</v>
      </c>
      <c r="C1346" s="1">
        <v>41913</v>
      </c>
      <c r="D1346">
        <v>2783280665.23</v>
      </c>
      <c r="E1346">
        <v>3</v>
      </c>
    </row>
    <row r="1347" spans="2:5">
      <c r="B1347" t="s">
        <v>46</v>
      </c>
      <c r="C1347" s="1">
        <v>41913</v>
      </c>
      <c r="D1347">
        <v>2389791457.5599999</v>
      </c>
      <c r="E1347">
        <v>4</v>
      </c>
    </row>
    <row r="1348" spans="2:5">
      <c r="B1348" t="s">
        <v>13</v>
      </c>
      <c r="C1348" s="1">
        <v>41913</v>
      </c>
      <c r="D1348">
        <v>2086427445.23</v>
      </c>
      <c r="E1348">
        <v>5</v>
      </c>
    </row>
    <row r="1349" spans="2:5">
      <c r="B1349" t="s">
        <v>55</v>
      </c>
      <c r="C1349" s="1">
        <v>41913</v>
      </c>
      <c r="D1349">
        <v>1535983379.74</v>
      </c>
      <c r="E1349">
        <v>6</v>
      </c>
    </row>
    <row r="1350" spans="2:5">
      <c r="B1350" t="s">
        <v>54</v>
      </c>
      <c r="C1350" s="1">
        <v>41913</v>
      </c>
      <c r="D1350">
        <v>1085804754.1199999</v>
      </c>
      <c r="E1350">
        <v>7</v>
      </c>
    </row>
    <row r="1351" spans="2:5">
      <c r="B1351" t="s">
        <v>10</v>
      </c>
      <c r="C1351" s="1">
        <v>41913</v>
      </c>
      <c r="D1351">
        <v>870888081.38999999</v>
      </c>
      <c r="E1351">
        <v>8</v>
      </c>
    </row>
    <row r="1352" spans="2:5">
      <c r="B1352" t="s">
        <v>23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11</v>
      </c>
      <c r="C1354" s="1">
        <v>41944</v>
      </c>
      <c r="D1354">
        <v>3926294145.04</v>
      </c>
      <c r="E1354">
        <v>1</v>
      </c>
    </row>
    <row r="1355" spans="2:5">
      <c r="B1355" t="s">
        <v>13</v>
      </c>
      <c r="C1355" s="1">
        <v>41944</v>
      </c>
      <c r="D1355">
        <v>2838560140.8800001</v>
      </c>
      <c r="E1355">
        <v>2</v>
      </c>
    </row>
    <row r="1356" spans="2:5">
      <c r="B1356" t="s">
        <v>46</v>
      </c>
      <c r="C1356" s="1">
        <v>41944</v>
      </c>
      <c r="D1356">
        <v>2036061242.9100001</v>
      </c>
      <c r="E1356">
        <v>3</v>
      </c>
    </row>
    <row r="1357" spans="2:5">
      <c r="B1357" t="s">
        <v>55</v>
      </c>
      <c r="C1357" s="1">
        <v>41944</v>
      </c>
      <c r="D1357">
        <v>1531899596.8499999</v>
      </c>
      <c r="E1357">
        <v>4</v>
      </c>
    </row>
    <row r="1358" spans="2:5">
      <c r="B1358" t="s">
        <v>34</v>
      </c>
      <c r="C1358" s="1">
        <v>41944</v>
      </c>
      <c r="D1358">
        <v>912965328.49000001</v>
      </c>
      <c r="E1358">
        <v>5</v>
      </c>
    </row>
    <row r="1359" spans="2:5">
      <c r="B1359" t="s">
        <v>10</v>
      </c>
      <c r="C1359" s="1">
        <v>41944</v>
      </c>
      <c r="D1359">
        <v>878388058.72000003</v>
      </c>
      <c r="E1359">
        <v>6</v>
      </c>
    </row>
    <row r="1360" spans="2:5">
      <c r="B1360" t="s">
        <v>54</v>
      </c>
      <c r="C1360" s="1">
        <v>41944</v>
      </c>
      <c r="D1360">
        <v>834463365.48000002</v>
      </c>
      <c r="E1360">
        <v>7</v>
      </c>
    </row>
    <row r="1361" spans="2:5">
      <c r="B1361" t="s">
        <v>23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52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11</v>
      </c>
      <c r="C1365" s="1">
        <v>41974</v>
      </c>
      <c r="D1365">
        <v>3731231905.7600002</v>
      </c>
      <c r="E1365">
        <v>2</v>
      </c>
    </row>
    <row r="1366" spans="2:5">
      <c r="B1366" t="s">
        <v>13</v>
      </c>
      <c r="C1366" s="1">
        <v>41974</v>
      </c>
      <c r="D1366">
        <v>3000151952.8899999</v>
      </c>
      <c r="E1366">
        <v>3</v>
      </c>
    </row>
    <row r="1367" spans="2:5">
      <c r="B1367" t="s">
        <v>46</v>
      </c>
      <c r="C1367" s="1">
        <v>41974</v>
      </c>
      <c r="D1367">
        <v>2764147676.1700001</v>
      </c>
      <c r="E1367">
        <v>4</v>
      </c>
    </row>
    <row r="1368" spans="2:5">
      <c r="B1368" t="s">
        <v>55</v>
      </c>
      <c r="C1368" s="1">
        <v>41974</v>
      </c>
      <c r="D1368">
        <v>1389426710.6099999</v>
      </c>
      <c r="E1368">
        <v>5</v>
      </c>
    </row>
    <row r="1369" spans="2:5">
      <c r="B1369" t="s">
        <v>54</v>
      </c>
      <c r="C1369" s="1">
        <v>41974</v>
      </c>
      <c r="D1369">
        <v>805943904.73000002</v>
      </c>
      <c r="E1369">
        <v>6</v>
      </c>
    </row>
    <row r="1370" spans="2:5">
      <c r="B1370" t="s">
        <v>34</v>
      </c>
      <c r="C1370" s="1">
        <v>41974</v>
      </c>
      <c r="D1370">
        <v>770850866.33000004</v>
      </c>
      <c r="E1370">
        <v>7</v>
      </c>
    </row>
    <row r="1371" spans="2:5">
      <c r="B1371" t="s">
        <v>10</v>
      </c>
      <c r="C1371" s="1">
        <v>41974</v>
      </c>
      <c r="D1371">
        <v>717407310.95000005</v>
      </c>
      <c r="E1371">
        <v>8</v>
      </c>
    </row>
    <row r="1372" spans="2:5">
      <c r="B1372" t="s">
        <v>56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11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46</v>
      </c>
      <c r="C1376" s="1">
        <v>42005</v>
      </c>
      <c r="D1376">
        <v>2059485374.03</v>
      </c>
      <c r="E1376">
        <v>3</v>
      </c>
    </row>
    <row r="1377" spans="2:5">
      <c r="B1377" t="s">
        <v>10</v>
      </c>
      <c r="C1377" s="1">
        <v>42005</v>
      </c>
      <c r="D1377">
        <v>1104439089.96</v>
      </c>
      <c r="E1377">
        <v>4</v>
      </c>
    </row>
    <row r="1378" spans="2:5">
      <c r="B1378" t="s">
        <v>55</v>
      </c>
      <c r="C1378" s="1">
        <v>42005</v>
      </c>
      <c r="D1378">
        <v>1073416945.2</v>
      </c>
      <c r="E1378">
        <v>5</v>
      </c>
    </row>
    <row r="1379" spans="2:5">
      <c r="B1379" t="s">
        <v>13</v>
      </c>
      <c r="C1379" s="1">
        <v>42005</v>
      </c>
      <c r="D1379">
        <v>943487241.74000001</v>
      </c>
      <c r="E1379">
        <v>6</v>
      </c>
    </row>
    <row r="1380" spans="2:5">
      <c r="B1380" t="s">
        <v>54</v>
      </c>
      <c r="C1380" s="1">
        <v>42005</v>
      </c>
      <c r="D1380">
        <v>758991275.28999996</v>
      </c>
      <c r="E1380">
        <v>7</v>
      </c>
    </row>
    <row r="1381" spans="2:5">
      <c r="B1381" t="s">
        <v>56</v>
      </c>
      <c r="C1381" s="1">
        <v>42005</v>
      </c>
      <c r="D1381">
        <v>657873548.25</v>
      </c>
      <c r="E1381">
        <v>8</v>
      </c>
    </row>
    <row r="1382" spans="2:5">
      <c r="B1382" t="s">
        <v>34</v>
      </c>
      <c r="C1382" s="1">
        <v>42005</v>
      </c>
      <c r="D1382">
        <v>645169719.35000002</v>
      </c>
      <c r="E1382">
        <v>9</v>
      </c>
    </row>
    <row r="1383" spans="2:5">
      <c r="B1383" t="s">
        <v>23</v>
      </c>
      <c r="C1383" s="1">
        <v>42005</v>
      </c>
      <c r="D1383">
        <v>597778539.26999998</v>
      </c>
      <c r="E1383">
        <v>10</v>
      </c>
    </row>
    <row r="1384" spans="2:5">
      <c r="B1384" t="s">
        <v>11</v>
      </c>
      <c r="C1384" s="1">
        <v>42036</v>
      </c>
      <c r="D1384">
        <v>5302574418.9099998</v>
      </c>
      <c r="E1384">
        <v>1</v>
      </c>
    </row>
    <row r="1385" spans="2:5">
      <c r="B1385" t="s">
        <v>46</v>
      </c>
      <c r="C1385" s="1">
        <v>42036</v>
      </c>
      <c r="D1385">
        <v>3177985156.9499998</v>
      </c>
      <c r="E1385">
        <v>2</v>
      </c>
    </row>
    <row r="1386" spans="2:5">
      <c r="B1386" t="s">
        <v>13</v>
      </c>
      <c r="C1386" s="1">
        <v>42036</v>
      </c>
      <c r="D1386">
        <v>1841848287.3900001</v>
      </c>
      <c r="E1386">
        <v>3</v>
      </c>
    </row>
    <row r="1387" spans="2:5">
      <c r="B1387" t="s">
        <v>55</v>
      </c>
      <c r="C1387" s="1">
        <v>42036</v>
      </c>
      <c r="D1387">
        <v>1234949707.1900001</v>
      </c>
      <c r="E1387">
        <v>4</v>
      </c>
    </row>
    <row r="1388" spans="2:5">
      <c r="B1388" t="s">
        <v>56</v>
      </c>
      <c r="C1388" s="1">
        <v>42036</v>
      </c>
      <c r="D1388">
        <v>967269135.14999998</v>
      </c>
      <c r="E1388">
        <v>5</v>
      </c>
    </row>
    <row r="1389" spans="2:5">
      <c r="B1389" t="s">
        <v>10</v>
      </c>
      <c r="C1389" s="1">
        <v>42036</v>
      </c>
      <c r="D1389">
        <v>926692781.25</v>
      </c>
      <c r="E1389">
        <v>6</v>
      </c>
    </row>
    <row r="1390" spans="2:5">
      <c r="B1390" t="s">
        <v>34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54</v>
      </c>
      <c r="C1392" s="1">
        <v>42036</v>
      </c>
      <c r="D1392">
        <v>556166429.88999999</v>
      </c>
      <c r="E1392">
        <v>9</v>
      </c>
    </row>
    <row r="1393" spans="2:5">
      <c r="B1393" t="s">
        <v>23</v>
      </c>
      <c r="C1393" s="1">
        <v>42036</v>
      </c>
      <c r="D1393">
        <v>515177267.69999999</v>
      </c>
      <c r="E1393">
        <v>10</v>
      </c>
    </row>
    <row r="1394" spans="2:5">
      <c r="B1394" t="s">
        <v>11</v>
      </c>
      <c r="C1394" s="1">
        <v>42064</v>
      </c>
      <c r="D1394">
        <v>4795370179.5500002</v>
      </c>
      <c r="E1394">
        <v>1</v>
      </c>
    </row>
    <row r="1395" spans="2:5">
      <c r="B1395" t="s">
        <v>46</v>
      </c>
      <c r="C1395" s="1">
        <v>42064</v>
      </c>
      <c r="D1395">
        <v>2385777676.1799998</v>
      </c>
      <c r="E1395">
        <v>2</v>
      </c>
    </row>
    <row r="1396" spans="2:5">
      <c r="B1396" t="s">
        <v>13</v>
      </c>
      <c r="C1396" s="1">
        <v>42064</v>
      </c>
      <c r="D1396">
        <v>1744880169.5999999</v>
      </c>
      <c r="E1396">
        <v>3</v>
      </c>
    </row>
    <row r="1397" spans="2:5">
      <c r="B1397" t="s">
        <v>55</v>
      </c>
      <c r="C1397" s="1">
        <v>42064</v>
      </c>
      <c r="D1397">
        <v>1093287336.01</v>
      </c>
      <c r="E1397">
        <v>4</v>
      </c>
    </row>
    <row r="1398" spans="2:5">
      <c r="B1398" t="s">
        <v>10</v>
      </c>
      <c r="C1398" s="1">
        <v>42064</v>
      </c>
      <c r="D1398">
        <v>970138744.33000004</v>
      </c>
      <c r="E1398">
        <v>5</v>
      </c>
    </row>
    <row r="1399" spans="2:5">
      <c r="B1399" t="s">
        <v>34</v>
      </c>
      <c r="C1399" s="1">
        <v>42064</v>
      </c>
      <c r="D1399">
        <v>839249502.65999997</v>
      </c>
      <c r="E1399">
        <v>6</v>
      </c>
    </row>
    <row r="1400" spans="2:5">
      <c r="B1400" t="s">
        <v>54</v>
      </c>
      <c r="C1400" s="1">
        <v>42064</v>
      </c>
      <c r="D1400">
        <v>800403329.84000003</v>
      </c>
      <c r="E1400">
        <v>7</v>
      </c>
    </row>
    <row r="1401" spans="2:5">
      <c r="B1401" t="s">
        <v>56</v>
      </c>
      <c r="C1401" s="1">
        <v>42064</v>
      </c>
      <c r="D1401">
        <v>646809552.53999996</v>
      </c>
      <c r="E1401">
        <v>8</v>
      </c>
    </row>
    <row r="1402" spans="2:5">
      <c r="B1402" t="s">
        <v>23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07"/>
  <sheetViews>
    <sheetView workbookViewId="0">
      <selection activeCell="C3" sqref="C3:D3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63</v>
      </c>
      <c r="K1" s="2" t="s">
        <v>3</v>
      </c>
      <c r="L1" s="5">
        <v>1</v>
      </c>
    </row>
    <row r="2" spans="3:12">
      <c r="C2" t="s">
        <v>62</v>
      </c>
      <c r="G2" t="s">
        <v>64</v>
      </c>
      <c r="K2" t="s">
        <v>65</v>
      </c>
    </row>
    <row r="3" spans="3:12">
      <c r="C3" s="2" t="s">
        <v>58</v>
      </c>
      <c r="D3" t="s">
        <v>60</v>
      </c>
      <c r="G3" s="2" t="s">
        <v>58</v>
      </c>
      <c r="H3" t="s">
        <v>60</v>
      </c>
      <c r="K3" s="2" t="s">
        <v>58</v>
      </c>
      <c r="L3" t="s">
        <v>60</v>
      </c>
    </row>
    <row r="4" spans="3:12">
      <c r="C4" s="3">
        <v>39083</v>
      </c>
      <c r="D4" s="4">
        <v>30025183870.150002</v>
      </c>
      <c r="G4" s="3">
        <v>39083</v>
      </c>
      <c r="H4" s="4">
        <v>24746998505.490002</v>
      </c>
      <c r="K4" s="3">
        <v>39083</v>
      </c>
      <c r="L4" s="4">
        <v>9008075393</v>
      </c>
    </row>
    <row r="5" spans="3:12">
      <c r="C5" s="3">
        <v>39114</v>
      </c>
      <c r="D5" s="4">
        <v>30108179192.459999</v>
      </c>
      <c r="G5" s="3">
        <v>39114</v>
      </c>
      <c r="H5" s="4">
        <v>23003134874.119999</v>
      </c>
      <c r="K5" s="3">
        <v>39114</v>
      </c>
      <c r="L5" s="4">
        <v>8625817045</v>
      </c>
    </row>
    <row r="6" spans="3:12">
      <c r="C6" s="3">
        <v>39142</v>
      </c>
      <c r="D6" s="4">
        <v>28183297166.309998</v>
      </c>
      <c r="G6" s="3">
        <v>39142</v>
      </c>
      <c r="H6" s="4">
        <v>21409133997.16</v>
      </c>
      <c r="K6" s="3">
        <v>39142</v>
      </c>
      <c r="L6" s="4">
        <v>7241357422</v>
      </c>
    </row>
    <row r="7" spans="3:12">
      <c r="C7" s="3">
        <v>39173</v>
      </c>
      <c r="D7" s="4">
        <v>31533331514.700001</v>
      </c>
      <c r="G7" s="3">
        <v>39173</v>
      </c>
      <c r="H7" s="4">
        <v>25337640295.240002</v>
      </c>
      <c r="K7" s="3">
        <v>39173</v>
      </c>
      <c r="L7" s="4">
        <v>8435795278.75</v>
      </c>
    </row>
    <row r="8" spans="3:12">
      <c r="C8" s="3">
        <v>39203</v>
      </c>
      <c r="D8" s="4">
        <v>36317976637.439995</v>
      </c>
      <c r="G8" s="3">
        <v>39203</v>
      </c>
      <c r="H8" s="4">
        <v>27080727971.889999</v>
      </c>
      <c r="K8" s="3">
        <v>39203</v>
      </c>
      <c r="L8" s="4">
        <v>8757031646.7099991</v>
      </c>
    </row>
    <row r="9" spans="3:12">
      <c r="C9" s="3">
        <v>39234</v>
      </c>
      <c r="D9" s="4">
        <v>2020858084.21</v>
      </c>
      <c r="G9" s="3">
        <v>39234</v>
      </c>
      <c r="H9" s="4">
        <v>1640096016</v>
      </c>
      <c r="K9" s="3">
        <v>39234</v>
      </c>
      <c r="L9" s="4">
        <v>529500000</v>
      </c>
    </row>
    <row r="10" spans="3:12">
      <c r="C10" s="3">
        <v>39264</v>
      </c>
      <c r="D10" s="4">
        <v>1914214423.7099998</v>
      </c>
      <c r="G10" s="3">
        <v>39264</v>
      </c>
      <c r="H10" s="4">
        <v>1345164055.6900001</v>
      </c>
      <c r="K10" s="3">
        <v>39264</v>
      </c>
      <c r="L10" s="4">
        <v>587402404.38</v>
      </c>
    </row>
    <row r="11" spans="3:12">
      <c r="C11" s="3">
        <v>39295</v>
      </c>
      <c r="D11" s="4">
        <v>36163124713.329994</v>
      </c>
      <c r="G11" s="3">
        <v>39295</v>
      </c>
      <c r="H11" s="4">
        <v>26896585880.68</v>
      </c>
      <c r="K11" s="3">
        <v>39295</v>
      </c>
      <c r="L11" s="4">
        <v>7970383527.0900002</v>
      </c>
    </row>
    <row r="12" spans="3:12">
      <c r="C12" s="3">
        <v>39326</v>
      </c>
      <c r="D12" s="4">
        <v>39727850973.849991</v>
      </c>
      <c r="G12" s="3">
        <v>39326</v>
      </c>
      <c r="H12" s="4">
        <v>31387723932.829998</v>
      </c>
      <c r="K12" s="3">
        <v>39326</v>
      </c>
      <c r="L12" s="4">
        <v>11906421034.719999</v>
      </c>
    </row>
    <row r="13" spans="3:12">
      <c r="C13" s="3">
        <v>39356</v>
      </c>
      <c r="D13" s="4">
        <v>34611207598.679993</v>
      </c>
      <c r="G13" s="3">
        <v>39356</v>
      </c>
      <c r="H13" s="4">
        <v>25266524753.019997</v>
      </c>
      <c r="K13" s="3">
        <v>39356</v>
      </c>
      <c r="L13" s="4">
        <v>7611233645.2799997</v>
      </c>
    </row>
    <row r="14" spans="3:12">
      <c r="C14" s="3">
        <v>39387</v>
      </c>
      <c r="D14" s="4">
        <v>38426581887.660004</v>
      </c>
      <c r="G14" s="3">
        <v>39387</v>
      </c>
      <c r="H14" s="4">
        <v>27917519171.919998</v>
      </c>
      <c r="K14" s="3">
        <v>39387</v>
      </c>
      <c r="L14" s="4">
        <v>9251362639</v>
      </c>
    </row>
    <row r="15" spans="3:12">
      <c r="C15" s="3">
        <v>39417</v>
      </c>
      <c r="D15" s="4">
        <v>45838564870.419991</v>
      </c>
      <c r="G15" s="3">
        <v>39417</v>
      </c>
      <c r="H15" s="4">
        <v>35348140136.119995</v>
      </c>
      <c r="K15" s="3">
        <v>39417</v>
      </c>
      <c r="L15" s="4">
        <v>12421827356.389999</v>
      </c>
    </row>
    <row r="16" spans="3:12">
      <c r="C16" s="3">
        <v>39448</v>
      </c>
      <c r="D16" s="4">
        <v>36449458088.989998</v>
      </c>
      <c r="G16" s="3">
        <v>39448</v>
      </c>
      <c r="H16" s="4">
        <v>26958404741.359997</v>
      </c>
      <c r="K16" s="3">
        <v>39448</v>
      </c>
      <c r="L16" s="4">
        <v>8728590817.0499992</v>
      </c>
    </row>
    <row r="17" spans="3:12">
      <c r="C17" s="3">
        <v>39479</v>
      </c>
      <c r="D17" s="4">
        <v>42640399806.709999</v>
      </c>
      <c r="G17" s="3">
        <v>39479</v>
      </c>
      <c r="H17" s="4">
        <v>32555708285.060001</v>
      </c>
      <c r="K17" s="3">
        <v>39479</v>
      </c>
      <c r="L17" s="4">
        <v>10940578643.9</v>
      </c>
    </row>
    <row r="18" spans="3:12">
      <c r="C18" s="3">
        <v>39508</v>
      </c>
      <c r="D18" s="4">
        <v>29192521758.130001</v>
      </c>
      <c r="G18" s="3">
        <v>39508</v>
      </c>
      <c r="H18" s="4">
        <v>24315835443.790001</v>
      </c>
      <c r="K18" s="3">
        <v>39508</v>
      </c>
      <c r="L18" s="4">
        <v>7127437485.3199997</v>
      </c>
    </row>
    <row r="19" spans="3:12">
      <c r="C19" s="3">
        <v>39539</v>
      </c>
      <c r="D19" s="4">
        <v>40499590498.020004</v>
      </c>
      <c r="G19" s="3">
        <v>39539</v>
      </c>
      <c r="H19" s="4">
        <v>32138247792.009998</v>
      </c>
      <c r="K19" s="3">
        <v>39539</v>
      </c>
      <c r="L19" s="4">
        <v>9380905884.8600006</v>
      </c>
    </row>
    <row r="20" spans="3:12">
      <c r="C20" s="3">
        <v>39569</v>
      </c>
      <c r="D20" s="4">
        <v>38150991945.059998</v>
      </c>
      <c r="G20" s="3">
        <v>39569</v>
      </c>
      <c r="H20" s="4">
        <v>30863023102.57</v>
      </c>
      <c r="K20" s="3">
        <v>39569</v>
      </c>
      <c r="L20" s="4">
        <v>12080553097.469999</v>
      </c>
    </row>
    <row r="21" spans="3:12">
      <c r="C21" s="3">
        <v>39600</v>
      </c>
      <c r="D21" s="4">
        <v>36274545496.419998</v>
      </c>
      <c r="G21" s="3">
        <v>39600</v>
      </c>
      <c r="H21" s="4">
        <v>30441998963.41</v>
      </c>
      <c r="K21" s="3">
        <v>39600</v>
      </c>
      <c r="L21" s="4">
        <v>11170458526.360001</v>
      </c>
    </row>
    <row r="22" spans="3:12">
      <c r="C22" s="3">
        <v>39630</v>
      </c>
      <c r="D22" s="4">
        <v>25661699058.59</v>
      </c>
      <c r="G22" s="3">
        <v>39630</v>
      </c>
      <c r="H22" s="4">
        <v>19657967882.41</v>
      </c>
      <c r="K22" s="3">
        <v>39630</v>
      </c>
      <c r="L22" s="4">
        <v>5246259446.8599997</v>
      </c>
    </row>
    <row r="23" spans="3:12">
      <c r="C23" s="3">
        <v>39661</v>
      </c>
      <c r="D23" s="4">
        <v>21967790863.110004</v>
      </c>
      <c r="G23" s="3">
        <v>39661</v>
      </c>
      <c r="H23" s="4">
        <v>16728604606.980001</v>
      </c>
      <c r="K23" s="3">
        <v>39661</v>
      </c>
      <c r="L23" s="4">
        <v>4827258509.6899996</v>
      </c>
    </row>
    <row r="24" spans="3:12">
      <c r="C24" s="3">
        <v>39692</v>
      </c>
      <c r="D24" s="4">
        <v>25821976249.259998</v>
      </c>
      <c r="G24" s="3">
        <v>39692</v>
      </c>
      <c r="H24" s="4">
        <v>19841787823.889999</v>
      </c>
      <c r="K24" s="3">
        <v>39692</v>
      </c>
      <c r="L24" s="4">
        <v>6826679614.1599998</v>
      </c>
    </row>
    <row r="25" spans="3:12">
      <c r="C25" s="3">
        <v>39722</v>
      </c>
      <c r="D25" s="4">
        <v>17771952343.489994</v>
      </c>
      <c r="G25" s="3">
        <v>39722</v>
      </c>
      <c r="H25" s="4">
        <v>13280775763.599998</v>
      </c>
      <c r="K25" s="3">
        <v>39722</v>
      </c>
      <c r="L25" s="4">
        <v>3655203702.7600002</v>
      </c>
    </row>
    <row r="26" spans="3:12">
      <c r="C26" s="3">
        <v>39753</v>
      </c>
      <c r="D26" s="4">
        <v>17082411068.670002</v>
      </c>
      <c r="G26" s="3">
        <v>39753</v>
      </c>
      <c r="H26" s="4">
        <v>13594411036.240002</v>
      </c>
      <c r="K26" s="3">
        <v>39753</v>
      </c>
      <c r="L26" s="4">
        <v>4550926488.3800001</v>
      </c>
    </row>
    <row r="27" spans="3:12">
      <c r="C27" s="3">
        <v>39783</v>
      </c>
      <c r="D27" s="4">
        <v>29606036758.049999</v>
      </c>
      <c r="G27" s="3">
        <v>39783</v>
      </c>
      <c r="H27" s="4">
        <v>22006804718.82</v>
      </c>
      <c r="K27" s="3">
        <v>39783</v>
      </c>
      <c r="L27" s="4">
        <v>8422014425.4099998</v>
      </c>
    </row>
    <row r="28" spans="3:12">
      <c r="C28" s="3">
        <v>39814</v>
      </c>
      <c r="D28" s="4">
        <v>15573013109.779999</v>
      </c>
      <c r="G28" s="3">
        <v>39814</v>
      </c>
      <c r="H28" s="4">
        <v>12534763717.26</v>
      </c>
      <c r="K28" s="3">
        <v>39814</v>
      </c>
      <c r="L28" s="4">
        <v>3756680738.23</v>
      </c>
    </row>
    <row r="29" spans="3:12">
      <c r="C29" s="3">
        <v>39845</v>
      </c>
      <c r="D29" s="4">
        <v>29878159863.969997</v>
      </c>
      <c r="G29" s="3">
        <v>39845</v>
      </c>
      <c r="H29" s="4">
        <v>24776401311.380001</v>
      </c>
      <c r="K29" s="3">
        <v>39845</v>
      </c>
      <c r="L29" s="4">
        <v>9511580945.1800003</v>
      </c>
    </row>
    <row r="30" spans="3:12">
      <c r="C30" s="3">
        <v>39873</v>
      </c>
      <c r="D30" s="4">
        <v>52300463711.150002</v>
      </c>
      <c r="G30" s="3">
        <v>39873</v>
      </c>
      <c r="H30" s="4">
        <v>44588597188.129997</v>
      </c>
      <c r="K30" s="3">
        <v>39873</v>
      </c>
      <c r="L30" s="4">
        <v>14453685921.889999</v>
      </c>
    </row>
    <row r="31" spans="3:12">
      <c r="C31" s="3">
        <v>39904</v>
      </c>
      <c r="D31" s="4">
        <v>32464719403.389999</v>
      </c>
      <c r="G31" s="3">
        <v>39904</v>
      </c>
      <c r="H31" s="4">
        <v>25327691030.98</v>
      </c>
      <c r="K31" s="3">
        <v>39904</v>
      </c>
      <c r="L31" s="4">
        <v>10866823472.32</v>
      </c>
    </row>
    <row r="32" spans="3:12">
      <c r="C32" s="3">
        <v>39934</v>
      </c>
      <c r="D32" s="4">
        <v>59246266312.960007</v>
      </c>
      <c r="G32" s="3">
        <v>39934</v>
      </c>
      <c r="H32" s="4">
        <v>48614350249.730003</v>
      </c>
      <c r="K32" s="3">
        <v>39934</v>
      </c>
      <c r="L32" s="4">
        <v>16377153576.040001</v>
      </c>
    </row>
    <row r="33" spans="3:12">
      <c r="C33" s="3">
        <v>39965</v>
      </c>
      <c r="D33" s="4">
        <v>62548319986.500008</v>
      </c>
      <c r="G33" s="3">
        <v>39965</v>
      </c>
      <c r="H33" s="4">
        <v>50633928595.489998</v>
      </c>
      <c r="K33" s="3">
        <v>39965</v>
      </c>
      <c r="L33" s="4">
        <v>18556306988.82</v>
      </c>
    </row>
    <row r="34" spans="3:12">
      <c r="C34" s="3">
        <v>39995</v>
      </c>
      <c r="D34" s="4">
        <v>47492473410.860008</v>
      </c>
      <c r="G34" s="3">
        <v>39995</v>
      </c>
      <c r="H34" s="4">
        <v>40903264377.350006</v>
      </c>
      <c r="K34" s="3">
        <v>39995</v>
      </c>
      <c r="L34" s="4">
        <v>17780279923.57</v>
      </c>
    </row>
    <row r="35" spans="3:12">
      <c r="C35" s="3">
        <v>40026</v>
      </c>
      <c r="D35" s="4">
        <v>35622455938.389999</v>
      </c>
      <c r="G35" s="3">
        <v>40026</v>
      </c>
      <c r="H35" s="4">
        <v>30196349339.740002</v>
      </c>
      <c r="K35" s="3">
        <v>40026</v>
      </c>
      <c r="L35" s="4">
        <v>13559469118.879999</v>
      </c>
    </row>
    <row r="36" spans="3:12">
      <c r="C36" s="3">
        <v>40057</v>
      </c>
      <c r="D36" s="4">
        <v>29845785005.43</v>
      </c>
      <c r="G36" s="3">
        <v>40057</v>
      </c>
      <c r="H36" s="4">
        <v>25413966746.16</v>
      </c>
      <c r="K36" s="3">
        <v>40057</v>
      </c>
      <c r="L36" s="4">
        <v>9711261406.9500008</v>
      </c>
    </row>
    <row r="37" spans="3:12">
      <c r="C37" s="3">
        <v>40087</v>
      </c>
      <c r="D37" s="4">
        <v>18050212522.980003</v>
      </c>
      <c r="G37" s="3">
        <v>40087</v>
      </c>
      <c r="H37" s="4">
        <v>15113923941.170002</v>
      </c>
      <c r="K37" s="3">
        <v>40087</v>
      </c>
      <c r="L37" s="4">
        <v>7211282362.8500004</v>
      </c>
    </row>
    <row r="38" spans="3:12">
      <c r="C38" s="3">
        <v>40118</v>
      </c>
      <c r="D38" s="4">
        <v>21036921541.490002</v>
      </c>
      <c r="G38" s="3">
        <v>40118</v>
      </c>
      <c r="H38" s="4">
        <v>17714705203.989998</v>
      </c>
      <c r="K38" s="3">
        <v>40118</v>
      </c>
      <c r="L38" s="4">
        <v>7751269955.25</v>
      </c>
    </row>
    <row r="39" spans="3:12">
      <c r="C39" s="3">
        <v>40148</v>
      </c>
      <c r="D39" s="4">
        <v>27010034507.779999</v>
      </c>
      <c r="G39" s="3">
        <v>40148</v>
      </c>
      <c r="H39" s="4">
        <v>22935300873.869999</v>
      </c>
      <c r="K39" s="3">
        <v>40148</v>
      </c>
      <c r="L39" s="4">
        <v>11583901052.780001</v>
      </c>
    </row>
    <row r="40" spans="3:12">
      <c r="C40" s="3">
        <v>40179</v>
      </c>
      <c r="D40" s="4">
        <v>23918183966.340004</v>
      </c>
      <c r="G40" s="3">
        <v>40179</v>
      </c>
      <c r="H40" s="4">
        <v>20858919599.690002</v>
      </c>
      <c r="K40" s="3">
        <v>40179</v>
      </c>
      <c r="L40" s="4">
        <v>9978849287.2000008</v>
      </c>
    </row>
    <row r="41" spans="3:12">
      <c r="C41" s="3">
        <v>40210</v>
      </c>
      <c r="D41" s="4">
        <v>25219459831.370003</v>
      </c>
      <c r="G41" s="3">
        <v>40210</v>
      </c>
      <c r="H41" s="4">
        <v>22732499809.770004</v>
      </c>
      <c r="K41" s="3">
        <v>40210</v>
      </c>
      <c r="L41" s="4">
        <v>9807430995.9200001</v>
      </c>
    </row>
    <row r="42" spans="3:12">
      <c r="C42" s="3">
        <v>40238</v>
      </c>
      <c r="D42" s="4">
        <v>18730250800.600002</v>
      </c>
      <c r="G42" s="3">
        <v>40238</v>
      </c>
      <c r="H42" s="4">
        <v>16626538345.559999</v>
      </c>
      <c r="K42" s="3">
        <v>40238</v>
      </c>
      <c r="L42" s="4">
        <v>7752148414.0900002</v>
      </c>
    </row>
    <row r="43" spans="3:12">
      <c r="C43" s="3">
        <v>40269</v>
      </c>
      <c r="D43" s="4">
        <v>21401297125.709999</v>
      </c>
      <c r="G43" s="3">
        <v>40269</v>
      </c>
      <c r="H43" s="4">
        <v>18926472017.360001</v>
      </c>
      <c r="K43" s="3">
        <v>40269</v>
      </c>
      <c r="L43" s="4">
        <v>8759856160.0100002</v>
      </c>
    </row>
    <row r="44" spans="3:12">
      <c r="C44" s="3">
        <v>40299</v>
      </c>
      <c r="D44" s="4">
        <v>22794601006.109997</v>
      </c>
      <c r="G44" s="3">
        <v>40299</v>
      </c>
      <c r="H44" s="4">
        <v>19737345072.869999</v>
      </c>
      <c r="K44" s="3">
        <v>40299</v>
      </c>
      <c r="L44" s="4">
        <v>7983117228.6700001</v>
      </c>
    </row>
    <row r="45" spans="3:12">
      <c r="C45" s="3">
        <v>40330</v>
      </c>
      <c r="D45" s="4">
        <v>26357643573.190002</v>
      </c>
      <c r="G45" s="3">
        <v>40330</v>
      </c>
      <c r="H45" s="4">
        <v>23095750779.380001</v>
      </c>
      <c r="K45" s="3">
        <v>40330</v>
      </c>
      <c r="L45" s="4">
        <v>8159699856.3800001</v>
      </c>
    </row>
    <row r="46" spans="3:12">
      <c r="C46" s="3">
        <v>40360</v>
      </c>
      <c r="D46" s="4">
        <v>28451985439.279999</v>
      </c>
      <c r="G46" s="3">
        <v>40360</v>
      </c>
      <c r="H46" s="4">
        <v>25054192083.110001</v>
      </c>
      <c r="K46" s="3">
        <v>40360</v>
      </c>
      <c r="L46" s="4">
        <v>8955541938.4400005</v>
      </c>
    </row>
    <row r="47" spans="3:12">
      <c r="C47" s="3">
        <v>40391</v>
      </c>
      <c r="D47" s="4">
        <v>30182508162.220001</v>
      </c>
      <c r="G47" s="3">
        <v>40391</v>
      </c>
      <c r="H47" s="4">
        <v>25021597638.75</v>
      </c>
      <c r="K47" s="3">
        <v>40391</v>
      </c>
      <c r="L47" s="4">
        <v>10445666888.360001</v>
      </c>
    </row>
    <row r="48" spans="3:12">
      <c r="C48" s="3">
        <v>40422</v>
      </c>
      <c r="D48" s="4">
        <v>50042935375.950005</v>
      </c>
      <c r="G48" s="3">
        <v>40422</v>
      </c>
      <c r="H48" s="4">
        <v>43137598077.989998</v>
      </c>
      <c r="K48" s="3">
        <v>40422</v>
      </c>
      <c r="L48" s="4">
        <v>13523481421.540001</v>
      </c>
    </row>
    <row r="49" spans="3:12">
      <c r="C49" s="3">
        <v>40452</v>
      </c>
      <c r="D49" s="4">
        <v>44177303696.580002</v>
      </c>
      <c r="G49" s="3">
        <v>40452</v>
      </c>
      <c r="H49" s="4">
        <v>37554288902.370003</v>
      </c>
      <c r="K49" s="3">
        <v>40452</v>
      </c>
      <c r="L49" s="4">
        <v>13935891180.24</v>
      </c>
    </row>
    <row r="50" spans="3:12">
      <c r="C50" s="3">
        <v>40483</v>
      </c>
      <c r="D50" s="4">
        <v>44633959622.000008</v>
      </c>
      <c r="G50" s="3">
        <v>40483</v>
      </c>
      <c r="H50" s="4">
        <v>36330744156.990005</v>
      </c>
      <c r="K50" s="3">
        <v>40483</v>
      </c>
      <c r="L50" s="4">
        <v>13909502726.82</v>
      </c>
    </row>
    <row r="51" spans="3:12">
      <c r="C51" s="3">
        <v>40513</v>
      </c>
      <c r="D51" s="4">
        <v>55384789442.399994</v>
      </c>
      <c r="G51" s="3">
        <v>40513</v>
      </c>
      <c r="H51" s="4">
        <v>48267923274.330002</v>
      </c>
      <c r="K51" s="3">
        <v>40513</v>
      </c>
      <c r="L51" s="4">
        <v>14878642995.780001</v>
      </c>
    </row>
    <row r="52" spans="3:12">
      <c r="C52" s="3">
        <v>40544</v>
      </c>
      <c r="D52" s="4">
        <v>46227404593.440002</v>
      </c>
      <c r="G52" s="3">
        <v>40544</v>
      </c>
      <c r="H52" s="4">
        <v>38924897504.110001</v>
      </c>
      <c r="K52" s="3">
        <v>40544</v>
      </c>
      <c r="L52" s="4">
        <v>15157548488.809999</v>
      </c>
    </row>
    <row r="53" spans="3:12">
      <c r="C53" s="3">
        <v>40575</v>
      </c>
      <c r="D53" s="4">
        <v>36643166088.080002</v>
      </c>
      <c r="G53" s="3">
        <v>40575</v>
      </c>
      <c r="H53" s="4">
        <v>31432931957.27</v>
      </c>
      <c r="K53" s="3">
        <v>40575</v>
      </c>
      <c r="L53" s="4">
        <v>12839332402.040001</v>
      </c>
    </row>
    <row r="54" spans="3:12">
      <c r="C54" s="3">
        <v>40603</v>
      </c>
      <c r="D54" s="4">
        <v>38292325978.140007</v>
      </c>
      <c r="G54" s="3">
        <v>40603</v>
      </c>
      <c r="H54" s="4">
        <v>33049785948.009998</v>
      </c>
      <c r="K54" s="3">
        <v>40603</v>
      </c>
      <c r="L54" s="4">
        <v>9636191150.4599991</v>
      </c>
    </row>
    <row r="55" spans="3:12">
      <c r="C55" s="3">
        <v>40634</v>
      </c>
      <c r="D55" s="4">
        <v>22351455715.170002</v>
      </c>
      <c r="G55" s="3">
        <v>40634</v>
      </c>
      <c r="H55" s="4">
        <v>19178248214.91</v>
      </c>
      <c r="K55" s="3">
        <v>40634</v>
      </c>
      <c r="L55" s="4">
        <v>7444150512.3199997</v>
      </c>
    </row>
    <row r="56" spans="3:12">
      <c r="C56" s="3">
        <v>40664</v>
      </c>
      <c r="D56" s="4">
        <v>20570231744.970005</v>
      </c>
      <c r="G56" s="3">
        <v>40664</v>
      </c>
      <c r="H56" s="4">
        <v>17640079186.739998</v>
      </c>
      <c r="K56" s="3">
        <v>40664</v>
      </c>
      <c r="L56" s="4">
        <v>6796796476.5</v>
      </c>
    </row>
    <row r="57" spans="3:12">
      <c r="C57" s="3">
        <v>40695</v>
      </c>
      <c r="D57" s="4">
        <v>24595603786.650002</v>
      </c>
      <c r="G57" s="3">
        <v>40695</v>
      </c>
      <c r="H57" s="4">
        <v>21250587531.379997</v>
      </c>
      <c r="K57" s="3">
        <v>40695</v>
      </c>
      <c r="L57" s="4">
        <v>8100182361.9399996</v>
      </c>
    </row>
    <row r="58" spans="3:12">
      <c r="C58" s="3">
        <v>40725</v>
      </c>
      <c r="D58" s="4">
        <v>20071516146.039997</v>
      </c>
      <c r="G58" s="3">
        <v>40725</v>
      </c>
      <c r="H58" s="4">
        <v>17100427033.15</v>
      </c>
      <c r="K58" s="3">
        <v>40725</v>
      </c>
      <c r="L58" s="4">
        <v>5308788048.8400002</v>
      </c>
    </row>
    <row r="59" spans="3:12">
      <c r="C59" s="3">
        <v>40756</v>
      </c>
      <c r="D59" s="4">
        <v>26643806156.700001</v>
      </c>
      <c r="G59" s="3">
        <v>40756</v>
      </c>
      <c r="H59" s="4">
        <v>22450886954</v>
      </c>
      <c r="K59" s="3">
        <v>40756</v>
      </c>
      <c r="L59" s="4">
        <v>8975675585.0300007</v>
      </c>
    </row>
    <row r="60" spans="3:12">
      <c r="C60" s="3">
        <v>40787</v>
      </c>
      <c r="D60" s="4">
        <v>31978531591.070004</v>
      </c>
      <c r="G60" s="3">
        <v>40787</v>
      </c>
      <c r="H60" s="4">
        <v>27361561800.900002</v>
      </c>
      <c r="K60" s="3">
        <v>40787</v>
      </c>
      <c r="L60" s="4">
        <v>9862037476.5100002</v>
      </c>
    </row>
    <row r="61" spans="3:12">
      <c r="C61" s="3">
        <v>40817</v>
      </c>
      <c r="D61" s="4">
        <v>30996359405.019997</v>
      </c>
      <c r="G61" s="3">
        <v>40817</v>
      </c>
      <c r="H61" s="4">
        <v>24699811825.130001</v>
      </c>
      <c r="K61" s="3">
        <v>40817</v>
      </c>
      <c r="L61" s="4">
        <v>11864275980.860001</v>
      </c>
    </row>
    <row r="62" spans="3:12">
      <c r="C62" s="3">
        <v>40848</v>
      </c>
      <c r="D62" s="4">
        <v>39760085391.100006</v>
      </c>
      <c r="G62" s="3">
        <v>40848</v>
      </c>
      <c r="H62" s="4">
        <v>33459411350.709999</v>
      </c>
      <c r="K62" s="3">
        <v>40848</v>
      </c>
      <c r="L62" s="4">
        <v>14706099941.799999</v>
      </c>
    </row>
    <row r="63" spans="3:12">
      <c r="C63" s="3">
        <v>40878</v>
      </c>
      <c r="D63" s="4">
        <v>50207107917.200005</v>
      </c>
      <c r="G63" s="3">
        <v>40878</v>
      </c>
      <c r="H63" s="4">
        <v>44194497888.770004</v>
      </c>
      <c r="K63" s="3">
        <v>40878</v>
      </c>
      <c r="L63" s="4">
        <v>23937608890.639999</v>
      </c>
    </row>
    <row r="64" spans="3:12">
      <c r="C64" s="3">
        <v>40909</v>
      </c>
      <c r="D64" s="4">
        <v>34362268311.120003</v>
      </c>
      <c r="G64" s="3">
        <v>40909</v>
      </c>
      <c r="H64" s="4">
        <v>29007806067.68</v>
      </c>
      <c r="K64" s="3">
        <v>40909</v>
      </c>
      <c r="L64" s="4">
        <v>15368979575.26</v>
      </c>
    </row>
    <row r="65" spans="3:12">
      <c r="C65" s="3">
        <v>40940</v>
      </c>
      <c r="D65" s="4">
        <v>32906311435.989998</v>
      </c>
      <c r="G65" s="3">
        <v>40940</v>
      </c>
      <c r="H65" s="4">
        <v>27491822121.099998</v>
      </c>
      <c r="K65" s="3">
        <v>40940</v>
      </c>
      <c r="L65" s="4">
        <v>14632091015.389999</v>
      </c>
    </row>
    <row r="66" spans="3:12">
      <c r="C66" s="3">
        <v>40969</v>
      </c>
      <c r="D66" s="4">
        <v>56829158720.450005</v>
      </c>
      <c r="G66" s="3">
        <v>40969</v>
      </c>
      <c r="H66" s="4">
        <v>49399023902</v>
      </c>
      <c r="K66" s="3">
        <v>40969</v>
      </c>
      <c r="L66" s="4">
        <v>30737250033.549999</v>
      </c>
    </row>
    <row r="67" spans="3:12">
      <c r="C67" s="3">
        <v>41000</v>
      </c>
      <c r="D67" s="4">
        <v>24204177130.650005</v>
      </c>
      <c r="G67" s="3">
        <v>41000</v>
      </c>
      <c r="H67" s="4">
        <v>20740945194.540001</v>
      </c>
      <c r="K67" s="3">
        <v>41000</v>
      </c>
      <c r="L67" s="4">
        <v>10763728285.6</v>
      </c>
    </row>
    <row r="68" spans="3:12">
      <c r="C68" s="3">
        <v>41030</v>
      </c>
      <c r="D68" s="4">
        <v>39777125640.900002</v>
      </c>
      <c r="G68" s="3">
        <v>41030</v>
      </c>
      <c r="H68" s="4">
        <v>33981143082.620003</v>
      </c>
      <c r="K68" s="3">
        <v>41030</v>
      </c>
      <c r="L68" s="4">
        <v>20542825807.290001</v>
      </c>
    </row>
    <row r="69" spans="3:12">
      <c r="C69" s="3">
        <v>41061</v>
      </c>
      <c r="D69" s="4">
        <v>34861145817.729996</v>
      </c>
      <c r="G69" s="3">
        <v>41061</v>
      </c>
      <c r="H69" s="4">
        <v>26824272069.970001</v>
      </c>
      <c r="K69" s="3">
        <v>41061</v>
      </c>
      <c r="L69" s="4">
        <v>12662763974.040001</v>
      </c>
    </row>
    <row r="70" spans="3:12">
      <c r="C70" s="3">
        <v>41091</v>
      </c>
      <c r="D70" s="4">
        <v>39258236449.550011</v>
      </c>
      <c r="G70" s="3">
        <v>41091</v>
      </c>
      <c r="H70" s="4">
        <v>32773125487.220001</v>
      </c>
      <c r="K70" s="3">
        <v>41091</v>
      </c>
      <c r="L70" s="4">
        <v>18046078270.810001</v>
      </c>
    </row>
    <row r="71" spans="3:12">
      <c r="C71" s="3">
        <v>41122</v>
      </c>
      <c r="D71" s="4">
        <v>42521773617.960007</v>
      </c>
      <c r="G71" s="3">
        <v>41122</v>
      </c>
      <c r="H71" s="4">
        <v>34907658402.759995</v>
      </c>
      <c r="K71" s="3">
        <v>41122</v>
      </c>
      <c r="L71" s="4">
        <v>15782096596.040001</v>
      </c>
    </row>
    <row r="72" spans="3:12">
      <c r="C72" s="3">
        <v>41153</v>
      </c>
      <c r="D72" s="4">
        <v>45617387707.220009</v>
      </c>
      <c r="G72" s="3">
        <v>41153</v>
      </c>
      <c r="H72" s="4">
        <v>37833922333.900002</v>
      </c>
      <c r="K72" s="3">
        <v>41153</v>
      </c>
      <c r="L72" s="4">
        <v>16358817450.4</v>
      </c>
    </row>
    <row r="73" spans="3:12">
      <c r="C73" s="3">
        <v>41183</v>
      </c>
      <c r="D73" s="4">
        <v>34976078939.440002</v>
      </c>
      <c r="G73" s="3">
        <v>41183</v>
      </c>
      <c r="H73" s="4">
        <v>27466963094.949997</v>
      </c>
      <c r="K73" s="3">
        <v>41183</v>
      </c>
      <c r="L73" s="4">
        <v>13583725455.1</v>
      </c>
    </row>
    <row r="74" spans="3:12">
      <c r="C74" s="3">
        <v>41214</v>
      </c>
      <c r="D74" s="4">
        <v>48700322876.149994</v>
      </c>
      <c r="G74" s="3">
        <v>41214</v>
      </c>
      <c r="H74" s="4">
        <v>38620874033.32</v>
      </c>
      <c r="K74" s="3">
        <v>41214</v>
      </c>
      <c r="L74" s="4">
        <v>18702888793.82</v>
      </c>
    </row>
    <row r="75" spans="3:12">
      <c r="C75" s="3">
        <v>41244</v>
      </c>
      <c r="D75" s="4">
        <v>28819231552.900002</v>
      </c>
      <c r="G75" s="3">
        <v>41244</v>
      </c>
      <c r="H75" s="4">
        <v>22657026327.110001</v>
      </c>
      <c r="K75" s="3">
        <v>41244</v>
      </c>
      <c r="L75" s="4">
        <v>5990993955.3400002</v>
      </c>
    </row>
    <row r="76" spans="3:12">
      <c r="C76" s="3">
        <v>41275</v>
      </c>
      <c r="D76" s="4">
        <v>41056601881.519997</v>
      </c>
      <c r="G76" s="3">
        <v>41275</v>
      </c>
      <c r="H76" s="4">
        <v>32173182892.220001</v>
      </c>
      <c r="K76" s="3">
        <v>41275</v>
      </c>
      <c r="L76" s="4">
        <v>12960800578.620001</v>
      </c>
    </row>
    <row r="77" spans="3:12">
      <c r="C77" s="3">
        <v>41306</v>
      </c>
      <c r="D77" s="4">
        <v>40621858362.690002</v>
      </c>
      <c r="G77" s="3">
        <v>41306</v>
      </c>
      <c r="H77" s="4">
        <v>32295164207.330002</v>
      </c>
      <c r="K77" s="3">
        <v>41306</v>
      </c>
      <c r="L77" s="4">
        <v>12090154945.85</v>
      </c>
    </row>
    <row r="78" spans="3:12">
      <c r="C78" s="3">
        <v>41334</v>
      </c>
      <c r="D78" s="4">
        <v>32588531726.600002</v>
      </c>
      <c r="G78" s="3">
        <v>41334</v>
      </c>
      <c r="H78" s="4">
        <v>26611199048.840004</v>
      </c>
      <c r="K78" s="3">
        <v>41334</v>
      </c>
      <c r="L78" s="4">
        <v>10298222135.870001</v>
      </c>
    </row>
    <row r="79" spans="3:12">
      <c r="C79" s="3">
        <v>41365</v>
      </c>
      <c r="D79" s="4">
        <v>37376512403.469994</v>
      </c>
      <c r="G79" s="3">
        <v>41365</v>
      </c>
      <c r="H79" s="4">
        <v>29789895298.389999</v>
      </c>
      <c r="K79" s="3">
        <v>41365</v>
      </c>
      <c r="L79" s="4">
        <v>10983062364.98</v>
      </c>
    </row>
    <row r="80" spans="3:12">
      <c r="C80" s="3">
        <v>41395</v>
      </c>
      <c r="D80" s="4">
        <v>38541437156.089996</v>
      </c>
      <c r="G80" s="3">
        <v>41395</v>
      </c>
      <c r="H80" s="4">
        <v>31823204951.040001</v>
      </c>
      <c r="K80" s="3">
        <v>41395</v>
      </c>
      <c r="L80" s="4">
        <v>16565187107.59</v>
      </c>
    </row>
    <row r="81" spans="3:12">
      <c r="C81" s="3">
        <v>41426</v>
      </c>
      <c r="D81" s="4">
        <v>35492363841.889999</v>
      </c>
      <c r="G81" s="3">
        <v>41426</v>
      </c>
      <c r="H81" s="4">
        <v>29184629174.119999</v>
      </c>
      <c r="K81" s="3">
        <v>41426</v>
      </c>
      <c r="L81" s="4">
        <v>15486832649.959999</v>
      </c>
    </row>
    <row r="82" spans="3:12">
      <c r="C82" s="3">
        <v>41456</v>
      </c>
      <c r="D82" s="4">
        <v>37466696964.239998</v>
      </c>
      <c r="G82" s="3">
        <v>41456</v>
      </c>
      <c r="H82" s="4">
        <v>29824408490.139999</v>
      </c>
      <c r="K82" s="3">
        <v>41456</v>
      </c>
      <c r="L82" s="4">
        <v>16978552578.67</v>
      </c>
    </row>
    <row r="83" spans="3:12">
      <c r="C83" s="3">
        <v>41487</v>
      </c>
      <c r="D83" s="4">
        <v>35770897100.520004</v>
      </c>
      <c r="G83" s="3">
        <v>41487</v>
      </c>
      <c r="H83" s="4">
        <v>27875191616.209999</v>
      </c>
      <c r="K83" s="3">
        <v>41487</v>
      </c>
      <c r="L83" s="4">
        <v>16043754924.049999</v>
      </c>
    </row>
    <row r="84" spans="3:12">
      <c r="C84" s="3">
        <v>41518</v>
      </c>
      <c r="D84" s="4">
        <v>28474515807.220001</v>
      </c>
      <c r="G84" s="3">
        <v>41518</v>
      </c>
      <c r="H84" s="4">
        <v>23217757702.279999</v>
      </c>
      <c r="K84" s="3">
        <v>41518</v>
      </c>
      <c r="L84" s="4">
        <v>12954391824.35</v>
      </c>
    </row>
    <row r="85" spans="3:12">
      <c r="C85" s="3">
        <v>41548</v>
      </c>
      <c r="D85" s="4">
        <v>21846439126.260002</v>
      </c>
      <c r="G85" s="3">
        <v>41548</v>
      </c>
      <c r="H85" s="4">
        <v>16622350119.240002</v>
      </c>
      <c r="K85" s="3">
        <v>41548</v>
      </c>
      <c r="L85" s="4">
        <v>9148941452.2000008</v>
      </c>
    </row>
    <row r="86" spans="3:12">
      <c r="C86" s="3">
        <v>41579</v>
      </c>
      <c r="D86" s="4">
        <v>19735518182.900002</v>
      </c>
      <c r="G86" s="3">
        <v>41579</v>
      </c>
      <c r="H86" s="4">
        <v>15129673981.85</v>
      </c>
      <c r="K86" s="3">
        <v>41579</v>
      </c>
      <c r="L86" s="4">
        <v>7277980089.6000004</v>
      </c>
    </row>
    <row r="87" spans="3:12">
      <c r="C87" s="3">
        <v>41609</v>
      </c>
      <c r="D87" s="4">
        <v>17148936693.369997</v>
      </c>
      <c r="G87" s="3">
        <v>41609</v>
      </c>
      <c r="H87" s="4">
        <v>12929026951.82</v>
      </c>
      <c r="K87" s="3">
        <v>41609</v>
      </c>
      <c r="L87" s="4">
        <v>6588450968.0200005</v>
      </c>
    </row>
    <row r="88" spans="3:12">
      <c r="C88" s="3">
        <v>41640</v>
      </c>
      <c r="D88" s="4">
        <v>11561109174.170002</v>
      </c>
      <c r="G88" s="3">
        <v>41640</v>
      </c>
      <c r="H88" s="4">
        <v>8967497119.7200012</v>
      </c>
      <c r="K88" s="3">
        <v>41640</v>
      </c>
      <c r="L88" s="4">
        <v>3105702600.8000002</v>
      </c>
    </row>
    <row r="89" spans="3:12">
      <c r="C89" s="3">
        <v>41671</v>
      </c>
      <c r="D89" s="4">
        <v>13447219374.819998</v>
      </c>
      <c r="G89" s="3">
        <v>41671</v>
      </c>
      <c r="H89" s="4">
        <v>10862978588.139999</v>
      </c>
      <c r="K89" s="3">
        <v>41671</v>
      </c>
      <c r="L89" s="4">
        <v>4228977520.5</v>
      </c>
    </row>
    <row r="90" spans="3:12">
      <c r="C90" s="3">
        <v>41699</v>
      </c>
      <c r="D90" s="4">
        <v>9860110204.4599991</v>
      </c>
      <c r="G90" s="3">
        <v>41699</v>
      </c>
      <c r="H90" s="4">
        <v>7601988463.4200001</v>
      </c>
      <c r="K90" s="3">
        <v>41699</v>
      </c>
      <c r="L90" s="4">
        <v>2771745679.8800001</v>
      </c>
    </row>
    <row r="91" spans="3:12">
      <c r="C91" s="3">
        <v>41730</v>
      </c>
      <c r="D91" s="4">
        <v>12276303521.109999</v>
      </c>
      <c r="G91" s="3">
        <v>41730</v>
      </c>
      <c r="H91" s="4">
        <v>9017573459.2299995</v>
      </c>
      <c r="K91" s="3">
        <v>41730</v>
      </c>
      <c r="L91" s="4">
        <v>3281937556.02</v>
      </c>
    </row>
    <row r="92" spans="3:12">
      <c r="C92" s="3">
        <v>41760</v>
      </c>
      <c r="D92" s="4">
        <v>10540781524.629999</v>
      </c>
      <c r="G92" s="3">
        <v>41760</v>
      </c>
      <c r="H92" s="4">
        <v>7511955198.1200008</v>
      </c>
      <c r="K92" s="3">
        <v>41760</v>
      </c>
      <c r="L92" s="4">
        <v>3701376306.8000002</v>
      </c>
    </row>
    <row r="93" spans="3:12">
      <c r="C93" s="3">
        <v>41791</v>
      </c>
      <c r="D93" s="4">
        <v>13048715246.830002</v>
      </c>
      <c r="G93" s="3">
        <v>41791</v>
      </c>
      <c r="H93" s="4">
        <v>9698417154.789999</v>
      </c>
      <c r="K93" s="3">
        <v>41791</v>
      </c>
      <c r="L93" s="4">
        <v>4119664079.48</v>
      </c>
    </row>
    <row r="94" spans="3:12">
      <c r="C94" s="3">
        <v>41821</v>
      </c>
      <c r="D94" s="4">
        <v>14180443501.41</v>
      </c>
      <c r="G94" s="3">
        <v>41821</v>
      </c>
      <c r="H94" s="4">
        <v>10365356857.860001</v>
      </c>
      <c r="K94" s="3">
        <v>41821</v>
      </c>
      <c r="L94" s="4">
        <v>4404846709.1300001</v>
      </c>
    </row>
    <row r="95" spans="3:12">
      <c r="C95" s="3">
        <v>41852</v>
      </c>
      <c r="D95" s="4">
        <v>13791297844.579998</v>
      </c>
      <c r="G95" s="3">
        <v>41852</v>
      </c>
      <c r="H95" s="4">
        <v>10185763886.950001</v>
      </c>
      <c r="K95" s="3">
        <v>41852</v>
      </c>
      <c r="L95" s="4">
        <v>4351012772.2799997</v>
      </c>
    </row>
    <row r="96" spans="3:12">
      <c r="C96" s="3">
        <v>41883</v>
      </c>
      <c r="D96" s="4">
        <v>20418529374.110001</v>
      </c>
      <c r="G96" s="3">
        <v>41883</v>
      </c>
      <c r="H96" s="4">
        <v>15191127020.780001</v>
      </c>
      <c r="K96" s="3">
        <v>41883</v>
      </c>
      <c r="L96" s="4">
        <v>4282578991.9000001</v>
      </c>
    </row>
    <row r="97" spans="3:12">
      <c r="C97" s="3">
        <v>41913</v>
      </c>
      <c r="D97" s="4">
        <v>16591290665.489998</v>
      </c>
      <c r="G97" s="3">
        <v>41913</v>
      </c>
      <c r="H97" s="4">
        <v>12022533710.82</v>
      </c>
      <c r="K97" s="3">
        <v>41913</v>
      </c>
      <c r="L97" s="4">
        <v>4328284495.8800001</v>
      </c>
    </row>
    <row r="98" spans="3:12">
      <c r="C98" s="3">
        <v>41944</v>
      </c>
      <c r="D98" s="4">
        <v>19050839925.150002</v>
      </c>
      <c r="G98" s="3">
        <v>41944</v>
      </c>
      <c r="H98" s="4">
        <v>15143920247.16</v>
      </c>
      <c r="K98" s="3">
        <v>41944</v>
      </c>
      <c r="L98" s="4">
        <v>4110188403.46</v>
      </c>
    </row>
    <row r="99" spans="3:12">
      <c r="C99" s="3">
        <v>41974</v>
      </c>
      <c r="D99" s="4">
        <v>16969236987.160002</v>
      </c>
      <c r="G99" s="3">
        <v>41974</v>
      </c>
      <c r="H99" s="4">
        <v>12192486905.27</v>
      </c>
      <c r="K99" s="3">
        <v>41974</v>
      </c>
      <c r="L99" s="4">
        <v>3928850698.1300001</v>
      </c>
    </row>
    <row r="100" spans="3:12">
      <c r="C100" s="3">
        <v>42005</v>
      </c>
      <c r="D100" s="4">
        <v>17220019925.009998</v>
      </c>
      <c r="G100" s="3">
        <v>42005</v>
      </c>
      <c r="H100" s="4">
        <v>13355633418.48</v>
      </c>
      <c r="K100" s="3">
        <v>42005</v>
      </c>
      <c r="L100" s="4">
        <v>5489190091.1700001</v>
      </c>
    </row>
    <row r="101" spans="3:12">
      <c r="C101" s="3">
        <v>42036</v>
      </c>
      <c r="D101" s="4">
        <v>16016008212.179998</v>
      </c>
      <c r="G101" s="3">
        <v>42036</v>
      </c>
      <c r="H101" s="4">
        <v>11671526842.16</v>
      </c>
      <c r="K101" s="3">
        <v>42036</v>
      </c>
      <c r="L101" s="4">
        <v>5063985040.1199999</v>
      </c>
    </row>
    <row r="102" spans="3:12">
      <c r="C102" s="3">
        <v>42064</v>
      </c>
      <c r="D102" s="4">
        <v>16923549250.899998</v>
      </c>
      <c r="G102" s="3">
        <v>42064</v>
      </c>
      <c r="H102" s="4">
        <v>12382355397.360001</v>
      </c>
      <c r="K102" s="3">
        <v>42064</v>
      </c>
      <c r="L102" s="4">
        <v>4246970201.73</v>
      </c>
    </row>
    <row r="103" spans="3:12">
      <c r="C103" s="3">
        <v>42095</v>
      </c>
      <c r="D103" s="4">
        <v>18447459410.669998</v>
      </c>
      <c r="G103" s="3">
        <v>42095</v>
      </c>
      <c r="H103" s="4">
        <v>13629213618.77</v>
      </c>
      <c r="K103" s="3">
        <v>42095</v>
      </c>
      <c r="L103" s="4">
        <v>6018108576.21</v>
      </c>
    </row>
    <row r="104" spans="3:12">
      <c r="C104" s="3">
        <v>42125</v>
      </c>
      <c r="D104" s="4">
        <v>17606506507.579998</v>
      </c>
      <c r="G104" s="3">
        <v>42125</v>
      </c>
      <c r="H104" s="4">
        <v>13302071416.449999</v>
      </c>
      <c r="K104" s="3">
        <v>42125</v>
      </c>
      <c r="L104" s="4">
        <v>6352931391.3199997</v>
      </c>
    </row>
    <row r="105" spans="3:12">
      <c r="C105" s="3">
        <v>42156</v>
      </c>
      <c r="D105" s="4">
        <v>17826880155.739998</v>
      </c>
      <c r="G105" s="3">
        <v>42156</v>
      </c>
      <c r="H105" s="4">
        <v>13321135491.189999</v>
      </c>
      <c r="K105" s="3">
        <v>42156</v>
      </c>
      <c r="L105" s="4">
        <v>5813912461.1999998</v>
      </c>
    </row>
    <row r="106" spans="3:12">
      <c r="C106" s="3">
        <v>42186</v>
      </c>
      <c r="D106" s="4">
        <v>14145839999.889999</v>
      </c>
      <c r="G106" s="3">
        <v>42186</v>
      </c>
      <c r="H106" s="4">
        <v>11474920239.889999</v>
      </c>
      <c r="K106" s="3">
        <v>42186</v>
      </c>
      <c r="L106" s="4">
        <v>6405337071</v>
      </c>
    </row>
    <row r="107" spans="3:12">
      <c r="C107" s="3" t="s">
        <v>59</v>
      </c>
      <c r="D107" s="4">
        <v>3065566750990.1509</v>
      </c>
      <c r="G107" s="3" t="s">
        <v>59</v>
      </c>
      <c r="H107" s="4">
        <v>2487681920866.0103</v>
      </c>
      <c r="K107" s="3" t="s">
        <v>59</v>
      </c>
      <c r="L107" s="4">
        <v>1015695457385.9102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1033"/>
  <sheetViews>
    <sheetView showGridLines="0" workbookViewId="0">
      <selection activeCell="AA23" sqref="AA23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77</v>
      </c>
      <c r="K2" t="s">
        <v>78</v>
      </c>
      <c r="N2" t="s">
        <v>76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105</v>
      </c>
      <c r="Q3" s="17" t="s">
        <v>106</v>
      </c>
      <c r="R3" s="17" t="s">
        <v>107</v>
      </c>
      <c r="S3" s="17" t="s">
        <v>108</v>
      </c>
      <c r="T3" s="17" t="s">
        <v>109</v>
      </c>
      <c r="U3" s="17" t="s">
        <v>66</v>
      </c>
      <c r="V3" s="17" t="s">
        <v>67</v>
      </c>
      <c r="W3" s="17" t="s">
        <v>68</v>
      </c>
      <c r="X3" s="17" t="s">
        <v>110</v>
      </c>
    </row>
    <row r="4" spans="2:24">
      <c r="B4" s="37">
        <v>39083</v>
      </c>
      <c r="C4" s="16">
        <v>9008075393</v>
      </c>
      <c r="D4" s="16" t="s">
        <v>6</v>
      </c>
      <c r="E4" s="16">
        <v>1</v>
      </c>
      <c r="H4" s="37">
        <v>42186</v>
      </c>
      <c r="I4" s="16">
        <v>1387368980</v>
      </c>
      <c r="K4" s="37">
        <v>42186</v>
      </c>
      <c r="L4" s="16">
        <v>2359518234.6799998</v>
      </c>
      <c r="N4" s="37">
        <v>42186</v>
      </c>
      <c r="O4" s="16">
        <v>25691825128.5</v>
      </c>
      <c r="P4" s="17">
        <f>VLOOKUP($N4,'Pivot equal'!C:D,2,0)</f>
        <v>14145839999.889999</v>
      </c>
      <c r="Q4" s="17">
        <f>VLOOKUP(N4,'Pivot equal'!G:H,2,0)</f>
        <v>11474920239.889999</v>
      </c>
      <c r="R4" s="17">
        <f>VLOOKUP(N4,'Pivot equal'!K:L,2,0)</f>
        <v>6405337071</v>
      </c>
      <c r="S4" s="43">
        <f>VLOOKUP(N4,CurrentMtgRatesDataTable9[],2,0)</f>
        <v>1387368980</v>
      </c>
      <c r="T4" s="43">
        <f>VLOOKUP(N4,CurrentMtgRatesDataTable93[],2,0)</f>
        <v>2359518234.6799998</v>
      </c>
      <c r="U4" s="44">
        <f>CurrentMtgRatesDataTable8[[#This Row],[Top 10 Amount]]/CurrentMtgRatesDataTable8[[#This Row],[TotalBalance]]</f>
        <v>0.55059692836683627</v>
      </c>
      <c r="V4" s="44">
        <f>CurrentMtgRatesDataTable8[[#This Row],[Top 5 Amount]]/CurrentMtgRatesDataTable8[[#This Row],[TotalBalance]]</f>
        <v>0.44663702101727465</v>
      </c>
      <c r="W4" s="44">
        <f>CurrentMtgRatesDataTable8[[#This Row],[Top 1 Amount]]/CurrentMtgRatesDataTable8[[#This Row],[TotalBalance]]</f>
        <v>0.2493142094406732</v>
      </c>
      <c r="X4" s="44">
        <f>CurrentMtgRatesDataTable8[[#This Row],[N/A Amount]]/CurrentMtgRatesDataTable8[[#This Row],[TotalBalance]]</f>
        <v>9.1839261044268164E-2</v>
      </c>
    </row>
    <row r="5" spans="2:24">
      <c r="B5" s="37">
        <v>39083</v>
      </c>
      <c r="C5" s="16">
        <v>8711508813</v>
      </c>
      <c r="D5" s="16" t="s">
        <v>7</v>
      </c>
      <c r="E5" s="16">
        <v>2</v>
      </c>
      <c r="H5" s="37">
        <v>42156</v>
      </c>
      <c r="I5" s="16">
        <v>505993870</v>
      </c>
      <c r="K5" s="37">
        <v>42156</v>
      </c>
      <c r="L5" s="16">
        <v>16131057993.379999</v>
      </c>
      <c r="N5" s="37">
        <v>42156</v>
      </c>
      <c r="O5" s="16">
        <v>46670102078.379997</v>
      </c>
      <c r="P5" s="17">
        <f>VLOOKUP($N5,'Pivot equal'!C:D,2,0)</f>
        <v>17826880155.739998</v>
      </c>
      <c r="Q5" s="17">
        <f>VLOOKUP(N5,'Pivot equal'!G:H,2,0)</f>
        <v>13321135491.189999</v>
      </c>
      <c r="R5" s="17">
        <f>VLOOKUP(N5,'Pivot equal'!K:L,2,0)</f>
        <v>5813912461.1999998</v>
      </c>
      <c r="S5" s="43">
        <f>VLOOKUP(N5,CurrentMtgRatesDataTable9[],2,0)</f>
        <v>505993870</v>
      </c>
      <c r="T5" s="43">
        <f>VLOOKUP(N5,CurrentMtgRatesDataTable93[],2,0)</f>
        <v>16131057993.379999</v>
      </c>
      <c r="U5" s="44">
        <f>CurrentMtgRatesDataTable8[[#This Row],[Top 10 Amount]]/CurrentMtgRatesDataTable8[[#This Row],[TotalBalance]]</f>
        <v>0.38197645520039114</v>
      </c>
      <c r="V5" s="44">
        <f>CurrentMtgRatesDataTable8[[#This Row],[Top 5 Amount]]/CurrentMtgRatesDataTable8[[#This Row],[TotalBalance]]</f>
        <v>0.28543189103846073</v>
      </c>
      <c r="W5" s="44">
        <f>CurrentMtgRatesDataTable8[[#This Row],[Top 1 Amount]]/CurrentMtgRatesDataTable8[[#This Row],[TotalBalance]]</f>
        <v>0.1245746677698677</v>
      </c>
      <c r="X5" s="44">
        <f>CurrentMtgRatesDataTable8[[#This Row],[N/A Amount]]/CurrentMtgRatesDataTable8[[#This Row],[TotalBalance]]</f>
        <v>0.34564008380116096</v>
      </c>
    </row>
    <row r="6" spans="2:24">
      <c r="B6" s="37">
        <v>39083</v>
      </c>
      <c r="C6" s="16">
        <v>2548529360</v>
      </c>
      <c r="D6" s="16" t="s">
        <v>11</v>
      </c>
      <c r="E6" s="16">
        <v>3</v>
      </c>
      <c r="H6" s="37">
        <v>42125</v>
      </c>
      <c r="I6" s="16">
        <v>574678000</v>
      </c>
      <c r="K6" s="37">
        <v>42125</v>
      </c>
      <c r="L6" s="16">
        <v>14350941436.51</v>
      </c>
      <c r="N6" s="37">
        <v>42125</v>
      </c>
      <c r="O6" s="16">
        <v>44756506739.489998</v>
      </c>
      <c r="P6" s="17">
        <f>VLOOKUP($N6,'Pivot equal'!C:D,2,0)</f>
        <v>17606506507.579998</v>
      </c>
      <c r="Q6" s="17">
        <f>VLOOKUP(N6,'Pivot equal'!G:H,2,0)</f>
        <v>13302071416.449999</v>
      </c>
      <c r="R6" s="17">
        <f>VLOOKUP(N6,'Pivot equal'!K:L,2,0)</f>
        <v>6352931391.3199997</v>
      </c>
      <c r="S6" s="43">
        <f>VLOOKUP(N6,CurrentMtgRatesDataTable9[],2,0)</f>
        <v>574678000</v>
      </c>
      <c r="T6" s="43">
        <f>VLOOKUP(N6,CurrentMtgRatesDataTable93[],2,0)</f>
        <v>14350941436.51</v>
      </c>
      <c r="U6" s="44">
        <f>CurrentMtgRatesDataTable8[[#This Row],[Top 10 Amount]]/CurrentMtgRatesDataTable8[[#This Row],[TotalBalance]]</f>
        <v>0.39338428734084496</v>
      </c>
      <c r="V6" s="44">
        <f>CurrentMtgRatesDataTable8[[#This Row],[Top 5 Amount]]/CurrentMtgRatesDataTable8[[#This Row],[TotalBalance]]</f>
        <v>0.29720977765034523</v>
      </c>
      <c r="W6" s="44">
        <f>CurrentMtgRatesDataTable8[[#This Row],[Top 1 Amount]]/CurrentMtgRatesDataTable8[[#This Row],[TotalBalance]]</f>
        <v>0.14194430830578247</v>
      </c>
      <c r="X6" s="44">
        <f>CurrentMtgRatesDataTable8[[#This Row],[N/A Amount]]/CurrentMtgRatesDataTable8[[#This Row],[TotalBalance]]</f>
        <v>0.32064480635276521</v>
      </c>
    </row>
    <row r="7" spans="2:24">
      <c r="B7" s="37">
        <v>39083</v>
      </c>
      <c r="C7" s="16">
        <v>2473400845.6300001</v>
      </c>
      <c r="D7" s="16" t="s">
        <v>20</v>
      </c>
      <c r="E7" s="16">
        <v>4</v>
      </c>
      <c r="H7" s="37">
        <v>42095</v>
      </c>
      <c r="I7" s="16">
        <v>807228600</v>
      </c>
      <c r="K7" s="37">
        <v>42095</v>
      </c>
      <c r="L7" s="16">
        <v>16235147935.42</v>
      </c>
      <c r="N7" s="37">
        <v>42095</v>
      </c>
      <c r="O7" s="16">
        <v>51182654442.220001</v>
      </c>
      <c r="P7" s="17">
        <f>VLOOKUP($N7,'Pivot equal'!C:D,2,0)</f>
        <v>18447459410.669998</v>
      </c>
      <c r="Q7" s="17">
        <f>VLOOKUP(N7,'Pivot equal'!G:H,2,0)</f>
        <v>13629213618.77</v>
      </c>
      <c r="R7" s="17">
        <f>VLOOKUP(N7,'Pivot equal'!K:L,2,0)</f>
        <v>6018108576.21</v>
      </c>
      <c r="S7" s="43">
        <f>VLOOKUP(N7,CurrentMtgRatesDataTable9[],2,0)</f>
        <v>807228600</v>
      </c>
      <c r="T7" s="43">
        <f>VLOOKUP(N7,CurrentMtgRatesDataTable93[],2,0)</f>
        <v>16235147935.42</v>
      </c>
      <c r="U7" s="44">
        <f>CurrentMtgRatesDataTable8[[#This Row],[Top 10 Amount]]/CurrentMtgRatesDataTable8[[#This Row],[TotalBalance]]</f>
        <v>0.36042404622634999</v>
      </c>
      <c r="V7" s="44">
        <f>CurrentMtgRatesDataTable8[[#This Row],[Top 5 Amount]]/CurrentMtgRatesDataTable8[[#This Row],[TotalBalance]]</f>
        <v>0.26628579090511989</v>
      </c>
      <c r="W7" s="44">
        <f>CurrentMtgRatesDataTable8[[#This Row],[Top 1 Amount]]/CurrentMtgRatesDataTable8[[#This Row],[TotalBalance]]</f>
        <v>0.11758101727615224</v>
      </c>
      <c r="X7" s="44">
        <f>CurrentMtgRatesDataTable8[[#This Row],[N/A Amount]]/CurrentMtgRatesDataTable8[[#This Row],[TotalBalance]]</f>
        <v>0.31720019433044111</v>
      </c>
    </row>
    <row r="8" spans="2:24">
      <c r="B8" s="37">
        <v>39083</v>
      </c>
      <c r="C8" s="16">
        <v>2005484093.8599999</v>
      </c>
      <c r="D8" s="16" t="s">
        <v>13</v>
      </c>
      <c r="E8" s="16">
        <v>5</v>
      </c>
      <c r="H8" s="37">
        <v>42064</v>
      </c>
      <c r="I8" s="16">
        <v>524124870</v>
      </c>
      <c r="K8" s="37">
        <v>42064</v>
      </c>
      <c r="L8" s="16">
        <v>15868039859.870001</v>
      </c>
      <c r="N8" s="37">
        <v>42064</v>
      </c>
      <c r="O8" s="16">
        <v>44361653084.169998</v>
      </c>
      <c r="P8" s="17">
        <f>VLOOKUP($N8,'Pivot equal'!C:D,2,0)</f>
        <v>16923549250.899998</v>
      </c>
      <c r="Q8" s="17">
        <f>VLOOKUP(N8,'Pivot equal'!G:H,2,0)</f>
        <v>12382355397.360001</v>
      </c>
      <c r="R8" s="17">
        <f>VLOOKUP(N8,'Pivot equal'!K:L,2,0)</f>
        <v>4246970201.73</v>
      </c>
      <c r="S8" s="43">
        <f>VLOOKUP(N8,CurrentMtgRatesDataTable9[],2,0)</f>
        <v>524124870</v>
      </c>
      <c r="T8" s="43">
        <f>VLOOKUP(N8,CurrentMtgRatesDataTable93[],2,0)</f>
        <v>15868039859.870001</v>
      </c>
      <c r="U8" s="44">
        <f>CurrentMtgRatesDataTable8[[#This Row],[Top 10 Amount]]/CurrentMtgRatesDataTable8[[#This Row],[TotalBalance]]</f>
        <v>0.38149050078882191</v>
      </c>
      <c r="V8" s="44">
        <f>CurrentMtgRatesDataTable8[[#This Row],[Top 5 Amount]]/CurrentMtgRatesDataTable8[[#This Row],[TotalBalance]]</f>
        <v>0.27912294823338124</v>
      </c>
      <c r="W8" s="44">
        <f>CurrentMtgRatesDataTable8[[#This Row],[Top 1 Amount]]/CurrentMtgRatesDataTable8[[#This Row],[TotalBalance]]</f>
        <v>9.5735165542004744E-2</v>
      </c>
      <c r="X8" s="44">
        <f>CurrentMtgRatesDataTable8[[#This Row],[N/A Amount]]/CurrentMtgRatesDataTable8[[#This Row],[TotalBalance]]</f>
        <v>0.35769721722864173</v>
      </c>
    </row>
    <row r="9" spans="2:24">
      <c r="B9" s="37">
        <v>39083</v>
      </c>
      <c r="C9" s="16">
        <v>1392884745</v>
      </c>
      <c r="D9" s="16" t="s">
        <v>34</v>
      </c>
      <c r="E9" s="16">
        <v>6</v>
      </c>
      <c r="H9" s="37">
        <v>42036</v>
      </c>
      <c r="I9" s="16">
        <v>697783000</v>
      </c>
      <c r="K9" s="37">
        <v>42036</v>
      </c>
      <c r="L9" s="16">
        <v>9207094804.5400009</v>
      </c>
      <c r="N9" s="37">
        <v>42036</v>
      </c>
      <c r="O9" s="16">
        <v>36583983679.550003</v>
      </c>
      <c r="P9" s="17">
        <f>VLOOKUP($N9,'Pivot equal'!C:D,2,0)</f>
        <v>16016008212.179998</v>
      </c>
      <c r="Q9" s="17">
        <f>VLOOKUP(N9,'Pivot equal'!G:H,2,0)</f>
        <v>11671526842.16</v>
      </c>
      <c r="R9" s="17">
        <f>VLOOKUP(N9,'Pivot equal'!K:L,2,0)</f>
        <v>5063985040.1199999</v>
      </c>
      <c r="S9" s="43">
        <f>VLOOKUP(N9,CurrentMtgRatesDataTable9[],2,0)</f>
        <v>697783000</v>
      </c>
      <c r="T9" s="43">
        <f>VLOOKUP(N9,CurrentMtgRatesDataTable93[],2,0)</f>
        <v>9207094804.5400009</v>
      </c>
      <c r="U9" s="44">
        <f>CurrentMtgRatesDataTable8[[#This Row],[Top 10 Amount]]/CurrentMtgRatesDataTable8[[#This Row],[TotalBalance]]</f>
        <v>0.43778743049059332</v>
      </c>
      <c r="V9" s="44">
        <f>CurrentMtgRatesDataTable8[[#This Row],[Top 5 Amount]]/CurrentMtgRatesDataTable8[[#This Row],[TotalBalance]]</f>
        <v>0.31903378659892195</v>
      </c>
      <c r="W9" s="44">
        <f>CurrentMtgRatesDataTable8[[#This Row],[Top 1 Amount]]/CurrentMtgRatesDataTable8[[#This Row],[TotalBalance]]</f>
        <v>0.13842082055570962</v>
      </c>
      <c r="X9" s="44">
        <f>CurrentMtgRatesDataTable8[[#This Row],[N/A Amount]]/CurrentMtgRatesDataTable8[[#This Row],[TotalBalance]]</f>
        <v>0.25167009927589307</v>
      </c>
    </row>
    <row r="10" spans="2:24">
      <c r="B10" s="37">
        <v>39083</v>
      </c>
      <c r="C10" s="16">
        <v>1242926127.8399999</v>
      </c>
      <c r="D10" s="16" t="s">
        <v>4</v>
      </c>
      <c r="E10" s="16">
        <v>7</v>
      </c>
      <c r="H10" s="37">
        <v>42005</v>
      </c>
      <c r="I10" s="16">
        <v>855334400</v>
      </c>
      <c r="K10" s="37">
        <v>42005</v>
      </c>
      <c r="L10" s="16">
        <v>8692846973.4500008</v>
      </c>
      <c r="N10" s="37">
        <v>42005</v>
      </c>
      <c r="O10" s="16">
        <v>36980630899.18</v>
      </c>
      <c r="P10" s="17">
        <f>VLOOKUP($N10,'Pivot equal'!C:D,2,0)</f>
        <v>17220019925.009998</v>
      </c>
      <c r="Q10" s="17">
        <f>VLOOKUP(N10,'Pivot equal'!G:H,2,0)</f>
        <v>13355633418.48</v>
      </c>
      <c r="R10" s="17">
        <f>VLOOKUP(N10,'Pivot equal'!K:L,2,0)</f>
        <v>5489190091.1700001</v>
      </c>
      <c r="S10" s="43">
        <f>VLOOKUP(N10,CurrentMtgRatesDataTable9[],2,0)</f>
        <v>855334400</v>
      </c>
      <c r="T10" s="43">
        <f>VLOOKUP(N10,CurrentMtgRatesDataTable93[],2,0)</f>
        <v>8692846973.4500008</v>
      </c>
      <c r="U10" s="44">
        <f>CurrentMtgRatesDataTable8[[#This Row],[Top 10 Amount]]/CurrentMtgRatesDataTable8[[#This Row],[TotalBalance]]</f>
        <v>0.46564970651681964</v>
      </c>
      <c r="V10" s="44">
        <f>CurrentMtgRatesDataTable8[[#This Row],[Top 5 Amount]]/CurrentMtgRatesDataTable8[[#This Row],[TotalBalance]]</f>
        <v>0.36115212460521173</v>
      </c>
      <c r="W10" s="44">
        <f>CurrentMtgRatesDataTable8[[#This Row],[Top 1 Amount]]/CurrentMtgRatesDataTable8[[#This Row],[TotalBalance]]</f>
        <v>0.14843419264898794</v>
      </c>
      <c r="X10" s="44">
        <f>CurrentMtgRatesDataTable8[[#This Row],[N/A Amount]]/CurrentMtgRatesDataTable8[[#This Row],[TotalBalance]]</f>
        <v>0.23506486401352211</v>
      </c>
    </row>
    <row r="11" spans="2:24">
      <c r="B11" s="37">
        <v>39083</v>
      </c>
      <c r="C11" s="16">
        <v>1078120428</v>
      </c>
      <c r="D11" s="16" t="s">
        <v>9</v>
      </c>
      <c r="E11" s="16">
        <v>8</v>
      </c>
      <c r="H11" s="37">
        <v>41974</v>
      </c>
      <c r="I11" s="16">
        <v>624271500</v>
      </c>
      <c r="K11" s="37">
        <v>41974</v>
      </c>
      <c r="L11" s="16">
        <v>15367345362.059999</v>
      </c>
      <c r="N11" s="37">
        <v>41974</v>
      </c>
      <c r="O11" s="16">
        <v>44253011751.110001</v>
      </c>
      <c r="P11" s="17">
        <f>VLOOKUP($N11,'Pivot equal'!C:D,2,0)</f>
        <v>16969236987.160002</v>
      </c>
      <c r="Q11" s="17">
        <f>VLOOKUP(N11,'Pivot equal'!G:H,2,0)</f>
        <v>12192486905.27</v>
      </c>
      <c r="R11" s="17">
        <f>VLOOKUP(N11,'Pivot equal'!K:L,2,0)</f>
        <v>3928850698.1300001</v>
      </c>
      <c r="S11" s="43">
        <f>VLOOKUP(N11,CurrentMtgRatesDataTable9[],2,0)</f>
        <v>624271500</v>
      </c>
      <c r="T11" s="43">
        <f>VLOOKUP(N11,CurrentMtgRatesDataTable93[],2,0)</f>
        <v>15367345362.059999</v>
      </c>
      <c r="U11" s="44">
        <f>CurrentMtgRatesDataTable8[[#This Row],[Top 10 Amount]]/CurrentMtgRatesDataTable8[[#This Row],[TotalBalance]]</f>
        <v>0.38345948254548712</v>
      </c>
      <c r="V11" s="44">
        <f>CurrentMtgRatesDataTable8[[#This Row],[Top 5 Amount]]/CurrentMtgRatesDataTable8[[#This Row],[TotalBalance]]</f>
        <v>0.2755176749063678</v>
      </c>
      <c r="W11" s="44">
        <f>CurrentMtgRatesDataTable8[[#This Row],[Top 1 Amount]]/CurrentMtgRatesDataTable8[[#This Row],[TotalBalance]]</f>
        <v>8.8781543733720061E-2</v>
      </c>
      <c r="X11" s="44">
        <f>CurrentMtgRatesDataTable8[[#This Row],[N/A Amount]]/CurrentMtgRatesDataTable8[[#This Row],[TotalBalance]]</f>
        <v>0.34726100561222345</v>
      </c>
    </row>
    <row r="12" spans="2:24">
      <c r="B12" s="37">
        <v>39083</v>
      </c>
      <c r="C12" s="16">
        <v>879027187</v>
      </c>
      <c r="D12" s="16" t="s">
        <v>21</v>
      </c>
      <c r="E12" s="16">
        <v>9</v>
      </c>
      <c r="H12" s="37">
        <v>41944</v>
      </c>
      <c r="I12" s="16">
        <v>831784416</v>
      </c>
      <c r="K12" s="37">
        <v>41944</v>
      </c>
      <c r="L12" s="16">
        <v>4219267889.8299999</v>
      </c>
      <c r="N12" s="37">
        <v>41944</v>
      </c>
      <c r="O12" s="16">
        <v>32492729674.279999</v>
      </c>
      <c r="P12" s="17">
        <f>VLOOKUP($N12,'Pivot equal'!C:D,2,0)</f>
        <v>19050839925.150002</v>
      </c>
      <c r="Q12" s="17">
        <f>VLOOKUP(N12,'Pivot equal'!G:H,2,0)</f>
        <v>15143920247.16</v>
      </c>
      <c r="R12" s="17">
        <f>VLOOKUP(N12,'Pivot equal'!K:L,2,0)</f>
        <v>4110188403.46</v>
      </c>
      <c r="S12" s="43">
        <f>VLOOKUP(N12,CurrentMtgRatesDataTable9[],2,0)</f>
        <v>831784416</v>
      </c>
      <c r="T12" s="43">
        <f>VLOOKUP(N12,CurrentMtgRatesDataTable93[],2,0)</f>
        <v>4219267889.8299999</v>
      </c>
      <c r="U12" s="44">
        <f>CurrentMtgRatesDataTable8[[#This Row],[Top 10 Amount]]/CurrentMtgRatesDataTable8[[#This Row],[TotalBalance]]</f>
        <v>0.58631084910757492</v>
      </c>
      <c r="V12" s="44">
        <f>CurrentMtgRatesDataTable8[[#This Row],[Top 5 Amount]]/CurrentMtgRatesDataTable8[[#This Row],[TotalBalance]]</f>
        <v>0.46607103801276961</v>
      </c>
      <c r="W12" s="44">
        <f>CurrentMtgRatesDataTable8[[#This Row],[Top 1 Amount]]/CurrentMtgRatesDataTable8[[#This Row],[TotalBalance]]</f>
        <v>0.12649563285886281</v>
      </c>
      <c r="X12" s="44">
        <f>CurrentMtgRatesDataTable8[[#This Row],[N/A Amount]]/CurrentMtgRatesDataTable8[[#This Row],[TotalBalance]]</f>
        <v>0.12985267572548118</v>
      </c>
    </row>
    <row r="13" spans="2:24">
      <c r="B13" s="37">
        <v>39083</v>
      </c>
      <c r="C13" s="16">
        <v>685226876.82000005</v>
      </c>
      <c r="D13" s="16" t="s">
        <v>17</v>
      </c>
      <c r="E13" s="16">
        <v>10</v>
      </c>
      <c r="H13" s="37">
        <v>41913</v>
      </c>
      <c r="I13" s="16">
        <v>1116288094</v>
      </c>
      <c r="K13" s="37">
        <v>41913</v>
      </c>
      <c r="L13" s="16">
        <v>12085672777.809999</v>
      </c>
      <c r="N13" s="37">
        <v>41913</v>
      </c>
      <c r="O13" s="16">
        <v>40323740351.139999</v>
      </c>
      <c r="P13" s="17">
        <f>VLOOKUP($N13,'Pivot equal'!C:D,2,0)</f>
        <v>16591290665.489998</v>
      </c>
      <c r="Q13" s="17">
        <f>VLOOKUP(N13,'Pivot equal'!G:H,2,0)</f>
        <v>12022533710.82</v>
      </c>
      <c r="R13" s="17">
        <f>VLOOKUP(N13,'Pivot equal'!K:L,2,0)</f>
        <v>4328284495.8800001</v>
      </c>
      <c r="S13" s="43">
        <f>VLOOKUP(N13,CurrentMtgRatesDataTable9[],2,0)</f>
        <v>1116288094</v>
      </c>
      <c r="T13" s="43">
        <f>VLOOKUP(N13,CurrentMtgRatesDataTable93[],2,0)</f>
        <v>12085672777.809999</v>
      </c>
      <c r="U13" s="44">
        <f>CurrentMtgRatesDataTable8[[#This Row],[Top 10 Amount]]/CurrentMtgRatesDataTable8[[#This Row],[TotalBalance]]</f>
        <v>0.41145217484818325</v>
      </c>
      <c r="V13" s="44">
        <f>CurrentMtgRatesDataTable8[[#This Row],[Top 5 Amount]]/CurrentMtgRatesDataTable8[[#This Row],[TotalBalance]]</f>
        <v>0.29815026101565772</v>
      </c>
      <c r="W13" s="44">
        <f>CurrentMtgRatesDataTable8[[#This Row],[Top 1 Amount]]/CurrentMtgRatesDataTable8[[#This Row],[TotalBalance]]</f>
        <v>0.10733836837032491</v>
      </c>
      <c r="X13" s="44">
        <f>CurrentMtgRatesDataTable8[[#This Row],[N/A Amount]]/CurrentMtgRatesDataTable8[[#This Row],[TotalBalance]]</f>
        <v>0.29971606484338259</v>
      </c>
    </row>
    <row r="14" spans="2:24">
      <c r="B14" s="37">
        <v>39114</v>
      </c>
      <c r="C14" s="16">
        <v>8625817045</v>
      </c>
      <c r="D14" s="16" t="s">
        <v>6</v>
      </c>
      <c r="E14" s="16">
        <v>1</v>
      </c>
      <c r="H14" s="37">
        <v>41883</v>
      </c>
      <c r="I14" s="16">
        <v>692754683</v>
      </c>
      <c r="K14" s="37">
        <v>41883</v>
      </c>
      <c r="L14" s="16">
        <v>8745227871.8199997</v>
      </c>
      <c r="N14" s="37">
        <v>41883</v>
      </c>
      <c r="O14" s="16">
        <v>40347506692.199997</v>
      </c>
      <c r="P14" s="17">
        <f>VLOOKUP($N14,'Pivot equal'!C:D,2,0)</f>
        <v>20418529374.110001</v>
      </c>
      <c r="Q14" s="17">
        <f>VLOOKUP(N14,'Pivot equal'!G:H,2,0)</f>
        <v>15191127020.780001</v>
      </c>
      <c r="R14" s="17">
        <f>VLOOKUP(N14,'Pivot equal'!K:L,2,0)</f>
        <v>4282578991.9000001</v>
      </c>
      <c r="S14" s="43">
        <f>VLOOKUP(N14,CurrentMtgRatesDataTable9[],2,0)</f>
        <v>692754683</v>
      </c>
      <c r="T14" s="43">
        <f>VLOOKUP(N14,CurrentMtgRatesDataTable93[],2,0)</f>
        <v>8745227871.8199997</v>
      </c>
      <c r="U14" s="44">
        <f>CurrentMtgRatesDataTable8[[#This Row],[Top 10 Amount]]/CurrentMtgRatesDataTable8[[#This Row],[TotalBalance]]</f>
        <v>0.50606669527010262</v>
      </c>
      <c r="V14" s="44">
        <f>CurrentMtgRatesDataTable8[[#This Row],[Top 5 Amount]]/CurrentMtgRatesDataTable8[[#This Row],[TotalBalance]]</f>
        <v>0.37650720617432248</v>
      </c>
      <c r="W14" s="44">
        <f>CurrentMtgRatesDataTable8[[#This Row],[Top 1 Amount]]/CurrentMtgRatesDataTable8[[#This Row],[TotalBalance]]</f>
        <v>0.10614234541357448</v>
      </c>
      <c r="X14" s="44">
        <f>CurrentMtgRatesDataTable8[[#This Row],[N/A Amount]]/CurrentMtgRatesDataTable8[[#This Row],[TotalBalance]]</f>
        <v>0.21674766519118346</v>
      </c>
    </row>
    <row r="15" spans="2:24">
      <c r="B15" s="37">
        <v>39114</v>
      </c>
      <c r="C15" s="16">
        <v>5541527303</v>
      </c>
      <c r="D15" s="16" t="s">
        <v>7</v>
      </c>
      <c r="E15" s="16">
        <v>2</v>
      </c>
      <c r="H15" s="37">
        <v>41852</v>
      </c>
      <c r="I15" s="16">
        <v>866330115</v>
      </c>
      <c r="K15" s="37">
        <v>41852</v>
      </c>
      <c r="L15" s="16">
        <v>10202403453.049999</v>
      </c>
      <c r="N15" s="37">
        <v>41852</v>
      </c>
      <c r="O15" s="16">
        <v>34332054961.080002</v>
      </c>
      <c r="P15" s="17">
        <f>VLOOKUP($N15,'Pivot equal'!C:D,2,0)</f>
        <v>13791297844.579998</v>
      </c>
      <c r="Q15" s="17">
        <f>VLOOKUP(N15,'Pivot equal'!G:H,2,0)</f>
        <v>10185763886.950001</v>
      </c>
      <c r="R15" s="17">
        <f>VLOOKUP(N15,'Pivot equal'!K:L,2,0)</f>
        <v>4351012772.2799997</v>
      </c>
      <c r="S15" s="43">
        <f>VLOOKUP(N15,CurrentMtgRatesDataTable9[],2,0)</f>
        <v>866330115</v>
      </c>
      <c r="T15" s="43">
        <f>VLOOKUP(N15,CurrentMtgRatesDataTable93[],2,0)</f>
        <v>10202403453.049999</v>
      </c>
      <c r="U15" s="44">
        <f>CurrentMtgRatesDataTable8[[#This Row],[Top 10 Amount]]/CurrentMtgRatesDataTable8[[#This Row],[TotalBalance]]</f>
        <v>0.40170324381148426</v>
      </c>
      <c r="V15" s="44">
        <f>CurrentMtgRatesDataTable8[[#This Row],[Top 5 Amount]]/CurrentMtgRatesDataTable8[[#This Row],[TotalBalance]]</f>
        <v>0.29668378133778861</v>
      </c>
      <c r="W15" s="44">
        <f>CurrentMtgRatesDataTable8[[#This Row],[Top 1 Amount]]/CurrentMtgRatesDataTable8[[#This Row],[TotalBalance]]</f>
        <v>0.12673324615180936</v>
      </c>
      <c r="X15" s="44">
        <f>CurrentMtgRatesDataTable8[[#This Row],[N/A Amount]]/CurrentMtgRatesDataTable8[[#This Row],[TotalBalance]]</f>
        <v>0.29716844694020778</v>
      </c>
    </row>
    <row r="16" spans="2:24">
      <c r="B16" s="37">
        <v>39114</v>
      </c>
      <c r="C16" s="16">
        <v>3033979449</v>
      </c>
      <c r="D16" s="16" t="s">
        <v>11</v>
      </c>
      <c r="E16" s="16">
        <v>3</v>
      </c>
      <c r="H16" s="37">
        <v>41821</v>
      </c>
      <c r="I16" s="16">
        <v>766012000</v>
      </c>
      <c r="K16" s="37">
        <v>41821</v>
      </c>
      <c r="L16" s="16">
        <v>11123399110.24</v>
      </c>
      <c r="N16" s="37">
        <v>41821</v>
      </c>
      <c r="O16" s="16">
        <v>36447478522.989998</v>
      </c>
      <c r="P16" s="17">
        <f>VLOOKUP($N16,'Pivot equal'!C:D,2,0)</f>
        <v>14180443501.41</v>
      </c>
      <c r="Q16" s="17">
        <f>VLOOKUP(N16,'Pivot equal'!G:H,2,0)</f>
        <v>10365356857.860001</v>
      </c>
      <c r="R16" s="17">
        <f>VLOOKUP(N16,'Pivot equal'!K:L,2,0)</f>
        <v>4404846709.1300001</v>
      </c>
      <c r="S16" s="43">
        <f>VLOOKUP(N16,CurrentMtgRatesDataTable9[],2,0)</f>
        <v>766012000</v>
      </c>
      <c r="T16" s="43">
        <f>VLOOKUP(N16,CurrentMtgRatesDataTable93[],2,0)</f>
        <v>11123399110.24</v>
      </c>
      <c r="U16" s="44">
        <f>CurrentMtgRatesDataTable8[[#This Row],[Top 10 Amount]]/CurrentMtgRatesDataTable8[[#This Row],[TotalBalance]]</f>
        <v>0.38906514458785929</v>
      </c>
      <c r="V16" s="44">
        <f>CurrentMtgRatesDataTable8[[#This Row],[Top 5 Amount]]/CurrentMtgRatesDataTable8[[#This Row],[TotalBalance]]</f>
        <v>0.28439160342249298</v>
      </c>
      <c r="W16" s="44">
        <f>CurrentMtgRatesDataTable8[[#This Row],[Top 1 Amount]]/CurrentMtgRatesDataTable8[[#This Row],[TotalBalance]]</f>
        <v>0.12085463487828252</v>
      </c>
      <c r="X16" s="44">
        <f>CurrentMtgRatesDataTable8[[#This Row],[N/A Amount]]/CurrentMtgRatesDataTable8[[#This Row],[TotalBalance]]</f>
        <v>0.30518981177871296</v>
      </c>
    </row>
    <row r="17" spans="2:24">
      <c r="B17" s="37">
        <v>39114</v>
      </c>
      <c r="C17" s="16">
        <v>3014522924.1199999</v>
      </c>
      <c r="D17" s="16" t="s">
        <v>13</v>
      </c>
      <c r="E17" s="16">
        <v>4</v>
      </c>
      <c r="H17" s="37">
        <v>41791</v>
      </c>
      <c r="I17" s="16">
        <v>565998636</v>
      </c>
      <c r="K17" s="37">
        <v>41791</v>
      </c>
      <c r="L17" s="16">
        <v>9636568337.5599995</v>
      </c>
      <c r="N17" s="37">
        <v>41791</v>
      </c>
      <c r="O17" s="16">
        <v>31582304306.349998</v>
      </c>
      <c r="P17" s="17">
        <f>VLOOKUP($N17,'Pivot equal'!C:D,2,0)</f>
        <v>13048715246.830002</v>
      </c>
      <c r="Q17" s="17">
        <f>VLOOKUP(N17,'Pivot equal'!G:H,2,0)</f>
        <v>9698417154.789999</v>
      </c>
      <c r="R17" s="17">
        <f>VLOOKUP(N17,'Pivot equal'!K:L,2,0)</f>
        <v>4119664079.48</v>
      </c>
      <c r="S17" s="43">
        <f>VLOOKUP(N17,CurrentMtgRatesDataTable9[],2,0)</f>
        <v>565998636</v>
      </c>
      <c r="T17" s="43">
        <f>VLOOKUP(N17,CurrentMtgRatesDataTable93[],2,0)</f>
        <v>9636568337.5599995</v>
      </c>
      <c r="U17" s="44">
        <f>CurrentMtgRatesDataTable8[[#This Row],[Top 10 Amount]]/CurrentMtgRatesDataTable8[[#This Row],[TotalBalance]]</f>
        <v>0.41316539541436825</v>
      </c>
      <c r="V17" s="44">
        <f>CurrentMtgRatesDataTable8[[#This Row],[Top 5 Amount]]/CurrentMtgRatesDataTable8[[#This Row],[TotalBalance]]</f>
        <v>0.3070838992847022</v>
      </c>
      <c r="W17" s="44">
        <f>CurrentMtgRatesDataTable8[[#This Row],[Top 1 Amount]]/CurrentMtgRatesDataTable8[[#This Row],[TotalBalance]]</f>
        <v>0.13044216278581333</v>
      </c>
      <c r="X17" s="44">
        <f>CurrentMtgRatesDataTable8[[#This Row],[N/A Amount]]/CurrentMtgRatesDataTable8[[#This Row],[TotalBalance]]</f>
        <v>0.30512556158299231</v>
      </c>
    </row>
    <row r="18" spans="2:24">
      <c r="B18" s="37">
        <v>39114</v>
      </c>
      <c r="C18" s="16">
        <v>2787288153</v>
      </c>
      <c r="D18" s="16" t="s">
        <v>34</v>
      </c>
      <c r="E18" s="16">
        <v>5</v>
      </c>
      <c r="H18" s="37">
        <v>41760</v>
      </c>
      <c r="I18" s="16">
        <v>603934000</v>
      </c>
      <c r="K18" s="37">
        <v>41760</v>
      </c>
      <c r="L18" s="16">
        <v>8490172743.6300001</v>
      </c>
      <c r="N18" s="37">
        <v>41760</v>
      </c>
      <c r="O18" s="16">
        <v>27487631130.209999</v>
      </c>
      <c r="P18" s="17">
        <f>VLOOKUP($N18,'Pivot equal'!C:D,2,0)</f>
        <v>10540781524.629999</v>
      </c>
      <c r="Q18" s="17">
        <f>VLOOKUP(N18,'Pivot equal'!G:H,2,0)</f>
        <v>7511955198.1200008</v>
      </c>
      <c r="R18" s="17">
        <f>VLOOKUP(N18,'Pivot equal'!K:L,2,0)</f>
        <v>3701376306.8000002</v>
      </c>
      <c r="S18" s="43">
        <f>VLOOKUP(N18,CurrentMtgRatesDataTable9[],2,0)</f>
        <v>603934000</v>
      </c>
      <c r="T18" s="43">
        <f>VLOOKUP(N18,CurrentMtgRatesDataTable93[],2,0)</f>
        <v>8490172743.6300001</v>
      </c>
      <c r="U18" s="44">
        <f>CurrentMtgRatesDataTable8[[#This Row],[Top 10 Amount]]/CurrentMtgRatesDataTable8[[#This Row],[TotalBalance]]</f>
        <v>0.38347362399829577</v>
      </c>
      <c r="V18" s="44">
        <f>CurrentMtgRatesDataTable8[[#This Row],[Top 5 Amount]]/CurrentMtgRatesDataTable8[[#This Row],[TotalBalance]]</f>
        <v>0.27328492450060798</v>
      </c>
      <c r="W18" s="44">
        <f>CurrentMtgRatesDataTable8[[#This Row],[Top 1 Amount]]/CurrentMtgRatesDataTable8[[#This Row],[TotalBalance]]</f>
        <v>0.13465606727864013</v>
      </c>
      <c r="X18" s="44">
        <f>CurrentMtgRatesDataTable8[[#This Row],[N/A Amount]]/CurrentMtgRatesDataTable8[[#This Row],[TotalBalance]]</f>
        <v>0.30887247807611051</v>
      </c>
    </row>
    <row r="19" spans="2:24">
      <c r="B19" s="37">
        <v>39114</v>
      </c>
      <c r="C19" s="16">
        <v>2239793798.6599998</v>
      </c>
      <c r="D19" s="16" t="s">
        <v>4</v>
      </c>
      <c r="E19" s="16">
        <v>6</v>
      </c>
      <c r="H19" s="37">
        <v>41730</v>
      </c>
      <c r="I19" s="16">
        <v>800224200</v>
      </c>
      <c r="K19" s="37">
        <v>41730</v>
      </c>
      <c r="L19" s="16">
        <v>8041639908.1300001</v>
      </c>
      <c r="N19" s="37">
        <v>41730</v>
      </c>
      <c r="O19" s="16">
        <v>27198516722.27</v>
      </c>
      <c r="P19" s="17">
        <f>VLOOKUP($N19,'Pivot equal'!C:D,2,0)</f>
        <v>12276303521.109999</v>
      </c>
      <c r="Q19" s="17">
        <f>VLOOKUP(N19,'Pivot equal'!G:H,2,0)</f>
        <v>9017573459.2299995</v>
      </c>
      <c r="R19" s="17">
        <f>VLOOKUP(N19,'Pivot equal'!K:L,2,0)</f>
        <v>3281937556.02</v>
      </c>
      <c r="S19" s="43">
        <f>VLOOKUP(N19,CurrentMtgRatesDataTable9[],2,0)</f>
        <v>800224200</v>
      </c>
      <c r="T19" s="43">
        <f>VLOOKUP(N19,CurrentMtgRatesDataTable93[],2,0)</f>
        <v>8041639908.1300001</v>
      </c>
      <c r="U19" s="44">
        <f>CurrentMtgRatesDataTable8[[#This Row],[Top 10 Amount]]/CurrentMtgRatesDataTable8[[#This Row],[TotalBalance]]</f>
        <v>0.45135930192319007</v>
      </c>
      <c r="V19" s="44">
        <f>CurrentMtgRatesDataTable8[[#This Row],[Top 5 Amount]]/CurrentMtgRatesDataTable8[[#This Row],[TotalBalance]]</f>
        <v>0.33154651598505952</v>
      </c>
      <c r="W19" s="44">
        <f>CurrentMtgRatesDataTable8[[#This Row],[Top 1 Amount]]/CurrentMtgRatesDataTable8[[#This Row],[TotalBalance]]</f>
        <v>0.12066604916483431</v>
      </c>
      <c r="X19" s="44">
        <f>CurrentMtgRatesDataTable8[[#This Row],[N/A Amount]]/CurrentMtgRatesDataTable8[[#This Row],[TotalBalance]]</f>
        <v>0.29566464929852398</v>
      </c>
    </row>
    <row r="20" spans="2:24">
      <c r="B20" s="37">
        <v>39114</v>
      </c>
      <c r="C20" s="16">
        <v>1685524401.6800001</v>
      </c>
      <c r="D20" s="16" t="s">
        <v>20</v>
      </c>
      <c r="E20" s="16">
        <v>7</v>
      </c>
      <c r="H20" s="37">
        <v>41699</v>
      </c>
      <c r="I20" s="16">
        <v>619867269</v>
      </c>
      <c r="K20" s="37">
        <v>41699</v>
      </c>
      <c r="L20" s="16">
        <v>7075975646.0799999</v>
      </c>
      <c r="N20" s="37">
        <v>41699</v>
      </c>
      <c r="O20" s="16">
        <v>23463509422.790001</v>
      </c>
      <c r="P20" s="17">
        <f>VLOOKUP($N20,'Pivot equal'!C:D,2,0)</f>
        <v>9860110204.4599991</v>
      </c>
      <c r="Q20" s="17">
        <f>VLOOKUP(N20,'Pivot equal'!G:H,2,0)</f>
        <v>7601988463.4200001</v>
      </c>
      <c r="R20" s="17">
        <f>VLOOKUP(N20,'Pivot equal'!K:L,2,0)</f>
        <v>2771745679.8800001</v>
      </c>
      <c r="S20" s="43">
        <f>VLOOKUP(N20,CurrentMtgRatesDataTable9[],2,0)</f>
        <v>619867269</v>
      </c>
      <c r="T20" s="43">
        <f>VLOOKUP(N20,CurrentMtgRatesDataTable93[],2,0)</f>
        <v>7075975646.0799999</v>
      </c>
      <c r="U20" s="44">
        <f>CurrentMtgRatesDataTable8[[#This Row],[Top 10 Amount]]/CurrentMtgRatesDataTable8[[#This Row],[TotalBalance]]</f>
        <v>0.42023168941995176</v>
      </c>
      <c r="V20" s="44">
        <f>CurrentMtgRatesDataTable8[[#This Row],[Top 5 Amount]]/CurrentMtgRatesDataTable8[[#This Row],[TotalBalance]]</f>
        <v>0.32399196243151174</v>
      </c>
      <c r="W20" s="44">
        <f>CurrentMtgRatesDataTable8[[#This Row],[Top 1 Amount]]/CurrentMtgRatesDataTable8[[#This Row],[TotalBalance]]</f>
        <v>0.11813005590663331</v>
      </c>
      <c r="X20" s="44">
        <f>CurrentMtgRatesDataTable8[[#This Row],[N/A Amount]]/CurrentMtgRatesDataTable8[[#This Row],[TotalBalance]]</f>
        <v>0.30157362731114457</v>
      </c>
    </row>
    <row r="21" spans="2:24">
      <c r="B21" s="37">
        <v>39114</v>
      </c>
      <c r="C21" s="16">
        <v>1347925403</v>
      </c>
      <c r="D21" s="16" t="s">
        <v>9</v>
      </c>
      <c r="E21" s="16">
        <v>8</v>
      </c>
      <c r="H21" s="37">
        <v>41671</v>
      </c>
      <c r="I21" s="16">
        <v>732302230</v>
      </c>
      <c r="K21" s="37">
        <v>41671</v>
      </c>
      <c r="L21" s="16">
        <v>6917280577.9399996</v>
      </c>
      <c r="N21" s="37">
        <v>41671</v>
      </c>
      <c r="O21" s="16">
        <v>27585216807.849998</v>
      </c>
      <c r="P21" s="17">
        <f>VLOOKUP($N21,'Pivot equal'!C:D,2,0)</f>
        <v>13447219374.819998</v>
      </c>
      <c r="Q21" s="17">
        <f>VLOOKUP(N21,'Pivot equal'!G:H,2,0)</f>
        <v>10862978588.139999</v>
      </c>
      <c r="R21" s="17">
        <f>VLOOKUP(N21,'Pivot equal'!K:L,2,0)</f>
        <v>4228977520.5</v>
      </c>
      <c r="S21" s="43">
        <f>VLOOKUP(N21,CurrentMtgRatesDataTable9[],2,0)</f>
        <v>732302230</v>
      </c>
      <c r="T21" s="43">
        <f>VLOOKUP(N21,CurrentMtgRatesDataTable93[],2,0)</f>
        <v>6917280577.9399996</v>
      </c>
      <c r="U21" s="44">
        <f>CurrentMtgRatesDataTable8[[#This Row],[Top 10 Amount]]/CurrentMtgRatesDataTable8[[#This Row],[TotalBalance]]</f>
        <v>0.48747919831441333</v>
      </c>
      <c r="V21" s="44">
        <f>CurrentMtgRatesDataTable8[[#This Row],[Top 5 Amount]]/CurrentMtgRatesDataTable8[[#This Row],[TotalBalance]]</f>
        <v>0.39379710747999969</v>
      </c>
      <c r="W21" s="44">
        <f>CurrentMtgRatesDataTable8[[#This Row],[Top 1 Amount]]/CurrentMtgRatesDataTable8[[#This Row],[TotalBalance]]</f>
        <v>0.15330593737789833</v>
      </c>
      <c r="X21" s="44">
        <f>CurrentMtgRatesDataTable8[[#This Row],[N/A Amount]]/CurrentMtgRatesDataTable8[[#This Row],[TotalBalance]]</f>
        <v>0.25076042092123529</v>
      </c>
    </row>
    <row r="22" spans="2:24">
      <c r="B22" s="37">
        <v>39114</v>
      </c>
      <c r="C22" s="16">
        <v>919494049</v>
      </c>
      <c r="D22" s="16" t="s">
        <v>21</v>
      </c>
      <c r="E22" s="16">
        <v>9</v>
      </c>
      <c r="H22" s="37">
        <v>41640</v>
      </c>
      <c r="I22" s="16">
        <v>690934900</v>
      </c>
      <c r="K22" s="37">
        <v>41640</v>
      </c>
      <c r="L22" s="16">
        <v>9006175235.8600006</v>
      </c>
      <c r="N22" s="37">
        <v>41640</v>
      </c>
      <c r="O22" s="16">
        <v>28108964119.139999</v>
      </c>
      <c r="P22" s="17">
        <f>VLOOKUP($N22,'Pivot equal'!C:D,2,0)</f>
        <v>11561109174.170002</v>
      </c>
      <c r="Q22" s="17">
        <f>VLOOKUP(N22,'Pivot equal'!G:H,2,0)</f>
        <v>8967497119.7200012</v>
      </c>
      <c r="R22" s="17">
        <f>VLOOKUP(N22,'Pivot equal'!K:L,2,0)</f>
        <v>3105702600.8000002</v>
      </c>
      <c r="S22" s="43">
        <f>VLOOKUP(N22,CurrentMtgRatesDataTable9[],2,0)</f>
        <v>690934900</v>
      </c>
      <c r="T22" s="43">
        <f>VLOOKUP(N22,CurrentMtgRatesDataTable93[],2,0)</f>
        <v>9006175235.8600006</v>
      </c>
      <c r="U22" s="44">
        <f>CurrentMtgRatesDataTable8[[#This Row],[Top 10 Amount]]/CurrentMtgRatesDataTable8[[#This Row],[TotalBalance]]</f>
        <v>0.41129616606176511</v>
      </c>
      <c r="V22" s="44">
        <f>CurrentMtgRatesDataTable8[[#This Row],[Top 5 Amount]]/CurrentMtgRatesDataTable8[[#This Row],[TotalBalance]]</f>
        <v>0.3190262395195787</v>
      </c>
      <c r="W22" s="44">
        <f>CurrentMtgRatesDataTable8[[#This Row],[Top 1 Amount]]/CurrentMtgRatesDataTable8[[#This Row],[TotalBalance]]</f>
        <v>0.11048797770122237</v>
      </c>
      <c r="X22" s="44">
        <f>CurrentMtgRatesDataTable8[[#This Row],[N/A Amount]]/CurrentMtgRatesDataTable8[[#This Row],[TotalBalance]]</f>
        <v>0.32040224597702277</v>
      </c>
    </row>
    <row r="23" spans="2:24">
      <c r="B23" s="37">
        <v>39114</v>
      </c>
      <c r="C23" s="16">
        <v>912306666</v>
      </c>
      <c r="D23" s="16" t="s">
        <v>10</v>
      </c>
      <c r="E23" s="16">
        <v>10</v>
      </c>
      <c r="H23" s="37">
        <v>41609</v>
      </c>
      <c r="I23" s="16">
        <v>856201500</v>
      </c>
      <c r="K23" s="37">
        <v>41609</v>
      </c>
      <c r="L23" s="16">
        <v>10518511717.99</v>
      </c>
      <c r="N23" s="37">
        <v>41609</v>
      </c>
      <c r="O23" s="16">
        <v>37790142776.290001</v>
      </c>
      <c r="P23" s="17">
        <f>VLOOKUP($N23,'Pivot equal'!C:D,2,0)</f>
        <v>17148936693.369997</v>
      </c>
      <c r="Q23" s="17">
        <f>VLOOKUP(N23,'Pivot equal'!G:H,2,0)</f>
        <v>12929026951.82</v>
      </c>
      <c r="R23" s="17">
        <f>VLOOKUP(N23,'Pivot equal'!K:L,2,0)</f>
        <v>6588450968.0200005</v>
      </c>
      <c r="S23" s="43">
        <f>VLOOKUP(N23,CurrentMtgRatesDataTable9[],2,0)</f>
        <v>856201500</v>
      </c>
      <c r="T23" s="43">
        <f>VLOOKUP(N23,CurrentMtgRatesDataTable93[],2,0)</f>
        <v>10518511717.99</v>
      </c>
      <c r="U23" s="44">
        <f>CurrentMtgRatesDataTable8[[#This Row],[Top 10 Amount]]/CurrentMtgRatesDataTable8[[#This Row],[TotalBalance]]</f>
        <v>0.45379391115001161</v>
      </c>
      <c r="V23" s="44">
        <f>CurrentMtgRatesDataTable8[[#This Row],[Top 5 Amount]]/CurrentMtgRatesDataTable8[[#This Row],[TotalBalance]]</f>
        <v>0.34212696756287014</v>
      </c>
      <c r="W23" s="44">
        <f>CurrentMtgRatesDataTable8[[#This Row],[Top 1 Amount]]/CurrentMtgRatesDataTable8[[#This Row],[TotalBalance]]</f>
        <v>0.17434310865196506</v>
      </c>
      <c r="X23" s="44">
        <f>CurrentMtgRatesDataTable8[[#This Row],[N/A Amount]]/CurrentMtgRatesDataTable8[[#This Row],[TotalBalance]]</f>
        <v>0.27834008937879545</v>
      </c>
    </row>
    <row r="24" spans="2:24">
      <c r="B24" s="37">
        <v>39142</v>
      </c>
      <c r="C24" s="16">
        <v>7241357422</v>
      </c>
      <c r="D24" s="16" t="s">
        <v>6</v>
      </c>
      <c r="E24" s="16">
        <v>1</v>
      </c>
      <c r="H24" s="37">
        <v>41579</v>
      </c>
      <c r="I24" s="16">
        <v>1144678013</v>
      </c>
      <c r="K24" s="37">
        <v>41579</v>
      </c>
      <c r="L24" s="16">
        <v>9165938632.2299995</v>
      </c>
      <c r="N24" s="37">
        <v>41579</v>
      </c>
      <c r="O24" s="16">
        <v>38757040631.290001</v>
      </c>
      <c r="P24" s="17">
        <f>VLOOKUP($N24,'Pivot equal'!C:D,2,0)</f>
        <v>19735518182.900002</v>
      </c>
      <c r="Q24" s="17">
        <f>VLOOKUP(N24,'Pivot equal'!G:H,2,0)</f>
        <v>15129673981.85</v>
      </c>
      <c r="R24" s="17">
        <f>VLOOKUP(N24,'Pivot equal'!K:L,2,0)</f>
        <v>7277980089.6000004</v>
      </c>
      <c r="S24" s="43">
        <f>VLOOKUP(N24,CurrentMtgRatesDataTable9[],2,0)</f>
        <v>1144678013</v>
      </c>
      <c r="T24" s="43">
        <f>VLOOKUP(N24,CurrentMtgRatesDataTable93[],2,0)</f>
        <v>9165938632.2299995</v>
      </c>
      <c r="U24" s="44">
        <f>CurrentMtgRatesDataTable8[[#This Row],[Top 10 Amount]]/CurrentMtgRatesDataTable8[[#This Row],[TotalBalance]]</f>
        <v>0.5092111745747373</v>
      </c>
      <c r="V24" s="44">
        <f>CurrentMtgRatesDataTable8[[#This Row],[Top 5 Amount]]/CurrentMtgRatesDataTable8[[#This Row],[TotalBalance]]</f>
        <v>0.39037227134507407</v>
      </c>
      <c r="W24" s="44">
        <f>CurrentMtgRatesDataTable8[[#This Row],[Top 1 Amount]]/CurrentMtgRatesDataTable8[[#This Row],[TotalBalance]]</f>
        <v>0.18778472171903177</v>
      </c>
      <c r="X24" s="44">
        <f>CurrentMtgRatesDataTable8[[#This Row],[N/A Amount]]/CurrentMtgRatesDataTable8[[#This Row],[TotalBalance]]</f>
        <v>0.23649738171262735</v>
      </c>
    </row>
    <row r="25" spans="2:24">
      <c r="B25" s="37">
        <v>39142</v>
      </c>
      <c r="C25" s="16">
        <v>6789301646</v>
      </c>
      <c r="D25" s="16" t="s">
        <v>7</v>
      </c>
      <c r="E25" s="16">
        <v>2</v>
      </c>
      <c r="H25" s="37">
        <v>41548</v>
      </c>
      <c r="I25" s="16">
        <v>1114601890</v>
      </c>
      <c r="K25" s="37">
        <v>41548</v>
      </c>
      <c r="L25" s="16">
        <v>12862580723.85</v>
      </c>
      <c r="N25" s="37">
        <v>41548</v>
      </c>
      <c r="O25" s="16">
        <v>47175834172.419998</v>
      </c>
      <c r="P25" s="17">
        <f>VLOOKUP($N25,'Pivot equal'!C:D,2,0)</f>
        <v>21846439126.260002</v>
      </c>
      <c r="Q25" s="17">
        <f>VLOOKUP(N25,'Pivot equal'!G:H,2,0)</f>
        <v>16622350119.240002</v>
      </c>
      <c r="R25" s="17">
        <f>VLOOKUP(N25,'Pivot equal'!K:L,2,0)</f>
        <v>9148941452.2000008</v>
      </c>
      <c r="S25" s="43">
        <f>VLOOKUP(N25,CurrentMtgRatesDataTable9[],2,0)</f>
        <v>1114601890</v>
      </c>
      <c r="T25" s="43">
        <f>VLOOKUP(N25,CurrentMtgRatesDataTable93[],2,0)</f>
        <v>12862580723.85</v>
      </c>
      <c r="U25" s="44">
        <f>CurrentMtgRatesDataTable8[[#This Row],[Top 10 Amount]]/CurrentMtgRatesDataTable8[[#This Row],[TotalBalance]]</f>
        <v>0.46308538067212168</v>
      </c>
      <c r="V25" s="44">
        <f>CurrentMtgRatesDataTable8[[#This Row],[Top 5 Amount]]/CurrentMtgRatesDataTable8[[#This Row],[TotalBalance]]</f>
        <v>0.35234883305906189</v>
      </c>
      <c r="W25" s="44">
        <f>CurrentMtgRatesDataTable8[[#This Row],[Top 1 Amount]]/CurrentMtgRatesDataTable8[[#This Row],[TotalBalance]]</f>
        <v>0.19393279658314272</v>
      </c>
      <c r="X25" s="44">
        <f>CurrentMtgRatesDataTable8[[#This Row],[N/A Amount]]/CurrentMtgRatesDataTable8[[#This Row],[TotalBalance]]</f>
        <v>0.27265189793654437</v>
      </c>
    </row>
    <row r="26" spans="2:24">
      <c r="B26" s="37">
        <v>39142</v>
      </c>
      <c r="C26" s="16">
        <v>2812455484.5799999</v>
      </c>
      <c r="D26" s="16" t="s">
        <v>11</v>
      </c>
      <c r="E26" s="16">
        <v>3</v>
      </c>
      <c r="H26" s="37">
        <v>41518</v>
      </c>
      <c r="I26" s="16">
        <v>760592802</v>
      </c>
      <c r="K26" s="37">
        <v>41518</v>
      </c>
      <c r="L26" s="16">
        <v>11965840960.209999</v>
      </c>
      <c r="N26" s="37">
        <v>41518</v>
      </c>
      <c r="O26" s="16">
        <v>52117579911.449997</v>
      </c>
      <c r="P26" s="17">
        <f>VLOOKUP($N26,'Pivot equal'!C:D,2,0)</f>
        <v>28474515807.220001</v>
      </c>
      <c r="Q26" s="17">
        <f>VLOOKUP(N26,'Pivot equal'!G:H,2,0)</f>
        <v>23217757702.279999</v>
      </c>
      <c r="R26" s="17">
        <f>VLOOKUP(N26,'Pivot equal'!K:L,2,0)</f>
        <v>12954391824.35</v>
      </c>
      <c r="S26" s="43">
        <f>VLOOKUP(N26,CurrentMtgRatesDataTable9[],2,0)</f>
        <v>760592802</v>
      </c>
      <c r="T26" s="43">
        <f>VLOOKUP(N26,CurrentMtgRatesDataTable93[],2,0)</f>
        <v>11965840960.209999</v>
      </c>
      <c r="U26" s="44">
        <f>CurrentMtgRatesDataTable8[[#This Row],[Top 10 Amount]]/CurrentMtgRatesDataTable8[[#This Row],[TotalBalance]]</f>
        <v>0.54635145867477775</v>
      </c>
      <c r="V26" s="44">
        <f>CurrentMtgRatesDataTable8[[#This Row],[Top 5 Amount]]/CurrentMtgRatesDataTable8[[#This Row],[TotalBalance]]</f>
        <v>0.44548802422767836</v>
      </c>
      <c r="W26" s="44">
        <f>CurrentMtgRatesDataTable8[[#This Row],[Top 1 Amount]]/CurrentMtgRatesDataTable8[[#This Row],[TotalBalance]]</f>
        <v>0.24856088571956081</v>
      </c>
      <c r="X26" s="44">
        <f>CurrentMtgRatesDataTable8[[#This Row],[N/A Amount]]/CurrentMtgRatesDataTable8[[#This Row],[TotalBalance]]</f>
        <v>0.22959318104448587</v>
      </c>
    </row>
    <row r="27" spans="2:24">
      <c r="B27" s="37">
        <v>39142</v>
      </c>
      <c r="C27" s="16">
        <v>2508344240.5799999</v>
      </c>
      <c r="D27" s="16" t="s">
        <v>13</v>
      </c>
      <c r="E27" s="16">
        <v>4</v>
      </c>
      <c r="H27" s="37">
        <v>41487</v>
      </c>
      <c r="I27" s="16">
        <v>1050686660</v>
      </c>
      <c r="K27" s="37">
        <v>41487</v>
      </c>
      <c r="L27" s="16">
        <v>14735430738.82</v>
      </c>
      <c r="N27" s="37">
        <v>41487</v>
      </c>
      <c r="O27" s="16">
        <v>65043206114.970001</v>
      </c>
      <c r="P27" s="17">
        <f>VLOOKUP($N27,'Pivot equal'!C:D,2,0)</f>
        <v>35770897100.520004</v>
      </c>
      <c r="Q27" s="17">
        <f>VLOOKUP(N27,'Pivot equal'!G:H,2,0)</f>
        <v>27875191616.209999</v>
      </c>
      <c r="R27" s="17">
        <f>VLOOKUP(N27,'Pivot equal'!K:L,2,0)</f>
        <v>16043754924.049999</v>
      </c>
      <c r="S27" s="43">
        <f>VLOOKUP(N27,CurrentMtgRatesDataTable9[],2,0)</f>
        <v>1050686660</v>
      </c>
      <c r="T27" s="43">
        <f>VLOOKUP(N27,CurrentMtgRatesDataTable93[],2,0)</f>
        <v>14735430738.82</v>
      </c>
      <c r="U27" s="44">
        <f>CurrentMtgRatesDataTable8[[#This Row],[Top 10 Amount]]/CurrentMtgRatesDataTable8[[#This Row],[TotalBalance]]</f>
        <v>0.54995593294235179</v>
      </c>
      <c r="V27" s="44">
        <f>CurrentMtgRatesDataTable8[[#This Row],[Top 5 Amount]]/CurrentMtgRatesDataTable8[[#This Row],[TotalBalance]]</f>
        <v>0.42856423108876229</v>
      </c>
      <c r="W27" s="44">
        <f>CurrentMtgRatesDataTable8[[#This Row],[Top 1 Amount]]/CurrentMtgRatesDataTable8[[#This Row],[TotalBalance]]</f>
        <v>0.24666303957543467</v>
      </c>
      <c r="X27" s="44">
        <f>CurrentMtgRatesDataTable8[[#This Row],[N/A Amount]]/CurrentMtgRatesDataTable8[[#This Row],[TotalBalance]]</f>
        <v>0.22654834561466322</v>
      </c>
    </row>
    <row r="28" spans="2:24">
      <c r="B28" s="37">
        <v>39142</v>
      </c>
      <c r="C28" s="16">
        <v>2057675204</v>
      </c>
      <c r="D28" s="16" t="s">
        <v>4</v>
      </c>
      <c r="E28" s="16">
        <v>5</v>
      </c>
      <c r="H28" s="37">
        <v>41456</v>
      </c>
      <c r="I28" s="16">
        <v>689921868</v>
      </c>
      <c r="K28" s="37">
        <v>41456</v>
      </c>
      <c r="L28" s="16">
        <v>18755440365.549999</v>
      </c>
      <c r="N28" s="37">
        <v>41456</v>
      </c>
      <c r="O28" s="16">
        <v>71866974614.360001</v>
      </c>
      <c r="P28" s="17">
        <f>VLOOKUP($N28,'Pivot equal'!C:D,2,0)</f>
        <v>37466696964.239998</v>
      </c>
      <c r="Q28" s="17">
        <f>VLOOKUP(N28,'Pivot equal'!G:H,2,0)</f>
        <v>29824408490.139999</v>
      </c>
      <c r="R28" s="17">
        <f>VLOOKUP(N28,'Pivot equal'!K:L,2,0)</f>
        <v>16978552578.67</v>
      </c>
      <c r="S28" s="43">
        <f>VLOOKUP(N28,CurrentMtgRatesDataTable9[],2,0)</f>
        <v>689921868</v>
      </c>
      <c r="T28" s="43">
        <f>VLOOKUP(N28,CurrentMtgRatesDataTable93[],2,0)</f>
        <v>18755440365.549999</v>
      </c>
      <c r="U28" s="44">
        <f>CurrentMtgRatesDataTable8[[#This Row],[Top 10 Amount]]/CurrentMtgRatesDataTable8[[#This Row],[TotalBalance]]</f>
        <v>0.52133399472132003</v>
      </c>
      <c r="V28" s="44">
        <f>CurrentMtgRatesDataTable8[[#This Row],[Top 5 Amount]]/CurrentMtgRatesDataTable8[[#This Row],[TotalBalance]]</f>
        <v>0.41499462931587877</v>
      </c>
      <c r="W28" s="44">
        <f>CurrentMtgRatesDataTable8[[#This Row],[Top 1 Amount]]/CurrentMtgRatesDataTable8[[#This Row],[TotalBalance]]</f>
        <v>0.2362497192872991</v>
      </c>
      <c r="X28" s="44">
        <f>CurrentMtgRatesDataTable8[[#This Row],[N/A Amount]]/CurrentMtgRatesDataTable8[[#This Row],[TotalBalance]]</f>
        <v>0.26097439701882769</v>
      </c>
    </row>
    <row r="29" spans="2:24">
      <c r="B29" s="37">
        <v>39142</v>
      </c>
      <c r="C29" s="16">
        <v>1782572404.98</v>
      </c>
      <c r="D29" s="16" t="s">
        <v>20</v>
      </c>
      <c r="E29" s="16">
        <v>6</v>
      </c>
      <c r="H29" s="37">
        <v>41426</v>
      </c>
      <c r="I29" s="16">
        <v>967290699</v>
      </c>
      <c r="K29" s="37">
        <v>41426</v>
      </c>
      <c r="L29" s="16">
        <v>16273944179.76</v>
      </c>
      <c r="N29" s="37">
        <v>41426</v>
      </c>
      <c r="O29" s="16">
        <v>66542000148.940002</v>
      </c>
      <c r="P29" s="17">
        <f>VLOOKUP($N29,'Pivot equal'!C:D,2,0)</f>
        <v>35492363841.889999</v>
      </c>
      <c r="Q29" s="17">
        <f>VLOOKUP(N29,'Pivot equal'!G:H,2,0)</f>
        <v>29184629174.119999</v>
      </c>
      <c r="R29" s="17">
        <f>VLOOKUP(N29,'Pivot equal'!K:L,2,0)</f>
        <v>15486832649.959999</v>
      </c>
      <c r="S29" s="43">
        <f>VLOOKUP(N29,CurrentMtgRatesDataTable9[],2,0)</f>
        <v>967290699</v>
      </c>
      <c r="T29" s="43">
        <f>VLOOKUP(N29,CurrentMtgRatesDataTable93[],2,0)</f>
        <v>16273944179.76</v>
      </c>
      <c r="U29" s="44">
        <f>CurrentMtgRatesDataTable8[[#This Row],[Top 10 Amount]]/CurrentMtgRatesDataTable8[[#This Row],[TotalBalance]]</f>
        <v>0.5333828824268575</v>
      </c>
      <c r="V29" s="44">
        <f>CurrentMtgRatesDataTable8[[#This Row],[Top 5 Amount]]/CurrentMtgRatesDataTable8[[#This Row],[TotalBalance]]</f>
        <v>0.43858959918241808</v>
      </c>
      <c r="W29" s="44">
        <f>CurrentMtgRatesDataTable8[[#This Row],[Top 1 Amount]]/CurrentMtgRatesDataTable8[[#This Row],[TotalBalance]]</f>
        <v>0.23273770874479344</v>
      </c>
      <c r="X29" s="44">
        <f>CurrentMtgRatesDataTable8[[#This Row],[N/A Amount]]/CurrentMtgRatesDataTable8[[#This Row],[TotalBalance]]</f>
        <v>0.24456650150783363</v>
      </c>
    </row>
    <row r="30" spans="2:24">
      <c r="B30" s="37">
        <v>39142</v>
      </c>
      <c r="C30" s="16">
        <v>1580728720</v>
      </c>
      <c r="D30" s="16" t="s">
        <v>34</v>
      </c>
      <c r="E30" s="16">
        <v>7</v>
      </c>
      <c r="H30" s="37">
        <v>41395</v>
      </c>
      <c r="I30" s="16">
        <v>1288259374</v>
      </c>
      <c r="K30" s="37">
        <v>41395</v>
      </c>
      <c r="L30" s="16">
        <v>18085571772.66</v>
      </c>
      <c r="N30" s="37">
        <v>41395</v>
      </c>
      <c r="O30" s="16">
        <v>73509211252.020004</v>
      </c>
      <c r="P30" s="17">
        <f>VLOOKUP($N30,'Pivot equal'!C:D,2,0)</f>
        <v>38541437156.089996</v>
      </c>
      <c r="Q30" s="17">
        <f>VLOOKUP(N30,'Pivot equal'!G:H,2,0)</f>
        <v>31823204951.040001</v>
      </c>
      <c r="R30" s="17">
        <f>VLOOKUP(N30,'Pivot equal'!K:L,2,0)</f>
        <v>16565187107.59</v>
      </c>
      <c r="S30" s="43">
        <f>VLOOKUP(N30,CurrentMtgRatesDataTable9[],2,0)</f>
        <v>1288259374</v>
      </c>
      <c r="T30" s="43">
        <f>VLOOKUP(N30,CurrentMtgRatesDataTable93[],2,0)</f>
        <v>18085571772.66</v>
      </c>
      <c r="U30" s="44">
        <f>CurrentMtgRatesDataTable8[[#This Row],[Top 10 Amount]]/CurrentMtgRatesDataTable8[[#This Row],[TotalBalance]]</f>
        <v>0.52430758675880762</v>
      </c>
      <c r="V30" s="44">
        <f>CurrentMtgRatesDataTable8[[#This Row],[Top 5 Amount]]/CurrentMtgRatesDataTable8[[#This Row],[TotalBalance]]</f>
        <v>0.43291452062975999</v>
      </c>
      <c r="W30" s="44">
        <f>CurrentMtgRatesDataTable8[[#This Row],[Top 1 Amount]]/CurrentMtgRatesDataTable8[[#This Row],[TotalBalance]]</f>
        <v>0.22534845396174477</v>
      </c>
      <c r="X30" s="44">
        <f>CurrentMtgRatesDataTable8[[#This Row],[N/A Amount]]/CurrentMtgRatesDataTable8[[#This Row],[TotalBalance]]</f>
        <v>0.24603136756093291</v>
      </c>
    </row>
    <row r="31" spans="2:24">
      <c r="B31" s="37">
        <v>39142</v>
      </c>
      <c r="C31" s="16">
        <v>1390421450</v>
      </c>
      <c r="D31" s="16" t="s">
        <v>9</v>
      </c>
      <c r="E31" s="16">
        <v>8</v>
      </c>
      <c r="H31" s="37">
        <v>41365</v>
      </c>
      <c r="I31" s="16">
        <v>1534207191</v>
      </c>
      <c r="K31" s="37">
        <v>41365</v>
      </c>
      <c r="L31" s="16">
        <v>17313570300.029999</v>
      </c>
      <c r="N31" s="37">
        <v>41365</v>
      </c>
      <c r="O31" s="16">
        <v>73548428684.190002</v>
      </c>
      <c r="P31" s="17">
        <f>VLOOKUP($N31,'Pivot equal'!C:D,2,0)</f>
        <v>37376512403.469994</v>
      </c>
      <c r="Q31" s="17">
        <f>VLOOKUP(N31,'Pivot equal'!G:H,2,0)</f>
        <v>29789895298.389999</v>
      </c>
      <c r="R31" s="17">
        <f>VLOOKUP(N31,'Pivot equal'!K:L,2,0)</f>
        <v>10983062364.98</v>
      </c>
      <c r="S31" s="43">
        <f>VLOOKUP(N31,CurrentMtgRatesDataTable9[],2,0)</f>
        <v>1534207191</v>
      </c>
      <c r="T31" s="43">
        <f>VLOOKUP(N31,CurrentMtgRatesDataTable93[],2,0)</f>
        <v>17313570300.029999</v>
      </c>
      <c r="U31" s="44">
        <f>CurrentMtgRatesDataTable8[[#This Row],[Top 10 Amount]]/CurrentMtgRatesDataTable8[[#This Row],[TotalBalance]]</f>
        <v>0.50818913567767987</v>
      </c>
      <c r="V31" s="44">
        <f>CurrentMtgRatesDataTable8[[#This Row],[Top 5 Amount]]/CurrentMtgRatesDataTable8[[#This Row],[TotalBalance]]</f>
        <v>0.40503782108391456</v>
      </c>
      <c r="W31" s="44">
        <f>CurrentMtgRatesDataTable8[[#This Row],[Top 1 Amount]]/CurrentMtgRatesDataTable8[[#This Row],[TotalBalance]]</f>
        <v>0.14933102666462436</v>
      </c>
      <c r="X31" s="44">
        <f>CurrentMtgRatesDataTable8[[#This Row],[N/A Amount]]/CurrentMtgRatesDataTable8[[#This Row],[TotalBalance]]</f>
        <v>0.23540367360359027</v>
      </c>
    </row>
    <row r="32" spans="2:24">
      <c r="B32" s="37">
        <v>39142</v>
      </c>
      <c r="C32" s="16">
        <v>1178120322</v>
      </c>
      <c r="D32" s="16" t="s">
        <v>21</v>
      </c>
      <c r="E32" s="16">
        <v>9</v>
      </c>
      <c r="H32" s="37">
        <v>41334</v>
      </c>
      <c r="I32" s="16">
        <v>873595500</v>
      </c>
      <c r="K32" s="37">
        <v>41334</v>
      </c>
      <c r="L32" s="16">
        <v>17101890565.92</v>
      </c>
      <c r="N32" s="37">
        <v>41334</v>
      </c>
      <c r="O32" s="16">
        <v>66573031434.919998</v>
      </c>
      <c r="P32" s="17">
        <f>VLOOKUP($N32,'Pivot equal'!C:D,2,0)</f>
        <v>32588531726.600002</v>
      </c>
      <c r="Q32" s="17">
        <f>VLOOKUP(N32,'Pivot equal'!G:H,2,0)</f>
        <v>26611199048.840004</v>
      </c>
      <c r="R32" s="17">
        <f>VLOOKUP(N32,'Pivot equal'!K:L,2,0)</f>
        <v>10298222135.870001</v>
      </c>
      <c r="S32" s="43">
        <f>VLOOKUP(N32,CurrentMtgRatesDataTable9[],2,0)</f>
        <v>873595500</v>
      </c>
      <c r="T32" s="43">
        <f>VLOOKUP(N32,CurrentMtgRatesDataTable93[],2,0)</f>
        <v>17101890565.92</v>
      </c>
      <c r="U32" s="44">
        <f>CurrentMtgRatesDataTable8[[#This Row],[Top 10 Amount]]/CurrentMtgRatesDataTable8[[#This Row],[TotalBalance]]</f>
        <v>0.48951551437848634</v>
      </c>
      <c r="V32" s="44">
        <f>CurrentMtgRatesDataTable8[[#This Row],[Top 5 Amount]]/CurrentMtgRatesDataTable8[[#This Row],[TotalBalance]]</f>
        <v>0.39972941708166609</v>
      </c>
      <c r="W32" s="44">
        <f>CurrentMtgRatesDataTable8[[#This Row],[Top 1 Amount]]/CurrentMtgRatesDataTable8[[#This Row],[TotalBalance]]</f>
        <v>0.15469059938989357</v>
      </c>
      <c r="X32" s="44">
        <f>CurrentMtgRatesDataTable8[[#This Row],[N/A Amount]]/CurrentMtgRatesDataTable8[[#This Row],[TotalBalance]]</f>
        <v>0.25688916663857114</v>
      </c>
    </row>
    <row r="33" spans="2:24">
      <c r="B33" s="37">
        <v>39142</v>
      </c>
      <c r="C33" s="16">
        <v>842320272.16999996</v>
      </c>
      <c r="D33" s="16" t="s">
        <v>17</v>
      </c>
      <c r="E33" s="16">
        <v>10</v>
      </c>
      <c r="H33" s="37">
        <v>41306</v>
      </c>
      <c r="I33" s="16">
        <v>1475078768</v>
      </c>
      <c r="K33" s="37">
        <v>41306</v>
      </c>
      <c r="L33" s="16">
        <v>16529578836.889999</v>
      </c>
      <c r="N33" s="37">
        <v>41306</v>
      </c>
      <c r="O33" s="16">
        <v>77430427923.440002</v>
      </c>
      <c r="P33" s="17">
        <f>VLOOKUP($N33,'Pivot equal'!C:D,2,0)</f>
        <v>40621858362.690002</v>
      </c>
      <c r="Q33" s="17">
        <f>VLOOKUP(N33,'Pivot equal'!G:H,2,0)</f>
        <v>32295164207.330002</v>
      </c>
      <c r="R33" s="17">
        <f>VLOOKUP(N33,'Pivot equal'!K:L,2,0)</f>
        <v>12090154945.85</v>
      </c>
      <c r="S33" s="43">
        <f>VLOOKUP(N33,CurrentMtgRatesDataTable9[],2,0)</f>
        <v>1475078768</v>
      </c>
      <c r="T33" s="43">
        <f>VLOOKUP(N33,CurrentMtgRatesDataTable93[],2,0)</f>
        <v>16529578836.889999</v>
      </c>
      <c r="U33" s="44">
        <f>CurrentMtgRatesDataTable8[[#This Row],[Top 10 Amount]]/CurrentMtgRatesDataTable8[[#This Row],[TotalBalance]]</f>
        <v>0.52462396827840363</v>
      </c>
      <c r="V33" s="44">
        <f>CurrentMtgRatesDataTable8[[#This Row],[Top 5 Amount]]/CurrentMtgRatesDataTable8[[#This Row],[TotalBalance]]</f>
        <v>0.41708621627743192</v>
      </c>
      <c r="W33" s="44">
        <f>CurrentMtgRatesDataTable8[[#This Row],[Top 1 Amount]]/CurrentMtgRatesDataTable8[[#This Row],[TotalBalance]]</f>
        <v>0.15614216878414058</v>
      </c>
      <c r="X33" s="44">
        <f>CurrentMtgRatesDataTable8[[#This Row],[N/A Amount]]/CurrentMtgRatesDataTable8[[#This Row],[TotalBalance]]</f>
        <v>0.21347652699574077</v>
      </c>
    </row>
    <row r="34" spans="2:24">
      <c r="B34" s="37">
        <v>39173</v>
      </c>
      <c r="C34" s="16">
        <v>8435795278.75</v>
      </c>
      <c r="D34" s="16" t="s">
        <v>6</v>
      </c>
      <c r="E34" s="16">
        <v>1</v>
      </c>
      <c r="H34" s="37">
        <v>41275</v>
      </c>
      <c r="I34" s="16">
        <v>1327173549</v>
      </c>
      <c r="K34" s="37">
        <v>41275</v>
      </c>
      <c r="L34" s="16">
        <v>21485028132.099998</v>
      </c>
      <c r="N34" s="37">
        <v>41275</v>
      </c>
      <c r="O34" s="16">
        <v>85482757320.820007</v>
      </c>
      <c r="P34" s="17">
        <f>VLOOKUP($N34,'Pivot equal'!C:D,2,0)</f>
        <v>41056601881.519997</v>
      </c>
      <c r="Q34" s="17">
        <f>VLOOKUP(N34,'Pivot equal'!G:H,2,0)</f>
        <v>32173182892.220001</v>
      </c>
      <c r="R34" s="17">
        <f>VLOOKUP(N34,'Pivot equal'!K:L,2,0)</f>
        <v>12960800578.620001</v>
      </c>
      <c r="S34" s="43">
        <f>VLOOKUP(N34,CurrentMtgRatesDataTable9[],2,0)</f>
        <v>1327173549</v>
      </c>
      <c r="T34" s="43">
        <f>VLOOKUP(N34,CurrentMtgRatesDataTable93[],2,0)</f>
        <v>21485028132.099998</v>
      </c>
      <c r="U34" s="44">
        <f>CurrentMtgRatesDataTable8[[#This Row],[Top 10 Amount]]/CurrentMtgRatesDataTable8[[#This Row],[TotalBalance]]</f>
        <v>0.48029103375120463</v>
      </c>
      <c r="V34" s="44">
        <f>CurrentMtgRatesDataTable8[[#This Row],[Top 5 Amount]]/CurrentMtgRatesDataTable8[[#This Row],[TotalBalance]]</f>
        <v>0.37637043891170746</v>
      </c>
      <c r="W34" s="44">
        <f>CurrentMtgRatesDataTable8[[#This Row],[Top 1 Amount]]/CurrentMtgRatesDataTable8[[#This Row],[TotalBalance]]</f>
        <v>0.15161888765447315</v>
      </c>
      <c r="X34" s="44">
        <f>CurrentMtgRatesDataTable8[[#This Row],[N/A Amount]]/CurrentMtgRatesDataTable8[[#This Row],[TotalBalance]]</f>
        <v>0.25133756567381044</v>
      </c>
    </row>
    <row r="35" spans="2:24">
      <c r="B35" s="37">
        <v>39173</v>
      </c>
      <c r="C35" s="16">
        <v>8059609431.75</v>
      </c>
      <c r="D35" s="16" t="s">
        <v>7</v>
      </c>
      <c r="E35" s="16">
        <v>2</v>
      </c>
      <c r="H35" s="37">
        <v>41244</v>
      </c>
      <c r="I35" s="16">
        <v>882436640</v>
      </c>
      <c r="K35" s="37">
        <v>41244</v>
      </c>
      <c r="L35" s="16">
        <v>19867296101.330002</v>
      </c>
      <c r="N35" s="37">
        <v>41244</v>
      </c>
      <c r="O35" s="16">
        <v>66763638723.230003</v>
      </c>
      <c r="P35" s="17">
        <f>VLOOKUP($N35,'Pivot equal'!C:D,2,0)</f>
        <v>28819231552.900002</v>
      </c>
      <c r="Q35" s="17">
        <f>VLOOKUP(N35,'Pivot equal'!G:H,2,0)</f>
        <v>22657026327.110001</v>
      </c>
      <c r="R35" s="17">
        <f>VLOOKUP(N35,'Pivot equal'!K:L,2,0)</f>
        <v>5990993955.3400002</v>
      </c>
      <c r="S35" s="43">
        <f>VLOOKUP(N35,CurrentMtgRatesDataTable9[],2,0)</f>
        <v>882436640</v>
      </c>
      <c r="T35" s="43">
        <f>VLOOKUP(N35,CurrentMtgRatesDataTable93[],2,0)</f>
        <v>19867296101.330002</v>
      </c>
      <c r="U35" s="44">
        <f>CurrentMtgRatesDataTable8[[#This Row],[Top 10 Amount]]/CurrentMtgRatesDataTable8[[#This Row],[TotalBalance]]</f>
        <v>0.4316605880690641</v>
      </c>
      <c r="V35" s="44">
        <f>CurrentMtgRatesDataTable8[[#This Row],[Top 5 Amount]]/CurrentMtgRatesDataTable8[[#This Row],[TotalBalance]]</f>
        <v>0.33936176578144811</v>
      </c>
      <c r="W35" s="44">
        <f>CurrentMtgRatesDataTable8[[#This Row],[Top 1 Amount]]/CurrentMtgRatesDataTable8[[#This Row],[TotalBalance]]</f>
        <v>8.9734383414537738E-2</v>
      </c>
      <c r="X35" s="44">
        <f>CurrentMtgRatesDataTable8[[#This Row],[N/A Amount]]/CurrentMtgRatesDataTable8[[#This Row],[TotalBalance]]</f>
        <v>0.29757659230783201</v>
      </c>
    </row>
    <row r="36" spans="2:24">
      <c r="B36" s="37">
        <v>39173</v>
      </c>
      <c r="C36" s="16">
        <v>3218432922.27</v>
      </c>
      <c r="D36" s="16" t="s">
        <v>4</v>
      </c>
      <c r="E36" s="16">
        <v>3</v>
      </c>
      <c r="H36" s="37">
        <v>41214</v>
      </c>
      <c r="I36" s="16">
        <v>1786397242</v>
      </c>
      <c r="K36" s="37">
        <v>41214</v>
      </c>
      <c r="L36" s="16">
        <v>31430630591.73</v>
      </c>
      <c r="N36" s="37">
        <v>41214</v>
      </c>
      <c r="O36" s="16">
        <v>107252324964.50999</v>
      </c>
      <c r="P36" s="17">
        <f>VLOOKUP($N36,'Pivot equal'!C:D,2,0)</f>
        <v>48700322876.149994</v>
      </c>
      <c r="Q36" s="17">
        <f>VLOOKUP(N36,'Pivot equal'!G:H,2,0)</f>
        <v>38620874033.32</v>
      </c>
      <c r="R36" s="17">
        <f>VLOOKUP(N36,'Pivot equal'!K:L,2,0)</f>
        <v>18702888793.82</v>
      </c>
      <c r="S36" s="43">
        <f>VLOOKUP(N36,CurrentMtgRatesDataTable9[],2,0)</f>
        <v>1786397242</v>
      </c>
      <c r="T36" s="43">
        <f>VLOOKUP(N36,CurrentMtgRatesDataTable93[],2,0)</f>
        <v>31430630591.73</v>
      </c>
      <c r="U36" s="44">
        <f>CurrentMtgRatesDataTable8[[#This Row],[Top 10 Amount]]/CurrentMtgRatesDataTable8[[#This Row],[TotalBalance]]</f>
        <v>0.45407242120173175</v>
      </c>
      <c r="V36" s="44">
        <f>CurrentMtgRatesDataTable8[[#This Row],[Top 5 Amount]]/CurrentMtgRatesDataTable8[[#This Row],[TotalBalance]]</f>
        <v>0.3600935834826865</v>
      </c>
      <c r="W36" s="44">
        <f>CurrentMtgRatesDataTable8[[#This Row],[Top 1 Amount]]/CurrentMtgRatesDataTable8[[#This Row],[TotalBalance]]</f>
        <v>0.17438212924529908</v>
      </c>
      <c r="X36" s="44">
        <f>CurrentMtgRatesDataTable8[[#This Row],[N/A Amount]]/CurrentMtgRatesDataTable8[[#This Row],[TotalBalance]]</f>
        <v>0.29305313989352172</v>
      </c>
    </row>
    <row r="37" spans="2:24">
      <c r="B37" s="37">
        <v>39173</v>
      </c>
      <c r="C37" s="16">
        <v>2904342886.1500001</v>
      </c>
      <c r="D37" s="16" t="s">
        <v>13</v>
      </c>
      <c r="E37" s="16">
        <v>4</v>
      </c>
      <c r="H37" s="37">
        <v>41183</v>
      </c>
      <c r="I37" s="16">
        <v>1649348778</v>
      </c>
      <c r="K37" s="37">
        <v>41183</v>
      </c>
      <c r="L37" s="16">
        <v>10456958852.59</v>
      </c>
      <c r="N37" s="37">
        <v>41183</v>
      </c>
      <c r="O37" s="16">
        <v>61818801001.650002</v>
      </c>
      <c r="P37" s="17">
        <f>VLOOKUP($N37,'Pivot equal'!C:D,2,0)</f>
        <v>34976078939.440002</v>
      </c>
      <c r="Q37" s="17">
        <f>VLOOKUP(N37,'Pivot equal'!G:H,2,0)</f>
        <v>27466963094.949997</v>
      </c>
      <c r="R37" s="17">
        <f>VLOOKUP(N37,'Pivot equal'!K:L,2,0)</f>
        <v>13583725455.1</v>
      </c>
      <c r="S37" s="43">
        <f>VLOOKUP(N37,CurrentMtgRatesDataTable9[],2,0)</f>
        <v>1649348778</v>
      </c>
      <c r="T37" s="43">
        <f>VLOOKUP(N37,CurrentMtgRatesDataTable93[],2,0)</f>
        <v>10456958852.59</v>
      </c>
      <c r="U37" s="44">
        <f>CurrentMtgRatesDataTable8[[#This Row],[Top 10 Amount]]/CurrentMtgRatesDataTable8[[#This Row],[TotalBalance]]</f>
        <v>0.56578384524970737</v>
      </c>
      <c r="V37" s="44">
        <f>CurrentMtgRatesDataTable8[[#This Row],[Top 5 Amount]]/CurrentMtgRatesDataTable8[[#This Row],[TotalBalance]]</f>
        <v>0.44431407031360698</v>
      </c>
      <c r="W37" s="44">
        <f>CurrentMtgRatesDataTable8[[#This Row],[Top 1 Amount]]/CurrentMtgRatesDataTable8[[#This Row],[TotalBalance]]</f>
        <v>0.21973453439735005</v>
      </c>
      <c r="X37" s="44">
        <f>CurrentMtgRatesDataTable8[[#This Row],[N/A Amount]]/CurrentMtgRatesDataTable8[[#This Row],[TotalBalance]]</f>
        <v>0.1691549930305328</v>
      </c>
    </row>
    <row r="38" spans="2:24">
      <c r="B38" s="37">
        <v>39173</v>
      </c>
      <c r="C38" s="16">
        <v>2719459776.3200002</v>
      </c>
      <c r="D38" s="16" t="s">
        <v>11</v>
      </c>
      <c r="E38" s="16">
        <v>5</v>
      </c>
      <c r="H38" s="37">
        <v>41153</v>
      </c>
      <c r="I38" s="16">
        <v>842537107</v>
      </c>
      <c r="K38" s="37">
        <v>41153</v>
      </c>
      <c r="L38" s="16">
        <v>19205488149.990002</v>
      </c>
      <c r="N38" s="37">
        <v>41153</v>
      </c>
      <c r="O38" s="16">
        <v>84049356738.059998</v>
      </c>
      <c r="P38" s="17">
        <f>VLOOKUP($N38,'Pivot equal'!C:D,2,0)</f>
        <v>45617387707.220009</v>
      </c>
      <c r="Q38" s="17">
        <f>VLOOKUP(N38,'Pivot equal'!G:H,2,0)</f>
        <v>37833922333.900002</v>
      </c>
      <c r="R38" s="17">
        <f>VLOOKUP(N38,'Pivot equal'!K:L,2,0)</f>
        <v>16358817450.4</v>
      </c>
      <c r="S38" s="43">
        <f>VLOOKUP(N38,CurrentMtgRatesDataTable9[],2,0)</f>
        <v>842537107</v>
      </c>
      <c r="T38" s="43">
        <f>VLOOKUP(N38,CurrentMtgRatesDataTable93[],2,0)</f>
        <v>19205488149.990002</v>
      </c>
      <c r="U38" s="44">
        <f>CurrentMtgRatesDataTable8[[#This Row],[Top 10 Amount]]/CurrentMtgRatesDataTable8[[#This Row],[TotalBalance]]</f>
        <v>0.542745233010964</v>
      </c>
      <c r="V38" s="44">
        <f>CurrentMtgRatesDataTable8[[#This Row],[Top 5 Amount]]/CurrentMtgRatesDataTable8[[#This Row],[TotalBalance]]</f>
        <v>0.4501393443356087</v>
      </c>
      <c r="W38" s="44">
        <f>CurrentMtgRatesDataTable8[[#This Row],[Top 1 Amount]]/CurrentMtgRatesDataTable8[[#This Row],[TotalBalance]]</f>
        <v>0.1946334640178424</v>
      </c>
      <c r="X38" s="44">
        <f>CurrentMtgRatesDataTable8[[#This Row],[N/A Amount]]/CurrentMtgRatesDataTable8[[#This Row],[TotalBalance]]</f>
        <v>0.22850250014219559</v>
      </c>
    </row>
    <row r="39" spans="2:24">
      <c r="B39" s="37">
        <v>39173</v>
      </c>
      <c r="C39" s="16">
        <v>1716124604.6500001</v>
      </c>
      <c r="D39" s="16" t="s">
        <v>34</v>
      </c>
      <c r="E39" s="16">
        <v>6</v>
      </c>
      <c r="H39" s="37">
        <v>41122</v>
      </c>
      <c r="I39" s="16">
        <v>1821001924</v>
      </c>
      <c r="K39" s="37">
        <v>41122</v>
      </c>
      <c r="L39" s="16">
        <v>18219129188.400002</v>
      </c>
      <c r="N39" s="37">
        <v>41122</v>
      </c>
      <c r="O39" s="16">
        <v>80246484071.139999</v>
      </c>
      <c r="P39" s="17">
        <f>VLOOKUP($N39,'Pivot equal'!C:D,2,0)</f>
        <v>42521773617.960007</v>
      </c>
      <c r="Q39" s="17">
        <f>VLOOKUP(N39,'Pivot equal'!G:H,2,0)</f>
        <v>34907658402.759995</v>
      </c>
      <c r="R39" s="17">
        <f>VLOOKUP(N39,'Pivot equal'!K:L,2,0)</f>
        <v>15782096596.040001</v>
      </c>
      <c r="S39" s="43">
        <f>VLOOKUP(N39,CurrentMtgRatesDataTable9[],2,0)</f>
        <v>1821001924</v>
      </c>
      <c r="T39" s="43">
        <f>VLOOKUP(N39,CurrentMtgRatesDataTable93[],2,0)</f>
        <v>18219129188.400002</v>
      </c>
      <c r="U39" s="44">
        <f>CurrentMtgRatesDataTable8[[#This Row],[Top 10 Amount]]/CurrentMtgRatesDataTable8[[#This Row],[TotalBalance]]</f>
        <v>0.52988955354434797</v>
      </c>
      <c r="V39" s="44">
        <f>CurrentMtgRatesDataTable8[[#This Row],[Top 5 Amount]]/CurrentMtgRatesDataTable8[[#This Row],[TotalBalance]]</f>
        <v>0.43500545608719388</v>
      </c>
      <c r="W39" s="44">
        <f>CurrentMtgRatesDataTable8[[#This Row],[Top 1 Amount]]/CurrentMtgRatesDataTable8[[#This Row],[TotalBalance]]</f>
        <v>0.19667025638218466</v>
      </c>
      <c r="X39" s="44">
        <f>CurrentMtgRatesDataTable8[[#This Row],[N/A Amount]]/CurrentMtgRatesDataTable8[[#This Row],[TotalBalance]]</f>
        <v>0.227039594311053</v>
      </c>
    </row>
    <row r="40" spans="2:24">
      <c r="B40" s="37">
        <v>39173</v>
      </c>
      <c r="C40" s="16">
        <v>1447162932</v>
      </c>
      <c r="D40" s="16" t="s">
        <v>9</v>
      </c>
      <c r="E40" s="16">
        <v>7</v>
      </c>
      <c r="H40" s="37">
        <v>41091</v>
      </c>
      <c r="I40" s="16">
        <v>1485398807</v>
      </c>
      <c r="K40" s="37">
        <v>41091</v>
      </c>
      <c r="L40" s="16">
        <v>15816521734.01</v>
      </c>
      <c r="N40" s="37">
        <v>41091</v>
      </c>
      <c r="O40" s="16">
        <v>71798949000.600006</v>
      </c>
      <c r="P40" s="17">
        <f>VLOOKUP($N40,'Pivot equal'!C:D,2,0)</f>
        <v>39258236449.550011</v>
      </c>
      <c r="Q40" s="17">
        <f>VLOOKUP(N40,'Pivot equal'!G:H,2,0)</f>
        <v>32773125487.220001</v>
      </c>
      <c r="R40" s="17">
        <f>VLOOKUP(N40,'Pivot equal'!K:L,2,0)</f>
        <v>18046078270.810001</v>
      </c>
      <c r="S40" s="43">
        <f>VLOOKUP(N40,CurrentMtgRatesDataTable9[],2,0)</f>
        <v>1485398807</v>
      </c>
      <c r="T40" s="43">
        <f>VLOOKUP(N40,CurrentMtgRatesDataTable93[],2,0)</f>
        <v>15816521734.01</v>
      </c>
      <c r="U40" s="44">
        <f>CurrentMtgRatesDataTable8[[#This Row],[Top 10 Amount]]/CurrentMtgRatesDataTable8[[#This Row],[TotalBalance]]</f>
        <v>0.54678009909618508</v>
      </c>
      <c r="V40" s="44">
        <f>CurrentMtgRatesDataTable8[[#This Row],[Top 5 Amount]]/CurrentMtgRatesDataTable8[[#This Row],[TotalBalance]]</f>
        <v>0.45645689725828892</v>
      </c>
      <c r="W40" s="44">
        <f>CurrentMtgRatesDataTable8[[#This Row],[Top 1 Amount]]/CurrentMtgRatesDataTable8[[#This Row],[TotalBalance]]</f>
        <v>0.25134181658646837</v>
      </c>
      <c r="X40" s="44">
        <f>CurrentMtgRatesDataTable8[[#This Row],[N/A Amount]]/CurrentMtgRatesDataTable8[[#This Row],[TotalBalance]]</f>
        <v>0.22028904258581591</v>
      </c>
    </row>
    <row r="41" spans="2:24">
      <c r="B41" s="37">
        <v>39173</v>
      </c>
      <c r="C41" s="16">
        <v>1297147899.78</v>
      </c>
      <c r="D41" s="16" t="s">
        <v>20</v>
      </c>
      <c r="E41" s="16">
        <v>8</v>
      </c>
      <c r="H41" s="37">
        <v>41061</v>
      </c>
      <c r="I41" s="16">
        <v>751265816</v>
      </c>
      <c r="K41" s="37">
        <v>41061</v>
      </c>
      <c r="L41" s="16">
        <v>14308208134.940001</v>
      </c>
      <c r="N41" s="37">
        <v>41061</v>
      </c>
      <c r="O41" s="16">
        <v>65107512378.209999</v>
      </c>
      <c r="P41" s="17">
        <f>VLOOKUP($N41,'Pivot equal'!C:D,2,0)</f>
        <v>34861145817.729996</v>
      </c>
      <c r="Q41" s="17">
        <f>VLOOKUP(N41,'Pivot equal'!G:H,2,0)</f>
        <v>26824272069.970001</v>
      </c>
      <c r="R41" s="17">
        <f>VLOOKUP(N41,'Pivot equal'!K:L,2,0)</f>
        <v>12662763974.040001</v>
      </c>
      <c r="S41" s="43">
        <f>VLOOKUP(N41,CurrentMtgRatesDataTable9[],2,0)</f>
        <v>751265816</v>
      </c>
      <c r="T41" s="43">
        <f>VLOOKUP(N41,CurrentMtgRatesDataTable93[],2,0)</f>
        <v>14308208134.940001</v>
      </c>
      <c r="U41" s="44">
        <f>CurrentMtgRatesDataTable8[[#This Row],[Top 10 Amount]]/CurrentMtgRatesDataTable8[[#This Row],[TotalBalance]]</f>
        <v>0.53543968344576509</v>
      </c>
      <c r="V41" s="44">
        <f>CurrentMtgRatesDataTable8[[#This Row],[Top 5 Amount]]/CurrentMtgRatesDataTable8[[#This Row],[TotalBalance]]</f>
        <v>0.41199964627964303</v>
      </c>
      <c r="W41" s="44">
        <f>CurrentMtgRatesDataTable8[[#This Row],[Top 1 Amount]]/CurrentMtgRatesDataTable8[[#This Row],[TotalBalance]]</f>
        <v>0.19449005977193409</v>
      </c>
      <c r="X41" s="44">
        <f>CurrentMtgRatesDataTable8[[#This Row],[N/A Amount]]/CurrentMtgRatesDataTable8[[#This Row],[TotalBalance]]</f>
        <v>0.21976278331482729</v>
      </c>
    </row>
    <row r="42" spans="2:24">
      <c r="B42" s="37">
        <v>39173</v>
      </c>
      <c r="C42" s="16">
        <v>907569900.02999997</v>
      </c>
      <c r="D42" s="16" t="s">
        <v>10</v>
      </c>
      <c r="E42" s="16">
        <v>9</v>
      </c>
      <c r="H42" s="37">
        <v>41030</v>
      </c>
      <c r="I42" s="16">
        <v>1810114247</v>
      </c>
      <c r="K42" s="37">
        <v>41030</v>
      </c>
      <c r="L42" s="16">
        <v>12081347035.17</v>
      </c>
      <c r="N42" s="37">
        <v>41030</v>
      </c>
      <c r="O42" s="16">
        <v>66663158668.949997</v>
      </c>
      <c r="P42" s="17">
        <f>VLOOKUP($N42,'Pivot equal'!C:D,2,0)</f>
        <v>39777125640.900002</v>
      </c>
      <c r="Q42" s="17">
        <f>VLOOKUP(N42,'Pivot equal'!G:H,2,0)</f>
        <v>33981143082.620003</v>
      </c>
      <c r="R42" s="17">
        <f>VLOOKUP(N42,'Pivot equal'!K:L,2,0)</f>
        <v>20542825807.290001</v>
      </c>
      <c r="S42" s="43">
        <f>VLOOKUP(N42,CurrentMtgRatesDataTable9[],2,0)</f>
        <v>1810114247</v>
      </c>
      <c r="T42" s="43">
        <f>VLOOKUP(N42,CurrentMtgRatesDataTable93[],2,0)</f>
        <v>12081347035.17</v>
      </c>
      <c r="U42" s="44">
        <f>CurrentMtgRatesDataTable8[[#This Row],[Top 10 Amount]]/CurrentMtgRatesDataTable8[[#This Row],[TotalBalance]]</f>
        <v>0.59668828233047966</v>
      </c>
      <c r="V42" s="44">
        <f>CurrentMtgRatesDataTable8[[#This Row],[Top 5 Amount]]/CurrentMtgRatesDataTable8[[#This Row],[TotalBalance]]</f>
        <v>0.50974396894948748</v>
      </c>
      <c r="W42" s="44">
        <f>CurrentMtgRatesDataTable8[[#This Row],[Top 1 Amount]]/CurrentMtgRatesDataTable8[[#This Row],[TotalBalance]]</f>
        <v>0.30815860240445414</v>
      </c>
      <c r="X42" s="44">
        <f>CurrentMtgRatesDataTable8[[#This Row],[N/A Amount]]/CurrentMtgRatesDataTable8[[#This Row],[TotalBalance]]</f>
        <v>0.181229741830358</v>
      </c>
    </row>
    <row r="43" spans="2:24">
      <c r="B43" s="37">
        <v>39173</v>
      </c>
      <c r="C43" s="16">
        <v>827685883</v>
      </c>
      <c r="D43" s="16" t="s">
        <v>21</v>
      </c>
      <c r="E43" s="16">
        <v>10</v>
      </c>
      <c r="H43" s="37">
        <v>41000</v>
      </c>
      <c r="I43" s="16">
        <v>2058237642</v>
      </c>
      <c r="K43" s="37">
        <v>41000</v>
      </c>
      <c r="L43" s="16">
        <v>11436377319.02</v>
      </c>
      <c r="N43" s="37">
        <v>41000</v>
      </c>
      <c r="O43" s="16">
        <v>48073485668.580002</v>
      </c>
      <c r="P43" s="17">
        <f>VLOOKUP($N43,'Pivot equal'!C:D,2,0)</f>
        <v>24204177130.650005</v>
      </c>
      <c r="Q43" s="17">
        <f>VLOOKUP(N43,'Pivot equal'!G:H,2,0)</f>
        <v>20740945194.540001</v>
      </c>
      <c r="R43" s="17">
        <f>VLOOKUP(N43,'Pivot equal'!K:L,2,0)</f>
        <v>10763728285.6</v>
      </c>
      <c r="S43" s="43">
        <f>VLOOKUP(N43,CurrentMtgRatesDataTable9[],2,0)</f>
        <v>2058237642</v>
      </c>
      <c r="T43" s="43">
        <f>VLOOKUP(N43,CurrentMtgRatesDataTable93[],2,0)</f>
        <v>11436377319.02</v>
      </c>
      <c r="U43" s="44">
        <f>CurrentMtgRatesDataTable8[[#This Row],[Top 10 Amount]]/CurrentMtgRatesDataTable8[[#This Row],[TotalBalance]]</f>
        <v>0.50348288238373851</v>
      </c>
      <c r="V43" s="44">
        <f>CurrentMtgRatesDataTable8[[#This Row],[Top 5 Amount]]/CurrentMtgRatesDataTable8[[#This Row],[TotalBalance]]</f>
        <v>0.43144250736317885</v>
      </c>
      <c r="W43" s="44">
        <f>CurrentMtgRatesDataTable8[[#This Row],[Top 1 Amount]]/CurrentMtgRatesDataTable8[[#This Row],[TotalBalance]]</f>
        <v>0.22390155687493629</v>
      </c>
      <c r="X43" s="44">
        <f>CurrentMtgRatesDataTable8[[#This Row],[N/A Amount]]/CurrentMtgRatesDataTable8[[#This Row],[TotalBalance]]</f>
        <v>0.23789365717856858</v>
      </c>
    </row>
    <row r="44" spans="2:24">
      <c r="B44" s="37">
        <v>39203</v>
      </c>
      <c r="C44" s="16">
        <v>8757031646.7099991</v>
      </c>
      <c r="D44" s="16" t="s">
        <v>6</v>
      </c>
      <c r="E44" s="16">
        <v>1</v>
      </c>
      <c r="H44" s="37">
        <v>40969</v>
      </c>
      <c r="I44" s="16">
        <v>715758973</v>
      </c>
      <c r="K44" s="37">
        <v>40969</v>
      </c>
      <c r="L44" s="16">
        <v>13232369760.059999</v>
      </c>
      <c r="N44" s="37">
        <v>40969</v>
      </c>
      <c r="O44" s="16">
        <v>86317495811.419998</v>
      </c>
      <c r="P44" s="17">
        <f>VLOOKUP($N44,'Pivot equal'!C:D,2,0)</f>
        <v>56829158720.450005</v>
      </c>
      <c r="Q44" s="17">
        <f>VLOOKUP(N44,'Pivot equal'!G:H,2,0)</f>
        <v>49399023902</v>
      </c>
      <c r="R44" s="17">
        <f>VLOOKUP(N44,'Pivot equal'!K:L,2,0)</f>
        <v>30737250033.549999</v>
      </c>
      <c r="S44" s="43">
        <f>VLOOKUP(N44,CurrentMtgRatesDataTable9[],2,0)</f>
        <v>715758973</v>
      </c>
      <c r="T44" s="43">
        <f>VLOOKUP(N44,CurrentMtgRatesDataTable93[],2,0)</f>
        <v>13232369760.059999</v>
      </c>
      <c r="U44" s="44">
        <f>CurrentMtgRatesDataTable8[[#This Row],[Top 10 Amount]]/CurrentMtgRatesDataTable8[[#This Row],[TotalBalance]]</f>
        <v>0.65837357984302625</v>
      </c>
      <c r="V44" s="44">
        <f>CurrentMtgRatesDataTable8[[#This Row],[Top 5 Amount]]/CurrentMtgRatesDataTable8[[#This Row],[TotalBalance]]</f>
        <v>0.57229445128856948</v>
      </c>
      <c r="W44" s="44">
        <f>CurrentMtgRatesDataTable8[[#This Row],[Top 1 Amount]]/CurrentMtgRatesDataTable8[[#This Row],[TotalBalance]]</f>
        <v>0.35609524748844013</v>
      </c>
      <c r="X44" s="44">
        <f>CurrentMtgRatesDataTable8[[#This Row],[N/A Amount]]/CurrentMtgRatesDataTable8[[#This Row],[TotalBalance]]</f>
        <v>0.15329881428637701</v>
      </c>
    </row>
    <row r="45" spans="2:24">
      <c r="B45" s="37">
        <v>39203</v>
      </c>
      <c r="C45" s="16">
        <v>8265482641.71</v>
      </c>
      <c r="D45" s="16" t="s">
        <v>7</v>
      </c>
      <c r="E45" s="16">
        <v>2</v>
      </c>
      <c r="H45" s="37">
        <v>40940</v>
      </c>
      <c r="I45" s="16">
        <v>2030824500</v>
      </c>
      <c r="K45" s="37">
        <v>40940</v>
      </c>
      <c r="L45" s="16">
        <v>10665615618.18</v>
      </c>
      <c r="N45" s="37">
        <v>40940</v>
      </c>
      <c r="O45" s="16">
        <v>56063681559.919998</v>
      </c>
      <c r="P45" s="17">
        <f>VLOOKUP($N45,'Pivot equal'!C:D,2,0)</f>
        <v>32906311435.989998</v>
      </c>
      <c r="Q45" s="17">
        <f>VLOOKUP(N45,'Pivot equal'!G:H,2,0)</f>
        <v>27491822121.099998</v>
      </c>
      <c r="R45" s="17">
        <f>VLOOKUP(N45,'Pivot equal'!K:L,2,0)</f>
        <v>14632091015.389999</v>
      </c>
      <c r="S45" s="43">
        <f>VLOOKUP(N45,CurrentMtgRatesDataTable9[],2,0)</f>
        <v>2030824500</v>
      </c>
      <c r="T45" s="43">
        <f>VLOOKUP(N45,CurrentMtgRatesDataTable93[],2,0)</f>
        <v>10665615618.18</v>
      </c>
      <c r="U45" s="44">
        <f>CurrentMtgRatesDataTable8[[#This Row],[Top 10 Amount]]/CurrentMtgRatesDataTable8[[#This Row],[TotalBalance]]</f>
        <v>0.58694524726886232</v>
      </c>
      <c r="V45" s="44">
        <f>CurrentMtgRatesDataTable8[[#This Row],[Top 5 Amount]]/CurrentMtgRatesDataTable8[[#This Row],[TotalBalance]]</f>
        <v>0.49036776316084707</v>
      </c>
      <c r="W45" s="44">
        <f>CurrentMtgRatesDataTable8[[#This Row],[Top 1 Amount]]/CurrentMtgRatesDataTable8[[#This Row],[TotalBalance]]</f>
        <v>0.26099054875216227</v>
      </c>
      <c r="X45" s="44">
        <f>CurrentMtgRatesDataTable8[[#This Row],[N/A Amount]]/CurrentMtgRatesDataTable8[[#This Row],[TotalBalance]]</f>
        <v>0.19024108516278501</v>
      </c>
    </row>
    <row r="46" spans="2:24">
      <c r="B46" s="37">
        <v>39203</v>
      </c>
      <c r="C46" s="16">
        <v>3833114648.75</v>
      </c>
      <c r="D46" s="16" t="s">
        <v>13</v>
      </c>
      <c r="E46" s="16">
        <v>3</v>
      </c>
      <c r="H46" s="37">
        <v>40909</v>
      </c>
      <c r="I46" s="16">
        <v>1987883207</v>
      </c>
      <c r="K46" s="37">
        <v>40909</v>
      </c>
      <c r="L46" s="16">
        <v>10782906686.82</v>
      </c>
      <c r="N46" s="37">
        <v>40909</v>
      </c>
      <c r="O46" s="16">
        <v>58331372757.360001</v>
      </c>
      <c r="P46" s="17">
        <f>VLOOKUP($N46,'Pivot equal'!C:D,2,0)</f>
        <v>34362268311.120003</v>
      </c>
      <c r="Q46" s="17">
        <f>VLOOKUP(N46,'Pivot equal'!G:H,2,0)</f>
        <v>29007806067.68</v>
      </c>
      <c r="R46" s="17">
        <f>VLOOKUP(N46,'Pivot equal'!K:L,2,0)</f>
        <v>15368979575.26</v>
      </c>
      <c r="S46" s="43">
        <f>VLOOKUP(N46,CurrentMtgRatesDataTable9[],2,0)</f>
        <v>1987883207</v>
      </c>
      <c r="T46" s="43">
        <f>VLOOKUP(N46,CurrentMtgRatesDataTable93[],2,0)</f>
        <v>10782906686.82</v>
      </c>
      <c r="U46" s="44">
        <f>CurrentMtgRatesDataTable8[[#This Row],[Top 10 Amount]]/CurrentMtgRatesDataTable8[[#This Row],[TotalBalance]]</f>
        <v>0.58908725591040234</v>
      </c>
      <c r="V46" s="44">
        <f>CurrentMtgRatesDataTable8[[#This Row],[Top 5 Amount]]/CurrentMtgRatesDataTable8[[#This Row],[TotalBalance]]</f>
        <v>0.49729338941401685</v>
      </c>
      <c r="W46" s="44">
        <f>CurrentMtgRatesDataTable8[[#This Row],[Top 1 Amount]]/CurrentMtgRatesDataTable8[[#This Row],[TotalBalance]]</f>
        <v>0.26347707672147674</v>
      </c>
      <c r="X46" s="44">
        <f>CurrentMtgRatesDataTable8[[#This Row],[N/A Amount]]/CurrentMtgRatesDataTable8[[#This Row],[TotalBalance]]</f>
        <v>0.18485604190515917</v>
      </c>
    </row>
    <row r="47" spans="2:24">
      <c r="B47" s="37">
        <v>39203</v>
      </c>
      <c r="C47" s="16">
        <v>3345271361.5599999</v>
      </c>
      <c r="D47" s="16" t="s">
        <v>11</v>
      </c>
      <c r="E47" s="16">
        <v>4</v>
      </c>
      <c r="H47" s="37">
        <v>40878</v>
      </c>
      <c r="I47" s="16">
        <v>1033984596</v>
      </c>
      <c r="K47" s="37">
        <v>40878</v>
      </c>
      <c r="L47" s="16">
        <v>11437762942.92</v>
      </c>
      <c r="N47" s="37">
        <v>40878</v>
      </c>
      <c r="O47" s="16">
        <v>73851865080.610001</v>
      </c>
      <c r="P47" s="17">
        <f>VLOOKUP($N47,'Pivot equal'!C:D,2,0)</f>
        <v>50207107917.200005</v>
      </c>
      <c r="Q47" s="17">
        <f>VLOOKUP(N47,'Pivot equal'!G:H,2,0)</f>
        <v>44194497888.770004</v>
      </c>
      <c r="R47" s="17">
        <f>VLOOKUP(N47,'Pivot equal'!K:L,2,0)</f>
        <v>23937608890.639999</v>
      </c>
      <c r="S47" s="43">
        <f>VLOOKUP(N47,CurrentMtgRatesDataTable9[],2,0)</f>
        <v>1033984596</v>
      </c>
      <c r="T47" s="43">
        <f>VLOOKUP(N47,CurrentMtgRatesDataTable93[],2,0)</f>
        <v>11437762942.92</v>
      </c>
      <c r="U47" s="44">
        <f>CurrentMtgRatesDataTable8[[#This Row],[Top 10 Amount]]/CurrentMtgRatesDataTable8[[#This Row],[TotalBalance]]</f>
        <v>0.67983534149609459</v>
      </c>
      <c r="V47" s="44">
        <f>CurrentMtgRatesDataTable8[[#This Row],[Top 5 Amount]]/CurrentMtgRatesDataTable8[[#This Row],[TotalBalance]]</f>
        <v>0.59842087725924453</v>
      </c>
      <c r="W47" s="44">
        <f>CurrentMtgRatesDataTable8[[#This Row],[Top 1 Amount]]/CurrentMtgRatesDataTable8[[#This Row],[TotalBalance]]</f>
        <v>0.32413005229471015</v>
      </c>
      <c r="X47" s="44">
        <f>CurrentMtgRatesDataTable8[[#This Row],[N/A Amount]]/CurrentMtgRatesDataTable8[[#This Row],[TotalBalance]]</f>
        <v>0.15487439525644445</v>
      </c>
    </row>
    <row r="48" spans="2:24">
      <c r="B48" s="37">
        <v>39203</v>
      </c>
      <c r="C48" s="16">
        <v>2879827673.1599998</v>
      </c>
      <c r="D48" s="16" t="s">
        <v>4</v>
      </c>
      <c r="E48" s="16">
        <v>5</v>
      </c>
      <c r="H48" s="37">
        <v>40848</v>
      </c>
      <c r="I48" s="16">
        <v>2095343206</v>
      </c>
      <c r="K48" s="37">
        <v>40848</v>
      </c>
      <c r="L48" s="16">
        <v>10874766290.690001</v>
      </c>
      <c r="N48" s="37">
        <v>40848</v>
      </c>
      <c r="O48" s="16">
        <v>62641454659.599998</v>
      </c>
      <c r="P48" s="17">
        <f>VLOOKUP($N48,'Pivot equal'!C:D,2,0)</f>
        <v>39760085391.100006</v>
      </c>
      <c r="Q48" s="17">
        <f>VLOOKUP(N48,'Pivot equal'!G:H,2,0)</f>
        <v>33459411350.709999</v>
      </c>
      <c r="R48" s="17">
        <f>VLOOKUP(N48,'Pivot equal'!K:L,2,0)</f>
        <v>14706099941.799999</v>
      </c>
      <c r="S48" s="43">
        <f>VLOOKUP(N48,CurrentMtgRatesDataTable9[],2,0)</f>
        <v>2095343206</v>
      </c>
      <c r="T48" s="43">
        <f>VLOOKUP(N48,CurrentMtgRatesDataTable93[],2,0)</f>
        <v>10874766290.690001</v>
      </c>
      <c r="U48" s="44">
        <f>CurrentMtgRatesDataTable8[[#This Row],[Top 10 Amount]]/CurrentMtgRatesDataTable8[[#This Row],[TotalBalance]]</f>
        <v>0.63472480974716072</v>
      </c>
      <c r="V48" s="44">
        <f>CurrentMtgRatesDataTable8[[#This Row],[Top 5 Amount]]/CurrentMtgRatesDataTable8[[#This Row],[TotalBalance]]</f>
        <v>0.53414167235629861</v>
      </c>
      <c r="W48" s="44">
        <f>CurrentMtgRatesDataTable8[[#This Row],[Top 1 Amount]]/CurrentMtgRatesDataTable8[[#This Row],[TotalBalance]]</f>
        <v>0.23476625856973524</v>
      </c>
      <c r="X48" s="44">
        <f>CurrentMtgRatesDataTable8[[#This Row],[N/A Amount]]/CurrentMtgRatesDataTable8[[#This Row],[TotalBalance]]</f>
        <v>0.17360334860971191</v>
      </c>
    </row>
    <row r="49" spans="2:24">
      <c r="B49" s="37">
        <v>39203</v>
      </c>
      <c r="C49" s="16">
        <v>2817963532.98</v>
      </c>
      <c r="D49" s="16" t="s">
        <v>34</v>
      </c>
      <c r="E49" s="16">
        <v>6</v>
      </c>
      <c r="H49" s="37">
        <v>40817</v>
      </c>
      <c r="I49" s="16">
        <v>2285618285</v>
      </c>
      <c r="K49" s="37">
        <v>40817</v>
      </c>
      <c r="L49" s="16">
        <v>9819343075.8999996</v>
      </c>
      <c r="N49" s="37">
        <v>40817</v>
      </c>
      <c r="O49" s="16">
        <v>51265734201.440002</v>
      </c>
      <c r="P49" s="17">
        <f>VLOOKUP($N49,'Pivot equal'!C:D,2,0)</f>
        <v>30996359405.019997</v>
      </c>
      <c r="Q49" s="17">
        <f>VLOOKUP(N49,'Pivot equal'!G:H,2,0)</f>
        <v>24699811825.130001</v>
      </c>
      <c r="R49" s="17">
        <f>VLOOKUP(N49,'Pivot equal'!K:L,2,0)</f>
        <v>11864275980.860001</v>
      </c>
      <c r="S49" s="43">
        <f>VLOOKUP(N49,CurrentMtgRatesDataTable9[],2,0)</f>
        <v>2285618285</v>
      </c>
      <c r="T49" s="43">
        <f>VLOOKUP(N49,CurrentMtgRatesDataTable93[],2,0)</f>
        <v>9819343075.8999996</v>
      </c>
      <c r="U49" s="44">
        <f>CurrentMtgRatesDataTable8[[#This Row],[Top 10 Amount]]/CurrentMtgRatesDataTable8[[#This Row],[TotalBalance]]</f>
        <v>0.60462138868869142</v>
      </c>
      <c r="V49" s="44">
        <f>CurrentMtgRatesDataTable8[[#This Row],[Top 5 Amount]]/CurrentMtgRatesDataTable8[[#This Row],[TotalBalance]]</f>
        <v>0.48179963107670093</v>
      </c>
      <c r="W49" s="44">
        <f>CurrentMtgRatesDataTable8[[#This Row],[Top 1 Amount]]/CurrentMtgRatesDataTable8[[#This Row],[TotalBalance]]</f>
        <v>0.2314270177862145</v>
      </c>
      <c r="X49" s="44">
        <f>CurrentMtgRatesDataTable8[[#This Row],[N/A Amount]]/CurrentMtgRatesDataTable8[[#This Row],[TotalBalance]]</f>
        <v>0.19153813417197066</v>
      </c>
    </row>
    <row r="50" spans="2:24">
      <c r="B50" s="37">
        <v>39203</v>
      </c>
      <c r="C50" s="16">
        <v>2391529898.25</v>
      </c>
      <c r="D50" s="16" t="s">
        <v>20</v>
      </c>
      <c r="E50" s="16">
        <v>7</v>
      </c>
      <c r="H50" s="37">
        <v>40787</v>
      </c>
      <c r="I50" s="16">
        <v>876898783</v>
      </c>
      <c r="K50" s="37">
        <v>40787</v>
      </c>
      <c r="L50" s="16">
        <v>6015934193.9200001</v>
      </c>
      <c r="N50" s="37">
        <v>40787</v>
      </c>
      <c r="O50" s="16">
        <v>45345536322.599998</v>
      </c>
      <c r="P50" s="17">
        <f>VLOOKUP($N50,'Pivot equal'!C:D,2,0)</f>
        <v>31978531591.070004</v>
      </c>
      <c r="Q50" s="17">
        <f>VLOOKUP(N50,'Pivot equal'!G:H,2,0)</f>
        <v>27361561800.900002</v>
      </c>
      <c r="R50" s="17">
        <f>VLOOKUP(N50,'Pivot equal'!K:L,2,0)</f>
        <v>9862037476.5100002</v>
      </c>
      <c r="S50" s="43">
        <f>VLOOKUP(N50,CurrentMtgRatesDataTable9[],2,0)</f>
        <v>876898783</v>
      </c>
      <c r="T50" s="43">
        <f>VLOOKUP(N50,CurrentMtgRatesDataTable93[],2,0)</f>
        <v>6015934193.9200001</v>
      </c>
      <c r="U50" s="44">
        <f>CurrentMtgRatesDataTable8[[#This Row],[Top 10 Amount]]/CurrentMtgRatesDataTable8[[#This Row],[TotalBalance]]</f>
        <v>0.70521895173025129</v>
      </c>
      <c r="V50" s="44">
        <f>CurrentMtgRatesDataTable8[[#This Row],[Top 5 Amount]]/CurrentMtgRatesDataTable8[[#This Row],[TotalBalance]]</f>
        <v>0.60340143749194408</v>
      </c>
      <c r="W50" s="44">
        <f>CurrentMtgRatesDataTable8[[#This Row],[Top 1 Amount]]/CurrentMtgRatesDataTable8[[#This Row],[TotalBalance]]</f>
        <v>0.21748640056540269</v>
      </c>
      <c r="X50" s="44">
        <f>CurrentMtgRatesDataTable8[[#This Row],[N/A Amount]]/CurrentMtgRatesDataTable8[[#This Row],[TotalBalance]]</f>
        <v>0.13266871850673617</v>
      </c>
    </row>
    <row r="51" spans="2:24">
      <c r="B51" s="37">
        <v>39203</v>
      </c>
      <c r="C51" s="17">
        <v>1500398960</v>
      </c>
      <c r="D51" s="17" t="s">
        <v>35</v>
      </c>
      <c r="E51" s="17">
        <v>8</v>
      </c>
      <c r="H51" s="37">
        <v>40756</v>
      </c>
      <c r="I51" s="17">
        <v>1994047984</v>
      </c>
      <c r="K51" s="37">
        <v>40756</v>
      </c>
      <c r="L51" s="17">
        <v>4799907967.0299997</v>
      </c>
      <c r="N51" s="37">
        <v>40756</v>
      </c>
      <c r="O51" s="17">
        <v>38171516998.550003</v>
      </c>
      <c r="P51" s="17">
        <f>VLOOKUP($N51,'Pivot equal'!C:D,2,0)</f>
        <v>26643806156.700001</v>
      </c>
      <c r="Q51" s="17">
        <f>VLOOKUP(N51,'Pivot equal'!G:H,2,0)</f>
        <v>22450886954</v>
      </c>
      <c r="R51" s="17">
        <f>VLOOKUP(N51,'Pivot equal'!K:L,2,0)</f>
        <v>8975675585.0300007</v>
      </c>
      <c r="S51" s="43">
        <f>VLOOKUP(N51,CurrentMtgRatesDataTable9[],2,0)</f>
        <v>1994047984</v>
      </c>
      <c r="T51" s="43">
        <f>VLOOKUP(N51,CurrentMtgRatesDataTable93[],2,0)</f>
        <v>4799907967.0299997</v>
      </c>
      <c r="U51" s="44">
        <f>CurrentMtgRatesDataTable8[[#This Row],[Top 10 Amount]]/CurrentMtgRatesDataTable8[[#This Row],[TotalBalance]]</f>
        <v>0.69800228682847743</v>
      </c>
      <c r="V51" s="44">
        <f>CurrentMtgRatesDataTable8[[#This Row],[Top 5 Amount]]/CurrentMtgRatesDataTable8[[#This Row],[TotalBalance]]</f>
        <v>0.58815810110069311</v>
      </c>
      <c r="W51" s="44">
        <f>CurrentMtgRatesDataTable8[[#This Row],[Top 1 Amount]]/CurrentMtgRatesDataTable8[[#This Row],[TotalBalance]]</f>
        <v>0.23514065698177397</v>
      </c>
      <c r="X51" s="44">
        <f>CurrentMtgRatesDataTable8[[#This Row],[N/A Amount]]/CurrentMtgRatesDataTable8[[#This Row],[TotalBalance]]</f>
        <v>0.12574580065058275</v>
      </c>
    </row>
    <row r="52" spans="2:24">
      <c r="B52" s="37">
        <v>39203</v>
      </c>
      <c r="C52" s="17">
        <v>1299005761.8</v>
      </c>
      <c r="D52" s="17" t="s">
        <v>10</v>
      </c>
      <c r="E52" s="17">
        <v>9</v>
      </c>
      <c r="H52" s="37">
        <v>40725</v>
      </c>
      <c r="I52" s="17">
        <v>2279698435</v>
      </c>
      <c r="K52" s="37">
        <v>40725</v>
      </c>
      <c r="L52" s="17">
        <v>3822528101.79</v>
      </c>
      <c r="N52" s="37">
        <v>40725</v>
      </c>
      <c r="O52" s="17">
        <v>30621365146.98</v>
      </c>
      <c r="P52" s="17">
        <f>VLOOKUP($N52,'Pivot equal'!C:D,2,0)</f>
        <v>20071516146.039997</v>
      </c>
      <c r="Q52" s="17">
        <f>VLOOKUP(N52,'Pivot equal'!G:H,2,0)</f>
        <v>17100427033.15</v>
      </c>
      <c r="R52" s="17">
        <f>VLOOKUP(N52,'Pivot equal'!K:L,2,0)</f>
        <v>5308788048.8400002</v>
      </c>
      <c r="S52" s="43">
        <f>VLOOKUP(N52,CurrentMtgRatesDataTable9[],2,0)</f>
        <v>2279698435</v>
      </c>
      <c r="T52" s="43">
        <f>VLOOKUP(N52,CurrentMtgRatesDataTable93[],2,0)</f>
        <v>3822528101.79</v>
      </c>
      <c r="U52" s="44">
        <f>CurrentMtgRatesDataTable8[[#This Row],[Top 10 Amount]]/CurrentMtgRatesDataTable8[[#This Row],[TotalBalance]]</f>
        <v>0.65547424321869363</v>
      </c>
      <c r="V52" s="44">
        <f>CurrentMtgRatesDataTable8[[#This Row],[Top 5 Amount]]/CurrentMtgRatesDataTable8[[#This Row],[TotalBalance]]</f>
        <v>0.55844757250597343</v>
      </c>
      <c r="W52" s="44">
        <f>CurrentMtgRatesDataTable8[[#This Row],[Top 1 Amount]]/CurrentMtgRatesDataTable8[[#This Row],[TotalBalance]]</f>
        <v>0.1733687581647082</v>
      </c>
      <c r="X52" s="44">
        <f>CurrentMtgRatesDataTable8[[#This Row],[N/A Amount]]/CurrentMtgRatesDataTable8[[#This Row],[TotalBalance]]</f>
        <v>0.12483206034225397</v>
      </c>
    </row>
    <row r="53" spans="2:24">
      <c r="B53" s="37">
        <v>39203</v>
      </c>
      <c r="C53" s="17">
        <v>1228350512.52</v>
      </c>
      <c r="D53" s="17" t="s">
        <v>5</v>
      </c>
      <c r="E53" s="17">
        <v>10</v>
      </c>
      <c r="H53" s="37">
        <v>40695</v>
      </c>
      <c r="I53" s="17">
        <v>1087066702</v>
      </c>
      <c r="K53" s="37">
        <v>40695</v>
      </c>
      <c r="L53" s="17">
        <v>3706296422.1300001</v>
      </c>
      <c r="N53" s="37">
        <v>40695</v>
      </c>
      <c r="O53" s="17">
        <v>34031377587.419998</v>
      </c>
      <c r="P53" s="17">
        <f>VLOOKUP($N53,'Pivot equal'!C:D,2,0)</f>
        <v>24595603786.650002</v>
      </c>
      <c r="Q53" s="17">
        <f>VLOOKUP(N53,'Pivot equal'!G:H,2,0)</f>
        <v>21250587531.379997</v>
      </c>
      <c r="R53" s="17">
        <f>VLOOKUP(N53,'Pivot equal'!K:L,2,0)</f>
        <v>8100182361.9399996</v>
      </c>
      <c r="S53" s="43">
        <f>VLOOKUP(N53,CurrentMtgRatesDataTable9[],2,0)</f>
        <v>1087066702</v>
      </c>
      <c r="T53" s="43">
        <f>VLOOKUP(N53,CurrentMtgRatesDataTable93[],2,0)</f>
        <v>3706296422.1300001</v>
      </c>
      <c r="U53" s="44">
        <f>CurrentMtgRatesDataTable8[[#This Row],[Top 10 Amount]]/CurrentMtgRatesDataTable8[[#This Row],[TotalBalance]]</f>
        <v>0.72273312249757371</v>
      </c>
      <c r="V53" s="44">
        <f>CurrentMtgRatesDataTable8[[#This Row],[Top 5 Amount]]/CurrentMtgRatesDataTable8[[#This Row],[TotalBalance]]</f>
        <v>0.62444100233060995</v>
      </c>
      <c r="W53" s="44">
        <f>CurrentMtgRatesDataTable8[[#This Row],[Top 1 Amount]]/CurrentMtgRatesDataTable8[[#This Row],[TotalBalance]]</f>
        <v>0.23802099521631778</v>
      </c>
      <c r="X53" s="44">
        <f>CurrentMtgRatesDataTable8[[#This Row],[N/A Amount]]/CurrentMtgRatesDataTable8[[#This Row],[TotalBalance]]</f>
        <v>0.10890821015426851</v>
      </c>
    </row>
    <row r="54" spans="2:24">
      <c r="B54" s="37">
        <v>39234</v>
      </c>
      <c r="C54" s="17">
        <v>529500000</v>
      </c>
      <c r="D54" s="17" t="s">
        <v>29</v>
      </c>
      <c r="E54" s="17">
        <v>1</v>
      </c>
      <c r="H54" s="37">
        <v>40664</v>
      </c>
      <c r="I54" s="17">
        <v>2161250449</v>
      </c>
      <c r="K54" s="37">
        <v>40664</v>
      </c>
      <c r="L54" s="17">
        <v>3299942197.6599998</v>
      </c>
      <c r="N54" s="37">
        <v>40664</v>
      </c>
      <c r="O54" s="17">
        <v>30964833391.43</v>
      </c>
      <c r="P54" s="17">
        <f>VLOOKUP($N54,'Pivot equal'!C:D,2,0)</f>
        <v>20570231744.970005</v>
      </c>
      <c r="Q54" s="17">
        <f>VLOOKUP(N54,'Pivot equal'!G:H,2,0)</f>
        <v>17640079186.739998</v>
      </c>
      <c r="R54" s="17">
        <f>VLOOKUP(N54,'Pivot equal'!K:L,2,0)</f>
        <v>6796796476.5</v>
      </c>
      <c r="S54" s="43">
        <f>VLOOKUP(N54,CurrentMtgRatesDataTable9[],2,0)</f>
        <v>2161250449</v>
      </c>
      <c r="T54" s="43">
        <f>VLOOKUP(N54,CurrentMtgRatesDataTable93[],2,0)</f>
        <v>3299942197.6599998</v>
      </c>
      <c r="U54" s="44">
        <f>CurrentMtgRatesDataTable8[[#This Row],[Top 10 Amount]]/CurrentMtgRatesDataTable8[[#This Row],[TotalBalance]]</f>
        <v>0.66430945986175194</v>
      </c>
      <c r="V54" s="44">
        <f>CurrentMtgRatesDataTable8[[#This Row],[Top 5 Amount]]/CurrentMtgRatesDataTable8[[#This Row],[TotalBalance]]</f>
        <v>0.5696810625056411</v>
      </c>
      <c r="W54" s="44">
        <f>CurrentMtgRatesDataTable8[[#This Row],[Top 1 Amount]]/CurrentMtgRatesDataTable8[[#This Row],[TotalBalance]]</f>
        <v>0.21950050208831801</v>
      </c>
      <c r="X54" s="44">
        <f>CurrentMtgRatesDataTable8[[#This Row],[N/A Amount]]/CurrentMtgRatesDataTable8[[#This Row],[TotalBalance]]</f>
        <v>0.10657064276578056</v>
      </c>
    </row>
    <row r="55" spans="2:24">
      <c r="B55" s="37">
        <v>39234</v>
      </c>
      <c r="C55" s="17">
        <v>525451496</v>
      </c>
      <c r="D55" s="17" t="s">
        <v>30</v>
      </c>
      <c r="E55" s="17">
        <v>2</v>
      </c>
      <c r="H55" s="37">
        <v>40634</v>
      </c>
      <c r="I55" s="17">
        <v>2188332466</v>
      </c>
      <c r="K55" s="37">
        <v>40634</v>
      </c>
      <c r="L55" s="17">
        <v>3228781954.9899998</v>
      </c>
      <c r="N55" s="37">
        <v>40634</v>
      </c>
      <c r="O55" s="17">
        <v>33088841042.959999</v>
      </c>
      <c r="P55" s="17">
        <f>VLOOKUP($N55,'Pivot equal'!C:D,2,0)</f>
        <v>22351455715.170002</v>
      </c>
      <c r="Q55" s="17">
        <f>VLOOKUP(N55,'Pivot equal'!G:H,2,0)</f>
        <v>19178248214.91</v>
      </c>
      <c r="R55" s="17">
        <f>VLOOKUP(N55,'Pivot equal'!K:L,2,0)</f>
        <v>7444150512.3199997</v>
      </c>
      <c r="S55" s="43">
        <f>VLOOKUP(N55,CurrentMtgRatesDataTable9[],2,0)</f>
        <v>2188332466</v>
      </c>
      <c r="T55" s="43">
        <f>VLOOKUP(N55,CurrentMtgRatesDataTable93[],2,0)</f>
        <v>3228781954.9899998</v>
      </c>
      <c r="U55" s="44">
        <f>CurrentMtgRatesDataTable8[[#This Row],[Top 10 Amount]]/CurrentMtgRatesDataTable8[[#This Row],[TotalBalance]]</f>
        <v>0.67549829521531435</v>
      </c>
      <c r="V55" s="44">
        <f>CurrentMtgRatesDataTable8[[#This Row],[Top 5 Amount]]/CurrentMtgRatesDataTable8[[#This Row],[TotalBalance]]</f>
        <v>0.57959866862699849</v>
      </c>
      <c r="W55" s="44">
        <f>CurrentMtgRatesDataTable8[[#This Row],[Top 1 Amount]]/CurrentMtgRatesDataTable8[[#This Row],[TotalBalance]]</f>
        <v>0.22497465241091669</v>
      </c>
      <c r="X55" s="44">
        <f>CurrentMtgRatesDataTable8[[#This Row],[N/A Amount]]/CurrentMtgRatesDataTable8[[#This Row],[TotalBalance]]</f>
        <v>9.7579179361344151E-2</v>
      </c>
    </row>
    <row r="56" spans="2:24">
      <c r="B56" s="37">
        <v>39234</v>
      </c>
      <c r="C56" s="17">
        <v>199240159</v>
      </c>
      <c r="D56" s="17" t="s">
        <v>12</v>
      </c>
      <c r="E56" s="17">
        <v>3</v>
      </c>
      <c r="H56" s="37">
        <v>40603</v>
      </c>
      <c r="I56" s="17">
        <v>1193495971</v>
      </c>
      <c r="K56" s="37">
        <v>40603</v>
      </c>
      <c r="L56" s="17">
        <v>5797901031.5200005</v>
      </c>
      <c r="N56" s="37">
        <v>40603</v>
      </c>
      <c r="O56" s="17">
        <v>52478992160.580002</v>
      </c>
      <c r="P56" s="17">
        <f>VLOOKUP($N56,'Pivot equal'!C:D,2,0)</f>
        <v>38292325978.140007</v>
      </c>
      <c r="Q56" s="17">
        <f>VLOOKUP(N56,'Pivot equal'!G:H,2,0)</f>
        <v>33049785948.009998</v>
      </c>
      <c r="R56" s="17">
        <f>VLOOKUP(N56,'Pivot equal'!K:L,2,0)</f>
        <v>9636191150.4599991</v>
      </c>
      <c r="S56" s="43">
        <f>VLOOKUP(N56,CurrentMtgRatesDataTable9[],2,0)</f>
        <v>1193495971</v>
      </c>
      <c r="T56" s="43">
        <f>VLOOKUP(N56,CurrentMtgRatesDataTable93[],2,0)</f>
        <v>5797901031.5200005</v>
      </c>
      <c r="U56" s="44">
        <f>CurrentMtgRatesDataTable8[[#This Row],[Top 10 Amount]]/CurrentMtgRatesDataTable8[[#This Row],[TotalBalance]]</f>
        <v>0.72966961448058409</v>
      </c>
      <c r="V56" s="44">
        <f>CurrentMtgRatesDataTable8[[#This Row],[Top 5 Amount]]/CurrentMtgRatesDataTable8[[#This Row],[TotalBalance]]</f>
        <v>0.6297717350760329</v>
      </c>
      <c r="W56" s="44">
        <f>CurrentMtgRatesDataTable8[[#This Row],[Top 1 Amount]]/CurrentMtgRatesDataTable8[[#This Row],[TotalBalance]]</f>
        <v>0.18361997351195891</v>
      </c>
      <c r="X56" s="44">
        <f>CurrentMtgRatesDataTable8[[#This Row],[N/A Amount]]/CurrentMtgRatesDataTable8[[#This Row],[TotalBalance]]</f>
        <v>0.1104804187888947</v>
      </c>
    </row>
    <row r="57" spans="2:24">
      <c r="B57" s="37">
        <v>39234</v>
      </c>
      <c r="C57" s="17">
        <v>199240159</v>
      </c>
      <c r="D57" s="17" t="s">
        <v>11</v>
      </c>
      <c r="E57" s="17">
        <v>3</v>
      </c>
      <c r="H57" s="37">
        <v>40575</v>
      </c>
      <c r="I57" s="17">
        <v>2110053328</v>
      </c>
      <c r="K57" s="37">
        <v>40575</v>
      </c>
      <c r="L57" s="17">
        <v>4479674519.2200003</v>
      </c>
      <c r="N57" s="37">
        <v>40575</v>
      </c>
      <c r="O57" s="17">
        <v>51211208108.309998</v>
      </c>
      <c r="P57" s="17">
        <f>VLOOKUP($N57,'Pivot equal'!C:D,2,0)</f>
        <v>36643166088.080002</v>
      </c>
      <c r="Q57" s="17">
        <f>VLOOKUP(N57,'Pivot equal'!G:H,2,0)</f>
        <v>31432931957.27</v>
      </c>
      <c r="R57" s="17">
        <f>VLOOKUP(N57,'Pivot equal'!K:L,2,0)</f>
        <v>12839332402.040001</v>
      </c>
      <c r="S57" s="43">
        <f>VLOOKUP(N57,CurrentMtgRatesDataTable9[],2,0)</f>
        <v>2110053328</v>
      </c>
      <c r="T57" s="43">
        <f>VLOOKUP(N57,CurrentMtgRatesDataTable93[],2,0)</f>
        <v>4479674519.2200003</v>
      </c>
      <c r="U57" s="44">
        <f>CurrentMtgRatesDataTable8[[#This Row],[Top 10 Amount]]/CurrentMtgRatesDataTable8[[#This Row],[TotalBalance]]</f>
        <v>0.71553020211085294</v>
      </c>
      <c r="V57" s="44">
        <f>CurrentMtgRatesDataTable8[[#This Row],[Top 5 Amount]]/CurrentMtgRatesDataTable8[[#This Row],[TotalBalance]]</f>
        <v>0.61379008850543804</v>
      </c>
      <c r="W57" s="44">
        <f>CurrentMtgRatesDataTable8[[#This Row],[Top 1 Amount]]/CurrentMtgRatesDataTable8[[#This Row],[TotalBalance]]</f>
        <v>0.25071332773257843</v>
      </c>
      <c r="X57" s="44">
        <f>CurrentMtgRatesDataTable8[[#This Row],[N/A Amount]]/CurrentMtgRatesDataTable8[[#This Row],[TotalBalance]]</f>
        <v>8.7474494055005264E-2</v>
      </c>
    </row>
    <row r="58" spans="2:24">
      <c r="B58" s="37">
        <v>39234</v>
      </c>
      <c r="C58" s="17">
        <v>186664202</v>
      </c>
      <c r="D58" s="17" t="s">
        <v>32</v>
      </c>
      <c r="E58" s="17">
        <v>5</v>
      </c>
      <c r="H58" s="37">
        <v>40544</v>
      </c>
      <c r="I58" s="17">
        <v>2120138158</v>
      </c>
      <c r="K58" s="37">
        <v>40544</v>
      </c>
      <c r="L58" s="17">
        <v>8517864186.6400003</v>
      </c>
      <c r="N58" s="37">
        <v>40544</v>
      </c>
      <c r="O58" s="17">
        <v>66493575674.870003</v>
      </c>
      <c r="P58" s="17">
        <f>VLOOKUP($N58,'Pivot equal'!C:D,2,0)</f>
        <v>46227404593.440002</v>
      </c>
      <c r="Q58" s="17">
        <f>VLOOKUP(N58,'Pivot equal'!G:H,2,0)</f>
        <v>38924897504.110001</v>
      </c>
      <c r="R58" s="17">
        <f>VLOOKUP(N58,'Pivot equal'!K:L,2,0)</f>
        <v>15157548488.809999</v>
      </c>
      <c r="S58" s="43">
        <f>VLOOKUP(N58,CurrentMtgRatesDataTable9[],2,0)</f>
        <v>2120138158</v>
      </c>
      <c r="T58" s="43">
        <f>VLOOKUP(N58,CurrentMtgRatesDataTable93[],2,0)</f>
        <v>8517864186.6400003</v>
      </c>
      <c r="U58" s="44">
        <f>CurrentMtgRatesDataTable8[[#This Row],[Top 10 Amount]]/CurrentMtgRatesDataTable8[[#This Row],[TotalBalance]]</f>
        <v>0.69521610357481167</v>
      </c>
      <c r="V58" s="44">
        <f>CurrentMtgRatesDataTable8[[#This Row],[Top 5 Amount]]/CurrentMtgRatesDataTable8[[#This Row],[TotalBalance]]</f>
        <v>0.58539335731377928</v>
      </c>
      <c r="W58" s="44">
        <f>CurrentMtgRatesDataTable8[[#This Row],[Top 1 Amount]]/CurrentMtgRatesDataTable8[[#This Row],[TotalBalance]]</f>
        <v>0.22795508190031824</v>
      </c>
      <c r="X58" s="44">
        <f>CurrentMtgRatesDataTable8[[#This Row],[N/A Amount]]/CurrentMtgRatesDataTable8[[#This Row],[TotalBalance]]</f>
        <v>0.12810055859064243</v>
      </c>
    </row>
    <row r="59" spans="2:24">
      <c r="B59" s="37">
        <v>39234</v>
      </c>
      <c r="C59" s="17">
        <v>128010000</v>
      </c>
      <c r="D59" s="17" t="s">
        <v>33</v>
      </c>
      <c r="E59" s="17">
        <v>6</v>
      </c>
      <c r="H59" s="37">
        <v>40513</v>
      </c>
      <c r="I59" s="17">
        <v>1711261234</v>
      </c>
      <c r="K59" s="37">
        <v>40513</v>
      </c>
      <c r="L59" s="17">
        <v>11160184048.27</v>
      </c>
      <c r="N59" s="37">
        <v>40513</v>
      </c>
      <c r="O59" s="17">
        <v>81193901238.820007</v>
      </c>
      <c r="P59" s="17">
        <f>VLOOKUP($N59,'Pivot equal'!C:D,2,0)</f>
        <v>55384789442.399994</v>
      </c>
      <c r="Q59" s="17">
        <f>VLOOKUP(N59,'Pivot equal'!G:H,2,0)</f>
        <v>48267923274.330002</v>
      </c>
      <c r="R59" s="17">
        <f>VLOOKUP(N59,'Pivot equal'!K:L,2,0)</f>
        <v>14878642995.780001</v>
      </c>
      <c r="S59" s="43">
        <f>VLOOKUP(N59,CurrentMtgRatesDataTable9[],2,0)</f>
        <v>1711261234</v>
      </c>
      <c r="T59" s="43">
        <f>VLOOKUP(N59,CurrentMtgRatesDataTable93[],2,0)</f>
        <v>11160184048.27</v>
      </c>
      <c r="U59" s="44">
        <f>CurrentMtgRatesDataTable8[[#This Row],[Top 10 Amount]]/CurrentMtgRatesDataTable8[[#This Row],[TotalBalance]]</f>
        <v>0.68212992105766324</v>
      </c>
      <c r="V59" s="44">
        <f>CurrentMtgRatesDataTable8[[#This Row],[Top 5 Amount]]/CurrentMtgRatesDataTable8[[#This Row],[TotalBalance]]</f>
        <v>0.59447720257161862</v>
      </c>
      <c r="W59" s="44">
        <f>CurrentMtgRatesDataTable8[[#This Row],[Top 1 Amount]]/CurrentMtgRatesDataTable8[[#This Row],[TotalBalance]]</f>
        <v>0.18324828304550417</v>
      </c>
      <c r="X59" s="44">
        <f>CurrentMtgRatesDataTable8[[#This Row],[N/A Amount]]/CurrentMtgRatesDataTable8[[#This Row],[TotalBalance]]</f>
        <v>0.13745101390613007</v>
      </c>
    </row>
    <row r="60" spans="2:24">
      <c r="B60" s="37">
        <v>39234</v>
      </c>
      <c r="C60" s="17">
        <v>88341541</v>
      </c>
      <c r="D60" s="17" t="s">
        <v>27</v>
      </c>
      <c r="E60" s="17">
        <v>7</v>
      </c>
      <c r="H60" s="37">
        <v>40483</v>
      </c>
      <c r="I60" s="17">
        <v>2036722469</v>
      </c>
      <c r="K60" s="37">
        <v>40483</v>
      </c>
      <c r="L60" s="17">
        <v>10674086513.9</v>
      </c>
      <c r="N60" s="37">
        <v>40483</v>
      </c>
      <c r="O60" s="17">
        <v>71397253151.929993</v>
      </c>
      <c r="P60" s="17">
        <f>VLOOKUP($N60,'Pivot equal'!C:D,2,0)</f>
        <v>44633959622.000008</v>
      </c>
      <c r="Q60" s="17">
        <f>VLOOKUP(N60,'Pivot equal'!G:H,2,0)</f>
        <v>36330744156.990005</v>
      </c>
      <c r="R60" s="17">
        <f>VLOOKUP(N60,'Pivot equal'!K:L,2,0)</f>
        <v>13909502726.82</v>
      </c>
      <c r="S60" s="43">
        <f>VLOOKUP(N60,CurrentMtgRatesDataTable9[],2,0)</f>
        <v>2036722469</v>
      </c>
      <c r="T60" s="43">
        <f>VLOOKUP(N60,CurrentMtgRatesDataTable93[],2,0)</f>
        <v>10674086513.9</v>
      </c>
      <c r="U60" s="44">
        <f>CurrentMtgRatesDataTable8[[#This Row],[Top 10 Amount]]/CurrentMtgRatesDataTable8[[#This Row],[TotalBalance]]</f>
        <v>0.62514953519319638</v>
      </c>
      <c r="V60" s="44">
        <f>CurrentMtgRatesDataTable8[[#This Row],[Top 5 Amount]]/CurrentMtgRatesDataTable8[[#This Row],[TotalBalance]]</f>
        <v>0.50885352801570516</v>
      </c>
      <c r="W60" s="44">
        <f>CurrentMtgRatesDataTable8[[#This Row],[Top 1 Amount]]/CurrentMtgRatesDataTable8[[#This Row],[TotalBalance]]</f>
        <v>0.19481845747232365</v>
      </c>
      <c r="X60" s="44">
        <f>CurrentMtgRatesDataTable8[[#This Row],[N/A Amount]]/CurrentMtgRatesDataTable8[[#This Row],[TotalBalance]]</f>
        <v>0.14950276155843203</v>
      </c>
    </row>
    <row r="61" spans="2:24">
      <c r="B61" s="37">
        <v>39234</v>
      </c>
      <c r="C61" s="17">
        <v>78371000</v>
      </c>
      <c r="D61" s="17" t="s">
        <v>31</v>
      </c>
      <c r="E61" s="17">
        <v>8</v>
      </c>
      <c r="H61" s="37">
        <v>40452</v>
      </c>
      <c r="I61" s="17">
        <v>2453232976</v>
      </c>
      <c r="K61" s="37">
        <v>40452</v>
      </c>
      <c r="L61" s="17">
        <v>11073355450.33</v>
      </c>
      <c r="N61" s="37">
        <v>40452</v>
      </c>
      <c r="O61" s="17">
        <v>68963882096.149994</v>
      </c>
      <c r="P61" s="17">
        <f>VLOOKUP($N61,'Pivot equal'!C:D,2,0)</f>
        <v>44177303696.580002</v>
      </c>
      <c r="Q61" s="17">
        <f>VLOOKUP(N61,'Pivot equal'!G:H,2,0)</f>
        <v>37554288902.370003</v>
      </c>
      <c r="R61" s="17">
        <f>VLOOKUP(N61,'Pivot equal'!K:L,2,0)</f>
        <v>13935891180.24</v>
      </c>
      <c r="S61" s="43">
        <f>VLOOKUP(N61,CurrentMtgRatesDataTable9[],2,0)</f>
        <v>2453232976</v>
      </c>
      <c r="T61" s="43">
        <f>VLOOKUP(N61,CurrentMtgRatesDataTable93[],2,0)</f>
        <v>11073355450.33</v>
      </c>
      <c r="U61" s="44">
        <f>CurrentMtgRatesDataTable8[[#This Row],[Top 10 Amount]]/CurrentMtgRatesDataTable8[[#This Row],[TotalBalance]]</f>
        <v>0.64058609164413993</v>
      </c>
      <c r="V61" s="44">
        <f>CurrentMtgRatesDataTable8[[#This Row],[Top 5 Amount]]/CurrentMtgRatesDataTable8[[#This Row],[TotalBalance]]</f>
        <v>0.54455010015259164</v>
      </c>
      <c r="W61" s="44">
        <f>CurrentMtgRatesDataTable8[[#This Row],[Top 1 Amount]]/CurrentMtgRatesDataTable8[[#This Row],[TotalBalance]]</f>
        <v>0.20207521323713287</v>
      </c>
      <c r="X61" s="44">
        <f>CurrentMtgRatesDataTable8[[#This Row],[N/A Amount]]/CurrentMtgRatesDataTable8[[#This Row],[TotalBalance]]</f>
        <v>0.16056746102099415</v>
      </c>
    </row>
    <row r="62" spans="2:24">
      <c r="B62" s="37">
        <v>39234</v>
      </c>
      <c r="C62" s="17">
        <v>49097527.210000001</v>
      </c>
      <c r="D62" s="17" t="s">
        <v>6</v>
      </c>
      <c r="E62" s="17">
        <v>9</v>
      </c>
      <c r="H62" s="37">
        <v>40422</v>
      </c>
      <c r="I62" s="17">
        <v>1655819481</v>
      </c>
      <c r="K62" s="37">
        <v>40422</v>
      </c>
      <c r="L62" s="17">
        <v>9668182653.7099991</v>
      </c>
      <c r="N62" s="37">
        <v>40422</v>
      </c>
      <c r="O62" s="17">
        <v>69384338986.350006</v>
      </c>
      <c r="P62" s="17">
        <f>VLOOKUP($N62,'Pivot equal'!C:D,2,0)</f>
        <v>50042935375.950005</v>
      </c>
      <c r="Q62" s="17">
        <f>VLOOKUP(N62,'Pivot equal'!G:H,2,0)</f>
        <v>43137598077.989998</v>
      </c>
      <c r="R62" s="17">
        <f>VLOOKUP(N62,'Pivot equal'!K:L,2,0)</f>
        <v>13523481421.540001</v>
      </c>
      <c r="S62" s="43">
        <f>VLOOKUP(N62,CurrentMtgRatesDataTable9[],2,0)</f>
        <v>1655819481</v>
      </c>
      <c r="T62" s="43">
        <f>VLOOKUP(N62,CurrentMtgRatesDataTable93[],2,0)</f>
        <v>9668182653.7099991</v>
      </c>
      <c r="U62" s="44">
        <f>CurrentMtgRatesDataTable8[[#This Row],[Top 10 Amount]]/CurrentMtgRatesDataTable8[[#This Row],[TotalBalance]]</f>
        <v>0.72124251822583418</v>
      </c>
      <c r="V62" s="44">
        <f>CurrentMtgRatesDataTable8[[#This Row],[Top 5 Amount]]/CurrentMtgRatesDataTable8[[#This Row],[TotalBalance]]</f>
        <v>0.62171952213130499</v>
      </c>
      <c r="W62" s="44">
        <f>CurrentMtgRatesDataTable8[[#This Row],[Top 1 Amount]]/CurrentMtgRatesDataTable8[[#This Row],[TotalBalance]]</f>
        <v>0.19490682795436703</v>
      </c>
      <c r="X62" s="44">
        <f>CurrentMtgRatesDataTable8[[#This Row],[N/A Amount]]/CurrentMtgRatesDataTable8[[#This Row],[TotalBalance]]</f>
        <v>0.13934243368106486</v>
      </c>
    </row>
    <row r="63" spans="2:24">
      <c r="B63" s="37">
        <v>39234</v>
      </c>
      <c r="C63" s="17">
        <v>36942000</v>
      </c>
      <c r="D63" s="17" t="s">
        <v>36</v>
      </c>
      <c r="E63" s="17">
        <v>10</v>
      </c>
      <c r="H63" s="37">
        <v>40391</v>
      </c>
      <c r="I63" s="17">
        <v>2325261137</v>
      </c>
      <c r="K63" s="37">
        <v>40391</v>
      </c>
      <c r="L63" s="17">
        <v>7575320361.9300003</v>
      </c>
      <c r="N63" s="37">
        <v>40391</v>
      </c>
      <c r="O63" s="17">
        <v>46909004959.040001</v>
      </c>
      <c r="P63" s="17">
        <f>VLOOKUP($N63,'Pivot equal'!C:D,2,0)</f>
        <v>30182508162.220001</v>
      </c>
      <c r="Q63" s="17">
        <f>VLOOKUP(N63,'Pivot equal'!G:H,2,0)</f>
        <v>25021597638.75</v>
      </c>
      <c r="R63" s="17">
        <f>VLOOKUP(N63,'Pivot equal'!K:L,2,0)</f>
        <v>10445666888.360001</v>
      </c>
      <c r="S63" s="43">
        <f>VLOOKUP(N63,CurrentMtgRatesDataTable9[],2,0)</f>
        <v>2325261137</v>
      </c>
      <c r="T63" s="43">
        <f>VLOOKUP(N63,CurrentMtgRatesDataTable93[],2,0)</f>
        <v>7575320361.9300003</v>
      </c>
      <c r="U63" s="44">
        <f>CurrentMtgRatesDataTable8[[#This Row],[Top 10 Amount]]/CurrentMtgRatesDataTable8[[#This Row],[TotalBalance]]</f>
        <v>0.64342674052827942</v>
      </c>
      <c r="V63" s="44">
        <f>CurrentMtgRatesDataTable8[[#This Row],[Top 5 Amount]]/CurrentMtgRatesDataTable8[[#This Row],[TotalBalance]]</f>
        <v>0.5334071285587566</v>
      </c>
      <c r="W63" s="44">
        <f>CurrentMtgRatesDataTable8[[#This Row],[Top 1 Amount]]/CurrentMtgRatesDataTable8[[#This Row],[TotalBalance]]</f>
        <v>0.22267935330286684</v>
      </c>
      <c r="X63" s="44">
        <f>CurrentMtgRatesDataTable8[[#This Row],[N/A Amount]]/CurrentMtgRatesDataTable8[[#This Row],[TotalBalance]]</f>
        <v>0.1614896834529877</v>
      </c>
    </row>
    <row r="64" spans="2:24">
      <c r="B64" s="37">
        <v>39264</v>
      </c>
      <c r="C64" s="17">
        <v>587402404.38</v>
      </c>
      <c r="D64" s="17" t="s">
        <v>5</v>
      </c>
      <c r="E64" s="17">
        <v>1</v>
      </c>
      <c r="H64" s="37">
        <v>40360</v>
      </c>
      <c r="I64" s="17">
        <v>1567537459</v>
      </c>
      <c r="K64" s="37">
        <v>40360</v>
      </c>
      <c r="L64" s="17">
        <v>4951045886.9799995</v>
      </c>
      <c r="N64" s="37">
        <v>40360</v>
      </c>
      <c r="O64" s="17">
        <v>40829244339.580002</v>
      </c>
      <c r="P64" s="17">
        <f>VLOOKUP($N64,'Pivot equal'!C:D,2,0)</f>
        <v>28451985439.279999</v>
      </c>
      <c r="Q64" s="17">
        <f>VLOOKUP(N64,'Pivot equal'!G:H,2,0)</f>
        <v>25054192083.110001</v>
      </c>
      <c r="R64" s="17">
        <f>VLOOKUP(N64,'Pivot equal'!K:L,2,0)</f>
        <v>8955541938.4400005</v>
      </c>
      <c r="S64" s="43">
        <f>VLOOKUP(N64,CurrentMtgRatesDataTable9[],2,0)</f>
        <v>1567537459</v>
      </c>
      <c r="T64" s="43">
        <f>VLOOKUP(N64,CurrentMtgRatesDataTable93[],2,0)</f>
        <v>4951045886.9799995</v>
      </c>
      <c r="U64" s="44">
        <f>CurrentMtgRatesDataTable8[[#This Row],[Top 10 Amount]]/CurrentMtgRatesDataTable8[[#This Row],[TotalBalance]]</f>
        <v>0.69685309878974544</v>
      </c>
      <c r="V64" s="44">
        <f>CurrentMtgRatesDataTable8[[#This Row],[Top 5 Amount]]/CurrentMtgRatesDataTable8[[#This Row],[TotalBalance]]</f>
        <v>0.61363349942831014</v>
      </c>
      <c r="W64" s="44">
        <f>CurrentMtgRatesDataTable8[[#This Row],[Top 1 Amount]]/CurrentMtgRatesDataTable8[[#This Row],[TotalBalance]]</f>
        <v>0.21934135895232498</v>
      </c>
      <c r="X64" s="44">
        <f>CurrentMtgRatesDataTable8[[#This Row],[N/A Amount]]/CurrentMtgRatesDataTable8[[#This Row],[TotalBalance]]</f>
        <v>0.12126224638893059</v>
      </c>
    </row>
    <row r="65" spans="2:24">
      <c r="B65" s="37">
        <v>39264</v>
      </c>
      <c r="C65" s="17">
        <v>289054248.91000003</v>
      </c>
      <c r="D65" s="17" t="s">
        <v>4</v>
      </c>
      <c r="E65" s="17">
        <v>2</v>
      </c>
      <c r="H65" s="37">
        <v>40330</v>
      </c>
      <c r="I65" s="17">
        <v>1496216485</v>
      </c>
      <c r="K65" s="37">
        <v>40330</v>
      </c>
      <c r="L65" s="17">
        <v>5301984165.71</v>
      </c>
      <c r="N65" s="37">
        <v>40330</v>
      </c>
      <c r="O65" s="17">
        <v>37643702495.970001</v>
      </c>
      <c r="P65" s="17">
        <f>VLOOKUP($N65,'Pivot equal'!C:D,2,0)</f>
        <v>26357643573.190002</v>
      </c>
      <c r="Q65" s="17">
        <f>VLOOKUP(N65,'Pivot equal'!G:H,2,0)</f>
        <v>23095750779.380001</v>
      </c>
      <c r="R65" s="17">
        <f>VLOOKUP(N65,'Pivot equal'!K:L,2,0)</f>
        <v>8159699856.3800001</v>
      </c>
      <c r="S65" s="43">
        <f>VLOOKUP(N65,CurrentMtgRatesDataTable9[],2,0)</f>
        <v>1496216485</v>
      </c>
      <c r="T65" s="43">
        <f>VLOOKUP(N65,CurrentMtgRatesDataTable93[],2,0)</f>
        <v>5301984165.71</v>
      </c>
      <c r="U65" s="44">
        <f>CurrentMtgRatesDataTable8[[#This Row],[Top 10 Amount]]/CurrentMtgRatesDataTable8[[#This Row],[TotalBalance]]</f>
        <v>0.70018733082941975</v>
      </c>
      <c r="V65" s="44">
        <f>CurrentMtgRatesDataTable8[[#This Row],[Top 5 Amount]]/CurrentMtgRatesDataTable8[[#This Row],[TotalBalance]]</f>
        <v>0.61353557827773575</v>
      </c>
      <c r="W65" s="44">
        <f>CurrentMtgRatesDataTable8[[#This Row],[Top 1 Amount]]/CurrentMtgRatesDataTable8[[#This Row],[TotalBalance]]</f>
        <v>0.21676135224088405</v>
      </c>
      <c r="X65" s="44">
        <f>CurrentMtgRatesDataTable8[[#This Row],[N/A Amount]]/CurrentMtgRatesDataTable8[[#This Row],[TotalBalance]]</f>
        <v>0.14084651121333272</v>
      </c>
    </row>
    <row r="66" spans="2:24">
      <c r="B66" s="37">
        <v>39264</v>
      </c>
      <c r="C66" s="17">
        <v>165294713.30000001</v>
      </c>
      <c r="D66" s="17" t="s">
        <v>37</v>
      </c>
      <c r="E66" s="17">
        <v>3</v>
      </c>
      <c r="H66" s="37">
        <v>40299</v>
      </c>
      <c r="I66" s="17">
        <v>7568970433</v>
      </c>
      <c r="K66" s="37">
        <v>40299</v>
      </c>
      <c r="L66" s="17">
        <v>2918527916.4299998</v>
      </c>
      <c r="N66" s="37">
        <v>40299</v>
      </c>
      <c r="O66" s="17">
        <v>36336611081.309998</v>
      </c>
      <c r="P66" s="17">
        <f>VLOOKUP($N66,'Pivot equal'!C:D,2,0)</f>
        <v>22794601006.109997</v>
      </c>
      <c r="Q66" s="17">
        <f>VLOOKUP(N66,'Pivot equal'!G:H,2,0)</f>
        <v>19737345072.869999</v>
      </c>
      <c r="R66" s="17">
        <f>VLOOKUP(N66,'Pivot equal'!K:L,2,0)</f>
        <v>7983117228.6700001</v>
      </c>
      <c r="S66" s="43">
        <f>VLOOKUP(N66,CurrentMtgRatesDataTable9[],2,0)</f>
        <v>7568970433</v>
      </c>
      <c r="T66" s="43">
        <f>VLOOKUP(N66,CurrentMtgRatesDataTable93[],2,0)</f>
        <v>2918527916.4299998</v>
      </c>
      <c r="U66" s="44">
        <f>CurrentMtgRatesDataTable8[[#This Row],[Top 10 Amount]]/CurrentMtgRatesDataTable8[[#This Row],[TotalBalance]]</f>
        <v>0.62731774724678624</v>
      </c>
      <c r="V66" s="44">
        <f>CurrentMtgRatesDataTable8[[#This Row],[Top 5 Amount]]/CurrentMtgRatesDataTable8[[#This Row],[TotalBalance]]</f>
        <v>0.54318067881190069</v>
      </c>
      <c r="W66" s="44">
        <f>CurrentMtgRatesDataTable8[[#This Row],[Top 1 Amount]]/CurrentMtgRatesDataTable8[[#This Row],[TotalBalance]]</f>
        <v>0.21969900304698955</v>
      </c>
      <c r="X66" s="44">
        <f>CurrentMtgRatesDataTable8[[#This Row],[N/A Amount]]/CurrentMtgRatesDataTable8[[#This Row],[TotalBalance]]</f>
        <v>8.0319210558718449E-2</v>
      </c>
    </row>
    <row r="67" spans="2:24">
      <c r="B67" s="37">
        <v>39264</v>
      </c>
      <c r="C67" s="17">
        <v>159905398.22</v>
      </c>
      <c r="D67" s="17" t="s">
        <v>20</v>
      </c>
      <c r="E67" s="17">
        <v>4</v>
      </c>
      <c r="H67" s="37">
        <v>40269</v>
      </c>
      <c r="I67" s="17">
        <v>8738434979</v>
      </c>
      <c r="K67" s="37">
        <v>40269</v>
      </c>
      <c r="L67" s="17">
        <v>3207869920.6599998</v>
      </c>
      <c r="N67" s="37">
        <v>40269</v>
      </c>
      <c r="O67" s="17">
        <v>36544416365.050003</v>
      </c>
      <c r="P67" s="17">
        <f>VLOOKUP($N67,'Pivot equal'!C:D,2,0)</f>
        <v>21401297125.709999</v>
      </c>
      <c r="Q67" s="17">
        <f>VLOOKUP(N67,'Pivot equal'!G:H,2,0)</f>
        <v>18926472017.360001</v>
      </c>
      <c r="R67" s="17">
        <f>VLOOKUP(N67,'Pivot equal'!K:L,2,0)</f>
        <v>8759856160.0100002</v>
      </c>
      <c r="S67" s="43">
        <f>VLOOKUP(N67,CurrentMtgRatesDataTable9[],2,0)</f>
        <v>8738434979</v>
      </c>
      <c r="T67" s="43">
        <f>VLOOKUP(N67,CurrentMtgRatesDataTable93[],2,0)</f>
        <v>3207869920.6599998</v>
      </c>
      <c r="U67" s="44">
        <f>CurrentMtgRatesDataTable8[[#This Row],[Top 10 Amount]]/CurrentMtgRatesDataTable8[[#This Row],[TotalBalance]]</f>
        <v>0.5856242691613367</v>
      </c>
      <c r="V67" s="44">
        <f>CurrentMtgRatesDataTable8[[#This Row],[Top 5 Amount]]/CurrentMtgRatesDataTable8[[#This Row],[TotalBalance]]</f>
        <v>0.51790325034334705</v>
      </c>
      <c r="W67" s="44">
        <f>CurrentMtgRatesDataTable8[[#This Row],[Top 1 Amount]]/CurrentMtgRatesDataTable8[[#This Row],[TotalBalance]]</f>
        <v>0.23970436612000917</v>
      </c>
      <c r="X67" s="44">
        <f>CurrentMtgRatesDataTable8[[#This Row],[N/A Amount]]/CurrentMtgRatesDataTable8[[#This Row],[TotalBalance]]</f>
        <v>8.7780028790606479E-2</v>
      </c>
    </row>
    <row r="68" spans="2:24">
      <c r="B68" s="37">
        <v>39264</v>
      </c>
      <c r="C68" s="17">
        <v>143507290.88</v>
      </c>
      <c r="D68" s="17" t="s">
        <v>17</v>
      </c>
      <c r="E68" s="17">
        <v>5</v>
      </c>
      <c r="H68" s="37">
        <v>40238</v>
      </c>
      <c r="I68" s="17">
        <v>12061455302</v>
      </c>
      <c r="K68" s="37">
        <v>40238</v>
      </c>
      <c r="L68" s="17">
        <v>3145361847.5</v>
      </c>
      <c r="N68" s="37">
        <v>40238</v>
      </c>
      <c r="O68" s="17">
        <v>36714521904.68</v>
      </c>
      <c r="P68" s="17">
        <f>VLOOKUP($N68,'Pivot equal'!C:D,2,0)</f>
        <v>18730250800.600002</v>
      </c>
      <c r="Q68" s="17">
        <f>VLOOKUP(N68,'Pivot equal'!G:H,2,0)</f>
        <v>16626538345.559999</v>
      </c>
      <c r="R68" s="17">
        <f>VLOOKUP(N68,'Pivot equal'!K:L,2,0)</f>
        <v>7752148414.0900002</v>
      </c>
      <c r="S68" s="43">
        <f>VLOOKUP(N68,CurrentMtgRatesDataTable9[],2,0)</f>
        <v>12061455302</v>
      </c>
      <c r="T68" s="43">
        <f>VLOOKUP(N68,CurrentMtgRatesDataTable93[],2,0)</f>
        <v>3145361847.5</v>
      </c>
      <c r="U68" s="44">
        <f>CurrentMtgRatesDataTable8[[#This Row],[Top 10 Amount]]/CurrentMtgRatesDataTable8[[#This Row],[TotalBalance]]</f>
        <v>0.51015919121126996</v>
      </c>
      <c r="V68" s="44">
        <f>CurrentMtgRatesDataTable8[[#This Row],[Top 5 Amount]]/CurrentMtgRatesDataTable8[[#This Row],[TotalBalance]]</f>
        <v>0.45285999879629685</v>
      </c>
      <c r="W68" s="44">
        <f>CurrentMtgRatesDataTable8[[#This Row],[Top 1 Amount]]/CurrentMtgRatesDataTable8[[#This Row],[TotalBalance]]</f>
        <v>0.21114665292977255</v>
      </c>
      <c r="X68" s="44">
        <f>CurrentMtgRatesDataTable8[[#This Row],[N/A Amount]]/CurrentMtgRatesDataTable8[[#This Row],[TotalBalance]]</f>
        <v>8.5670783230301598E-2</v>
      </c>
    </row>
    <row r="69" spans="2:24">
      <c r="B69" s="37">
        <v>39264</v>
      </c>
      <c r="C69" s="17">
        <v>126500000</v>
      </c>
      <c r="D69" s="17" t="s">
        <v>30</v>
      </c>
      <c r="E69" s="17">
        <v>6</v>
      </c>
      <c r="H69" s="37">
        <v>40210</v>
      </c>
      <c r="I69" s="17">
        <v>10644755641</v>
      </c>
      <c r="K69" s="37">
        <v>40210</v>
      </c>
      <c r="L69" s="17">
        <v>3147930164.52</v>
      </c>
      <c r="N69" s="37">
        <v>40210</v>
      </c>
      <c r="O69" s="17">
        <v>43331380880.580002</v>
      </c>
      <c r="P69" s="17">
        <f>VLOOKUP($N69,'Pivot equal'!C:D,2,0)</f>
        <v>25219459831.370003</v>
      </c>
      <c r="Q69" s="17">
        <f>VLOOKUP(N69,'Pivot equal'!G:H,2,0)</f>
        <v>22732499809.770004</v>
      </c>
      <c r="R69" s="17">
        <f>VLOOKUP(N69,'Pivot equal'!K:L,2,0)</f>
        <v>9807430995.9200001</v>
      </c>
      <c r="S69" s="43">
        <f>VLOOKUP(N69,CurrentMtgRatesDataTable9[],2,0)</f>
        <v>10644755641</v>
      </c>
      <c r="T69" s="43">
        <f>VLOOKUP(N69,CurrentMtgRatesDataTable93[],2,0)</f>
        <v>3147930164.52</v>
      </c>
      <c r="U69" s="44">
        <f>CurrentMtgRatesDataTable8[[#This Row],[Top 10 Amount]]/CurrentMtgRatesDataTable8[[#This Row],[TotalBalance]]</f>
        <v>0.58201375813233569</v>
      </c>
      <c r="V69" s="44">
        <f>CurrentMtgRatesDataTable8[[#This Row],[Top 5 Amount]]/CurrentMtgRatesDataTable8[[#This Row],[TotalBalance]]</f>
        <v>0.52461978704117684</v>
      </c>
      <c r="W69" s="44">
        <f>CurrentMtgRatesDataTable8[[#This Row],[Top 1 Amount]]/CurrentMtgRatesDataTable8[[#This Row],[TotalBalance]]</f>
        <v>0.22633552858490683</v>
      </c>
      <c r="X69" s="44">
        <f>CurrentMtgRatesDataTable8[[#This Row],[N/A Amount]]/CurrentMtgRatesDataTable8[[#This Row],[TotalBalance]]</f>
        <v>7.2647815521863987E-2</v>
      </c>
    </row>
    <row r="70" spans="2:24">
      <c r="B70" s="37">
        <v>39264</v>
      </c>
      <c r="C70" s="17">
        <v>121943584.34</v>
      </c>
      <c r="D70" s="17" t="s">
        <v>34</v>
      </c>
      <c r="E70" s="17">
        <v>7</v>
      </c>
      <c r="H70" s="37">
        <v>40179</v>
      </c>
      <c r="I70" s="17">
        <v>8643108800</v>
      </c>
      <c r="K70" s="37">
        <v>40179</v>
      </c>
      <c r="L70" s="17">
        <v>4125777185.8600001</v>
      </c>
      <c r="N70" s="37">
        <v>40179</v>
      </c>
      <c r="O70" s="17">
        <v>41171224451.529999</v>
      </c>
      <c r="P70" s="17">
        <f>VLOOKUP($N70,'Pivot equal'!C:D,2,0)</f>
        <v>23918183966.340004</v>
      </c>
      <c r="Q70" s="17">
        <f>VLOOKUP(N70,'Pivot equal'!G:H,2,0)</f>
        <v>20858919599.690002</v>
      </c>
      <c r="R70" s="17">
        <f>VLOOKUP(N70,'Pivot equal'!K:L,2,0)</f>
        <v>9978849287.2000008</v>
      </c>
      <c r="S70" s="43">
        <f>VLOOKUP(N70,CurrentMtgRatesDataTable9[],2,0)</f>
        <v>8643108800</v>
      </c>
      <c r="T70" s="43">
        <f>VLOOKUP(N70,CurrentMtgRatesDataTable93[],2,0)</f>
        <v>4125777185.8600001</v>
      </c>
      <c r="U70" s="44">
        <f>CurrentMtgRatesDataTable8[[#This Row],[Top 10 Amount]]/CurrentMtgRatesDataTable8[[#This Row],[TotalBalance]]</f>
        <v>0.58094419791906771</v>
      </c>
      <c r="V70" s="44">
        <f>CurrentMtgRatesDataTable8[[#This Row],[Top 5 Amount]]/CurrentMtgRatesDataTable8[[#This Row],[TotalBalance]]</f>
        <v>0.50663831055709219</v>
      </c>
      <c r="W70" s="44">
        <f>CurrentMtgRatesDataTable8[[#This Row],[Top 1 Amount]]/CurrentMtgRatesDataTable8[[#This Row],[TotalBalance]]</f>
        <v>0.24237436268012594</v>
      </c>
      <c r="X70" s="44">
        <f>CurrentMtgRatesDataTable8[[#This Row],[N/A Amount]]/CurrentMtgRatesDataTable8[[#This Row],[TotalBalance]]</f>
        <v>0.1002102133425055</v>
      </c>
    </row>
    <row r="71" spans="2:24">
      <c r="B71" s="37">
        <v>39264</v>
      </c>
      <c r="C71" s="17">
        <v>107554000</v>
      </c>
      <c r="D71" s="17" t="s">
        <v>33</v>
      </c>
      <c r="E71" s="17">
        <v>8</v>
      </c>
      <c r="H71" s="37">
        <v>40148</v>
      </c>
      <c r="I71" s="17">
        <v>12468205867</v>
      </c>
      <c r="K71" s="37">
        <v>40148</v>
      </c>
      <c r="L71" s="17">
        <v>4688992883.8400002</v>
      </c>
      <c r="N71" s="37">
        <v>40148</v>
      </c>
      <c r="O71" s="17">
        <v>49380885366.279999</v>
      </c>
      <c r="P71" s="17">
        <f>VLOOKUP($N71,'Pivot equal'!C:D,2,0)</f>
        <v>27010034507.779999</v>
      </c>
      <c r="Q71" s="17">
        <f>VLOOKUP(N71,'Pivot equal'!G:H,2,0)</f>
        <v>22935300873.869999</v>
      </c>
      <c r="R71" s="17">
        <f>VLOOKUP(N71,'Pivot equal'!K:L,2,0)</f>
        <v>11583901052.780001</v>
      </c>
      <c r="S71" s="43">
        <f>VLOOKUP(N71,CurrentMtgRatesDataTable9[],2,0)</f>
        <v>12468205867</v>
      </c>
      <c r="T71" s="43">
        <f>VLOOKUP(N71,CurrentMtgRatesDataTable93[],2,0)</f>
        <v>4688992883.8400002</v>
      </c>
      <c r="U71" s="44">
        <f>CurrentMtgRatesDataTable8[[#This Row],[Top 10 Amount]]/CurrentMtgRatesDataTable8[[#This Row],[TotalBalance]]</f>
        <v>0.54697347581831623</v>
      </c>
      <c r="V71" s="44">
        <f>CurrentMtgRatesDataTable8[[#This Row],[Top 5 Amount]]/CurrentMtgRatesDataTable8[[#This Row],[TotalBalance]]</f>
        <v>0.46445706073815135</v>
      </c>
      <c r="W71" s="44">
        <f>CurrentMtgRatesDataTable8[[#This Row],[Top 1 Amount]]/CurrentMtgRatesDataTable8[[#This Row],[TotalBalance]]</f>
        <v>0.23458269261186898</v>
      </c>
      <c r="X71" s="44">
        <f>CurrentMtgRatesDataTable8[[#This Row],[N/A Amount]]/CurrentMtgRatesDataTable8[[#This Row],[TotalBalance]]</f>
        <v>9.4955626029376627E-2</v>
      </c>
    </row>
    <row r="72" spans="2:24">
      <c r="B72" s="37">
        <v>39264</v>
      </c>
      <c r="C72" s="17">
        <v>106526391.84</v>
      </c>
      <c r="D72" s="17" t="s">
        <v>11</v>
      </c>
      <c r="E72" s="17">
        <v>9</v>
      </c>
      <c r="H72" s="37">
        <v>40118</v>
      </c>
      <c r="I72" s="17">
        <v>10790428166</v>
      </c>
      <c r="K72" s="37">
        <v>40118</v>
      </c>
      <c r="L72" s="17">
        <v>4231296613.1300001</v>
      </c>
      <c r="N72" s="37">
        <v>40118</v>
      </c>
      <c r="O72" s="17">
        <v>39630338873.360001</v>
      </c>
      <c r="P72" s="17">
        <f>VLOOKUP($N72,'Pivot equal'!C:D,2,0)</f>
        <v>21036921541.490002</v>
      </c>
      <c r="Q72" s="17">
        <f>VLOOKUP(N72,'Pivot equal'!G:H,2,0)</f>
        <v>17714705203.989998</v>
      </c>
      <c r="R72" s="17">
        <f>VLOOKUP(N72,'Pivot equal'!K:L,2,0)</f>
        <v>7751269955.25</v>
      </c>
      <c r="S72" s="43">
        <f>VLOOKUP(N72,CurrentMtgRatesDataTable9[],2,0)</f>
        <v>10790428166</v>
      </c>
      <c r="T72" s="43">
        <f>VLOOKUP(N72,CurrentMtgRatesDataTable93[],2,0)</f>
        <v>4231296613.1300001</v>
      </c>
      <c r="U72" s="44">
        <f>CurrentMtgRatesDataTable8[[#This Row],[Top 10 Amount]]/CurrentMtgRatesDataTable8[[#This Row],[TotalBalance]]</f>
        <v>0.53082870698416551</v>
      </c>
      <c r="V72" s="44">
        <f>CurrentMtgRatesDataTable8[[#This Row],[Top 5 Amount]]/CurrentMtgRatesDataTable8[[#This Row],[TotalBalance]]</f>
        <v>0.44699858006760673</v>
      </c>
      <c r="W72" s="44">
        <f>CurrentMtgRatesDataTable8[[#This Row],[Top 1 Amount]]/CurrentMtgRatesDataTable8[[#This Row],[TotalBalance]]</f>
        <v>0.19558929283999887</v>
      </c>
      <c r="X72" s="44">
        <f>CurrentMtgRatesDataTable8[[#This Row],[N/A Amount]]/CurrentMtgRatesDataTable8[[#This Row],[TotalBalance]]</f>
        <v>0.10676912520610136</v>
      </c>
    </row>
    <row r="73" spans="2:24">
      <c r="B73" s="37">
        <v>39264</v>
      </c>
      <c r="C73" s="17">
        <v>106526391.84</v>
      </c>
      <c r="D73" s="17" t="s">
        <v>12</v>
      </c>
      <c r="E73" s="17">
        <v>9</v>
      </c>
      <c r="H73" s="37">
        <v>40087</v>
      </c>
      <c r="I73" s="17">
        <v>13765119592</v>
      </c>
      <c r="K73" s="37">
        <v>40087</v>
      </c>
      <c r="L73" s="17">
        <v>4378143399.8699999</v>
      </c>
      <c r="N73" s="37">
        <v>40087</v>
      </c>
      <c r="O73" s="17">
        <v>40018067422.019997</v>
      </c>
      <c r="P73" s="17">
        <f>VLOOKUP($N73,'Pivot equal'!C:D,2,0)</f>
        <v>18050212522.980003</v>
      </c>
      <c r="Q73" s="17">
        <f>VLOOKUP(N73,'Pivot equal'!G:H,2,0)</f>
        <v>15113923941.170002</v>
      </c>
      <c r="R73" s="17">
        <f>VLOOKUP(N73,'Pivot equal'!K:L,2,0)</f>
        <v>7211282362.8500004</v>
      </c>
      <c r="S73" s="43">
        <f>VLOOKUP(N73,CurrentMtgRatesDataTable9[],2,0)</f>
        <v>13765119592</v>
      </c>
      <c r="T73" s="43">
        <f>VLOOKUP(N73,CurrentMtgRatesDataTable93[],2,0)</f>
        <v>4378143399.8699999</v>
      </c>
      <c r="U73" s="44">
        <f>CurrentMtgRatesDataTable8[[#This Row],[Top 10 Amount]]/CurrentMtgRatesDataTable8[[#This Row],[TotalBalance]]</f>
        <v>0.45105157959346753</v>
      </c>
      <c r="V73" s="44">
        <f>CurrentMtgRatesDataTable8[[#This Row],[Top 5 Amount]]/CurrentMtgRatesDataTable8[[#This Row],[TotalBalance]]</f>
        <v>0.37767750705656378</v>
      </c>
      <c r="W73" s="44">
        <f>CurrentMtgRatesDataTable8[[#This Row],[Top 1 Amount]]/CurrentMtgRatesDataTable8[[#This Row],[TotalBalance]]</f>
        <v>0.18020066503466337</v>
      </c>
      <c r="X73" s="44">
        <f>CurrentMtgRatesDataTable8[[#This Row],[N/A Amount]]/CurrentMtgRatesDataTable8[[#This Row],[TotalBalance]]</f>
        <v>0.10940416871457717</v>
      </c>
    </row>
    <row r="74" spans="2:24">
      <c r="B74" s="37">
        <v>39295</v>
      </c>
      <c r="C74" s="17">
        <v>7970383527.0900002</v>
      </c>
      <c r="D74" s="17" t="s">
        <v>6</v>
      </c>
      <c r="E74" s="17">
        <v>1</v>
      </c>
      <c r="H74" s="37">
        <v>40057</v>
      </c>
      <c r="I74" s="17">
        <v>15838054203</v>
      </c>
      <c r="K74" s="37">
        <v>40057</v>
      </c>
      <c r="L74" s="17">
        <v>7338103685.1400003</v>
      </c>
      <c r="N74" s="37">
        <v>40057</v>
      </c>
      <c r="O74" s="17">
        <v>58721966516.220001</v>
      </c>
      <c r="P74" s="17">
        <f>VLOOKUP($N74,'Pivot equal'!C:D,2,0)</f>
        <v>29845785005.43</v>
      </c>
      <c r="Q74" s="17">
        <f>VLOOKUP(N74,'Pivot equal'!G:H,2,0)</f>
        <v>25413966746.16</v>
      </c>
      <c r="R74" s="17">
        <f>VLOOKUP(N74,'Pivot equal'!K:L,2,0)</f>
        <v>9711261406.9500008</v>
      </c>
      <c r="S74" s="43">
        <f>VLOOKUP(N74,CurrentMtgRatesDataTable9[],2,0)</f>
        <v>15838054203</v>
      </c>
      <c r="T74" s="43">
        <f>VLOOKUP(N74,CurrentMtgRatesDataTable93[],2,0)</f>
        <v>7338103685.1400003</v>
      </c>
      <c r="U74" s="44">
        <f>CurrentMtgRatesDataTable8[[#This Row],[Top 10 Amount]]/CurrentMtgRatesDataTable8[[#This Row],[TotalBalance]]</f>
        <v>0.50825588405977662</v>
      </c>
      <c r="V74" s="44">
        <f>CurrentMtgRatesDataTable8[[#This Row],[Top 5 Amount]]/CurrentMtgRatesDataTable8[[#This Row],[TotalBalance]]</f>
        <v>0.43278466737213633</v>
      </c>
      <c r="W74" s="44">
        <f>CurrentMtgRatesDataTable8[[#This Row],[Top 1 Amount]]/CurrentMtgRatesDataTable8[[#This Row],[TotalBalance]]</f>
        <v>0.16537697872000909</v>
      </c>
      <c r="X74" s="44">
        <f>CurrentMtgRatesDataTable8[[#This Row],[N/A Amount]]/CurrentMtgRatesDataTable8[[#This Row],[TotalBalance]]</f>
        <v>0.12496352081657708</v>
      </c>
    </row>
    <row r="75" spans="2:24">
      <c r="B75" s="37">
        <v>39295</v>
      </c>
      <c r="C75" s="17">
        <v>5549416466.0900002</v>
      </c>
      <c r="D75" s="17" t="s">
        <v>7</v>
      </c>
      <c r="E75" s="17">
        <v>2</v>
      </c>
      <c r="H75" s="37">
        <v>40026</v>
      </c>
      <c r="I75" s="17">
        <v>10784987411</v>
      </c>
      <c r="K75" s="37">
        <v>40026</v>
      </c>
      <c r="L75" s="17">
        <v>9233029230.7800007</v>
      </c>
      <c r="N75" s="41">
        <v>40026</v>
      </c>
      <c r="O75" s="42">
        <v>62725888062.300003</v>
      </c>
      <c r="P75" s="47">
        <f>VLOOKUP($N75,'Pivot equal'!C:D,2,0)</f>
        <v>35622455938.389999</v>
      </c>
      <c r="Q75" s="47">
        <f>VLOOKUP(N75,'Pivot equal'!G:H,2,0)</f>
        <v>30196349339.740002</v>
      </c>
      <c r="R75" s="47">
        <f>VLOOKUP(N75,'Pivot equal'!K:L,2,0)</f>
        <v>13559469118.879999</v>
      </c>
      <c r="S75" s="47">
        <f>VLOOKUP(N75,CurrentMtgRatesDataTable9[],2,0)</f>
        <v>10784987411</v>
      </c>
      <c r="T75" s="47">
        <f>VLOOKUP(N75,CurrentMtgRatesDataTable93[],2,0)</f>
        <v>9233029230.7800007</v>
      </c>
      <c r="U75" s="46">
        <f>CurrentMtgRatesDataTable8[[#This Row],[Top 10 Amount]]/CurrentMtgRatesDataTable8[[#This Row],[TotalBalance]]</f>
        <v>0.56790676128824846</v>
      </c>
      <c r="V75" s="46">
        <f>CurrentMtgRatesDataTable8[[#This Row],[Top 5 Amount]]/CurrentMtgRatesDataTable8[[#This Row],[TotalBalance]]</f>
        <v>0.48140170306953128</v>
      </c>
      <c r="W75" s="46">
        <f>CurrentMtgRatesDataTable8[[#This Row],[Top 1 Amount]]/CurrentMtgRatesDataTable8[[#This Row],[TotalBalance]]</f>
        <v>0.21617022154254067</v>
      </c>
      <c r="X75" s="46">
        <f>CurrentMtgRatesDataTable8[[#This Row],[N/A Amount]]/CurrentMtgRatesDataTable8[[#This Row],[TotalBalance]]</f>
        <v>0.14719646889031943</v>
      </c>
    </row>
    <row r="76" spans="2:24">
      <c r="B76" s="37">
        <v>39295</v>
      </c>
      <c r="C76" s="17">
        <v>5368827950.8599997</v>
      </c>
      <c r="D76" s="17" t="s">
        <v>11</v>
      </c>
      <c r="E76" s="17">
        <v>3</v>
      </c>
      <c r="H76" s="37">
        <v>39934</v>
      </c>
      <c r="I76" s="17">
        <v>15344958750</v>
      </c>
      <c r="K76" s="41">
        <v>39934</v>
      </c>
      <c r="L76" s="42">
        <v>45560165549.309998</v>
      </c>
      <c r="N76" s="41">
        <v>39904</v>
      </c>
      <c r="O76" s="42">
        <v>58732734355.699997</v>
      </c>
      <c r="P76" s="47">
        <f>VLOOKUP($N76,'Pivot equal'!C:D,2,0)</f>
        <v>32464719403.389999</v>
      </c>
      <c r="Q76" s="47">
        <f>VLOOKUP(N76,'Pivot equal'!G:H,2,0)</f>
        <v>25327691030.98</v>
      </c>
      <c r="R76" s="47">
        <f>VLOOKUP(N76,'Pivot equal'!K:L,2,0)</f>
        <v>10866823472.32</v>
      </c>
      <c r="S76" s="47">
        <f>VLOOKUP(N76,CurrentMtgRatesDataTable9[],2,0)</f>
        <v>8532635208</v>
      </c>
      <c r="T76" s="47">
        <f>VLOOKUP(N76,CurrentMtgRatesDataTable93[],2,0)</f>
        <v>11053668227.02</v>
      </c>
      <c r="U76" s="46">
        <f>CurrentMtgRatesDataTable8[[#This Row],[Top 10 Amount]]/CurrentMtgRatesDataTable8[[#This Row],[TotalBalance]]</f>
        <v>0.55275341356960517</v>
      </c>
      <c r="V76" s="46">
        <f>CurrentMtgRatesDataTable8[[#This Row],[Top 5 Amount]]/CurrentMtgRatesDataTable8[[#This Row],[TotalBalance]]</f>
        <v>0.43123636773982332</v>
      </c>
      <c r="W76" s="46">
        <f>CurrentMtgRatesDataTable8[[#This Row],[Top 1 Amount]]/CurrentMtgRatesDataTable8[[#This Row],[TotalBalance]]</f>
        <v>0.1850215827941506</v>
      </c>
      <c r="X76" s="46">
        <f>CurrentMtgRatesDataTable8[[#This Row],[N/A Amount]]/CurrentMtgRatesDataTable8[[#This Row],[TotalBalance]]</f>
        <v>0.18820285396685682</v>
      </c>
    </row>
    <row r="77" spans="2:24">
      <c r="B77" s="37">
        <v>39295</v>
      </c>
      <c r="C77" s="17">
        <v>4354798481.1899996</v>
      </c>
      <c r="D77" s="17" t="s">
        <v>13</v>
      </c>
      <c r="E77" s="17">
        <v>4</v>
      </c>
      <c r="H77" s="41">
        <v>39904</v>
      </c>
      <c r="I77" s="42">
        <v>8532635208</v>
      </c>
      <c r="K77" s="41">
        <v>39904</v>
      </c>
      <c r="L77" s="42">
        <v>11053668227.02</v>
      </c>
      <c r="N77" s="41">
        <v>39873</v>
      </c>
      <c r="O77" s="42">
        <v>91030919352.979996</v>
      </c>
      <c r="P77" s="47">
        <f>VLOOKUP($N77,'Pivot equal'!C:D,2,0)</f>
        <v>52300463711.150002</v>
      </c>
      <c r="Q77" s="47">
        <f>VLOOKUP(N77,'Pivot equal'!G:H,2,0)</f>
        <v>44588597188.129997</v>
      </c>
      <c r="R77" s="47">
        <f>VLOOKUP(N77,'Pivot equal'!K:L,2,0)</f>
        <v>14453685921.889999</v>
      </c>
      <c r="S77" s="47">
        <f>VLOOKUP(N77,CurrentMtgRatesDataTable9[],2,0)</f>
        <v>22744846785</v>
      </c>
      <c r="T77" s="47">
        <f>VLOOKUP(N77,CurrentMtgRatesDataTable93[],2,0)</f>
        <v>10006189041.65</v>
      </c>
      <c r="U77" s="46">
        <f>CurrentMtgRatesDataTable8[[#This Row],[Top 10 Amount]]/CurrentMtgRatesDataTable8[[#This Row],[TotalBalance]]</f>
        <v>0.57453515885465889</v>
      </c>
      <c r="V77" s="46">
        <f>CurrentMtgRatesDataTable8[[#This Row],[Top 5 Amount]]/CurrentMtgRatesDataTable8[[#This Row],[TotalBalance]]</f>
        <v>0.48981815744641649</v>
      </c>
      <c r="W77" s="46">
        <f>CurrentMtgRatesDataTable8[[#This Row],[Top 1 Amount]]/CurrentMtgRatesDataTable8[[#This Row],[TotalBalance]]</f>
        <v>0.15877776501239788</v>
      </c>
      <c r="X77" s="46">
        <f>CurrentMtgRatesDataTable8[[#This Row],[N/A Amount]]/CurrentMtgRatesDataTable8[[#This Row],[TotalBalance]]</f>
        <v>0.10992077321388094</v>
      </c>
    </row>
    <row r="78" spans="2:24">
      <c r="B78" s="37">
        <v>39295</v>
      </c>
      <c r="C78" s="17">
        <v>3653159455.4499998</v>
      </c>
      <c r="D78" s="17" t="s">
        <v>4</v>
      </c>
      <c r="E78" s="17">
        <v>5</v>
      </c>
      <c r="H78" s="41">
        <v>39873</v>
      </c>
      <c r="I78" s="42">
        <v>22744846785</v>
      </c>
      <c r="K78" s="41">
        <v>39873</v>
      </c>
      <c r="L78" s="42">
        <v>10006189041.65</v>
      </c>
      <c r="N78" s="41">
        <v>39845</v>
      </c>
      <c r="O78" s="42">
        <v>47498482306.410004</v>
      </c>
      <c r="P78" s="47">
        <f>VLOOKUP($N78,'Pivot equal'!C:D,2,0)</f>
        <v>29878159863.969997</v>
      </c>
      <c r="Q78" s="47">
        <f>VLOOKUP(N78,'Pivot equal'!G:H,2,0)</f>
        <v>24776401311.380001</v>
      </c>
      <c r="R78" s="47">
        <f>VLOOKUP(N78,'Pivot equal'!K:L,2,0)</f>
        <v>9511580945.1800003</v>
      </c>
      <c r="S78" s="47">
        <f>VLOOKUP(N78,CurrentMtgRatesDataTable9[],2,0)</f>
        <v>8316023418</v>
      </c>
      <c r="T78" s="47">
        <f>VLOOKUP(N78,CurrentMtgRatesDataTable93[],2,0)</f>
        <v>5585035666.4899998</v>
      </c>
      <c r="U78" s="46">
        <f>CurrentMtgRatesDataTable8[[#This Row],[Top 10 Amount]]/CurrentMtgRatesDataTable8[[#This Row],[TotalBalance]]</f>
        <v>0.6290339904173714</v>
      </c>
      <c r="V78" s="46">
        <f>CurrentMtgRatesDataTable8[[#This Row],[Top 5 Amount]]/CurrentMtgRatesDataTable8[[#This Row],[TotalBalance]]</f>
        <v>0.52162511533629319</v>
      </c>
      <c r="W78" s="46">
        <f>CurrentMtgRatesDataTable8[[#This Row],[Top 1 Amount]]/CurrentMtgRatesDataTable8[[#This Row],[TotalBalance]]</f>
        <v>0.20025020765550641</v>
      </c>
      <c r="X78" s="46">
        <f>CurrentMtgRatesDataTable8[[#This Row],[N/A Amount]]/CurrentMtgRatesDataTable8[[#This Row],[TotalBalance]]</f>
        <v>0.11758345520307897</v>
      </c>
    </row>
    <row r="79" spans="2:24">
      <c r="B79" s="37">
        <v>39295</v>
      </c>
      <c r="C79" s="17">
        <v>2776259321.4400001</v>
      </c>
      <c r="D79" s="17" t="s">
        <v>20</v>
      </c>
      <c r="E79" s="17">
        <v>6</v>
      </c>
      <c r="H79" s="41">
        <v>39845</v>
      </c>
      <c r="I79" s="42">
        <v>8316023418</v>
      </c>
      <c r="K79" s="41">
        <v>39845</v>
      </c>
      <c r="L79" s="42">
        <v>5585035666.4899998</v>
      </c>
      <c r="N79" s="41">
        <v>39814</v>
      </c>
      <c r="O79" s="42">
        <v>26074589597.5</v>
      </c>
      <c r="P79" s="47">
        <f>VLOOKUP($N79,'Pivot equal'!C:D,2,0)</f>
        <v>15573013109.779999</v>
      </c>
      <c r="Q79" s="47">
        <f>VLOOKUP(N79,'Pivot equal'!G:H,2,0)</f>
        <v>12534763717.26</v>
      </c>
      <c r="R79" s="47">
        <f>VLOOKUP(N79,'Pivot equal'!K:L,2,0)</f>
        <v>3756680738.23</v>
      </c>
      <c r="S79" s="47">
        <f>VLOOKUP(N79,CurrentMtgRatesDataTable9[],2,0)</f>
        <v>4907185637</v>
      </c>
      <c r="T79" s="47">
        <f>VLOOKUP(N79,CurrentMtgRatesDataTable93[],2,0)</f>
        <v>2230789746.77</v>
      </c>
      <c r="U79" s="46">
        <f>CurrentMtgRatesDataTable8[[#This Row],[Top 10 Amount]]/CurrentMtgRatesDataTable8[[#This Row],[TotalBalance]]</f>
        <v>0.59724863747320955</v>
      </c>
      <c r="V79" s="46">
        <f>CurrentMtgRatesDataTable8[[#This Row],[Top 5 Amount]]/CurrentMtgRatesDataTable8[[#This Row],[TotalBalance]]</f>
        <v>0.48072717196138798</v>
      </c>
      <c r="W79" s="46">
        <f>CurrentMtgRatesDataTable8[[#This Row],[Top 1 Amount]]/CurrentMtgRatesDataTable8[[#This Row],[TotalBalance]]</f>
        <v>0.14407439565569177</v>
      </c>
      <c r="X79" s="46">
        <f>CurrentMtgRatesDataTable8[[#This Row],[N/A Amount]]/CurrentMtgRatesDataTable8[[#This Row],[TotalBalance]]</f>
        <v>8.5554165231574164E-2</v>
      </c>
    </row>
    <row r="80" spans="2:24">
      <c r="B80" s="37">
        <v>39295</v>
      </c>
      <c r="C80" s="17">
        <v>2602983126.1300001</v>
      </c>
      <c r="D80" s="17" t="s">
        <v>34</v>
      </c>
      <c r="E80" s="17">
        <v>7</v>
      </c>
      <c r="H80" s="41">
        <v>39814</v>
      </c>
      <c r="I80" s="42">
        <v>4907185637</v>
      </c>
      <c r="K80" s="41">
        <v>39814</v>
      </c>
      <c r="L80" s="42">
        <v>2230789746.77</v>
      </c>
      <c r="N80" s="41">
        <v>39783</v>
      </c>
      <c r="O80" s="42">
        <v>41233749209.5</v>
      </c>
      <c r="P80" s="47">
        <f>VLOOKUP($N80,'Pivot equal'!C:D,2,0)</f>
        <v>29606036758.049999</v>
      </c>
      <c r="Q80" s="47">
        <f>VLOOKUP(N80,'Pivot equal'!G:H,2,0)</f>
        <v>22006804718.82</v>
      </c>
      <c r="R80" s="47">
        <f>VLOOKUP(N80,'Pivot equal'!K:L,2,0)</f>
        <v>8422014425.4099998</v>
      </c>
      <c r="S80" s="47">
        <f>VLOOKUP(N80,CurrentMtgRatesDataTable9[],2,0)</f>
        <v>5749174682</v>
      </c>
      <c r="T80" s="47">
        <f>VLOOKUP(N80,CurrentMtgRatesDataTable93[],2,0)</f>
        <v>1241364266.02</v>
      </c>
      <c r="U80" s="46">
        <f>CurrentMtgRatesDataTable8[[#This Row],[Top 10 Amount]]/CurrentMtgRatesDataTable8[[#This Row],[TotalBalance]]</f>
        <v>0.71800496742675424</v>
      </c>
      <c r="V80" s="46">
        <f>CurrentMtgRatesDataTable8[[#This Row],[Top 5 Amount]]/CurrentMtgRatesDataTable8[[#This Row],[TotalBalance]]</f>
        <v>0.53370855526641681</v>
      </c>
      <c r="W80" s="46">
        <f>CurrentMtgRatesDataTable8[[#This Row],[Top 1 Amount]]/CurrentMtgRatesDataTable8[[#This Row],[TotalBalance]]</f>
        <v>0.2042505129140578</v>
      </c>
      <c r="X80" s="46">
        <f>CurrentMtgRatesDataTable8[[#This Row],[N/A Amount]]/CurrentMtgRatesDataTable8[[#This Row],[TotalBalance]]</f>
        <v>3.0105539511163282E-2</v>
      </c>
    </row>
    <row r="81" spans="2:24">
      <c r="B81" s="37">
        <v>39295</v>
      </c>
      <c r="C81" s="17">
        <v>1376195197</v>
      </c>
      <c r="D81" s="17" t="s">
        <v>35</v>
      </c>
      <c r="E81" s="17">
        <v>8</v>
      </c>
      <c r="H81" s="41">
        <v>39783</v>
      </c>
      <c r="I81" s="42">
        <v>5749174682</v>
      </c>
      <c r="K81" s="41">
        <v>39783</v>
      </c>
      <c r="L81" s="42">
        <v>1241364266.02</v>
      </c>
      <c r="N81" s="41">
        <v>39753</v>
      </c>
      <c r="O81" s="42">
        <v>27385866902.009998</v>
      </c>
      <c r="P81" s="47">
        <f>VLOOKUP($N81,'Pivot equal'!C:D,2,0)</f>
        <v>17082411068.670002</v>
      </c>
      <c r="Q81" s="47">
        <f>VLOOKUP(N81,'Pivot equal'!G:H,2,0)</f>
        <v>13594411036.240002</v>
      </c>
      <c r="R81" s="47">
        <f>VLOOKUP(N81,'Pivot equal'!K:L,2,0)</f>
        <v>4550926488.3800001</v>
      </c>
      <c r="S81" s="47">
        <f>VLOOKUP(N81,CurrentMtgRatesDataTable9[],2,0)</f>
        <v>6244262829</v>
      </c>
      <c r="T81" s="47">
        <f>VLOOKUP(N81,CurrentMtgRatesDataTable93[],2,0)</f>
        <v>1592400863.3099999</v>
      </c>
      <c r="U81" s="46">
        <f>CurrentMtgRatesDataTable8[[#This Row],[Top 10 Amount]]/CurrentMtgRatesDataTable8[[#This Row],[TotalBalance]]</f>
        <v>0.62376740271881737</v>
      </c>
      <c r="V81" s="46">
        <f>CurrentMtgRatesDataTable8[[#This Row],[Top 5 Amount]]/CurrentMtgRatesDataTable8[[#This Row],[TotalBalance]]</f>
        <v>0.49640243578494253</v>
      </c>
      <c r="W81" s="46">
        <f>CurrentMtgRatesDataTable8[[#This Row],[Top 1 Amount]]/CurrentMtgRatesDataTable8[[#This Row],[TotalBalance]]</f>
        <v>0.16617792325741504</v>
      </c>
      <c r="X81" s="46">
        <f>CurrentMtgRatesDataTable8[[#This Row],[N/A Amount]]/CurrentMtgRatesDataTable8[[#This Row],[TotalBalance]]</f>
        <v>5.8146812332353991E-2</v>
      </c>
    </row>
    <row r="82" spans="2:24">
      <c r="B82" s="37">
        <v>39295</v>
      </c>
      <c r="C82" s="17">
        <v>1348505248.95</v>
      </c>
      <c r="D82" s="17" t="s">
        <v>17</v>
      </c>
      <c r="E82" s="17">
        <v>9</v>
      </c>
      <c r="H82" s="41">
        <v>39753</v>
      </c>
      <c r="I82" s="42">
        <v>6244262829</v>
      </c>
      <c r="K82" s="41">
        <v>39753</v>
      </c>
      <c r="L82" s="42">
        <v>1592400863.3099999</v>
      </c>
      <c r="N82" s="41">
        <v>39722</v>
      </c>
      <c r="O82" s="42">
        <v>32554558169.93</v>
      </c>
      <c r="P82" s="47">
        <f>VLOOKUP($N82,'Pivot equal'!C:D,2,0)</f>
        <v>17771952343.489994</v>
      </c>
      <c r="Q82" s="47">
        <f>VLOOKUP(N82,'Pivot equal'!G:H,2,0)</f>
        <v>13280775763.599998</v>
      </c>
      <c r="R82" s="47">
        <f>VLOOKUP(N82,'Pivot equal'!K:L,2,0)</f>
        <v>3655203702.7600002</v>
      </c>
      <c r="S82" s="47">
        <f>VLOOKUP(N82,CurrentMtgRatesDataTable9[],2,0)</f>
        <v>11004808168.200001</v>
      </c>
      <c r="T82" s="47">
        <f>VLOOKUP(N82,CurrentMtgRatesDataTable93[],2,0)</f>
        <v>1438213820.27</v>
      </c>
      <c r="U82" s="46">
        <f>CurrentMtgRatesDataTable8[[#This Row],[Top 10 Amount]]/CurrentMtgRatesDataTable8[[#This Row],[TotalBalance]]</f>
        <v>0.5459128718848838</v>
      </c>
      <c r="V82" s="46">
        <f>CurrentMtgRatesDataTable8[[#This Row],[Top 5 Amount]]/CurrentMtgRatesDataTable8[[#This Row],[TotalBalance]]</f>
        <v>0.40795441591547038</v>
      </c>
      <c r="W82" s="46">
        <f>CurrentMtgRatesDataTable8[[#This Row],[Top 1 Amount]]/CurrentMtgRatesDataTable8[[#This Row],[TotalBalance]]</f>
        <v>0.11227932149102977</v>
      </c>
      <c r="X82" s="46">
        <f>CurrentMtgRatesDataTable8[[#This Row],[N/A Amount]]/CurrentMtgRatesDataTable8[[#This Row],[TotalBalance]]</f>
        <v>4.4178569795441103E-2</v>
      </c>
    </row>
    <row r="83" spans="2:24">
      <c r="B83" s="37">
        <v>39295</v>
      </c>
      <c r="C83" s="17">
        <v>1162595939.1300001</v>
      </c>
      <c r="D83" s="17" t="s">
        <v>10</v>
      </c>
      <c r="E83" s="17">
        <v>10</v>
      </c>
      <c r="H83" s="41">
        <v>39722</v>
      </c>
      <c r="I83" s="42">
        <v>11004808168.200001</v>
      </c>
      <c r="K83" s="41">
        <v>39722</v>
      </c>
      <c r="L83" s="42">
        <v>1438213820.27</v>
      </c>
      <c r="N83" s="41">
        <v>39692</v>
      </c>
      <c r="O83" s="42">
        <v>41506327516.75</v>
      </c>
      <c r="P83" s="47">
        <f>VLOOKUP($N83,'Pivot equal'!C:D,2,0)</f>
        <v>25821976249.259998</v>
      </c>
      <c r="Q83" s="47">
        <f>VLOOKUP(N83,'Pivot equal'!G:H,2,0)</f>
        <v>19841787823.889999</v>
      </c>
      <c r="R83" s="47">
        <f>VLOOKUP(N83,'Pivot equal'!K:L,2,0)</f>
        <v>6826679614.1599998</v>
      </c>
      <c r="S83" s="47">
        <f>VLOOKUP(N83,CurrentMtgRatesDataTable9[],2,0)</f>
        <v>12108914961.860001</v>
      </c>
      <c r="T83" s="47">
        <f>VLOOKUP(N83,CurrentMtgRatesDataTable93[],2,0)</f>
        <v>1116625914.01</v>
      </c>
      <c r="U83" s="46">
        <f>CurrentMtgRatesDataTable8[[#This Row],[Top 10 Amount]]/CurrentMtgRatesDataTable8[[#This Row],[TotalBalance]]</f>
        <v>0.62212144013077197</v>
      </c>
      <c r="V83" s="46">
        <f>CurrentMtgRatesDataTable8[[#This Row],[Top 5 Amount]]/CurrentMtgRatesDataTable8[[#This Row],[TotalBalance]]</f>
        <v>0.47804248197778493</v>
      </c>
      <c r="W83" s="46">
        <f>CurrentMtgRatesDataTable8[[#This Row],[Top 1 Amount]]/CurrentMtgRatesDataTable8[[#This Row],[TotalBalance]]</f>
        <v>0.16447322667622361</v>
      </c>
      <c r="X83" s="46">
        <f>CurrentMtgRatesDataTable8[[#This Row],[N/A Amount]]/CurrentMtgRatesDataTable8[[#This Row],[TotalBalance]]</f>
        <v>2.6902546691450414E-2</v>
      </c>
    </row>
    <row r="84" spans="2:24">
      <c r="B84" s="37">
        <v>39326</v>
      </c>
      <c r="C84" s="17">
        <v>11906421034.719999</v>
      </c>
      <c r="D84" s="17" t="s">
        <v>6</v>
      </c>
      <c r="E84" s="17">
        <v>1</v>
      </c>
      <c r="H84" s="41">
        <v>39692</v>
      </c>
      <c r="I84" s="42">
        <v>12108914961.860001</v>
      </c>
      <c r="K84" s="41">
        <v>39692</v>
      </c>
      <c r="L84" s="42">
        <v>1116625914.01</v>
      </c>
      <c r="N84" s="41">
        <v>39661</v>
      </c>
      <c r="O84" s="42">
        <v>33987473164.599998</v>
      </c>
      <c r="P84" s="47">
        <f>VLOOKUP($N84,'Pivot equal'!C:D,2,0)</f>
        <v>21967790863.110004</v>
      </c>
      <c r="Q84" s="47">
        <f>VLOOKUP(N84,'Pivot equal'!G:H,2,0)</f>
        <v>16728604606.980001</v>
      </c>
      <c r="R84" s="47">
        <f>VLOOKUP(N84,'Pivot equal'!K:L,2,0)</f>
        <v>4827258509.6899996</v>
      </c>
      <c r="S84" s="47">
        <f>VLOOKUP(N84,CurrentMtgRatesDataTable9[],2,0)</f>
        <v>8102585690.9200001</v>
      </c>
      <c r="T84" s="47">
        <f>VLOOKUP(N84,CurrentMtgRatesDataTable93[],2,0)</f>
        <v>1129226752.3399999</v>
      </c>
      <c r="U84" s="46">
        <f>CurrentMtgRatesDataTable8[[#This Row],[Top 10 Amount]]/CurrentMtgRatesDataTable8[[#This Row],[TotalBalance]]</f>
        <v>0.64634963466453821</v>
      </c>
      <c r="V84" s="46">
        <f>CurrentMtgRatesDataTable8[[#This Row],[Top 5 Amount]]/CurrentMtgRatesDataTable8[[#This Row],[TotalBalance]]</f>
        <v>0.49219912660067505</v>
      </c>
      <c r="W84" s="46">
        <f>CurrentMtgRatesDataTable8[[#This Row],[Top 1 Amount]]/CurrentMtgRatesDataTable8[[#This Row],[TotalBalance]]</f>
        <v>0.14203052066600469</v>
      </c>
      <c r="X84" s="46">
        <f>CurrentMtgRatesDataTable8[[#This Row],[N/A Amount]]/CurrentMtgRatesDataTable8[[#This Row],[TotalBalance]]</f>
        <v>3.3224792760297273E-2</v>
      </c>
    </row>
    <row r="85" spans="2:24">
      <c r="B85" s="37">
        <v>39326</v>
      </c>
      <c r="C85" s="17">
        <v>8448582032.3299999</v>
      </c>
      <c r="D85" s="17" t="s">
        <v>7</v>
      </c>
      <c r="E85" s="17">
        <v>2</v>
      </c>
      <c r="H85" s="41">
        <v>39661</v>
      </c>
      <c r="I85" s="42">
        <v>8102585690.9200001</v>
      </c>
      <c r="K85" s="41">
        <v>39661</v>
      </c>
      <c r="L85" s="42">
        <v>1129226752.3399999</v>
      </c>
      <c r="N85" s="41">
        <v>39630</v>
      </c>
      <c r="O85" s="42">
        <v>39254673980.809998</v>
      </c>
      <c r="P85" s="47">
        <f>VLOOKUP($N85,'Pivot equal'!C:D,2,0)</f>
        <v>25661699058.59</v>
      </c>
      <c r="Q85" s="47">
        <f>VLOOKUP(N85,'Pivot equal'!G:H,2,0)</f>
        <v>19657967882.41</v>
      </c>
      <c r="R85" s="47">
        <f>VLOOKUP(N85,'Pivot equal'!K:L,2,0)</f>
        <v>5246259446.8599997</v>
      </c>
      <c r="S85" s="47">
        <f>VLOOKUP(N85,CurrentMtgRatesDataTable9[],2,0)</f>
        <v>8508893476.4399996</v>
      </c>
      <c r="T85" s="47">
        <f>VLOOKUP(N85,CurrentMtgRatesDataTable93[],2,0)</f>
        <v>1275868064.53</v>
      </c>
      <c r="U85" s="46">
        <f>CurrentMtgRatesDataTable8[[#This Row],[Top 10 Amount]]/CurrentMtgRatesDataTable8[[#This Row],[TotalBalance]]</f>
        <v>0.65372340300507792</v>
      </c>
      <c r="V85" s="46">
        <f>CurrentMtgRatesDataTable8[[#This Row],[Top 5 Amount]]/CurrentMtgRatesDataTable8[[#This Row],[TotalBalance]]</f>
        <v>0.50078031197049233</v>
      </c>
      <c r="W85" s="46">
        <f>CurrentMtgRatesDataTable8[[#This Row],[Top 1 Amount]]/CurrentMtgRatesDataTable8[[#This Row],[TotalBalance]]</f>
        <v>0.1336467461027617</v>
      </c>
      <c r="X85" s="46">
        <f>CurrentMtgRatesDataTable8[[#This Row],[N/A Amount]]/CurrentMtgRatesDataTable8[[#This Row],[TotalBalance]]</f>
        <v>3.2502322275144088E-2</v>
      </c>
    </row>
    <row r="86" spans="2:24">
      <c r="B86" s="37">
        <v>39326</v>
      </c>
      <c r="C86" s="17">
        <v>4931521660.5</v>
      </c>
      <c r="D86" s="17" t="s">
        <v>11</v>
      </c>
      <c r="E86" s="17">
        <v>3</v>
      </c>
      <c r="H86" s="41">
        <v>39630</v>
      </c>
      <c r="I86" s="42">
        <v>8508893476.4399996</v>
      </c>
      <c r="K86" s="41">
        <v>39630</v>
      </c>
      <c r="L86" s="42">
        <v>1275868064.53</v>
      </c>
      <c r="N86" s="37">
        <v>39600</v>
      </c>
      <c r="O86" s="17">
        <v>54754255797.940002</v>
      </c>
      <c r="P86" s="43">
        <f>VLOOKUP($N86,'Pivot equal'!C:D,2,0)</f>
        <v>36274545496.419998</v>
      </c>
      <c r="Q86" s="43">
        <f>VLOOKUP(N86,'Pivot equal'!G:H,2,0)</f>
        <v>30441998963.41</v>
      </c>
      <c r="R86" s="43">
        <f>VLOOKUP(N86,'Pivot equal'!K:L,2,0)</f>
        <v>11170458526.360001</v>
      </c>
      <c r="S86" s="43">
        <f>VLOOKUP(N86,CurrentMtgRatesDataTable9[],2,0)</f>
        <v>12792640351.440001</v>
      </c>
      <c r="T86" s="43">
        <f>VLOOKUP(N86,CurrentMtgRatesDataTable93[],2,0)</f>
        <v>2141783350.53</v>
      </c>
      <c r="U86" s="44">
        <f>CurrentMtgRatesDataTable8[[#This Row],[Top 10 Amount]]/CurrentMtgRatesDataTable8[[#This Row],[TotalBalance]]</f>
        <v>0.6624972793034426</v>
      </c>
      <c r="V86" s="44">
        <f>CurrentMtgRatesDataTable8[[#This Row],[Top 5 Amount]]/CurrentMtgRatesDataTable8[[#This Row],[TotalBalance]]</f>
        <v>0.55597502915116426</v>
      </c>
      <c r="W86" s="44">
        <f>CurrentMtgRatesDataTable8[[#This Row],[Top 1 Amount]]/CurrentMtgRatesDataTable8[[#This Row],[TotalBalance]]</f>
        <v>0.2040107816930691</v>
      </c>
      <c r="X86" s="44">
        <f>CurrentMtgRatesDataTable8[[#This Row],[N/A Amount]]/CurrentMtgRatesDataTable8[[#This Row],[TotalBalance]]</f>
        <v>3.911629003659254E-2</v>
      </c>
    </row>
    <row r="87" spans="2:24">
      <c r="B87" s="37">
        <v>39326</v>
      </c>
      <c r="C87" s="17">
        <v>3402261850.23</v>
      </c>
      <c r="D87" s="17" t="s">
        <v>4</v>
      </c>
      <c r="E87" s="17">
        <v>4</v>
      </c>
      <c r="H87" s="41">
        <v>39600</v>
      </c>
      <c r="I87" s="42">
        <v>12792640351.440001</v>
      </c>
      <c r="K87" s="41">
        <v>39600</v>
      </c>
      <c r="L87" s="42">
        <v>2141783350.53</v>
      </c>
      <c r="N87" s="37">
        <v>39569</v>
      </c>
      <c r="O87" s="17">
        <v>67752280712.029999</v>
      </c>
      <c r="P87" s="43">
        <f>VLOOKUP($N87,'Pivot equal'!C:D,2,0)</f>
        <v>38150991945.059998</v>
      </c>
      <c r="Q87" s="43">
        <f>VLOOKUP(N87,'Pivot equal'!G:H,2,0)</f>
        <v>30863023102.57</v>
      </c>
      <c r="R87" s="43">
        <f>VLOOKUP(N87,'Pivot equal'!K:L,2,0)</f>
        <v>12080553097.469999</v>
      </c>
      <c r="S87" s="43">
        <f>VLOOKUP(N87,CurrentMtgRatesDataTable9[],2,0)</f>
        <v>22906093935.959999</v>
      </c>
      <c r="T87" s="43">
        <f>VLOOKUP(N87,CurrentMtgRatesDataTable93[],2,0)</f>
        <v>2171546574.1199999</v>
      </c>
      <c r="U87" s="44">
        <f>CurrentMtgRatesDataTable8[[#This Row],[Top 10 Amount]]/CurrentMtgRatesDataTable8[[#This Row],[TotalBalance]]</f>
        <v>0.56309531641029997</v>
      </c>
      <c r="V87" s="44">
        <f>CurrentMtgRatesDataTable8[[#This Row],[Top 5 Amount]]/CurrentMtgRatesDataTable8[[#This Row],[TotalBalance]]</f>
        <v>0.45552744170706572</v>
      </c>
      <c r="W87" s="44">
        <f>CurrentMtgRatesDataTable8[[#This Row],[Top 1 Amount]]/CurrentMtgRatesDataTable8[[#This Row],[TotalBalance]]</f>
        <v>0.17830474443829303</v>
      </c>
      <c r="X87" s="44">
        <f>CurrentMtgRatesDataTable8[[#This Row],[N/A Amount]]/CurrentMtgRatesDataTable8[[#This Row],[TotalBalance]]</f>
        <v>3.2051268994911092E-2</v>
      </c>
    </row>
    <row r="88" spans="2:24">
      <c r="B88" s="37">
        <v>39326</v>
      </c>
      <c r="C88" s="17">
        <v>2698937355.0500002</v>
      </c>
      <c r="D88" s="17" t="s">
        <v>13</v>
      </c>
      <c r="E88" s="17">
        <v>5</v>
      </c>
      <c r="H88" s="41">
        <v>39569</v>
      </c>
      <c r="I88" s="42">
        <v>22906093935.959999</v>
      </c>
      <c r="K88" s="37">
        <v>39569</v>
      </c>
      <c r="L88" s="17">
        <v>2171546574.1199999</v>
      </c>
      <c r="N88" s="37">
        <v>39539</v>
      </c>
      <c r="O88" s="17">
        <v>61021756747.739998</v>
      </c>
      <c r="P88" s="43">
        <f>VLOOKUP($N88,'Pivot equal'!C:D,2,0)</f>
        <v>40499590498.020004</v>
      </c>
      <c r="Q88" s="43">
        <f>VLOOKUP(N88,'Pivot equal'!G:H,2,0)</f>
        <v>32138247792.009998</v>
      </c>
      <c r="R88" s="43">
        <f>VLOOKUP(N88,'Pivot equal'!K:L,2,0)</f>
        <v>9380905884.8600006</v>
      </c>
      <c r="S88" s="43">
        <f>VLOOKUP(N88,CurrentMtgRatesDataTable9[],2,0)</f>
        <v>12460921559.299999</v>
      </c>
      <c r="T88" s="43">
        <f>VLOOKUP(N88,CurrentMtgRatesDataTable93[],2,0)</f>
        <v>1976637598.26</v>
      </c>
      <c r="U88" s="44">
        <f>CurrentMtgRatesDataTable8[[#This Row],[Top 10 Amount]]/CurrentMtgRatesDataTable8[[#This Row],[TotalBalance]]</f>
        <v>0.66369099574505364</v>
      </c>
      <c r="V88" s="44">
        <f>CurrentMtgRatesDataTable8[[#This Row],[Top 5 Amount]]/CurrentMtgRatesDataTable8[[#This Row],[TotalBalance]]</f>
        <v>0.52666867531964767</v>
      </c>
      <c r="W88" s="44">
        <f>CurrentMtgRatesDataTable8[[#This Row],[Top 1 Amount]]/CurrentMtgRatesDataTable8[[#This Row],[TotalBalance]]</f>
        <v>0.15373051162129042</v>
      </c>
      <c r="X88" s="44">
        <f>CurrentMtgRatesDataTable8[[#This Row],[N/A Amount]]/CurrentMtgRatesDataTable8[[#This Row],[TotalBalance]]</f>
        <v>3.2392341741836313E-2</v>
      </c>
    </row>
    <row r="89" spans="2:24">
      <c r="B89" s="37">
        <v>39326</v>
      </c>
      <c r="C89" s="17">
        <v>1933443256.51</v>
      </c>
      <c r="D89" s="17" t="s">
        <v>20</v>
      </c>
      <c r="E89" s="17">
        <v>6</v>
      </c>
      <c r="H89" s="37">
        <v>39539</v>
      </c>
      <c r="I89" s="17">
        <v>12460921559.299999</v>
      </c>
      <c r="K89" s="37">
        <v>39539</v>
      </c>
      <c r="L89" s="17">
        <v>1976637598.26</v>
      </c>
      <c r="N89" s="37">
        <v>39508</v>
      </c>
      <c r="O89" s="17">
        <v>54036130386.260002</v>
      </c>
      <c r="P89" s="43">
        <f>VLOOKUP($N89,'Pivot equal'!C:D,2,0)</f>
        <v>29192521758.130001</v>
      </c>
      <c r="Q89" s="43">
        <f>VLOOKUP(N89,'Pivot equal'!G:H,2,0)</f>
        <v>24315835443.790001</v>
      </c>
      <c r="R89" s="43">
        <f>VLOOKUP(N89,'Pivot equal'!K:L,2,0)</f>
        <v>7127437485.3199997</v>
      </c>
      <c r="S89" s="43">
        <f>VLOOKUP(N89,CurrentMtgRatesDataTable9[],2,0)</f>
        <v>18304362684</v>
      </c>
      <c r="T89" s="43">
        <f>VLOOKUP(N89,CurrentMtgRatesDataTable93[],2,0)</f>
        <v>2632882569.0300002</v>
      </c>
      <c r="U89" s="44">
        <f>CurrentMtgRatesDataTable8[[#This Row],[Top 10 Amount]]/CurrentMtgRatesDataTable8[[#This Row],[TotalBalance]]</f>
        <v>0.54024078980964385</v>
      </c>
      <c r="V89" s="44">
        <f>CurrentMtgRatesDataTable8[[#This Row],[Top 5 Amount]]/CurrentMtgRatesDataTable8[[#This Row],[TotalBalance]]</f>
        <v>0.44999216764738748</v>
      </c>
      <c r="W89" s="44">
        <f>CurrentMtgRatesDataTable8[[#This Row],[Top 1 Amount]]/CurrentMtgRatesDataTable8[[#This Row],[TotalBalance]]</f>
        <v>0.13190133035751805</v>
      </c>
      <c r="X89" s="44">
        <f>CurrentMtgRatesDataTable8[[#This Row],[N/A Amount]]/CurrentMtgRatesDataTable8[[#This Row],[TotalBalance]]</f>
        <v>4.8724483974142502E-2</v>
      </c>
    </row>
    <row r="90" spans="2:24">
      <c r="B90" s="37">
        <v>39326</v>
      </c>
      <c r="C90" s="17">
        <v>1794706224.6300001</v>
      </c>
      <c r="D90" s="17" t="s">
        <v>34</v>
      </c>
      <c r="E90" s="17">
        <v>7</v>
      </c>
      <c r="H90" s="37">
        <v>39508</v>
      </c>
      <c r="I90" s="17">
        <v>18304362684</v>
      </c>
      <c r="K90" s="37">
        <v>39508</v>
      </c>
      <c r="L90" s="17">
        <v>2632882569.0300002</v>
      </c>
      <c r="N90" s="37">
        <v>39479</v>
      </c>
      <c r="O90" s="17">
        <v>76264291344.479996</v>
      </c>
      <c r="P90" s="43">
        <f>VLOOKUP($N90,'Pivot equal'!C:D,2,0)</f>
        <v>42640399806.709999</v>
      </c>
      <c r="Q90" s="43">
        <f>VLOOKUP(N90,'Pivot equal'!G:H,2,0)</f>
        <v>32555708285.060001</v>
      </c>
      <c r="R90" s="43">
        <f>VLOOKUP(N90,'Pivot equal'!K:L,2,0)</f>
        <v>10940578643.9</v>
      </c>
      <c r="S90" s="43">
        <f>VLOOKUP(N90,CurrentMtgRatesDataTable9[],2,0)</f>
        <v>27291717471</v>
      </c>
      <c r="T90" s="43">
        <f>VLOOKUP(N90,CurrentMtgRatesDataTable93[],2,0)</f>
        <v>1373760378.96</v>
      </c>
      <c r="U90" s="44">
        <f>CurrentMtgRatesDataTable8[[#This Row],[Top 10 Amount]]/CurrentMtgRatesDataTable8[[#This Row],[TotalBalance]]</f>
        <v>0.55911356488066688</v>
      </c>
      <c r="V90" s="44">
        <f>CurrentMtgRatesDataTable8[[#This Row],[Top 5 Amount]]/CurrentMtgRatesDataTable8[[#This Row],[TotalBalance]]</f>
        <v>0.42688009960006507</v>
      </c>
      <c r="W90" s="44">
        <f>CurrentMtgRatesDataTable8[[#This Row],[Top 1 Amount]]/CurrentMtgRatesDataTable8[[#This Row],[TotalBalance]]</f>
        <v>0.14345611099278743</v>
      </c>
      <c r="X90" s="44">
        <f>CurrentMtgRatesDataTable8[[#This Row],[N/A Amount]]/CurrentMtgRatesDataTable8[[#This Row],[TotalBalance]]</f>
        <v>1.8013153400387987E-2</v>
      </c>
    </row>
    <row r="91" spans="2:24">
      <c r="B91" s="37">
        <v>39326</v>
      </c>
      <c r="C91" s="17">
        <v>1598243031.95</v>
      </c>
      <c r="D91" s="17" t="s">
        <v>10</v>
      </c>
      <c r="E91" s="17">
        <v>8</v>
      </c>
      <c r="H91" s="37">
        <v>39479</v>
      </c>
      <c r="I91" s="17">
        <v>27291717471</v>
      </c>
      <c r="K91" s="37">
        <v>39479</v>
      </c>
      <c r="L91" s="17">
        <v>1373760378.96</v>
      </c>
      <c r="N91" s="37">
        <v>39448</v>
      </c>
      <c r="O91" s="17">
        <v>55380966103.379997</v>
      </c>
      <c r="P91" s="43">
        <f>VLOOKUP($N91,'Pivot equal'!C:D,2,0)</f>
        <v>36449458088.989998</v>
      </c>
      <c r="Q91" s="43">
        <f>VLOOKUP(N91,'Pivot equal'!G:H,2,0)</f>
        <v>26958404741.359997</v>
      </c>
      <c r="R91" s="43">
        <f>VLOOKUP(N91,'Pivot equal'!K:L,2,0)</f>
        <v>8728590817.0499992</v>
      </c>
      <c r="S91" s="43">
        <f>VLOOKUP(N91,CurrentMtgRatesDataTable9[],2,0)</f>
        <v>11369438069</v>
      </c>
      <c r="T91" s="43">
        <f>VLOOKUP(N91,CurrentMtgRatesDataTable93[],2,0)</f>
        <v>1595054076.3199999</v>
      </c>
      <c r="U91" s="44">
        <f>CurrentMtgRatesDataTable8[[#This Row],[Top 10 Amount]]/CurrentMtgRatesDataTable8[[#This Row],[TotalBalance]]</f>
        <v>0.65815858143300654</v>
      </c>
      <c r="V91" s="44">
        <f>CurrentMtgRatesDataTable8[[#This Row],[Top 5 Amount]]/CurrentMtgRatesDataTable8[[#This Row],[TotalBalance]]</f>
        <v>0.48678104840274133</v>
      </c>
      <c r="W91" s="44">
        <f>CurrentMtgRatesDataTable8[[#This Row],[Top 1 Amount]]/CurrentMtgRatesDataTable8[[#This Row],[TotalBalance]]</f>
        <v>0.15760994130648215</v>
      </c>
      <c r="X91" s="44">
        <f>CurrentMtgRatesDataTable8[[#This Row],[N/A Amount]]/CurrentMtgRatesDataTable8[[#This Row],[TotalBalance]]</f>
        <v>2.8801485213213913E-2</v>
      </c>
    </row>
    <row r="92" spans="2:24">
      <c r="B92" s="37">
        <v>39326</v>
      </c>
      <c r="C92" s="17">
        <v>1509377032.0999999</v>
      </c>
      <c r="D92" s="17" t="s">
        <v>21</v>
      </c>
      <c r="E92" s="17">
        <v>9</v>
      </c>
      <c r="H92" s="37">
        <v>39448</v>
      </c>
      <c r="I92" s="17">
        <v>11369438069</v>
      </c>
      <c r="K92" s="37">
        <v>39448</v>
      </c>
      <c r="L92" s="17">
        <v>1595054076.3199999</v>
      </c>
      <c r="N92" s="37">
        <v>39417</v>
      </c>
      <c r="O92" s="17">
        <v>70720993110.179993</v>
      </c>
      <c r="P92" s="43">
        <f>VLOOKUP($N92,'Pivot equal'!C:D,2,0)</f>
        <v>45838564870.419991</v>
      </c>
      <c r="Q92" s="43">
        <f>VLOOKUP(N92,'Pivot equal'!G:H,2,0)</f>
        <v>35348140136.119995</v>
      </c>
      <c r="R92" s="43">
        <f>VLOOKUP(N92,'Pivot equal'!K:L,2,0)</f>
        <v>12421827356.389999</v>
      </c>
      <c r="S92" s="43">
        <f>VLOOKUP(N92,CurrentMtgRatesDataTable9[],2,0)</f>
        <v>17719338930</v>
      </c>
      <c r="T92" s="43">
        <f>VLOOKUP(N92,CurrentMtgRatesDataTable93[],2,0)</f>
        <v>1294464930.79</v>
      </c>
      <c r="U92" s="44">
        <f>CurrentMtgRatesDataTable8[[#This Row],[Top 10 Amount]]/CurrentMtgRatesDataTable8[[#This Row],[TotalBalance]]</f>
        <v>0.64816065010577062</v>
      </c>
      <c r="V92" s="44">
        <f>CurrentMtgRatesDataTable8[[#This Row],[Top 5 Amount]]/CurrentMtgRatesDataTable8[[#This Row],[TotalBalance]]</f>
        <v>0.49982527933465598</v>
      </c>
      <c r="W92" s="44">
        <f>CurrentMtgRatesDataTable8[[#This Row],[Top 1 Amount]]/CurrentMtgRatesDataTable8[[#This Row],[TotalBalance]]</f>
        <v>0.17564554469756066</v>
      </c>
      <c r="X92" s="44">
        <f>CurrentMtgRatesDataTable8[[#This Row],[N/A Amount]]/CurrentMtgRatesDataTable8[[#This Row],[TotalBalance]]</f>
        <v>1.8303828521939507E-2</v>
      </c>
    </row>
    <row r="93" spans="2:24">
      <c r="B93" s="37">
        <v>39326</v>
      </c>
      <c r="C93" s="17">
        <v>1504357495.8299999</v>
      </c>
      <c r="D93" s="17" t="s">
        <v>18</v>
      </c>
      <c r="E93" s="17">
        <v>10</v>
      </c>
      <c r="H93" s="37">
        <v>39417</v>
      </c>
      <c r="I93" s="17">
        <v>17719338930</v>
      </c>
      <c r="K93" s="37">
        <v>39417</v>
      </c>
      <c r="L93" s="17">
        <v>1294464930.79</v>
      </c>
      <c r="N93" s="37">
        <v>39387</v>
      </c>
      <c r="O93" s="17">
        <v>56318004683</v>
      </c>
      <c r="P93" s="43">
        <f>VLOOKUP($N93,'Pivot equal'!C:D,2,0)</f>
        <v>38426581887.660004</v>
      </c>
      <c r="Q93" s="43">
        <f>VLOOKUP(N93,'Pivot equal'!G:H,2,0)</f>
        <v>27917519171.919998</v>
      </c>
      <c r="R93" s="43">
        <f>VLOOKUP(N93,'Pivot equal'!K:L,2,0)</f>
        <v>9251362639</v>
      </c>
      <c r="S93" s="43">
        <f>VLOOKUP(N93,CurrentMtgRatesDataTable9[],2,0)</f>
        <v>10286727579.799999</v>
      </c>
      <c r="T93" s="43">
        <f>VLOOKUP(N93,CurrentMtgRatesDataTable93[],2,0)</f>
        <v>1298540593.1300001</v>
      </c>
      <c r="U93" s="44">
        <f>CurrentMtgRatesDataTable8[[#This Row],[Top 10 Amount]]/CurrentMtgRatesDataTable8[[#This Row],[TotalBalance]]</f>
        <v>0.68231433453570756</v>
      </c>
      <c r="V93" s="44">
        <f>CurrentMtgRatesDataTable8[[#This Row],[Top 5 Amount]]/CurrentMtgRatesDataTable8[[#This Row],[TotalBalance]]</f>
        <v>0.49571214976561667</v>
      </c>
      <c r="W93" s="44">
        <f>CurrentMtgRatesDataTable8[[#This Row],[Top 1 Amount]]/CurrentMtgRatesDataTable8[[#This Row],[TotalBalance]]</f>
        <v>0.16427007119789866</v>
      </c>
      <c r="X93" s="44">
        <f>CurrentMtgRatesDataTable8[[#This Row],[N/A Amount]]/CurrentMtgRatesDataTable8[[#This Row],[TotalBalance]]</f>
        <v>2.3057290478225592E-2</v>
      </c>
    </row>
    <row r="94" spans="2:24">
      <c r="B94" s="37">
        <v>39356</v>
      </c>
      <c r="C94" s="17">
        <v>7611233645.2799997</v>
      </c>
      <c r="D94" s="17" t="s">
        <v>6</v>
      </c>
      <c r="E94" s="17">
        <v>1</v>
      </c>
      <c r="H94" s="37">
        <v>39387</v>
      </c>
      <c r="I94" s="17">
        <v>10286727579.799999</v>
      </c>
      <c r="K94" s="37">
        <v>39387</v>
      </c>
      <c r="L94" s="17">
        <v>1298540593.1300001</v>
      </c>
      <c r="N94" s="37">
        <v>39356</v>
      </c>
      <c r="O94" s="17">
        <v>53589853815.260002</v>
      </c>
      <c r="P94" s="43">
        <f>VLOOKUP($N94,'Pivot equal'!C:D,2,0)</f>
        <v>34611207598.679993</v>
      </c>
      <c r="Q94" s="43">
        <f>VLOOKUP(N94,'Pivot equal'!G:H,2,0)</f>
        <v>25266524753.019997</v>
      </c>
      <c r="R94" s="43">
        <f>VLOOKUP(N94,'Pivot equal'!K:L,2,0)</f>
        <v>7611233645.2799997</v>
      </c>
      <c r="S94" s="43">
        <f>VLOOKUP(N94,CurrentMtgRatesDataTable9[],2,0)</f>
        <v>11684087724</v>
      </c>
      <c r="T94" s="43">
        <f>VLOOKUP(N94,CurrentMtgRatesDataTable93[],2,0)</f>
        <v>843311085.42999995</v>
      </c>
      <c r="U94" s="44">
        <f>CurrentMtgRatesDataTable8[[#This Row],[Top 10 Amount]]/CurrentMtgRatesDataTable8[[#This Row],[TotalBalance]]</f>
        <v>0.64585374160554743</v>
      </c>
      <c r="V94" s="44">
        <f>CurrentMtgRatesDataTable8[[#This Row],[Top 5 Amount]]/CurrentMtgRatesDataTable8[[#This Row],[TotalBalance]]</f>
        <v>0.471479635681059</v>
      </c>
      <c r="W94" s="44">
        <f>CurrentMtgRatesDataTable8[[#This Row],[Top 1 Amount]]/CurrentMtgRatesDataTable8[[#This Row],[TotalBalance]]</f>
        <v>0.14202751273623851</v>
      </c>
      <c r="X94" s="44">
        <f>CurrentMtgRatesDataTable8[[#This Row],[N/A Amount]]/CurrentMtgRatesDataTable8[[#This Row],[TotalBalance]]</f>
        <v>1.5736394585757624E-2</v>
      </c>
    </row>
    <row r="95" spans="2:24">
      <c r="B95" s="37">
        <v>39356</v>
      </c>
      <c r="C95" s="17">
        <v>6234694095.2799997</v>
      </c>
      <c r="D95" s="17" t="s">
        <v>7</v>
      </c>
      <c r="E95" s="17">
        <v>2</v>
      </c>
      <c r="H95" s="37">
        <v>39356</v>
      </c>
      <c r="I95" s="17">
        <v>11684087724</v>
      </c>
      <c r="K95" s="37">
        <v>39356</v>
      </c>
      <c r="L95" s="17">
        <v>843311085.42999995</v>
      </c>
      <c r="N95" s="37">
        <v>39326</v>
      </c>
      <c r="O95" s="17">
        <v>59519283040.339996</v>
      </c>
      <c r="P95" s="43">
        <f>VLOOKUP($N95,'Pivot equal'!C:D,2,0)</f>
        <v>39727850973.849991</v>
      </c>
      <c r="Q95" s="43">
        <f>VLOOKUP(N95,'Pivot equal'!G:H,2,0)</f>
        <v>31387723932.829998</v>
      </c>
      <c r="R95" s="43">
        <f>VLOOKUP(N95,'Pivot equal'!K:L,2,0)</f>
        <v>11906421034.719999</v>
      </c>
      <c r="S95" s="43">
        <f>VLOOKUP(N95,CurrentMtgRatesDataTable9[],2,0)</f>
        <v>9103829164</v>
      </c>
      <c r="T95" s="43">
        <f>VLOOKUP(N95,CurrentMtgRatesDataTable93[],2,0)</f>
        <v>1303633281.51</v>
      </c>
      <c r="U95" s="44">
        <f>CurrentMtgRatesDataTable8[[#This Row],[Top 10 Amount]]/CurrentMtgRatesDataTable8[[#This Row],[TotalBalance]]</f>
        <v>0.66747865472310719</v>
      </c>
      <c r="V95" s="44">
        <f>CurrentMtgRatesDataTable8[[#This Row],[Top 5 Amount]]/CurrentMtgRatesDataTable8[[#This Row],[TotalBalance]]</f>
        <v>0.52735386465519996</v>
      </c>
      <c r="W95" s="44">
        <f>CurrentMtgRatesDataTable8[[#This Row],[Top 1 Amount]]/CurrentMtgRatesDataTable8[[#This Row],[TotalBalance]]</f>
        <v>0.20004308564419807</v>
      </c>
      <c r="X95" s="44">
        <f>CurrentMtgRatesDataTable8[[#This Row],[N/A Amount]]/CurrentMtgRatesDataTable8[[#This Row],[TotalBalance]]</f>
        <v>2.1902704718846241E-2</v>
      </c>
    </row>
    <row r="96" spans="2:24">
      <c r="B96" s="37">
        <v>39356</v>
      </c>
      <c r="C96" s="17">
        <v>5542233010.0799999</v>
      </c>
      <c r="D96" s="17" t="s">
        <v>11</v>
      </c>
      <c r="E96" s="17">
        <v>3</v>
      </c>
      <c r="H96" s="37">
        <v>39326</v>
      </c>
      <c r="I96" s="17">
        <v>9103829164</v>
      </c>
      <c r="K96" s="37">
        <v>39326</v>
      </c>
      <c r="L96" s="17">
        <v>1303633281.51</v>
      </c>
      <c r="N96" s="37">
        <v>39295</v>
      </c>
      <c r="O96" s="17">
        <v>55852222730.150002</v>
      </c>
      <c r="P96" s="43">
        <f>VLOOKUP($N96,'Pivot equal'!C:D,2,0)</f>
        <v>36163124713.329994</v>
      </c>
      <c r="Q96" s="43">
        <f>VLOOKUP(N96,'Pivot equal'!G:H,2,0)</f>
        <v>26896585880.68</v>
      </c>
      <c r="R96" s="43">
        <f>VLOOKUP(N96,'Pivot equal'!K:L,2,0)</f>
        <v>7970383527.0900002</v>
      </c>
      <c r="S96" s="43">
        <f>VLOOKUP(N96,CurrentMtgRatesDataTable9[],2,0)</f>
        <v>10763644956</v>
      </c>
      <c r="T96" s="43">
        <f>VLOOKUP(N96,CurrentMtgRatesDataTable93[],2,0)</f>
        <v>1093178368.6700001</v>
      </c>
      <c r="U96" s="44">
        <f>CurrentMtgRatesDataTable8[[#This Row],[Top 10 Amount]]/CurrentMtgRatesDataTable8[[#This Row],[TotalBalance]]</f>
        <v>0.64747870264809548</v>
      </c>
      <c r="V96" s="44">
        <f>CurrentMtgRatesDataTable8[[#This Row],[Top 5 Amount]]/CurrentMtgRatesDataTable8[[#This Row],[TotalBalance]]</f>
        <v>0.4815669738092761</v>
      </c>
      <c r="W96" s="44">
        <f>CurrentMtgRatesDataTable8[[#This Row],[Top 1 Amount]]/CurrentMtgRatesDataTable8[[#This Row],[TotalBalance]]</f>
        <v>0.14270485823991116</v>
      </c>
      <c r="X96" s="44">
        <f>CurrentMtgRatesDataTable8[[#This Row],[N/A Amount]]/CurrentMtgRatesDataTable8[[#This Row],[TotalBalance]]</f>
        <v>1.9572692280335754E-2</v>
      </c>
    </row>
    <row r="97" spans="2:24">
      <c r="B97" s="37">
        <v>39356</v>
      </c>
      <c r="C97" s="17">
        <v>3527666157.7399998</v>
      </c>
      <c r="D97" s="17" t="s">
        <v>13</v>
      </c>
      <c r="E97" s="17">
        <v>4</v>
      </c>
      <c r="H97" s="37">
        <v>39295</v>
      </c>
      <c r="I97" s="17">
        <v>10763644956</v>
      </c>
      <c r="K97" s="37">
        <v>39295</v>
      </c>
      <c r="L97" s="17">
        <v>1093178368.6700001</v>
      </c>
      <c r="N97" s="37">
        <v>39203</v>
      </c>
      <c r="O97" s="17">
        <v>58241869995.239998</v>
      </c>
      <c r="P97" s="43">
        <f>VLOOKUP($N97,'Pivot equal'!C:D,2,0)</f>
        <v>36317976637.439995</v>
      </c>
      <c r="Q97" s="43">
        <f>VLOOKUP(N97,'Pivot equal'!G:H,2,0)</f>
        <v>27080727971.889999</v>
      </c>
      <c r="R97" s="43">
        <f>VLOOKUP(N97,'Pivot equal'!K:L,2,0)</f>
        <v>8757031646.7099991</v>
      </c>
      <c r="S97" s="43">
        <f>VLOOKUP(N97,CurrentMtgRatesDataTable9[],2,0)</f>
        <v>13735083658</v>
      </c>
      <c r="T97" s="43">
        <f>VLOOKUP(N97,CurrentMtgRatesDataTable93[],2,0)</f>
        <v>1198412583.6700001</v>
      </c>
      <c r="U97" s="44">
        <f>CurrentMtgRatesDataTable8[[#This Row],[Top 10 Amount]]/CurrentMtgRatesDataTable8[[#This Row],[TotalBalance]]</f>
        <v>0.62357160991582516</v>
      </c>
      <c r="V97" s="44">
        <f>CurrentMtgRatesDataTable8[[#This Row],[Top 5 Amount]]/CurrentMtgRatesDataTable8[[#This Row],[TotalBalance]]</f>
        <v>0.46497009752783108</v>
      </c>
      <c r="W97" s="44">
        <f>CurrentMtgRatesDataTable8[[#This Row],[Top 1 Amount]]/CurrentMtgRatesDataTable8[[#This Row],[TotalBalance]]</f>
        <v>0.1503562926023099</v>
      </c>
      <c r="X97" s="44">
        <f>CurrentMtgRatesDataTable8[[#This Row],[N/A Amount]]/CurrentMtgRatesDataTable8[[#This Row],[TotalBalance]]</f>
        <v>2.0576478464169233E-2</v>
      </c>
    </row>
    <row r="98" spans="2:24">
      <c r="B98" s="37">
        <v>39356</v>
      </c>
      <c r="C98" s="17">
        <v>2350697844.6399999</v>
      </c>
      <c r="D98" s="17" t="s">
        <v>34</v>
      </c>
      <c r="E98" s="17">
        <v>5</v>
      </c>
      <c r="H98" s="37">
        <v>39264</v>
      </c>
      <c r="I98" s="17">
        <v>49227506796</v>
      </c>
      <c r="K98" s="37">
        <v>39264</v>
      </c>
      <c r="L98" s="17">
        <v>1344853100.0699999</v>
      </c>
      <c r="N98" s="59">
        <v>39173</v>
      </c>
      <c r="O98" s="60">
        <v>51130390876.290001</v>
      </c>
      <c r="P98" s="61">
        <f>VLOOKUP($N98,'Pivot equal'!C:D,2,0)</f>
        <v>31533331514.700001</v>
      </c>
      <c r="Q98" s="61">
        <f>VLOOKUP(N98,'Pivot equal'!G:H,2,0)</f>
        <v>25337640295.240002</v>
      </c>
      <c r="R98" s="61">
        <f>VLOOKUP(N98,'Pivot equal'!K:L,2,0)</f>
        <v>8435795278.75</v>
      </c>
      <c r="S98" s="61">
        <f>VLOOKUP(N98,CurrentMtgRatesDataTable9[],2,0)</f>
        <v>11172945973</v>
      </c>
      <c r="T98" s="61">
        <f>VLOOKUP(N98,CurrentMtgRatesDataTable93[],2,0)</f>
        <v>1297352386.8</v>
      </c>
      <c r="U98" s="62">
        <f>CurrentMtgRatesDataTable8[[#This Row],[Top 10 Amount]]/CurrentMtgRatesDataTable8[[#This Row],[TotalBalance]]</f>
        <v>0.61672385002874142</v>
      </c>
      <c r="V98" s="62">
        <f>CurrentMtgRatesDataTable8[[#This Row],[Top 5 Amount]]/CurrentMtgRatesDataTable8[[#This Row],[TotalBalance]]</f>
        <v>0.49554951294122573</v>
      </c>
      <c r="W98" s="62">
        <f>CurrentMtgRatesDataTable8[[#This Row],[Top 1 Amount]]/CurrentMtgRatesDataTable8[[#This Row],[TotalBalance]]</f>
        <v>0.16498593369177267</v>
      </c>
      <c r="X98" s="62">
        <f>CurrentMtgRatesDataTable8[[#This Row],[N/A Amount]]/CurrentMtgRatesDataTable8[[#This Row],[TotalBalance]]</f>
        <v>2.5373410305799236E-2</v>
      </c>
    </row>
    <row r="99" spans="2:24">
      <c r="B99" s="39">
        <v>39356</v>
      </c>
      <c r="C99" s="38">
        <v>2279214477</v>
      </c>
      <c r="D99" s="17" t="s">
        <v>4</v>
      </c>
      <c r="E99" s="17">
        <v>6</v>
      </c>
      <c r="H99" s="37">
        <v>39234</v>
      </c>
      <c r="I99" s="17">
        <v>48262039856</v>
      </c>
      <c r="K99" s="37">
        <v>39203</v>
      </c>
      <c r="L99" s="17">
        <v>1198412583.6700001</v>
      </c>
      <c r="N99" s="37">
        <v>39142</v>
      </c>
      <c r="O99" s="17">
        <v>47629783273.940002</v>
      </c>
      <c r="P99" s="43">
        <f>VLOOKUP($N99,'Pivot equal'!C:D,2,0)</f>
        <v>28183297166.309998</v>
      </c>
      <c r="Q99" s="43">
        <f>VLOOKUP(N99,'Pivot equal'!G:H,2,0)</f>
        <v>21409133997.16</v>
      </c>
      <c r="R99" s="43">
        <f>VLOOKUP(N99,'Pivot equal'!K:L,2,0)</f>
        <v>7241357422</v>
      </c>
      <c r="S99" s="43">
        <f>VLOOKUP(N99,CurrentMtgRatesDataTable9[],2,0)</f>
        <v>14264823452.200001</v>
      </c>
      <c r="T99" s="43">
        <f>VLOOKUP(N99,CurrentMtgRatesDataTable93[],2,0)</f>
        <v>764154396.39999998</v>
      </c>
      <c r="U99" s="44">
        <f>CurrentMtgRatesDataTable8[[#This Row],[Top 10 Amount]]/CurrentMtgRatesDataTable8[[#This Row],[TotalBalance]]</f>
        <v>0.59171583889465462</v>
      </c>
      <c r="V99" s="44">
        <f>CurrentMtgRatesDataTable8[[#This Row],[Top 5 Amount]]/CurrentMtgRatesDataTable8[[#This Row],[TotalBalance]]</f>
        <v>0.44949047687298044</v>
      </c>
      <c r="W99" s="44">
        <f>CurrentMtgRatesDataTable8[[#This Row],[Top 1 Amount]]/CurrentMtgRatesDataTable8[[#This Row],[TotalBalance]]</f>
        <v>0.15203422993448748</v>
      </c>
      <c r="X99" s="44">
        <f>CurrentMtgRatesDataTable8[[#This Row],[N/A Amount]]/CurrentMtgRatesDataTable8[[#This Row],[TotalBalance]]</f>
        <v>1.6043625309084639E-2</v>
      </c>
    </row>
    <row r="100" spans="2:24">
      <c r="B100" s="39">
        <v>39356</v>
      </c>
      <c r="C100" s="38">
        <v>1995857574.76</v>
      </c>
      <c r="D100" s="17" t="s">
        <v>20</v>
      </c>
      <c r="E100" s="17">
        <v>7</v>
      </c>
      <c r="H100" s="37">
        <v>39203</v>
      </c>
      <c r="I100" s="17">
        <v>13735083658</v>
      </c>
      <c r="K100" s="59">
        <v>39173</v>
      </c>
      <c r="L100" s="60">
        <v>1297352386.8</v>
      </c>
      <c r="N100" s="37">
        <v>39114</v>
      </c>
      <c r="O100" s="17">
        <v>46067240921.730003</v>
      </c>
      <c r="P100" s="43">
        <f>VLOOKUP($N100,'Pivot equal'!C:D,2,0)</f>
        <v>30108179192.459999</v>
      </c>
      <c r="Q100" s="43">
        <f>VLOOKUP(N100,'Pivot equal'!G:H,2,0)</f>
        <v>23003134874.119999</v>
      </c>
      <c r="R100" s="43">
        <f>VLOOKUP(N100,'Pivot equal'!K:L,2,0)</f>
        <v>8625817045</v>
      </c>
      <c r="S100" s="43">
        <f>VLOOKUP(N100,CurrentMtgRatesDataTable9[],2,0)</f>
        <v>10090446420</v>
      </c>
      <c r="T100" s="43">
        <f>VLOOKUP(N100,CurrentMtgRatesDataTable93[],2,0)</f>
        <v>767266555.07000005</v>
      </c>
      <c r="U100" s="44">
        <f>CurrentMtgRatesDataTable8[[#This Row],[Top 10 Amount]]/CurrentMtgRatesDataTable8[[#This Row],[TotalBalance]]</f>
        <v>0.65357027228122788</v>
      </c>
      <c r="V100" s="44">
        <f>CurrentMtgRatesDataTable8[[#This Row],[Top 5 Amount]]/CurrentMtgRatesDataTable8[[#This Row],[TotalBalance]]</f>
        <v>0.49933823719122233</v>
      </c>
      <c r="W100" s="44">
        <f>CurrentMtgRatesDataTable8[[#This Row],[Top 1 Amount]]/CurrentMtgRatesDataTable8[[#This Row],[TotalBalance]]</f>
        <v>0.18724405613211331</v>
      </c>
      <c r="X100" s="44">
        <f>CurrentMtgRatesDataTable8[[#This Row],[N/A Amount]]/CurrentMtgRatesDataTable8[[#This Row],[TotalBalance]]</f>
        <v>1.665536159140972E-2</v>
      </c>
    </row>
    <row r="101" spans="2:24">
      <c r="B101" s="37">
        <v>39356</v>
      </c>
      <c r="C101" s="17">
        <v>1924748303.6900001</v>
      </c>
      <c r="D101" s="17" t="s">
        <v>21</v>
      </c>
      <c r="E101" s="17">
        <v>8</v>
      </c>
      <c r="H101" s="59">
        <v>39173</v>
      </c>
      <c r="I101" s="60">
        <v>11172945973</v>
      </c>
      <c r="K101" s="37">
        <v>39142</v>
      </c>
      <c r="L101" s="17">
        <v>764154396.39999998</v>
      </c>
      <c r="N101" s="64">
        <v>39083</v>
      </c>
      <c r="O101" s="65">
        <v>49068464062.099998</v>
      </c>
      <c r="P101" s="66">
        <f>VLOOKUP($N101,'Pivot equal'!C:D,2,0)</f>
        <v>30025183870.150002</v>
      </c>
      <c r="Q101" s="66">
        <f>VLOOKUP(N101,'Pivot equal'!G:H,2,0)</f>
        <v>24746998505.490002</v>
      </c>
      <c r="R101" s="66">
        <f>VLOOKUP(N101,'Pivot equal'!K:L,2,0)</f>
        <v>9008075393</v>
      </c>
      <c r="S101" s="66">
        <f>VLOOKUP(N101,CurrentMtgRatesDataTable9[],2,0)</f>
        <v>12755199686.66</v>
      </c>
      <c r="T101" s="66">
        <f>VLOOKUP(N101,CurrentMtgRatesDataTable93[],2,0)</f>
        <v>804992277.03999996</v>
      </c>
      <c r="U101" s="67">
        <f>CurrentMtgRatesDataTable8[[#This Row],[Top 10 Amount]]/CurrentMtgRatesDataTable8[[#This Row],[TotalBalance]]</f>
        <v>0.61190388662157369</v>
      </c>
      <c r="V101" s="67">
        <f>CurrentMtgRatesDataTable8[[#This Row],[Top 5 Amount]]/CurrentMtgRatesDataTable8[[#This Row],[TotalBalance]]</f>
        <v>0.50433611441700577</v>
      </c>
      <c r="W101" s="67">
        <f>CurrentMtgRatesDataTable8[[#This Row],[Top 1 Amount]]/CurrentMtgRatesDataTable8[[#This Row],[TotalBalance]]</f>
        <v>0.18358176815152746</v>
      </c>
      <c r="X101" s="67">
        <f>CurrentMtgRatesDataTable8[[#This Row],[N/A Amount]]/CurrentMtgRatesDataTable8[[#This Row],[TotalBalance]]</f>
        <v>1.6405491641662533E-2</v>
      </c>
    </row>
    <row r="102" spans="2:24">
      <c r="B102" s="37">
        <v>39356</v>
      </c>
      <c r="C102" s="17">
        <v>1724424141.5899999</v>
      </c>
      <c r="D102" s="17" t="s">
        <v>10</v>
      </c>
      <c r="E102" s="17">
        <v>9</v>
      </c>
      <c r="H102" s="37">
        <v>39142</v>
      </c>
      <c r="I102" s="17">
        <v>14264823452.200001</v>
      </c>
      <c r="K102" s="37">
        <v>39114</v>
      </c>
      <c r="L102" s="17">
        <v>767266555.07000005</v>
      </c>
    </row>
    <row r="103" spans="2:24">
      <c r="B103" s="37">
        <v>39356</v>
      </c>
      <c r="C103" s="17">
        <v>1420438348.6199999</v>
      </c>
      <c r="D103" s="17" t="s">
        <v>17</v>
      </c>
      <c r="E103" s="17">
        <v>10</v>
      </c>
      <c r="H103" s="37">
        <v>39114</v>
      </c>
      <c r="I103" s="17">
        <v>10090446420</v>
      </c>
      <c r="K103" s="64">
        <v>39083</v>
      </c>
      <c r="L103" s="65">
        <v>804992277.03999996</v>
      </c>
    </row>
    <row r="104" spans="2:24">
      <c r="B104" s="37">
        <v>39387</v>
      </c>
      <c r="C104" s="17">
        <v>9251362639</v>
      </c>
      <c r="D104" s="17" t="s">
        <v>6</v>
      </c>
      <c r="E104" s="17">
        <v>1</v>
      </c>
      <c r="H104" s="64">
        <v>39083</v>
      </c>
      <c r="I104" s="65">
        <v>12755199686.66</v>
      </c>
    </row>
    <row r="105" spans="2:24">
      <c r="B105" s="37">
        <v>39387</v>
      </c>
      <c r="C105" s="17">
        <v>5971674440.9099998</v>
      </c>
      <c r="D105" s="17" t="s">
        <v>11</v>
      </c>
      <c r="E105" s="17">
        <v>2</v>
      </c>
    </row>
    <row r="106" spans="2:24">
      <c r="B106" s="37">
        <v>39387</v>
      </c>
      <c r="C106" s="17">
        <v>5620224592</v>
      </c>
      <c r="D106" s="17" t="s">
        <v>7</v>
      </c>
      <c r="E106" s="17">
        <v>3</v>
      </c>
    </row>
    <row r="107" spans="2:24">
      <c r="B107" s="37">
        <v>39387</v>
      </c>
      <c r="C107" s="17">
        <v>4108599053.3899999</v>
      </c>
      <c r="D107" s="17" t="s">
        <v>13</v>
      </c>
      <c r="E107" s="17">
        <v>4</v>
      </c>
    </row>
    <row r="108" spans="2:24">
      <c r="B108" s="37">
        <v>39387</v>
      </c>
      <c r="C108" s="17">
        <v>2965658446.6199999</v>
      </c>
      <c r="D108" s="17" t="s">
        <v>34</v>
      </c>
      <c r="E108" s="17">
        <v>5</v>
      </c>
    </row>
    <row r="109" spans="2:24">
      <c r="B109" s="37">
        <v>39387</v>
      </c>
      <c r="C109" s="17">
        <v>2860822903</v>
      </c>
      <c r="D109" s="17" t="s">
        <v>4</v>
      </c>
      <c r="E109" s="17">
        <v>6</v>
      </c>
    </row>
    <row r="110" spans="2:24">
      <c r="B110" s="37">
        <v>39387</v>
      </c>
      <c r="C110" s="17">
        <v>2316613344.4400001</v>
      </c>
      <c r="D110" s="17" t="s">
        <v>20</v>
      </c>
      <c r="E110" s="17">
        <v>7</v>
      </c>
    </row>
    <row r="111" spans="2:24">
      <c r="B111" s="37">
        <v>39387</v>
      </c>
      <c r="C111" s="17">
        <v>2288150693</v>
      </c>
      <c r="D111" s="17" t="s">
        <v>17</v>
      </c>
      <c r="E111" s="17">
        <v>8</v>
      </c>
    </row>
    <row r="112" spans="2:24">
      <c r="B112" s="37">
        <v>39387</v>
      </c>
      <c r="C112" s="17">
        <v>1576791161</v>
      </c>
      <c r="D112" s="17" t="s">
        <v>35</v>
      </c>
      <c r="E112" s="17">
        <v>9</v>
      </c>
    </row>
    <row r="113" spans="2:5">
      <c r="B113" s="37">
        <v>39387</v>
      </c>
      <c r="C113" s="17">
        <v>1466684614.3</v>
      </c>
      <c r="D113" s="17" t="s">
        <v>10</v>
      </c>
      <c r="E113" s="17">
        <v>10</v>
      </c>
    </row>
    <row r="114" spans="2:5">
      <c r="B114" s="37">
        <v>39417</v>
      </c>
      <c r="C114" s="17">
        <v>12421827356.389999</v>
      </c>
      <c r="D114" s="17" t="s">
        <v>6</v>
      </c>
      <c r="E114" s="17">
        <v>1</v>
      </c>
    </row>
    <row r="115" spans="2:5">
      <c r="B115" s="37">
        <v>39417</v>
      </c>
      <c r="C115" s="17">
        <v>10045544086.389999</v>
      </c>
      <c r="D115" s="17" t="s">
        <v>7</v>
      </c>
      <c r="E115" s="17">
        <v>2</v>
      </c>
    </row>
    <row r="116" spans="2:5">
      <c r="B116" s="37">
        <v>39417</v>
      </c>
      <c r="C116" s="17">
        <v>5882860464.71</v>
      </c>
      <c r="D116" s="17" t="s">
        <v>13</v>
      </c>
      <c r="E116" s="17">
        <v>3</v>
      </c>
    </row>
    <row r="117" spans="2:5">
      <c r="B117" s="37">
        <v>39417</v>
      </c>
      <c r="C117" s="17">
        <v>4169881135</v>
      </c>
      <c r="D117" s="17" t="s">
        <v>11</v>
      </c>
      <c r="E117" s="17">
        <v>4</v>
      </c>
    </row>
    <row r="118" spans="2:5">
      <c r="B118" s="37">
        <v>39417</v>
      </c>
      <c r="C118" s="17">
        <v>2828027093.6300001</v>
      </c>
      <c r="D118" s="17" t="s">
        <v>20</v>
      </c>
      <c r="E118" s="17">
        <v>5</v>
      </c>
    </row>
    <row r="119" spans="2:5">
      <c r="B119" s="37">
        <v>39417</v>
      </c>
      <c r="C119" s="17">
        <v>2768397368.6799998</v>
      </c>
      <c r="D119" s="17" t="s">
        <v>34</v>
      </c>
      <c r="E119" s="17">
        <v>6</v>
      </c>
    </row>
    <row r="120" spans="2:5">
      <c r="B120" s="37">
        <v>39417</v>
      </c>
      <c r="C120" s="17">
        <v>2580187388</v>
      </c>
      <c r="D120" s="17" t="s">
        <v>4</v>
      </c>
      <c r="E120" s="17">
        <v>7</v>
      </c>
    </row>
    <row r="121" spans="2:5">
      <c r="B121" s="37">
        <v>39417</v>
      </c>
      <c r="C121" s="17">
        <v>1812559084.9200001</v>
      </c>
      <c r="D121" s="17" t="s">
        <v>17</v>
      </c>
      <c r="E121" s="17">
        <v>8</v>
      </c>
    </row>
    <row r="122" spans="2:5">
      <c r="B122" s="37">
        <v>39417</v>
      </c>
      <c r="C122" s="17">
        <v>1736453448</v>
      </c>
      <c r="D122" s="17" t="s">
        <v>21</v>
      </c>
      <c r="E122" s="17">
        <v>9</v>
      </c>
    </row>
    <row r="123" spans="2:5">
      <c r="B123" s="37">
        <v>39417</v>
      </c>
      <c r="C123" s="17">
        <v>1592827444.7</v>
      </c>
      <c r="D123" s="17" t="s">
        <v>10</v>
      </c>
      <c r="E123" s="17">
        <v>10</v>
      </c>
    </row>
    <row r="124" spans="2:5">
      <c r="B124" s="37">
        <v>39448</v>
      </c>
      <c r="C124" s="17">
        <v>8728590817.0499992</v>
      </c>
      <c r="D124" s="17" t="s">
        <v>6</v>
      </c>
      <c r="E124" s="17">
        <v>1</v>
      </c>
    </row>
    <row r="125" spans="2:5">
      <c r="B125" s="37">
        <v>39448</v>
      </c>
      <c r="C125" s="17">
        <v>7108699161</v>
      </c>
      <c r="D125" s="17" t="s">
        <v>7</v>
      </c>
      <c r="E125" s="17">
        <v>2</v>
      </c>
    </row>
    <row r="126" spans="2:5">
      <c r="B126" s="37">
        <v>39448</v>
      </c>
      <c r="C126" s="17">
        <v>5183225453.21</v>
      </c>
      <c r="D126" s="17" t="s">
        <v>11</v>
      </c>
      <c r="E126" s="17">
        <v>3</v>
      </c>
    </row>
    <row r="127" spans="2:5">
      <c r="B127" s="37">
        <v>39448</v>
      </c>
      <c r="C127" s="17">
        <v>3079886257.0799999</v>
      </c>
      <c r="D127" s="17" t="s">
        <v>13</v>
      </c>
      <c r="E127" s="17">
        <v>4</v>
      </c>
    </row>
    <row r="128" spans="2:5">
      <c r="B128" s="37">
        <v>39448</v>
      </c>
      <c r="C128" s="17">
        <v>2858003053.02</v>
      </c>
      <c r="D128" s="17" t="s">
        <v>20</v>
      </c>
      <c r="E128" s="17">
        <v>5</v>
      </c>
    </row>
    <row r="129" spans="2:5">
      <c r="B129" s="37">
        <v>39448</v>
      </c>
      <c r="C129" s="17">
        <v>2753435609.96</v>
      </c>
      <c r="D129" s="17" t="s">
        <v>4</v>
      </c>
      <c r="E129" s="17">
        <v>6</v>
      </c>
    </row>
    <row r="130" spans="2:5">
      <c r="B130" s="37">
        <v>39448</v>
      </c>
      <c r="C130" s="17">
        <v>2721529982.6700001</v>
      </c>
      <c r="D130" s="17" t="s">
        <v>34</v>
      </c>
      <c r="E130" s="17">
        <v>7</v>
      </c>
    </row>
    <row r="131" spans="2:5">
      <c r="B131" s="37">
        <v>39448</v>
      </c>
      <c r="C131" s="17">
        <v>1575464486</v>
      </c>
      <c r="D131" s="17" t="s">
        <v>21</v>
      </c>
      <c r="E131" s="17">
        <v>8</v>
      </c>
    </row>
    <row r="132" spans="2:5">
      <c r="B132" s="37">
        <v>39448</v>
      </c>
      <c r="C132" s="17">
        <v>1438300798</v>
      </c>
      <c r="D132" s="17" t="s">
        <v>35</v>
      </c>
      <c r="E132" s="17">
        <v>9</v>
      </c>
    </row>
    <row r="133" spans="2:5">
      <c r="B133" s="37">
        <v>39448</v>
      </c>
      <c r="C133" s="17">
        <v>1002322471</v>
      </c>
      <c r="D133" s="17" t="s">
        <v>22</v>
      </c>
      <c r="E133" s="17">
        <v>10</v>
      </c>
    </row>
    <row r="134" spans="2:5">
      <c r="B134" s="37">
        <v>39479</v>
      </c>
      <c r="C134" s="17">
        <v>10940578643.9</v>
      </c>
      <c r="D134" s="17" t="s">
        <v>6</v>
      </c>
      <c r="E134" s="17">
        <v>1</v>
      </c>
    </row>
    <row r="135" spans="2:5">
      <c r="B135" s="37">
        <v>39479</v>
      </c>
      <c r="C135" s="17">
        <v>8522227078.8999996</v>
      </c>
      <c r="D135" s="17" t="s">
        <v>7</v>
      </c>
      <c r="E135" s="17">
        <v>2</v>
      </c>
    </row>
    <row r="136" spans="2:5">
      <c r="B136" s="37">
        <v>39479</v>
      </c>
      <c r="C136" s="17">
        <v>6061047145.0900002</v>
      </c>
      <c r="D136" s="17" t="s">
        <v>11</v>
      </c>
      <c r="E136" s="17">
        <v>3</v>
      </c>
    </row>
    <row r="137" spans="2:5">
      <c r="B137" s="37">
        <v>39479</v>
      </c>
      <c r="C137" s="17">
        <v>3648839072.79</v>
      </c>
      <c r="D137" s="17" t="s">
        <v>13</v>
      </c>
      <c r="E137" s="17">
        <v>4</v>
      </c>
    </row>
    <row r="138" spans="2:5">
      <c r="B138" s="37">
        <v>39479</v>
      </c>
      <c r="C138" s="17">
        <v>3383016344.3800001</v>
      </c>
      <c r="D138" s="17" t="s">
        <v>34</v>
      </c>
      <c r="E138" s="17">
        <v>5</v>
      </c>
    </row>
    <row r="139" spans="2:5">
      <c r="B139" s="37">
        <v>39479</v>
      </c>
      <c r="C139" s="17">
        <v>2975112864.3200002</v>
      </c>
      <c r="D139" s="17" t="s">
        <v>4</v>
      </c>
      <c r="E139" s="17">
        <v>6</v>
      </c>
    </row>
    <row r="140" spans="2:5">
      <c r="B140" s="37">
        <v>39479</v>
      </c>
      <c r="C140" s="17">
        <v>2798703942.1700001</v>
      </c>
      <c r="D140" s="17" t="s">
        <v>20</v>
      </c>
      <c r="E140" s="17">
        <v>7</v>
      </c>
    </row>
    <row r="141" spans="2:5">
      <c r="B141" s="37">
        <v>39479</v>
      </c>
      <c r="C141" s="17">
        <v>1512143012.0999999</v>
      </c>
      <c r="D141" s="17" t="s">
        <v>10</v>
      </c>
      <c r="E141" s="17">
        <v>8</v>
      </c>
    </row>
    <row r="142" spans="2:5">
      <c r="B142" s="37">
        <v>39479</v>
      </c>
      <c r="C142" s="17">
        <v>1473943766.0599999</v>
      </c>
      <c r="D142" s="17" t="s">
        <v>21</v>
      </c>
      <c r="E142" s="17">
        <v>9</v>
      </c>
    </row>
    <row r="143" spans="2:5">
      <c r="B143" s="37">
        <v>39479</v>
      </c>
      <c r="C143" s="17">
        <v>1324787937</v>
      </c>
      <c r="D143" s="17" t="s">
        <v>35</v>
      </c>
      <c r="E143" s="17">
        <v>10</v>
      </c>
    </row>
    <row r="144" spans="2:5">
      <c r="B144" s="37">
        <v>39508</v>
      </c>
      <c r="C144" s="17">
        <v>7127437485.3199997</v>
      </c>
      <c r="D144" s="17" t="s">
        <v>6</v>
      </c>
      <c r="E144" s="17">
        <v>1</v>
      </c>
    </row>
    <row r="145" spans="2:5">
      <c r="B145" s="37">
        <v>39508</v>
      </c>
      <c r="C145" s="17">
        <v>6990008893.75</v>
      </c>
      <c r="D145" s="17" t="s">
        <v>7</v>
      </c>
      <c r="E145" s="17">
        <v>2</v>
      </c>
    </row>
    <row r="146" spans="2:5">
      <c r="B146" s="37">
        <v>39508</v>
      </c>
      <c r="C146" s="17">
        <v>3877796837.6100001</v>
      </c>
      <c r="D146" s="17" t="s">
        <v>11</v>
      </c>
      <c r="E146" s="17">
        <v>3</v>
      </c>
    </row>
    <row r="147" spans="2:5">
      <c r="B147" s="37">
        <v>39508</v>
      </c>
      <c r="C147" s="17">
        <v>3475050859</v>
      </c>
      <c r="D147" s="17" t="s">
        <v>4</v>
      </c>
      <c r="E147" s="17">
        <v>4</v>
      </c>
    </row>
    <row r="148" spans="2:5">
      <c r="B148" s="37">
        <v>39508</v>
      </c>
      <c r="C148" s="17">
        <v>2845541368.1100001</v>
      </c>
      <c r="D148" s="17" t="s">
        <v>20</v>
      </c>
      <c r="E148" s="17">
        <v>5</v>
      </c>
    </row>
    <row r="149" spans="2:5">
      <c r="B149" s="37">
        <v>39508</v>
      </c>
      <c r="C149" s="17">
        <v>1371503307</v>
      </c>
      <c r="D149" s="17" t="s">
        <v>35</v>
      </c>
      <c r="E149" s="17">
        <v>6</v>
      </c>
    </row>
    <row r="150" spans="2:5">
      <c r="B150" s="37">
        <v>39508</v>
      </c>
      <c r="C150" s="17">
        <v>1259568820.0799999</v>
      </c>
      <c r="D150" s="17" t="s">
        <v>34</v>
      </c>
      <c r="E150" s="17">
        <v>7</v>
      </c>
    </row>
    <row r="151" spans="2:5">
      <c r="B151" s="37">
        <v>39508</v>
      </c>
      <c r="C151" s="17">
        <v>1043995891.96</v>
      </c>
      <c r="D151" s="17" t="s">
        <v>13</v>
      </c>
      <c r="E151" s="17">
        <v>8</v>
      </c>
    </row>
    <row r="152" spans="2:5">
      <c r="B152" s="37">
        <v>39508</v>
      </c>
      <c r="C152" s="17">
        <v>616279069.29999995</v>
      </c>
      <c r="D152" s="17" t="s">
        <v>5</v>
      </c>
      <c r="E152" s="17">
        <v>9</v>
      </c>
    </row>
    <row r="153" spans="2:5">
      <c r="B153" s="37">
        <v>39508</v>
      </c>
      <c r="C153" s="17">
        <v>585339226</v>
      </c>
      <c r="D153" s="17" t="s">
        <v>10</v>
      </c>
      <c r="E153" s="17">
        <v>10</v>
      </c>
    </row>
    <row r="154" spans="2:5">
      <c r="B154" s="37">
        <v>39539</v>
      </c>
      <c r="C154" s="17">
        <v>9380905884.8600006</v>
      </c>
      <c r="D154" s="17" t="s">
        <v>6</v>
      </c>
      <c r="E154" s="17">
        <v>1</v>
      </c>
    </row>
    <row r="155" spans="2:5">
      <c r="B155" s="37">
        <v>39539</v>
      </c>
      <c r="C155" s="17">
        <v>7330185288.3299999</v>
      </c>
      <c r="D155" s="17" t="s">
        <v>11</v>
      </c>
      <c r="E155" s="17">
        <v>2</v>
      </c>
    </row>
    <row r="156" spans="2:5">
      <c r="B156" s="37">
        <v>39539</v>
      </c>
      <c r="C156" s="17">
        <v>7056504465.8599997</v>
      </c>
      <c r="D156" s="17" t="s">
        <v>7</v>
      </c>
      <c r="E156" s="17">
        <v>3</v>
      </c>
    </row>
    <row r="157" spans="2:5">
      <c r="B157" s="37">
        <v>39539</v>
      </c>
      <c r="C157" s="17">
        <v>4688377142</v>
      </c>
      <c r="D157" s="17" t="s">
        <v>4</v>
      </c>
      <c r="E157" s="17">
        <v>4</v>
      </c>
    </row>
    <row r="158" spans="2:5">
      <c r="B158" s="37">
        <v>39539</v>
      </c>
      <c r="C158" s="17">
        <v>3682275010.96</v>
      </c>
      <c r="D158" s="17" t="s">
        <v>20</v>
      </c>
      <c r="E158" s="17">
        <v>5</v>
      </c>
    </row>
    <row r="159" spans="2:5">
      <c r="B159" s="37">
        <v>39539</v>
      </c>
      <c r="C159" s="17">
        <v>2862737507.9400001</v>
      </c>
      <c r="D159" s="17" t="s">
        <v>34</v>
      </c>
      <c r="E159" s="17">
        <v>6</v>
      </c>
    </row>
    <row r="160" spans="2:5">
      <c r="B160" s="37">
        <v>39539</v>
      </c>
      <c r="C160" s="17">
        <v>1641602106</v>
      </c>
      <c r="D160" s="17" t="s">
        <v>35</v>
      </c>
      <c r="E160" s="17">
        <v>7</v>
      </c>
    </row>
    <row r="161" spans="2:5">
      <c r="B161" s="37">
        <v>39539</v>
      </c>
      <c r="C161" s="17">
        <v>1458591196</v>
      </c>
      <c r="D161" s="17" t="s">
        <v>13</v>
      </c>
      <c r="E161" s="17">
        <v>8</v>
      </c>
    </row>
    <row r="162" spans="2:5">
      <c r="B162" s="37">
        <v>39539</v>
      </c>
      <c r="C162" s="17">
        <v>1254020508.1600001</v>
      </c>
      <c r="D162" s="17" t="s">
        <v>10</v>
      </c>
      <c r="E162" s="17">
        <v>9</v>
      </c>
    </row>
    <row r="163" spans="2:5">
      <c r="B163" s="37">
        <v>39539</v>
      </c>
      <c r="C163" s="17">
        <v>1144391387.9100001</v>
      </c>
      <c r="D163" s="17" t="s">
        <v>5</v>
      </c>
      <c r="E163" s="17">
        <v>10</v>
      </c>
    </row>
    <row r="164" spans="2:5">
      <c r="B164" s="37">
        <v>39569</v>
      </c>
      <c r="C164" s="17">
        <v>12080553097.469999</v>
      </c>
      <c r="D164" s="17" t="s">
        <v>6</v>
      </c>
      <c r="E164" s="17">
        <v>1</v>
      </c>
    </row>
    <row r="165" spans="2:5">
      <c r="B165" s="37">
        <v>39569</v>
      </c>
      <c r="C165" s="17">
        <v>7196631371.5799999</v>
      </c>
      <c r="D165" s="17" t="s">
        <v>7</v>
      </c>
      <c r="E165" s="17">
        <v>2</v>
      </c>
    </row>
    <row r="166" spans="2:5">
      <c r="B166" s="37">
        <v>39569</v>
      </c>
      <c r="C166" s="17">
        <v>5336823509</v>
      </c>
      <c r="D166" s="17" t="s">
        <v>11</v>
      </c>
      <c r="E166" s="17">
        <v>3</v>
      </c>
    </row>
    <row r="167" spans="2:5">
      <c r="B167" s="37">
        <v>39569</v>
      </c>
      <c r="C167" s="17">
        <v>3359247837.3800001</v>
      </c>
      <c r="D167" s="17" t="s">
        <v>13</v>
      </c>
      <c r="E167" s="17">
        <v>4</v>
      </c>
    </row>
    <row r="168" spans="2:5">
      <c r="B168" s="37">
        <v>39569</v>
      </c>
      <c r="C168" s="17">
        <v>2889767287.1399999</v>
      </c>
      <c r="D168" s="17" t="s">
        <v>4</v>
      </c>
      <c r="E168" s="17">
        <v>5</v>
      </c>
    </row>
    <row r="169" spans="2:5">
      <c r="B169" s="37">
        <v>39569</v>
      </c>
      <c r="C169" s="17">
        <v>2135218352.8499999</v>
      </c>
      <c r="D169" s="17" t="s">
        <v>20</v>
      </c>
      <c r="E169" s="17">
        <v>6</v>
      </c>
    </row>
    <row r="170" spans="2:5">
      <c r="B170" s="37">
        <v>39569</v>
      </c>
      <c r="C170" s="17">
        <v>1735953431.48</v>
      </c>
      <c r="D170" s="17" t="s">
        <v>34</v>
      </c>
      <c r="E170" s="17">
        <v>7</v>
      </c>
    </row>
    <row r="171" spans="2:5">
      <c r="B171" s="37">
        <v>39569</v>
      </c>
      <c r="C171" s="17">
        <v>1202353395.3900001</v>
      </c>
      <c r="D171" s="17" t="s">
        <v>10</v>
      </c>
      <c r="E171" s="17">
        <v>8</v>
      </c>
    </row>
    <row r="172" spans="2:5">
      <c r="B172" s="37">
        <v>39569</v>
      </c>
      <c r="C172" s="17">
        <v>1180682631.77</v>
      </c>
      <c r="D172" s="17" t="s">
        <v>5</v>
      </c>
      <c r="E172" s="17">
        <v>9</v>
      </c>
    </row>
    <row r="173" spans="2:5">
      <c r="B173" s="37">
        <v>39569</v>
      </c>
      <c r="C173" s="17">
        <v>1033761031</v>
      </c>
      <c r="D173" s="17" t="s">
        <v>35</v>
      </c>
      <c r="E173" s="17">
        <v>10</v>
      </c>
    </row>
    <row r="174" spans="2:5">
      <c r="B174" s="37">
        <v>39600</v>
      </c>
      <c r="C174" s="17">
        <v>11170458526.360001</v>
      </c>
      <c r="D174" s="17" t="s">
        <v>11</v>
      </c>
      <c r="E174" s="17">
        <v>1</v>
      </c>
    </row>
    <row r="175" spans="2:5">
      <c r="B175" s="37">
        <v>39600</v>
      </c>
      <c r="C175" s="17">
        <v>7158543878.4300003</v>
      </c>
      <c r="D175" s="17" t="s">
        <v>6</v>
      </c>
      <c r="E175" s="17">
        <v>2</v>
      </c>
    </row>
    <row r="176" spans="2:5">
      <c r="B176" s="37">
        <v>39600</v>
      </c>
      <c r="C176" s="17">
        <v>4246827120.4299998</v>
      </c>
      <c r="D176" s="17" t="s">
        <v>7</v>
      </c>
      <c r="E176" s="17">
        <v>3</v>
      </c>
    </row>
    <row r="177" spans="2:5">
      <c r="B177" s="37">
        <v>39600</v>
      </c>
      <c r="C177" s="17">
        <v>4180802344.75</v>
      </c>
      <c r="D177" s="17" t="s">
        <v>13</v>
      </c>
      <c r="E177" s="17">
        <v>4</v>
      </c>
    </row>
    <row r="178" spans="2:5">
      <c r="B178" s="37">
        <v>39600</v>
      </c>
      <c r="C178" s="17">
        <v>3685367093.4400001</v>
      </c>
      <c r="D178" s="17" t="s">
        <v>4</v>
      </c>
      <c r="E178" s="17">
        <v>5</v>
      </c>
    </row>
    <row r="179" spans="2:5">
      <c r="B179" s="37">
        <v>39600</v>
      </c>
      <c r="C179" s="17">
        <v>1731032257</v>
      </c>
      <c r="D179" s="17" t="s">
        <v>35</v>
      </c>
      <c r="E179" s="17">
        <v>6</v>
      </c>
    </row>
    <row r="180" spans="2:5">
      <c r="B180" s="37">
        <v>39600</v>
      </c>
      <c r="C180" s="17">
        <v>1080842069.0799999</v>
      </c>
      <c r="D180" s="17" t="s">
        <v>20</v>
      </c>
      <c r="E180" s="17">
        <v>7</v>
      </c>
    </row>
    <row r="181" spans="2:5">
      <c r="B181" s="37">
        <v>39600</v>
      </c>
      <c r="C181" s="17">
        <v>1060745072.6799999</v>
      </c>
      <c r="D181" s="17" t="s">
        <v>14</v>
      </c>
      <c r="E181" s="17">
        <v>8</v>
      </c>
    </row>
    <row r="182" spans="2:5">
      <c r="B182" s="37">
        <v>39600</v>
      </c>
      <c r="C182" s="17">
        <v>1025803901.03</v>
      </c>
      <c r="D182" s="17" t="s">
        <v>34</v>
      </c>
      <c r="E182" s="17">
        <v>9</v>
      </c>
    </row>
    <row r="183" spans="2:5">
      <c r="B183" s="37">
        <v>39600</v>
      </c>
      <c r="C183" s="17">
        <v>934123233.22000003</v>
      </c>
      <c r="D183" s="17" t="s">
        <v>5</v>
      </c>
      <c r="E183" s="17">
        <v>10</v>
      </c>
    </row>
    <row r="184" spans="2:5">
      <c r="B184" s="37">
        <v>39630</v>
      </c>
      <c r="C184" s="17">
        <v>5246259446.8599997</v>
      </c>
      <c r="D184" s="17" t="s">
        <v>6</v>
      </c>
      <c r="E184" s="17">
        <v>1</v>
      </c>
    </row>
    <row r="185" spans="2:5">
      <c r="B185" s="37">
        <v>39630</v>
      </c>
      <c r="C185" s="17">
        <v>5061020702</v>
      </c>
      <c r="D185" s="17" t="s">
        <v>11</v>
      </c>
      <c r="E185" s="17">
        <v>2</v>
      </c>
    </row>
    <row r="186" spans="2:5">
      <c r="B186" s="37">
        <v>39630</v>
      </c>
      <c r="C186" s="17">
        <v>3677510879.8600001</v>
      </c>
      <c r="D186" s="17" t="s">
        <v>7</v>
      </c>
      <c r="E186" s="17">
        <v>3</v>
      </c>
    </row>
    <row r="187" spans="2:5">
      <c r="B187" s="37">
        <v>39630</v>
      </c>
      <c r="C187" s="17">
        <v>3379179274.5999999</v>
      </c>
      <c r="D187" s="17" t="s">
        <v>13</v>
      </c>
      <c r="E187" s="17">
        <v>4</v>
      </c>
    </row>
    <row r="188" spans="2:5">
      <c r="B188" s="37">
        <v>39630</v>
      </c>
      <c r="C188" s="17">
        <v>2293997579.0900002</v>
      </c>
      <c r="D188" s="17" t="s">
        <v>4</v>
      </c>
      <c r="E188" s="17">
        <v>5</v>
      </c>
    </row>
    <row r="189" spans="2:5">
      <c r="B189" s="37">
        <v>39630</v>
      </c>
      <c r="C189" s="17">
        <v>1370360829.9300001</v>
      </c>
      <c r="D189" s="17" t="s">
        <v>34</v>
      </c>
      <c r="E189" s="17">
        <v>6</v>
      </c>
    </row>
    <row r="190" spans="2:5">
      <c r="B190" s="37">
        <v>39630</v>
      </c>
      <c r="C190" s="17">
        <v>1349863752</v>
      </c>
      <c r="D190" s="17" t="s">
        <v>35</v>
      </c>
      <c r="E190" s="17">
        <v>7</v>
      </c>
    </row>
    <row r="191" spans="2:5">
      <c r="B191" s="37">
        <v>39630</v>
      </c>
      <c r="C191" s="17">
        <v>1296601251.3199999</v>
      </c>
      <c r="D191" s="17" t="s">
        <v>20</v>
      </c>
      <c r="E191" s="17">
        <v>8</v>
      </c>
    </row>
    <row r="192" spans="2:5">
      <c r="B192" s="37">
        <v>39630</v>
      </c>
      <c r="C192" s="17">
        <v>1041107194.3200001</v>
      </c>
      <c r="D192" s="17" t="s">
        <v>5</v>
      </c>
      <c r="E192" s="17">
        <v>9</v>
      </c>
    </row>
    <row r="193" spans="2:5">
      <c r="B193" s="37">
        <v>39630</v>
      </c>
      <c r="C193" s="17">
        <v>945798148.61000001</v>
      </c>
      <c r="D193" s="17" t="s">
        <v>10</v>
      </c>
      <c r="E193" s="17">
        <v>10</v>
      </c>
    </row>
    <row r="194" spans="2:5">
      <c r="B194" s="37">
        <v>39661</v>
      </c>
      <c r="C194" s="17">
        <v>4827258509.6899996</v>
      </c>
      <c r="D194" s="17" t="s">
        <v>11</v>
      </c>
      <c r="E194" s="17">
        <v>1</v>
      </c>
    </row>
    <row r="195" spans="2:5">
      <c r="B195" s="37">
        <v>39661</v>
      </c>
      <c r="C195" s="17">
        <v>3855453030.6300001</v>
      </c>
      <c r="D195" s="17" t="s">
        <v>13</v>
      </c>
      <c r="E195" s="17">
        <v>2</v>
      </c>
    </row>
    <row r="196" spans="2:5">
      <c r="B196" s="37">
        <v>39661</v>
      </c>
      <c r="C196" s="17">
        <v>3724004372.54</v>
      </c>
      <c r="D196" s="17" t="s">
        <v>6</v>
      </c>
      <c r="E196" s="17">
        <v>3</v>
      </c>
    </row>
    <row r="197" spans="2:5">
      <c r="B197" s="37">
        <v>39661</v>
      </c>
      <c r="C197" s="17">
        <v>2510869452.54</v>
      </c>
      <c r="D197" s="17" t="s">
        <v>7</v>
      </c>
      <c r="E197" s="17">
        <v>4</v>
      </c>
    </row>
    <row r="198" spans="2:5">
      <c r="B198" s="37">
        <v>39661</v>
      </c>
      <c r="C198" s="17">
        <v>1811019241.5799999</v>
      </c>
      <c r="D198" s="17" t="s">
        <v>4</v>
      </c>
      <c r="E198" s="17">
        <v>5</v>
      </c>
    </row>
    <row r="199" spans="2:5">
      <c r="B199" s="37">
        <v>39661</v>
      </c>
      <c r="C199" s="17">
        <v>1212308338</v>
      </c>
      <c r="D199" s="17" t="s">
        <v>35</v>
      </c>
      <c r="E199" s="17">
        <v>6</v>
      </c>
    </row>
    <row r="200" spans="2:5">
      <c r="B200" s="37">
        <v>39661</v>
      </c>
      <c r="C200" s="17">
        <v>1137551331.23</v>
      </c>
      <c r="D200" s="17" t="s">
        <v>34</v>
      </c>
      <c r="E200" s="17">
        <v>7</v>
      </c>
    </row>
    <row r="201" spans="2:5">
      <c r="B201" s="37">
        <v>39661</v>
      </c>
      <c r="C201" s="17">
        <v>1050886755.36</v>
      </c>
      <c r="D201" s="17" t="s">
        <v>5</v>
      </c>
      <c r="E201" s="17">
        <v>8</v>
      </c>
    </row>
    <row r="202" spans="2:5">
      <c r="B202" s="37">
        <v>39661</v>
      </c>
      <c r="C202" s="17">
        <v>1009149437.96</v>
      </c>
      <c r="D202" s="17" t="s">
        <v>20</v>
      </c>
      <c r="E202" s="17">
        <v>9</v>
      </c>
    </row>
    <row r="203" spans="2:5">
      <c r="B203" s="37">
        <v>39661</v>
      </c>
      <c r="C203" s="17">
        <v>829290393.58000004</v>
      </c>
      <c r="D203" s="17" t="s">
        <v>10</v>
      </c>
      <c r="E203" s="17">
        <v>10</v>
      </c>
    </row>
    <row r="204" spans="2:5">
      <c r="B204" s="37">
        <v>39692</v>
      </c>
      <c r="C204" s="17">
        <v>6826679614.1599998</v>
      </c>
      <c r="D204" s="17" t="s">
        <v>11</v>
      </c>
      <c r="E204" s="17">
        <v>1</v>
      </c>
    </row>
    <row r="205" spans="2:5">
      <c r="B205" s="37">
        <v>39692</v>
      </c>
      <c r="C205" s="17">
        <v>4576290883.3400002</v>
      </c>
      <c r="D205" s="17" t="s">
        <v>13</v>
      </c>
      <c r="E205" s="17">
        <v>2</v>
      </c>
    </row>
    <row r="206" spans="2:5">
      <c r="B206" s="37">
        <v>39692</v>
      </c>
      <c r="C206" s="17">
        <v>3721284450.75</v>
      </c>
      <c r="D206" s="17" t="s">
        <v>6</v>
      </c>
      <c r="E206" s="17">
        <v>3</v>
      </c>
    </row>
    <row r="207" spans="2:5">
      <c r="B207" s="37">
        <v>39692</v>
      </c>
      <c r="C207" s="17">
        <v>2390970582.23</v>
      </c>
      <c r="D207" s="17" t="s">
        <v>12</v>
      </c>
      <c r="E207" s="17">
        <v>4</v>
      </c>
    </row>
    <row r="208" spans="2:5">
      <c r="B208" s="37">
        <v>39692</v>
      </c>
      <c r="C208" s="17">
        <v>2326562293.4099998</v>
      </c>
      <c r="D208" s="17" t="s">
        <v>4</v>
      </c>
      <c r="E208" s="17">
        <v>5</v>
      </c>
    </row>
    <row r="209" spans="2:5">
      <c r="B209" s="37">
        <v>39692</v>
      </c>
      <c r="C209" s="17">
        <v>1757341434.5</v>
      </c>
      <c r="D209" s="17" t="s">
        <v>7</v>
      </c>
      <c r="E209" s="17">
        <v>6</v>
      </c>
    </row>
    <row r="210" spans="2:5">
      <c r="B210" s="37">
        <v>39692</v>
      </c>
      <c r="C210" s="17">
        <v>1332940093.6900001</v>
      </c>
      <c r="D210" s="17" t="s">
        <v>34</v>
      </c>
      <c r="E210" s="17">
        <v>7</v>
      </c>
    </row>
    <row r="211" spans="2:5">
      <c r="B211" s="37">
        <v>39692</v>
      </c>
      <c r="C211" s="17">
        <v>1097946836.3599999</v>
      </c>
      <c r="D211" s="17" t="s">
        <v>35</v>
      </c>
      <c r="E211" s="17">
        <v>8</v>
      </c>
    </row>
    <row r="212" spans="2:5">
      <c r="B212" s="37">
        <v>39692</v>
      </c>
      <c r="C212" s="17">
        <v>1080669747.9100001</v>
      </c>
      <c r="D212" s="17" t="s">
        <v>20</v>
      </c>
      <c r="E212" s="17">
        <v>9</v>
      </c>
    </row>
    <row r="213" spans="2:5">
      <c r="B213" s="37">
        <v>39692</v>
      </c>
      <c r="C213" s="17">
        <v>711290312.90999997</v>
      </c>
      <c r="D213" s="17" t="s">
        <v>10</v>
      </c>
      <c r="E213" s="17">
        <v>10</v>
      </c>
    </row>
    <row r="214" spans="2:5">
      <c r="B214" s="37">
        <v>39722</v>
      </c>
      <c r="C214" s="17">
        <v>3655203702.7600002</v>
      </c>
      <c r="D214" s="17" t="s">
        <v>11</v>
      </c>
      <c r="E214" s="17">
        <v>1</v>
      </c>
    </row>
    <row r="215" spans="2:5">
      <c r="B215" s="37">
        <v>39722</v>
      </c>
      <c r="C215" s="17">
        <v>3299307846.8800001</v>
      </c>
      <c r="D215" s="17" t="s">
        <v>4</v>
      </c>
      <c r="E215" s="17">
        <v>2</v>
      </c>
    </row>
    <row r="216" spans="2:5">
      <c r="B216" s="37">
        <v>39722</v>
      </c>
      <c r="C216" s="17">
        <v>2740026309.71</v>
      </c>
      <c r="D216" s="17" t="s">
        <v>6</v>
      </c>
      <c r="E216" s="17">
        <v>3</v>
      </c>
    </row>
    <row r="217" spans="2:5">
      <c r="B217" s="37">
        <v>39722</v>
      </c>
      <c r="C217" s="17">
        <v>2029327063.1300001</v>
      </c>
      <c r="D217" s="17" t="s">
        <v>7</v>
      </c>
      <c r="E217" s="17">
        <v>4</v>
      </c>
    </row>
    <row r="218" spans="2:5">
      <c r="B218" s="37">
        <v>39722</v>
      </c>
      <c r="C218" s="17">
        <v>1556910841.1199999</v>
      </c>
      <c r="D218" s="17" t="s">
        <v>13</v>
      </c>
      <c r="E218" s="17">
        <v>5</v>
      </c>
    </row>
    <row r="219" spans="2:5">
      <c r="B219" s="37">
        <v>39722</v>
      </c>
      <c r="C219" s="17">
        <v>1199444316</v>
      </c>
      <c r="D219" s="17" t="s">
        <v>34</v>
      </c>
      <c r="E219" s="17">
        <v>6</v>
      </c>
    </row>
    <row r="220" spans="2:5">
      <c r="B220" s="37">
        <v>39722</v>
      </c>
      <c r="C220" s="17">
        <v>1065916156.21</v>
      </c>
      <c r="D220" s="17" t="s">
        <v>35</v>
      </c>
      <c r="E220" s="17">
        <v>7</v>
      </c>
    </row>
    <row r="221" spans="2:5">
      <c r="B221" s="37">
        <v>39722</v>
      </c>
      <c r="C221" s="17">
        <v>995868510.13</v>
      </c>
      <c r="D221" s="17" t="s">
        <v>20</v>
      </c>
      <c r="E221" s="17">
        <v>8</v>
      </c>
    </row>
    <row r="222" spans="2:5">
      <c r="B222" s="37">
        <v>39722</v>
      </c>
      <c r="C222" s="17">
        <v>681109796</v>
      </c>
      <c r="D222" s="17" t="s">
        <v>10</v>
      </c>
      <c r="E222" s="17">
        <v>9</v>
      </c>
    </row>
    <row r="223" spans="2:5">
      <c r="B223" s="37">
        <v>39722</v>
      </c>
      <c r="C223" s="17">
        <v>548837801.54999995</v>
      </c>
      <c r="D223" s="17" t="s">
        <v>5</v>
      </c>
      <c r="E223" s="17">
        <v>10</v>
      </c>
    </row>
    <row r="224" spans="2:5">
      <c r="B224" s="37">
        <v>39753</v>
      </c>
      <c r="C224" s="17">
        <v>4550926488.3800001</v>
      </c>
      <c r="D224" s="17" t="s">
        <v>11</v>
      </c>
      <c r="E224" s="17">
        <v>1</v>
      </c>
    </row>
    <row r="225" spans="2:5">
      <c r="B225" s="37">
        <v>39753</v>
      </c>
      <c r="C225" s="17">
        <v>2515091694.6199999</v>
      </c>
      <c r="D225" s="17" t="s">
        <v>6</v>
      </c>
      <c r="E225" s="17">
        <v>2</v>
      </c>
    </row>
    <row r="226" spans="2:5">
      <c r="B226" s="37">
        <v>39753</v>
      </c>
      <c r="C226" s="17">
        <v>2424326679.6300001</v>
      </c>
      <c r="D226" s="17" t="s">
        <v>4</v>
      </c>
      <c r="E226" s="17">
        <v>3</v>
      </c>
    </row>
    <row r="227" spans="2:5">
      <c r="B227" s="37">
        <v>39753</v>
      </c>
      <c r="C227" s="17">
        <v>2418760155.1700001</v>
      </c>
      <c r="D227" s="17" t="s">
        <v>13</v>
      </c>
      <c r="E227" s="17">
        <v>4</v>
      </c>
    </row>
    <row r="228" spans="2:5">
      <c r="B228" s="37">
        <v>39753</v>
      </c>
      <c r="C228" s="17">
        <v>1685306018.4400001</v>
      </c>
      <c r="D228" s="17" t="s">
        <v>7</v>
      </c>
      <c r="E228" s="17">
        <v>5</v>
      </c>
    </row>
    <row r="229" spans="2:5">
      <c r="B229" s="37">
        <v>39753</v>
      </c>
      <c r="C229" s="17">
        <v>1232068329</v>
      </c>
      <c r="D229" s="17" t="s">
        <v>34</v>
      </c>
      <c r="E229" s="17">
        <v>6</v>
      </c>
    </row>
    <row r="230" spans="2:5">
      <c r="B230" s="37">
        <v>39753</v>
      </c>
      <c r="C230" s="17">
        <v>715357720.58000004</v>
      </c>
      <c r="D230" s="17" t="s">
        <v>35</v>
      </c>
      <c r="E230" s="17">
        <v>7</v>
      </c>
    </row>
    <row r="231" spans="2:5">
      <c r="B231" s="37">
        <v>39753</v>
      </c>
      <c r="C231" s="17">
        <v>653795272.74000001</v>
      </c>
      <c r="D231" s="17" t="s">
        <v>20</v>
      </c>
      <c r="E231" s="17">
        <v>8</v>
      </c>
    </row>
    <row r="232" spans="2:5">
      <c r="B232" s="37">
        <v>39753</v>
      </c>
      <c r="C232" s="17">
        <v>484912507.41000003</v>
      </c>
      <c r="D232" s="17" t="s">
        <v>5</v>
      </c>
      <c r="E232" s="17">
        <v>9</v>
      </c>
    </row>
    <row r="233" spans="2:5">
      <c r="B233" s="37">
        <v>39753</v>
      </c>
      <c r="C233" s="17">
        <v>401866202.69999999</v>
      </c>
      <c r="D233" s="17" t="s">
        <v>10</v>
      </c>
      <c r="E233" s="17">
        <v>10</v>
      </c>
    </row>
    <row r="234" spans="2:5">
      <c r="B234" s="37">
        <v>39783</v>
      </c>
      <c r="C234" s="17">
        <v>8422014425.4099998</v>
      </c>
      <c r="D234" s="17" t="s">
        <v>13</v>
      </c>
      <c r="E234" s="17">
        <v>1</v>
      </c>
    </row>
    <row r="235" spans="2:5">
      <c r="B235" s="37">
        <v>39783</v>
      </c>
      <c r="C235" s="17">
        <v>5550356551.6300001</v>
      </c>
      <c r="D235" s="17" t="s">
        <v>11</v>
      </c>
      <c r="E235" s="17">
        <v>2</v>
      </c>
    </row>
    <row r="236" spans="2:5">
      <c r="B236" s="37">
        <v>39783</v>
      </c>
      <c r="C236" s="17">
        <v>3106185436.3600001</v>
      </c>
      <c r="D236" s="17" t="s">
        <v>6</v>
      </c>
      <c r="E236" s="17">
        <v>3</v>
      </c>
    </row>
    <row r="237" spans="2:5">
      <c r="B237" s="37">
        <v>39783</v>
      </c>
      <c r="C237" s="17">
        <v>2591575469.4400001</v>
      </c>
      <c r="D237" s="17" t="s">
        <v>4</v>
      </c>
      <c r="E237" s="17">
        <v>4</v>
      </c>
    </row>
    <row r="238" spans="2:5">
      <c r="B238" s="37">
        <v>39783</v>
      </c>
      <c r="C238" s="17">
        <v>2336672835.98</v>
      </c>
      <c r="D238" s="17" t="s">
        <v>26</v>
      </c>
      <c r="E238" s="17">
        <v>5</v>
      </c>
    </row>
    <row r="239" spans="2:5">
      <c r="B239" s="37">
        <v>39783</v>
      </c>
      <c r="C239" s="17">
        <v>2178270115.3600001</v>
      </c>
      <c r="D239" s="17" t="s">
        <v>7</v>
      </c>
      <c r="E239" s="17">
        <v>6</v>
      </c>
    </row>
    <row r="240" spans="2:5">
      <c r="B240" s="37">
        <v>39783</v>
      </c>
      <c r="C240" s="17">
        <v>1530928194.1400001</v>
      </c>
      <c r="D240" s="17" t="s">
        <v>38</v>
      </c>
      <c r="E240" s="17">
        <v>7</v>
      </c>
    </row>
    <row r="241" spans="2:5">
      <c r="B241" s="37">
        <v>39783</v>
      </c>
      <c r="C241" s="17">
        <v>1525277871.1700001</v>
      </c>
      <c r="D241" s="17" t="s">
        <v>17</v>
      </c>
      <c r="E241" s="17">
        <v>8</v>
      </c>
    </row>
    <row r="242" spans="2:5">
      <c r="B242" s="37">
        <v>39783</v>
      </c>
      <c r="C242" s="17">
        <v>1283604308.3099999</v>
      </c>
      <c r="D242" s="17" t="s">
        <v>20</v>
      </c>
      <c r="E242" s="17">
        <v>9</v>
      </c>
    </row>
    <row r="243" spans="2:5">
      <c r="B243" s="37">
        <v>39783</v>
      </c>
      <c r="C243" s="17">
        <v>1081151550.25</v>
      </c>
      <c r="D243" s="17" t="s">
        <v>34</v>
      </c>
      <c r="E243" s="17">
        <v>10</v>
      </c>
    </row>
    <row r="244" spans="2:5">
      <c r="B244" s="37">
        <v>39814</v>
      </c>
      <c r="C244" s="17">
        <v>3756680738.23</v>
      </c>
      <c r="D244" s="17" t="s">
        <v>11</v>
      </c>
      <c r="E244" s="17">
        <v>1</v>
      </c>
    </row>
    <row r="245" spans="2:5">
      <c r="B245" s="37">
        <v>39814</v>
      </c>
      <c r="C245" s="17">
        <v>3537510920.7199998</v>
      </c>
      <c r="D245" s="17" t="s">
        <v>6</v>
      </c>
      <c r="E245" s="17">
        <v>2</v>
      </c>
    </row>
    <row r="246" spans="2:5">
      <c r="B246" s="37">
        <v>39814</v>
      </c>
      <c r="C246" s="17">
        <v>2557155019.7199998</v>
      </c>
      <c r="D246" s="17" t="s">
        <v>7</v>
      </c>
      <c r="E246" s="17">
        <v>3</v>
      </c>
    </row>
    <row r="247" spans="2:5">
      <c r="B247" s="37">
        <v>39814</v>
      </c>
      <c r="C247" s="17">
        <v>1760296401.01</v>
      </c>
      <c r="D247" s="17" t="s">
        <v>4</v>
      </c>
      <c r="E247" s="17">
        <v>4</v>
      </c>
    </row>
    <row r="248" spans="2:5">
      <c r="B248" s="37">
        <v>39814</v>
      </c>
      <c r="C248" s="17">
        <v>923120637.58000004</v>
      </c>
      <c r="D248" s="17" t="s">
        <v>35</v>
      </c>
      <c r="E248" s="17">
        <v>5</v>
      </c>
    </row>
    <row r="249" spans="2:5">
      <c r="B249" s="37">
        <v>39814</v>
      </c>
      <c r="C249" s="17">
        <v>855120211.13</v>
      </c>
      <c r="D249" s="17" t="s">
        <v>13</v>
      </c>
      <c r="E249" s="17">
        <v>6</v>
      </c>
    </row>
    <row r="250" spans="2:5">
      <c r="B250" s="37">
        <v>39814</v>
      </c>
      <c r="C250" s="17">
        <v>724583556.05999994</v>
      </c>
      <c r="D250" s="17" t="s">
        <v>34</v>
      </c>
      <c r="E250" s="17">
        <v>7</v>
      </c>
    </row>
    <row r="251" spans="2:5">
      <c r="B251" s="37">
        <v>39814</v>
      </c>
      <c r="C251" s="17">
        <v>520733159.38</v>
      </c>
      <c r="D251" s="17" t="s">
        <v>5</v>
      </c>
      <c r="E251" s="17">
        <v>8</v>
      </c>
    </row>
    <row r="252" spans="2:5">
      <c r="B252" s="37">
        <v>39814</v>
      </c>
      <c r="C252" s="17">
        <v>478631006.50999999</v>
      </c>
      <c r="D252" s="17" t="s">
        <v>12</v>
      </c>
      <c r="E252" s="17">
        <v>9</v>
      </c>
    </row>
    <row r="253" spans="2:5">
      <c r="B253" s="37">
        <v>39814</v>
      </c>
      <c r="C253" s="17">
        <v>459181459.44</v>
      </c>
      <c r="D253" s="17" t="s">
        <v>10</v>
      </c>
      <c r="E253" s="17">
        <v>10</v>
      </c>
    </row>
    <row r="254" spans="2:5">
      <c r="B254" s="37">
        <v>39845</v>
      </c>
      <c r="C254" s="17">
        <v>9511580945.1800003</v>
      </c>
      <c r="D254" s="17" t="s">
        <v>11</v>
      </c>
      <c r="E254" s="17">
        <v>1</v>
      </c>
    </row>
    <row r="255" spans="2:5">
      <c r="B255" s="37">
        <v>39845</v>
      </c>
      <c r="C255" s="17">
        <v>9257448004.8400002</v>
      </c>
      <c r="D255" s="17" t="s">
        <v>6</v>
      </c>
      <c r="E255" s="17">
        <v>2</v>
      </c>
    </row>
    <row r="256" spans="2:5">
      <c r="B256" s="37">
        <v>39845</v>
      </c>
      <c r="C256" s="17">
        <v>2380664984.6799998</v>
      </c>
      <c r="D256" s="17" t="s">
        <v>4</v>
      </c>
      <c r="E256" s="17">
        <v>3</v>
      </c>
    </row>
    <row r="257" spans="2:5">
      <c r="B257" s="37">
        <v>39845</v>
      </c>
      <c r="C257" s="17">
        <v>2220890353.6799998</v>
      </c>
      <c r="D257" s="17" t="s">
        <v>34</v>
      </c>
      <c r="E257" s="17">
        <v>4</v>
      </c>
    </row>
    <row r="258" spans="2:5">
      <c r="B258" s="37">
        <v>39845</v>
      </c>
      <c r="C258" s="17">
        <v>1405817023</v>
      </c>
      <c r="D258" s="17" t="s">
        <v>10</v>
      </c>
      <c r="E258" s="17">
        <v>5</v>
      </c>
    </row>
    <row r="259" spans="2:5">
      <c r="B259" s="37">
        <v>39845</v>
      </c>
      <c r="C259" s="17">
        <v>1403736406.28</v>
      </c>
      <c r="D259" s="17" t="s">
        <v>13</v>
      </c>
      <c r="E259" s="17">
        <v>6</v>
      </c>
    </row>
    <row r="260" spans="2:5">
      <c r="B260" s="37">
        <v>39845</v>
      </c>
      <c r="C260" s="17">
        <v>1273764070.76</v>
      </c>
      <c r="D260" s="17" t="s">
        <v>12</v>
      </c>
      <c r="E260" s="17">
        <v>7</v>
      </c>
    </row>
    <row r="261" spans="2:5">
      <c r="B261" s="37">
        <v>39845</v>
      </c>
      <c r="C261" s="17">
        <v>1078154854.03</v>
      </c>
      <c r="D261" s="17" t="s">
        <v>35</v>
      </c>
      <c r="E261" s="17">
        <v>8</v>
      </c>
    </row>
    <row r="262" spans="2:5">
      <c r="B262" s="37">
        <v>39845</v>
      </c>
      <c r="C262" s="17">
        <v>715164383.12</v>
      </c>
      <c r="D262" s="17" t="s">
        <v>20</v>
      </c>
      <c r="E262" s="17">
        <v>9</v>
      </c>
    </row>
    <row r="263" spans="2:5">
      <c r="B263" s="37">
        <v>39845</v>
      </c>
      <c r="C263" s="17">
        <v>630938838.39999998</v>
      </c>
      <c r="D263" s="17" t="s">
        <v>5</v>
      </c>
      <c r="E263" s="17">
        <v>10</v>
      </c>
    </row>
    <row r="264" spans="2:5">
      <c r="B264" s="37">
        <v>39873</v>
      </c>
      <c r="C264" s="17">
        <v>14453685921.889999</v>
      </c>
      <c r="D264" s="17" t="s">
        <v>6</v>
      </c>
      <c r="E264" s="17">
        <v>1</v>
      </c>
    </row>
    <row r="265" spans="2:5">
      <c r="B265" s="37">
        <v>39873</v>
      </c>
      <c r="C265" s="17">
        <v>14368376825.32</v>
      </c>
      <c r="D265" s="17" t="s">
        <v>11</v>
      </c>
      <c r="E265" s="17">
        <v>2</v>
      </c>
    </row>
    <row r="266" spans="2:5">
      <c r="B266" s="37">
        <v>39873</v>
      </c>
      <c r="C266" s="17">
        <v>9514998899.3199997</v>
      </c>
      <c r="D266" s="17" t="s">
        <v>13</v>
      </c>
      <c r="E266" s="17">
        <v>3</v>
      </c>
    </row>
    <row r="267" spans="2:5">
      <c r="B267" s="37">
        <v>39873</v>
      </c>
      <c r="C267" s="17">
        <v>3669633504.7399998</v>
      </c>
      <c r="D267" s="17" t="s">
        <v>4</v>
      </c>
      <c r="E267" s="17">
        <v>4</v>
      </c>
    </row>
    <row r="268" spans="2:5">
      <c r="B268" s="37">
        <v>39873</v>
      </c>
      <c r="C268" s="17">
        <v>2581902036.8600001</v>
      </c>
      <c r="D268" s="17" t="s">
        <v>34</v>
      </c>
      <c r="E268" s="17">
        <v>5</v>
      </c>
    </row>
    <row r="269" spans="2:5">
      <c r="B269" s="37">
        <v>39873</v>
      </c>
      <c r="C269" s="17">
        <v>2137733570.1199999</v>
      </c>
      <c r="D269" s="17" t="s">
        <v>35</v>
      </c>
      <c r="E269" s="17">
        <v>6</v>
      </c>
    </row>
    <row r="270" spans="2:5">
      <c r="B270" s="37">
        <v>39873</v>
      </c>
      <c r="C270" s="17">
        <v>1622213766.6099999</v>
      </c>
      <c r="D270" s="17" t="s">
        <v>20</v>
      </c>
      <c r="E270" s="17">
        <v>7</v>
      </c>
    </row>
    <row r="271" spans="2:5">
      <c r="B271" s="37">
        <v>39873</v>
      </c>
      <c r="C271" s="17">
        <v>1427198629.9000001</v>
      </c>
      <c r="D271" s="17" t="s">
        <v>12</v>
      </c>
      <c r="E271" s="17">
        <v>8</v>
      </c>
    </row>
    <row r="272" spans="2:5">
      <c r="B272" s="37">
        <v>39873</v>
      </c>
      <c r="C272" s="17">
        <v>1307784771.1199999</v>
      </c>
      <c r="D272" s="17" t="s">
        <v>5</v>
      </c>
      <c r="E272" s="17">
        <v>9</v>
      </c>
    </row>
    <row r="273" spans="2:5">
      <c r="B273" s="37">
        <v>39873</v>
      </c>
      <c r="C273" s="17">
        <v>1216935785.27</v>
      </c>
      <c r="D273" s="17" t="s">
        <v>10</v>
      </c>
      <c r="E273" s="17">
        <v>10</v>
      </c>
    </row>
    <row r="274" spans="2:5">
      <c r="B274" s="37">
        <v>39904</v>
      </c>
      <c r="C274" s="17">
        <v>10866823472.32</v>
      </c>
      <c r="D274" s="17" t="s">
        <v>11</v>
      </c>
      <c r="E274" s="17">
        <v>1</v>
      </c>
    </row>
    <row r="275" spans="2:5">
      <c r="B275" s="37">
        <v>39904</v>
      </c>
      <c r="C275" s="17">
        <v>6613979565.25</v>
      </c>
      <c r="D275" s="17" t="s">
        <v>6</v>
      </c>
      <c r="E275" s="17">
        <v>2</v>
      </c>
    </row>
    <row r="276" spans="2:5">
      <c r="B276" s="37">
        <v>39904</v>
      </c>
      <c r="C276" s="17">
        <v>2636791196</v>
      </c>
      <c r="D276" s="17" t="s">
        <v>34</v>
      </c>
      <c r="E276" s="17">
        <v>3</v>
      </c>
    </row>
    <row r="277" spans="2:5">
      <c r="B277" s="37">
        <v>39904</v>
      </c>
      <c r="C277" s="17">
        <v>2635227445.8499999</v>
      </c>
      <c r="D277" s="17" t="s">
        <v>35</v>
      </c>
      <c r="E277" s="17">
        <v>4</v>
      </c>
    </row>
    <row r="278" spans="2:5">
      <c r="B278" s="37">
        <v>39904</v>
      </c>
      <c r="C278" s="17">
        <v>2574869351.5599999</v>
      </c>
      <c r="D278" s="17" t="s">
        <v>5</v>
      </c>
      <c r="E278" s="17">
        <v>5</v>
      </c>
    </row>
    <row r="279" spans="2:5">
      <c r="B279" s="37">
        <v>39904</v>
      </c>
      <c r="C279" s="17">
        <v>2214641693.3699999</v>
      </c>
      <c r="D279" s="17" t="s">
        <v>4</v>
      </c>
      <c r="E279" s="17">
        <v>6</v>
      </c>
    </row>
    <row r="280" spans="2:5">
      <c r="B280" s="37">
        <v>39904</v>
      </c>
      <c r="C280" s="17">
        <v>1831852270.22</v>
      </c>
      <c r="D280" s="17" t="s">
        <v>13</v>
      </c>
      <c r="E280" s="17">
        <v>7</v>
      </c>
    </row>
    <row r="281" spans="2:5">
      <c r="B281" s="37">
        <v>39904</v>
      </c>
      <c r="C281" s="17">
        <v>1134925696.8199999</v>
      </c>
      <c r="D281" s="17" t="s">
        <v>20</v>
      </c>
      <c r="E281" s="17">
        <v>8</v>
      </c>
    </row>
    <row r="282" spans="2:5">
      <c r="B282" s="37">
        <v>39904</v>
      </c>
      <c r="C282" s="17">
        <v>1001661409</v>
      </c>
      <c r="D282" s="17" t="s">
        <v>12</v>
      </c>
      <c r="E282" s="17">
        <v>9</v>
      </c>
    </row>
    <row r="283" spans="2:5">
      <c r="B283" s="37">
        <v>39904</v>
      </c>
      <c r="C283" s="17">
        <v>953947303</v>
      </c>
      <c r="D283" s="17" t="s">
        <v>10</v>
      </c>
      <c r="E283" s="17">
        <v>10</v>
      </c>
    </row>
    <row r="284" spans="2:5">
      <c r="B284" s="37">
        <v>39934</v>
      </c>
      <c r="C284" s="17">
        <v>16377153576.040001</v>
      </c>
      <c r="D284" s="17" t="s">
        <v>11</v>
      </c>
      <c r="E284" s="17">
        <v>1</v>
      </c>
    </row>
    <row r="285" spans="2:5">
      <c r="B285" s="37">
        <v>39934</v>
      </c>
      <c r="C285" s="17">
        <v>10980515274.559999</v>
      </c>
      <c r="D285" s="17" t="s">
        <v>6</v>
      </c>
      <c r="E285" s="17">
        <v>2</v>
      </c>
    </row>
    <row r="286" spans="2:5">
      <c r="B286" s="37">
        <v>39934</v>
      </c>
      <c r="C286" s="17">
        <v>7832451449.5500002</v>
      </c>
      <c r="D286" s="17" t="s">
        <v>13</v>
      </c>
      <c r="E286" s="17">
        <v>3</v>
      </c>
    </row>
    <row r="287" spans="2:5">
      <c r="B287" s="37">
        <v>39934</v>
      </c>
      <c r="C287" s="17">
        <v>7694647345.4300003</v>
      </c>
      <c r="D287" s="17" t="s">
        <v>4</v>
      </c>
      <c r="E287" s="17">
        <v>4</v>
      </c>
    </row>
    <row r="288" spans="2:5">
      <c r="B288" s="37">
        <v>39934</v>
      </c>
      <c r="C288" s="17">
        <v>5729582604.1499996</v>
      </c>
      <c r="D288" s="17" t="s">
        <v>5</v>
      </c>
      <c r="E288" s="17">
        <v>5</v>
      </c>
    </row>
    <row r="289" spans="2:5">
      <c r="B289" s="37">
        <v>39934</v>
      </c>
      <c r="C289" s="17">
        <v>3149383417.9400001</v>
      </c>
      <c r="D289" s="17" t="s">
        <v>34</v>
      </c>
      <c r="E289" s="17">
        <v>6</v>
      </c>
    </row>
    <row r="290" spans="2:5">
      <c r="B290" s="37">
        <v>39934</v>
      </c>
      <c r="C290" s="17">
        <v>2568225957.29</v>
      </c>
      <c r="D290" s="17" t="s">
        <v>35</v>
      </c>
      <c r="E290" s="17">
        <v>7</v>
      </c>
    </row>
    <row r="291" spans="2:5">
      <c r="B291" s="37">
        <v>39934</v>
      </c>
      <c r="C291" s="17">
        <v>2007873609.8199999</v>
      </c>
      <c r="D291" s="17" t="s">
        <v>20</v>
      </c>
      <c r="E291" s="17">
        <v>8</v>
      </c>
    </row>
    <row r="292" spans="2:5">
      <c r="B292" s="37">
        <v>39934</v>
      </c>
      <c r="C292" s="17">
        <v>1538541620.98</v>
      </c>
      <c r="D292" s="17" t="s">
        <v>10</v>
      </c>
      <c r="E292" s="17">
        <v>9</v>
      </c>
    </row>
    <row r="293" spans="2:5">
      <c r="B293" s="37">
        <v>39934</v>
      </c>
      <c r="C293" s="17">
        <v>1367891457.2</v>
      </c>
      <c r="D293" s="17" t="s">
        <v>17</v>
      </c>
      <c r="E293" s="17">
        <v>10</v>
      </c>
    </row>
    <row r="294" spans="2:5">
      <c r="B294" s="37">
        <v>39965</v>
      </c>
      <c r="C294" s="17">
        <v>18556306988.82</v>
      </c>
      <c r="D294" s="17" t="s">
        <v>11</v>
      </c>
      <c r="E294" s="17">
        <v>1</v>
      </c>
    </row>
    <row r="295" spans="2:5">
      <c r="B295" s="37">
        <v>39965</v>
      </c>
      <c r="C295" s="17">
        <v>16385859796.799999</v>
      </c>
      <c r="D295" s="17" t="s">
        <v>6</v>
      </c>
      <c r="E295" s="17">
        <v>2</v>
      </c>
    </row>
    <row r="296" spans="2:5">
      <c r="B296" s="37">
        <v>39965</v>
      </c>
      <c r="C296" s="17">
        <v>6300278425.04</v>
      </c>
      <c r="D296" s="17" t="s">
        <v>13</v>
      </c>
      <c r="E296" s="17">
        <v>3</v>
      </c>
    </row>
    <row r="297" spans="2:5">
      <c r="B297" s="37">
        <v>39965</v>
      </c>
      <c r="C297" s="17">
        <v>5504690092.9399996</v>
      </c>
      <c r="D297" s="17" t="s">
        <v>4</v>
      </c>
      <c r="E297" s="17">
        <v>4</v>
      </c>
    </row>
    <row r="298" spans="2:5">
      <c r="B298" s="37">
        <v>39965</v>
      </c>
      <c r="C298" s="17">
        <v>3886793291.8899999</v>
      </c>
      <c r="D298" s="17" t="s">
        <v>5</v>
      </c>
      <c r="E298" s="17">
        <v>5</v>
      </c>
    </row>
    <row r="299" spans="2:5">
      <c r="B299" s="37">
        <v>39965</v>
      </c>
      <c r="C299" s="17">
        <v>3485600189.8299999</v>
      </c>
      <c r="D299" s="17" t="s">
        <v>34</v>
      </c>
      <c r="E299" s="17">
        <v>6</v>
      </c>
    </row>
    <row r="300" spans="2:5">
      <c r="B300" s="37">
        <v>39965</v>
      </c>
      <c r="C300" s="17">
        <v>2890599988.1900001</v>
      </c>
      <c r="D300" s="17" t="s">
        <v>20</v>
      </c>
      <c r="E300" s="17">
        <v>7</v>
      </c>
    </row>
    <row r="301" spans="2:5">
      <c r="B301" s="37">
        <v>39965</v>
      </c>
      <c r="C301" s="17">
        <v>2085681943.29</v>
      </c>
      <c r="D301" s="17" t="s">
        <v>35</v>
      </c>
      <c r="E301" s="17">
        <v>8</v>
      </c>
    </row>
    <row r="302" spans="2:5">
      <c r="B302" s="37">
        <v>39965</v>
      </c>
      <c r="C302" s="17">
        <v>2041508250.48</v>
      </c>
      <c r="D302" s="17" t="s">
        <v>10</v>
      </c>
      <c r="E302" s="17">
        <v>9</v>
      </c>
    </row>
    <row r="303" spans="2:5">
      <c r="B303" s="37">
        <v>39965</v>
      </c>
      <c r="C303" s="17">
        <v>1411001019.22</v>
      </c>
      <c r="D303" s="17" t="s">
        <v>39</v>
      </c>
      <c r="E303" s="17">
        <v>10</v>
      </c>
    </row>
    <row r="304" spans="2:5">
      <c r="B304" s="37">
        <v>39995</v>
      </c>
      <c r="C304" s="17">
        <v>17780279923.57</v>
      </c>
      <c r="D304" s="17" t="s">
        <v>11</v>
      </c>
      <c r="E304" s="17">
        <v>1</v>
      </c>
    </row>
    <row r="305" spans="2:5">
      <c r="B305" s="37">
        <v>39995</v>
      </c>
      <c r="C305" s="17">
        <v>13232923368.200001</v>
      </c>
      <c r="D305" s="17" t="s">
        <v>6</v>
      </c>
      <c r="E305" s="17">
        <v>2</v>
      </c>
    </row>
    <row r="306" spans="2:5">
      <c r="B306" s="37">
        <v>39995</v>
      </c>
      <c r="C306" s="17">
        <v>4078320972.77</v>
      </c>
      <c r="D306" s="17" t="s">
        <v>4</v>
      </c>
      <c r="E306" s="17">
        <v>3</v>
      </c>
    </row>
    <row r="307" spans="2:5">
      <c r="B307" s="37">
        <v>39995</v>
      </c>
      <c r="C307" s="17">
        <v>3555049260.5900002</v>
      </c>
      <c r="D307" s="17" t="s">
        <v>34</v>
      </c>
      <c r="E307" s="17">
        <v>4</v>
      </c>
    </row>
    <row r="308" spans="2:5">
      <c r="B308" s="37">
        <v>39995</v>
      </c>
      <c r="C308" s="17">
        <v>2256690852.2199998</v>
      </c>
      <c r="D308" s="17" t="s">
        <v>20</v>
      </c>
      <c r="E308" s="17">
        <v>5</v>
      </c>
    </row>
    <row r="309" spans="2:5">
      <c r="B309" s="37">
        <v>39995</v>
      </c>
      <c r="C309" s="17">
        <v>1985615127.78</v>
      </c>
      <c r="D309" s="17" t="s">
        <v>5</v>
      </c>
      <c r="E309" s="17">
        <v>6</v>
      </c>
    </row>
    <row r="310" spans="2:5">
      <c r="B310" s="37">
        <v>39995</v>
      </c>
      <c r="C310" s="17">
        <v>1534118490.3199999</v>
      </c>
      <c r="D310" s="17" t="s">
        <v>35</v>
      </c>
      <c r="E310" s="17">
        <v>7</v>
      </c>
    </row>
    <row r="311" spans="2:5">
      <c r="B311" s="37">
        <v>39995</v>
      </c>
      <c r="C311" s="17">
        <v>1252653319.1900001</v>
      </c>
      <c r="D311" s="17" t="s">
        <v>10</v>
      </c>
      <c r="E311" s="17">
        <v>8</v>
      </c>
    </row>
    <row r="312" spans="2:5">
      <c r="B312" s="37">
        <v>39995</v>
      </c>
      <c r="C312" s="17">
        <v>933539103.72000003</v>
      </c>
      <c r="D312" s="17" t="s">
        <v>13</v>
      </c>
      <c r="E312" s="17">
        <v>9</v>
      </c>
    </row>
    <row r="313" spans="2:5">
      <c r="B313" s="37">
        <v>39995</v>
      </c>
      <c r="C313" s="17">
        <v>883282992.5</v>
      </c>
      <c r="D313" s="17" t="s">
        <v>16</v>
      </c>
      <c r="E313" s="17">
        <v>10</v>
      </c>
    </row>
    <row r="314" spans="2:5">
      <c r="B314" s="37">
        <v>40026</v>
      </c>
      <c r="C314" s="17">
        <v>13559469118.879999</v>
      </c>
      <c r="D314" s="17" t="s">
        <v>11</v>
      </c>
      <c r="E314" s="17">
        <v>1</v>
      </c>
    </row>
    <row r="315" spans="2:5">
      <c r="B315" s="37">
        <v>40026</v>
      </c>
      <c r="C315" s="17">
        <v>10631867083.52</v>
      </c>
      <c r="D315" s="17" t="s">
        <v>6</v>
      </c>
      <c r="E315" s="17">
        <v>2</v>
      </c>
    </row>
    <row r="316" spans="2:5">
      <c r="B316" s="37">
        <v>40026</v>
      </c>
      <c r="C316" s="17">
        <v>2226606400.2800002</v>
      </c>
      <c r="D316" s="17" t="s">
        <v>4</v>
      </c>
      <c r="E316" s="17">
        <v>3</v>
      </c>
    </row>
    <row r="317" spans="2:5">
      <c r="B317" s="37">
        <v>40026</v>
      </c>
      <c r="C317" s="17">
        <v>2019788713.0599999</v>
      </c>
      <c r="D317" s="17" t="s">
        <v>13</v>
      </c>
      <c r="E317" s="17">
        <v>4</v>
      </c>
    </row>
    <row r="318" spans="2:5">
      <c r="B318" s="37">
        <v>40026</v>
      </c>
      <c r="C318" s="17">
        <v>1758618024</v>
      </c>
      <c r="D318" s="17" t="s">
        <v>34</v>
      </c>
      <c r="E318" s="17">
        <v>5</v>
      </c>
    </row>
    <row r="319" spans="2:5">
      <c r="B319" s="37">
        <v>40026</v>
      </c>
      <c r="C319" s="17">
        <v>1508806380.53</v>
      </c>
      <c r="D319" s="17" t="s">
        <v>20</v>
      </c>
      <c r="E319" s="17">
        <v>6</v>
      </c>
    </row>
    <row r="320" spans="2:5">
      <c r="B320" s="37">
        <v>40026</v>
      </c>
      <c r="C320" s="17">
        <v>1454096040.6600001</v>
      </c>
      <c r="D320" s="17" t="s">
        <v>5</v>
      </c>
      <c r="E320" s="17">
        <v>7</v>
      </c>
    </row>
    <row r="321" spans="2:5">
      <c r="B321" s="37">
        <v>40026</v>
      </c>
      <c r="C321" s="17">
        <v>1031320812.12</v>
      </c>
      <c r="D321" s="17" t="s">
        <v>35</v>
      </c>
      <c r="E321" s="17">
        <v>8</v>
      </c>
    </row>
    <row r="322" spans="2:5">
      <c r="B322" s="37">
        <v>40026</v>
      </c>
      <c r="C322" s="17">
        <v>954606164.92999995</v>
      </c>
      <c r="D322" s="17" t="s">
        <v>10</v>
      </c>
      <c r="E322" s="17">
        <v>9</v>
      </c>
    </row>
    <row r="323" spans="2:5">
      <c r="B323" s="37">
        <v>40026</v>
      </c>
      <c r="C323" s="17">
        <v>477277200.41000003</v>
      </c>
      <c r="D323" s="17" t="s">
        <v>40</v>
      </c>
      <c r="E323" s="17">
        <v>10</v>
      </c>
    </row>
    <row r="324" spans="2:5">
      <c r="B324" s="37">
        <v>40057</v>
      </c>
      <c r="C324" s="17">
        <v>9711261406.9500008</v>
      </c>
      <c r="D324" s="17" t="s">
        <v>6</v>
      </c>
      <c r="E324" s="17">
        <v>1</v>
      </c>
    </row>
    <row r="325" spans="2:5">
      <c r="B325" s="37">
        <v>40057</v>
      </c>
      <c r="C325" s="17">
        <v>9300876014.7000008</v>
      </c>
      <c r="D325" s="17" t="s">
        <v>11</v>
      </c>
      <c r="E325" s="17">
        <v>2</v>
      </c>
    </row>
    <row r="326" spans="2:5">
      <c r="B326" s="37">
        <v>40057</v>
      </c>
      <c r="C326" s="17">
        <v>3350176866.5500002</v>
      </c>
      <c r="D326" s="17" t="s">
        <v>13</v>
      </c>
      <c r="E326" s="17">
        <v>3</v>
      </c>
    </row>
    <row r="327" spans="2:5">
      <c r="B327" s="37">
        <v>40057</v>
      </c>
      <c r="C327" s="17">
        <v>1540011743</v>
      </c>
      <c r="D327" s="17" t="s">
        <v>34</v>
      </c>
      <c r="E327" s="17">
        <v>4</v>
      </c>
    </row>
    <row r="328" spans="2:5">
      <c r="B328" s="37">
        <v>40057</v>
      </c>
      <c r="C328" s="17">
        <v>1511640714.96</v>
      </c>
      <c r="D328" s="17" t="s">
        <v>4</v>
      </c>
      <c r="E328" s="17">
        <v>5</v>
      </c>
    </row>
    <row r="329" spans="2:5">
      <c r="B329" s="37">
        <v>40057</v>
      </c>
      <c r="C329" s="17">
        <v>1455262864.3900001</v>
      </c>
      <c r="D329" s="17" t="s">
        <v>20</v>
      </c>
      <c r="E329" s="17">
        <v>6</v>
      </c>
    </row>
    <row r="330" spans="2:5">
      <c r="B330" s="37">
        <v>40057</v>
      </c>
      <c r="C330" s="17">
        <v>1386139068.05</v>
      </c>
      <c r="D330" s="17" t="s">
        <v>5</v>
      </c>
      <c r="E330" s="17">
        <v>7</v>
      </c>
    </row>
    <row r="331" spans="2:5">
      <c r="B331" s="37">
        <v>40057</v>
      </c>
      <c r="C331" s="17">
        <v>662314912</v>
      </c>
      <c r="D331" s="17" t="s">
        <v>10</v>
      </c>
      <c r="E331" s="17">
        <v>8</v>
      </c>
    </row>
    <row r="332" spans="2:5">
      <c r="B332" s="37">
        <v>40057</v>
      </c>
      <c r="C332" s="17">
        <v>535204931.82999998</v>
      </c>
      <c r="D332" s="17" t="s">
        <v>35</v>
      </c>
      <c r="E332" s="17">
        <v>9</v>
      </c>
    </row>
    <row r="333" spans="2:5">
      <c r="B333" s="37">
        <v>40057</v>
      </c>
      <c r="C333" s="17">
        <v>392896483</v>
      </c>
      <c r="D333" s="17" t="s">
        <v>18</v>
      </c>
      <c r="E333" s="17">
        <v>10</v>
      </c>
    </row>
    <row r="334" spans="2:5">
      <c r="B334" s="37">
        <v>40087</v>
      </c>
      <c r="C334" s="17">
        <v>7211282362.8500004</v>
      </c>
      <c r="D334" s="17" t="s">
        <v>11</v>
      </c>
      <c r="E334" s="17">
        <v>1</v>
      </c>
    </row>
    <row r="335" spans="2:5">
      <c r="B335" s="37">
        <v>40087</v>
      </c>
      <c r="C335" s="17">
        <v>4625680962.5299997</v>
      </c>
      <c r="D335" s="17" t="s">
        <v>6</v>
      </c>
      <c r="E335" s="17">
        <v>2</v>
      </c>
    </row>
    <row r="336" spans="2:5">
      <c r="B336" s="37">
        <v>40087</v>
      </c>
      <c r="C336" s="17">
        <v>1418743217.1300001</v>
      </c>
      <c r="D336" s="17" t="s">
        <v>20</v>
      </c>
      <c r="E336" s="17">
        <v>3</v>
      </c>
    </row>
    <row r="337" spans="2:5">
      <c r="B337" s="37">
        <v>40087</v>
      </c>
      <c r="C337" s="17">
        <v>953298136</v>
      </c>
      <c r="D337" s="17" t="s">
        <v>34</v>
      </c>
      <c r="E337" s="17">
        <v>4</v>
      </c>
    </row>
    <row r="338" spans="2:5">
      <c r="B338" s="37">
        <v>40087</v>
      </c>
      <c r="C338" s="17">
        <v>904919262.65999997</v>
      </c>
      <c r="D338" s="17" t="s">
        <v>13</v>
      </c>
      <c r="E338" s="17">
        <v>5</v>
      </c>
    </row>
    <row r="339" spans="2:5">
      <c r="B339" s="37">
        <v>40087</v>
      </c>
      <c r="C339" s="17">
        <v>715387862</v>
      </c>
      <c r="D339" s="17" t="s">
        <v>10</v>
      </c>
      <c r="E339" s="17">
        <v>6</v>
      </c>
    </row>
    <row r="340" spans="2:5">
      <c r="B340" s="37">
        <v>40087</v>
      </c>
      <c r="C340" s="17">
        <v>708008708.12</v>
      </c>
      <c r="D340" s="17" t="s">
        <v>4</v>
      </c>
      <c r="E340" s="17">
        <v>7</v>
      </c>
    </row>
    <row r="341" spans="2:5">
      <c r="B341" s="37">
        <v>40087</v>
      </c>
      <c r="C341" s="17">
        <v>601179484.77999997</v>
      </c>
      <c r="D341" s="17" t="s">
        <v>26</v>
      </c>
      <c r="E341" s="17">
        <v>8</v>
      </c>
    </row>
    <row r="342" spans="2:5">
      <c r="B342" s="37">
        <v>40087</v>
      </c>
      <c r="C342" s="17">
        <v>583166238.41999996</v>
      </c>
      <c r="D342" s="17" t="s">
        <v>5</v>
      </c>
      <c r="E342" s="17">
        <v>9</v>
      </c>
    </row>
    <row r="343" spans="2:5">
      <c r="B343" s="37">
        <v>40087</v>
      </c>
      <c r="C343" s="17">
        <v>328546288.49000001</v>
      </c>
      <c r="D343" s="17" t="s">
        <v>35</v>
      </c>
      <c r="E343" s="17">
        <v>10</v>
      </c>
    </row>
    <row r="344" spans="2:5">
      <c r="B344" s="37">
        <v>40118</v>
      </c>
      <c r="C344" s="17">
        <v>7751269955.25</v>
      </c>
      <c r="D344" s="17" t="s">
        <v>11</v>
      </c>
      <c r="E344" s="17">
        <v>1</v>
      </c>
    </row>
    <row r="345" spans="2:5">
      <c r="B345" s="37">
        <v>40118</v>
      </c>
      <c r="C345" s="17">
        <v>4687150253.25</v>
      </c>
      <c r="D345" s="17" t="s">
        <v>13</v>
      </c>
      <c r="E345" s="17">
        <v>2</v>
      </c>
    </row>
    <row r="346" spans="2:5">
      <c r="B346" s="37">
        <v>40118</v>
      </c>
      <c r="C346" s="17">
        <v>2540213073.8200002</v>
      </c>
      <c r="D346" s="17" t="s">
        <v>6</v>
      </c>
      <c r="E346" s="17">
        <v>3</v>
      </c>
    </row>
    <row r="347" spans="2:5">
      <c r="B347" s="37">
        <v>40118</v>
      </c>
      <c r="C347" s="17">
        <v>1807093775.6700001</v>
      </c>
      <c r="D347" s="17" t="s">
        <v>20</v>
      </c>
      <c r="E347" s="17">
        <v>4</v>
      </c>
    </row>
    <row r="348" spans="2:5">
      <c r="B348" s="37">
        <v>40118</v>
      </c>
      <c r="C348" s="17">
        <v>928978146</v>
      </c>
      <c r="D348" s="17" t="s">
        <v>34</v>
      </c>
      <c r="E348" s="17">
        <v>5</v>
      </c>
    </row>
    <row r="349" spans="2:5">
      <c r="B349" s="37">
        <v>40118</v>
      </c>
      <c r="C349" s="17">
        <v>920145976.58000004</v>
      </c>
      <c r="D349" s="17" t="s">
        <v>4</v>
      </c>
      <c r="E349" s="17">
        <v>6</v>
      </c>
    </row>
    <row r="350" spans="2:5">
      <c r="B350" s="37">
        <v>40118</v>
      </c>
      <c r="C350" s="17">
        <v>725941382.64999998</v>
      </c>
      <c r="D350" s="17" t="s">
        <v>10</v>
      </c>
      <c r="E350" s="17">
        <v>7</v>
      </c>
    </row>
    <row r="351" spans="2:5">
      <c r="B351" s="37">
        <v>40118</v>
      </c>
      <c r="C351" s="17">
        <v>677909185.74000001</v>
      </c>
      <c r="D351" s="17" t="s">
        <v>35</v>
      </c>
      <c r="E351" s="17">
        <v>8</v>
      </c>
    </row>
    <row r="352" spans="2:5">
      <c r="B352" s="37">
        <v>40118</v>
      </c>
      <c r="C352" s="17">
        <v>664611984.01999998</v>
      </c>
      <c r="D352" s="17" t="s">
        <v>5</v>
      </c>
      <c r="E352" s="17">
        <v>9</v>
      </c>
    </row>
    <row r="353" spans="2:5">
      <c r="B353" s="37">
        <v>40118</v>
      </c>
      <c r="C353" s="17">
        <v>333607808.50999999</v>
      </c>
      <c r="D353" s="17" t="s">
        <v>26</v>
      </c>
      <c r="E353" s="17">
        <v>10</v>
      </c>
    </row>
    <row r="354" spans="2:5">
      <c r="B354" s="37">
        <v>40148</v>
      </c>
      <c r="C354" s="17">
        <v>11583901052.780001</v>
      </c>
      <c r="D354" s="17" t="s">
        <v>11</v>
      </c>
      <c r="E354" s="17">
        <v>1</v>
      </c>
    </row>
    <row r="355" spans="2:5">
      <c r="B355" s="37">
        <v>40148</v>
      </c>
      <c r="C355" s="17">
        <v>6453958851</v>
      </c>
      <c r="D355" s="17" t="s">
        <v>6</v>
      </c>
      <c r="E355" s="17">
        <v>2</v>
      </c>
    </row>
    <row r="356" spans="2:5">
      <c r="B356" s="37">
        <v>40148</v>
      </c>
      <c r="C356" s="17">
        <v>2038481662.5999999</v>
      </c>
      <c r="D356" s="17" t="s">
        <v>13</v>
      </c>
      <c r="E356" s="17">
        <v>3</v>
      </c>
    </row>
    <row r="357" spans="2:5">
      <c r="B357" s="37">
        <v>40148</v>
      </c>
      <c r="C357" s="17">
        <v>1731178948.49</v>
      </c>
      <c r="D357" s="17" t="s">
        <v>20</v>
      </c>
      <c r="E357" s="17">
        <v>4</v>
      </c>
    </row>
    <row r="358" spans="2:5">
      <c r="B358" s="37">
        <v>40148</v>
      </c>
      <c r="C358" s="17">
        <v>1127780359</v>
      </c>
      <c r="D358" s="17" t="s">
        <v>34</v>
      </c>
      <c r="E358" s="17">
        <v>5</v>
      </c>
    </row>
    <row r="359" spans="2:5">
      <c r="B359" s="37">
        <v>40148</v>
      </c>
      <c r="C359" s="17">
        <v>975997990</v>
      </c>
      <c r="D359" s="17" t="s">
        <v>10</v>
      </c>
      <c r="E359" s="17">
        <v>6</v>
      </c>
    </row>
    <row r="360" spans="2:5">
      <c r="B360" s="37">
        <v>40148</v>
      </c>
      <c r="C360" s="17">
        <v>973330970.29999995</v>
      </c>
      <c r="D360" s="17" t="s">
        <v>26</v>
      </c>
      <c r="E360" s="17">
        <v>7</v>
      </c>
    </row>
    <row r="361" spans="2:5">
      <c r="B361" s="37">
        <v>40148</v>
      </c>
      <c r="C361" s="17">
        <v>852057605.63</v>
      </c>
      <c r="D361" s="17" t="s">
        <v>4</v>
      </c>
      <c r="E361" s="17">
        <v>8</v>
      </c>
    </row>
    <row r="362" spans="2:5">
      <c r="B362" s="37">
        <v>40148</v>
      </c>
      <c r="C362" s="17">
        <v>851642916.98000002</v>
      </c>
      <c r="D362" s="17" t="s">
        <v>5</v>
      </c>
      <c r="E362" s="17">
        <v>9</v>
      </c>
    </row>
    <row r="363" spans="2:5">
      <c r="B363" s="37">
        <v>40148</v>
      </c>
      <c r="C363" s="17">
        <v>421704151</v>
      </c>
      <c r="D363" s="17" t="s">
        <v>18</v>
      </c>
      <c r="E363" s="17">
        <v>10</v>
      </c>
    </row>
    <row r="364" spans="2:5">
      <c r="B364" s="37">
        <v>40179</v>
      </c>
      <c r="C364" s="17">
        <v>9978849287.2000008</v>
      </c>
      <c r="D364" s="17" t="s">
        <v>11</v>
      </c>
      <c r="E364" s="17">
        <v>1</v>
      </c>
    </row>
    <row r="365" spans="2:5">
      <c r="B365" s="37">
        <v>40179</v>
      </c>
      <c r="C365" s="17">
        <v>5521288700.1800003</v>
      </c>
      <c r="D365" s="17" t="s">
        <v>6</v>
      </c>
      <c r="E365" s="17">
        <v>2</v>
      </c>
    </row>
    <row r="366" spans="2:5">
      <c r="B366" s="37">
        <v>40179</v>
      </c>
      <c r="C366" s="17">
        <v>2582467892.6500001</v>
      </c>
      <c r="D366" s="17" t="s">
        <v>13</v>
      </c>
      <c r="E366" s="17">
        <v>3</v>
      </c>
    </row>
    <row r="367" spans="2:5">
      <c r="B367" s="37">
        <v>40179</v>
      </c>
      <c r="C367" s="17">
        <v>1887253190.6600001</v>
      </c>
      <c r="D367" s="17" t="s">
        <v>20</v>
      </c>
      <c r="E367" s="17">
        <v>4</v>
      </c>
    </row>
    <row r="368" spans="2:5">
      <c r="B368" s="37">
        <v>40179</v>
      </c>
      <c r="C368" s="17">
        <v>889060529</v>
      </c>
      <c r="D368" s="17" t="s">
        <v>34</v>
      </c>
      <c r="E368" s="17">
        <v>5</v>
      </c>
    </row>
    <row r="369" spans="2:5">
      <c r="B369" s="37">
        <v>40179</v>
      </c>
      <c r="C369" s="17">
        <v>779839250.55999994</v>
      </c>
      <c r="D369" s="17" t="s">
        <v>4</v>
      </c>
      <c r="E369" s="17">
        <v>6</v>
      </c>
    </row>
    <row r="370" spans="2:5">
      <c r="B370" s="37">
        <v>40179</v>
      </c>
      <c r="C370" s="17">
        <v>736021209.74000001</v>
      </c>
      <c r="D370" s="17" t="s">
        <v>10</v>
      </c>
      <c r="E370" s="17">
        <v>7</v>
      </c>
    </row>
    <row r="371" spans="2:5">
      <c r="B371" s="37">
        <v>40179</v>
      </c>
      <c r="C371" s="17">
        <v>657628874.59000003</v>
      </c>
      <c r="D371" s="17" t="s">
        <v>35</v>
      </c>
      <c r="E371" s="17">
        <v>8</v>
      </c>
    </row>
    <row r="372" spans="2:5">
      <c r="B372" s="37">
        <v>40179</v>
      </c>
      <c r="C372" s="17">
        <v>498952028</v>
      </c>
      <c r="D372" s="17" t="s">
        <v>18</v>
      </c>
      <c r="E372" s="17">
        <v>9</v>
      </c>
    </row>
    <row r="373" spans="2:5">
      <c r="B373" s="37">
        <v>40179</v>
      </c>
      <c r="C373" s="17">
        <v>386823003.75999999</v>
      </c>
      <c r="D373" s="17" t="s">
        <v>41</v>
      </c>
      <c r="E373" s="17">
        <v>10</v>
      </c>
    </row>
    <row r="374" spans="2:5">
      <c r="B374" s="37">
        <v>40210</v>
      </c>
      <c r="C374" s="17">
        <v>9807430995.9200001</v>
      </c>
      <c r="D374" s="17" t="s">
        <v>11</v>
      </c>
      <c r="E374" s="17">
        <v>1</v>
      </c>
    </row>
    <row r="375" spans="2:5">
      <c r="B375" s="37">
        <v>40210</v>
      </c>
      <c r="C375" s="17">
        <v>5305630826.1899996</v>
      </c>
      <c r="D375" s="17" t="s">
        <v>6</v>
      </c>
      <c r="E375" s="17">
        <v>2</v>
      </c>
    </row>
    <row r="376" spans="2:5">
      <c r="B376" s="37">
        <v>40210</v>
      </c>
      <c r="C376" s="17">
        <v>4446325379.8299999</v>
      </c>
      <c r="D376" s="17" t="s">
        <v>13</v>
      </c>
      <c r="E376" s="17">
        <v>3</v>
      </c>
    </row>
    <row r="377" spans="2:5">
      <c r="B377" s="37">
        <v>40210</v>
      </c>
      <c r="C377" s="17">
        <v>2017223525.6800001</v>
      </c>
      <c r="D377" s="17" t="s">
        <v>20</v>
      </c>
      <c r="E377" s="17">
        <v>4</v>
      </c>
    </row>
    <row r="378" spans="2:5">
      <c r="B378" s="37">
        <v>40210</v>
      </c>
      <c r="C378" s="17">
        <v>1155889082.1500001</v>
      </c>
      <c r="D378" s="17" t="s">
        <v>4</v>
      </c>
      <c r="E378" s="17">
        <v>5</v>
      </c>
    </row>
    <row r="379" spans="2:5">
      <c r="B379" s="37">
        <v>40210</v>
      </c>
      <c r="C379" s="17">
        <v>719496863</v>
      </c>
      <c r="D379" s="17" t="s">
        <v>34</v>
      </c>
      <c r="E379" s="17">
        <v>6</v>
      </c>
    </row>
    <row r="380" spans="2:5">
      <c r="B380" s="37">
        <v>40210</v>
      </c>
      <c r="C380" s="17">
        <v>535898276.69</v>
      </c>
      <c r="D380" s="17" t="s">
        <v>10</v>
      </c>
      <c r="E380" s="17">
        <v>7</v>
      </c>
    </row>
    <row r="381" spans="2:5">
      <c r="B381" s="37">
        <v>40210</v>
      </c>
      <c r="C381" s="17">
        <v>442717691</v>
      </c>
      <c r="D381" s="17" t="s">
        <v>18</v>
      </c>
      <c r="E381" s="17">
        <v>8</v>
      </c>
    </row>
    <row r="382" spans="2:5">
      <c r="B382" s="37">
        <v>40210</v>
      </c>
      <c r="C382" s="17">
        <v>415371190.91000003</v>
      </c>
      <c r="D382" s="17" t="s">
        <v>5</v>
      </c>
      <c r="E382" s="17">
        <v>9</v>
      </c>
    </row>
    <row r="383" spans="2:5">
      <c r="B383" s="37">
        <v>40210</v>
      </c>
      <c r="C383" s="17">
        <v>373476000</v>
      </c>
      <c r="D383" s="17" t="s">
        <v>29</v>
      </c>
      <c r="E383" s="17">
        <v>10</v>
      </c>
    </row>
    <row r="384" spans="2:5">
      <c r="B384" s="37">
        <v>40238</v>
      </c>
      <c r="C384" s="17">
        <v>7752148414.0900002</v>
      </c>
      <c r="D384" s="17" t="s">
        <v>11</v>
      </c>
      <c r="E384" s="17">
        <v>1</v>
      </c>
    </row>
    <row r="385" spans="2:5">
      <c r="B385" s="37">
        <v>40238</v>
      </c>
      <c r="C385" s="17">
        <v>3913725904.1500001</v>
      </c>
      <c r="D385" s="17" t="s">
        <v>13</v>
      </c>
      <c r="E385" s="17">
        <v>2</v>
      </c>
    </row>
    <row r="386" spans="2:5">
      <c r="B386" s="37">
        <v>40238</v>
      </c>
      <c r="C386" s="17">
        <v>3199831541.8899999</v>
      </c>
      <c r="D386" s="17" t="s">
        <v>6</v>
      </c>
      <c r="E386" s="17">
        <v>3</v>
      </c>
    </row>
    <row r="387" spans="2:5">
      <c r="B387" s="37">
        <v>40238</v>
      </c>
      <c r="C387" s="17">
        <v>1009165492.87</v>
      </c>
      <c r="D387" s="17" t="s">
        <v>20</v>
      </c>
      <c r="E387" s="17">
        <v>4</v>
      </c>
    </row>
    <row r="388" spans="2:5">
      <c r="B388" s="37">
        <v>40238</v>
      </c>
      <c r="C388" s="17">
        <v>751666992.55999994</v>
      </c>
      <c r="D388" s="17" t="s">
        <v>4</v>
      </c>
      <c r="E388" s="17">
        <v>5</v>
      </c>
    </row>
    <row r="389" spans="2:5">
      <c r="B389" s="37">
        <v>40238</v>
      </c>
      <c r="C389" s="17">
        <v>509344142.41000003</v>
      </c>
      <c r="D389" s="17" t="s">
        <v>34</v>
      </c>
      <c r="E389" s="17">
        <v>6</v>
      </c>
    </row>
    <row r="390" spans="2:5">
      <c r="B390" s="37">
        <v>40238</v>
      </c>
      <c r="C390" s="17">
        <v>489940410.56</v>
      </c>
      <c r="D390" s="17" t="s">
        <v>5</v>
      </c>
      <c r="E390" s="17">
        <v>7</v>
      </c>
    </row>
    <row r="391" spans="2:5">
      <c r="B391" s="37">
        <v>40238</v>
      </c>
      <c r="C391" s="17">
        <v>466248926.74000001</v>
      </c>
      <c r="D391" s="17" t="s">
        <v>10</v>
      </c>
      <c r="E391" s="17">
        <v>8</v>
      </c>
    </row>
    <row r="392" spans="2:5">
      <c r="B392" s="37">
        <v>40238</v>
      </c>
      <c r="C392" s="17">
        <v>357652436</v>
      </c>
      <c r="D392" s="17" t="s">
        <v>18</v>
      </c>
      <c r="E392" s="17">
        <v>9</v>
      </c>
    </row>
    <row r="393" spans="2:5">
      <c r="B393" s="37">
        <v>40238</v>
      </c>
      <c r="C393" s="17">
        <v>280526539.32999998</v>
      </c>
      <c r="D393" s="17" t="s">
        <v>42</v>
      </c>
      <c r="E393" s="17">
        <v>10</v>
      </c>
    </row>
    <row r="394" spans="2:5">
      <c r="B394" s="37">
        <v>40269</v>
      </c>
      <c r="C394" s="17">
        <v>8759856160.0100002</v>
      </c>
      <c r="D394" s="17" t="s">
        <v>11</v>
      </c>
      <c r="E394" s="17">
        <v>1</v>
      </c>
    </row>
    <row r="395" spans="2:5">
      <c r="B395" s="37">
        <v>40269</v>
      </c>
      <c r="C395" s="17">
        <v>6045923010.6400003</v>
      </c>
      <c r="D395" s="17" t="s">
        <v>6</v>
      </c>
      <c r="E395" s="17">
        <v>2</v>
      </c>
    </row>
    <row r="396" spans="2:5">
      <c r="B396" s="37">
        <v>40269</v>
      </c>
      <c r="C396" s="17">
        <v>2196781706.52</v>
      </c>
      <c r="D396" s="17" t="s">
        <v>13</v>
      </c>
      <c r="E396" s="17">
        <v>3</v>
      </c>
    </row>
    <row r="397" spans="2:5">
      <c r="B397" s="37">
        <v>40269</v>
      </c>
      <c r="C397" s="17">
        <v>1206641880.98</v>
      </c>
      <c r="D397" s="17" t="s">
        <v>20</v>
      </c>
      <c r="E397" s="17">
        <v>4</v>
      </c>
    </row>
    <row r="398" spans="2:5">
      <c r="B398" s="37">
        <v>40269</v>
      </c>
      <c r="C398" s="17">
        <v>717269259.21000004</v>
      </c>
      <c r="D398" s="17" t="s">
        <v>4</v>
      </c>
      <c r="E398" s="17">
        <v>5</v>
      </c>
    </row>
    <row r="399" spans="2:5">
      <c r="B399" s="37">
        <v>40269</v>
      </c>
      <c r="C399" s="17">
        <v>622792880</v>
      </c>
      <c r="D399" s="17" t="s">
        <v>34</v>
      </c>
      <c r="E399" s="17">
        <v>6</v>
      </c>
    </row>
    <row r="400" spans="2:5">
      <c r="B400" s="37">
        <v>40269</v>
      </c>
      <c r="C400" s="17">
        <v>566563714.44000006</v>
      </c>
      <c r="D400" s="17" t="s">
        <v>42</v>
      </c>
      <c r="E400" s="17">
        <v>7</v>
      </c>
    </row>
    <row r="401" spans="2:5">
      <c r="B401" s="37">
        <v>40269</v>
      </c>
      <c r="C401" s="17">
        <v>544126887.90999997</v>
      </c>
      <c r="D401" s="17" t="s">
        <v>10</v>
      </c>
      <c r="E401" s="17">
        <v>8</v>
      </c>
    </row>
    <row r="402" spans="2:5">
      <c r="B402" s="37">
        <v>40269</v>
      </c>
      <c r="C402" s="17">
        <v>376001263</v>
      </c>
      <c r="D402" s="17" t="s">
        <v>18</v>
      </c>
      <c r="E402" s="17">
        <v>9</v>
      </c>
    </row>
    <row r="403" spans="2:5">
      <c r="B403" s="37">
        <v>40269</v>
      </c>
      <c r="C403" s="17">
        <v>365340363</v>
      </c>
      <c r="D403" s="17" t="s">
        <v>43</v>
      </c>
      <c r="E403" s="17">
        <v>10</v>
      </c>
    </row>
    <row r="404" spans="2:5">
      <c r="B404" s="37">
        <v>40299</v>
      </c>
      <c r="C404" s="17">
        <v>7983117228.6700001</v>
      </c>
      <c r="D404" s="17" t="s">
        <v>11</v>
      </c>
      <c r="E404" s="17">
        <v>1</v>
      </c>
    </row>
    <row r="405" spans="2:5">
      <c r="B405" s="37">
        <v>40299</v>
      </c>
      <c r="C405" s="17">
        <v>6085851450.0900002</v>
      </c>
      <c r="D405" s="17" t="s">
        <v>6</v>
      </c>
      <c r="E405" s="17">
        <v>2</v>
      </c>
    </row>
    <row r="406" spans="2:5">
      <c r="B406" s="37">
        <v>40299</v>
      </c>
      <c r="C406" s="17">
        <v>3408756489.0999999</v>
      </c>
      <c r="D406" s="17" t="s">
        <v>13</v>
      </c>
      <c r="E406" s="17">
        <v>3</v>
      </c>
    </row>
    <row r="407" spans="2:5">
      <c r="B407" s="37">
        <v>40299</v>
      </c>
      <c r="C407" s="17">
        <v>1280550786.26</v>
      </c>
      <c r="D407" s="17" t="s">
        <v>20</v>
      </c>
      <c r="E407" s="17">
        <v>4</v>
      </c>
    </row>
    <row r="408" spans="2:5">
      <c r="B408" s="37">
        <v>40299</v>
      </c>
      <c r="C408" s="17">
        <v>979069118.75</v>
      </c>
      <c r="D408" s="17" t="s">
        <v>4</v>
      </c>
      <c r="E408" s="17">
        <v>5</v>
      </c>
    </row>
    <row r="409" spans="2:5">
      <c r="B409" s="37">
        <v>40299</v>
      </c>
      <c r="C409" s="17">
        <v>827846631.82000005</v>
      </c>
      <c r="D409" s="17" t="s">
        <v>5</v>
      </c>
      <c r="E409" s="17">
        <v>6</v>
      </c>
    </row>
    <row r="410" spans="2:5">
      <c r="B410" s="37">
        <v>40299</v>
      </c>
      <c r="C410" s="17">
        <v>757778464</v>
      </c>
      <c r="D410" s="17" t="s">
        <v>34</v>
      </c>
      <c r="E410" s="17">
        <v>7</v>
      </c>
    </row>
    <row r="411" spans="2:5">
      <c r="B411" s="37">
        <v>40299</v>
      </c>
      <c r="C411" s="17">
        <v>748562261.27999997</v>
      </c>
      <c r="D411" s="17" t="s">
        <v>10</v>
      </c>
      <c r="E411" s="17">
        <v>8</v>
      </c>
    </row>
    <row r="412" spans="2:5">
      <c r="B412" s="37">
        <v>40299</v>
      </c>
      <c r="C412" s="17">
        <v>397458378.94</v>
      </c>
      <c r="D412" s="17" t="s">
        <v>42</v>
      </c>
      <c r="E412" s="17">
        <v>9</v>
      </c>
    </row>
    <row r="413" spans="2:5">
      <c r="B413" s="37">
        <v>40299</v>
      </c>
      <c r="C413" s="17">
        <v>325610197.19999999</v>
      </c>
      <c r="D413" s="17" t="s">
        <v>17</v>
      </c>
      <c r="E413" s="17">
        <v>10</v>
      </c>
    </row>
    <row r="414" spans="2:5">
      <c r="B414" s="37">
        <v>40330</v>
      </c>
      <c r="C414" s="17">
        <v>8159699856.3800001</v>
      </c>
      <c r="D414" s="17" t="s">
        <v>11</v>
      </c>
      <c r="E414" s="17">
        <v>1</v>
      </c>
    </row>
    <row r="415" spans="2:5">
      <c r="B415" s="37">
        <v>40330</v>
      </c>
      <c r="C415" s="17">
        <v>6657706403.3699999</v>
      </c>
      <c r="D415" s="17" t="s">
        <v>6</v>
      </c>
      <c r="E415" s="17">
        <v>2</v>
      </c>
    </row>
    <row r="416" spans="2:5">
      <c r="B416" s="37">
        <v>40330</v>
      </c>
      <c r="C416" s="17">
        <v>5102381874.5</v>
      </c>
      <c r="D416" s="17" t="s">
        <v>13</v>
      </c>
      <c r="E416" s="17">
        <v>3</v>
      </c>
    </row>
    <row r="417" spans="2:5">
      <c r="B417" s="37">
        <v>40330</v>
      </c>
      <c r="C417" s="17">
        <v>1873141654.6800001</v>
      </c>
      <c r="D417" s="17" t="s">
        <v>20</v>
      </c>
      <c r="E417" s="17">
        <v>4</v>
      </c>
    </row>
    <row r="418" spans="2:5">
      <c r="B418" s="37">
        <v>40330</v>
      </c>
      <c r="C418" s="17">
        <v>1302820990.45</v>
      </c>
      <c r="D418" s="17" t="s">
        <v>4</v>
      </c>
      <c r="E418" s="17">
        <v>5</v>
      </c>
    </row>
    <row r="419" spans="2:5">
      <c r="B419" s="37">
        <v>40330</v>
      </c>
      <c r="C419" s="17">
        <v>987339146.05999994</v>
      </c>
      <c r="D419" s="17" t="s">
        <v>5</v>
      </c>
      <c r="E419" s="17">
        <v>6</v>
      </c>
    </row>
    <row r="420" spans="2:5">
      <c r="B420" s="37">
        <v>40330</v>
      </c>
      <c r="C420" s="17">
        <v>843058237.84000003</v>
      </c>
      <c r="D420" s="17" t="s">
        <v>10</v>
      </c>
      <c r="E420" s="17">
        <v>7</v>
      </c>
    </row>
    <row r="421" spans="2:5">
      <c r="B421" s="37">
        <v>40330</v>
      </c>
      <c r="C421" s="17">
        <v>705883099.42999995</v>
      </c>
      <c r="D421" s="17" t="s">
        <v>34</v>
      </c>
      <c r="E421" s="17">
        <v>8</v>
      </c>
    </row>
    <row r="422" spans="2:5">
      <c r="B422" s="37">
        <v>40330</v>
      </c>
      <c r="C422" s="17">
        <v>418791874.29000002</v>
      </c>
      <c r="D422" s="17" t="s">
        <v>42</v>
      </c>
      <c r="E422" s="17">
        <v>9</v>
      </c>
    </row>
    <row r="423" spans="2:5">
      <c r="B423" s="37">
        <v>40330</v>
      </c>
      <c r="C423" s="17">
        <v>306820436.19</v>
      </c>
      <c r="D423" s="17" t="s">
        <v>17</v>
      </c>
      <c r="E423" s="17">
        <v>10</v>
      </c>
    </row>
    <row r="424" spans="2:5">
      <c r="B424" s="37">
        <v>40360</v>
      </c>
      <c r="C424" s="17">
        <v>8955541938.4400005</v>
      </c>
      <c r="D424" s="17" t="s">
        <v>11</v>
      </c>
      <c r="E424" s="17">
        <v>1</v>
      </c>
    </row>
    <row r="425" spans="2:5">
      <c r="B425" s="37">
        <v>40360</v>
      </c>
      <c r="C425" s="17">
        <v>6566683766.2700005</v>
      </c>
      <c r="D425" s="17" t="s">
        <v>6</v>
      </c>
      <c r="E425" s="17">
        <v>2</v>
      </c>
    </row>
    <row r="426" spans="2:5">
      <c r="B426" s="37">
        <v>40360</v>
      </c>
      <c r="C426" s="17">
        <v>5566835247.3199997</v>
      </c>
      <c r="D426" s="17" t="s">
        <v>13</v>
      </c>
      <c r="E426" s="17">
        <v>3</v>
      </c>
    </row>
    <row r="427" spans="2:5">
      <c r="B427" s="37">
        <v>40360</v>
      </c>
      <c r="C427" s="17">
        <v>2520047942.54</v>
      </c>
      <c r="D427" s="17" t="s">
        <v>20</v>
      </c>
      <c r="E427" s="17">
        <v>4</v>
      </c>
    </row>
    <row r="428" spans="2:5">
      <c r="B428" s="37">
        <v>40360</v>
      </c>
      <c r="C428" s="17">
        <v>1445083188.54</v>
      </c>
      <c r="D428" s="17" t="s">
        <v>4</v>
      </c>
      <c r="E428" s="17">
        <v>5</v>
      </c>
    </row>
    <row r="429" spans="2:5">
      <c r="B429" s="37">
        <v>40360</v>
      </c>
      <c r="C429" s="17">
        <v>974133095.32000005</v>
      </c>
      <c r="D429" s="17" t="s">
        <v>5</v>
      </c>
      <c r="E429" s="17">
        <v>6</v>
      </c>
    </row>
    <row r="430" spans="2:5">
      <c r="B430" s="37">
        <v>40360</v>
      </c>
      <c r="C430" s="17">
        <v>675914527.42999995</v>
      </c>
      <c r="D430" s="17" t="s">
        <v>42</v>
      </c>
      <c r="E430" s="17">
        <v>7</v>
      </c>
    </row>
    <row r="431" spans="2:5">
      <c r="B431" s="37">
        <v>40360</v>
      </c>
      <c r="C431" s="17">
        <v>652414196.23000002</v>
      </c>
      <c r="D431" s="17" t="s">
        <v>34</v>
      </c>
      <c r="E431" s="17">
        <v>8</v>
      </c>
    </row>
    <row r="432" spans="2:5">
      <c r="B432" s="37">
        <v>40360</v>
      </c>
      <c r="C432" s="17">
        <v>621237152.12</v>
      </c>
      <c r="D432" s="17" t="s">
        <v>10</v>
      </c>
      <c r="E432" s="17">
        <v>9</v>
      </c>
    </row>
    <row r="433" spans="2:5">
      <c r="B433" s="37">
        <v>40360</v>
      </c>
      <c r="C433" s="17">
        <v>474094385.06999999</v>
      </c>
      <c r="D433" s="17" t="s">
        <v>44</v>
      </c>
      <c r="E433" s="17">
        <v>10</v>
      </c>
    </row>
    <row r="434" spans="2:5">
      <c r="B434" s="37">
        <v>40391</v>
      </c>
      <c r="C434" s="17">
        <v>10445666888.360001</v>
      </c>
      <c r="D434" s="17" t="s">
        <v>11</v>
      </c>
      <c r="E434" s="17">
        <v>1</v>
      </c>
    </row>
    <row r="435" spans="2:5">
      <c r="B435" s="37">
        <v>40391</v>
      </c>
      <c r="C435" s="17">
        <v>6780683677.4899998</v>
      </c>
      <c r="D435" s="17" t="s">
        <v>6</v>
      </c>
      <c r="E435" s="17">
        <v>2</v>
      </c>
    </row>
    <row r="436" spans="2:5">
      <c r="B436" s="37">
        <v>40391</v>
      </c>
      <c r="C436" s="17">
        <v>2690541294.77</v>
      </c>
      <c r="D436" s="17" t="s">
        <v>20</v>
      </c>
      <c r="E436" s="17">
        <v>3</v>
      </c>
    </row>
    <row r="437" spans="2:5">
      <c r="B437" s="37">
        <v>40391</v>
      </c>
      <c r="C437" s="17">
        <v>2635279121.3899999</v>
      </c>
      <c r="D437" s="17" t="s">
        <v>4</v>
      </c>
      <c r="E437" s="17">
        <v>4</v>
      </c>
    </row>
    <row r="438" spans="2:5">
      <c r="B438" s="37">
        <v>40391</v>
      </c>
      <c r="C438" s="17">
        <v>2469426656.7399998</v>
      </c>
      <c r="D438" s="17" t="s">
        <v>13</v>
      </c>
      <c r="E438" s="17">
        <v>5</v>
      </c>
    </row>
    <row r="439" spans="2:5">
      <c r="B439" s="37">
        <v>40391</v>
      </c>
      <c r="C439" s="17">
        <v>1438161442.27</v>
      </c>
      <c r="D439" s="17" t="s">
        <v>10</v>
      </c>
      <c r="E439" s="17">
        <v>6</v>
      </c>
    </row>
    <row r="440" spans="2:5">
      <c r="B440" s="37">
        <v>40391</v>
      </c>
      <c r="C440" s="17">
        <v>1411205922.8599999</v>
      </c>
      <c r="D440" s="17" t="s">
        <v>5</v>
      </c>
      <c r="E440" s="17">
        <v>7</v>
      </c>
    </row>
    <row r="441" spans="2:5">
      <c r="B441" s="37">
        <v>40391</v>
      </c>
      <c r="C441" s="17">
        <v>1027381931.53</v>
      </c>
      <c r="D441" s="17" t="s">
        <v>34</v>
      </c>
      <c r="E441" s="17">
        <v>8</v>
      </c>
    </row>
    <row r="442" spans="2:5">
      <c r="B442" s="37">
        <v>40391</v>
      </c>
      <c r="C442" s="17">
        <v>679976598.80999994</v>
      </c>
      <c r="D442" s="17" t="s">
        <v>42</v>
      </c>
      <c r="E442" s="17">
        <v>9</v>
      </c>
    </row>
    <row r="443" spans="2:5">
      <c r="B443" s="37">
        <v>40391</v>
      </c>
      <c r="C443" s="17">
        <v>604184628</v>
      </c>
      <c r="D443" s="17" t="s">
        <v>45</v>
      </c>
      <c r="E443" s="17">
        <v>10</v>
      </c>
    </row>
    <row r="444" spans="2:5">
      <c r="B444" s="37">
        <v>40422</v>
      </c>
      <c r="C444" s="17">
        <v>13523481421.540001</v>
      </c>
      <c r="D444" s="17" t="s">
        <v>13</v>
      </c>
      <c r="E444" s="17">
        <v>1</v>
      </c>
    </row>
    <row r="445" spans="2:5">
      <c r="B445" s="37">
        <v>40422</v>
      </c>
      <c r="C445" s="17">
        <v>12647051419.92</v>
      </c>
      <c r="D445" s="17" t="s">
        <v>11</v>
      </c>
      <c r="E445" s="17">
        <v>2</v>
      </c>
    </row>
    <row r="446" spans="2:5">
      <c r="B446" s="37">
        <v>40422</v>
      </c>
      <c r="C446" s="17">
        <v>8801662456.9899998</v>
      </c>
      <c r="D446" s="17" t="s">
        <v>6</v>
      </c>
      <c r="E446" s="17">
        <v>3</v>
      </c>
    </row>
    <row r="447" spans="2:5">
      <c r="B447" s="37">
        <v>40422</v>
      </c>
      <c r="C447" s="17">
        <v>4518559940.5299997</v>
      </c>
      <c r="D447" s="17" t="s">
        <v>4</v>
      </c>
      <c r="E447" s="17">
        <v>4</v>
      </c>
    </row>
    <row r="448" spans="2:5">
      <c r="B448" s="37">
        <v>40422</v>
      </c>
      <c r="C448" s="17">
        <v>3646842839.0100002</v>
      </c>
      <c r="D448" s="17" t="s">
        <v>20</v>
      </c>
      <c r="E448" s="17">
        <v>5</v>
      </c>
    </row>
    <row r="449" spans="2:5">
      <c r="B449" s="37">
        <v>40422</v>
      </c>
      <c r="C449" s="17">
        <v>2082908596.8599999</v>
      </c>
      <c r="D449" s="17" t="s">
        <v>10</v>
      </c>
      <c r="E449" s="17">
        <v>6</v>
      </c>
    </row>
    <row r="450" spans="2:5">
      <c r="B450" s="37">
        <v>40422</v>
      </c>
      <c r="C450" s="17">
        <v>1754955724.47</v>
      </c>
      <c r="D450" s="17" t="s">
        <v>5</v>
      </c>
      <c r="E450" s="17">
        <v>7</v>
      </c>
    </row>
    <row r="451" spans="2:5">
      <c r="B451" s="37">
        <v>40422</v>
      </c>
      <c r="C451" s="17">
        <v>1120073087.9000001</v>
      </c>
      <c r="D451" s="17" t="s">
        <v>34</v>
      </c>
      <c r="E451" s="17">
        <v>8</v>
      </c>
    </row>
    <row r="452" spans="2:5">
      <c r="B452" s="37">
        <v>40422</v>
      </c>
      <c r="C452" s="17">
        <v>1105134409.6900001</v>
      </c>
      <c r="D452" s="17" t="s">
        <v>42</v>
      </c>
      <c r="E452" s="17">
        <v>9</v>
      </c>
    </row>
    <row r="453" spans="2:5">
      <c r="B453" s="37">
        <v>40422</v>
      </c>
      <c r="C453" s="17">
        <v>842265479.03999996</v>
      </c>
      <c r="D453" s="17" t="s">
        <v>46</v>
      </c>
      <c r="E453" s="17">
        <v>10</v>
      </c>
    </row>
    <row r="454" spans="2:5">
      <c r="B454" s="37">
        <v>40452</v>
      </c>
      <c r="C454" s="17">
        <v>13935891180.24</v>
      </c>
      <c r="D454" s="17" t="s">
        <v>11</v>
      </c>
      <c r="E454" s="17">
        <v>1</v>
      </c>
    </row>
    <row r="455" spans="2:5">
      <c r="B455" s="37">
        <v>40452</v>
      </c>
      <c r="C455" s="17">
        <v>7173559851.6000004</v>
      </c>
      <c r="D455" s="17" t="s">
        <v>6</v>
      </c>
      <c r="E455" s="17">
        <v>2</v>
      </c>
    </row>
    <row r="456" spans="2:5">
      <c r="B456" s="37">
        <v>40452</v>
      </c>
      <c r="C456" s="17">
        <v>7032221976</v>
      </c>
      <c r="D456" s="17" t="s">
        <v>13</v>
      </c>
      <c r="E456" s="17">
        <v>3</v>
      </c>
    </row>
    <row r="457" spans="2:5">
      <c r="B457" s="37">
        <v>40452</v>
      </c>
      <c r="C457" s="17">
        <v>4867074403.2299995</v>
      </c>
      <c r="D457" s="17" t="s">
        <v>20</v>
      </c>
      <c r="E457" s="17">
        <v>4</v>
      </c>
    </row>
    <row r="458" spans="2:5">
      <c r="B458" s="37">
        <v>40452</v>
      </c>
      <c r="C458" s="17">
        <v>4545541491.3000002</v>
      </c>
      <c r="D458" s="17" t="s">
        <v>4</v>
      </c>
      <c r="E458" s="17">
        <v>5</v>
      </c>
    </row>
    <row r="459" spans="2:5">
      <c r="B459" s="37">
        <v>40452</v>
      </c>
      <c r="C459" s="17">
        <v>1772716757.7</v>
      </c>
      <c r="D459" s="17" t="s">
        <v>5</v>
      </c>
      <c r="E459" s="17">
        <v>6</v>
      </c>
    </row>
    <row r="460" spans="2:5">
      <c r="B460" s="37">
        <v>40452</v>
      </c>
      <c r="C460" s="17">
        <v>1584815106.8800001</v>
      </c>
      <c r="D460" s="17" t="s">
        <v>10</v>
      </c>
      <c r="E460" s="17">
        <v>7</v>
      </c>
    </row>
    <row r="461" spans="2:5">
      <c r="B461" s="37">
        <v>40452</v>
      </c>
      <c r="C461" s="17">
        <v>1236774477.01</v>
      </c>
      <c r="D461" s="17" t="s">
        <v>34</v>
      </c>
      <c r="E461" s="17">
        <v>8</v>
      </c>
    </row>
    <row r="462" spans="2:5">
      <c r="B462" s="37">
        <v>40452</v>
      </c>
      <c r="C462" s="17">
        <v>1043295632.48</v>
      </c>
      <c r="D462" s="17" t="s">
        <v>17</v>
      </c>
      <c r="E462" s="17">
        <v>9</v>
      </c>
    </row>
    <row r="463" spans="2:5">
      <c r="B463" s="37">
        <v>40452</v>
      </c>
      <c r="C463" s="17">
        <v>985412820.13999999</v>
      </c>
      <c r="D463" s="17" t="s">
        <v>46</v>
      </c>
      <c r="E463" s="17">
        <v>10</v>
      </c>
    </row>
    <row r="464" spans="2:5">
      <c r="B464" s="37">
        <v>40483</v>
      </c>
      <c r="C464" s="17">
        <v>13909502726.82</v>
      </c>
      <c r="D464" s="17" t="s">
        <v>11</v>
      </c>
      <c r="E464" s="17">
        <v>1</v>
      </c>
    </row>
    <row r="465" spans="2:5">
      <c r="B465" s="37">
        <v>40483</v>
      </c>
      <c r="C465" s="17">
        <v>8077232839.9099998</v>
      </c>
      <c r="D465" s="17" t="s">
        <v>6</v>
      </c>
      <c r="E465" s="17">
        <v>2</v>
      </c>
    </row>
    <row r="466" spans="2:5">
      <c r="B466" s="37">
        <v>40483</v>
      </c>
      <c r="C466" s="17">
        <v>5669944072.8400002</v>
      </c>
      <c r="D466" s="17" t="s">
        <v>13</v>
      </c>
      <c r="E466" s="17">
        <v>3</v>
      </c>
    </row>
    <row r="467" spans="2:5">
      <c r="B467" s="37">
        <v>40483</v>
      </c>
      <c r="C467" s="17">
        <v>4631288816.5799999</v>
      </c>
      <c r="D467" s="17" t="s">
        <v>20</v>
      </c>
      <c r="E467" s="17">
        <v>4</v>
      </c>
    </row>
    <row r="468" spans="2:5">
      <c r="B468" s="37">
        <v>40483</v>
      </c>
      <c r="C468" s="17">
        <v>4042775700.8400002</v>
      </c>
      <c r="D468" s="17" t="s">
        <v>4</v>
      </c>
      <c r="E468" s="17">
        <v>5</v>
      </c>
    </row>
    <row r="469" spans="2:5">
      <c r="B469" s="37">
        <v>40483</v>
      </c>
      <c r="C469" s="17">
        <v>2192767460.75</v>
      </c>
      <c r="D469" s="17" t="s">
        <v>5</v>
      </c>
      <c r="E469" s="17">
        <v>6</v>
      </c>
    </row>
    <row r="470" spans="2:5">
      <c r="B470" s="37">
        <v>40483</v>
      </c>
      <c r="C470" s="17">
        <v>1752605955.22</v>
      </c>
      <c r="D470" s="17" t="s">
        <v>46</v>
      </c>
      <c r="E470" s="17">
        <v>7</v>
      </c>
    </row>
    <row r="471" spans="2:5">
      <c r="B471" s="37">
        <v>40483</v>
      </c>
      <c r="C471" s="17">
        <v>1652225345.79</v>
      </c>
      <c r="D471" s="17" t="s">
        <v>10</v>
      </c>
      <c r="E471" s="17">
        <v>8</v>
      </c>
    </row>
    <row r="472" spans="2:5">
      <c r="B472" s="37">
        <v>40483</v>
      </c>
      <c r="C472" s="17">
        <v>1583568018.25</v>
      </c>
      <c r="D472" s="17" t="s">
        <v>34</v>
      </c>
      <c r="E472" s="17">
        <v>9</v>
      </c>
    </row>
    <row r="473" spans="2:5">
      <c r="B473" s="37">
        <v>40483</v>
      </c>
      <c r="C473" s="17">
        <v>1122048685</v>
      </c>
      <c r="D473" s="17" t="s">
        <v>30</v>
      </c>
      <c r="E473" s="17">
        <v>10</v>
      </c>
    </row>
    <row r="474" spans="2:5">
      <c r="B474" s="37">
        <v>40513</v>
      </c>
      <c r="C474" s="17">
        <v>14878642995.780001</v>
      </c>
      <c r="D474" s="17" t="s">
        <v>11</v>
      </c>
      <c r="E474" s="17">
        <v>1</v>
      </c>
    </row>
    <row r="475" spans="2:5">
      <c r="B475" s="37">
        <v>40513</v>
      </c>
      <c r="C475" s="17">
        <v>13177768197.51</v>
      </c>
      <c r="D475" s="17" t="s">
        <v>13</v>
      </c>
      <c r="E475" s="17">
        <v>2</v>
      </c>
    </row>
    <row r="476" spans="2:5">
      <c r="B476" s="37">
        <v>40513</v>
      </c>
      <c r="C476" s="17">
        <v>11678030199.870001</v>
      </c>
      <c r="D476" s="17" t="s">
        <v>6</v>
      </c>
      <c r="E476" s="17">
        <v>3</v>
      </c>
    </row>
    <row r="477" spans="2:5">
      <c r="B477" s="37">
        <v>40513</v>
      </c>
      <c r="C477" s="17">
        <v>4455935640.6099997</v>
      </c>
      <c r="D477" s="17" t="s">
        <v>4</v>
      </c>
      <c r="E477" s="17">
        <v>4</v>
      </c>
    </row>
    <row r="478" spans="2:5">
      <c r="B478" s="37">
        <v>40513</v>
      </c>
      <c r="C478" s="17">
        <v>4077546240.5599999</v>
      </c>
      <c r="D478" s="17" t="s">
        <v>20</v>
      </c>
      <c r="E478" s="17">
        <v>5</v>
      </c>
    </row>
    <row r="479" spans="2:5">
      <c r="B479" s="37">
        <v>40513</v>
      </c>
      <c r="C479" s="17">
        <v>1808961584.6800001</v>
      </c>
      <c r="D479" s="17" t="s">
        <v>34</v>
      </c>
      <c r="E479" s="17">
        <v>6</v>
      </c>
    </row>
    <row r="480" spans="2:5">
      <c r="B480" s="37">
        <v>40513</v>
      </c>
      <c r="C480" s="17">
        <v>1787042808.5599999</v>
      </c>
      <c r="D480" s="17" t="s">
        <v>10</v>
      </c>
      <c r="E480" s="17">
        <v>7</v>
      </c>
    </row>
    <row r="481" spans="2:5">
      <c r="B481" s="37">
        <v>40513</v>
      </c>
      <c r="C481" s="17">
        <v>1232116719.6400001</v>
      </c>
      <c r="D481" s="17" t="s">
        <v>24</v>
      </c>
      <c r="E481" s="17">
        <v>8</v>
      </c>
    </row>
    <row r="482" spans="2:5">
      <c r="B482" s="37">
        <v>40513</v>
      </c>
      <c r="C482" s="17">
        <v>1213409683.3399999</v>
      </c>
      <c r="D482" s="17" t="s">
        <v>5</v>
      </c>
      <c r="E482" s="17">
        <v>9</v>
      </c>
    </row>
    <row r="483" spans="2:5">
      <c r="B483" s="37">
        <v>40513</v>
      </c>
      <c r="C483" s="17">
        <v>1075335371.8499999</v>
      </c>
      <c r="D483" s="17" t="s">
        <v>17</v>
      </c>
      <c r="E483" s="17">
        <v>10</v>
      </c>
    </row>
    <row r="484" spans="2:5">
      <c r="B484" s="37">
        <v>40544</v>
      </c>
      <c r="C484" s="17">
        <v>15157548488.809999</v>
      </c>
      <c r="D484" s="17" t="s">
        <v>11</v>
      </c>
      <c r="E484" s="17">
        <v>1</v>
      </c>
    </row>
    <row r="485" spans="2:5">
      <c r="B485" s="37">
        <v>40544</v>
      </c>
      <c r="C485" s="17">
        <v>10056413197.809999</v>
      </c>
      <c r="D485" s="17" t="s">
        <v>6</v>
      </c>
      <c r="E485" s="17">
        <v>2</v>
      </c>
    </row>
    <row r="486" spans="2:5">
      <c r="B486" s="37">
        <v>40544</v>
      </c>
      <c r="C486" s="17">
        <v>5654825118.79</v>
      </c>
      <c r="D486" s="17" t="s">
        <v>13</v>
      </c>
      <c r="E486" s="17">
        <v>3</v>
      </c>
    </row>
    <row r="487" spans="2:5">
      <c r="B487" s="37">
        <v>40544</v>
      </c>
      <c r="C487" s="17">
        <v>4288064391.23</v>
      </c>
      <c r="D487" s="17" t="s">
        <v>4</v>
      </c>
      <c r="E487" s="17">
        <v>4</v>
      </c>
    </row>
    <row r="488" spans="2:5">
      <c r="B488" s="37">
        <v>40544</v>
      </c>
      <c r="C488" s="17">
        <v>3768046307.4699998</v>
      </c>
      <c r="D488" s="17" t="s">
        <v>20</v>
      </c>
      <c r="E488" s="17">
        <v>5</v>
      </c>
    </row>
    <row r="489" spans="2:5">
      <c r="B489" s="37">
        <v>40544</v>
      </c>
      <c r="C489" s="17">
        <v>2454761687.0100002</v>
      </c>
      <c r="D489" s="17" t="s">
        <v>5</v>
      </c>
      <c r="E489" s="17">
        <v>6</v>
      </c>
    </row>
    <row r="490" spans="2:5">
      <c r="B490" s="37">
        <v>40544</v>
      </c>
      <c r="C490" s="17">
        <v>1652845494.29</v>
      </c>
      <c r="D490" s="17" t="s">
        <v>10</v>
      </c>
      <c r="E490" s="17">
        <v>7</v>
      </c>
    </row>
    <row r="491" spans="2:5">
      <c r="B491" s="37">
        <v>40544</v>
      </c>
      <c r="C491" s="17">
        <v>1553817144.2</v>
      </c>
      <c r="D491" s="17" t="s">
        <v>34</v>
      </c>
      <c r="E491" s="17">
        <v>8</v>
      </c>
    </row>
    <row r="492" spans="2:5">
      <c r="B492" s="37">
        <v>40544</v>
      </c>
      <c r="C492" s="17">
        <v>835486551.41999996</v>
      </c>
      <c r="D492" s="17" t="s">
        <v>42</v>
      </c>
      <c r="E492" s="17">
        <v>9</v>
      </c>
    </row>
    <row r="493" spans="2:5">
      <c r="B493" s="37">
        <v>40544</v>
      </c>
      <c r="C493" s="17">
        <v>805596212.40999997</v>
      </c>
      <c r="D493" s="17" t="s">
        <v>17</v>
      </c>
      <c r="E493" s="17">
        <v>10</v>
      </c>
    </row>
    <row r="494" spans="2:5">
      <c r="B494" s="37">
        <v>40575</v>
      </c>
      <c r="C494" s="17">
        <v>12839332402.040001</v>
      </c>
      <c r="D494" s="17" t="s">
        <v>11</v>
      </c>
      <c r="E494" s="17">
        <v>1</v>
      </c>
    </row>
    <row r="495" spans="2:5">
      <c r="B495" s="37">
        <v>40575</v>
      </c>
      <c r="C495" s="17">
        <v>9579024294.3700008</v>
      </c>
      <c r="D495" s="17" t="s">
        <v>6</v>
      </c>
      <c r="E495" s="17">
        <v>2</v>
      </c>
    </row>
    <row r="496" spans="2:5">
      <c r="B496" s="37">
        <v>40575</v>
      </c>
      <c r="C496" s="17">
        <v>4282742234.9099998</v>
      </c>
      <c r="D496" s="17" t="s">
        <v>13</v>
      </c>
      <c r="E496" s="17">
        <v>3</v>
      </c>
    </row>
    <row r="497" spans="2:5">
      <c r="B497" s="37">
        <v>40575</v>
      </c>
      <c r="C497" s="17">
        <v>2523521818.0799999</v>
      </c>
      <c r="D497" s="17" t="s">
        <v>4</v>
      </c>
      <c r="E497" s="17">
        <v>4</v>
      </c>
    </row>
    <row r="498" spans="2:5">
      <c r="B498" s="37">
        <v>40575</v>
      </c>
      <c r="C498" s="17">
        <v>2208311207.8699999</v>
      </c>
      <c r="D498" s="17" t="s">
        <v>5</v>
      </c>
      <c r="E498" s="17">
        <v>5</v>
      </c>
    </row>
    <row r="499" spans="2:5">
      <c r="B499" s="37">
        <v>40575</v>
      </c>
      <c r="C499" s="17">
        <v>1927727999.48</v>
      </c>
      <c r="D499" s="17" t="s">
        <v>20</v>
      </c>
      <c r="E499" s="17">
        <v>6</v>
      </c>
    </row>
    <row r="500" spans="2:5">
      <c r="B500" s="37">
        <v>40575</v>
      </c>
      <c r="C500" s="17">
        <v>1247167117.3299999</v>
      </c>
      <c r="D500" s="17" t="s">
        <v>34</v>
      </c>
      <c r="E500" s="17">
        <v>7</v>
      </c>
    </row>
    <row r="501" spans="2:5">
      <c r="B501" s="37">
        <v>40575</v>
      </c>
      <c r="C501" s="17">
        <v>855765018.10000002</v>
      </c>
      <c r="D501" s="17" t="s">
        <v>10</v>
      </c>
      <c r="E501" s="17">
        <v>8</v>
      </c>
    </row>
    <row r="502" spans="2:5">
      <c r="B502" s="37">
        <v>40575</v>
      </c>
      <c r="C502" s="17">
        <v>731935459.64999998</v>
      </c>
      <c r="D502" s="17" t="s">
        <v>17</v>
      </c>
      <c r="E502" s="17">
        <v>9</v>
      </c>
    </row>
    <row r="503" spans="2:5">
      <c r="B503" s="37">
        <v>40575</v>
      </c>
      <c r="C503" s="17">
        <v>447638536.25</v>
      </c>
      <c r="D503" s="17" t="s">
        <v>42</v>
      </c>
      <c r="E503" s="17">
        <v>10</v>
      </c>
    </row>
    <row r="504" spans="2:5">
      <c r="B504" s="37">
        <v>40603</v>
      </c>
      <c r="C504" s="17">
        <v>9636191150.4599991</v>
      </c>
      <c r="D504" s="17" t="s">
        <v>11</v>
      </c>
      <c r="E504" s="17">
        <v>1</v>
      </c>
    </row>
    <row r="505" spans="2:5">
      <c r="B505" s="37">
        <v>40603</v>
      </c>
      <c r="C505" s="17">
        <v>9485405797.4699993</v>
      </c>
      <c r="D505" s="17" t="s">
        <v>13</v>
      </c>
      <c r="E505" s="17">
        <v>2</v>
      </c>
    </row>
    <row r="506" spans="2:5">
      <c r="B506" s="37">
        <v>40603</v>
      </c>
      <c r="C506" s="17">
        <v>8683894317.7800007</v>
      </c>
      <c r="D506" s="17" t="s">
        <v>6</v>
      </c>
      <c r="E506" s="17">
        <v>3</v>
      </c>
    </row>
    <row r="507" spans="2:5">
      <c r="B507" s="37">
        <v>40603</v>
      </c>
      <c r="C507" s="17">
        <v>2657649716.0999999</v>
      </c>
      <c r="D507" s="17" t="s">
        <v>4</v>
      </c>
      <c r="E507" s="17">
        <v>4</v>
      </c>
    </row>
    <row r="508" spans="2:5">
      <c r="B508" s="37">
        <v>40603</v>
      </c>
      <c r="C508" s="17">
        <v>2586644966.1999998</v>
      </c>
      <c r="D508" s="17" t="s">
        <v>5</v>
      </c>
      <c r="E508" s="17">
        <v>5</v>
      </c>
    </row>
    <row r="509" spans="2:5">
      <c r="B509" s="37">
        <v>40603</v>
      </c>
      <c r="C509" s="17">
        <v>2121205602.46</v>
      </c>
      <c r="D509" s="17" t="s">
        <v>20</v>
      </c>
      <c r="E509" s="17">
        <v>6</v>
      </c>
    </row>
    <row r="510" spans="2:5">
      <c r="B510" s="37">
        <v>40603</v>
      </c>
      <c r="C510" s="17">
        <v>1186577224.8</v>
      </c>
      <c r="D510" s="17" t="s">
        <v>34</v>
      </c>
      <c r="E510" s="17">
        <v>7</v>
      </c>
    </row>
    <row r="511" spans="2:5">
      <c r="B511" s="37">
        <v>40603</v>
      </c>
      <c r="C511" s="17">
        <v>740800134.88999999</v>
      </c>
      <c r="D511" s="17" t="s">
        <v>10</v>
      </c>
      <c r="E511" s="17">
        <v>8</v>
      </c>
    </row>
    <row r="512" spans="2:5">
      <c r="B512" s="37">
        <v>40603</v>
      </c>
      <c r="C512" s="17">
        <v>705043007.98000002</v>
      </c>
      <c r="D512" s="17" t="s">
        <v>17</v>
      </c>
      <c r="E512" s="17">
        <v>9</v>
      </c>
    </row>
    <row r="513" spans="2:5">
      <c r="B513" s="37">
        <v>40603</v>
      </c>
      <c r="C513" s="17">
        <v>488914060</v>
      </c>
      <c r="D513" s="17" t="s">
        <v>43</v>
      </c>
      <c r="E513" s="17">
        <v>10</v>
      </c>
    </row>
    <row r="514" spans="2:5">
      <c r="B514" s="37">
        <v>40634</v>
      </c>
      <c r="C514" s="17">
        <v>7444150512.3199997</v>
      </c>
      <c r="D514" s="17" t="s">
        <v>11</v>
      </c>
      <c r="E514" s="17">
        <v>1</v>
      </c>
    </row>
    <row r="515" spans="2:5">
      <c r="B515" s="37">
        <v>40634</v>
      </c>
      <c r="C515" s="17">
        <v>4730559226.2700005</v>
      </c>
      <c r="D515" s="17" t="s">
        <v>6</v>
      </c>
      <c r="E515" s="17">
        <v>2</v>
      </c>
    </row>
    <row r="516" spans="2:5">
      <c r="B516" s="37">
        <v>40634</v>
      </c>
      <c r="C516" s="17">
        <v>3767154561.3800001</v>
      </c>
      <c r="D516" s="17" t="s">
        <v>13</v>
      </c>
      <c r="E516" s="17">
        <v>3</v>
      </c>
    </row>
    <row r="517" spans="2:5">
      <c r="B517" s="37">
        <v>40634</v>
      </c>
      <c r="C517" s="17">
        <v>2120004498.6400001</v>
      </c>
      <c r="D517" s="17" t="s">
        <v>4</v>
      </c>
      <c r="E517" s="17">
        <v>4</v>
      </c>
    </row>
    <row r="518" spans="2:5">
      <c r="B518" s="37">
        <v>40634</v>
      </c>
      <c r="C518" s="17">
        <v>1116379416.3</v>
      </c>
      <c r="D518" s="17" t="s">
        <v>20</v>
      </c>
      <c r="E518" s="17">
        <v>5</v>
      </c>
    </row>
    <row r="519" spans="2:5">
      <c r="B519" s="37">
        <v>40634</v>
      </c>
      <c r="C519" s="17">
        <v>811722395.58000004</v>
      </c>
      <c r="D519" s="17" t="s">
        <v>10</v>
      </c>
      <c r="E519" s="17">
        <v>6</v>
      </c>
    </row>
    <row r="520" spans="2:5">
      <c r="B520" s="37">
        <v>40634</v>
      </c>
      <c r="C520" s="17">
        <v>764963730.72000003</v>
      </c>
      <c r="D520" s="17" t="s">
        <v>17</v>
      </c>
      <c r="E520" s="17">
        <v>7</v>
      </c>
    </row>
    <row r="521" spans="2:5">
      <c r="B521" s="37">
        <v>40634</v>
      </c>
      <c r="C521" s="17">
        <v>674113666.69000006</v>
      </c>
      <c r="D521" s="17" t="s">
        <v>34</v>
      </c>
      <c r="E521" s="17">
        <v>8</v>
      </c>
    </row>
    <row r="522" spans="2:5">
      <c r="B522" s="37">
        <v>40634</v>
      </c>
      <c r="C522" s="17">
        <v>581314774.17999995</v>
      </c>
      <c r="D522" s="17" t="s">
        <v>5</v>
      </c>
      <c r="E522" s="17">
        <v>9</v>
      </c>
    </row>
    <row r="523" spans="2:5">
      <c r="B523" s="37">
        <v>40634</v>
      </c>
      <c r="C523" s="17">
        <v>341092933.08999997</v>
      </c>
      <c r="D523" s="17" t="s">
        <v>24</v>
      </c>
      <c r="E523" s="17">
        <v>10</v>
      </c>
    </row>
    <row r="524" spans="2:5">
      <c r="B524" s="37">
        <v>40664</v>
      </c>
      <c r="C524" s="17">
        <v>6796796476.5</v>
      </c>
      <c r="D524" s="17" t="s">
        <v>11</v>
      </c>
      <c r="E524" s="17">
        <v>1</v>
      </c>
    </row>
    <row r="525" spans="2:5">
      <c r="B525" s="37">
        <v>40664</v>
      </c>
      <c r="C525" s="17">
        <v>4462100152.5799999</v>
      </c>
      <c r="D525" s="17" t="s">
        <v>13</v>
      </c>
      <c r="E525" s="17">
        <v>2</v>
      </c>
    </row>
    <row r="526" spans="2:5">
      <c r="B526" s="37">
        <v>40664</v>
      </c>
      <c r="C526" s="17">
        <v>2894353490.4000001</v>
      </c>
      <c r="D526" s="17" t="s">
        <v>6</v>
      </c>
      <c r="E526" s="17">
        <v>3</v>
      </c>
    </row>
    <row r="527" spans="2:5">
      <c r="B527" s="37">
        <v>40664</v>
      </c>
      <c r="C527" s="17">
        <v>1772156272.1099999</v>
      </c>
      <c r="D527" s="17" t="s">
        <v>4</v>
      </c>
      <c r="E527" s="17">
        <v>4</v>
      </c>
    </row>
    <row r="528" spans="2:5">
      <c r="B528" s="37">
        <v>40664</v>
      </c>
      <c r="C528" s="17">
        <v>1714672795.1500001</v>
      </c>
      <c r="D528" s="17" t="s">
        <v>20</v>
      </c>
      <c r="E528" s="17">
        <v>5</v>
      </c>
    </row>
    <row r="529" spans="2:5">
      <c r="B529" s="37">
        <v>40664</v>
      </c>
      <c r="C529" s="17">
        <v>841140321.39999998</v>
      </c>
      <c r="D529" s="17" t="s">
        <v>10</v>
      </c>
      <c r="E529" s="17">
        <v>6</v>
      </c>
    </row>
    <row r="530" spans="2:5">
      <c r="B530" s="37">
        <v>40664</v>
      </c>
      <c r="C530" s="17">
        <v>752156908.72000003</v>
      </c>
      <c r="D530" s="17" t="s">
        <v>5</v>
      </c>
      <c r="E530" s="17">
        <v>7</v>
      </c>
    </row>
    <row r="531" spans="2:5">
      <c r="B531" s="37">
        <v>40664</v>
      </c>
      <c r="C531" s="17">
        <v>563716044.37</v>
      </c>
      <c r="D531" s="17" t="s">
        <v>34</v>
      </c>
      <c r="E531" s="17">
        <v>8</v>
      </c>
    </row>
    <row r="532" spans="2:5">
      <c r="B532" s="37">
        <v>40664</v>
      </c>
      <c r="C532" s="17">
        <v>489084046.74000001</v>
      </c>
      <c r="D532" s="17" t="s">
        <v>17</v>
      </c>
      <c r="E532" s="17">
        <v>9</v>
      </c>
    </row>
    <row r="533" spans="2:5">
      <c r="B533" s="37">
        <v>40664</v>
      </c>
      <c r="C533" s="17">
        <v>284055237</v>
      </c>
      <c r="D533" s="17" t="s">
        <v>28</v>
      </c>
      <c r="E533" s="17">
        <v>10</v>
      </c>
    </row>
    <row r="534" spans="2:5">
      <c r="B534" s="37">
        <v>40695</v>
      </c>
      <c r="C534" s="17">
        <v>8100182361.9399996</v>
      </c>
      <c r="D534" s="17" t="s">
        <v>11</v>
      </c>
      <c r="E534" s="17">
        <v>1</v>
      </c>
    </row>
    <row r="535" spans="2:5">
      <c r="B535" s="37">
        <v>40695</v>
      </c>
      <c r="C535" s="17">
        <v>5545967032.6400003</v>
      </c>
      <c r="D535" s="17" t="s">
        <v>13</v>
      </c>
      <c r="E535" s="17">
        <v>2</v>
      </c>
    </row>
    <row r="536" spans="2:5">
      <c r="B536" s="37">
        <v>40695</v>
      </c>
      <c r="C536" s="17">
        <v>3143184905.6100001</v>
      </c>
      <c r="D536" s="17" t="s">
        <v>20</v>
      </c>
      <c r="E536" s="17">
        <v>3</v>
      </c>
    </row>
    <row r="537" spans="2:5">
      <c r="B537" s="37">
        <v>40695</v>
      </c>
      <c r="C537" s="17">
        <v>2911823738.5799999</v>
      </c>
      <c r="D537" s="17" t="s">
        <v>6</v>
      </c>
      <c r="E537" s="17">
        <v>4</v>
      </c>
    </row>
    <row r="538" spans="2:5">
      <c r="B538" s="37">
        <v>40695</v>
      </c>
      <c r="C538" s="17">
        <v>1549429492.6099999</v>
      </c>
      <c r="D538" s="17" t="s">
        <v>4</v>
      </c>
      <c r="E538" s="17">
        <v>5</v>
      </c>
    </row>
    <row r="539" spans="2:5">
      <c r="B539" s="37">
        <v>40695</v>
      </c>
      <c r="C539" s="17">
        <v>1268561247.9400001</v>
      </c>
      <c r="D539" s="17" t="s">
        <v>5</v>
      </c>
      <c r="E539" s="17">
        <v>6</v>
      </c>
    </row>
    <row r="540" spans="2:5">
      <c r="B540" s="37">
        <v>40695</v>
      </c>
      <c r="C540" s="17">
        <v>602058992.67999995</v>
      </c>
      <c r="D540" s="17" t="s">
        <v>34</v>
      </c>
      <c r="E540" s="17">
        <v>7</v>
      </c>
    </row>
    <row r="541" spans="2:5">
      <c r="B541" s="37">
        <v>40695</v>
      </c>
      <c r="C541" s="17">
        <v>539015420.57000005</v>
      </c>
      <c r="D541" s="17" t="s">
        <v>10</v>
      </c>
      <c r="E541" s="17">
        <v>8</v>
      </c>
    </row>
    <row r="542" spans="2:5">
      <c r="B542" s="37">
        <v>40695</v>
      </c>
      <c r="C542" s="17">
        <v>494592251</v>
      </c>
      <c r="D542" s="17" t="s">
        <v>36</v>
      </c>
      <c r="E542" s="17">
        <v>9</v>
      </c>
    </row>
    <row r="543" spans="2:5">
      <c r="B543" s="37">
        <v>40695</v>
      </c>
      <c r="C543" s="17">
        <v>440788343.07999998</v>
      </c>
      <c r="D543" s="17" t="s">
        <v>17</v>
      </c>
      <c r="E543" s="17">
        <v>10</v>
      </c>
    </row>
    <row r="544" spans="2:5">
      <c r="B544" s="37">
        <v>40725</v>
      </c>
      <c r="C544" s="17">
        <v>5308788048.8400002</v>
      </c>
      <c r="D544" s="17" t="s">
        <v>11</v>
      </c>
      <c r="E544" s="17">
        <v>1</v>
      </c>
    </row>
    <row r="545" spans="2:5">
      <c r="B545" s="37">
        <v>40725</v>
      </c>
      <c r="C545" s="17">
        <v>3552030616.75</v>
      </c>
      <c r="D545" s="17" t="s">
        <v>13</v>
      </c>
      <c r="E545" s="17">
        <v>2</v>
      </c>
    </row>
    <row r="546" spans="2:5">
      <c r="B546" s="37">
        <v>40725</v>
      </c>
      <c r="C546" s="17">
        <v>3451560618.73</v>
      </c>
      <c r="D546" s="17" t="s">
        <v>4</v>
      </c>
      <c r="E546" s="17">
        <v>3</v>
      </c>
    </row>
    <row r="547" spans="2:5">
      <c r="B547" s="37">
        <v>40725</v>
      </c>
      <c r="C547" s="17">
        <v>3164049641.8699999</v>
      </c>
      <c r="D547" s="17" t="s">
        <v>6</v>
      </c>
      <c r="E547" s="17">
        <v>4</v>
      </c>
    </row>
    <row r="548" spans="2:5">
      <c r="B548" s="37">
        <v>40725</v>
      </c>
      <c r="C548" s="17">
        <v>1623998106.96</v>
      </c>
      <c r="D548" s="17" t="s">
        <v>20</v>
      </c>
      <c r="E548" s="17">
        <v>5</v>
      </c>
    </row>
    <row r="549" spans="2:5">
      <c r="B549" s="37">
        <v>40725</v>
      </c>
      <c r="C549" s="17">
        <v>848545824.13999999</v>
      </c>
      <c r="D549" s="17" t="s">
        <v>10</v>
      </c>
      <c r="E549" s="17">
        <v>6</v>
      </c>
    </row>
    <row r="550" spans="2:5">
      <c r="B550" s="37">
        <v>40725</v>
      </c>
      <c r="C550" s="17">
        <v>722217253.57000005</v>
      </c>
      <c r="D550" s="17" t="s">
        <v>34</v>
      </c>
      <c r="E550" s="17">
        <v>7</v>
      </c>
    </row>
    <row r="551" spans="2:5">
      <c r="B551" s="37">
        <v>40725</v>
      </c>
      <c r="C551" s="17">
        <v>598908757.10000002</v>
      </c>
      <c r="D551" s="17" t="s">
        <v>17</v>
      </c>
      <c r="E551" s="17">
        <v>8</v>
      </c>
    </row>
    <row r="552" spans="2:5">
      <c r="B552" s="37">
        <v>40725</v>
      </c>
      <c r="C552" s="17">
        <v>488802884.07999998</v>
      </c>
      <c r="D552" s="17" t="s">
        <v>5</v>
      </c>
      <c r="E552" s="17">
        <v>9</v>
      </c>
    </row>
    <row r="553" spans="2:5">
      <c r="B553" s="37">
        <v>40725</v>
      </c>
      <c r="C553" s="17">
        <v>312614394</v>
      </c>
      <c r="D553" s="17" t="s">
        <v>47</v>
      </c>
      <c r="E553" s="17">
        <v>10</v>
      </c>
    </row>
    <row r="554" spans="2:5">
      <c r="B554" s="37">
        <v>40756</v>
      </c>
      <c r="C554" s="17">
        <v>8975675585.0300007</v>
      </c>
      <c r="D554" s="17" t="s">
        <v>11</v>
      </c>
      <c r="E554" s="17">
        <v>1</v>
      </c>
    </row>
    <row r="555" spans="2:5">
      <c r="B555" s="37">
        <v>40756</v>
      </c>
      <c r="C555" s="17">
        <v>5856036812.3699999</v>
      </c>
      <c r="D555" s="17" t="s">
        <v>13</v>
      </c>
      <c r="E555" s="17">
        <v>2</v>
      </c>
    </row>
    <row r="556" spans="2:5">
      <c r="B556" s="37">
        <v>40756</v>
      </c>
      <c r="C556" s="17">
        <v>3731162831.54</v>
      </c>
      <c r="D556" s="17" t="s">
        <v>6</v>
      </c>
      <c r="E556" s="17">
        <v>3</v>
      </c>
    </row>
    <row r="557" spans="2:5">
      <c r="B557" s="37">
        <v>40756</v>
      </c>
      <c r="C557" s="17">
        <v>2329334472.6700001</v>
      </c>
      <c r="D557" s="17" t="s">
        <v>20</v>
      </c>
      <c r="E557" s="17">
        <v>4</v>
      </c>
    </row>
    <row r="558" spans="2:5">
      <c r="B558" s="37">
        <v>40756</v>
      </c>
      <c r="C558" s="17">
        <v>1558677252.3900001</v>
      </c>
      <c r="D558" s="17" t="s">
        <v>4</v>
      </c>
      <c r="E558" s="17">
        <v>5</v>
      </c>
    </row>
    <row r="559" spans="2:5">
      <c r="B559" s="37">
        <v>40756</v>
      </c>
      <c r="C559" s="17">
        <v>1496155189.5</v>
      </c>
      <c r="D559" s="17" t="s">
        <v>5</v>
      </c>
      <c r="E559" s="17">
        <v>6</v>
      </c>
    </row>
    <row r="560" spans="2:5">
      <c r="B560" s="37">
        <v>40756</v>
      </c>
      <c r="C560" s="17">
        <v>1238482339.3800001</v>
      </c>
      <c r="D560" s="17" t="s">
        <v>10</v>
      </c>
      <c r="E560" s="17">
        <v>7</v>
      </c>
    </row>
    <row r="561" spans="2:5">
      <c r="B561" s="37">
        <v>40756</v>
      </c>
      <c r="C561" s="17">
        <v>725416086.88</v>
      </c>
      <c r="D561" s="17" t="s">
        <v>34</v>
      </c>
      <c r="E561" s="17">
        <v>8</v>
      </c>
    </row>
    <row r="562" spans="2:5">
      <c r="B562" s="37">
        <v>40756</v>
      </c>
      <c r="C562" s="17">
        <v>486453805.94</v>
      </c>
      <c r="D562" s="17" t="s">
        <v>17</v>
      </c>
      <c r="E562" s="17">
        <v>9</v>
      </c>
    </row>
    <row r="563" spans="2:5">
      <c r="B563" s="37">
        <v>40756</v>
      </c>
      <c r="C563" s="17">
        <v>246411781</v>
      </c>
      <c r="D563" s="17" t="s">
        <v>18</v>
      </c>
      <c r="E563" s="17">
        <v>10</v>
      </c>
    </row>
    <row r="564" spans="2:5">
      <c r="B564" s="37">
        <v>40787</v>
      </c>
      <c r="C564" s="17">
        <v>9862037476.5100002</v>
      </c>
      <c r="D564" s="17" t="s">
        <v>11</v>
      </c>
      <c r="E564" s="17">
        <v>1</v>
      </c>
    </row>
    <row r="565" spans="2:5">
      <c r="B565" s="37">
        <v>40787</v>
      </c>
      <c r="C565" s="17">
        <v>8513787528.9200001</v>
      </c>
      <c r="D565" s="17" t="s">
        <v>13</v>
      </c>
      <c r="E565" s="17">
        <v>2</v>
      </c>
    </row>
    <row r="566" spans="2:5">
      <c r="B566" s="37">
        <v>40787</v>
      </c>
      <c r="C566" s="17">
        <v>3396559955.0900002</v>
      </c>
      <c r="D566" s="17" t="s">
        <v>20</v>
      </c>
      <c r="E566" s="17">
        <v>3</v>
      </c>
    </row>
    <row r="567" spans="2:5">
      <c r="B567" s="37">
        <v>40787</v>
      </c>
      <c r="C567" s="17">
        <v>2892361811.9899998</v>
      </c>
      <c r="D567" s="17" t="s">
        <v>6</v>
      </c>
      <c r="E567" s="17">
        <v>4</v>
      </c>
    </row>
    <row r="568" spans="2:5">
      <c r="B568" s="37">
        <v>40787</v>
      </c>
      <c r="C568" s="17">
        <v>2696815028.3899999</v>
      </c>
      <c r="D568" s="17" t="s">
        <v>4</v>
      </c>
      <c r="E568" s="17">
        <v>5</v>
      </c>
    </row>
    <row r="569" spans="2:5">
      <c r="B569" s="37">
        <v>40787</v>
      </c>
      <c r="C569" s="17">
        <v>1481093219.7</v>
      </c>
      <c r="D569" s="17" t="s">
        <v>10</v>
      </c>
      <c r="E569" s="17">
        <v>6</v>
      </c>
    </row>
    <row r="570" spans="2:5">
      <c r="B570" s="37">
        <v>40787</v>
      </c>
      <c r="C570" s="17">
        <v>1068656827.8200001</v>
      </c>
      <c r="D570" s="17" t="s">
        <v>5</v>
      </c>
      <c r="E570" s="17">
        <v>7</v>
      </c>
    </row>
    <row r="571" spans="2:5">
      <c r="B571" s="37">
        <v>40787</v>
      </c>
      <c r="C571" s="17">
        <v>823178100.25</v>
      </c>
      <c r="D571" s="17" t="s">
        <v>46</v>
      </c>
      <c r="E571" s="17">
        <v>8</v>
      </c>
    </row>
    <row r="572" spans="2:5">
      <c r="B572" s="37">
        <v>40787</v>
      </c>
      <c r="C572" s="17">
        <v>634350715.39999998</v>
      </c>
      <c r="D572" s="17" t="s">
        <v>17</v>
      </c>
      <c r="E572" s="17">
        <v>9</v>
      </c>
    </row>
    <row r="573" spans="2:5">
      <c r="B573" s="37">
        <v>40787</v>
      </c>
      <c r="C573" s="17">
        <v>609690927</v>
      </c>
      <c r="D573" s="17" t="s">
        <v>34</v>
      </c>
      <c r="E573" s="17">
        <v>10</v>
      </c>
    </row>
    <row r="574" spans="2:5">
      <c r="B574" s="37">
        <v>40817</v>
      </c>
      <c r="C574" s="17">
        <v>11864275980.860001</v>
      </c>
      <c r="D574" s="17" t="s">
        <v>11</v>
      </c>
      <c r="E574" s="17">
        <v>1</v>
      </c>
    </row>
    <row r="575" spans="2:5">
      <c r="B575" s="37">
        <v>40817</v>
      </c>
      <c r="C575" s="17">
        <v>5145732963.04</v>
      </c>
      <c r="D575" s="17" t="s">
        <v>13</v>
      </c>
      <c r="E575" s="17">
        <v>2</v>
      </c>
    </row>
    <row r="576" spans="2:5">
      <c r="B576" s="37">
        <v>40817</v>
      </c>
      <c r="C576" s="17">
        <v>3368885713.6900001</v>
      </c>
      <c r="D576" s="17" t="s">
        <v>4</v>
      </c>
      <c r="E576" s="17">
        <v>3</v>
      </c>
    </row>
    <row r="577" spans="2:5">
      <c r="B577" s="37">
        <v>40817</v>
      </c>
      <c r="C577" s="17">
        <v>2189275465.2199998</v>
      </c>
      <c r="D577" s="17" t="s">
        <v>10</v>
      </c>
      <c r="E577" s="17">
        <v>4</v>
      </c>
    </row>
    <row r="578" spans="2:5">
      <c r="B578" s="37">
        <v>40817</v>
      </c>
      <c r="C578" s="17">
        <v>2131641702.3199999</v>
      </c>
      <c r="D578" s="17" t="s">
        <v>5</v>
      </c>
      <c r="E578" s="17">
        <v>5</v>
      </c>
    </row>
    <row r="579" spans="2:5">
      <c r="B579" s="37">
        <v>40817</v>
      </c>
      <c r="C579" s="17">
        <v>2008947925.9400001</v>
      </c>
      <c r="D579" s="17" t="s">
        <v>6</v>
      </c>
      <c r="E579" s="17">
        <v>6</v>
      </c>
    </row>
    <row r="580" spans="2:5">
      <c r="B580" s="37">
        <v>40817</v>
      </c>
      <c r="C580" s="17">
        <v>1820954758.3199999</v>
      </c>
      <c r="D580" s="17" t="s">
        <v>20</v>
      </c>
      <c r="E580" s="17">
        <v>7</v>
      </c>
    </row>
    <row r="581" spans="2:5">
      <c r="B581" s="37">
        <v>40817</v>
      </c>
      <c r="C581" s="17">
        <v>1103750509.5999999</v>
      </c>
      <c r="D581" s="17" t="s">
        <v>46</v>
      </c>
      <c r="E581" s="17">
        <v>8</v>
      </c>
    </row>
    <row r="582" spans="2:5">
      <c r="B582" s="37">
        <v>40817</v>
      </c>
      <c r="C582" s="17">
        <v>784533038</v>
      </c>
      <c r="D582" s="17" t="s">
        <v>34</v>
      </c>
      <c r="E582" s="17">
        <v>9</v>
      </c>
    </row>
    <row r="583" spans="2:5">
      <c r="B583" s="37">
        <v>40817</v>
      </c>
      <c r="C583" s="17">
        <v>578361348.02999997</v>
      </c>
      <c r="D583" s="17" t="s">
        <v>48</v>
      </c>
      <c r="E583" s="17">
        <v>10</v>
      </c>
    </row>
    <row r="584" spans="2:5">
      <c r="B584" s="37">
        <v>40848</v>
      </c>
      <c r="C584" s="17">
        <v>14706099941.799999</v>
      </c>
      <c r="D584" s="17" t="s">
        <v>11</v>
      </c>
      <c r="E584" s="17">
        <v>1</v>
      </c>
    </row>
    <row r="585" spans="2:5">
      <c r="B585" s="37">
        <v>40848</v>
      </c>
      <c r="C585" s="17">
        <v>7980975998.8500004</v>
      </c>
      <c r="D585" s="17" t="s">
        <v>13</v>
      </c>
      <c r="E585" s="17">
        <v>2</v>
      </c>
    </row>
    <row r="586" spans="2:5">
      <c r="B586" s="37">
        <v>40848</v>
      </c>
      <c r="C586" s="17">
        <v>4736787040.8299999</v>
      </c>
      <c r="D586" s="17" t="s">
        <v>4</v>
      </c>
      <c r="E586" s="17">
        <v>3</v>
      </c>
    </row>
    <row r="587" spans="2:5">
      <c r="B587" s="37">
        <v>40848</v>
      </c>
      <c r="C587" s="17">
        <v>3660860542.1399999</v>
      </c>
      <c r="D587" s="17" t="s">
        <v>20</v>
      </c>
      <c r="E587" s="17">
        <v>4</v>
      </c>
    </row>
    <row r="588" spans="2:5">
      <c r="B588" s="37">
        <v>40848</v>
      </c>
      <c r="C588" s="17">
        <v>2374687827.0900002</v>
      </c>
      <c r="D588" s="17" t="s">
        <v>10</v>
      </c>
      <c r="E588" s="17">
        <v>5</v>
      </c>
    </row>
    <row r="589" spans="2:5">
      <c r="B589" s="37">
        <v>40848</v>
      </c>
      <c r="C589" s="17">
        <v>2096048439.96</v>
      </c>
      <c r="D589" s="17" t="s">
        <v>5</v>
      </c>
      <c r="E589" s="17">
        <v>6</v>
      </c>
    </row>
    <row r="590" spans="2:5">
      <c r="B590" s="37">
        <v>40848</v>
      </c>
      <c r="C590" s="17">
        <v>1485254304.1099999</v>
      </c>
      <c r="D590" s="17" t="s">
        <v>6</v>
      </c>
      <c r="E590" s="17">
        <v>7</v>
      </c>
    </row>
    <row r="591" spans="2:5">
      <c r="B591" s="37">
        <v>40848</v>
      </c>
      <c r="C591" s="17">
        <v>1418009753.6300001</v>
      </c>
      <c r="D591" s="17" t="s">
        <v>46</v>
      </c>
      <c r="E591" s="17">
        <v>8</v>
      </c>
    </row>
    <row r="592" spans="2:5">
      <c r="B592" s="37">
        <v>40848</v>
      </c>
      <c r="C592" s="17">
        <v>747707839.65999997</v>
      </c>
      <c r="D592" s="17" t="s">
        <v>48</v>
      </c>
      <c r="E592" s="17">
        <v>9</v>
      </c>
    </row>
    <row r="593" spans="2:5">
      <c r="B593" s="37">
        <v>40848</v>
      </c>
      <c r="C593" s="17">
        <v>553653703.02999997</v>
      </c>
      <c r="D593" s="17" t="s">
        <v>8</v>
      </c>
      <c r="E593" s="17">
        <v>10</v>
      </c>
    </row>
    <row r="594" spans="2:5">
      <c r="B594" s="37">
        <v>40878</v>
      </c>
      <c r="C594" s="17">
        <v>23937608890.639999</v>
      </c>
      <c r="D594" s="17" t="s">
        <v>11</v>
      </c>
      <c r="E594" s="17">
        <v>1</v>
      </c>
    </row>
    <row r="595" spans="2:5">
      <c r="B595" s="37">
        <v>40878</v>
      </c>
      <c r="C595" s="17">
        <v>8179192202.6400003</v>
      </c>
      <c r="D595" s="17" t="s">
        <v>13</v>
      </c>
      <c r="E595" s="17">
        <v>2</v>
      </c>
    </row>
    <row r="596" spans="2:5">
      <c r="B596" s="37">
        <v>40878</v>
      </c>
      <c r="C596" s="17">
        <v>4852780436.3599997</v>
      </c>
      <c r="D596" s="17" t="s">
        <v>4</v>
      </c>
      <c r="E596" s="17">
        <v>3</v>
      </c>
    </row>
    <row r="597" spans="2:5">
      <c r="B597" s="37">
        <v>40878</v>
      </c>
      <c r="C597" s="17">
        <v>4076990497.6900001</v>
      </c>
      <c r="D597" s="17" t="s">
        <v>20</v>
      </c>
      <c r="E597" s="17">
        <v>4</v>
      </c>
    </row>
    <row r="598" spans="2:5">
      <c r="B598" s="37">
        <v>40878</v>
      </c>
      <c r="C598" s="17">
        <v>3147925861.4400001</v>
      </c>
      <c r="D598" s="17" t="s">
        <v>5</v>
      </c>
      <c r="E598" s="17">
        <v>5</v>
      </c>
    </row>
    <row r="599" spans="2:5">
      <c r="B599" s="37">
        <v>40878</v>
      </c>
      <c r="C599" s="17">
        <v>2364623596.77</v>
      </c>
      <c r="D599" s="17" t="s">
        <v>10</v>
      </c>
      <c r="E599" s="17">
        <v>6</v>
      </c>
    </row>
    <row r="600" spans="2:5">
      <c r="B600" s="37">
        <v>40878</v>
      </c>
      <c r="C600" s="17">
        <v>1127153197.6199999</v>
      </c>
      <c r="D600" s="17" t="s">
        <v>6</v>
      </c>
      <c r="E600" s="17">
        <v>7</v>
      </c>
    </row>
    <row r="601" spans="2:5">
      <c r="B601" s="37">
        <v>40878</v>
      </c>
      <c r="C601" s="17">
        <v>1125319396.6300001</v>
      </c>
      <c r="D601" s="17" t="s">
        <v>46</v>
      </c>
      <c r="E601" s="17">
        <v>8</v>
      </c>
    </row>
    <row r="602" spans="2:5">
      <c r="B602" s="37">
        <v>40878</v>
      </c>
      <c r="C602" s="17">
        <v>726071421.08000004</v>
      </c>
      <c r="D602" s="17" t="s">
        <v>48</v>
      </c>
      <c r="E602" s="17">
        <v>9</v>
      </c>
    </row>
    <row r="603" spans="2:5">
      <c r="B603" s="37">
        <v>40878</v>
      </c>
      <c r="C603" s="17">
        <v>669442416.33000004</v>
      </c>
      <c r="D603" s="17" t="s">
        <v>17</v>
      </c>
      <c r="E603" s="17">
        <v>10</v>
      </c>
    </row>
    <row r="604" spans="2:5">
      <c r="B604" s="37">
        <v>40909</v>
      </c>
      <c r="C604" s="17">
        <v>15368979575.26</v>
      </c>
      <c r="D604" s="17" t="s">
        <v>11</v>
      </c>
      <c r="E604" s="17">
        <v>1</v>
      </c>
    </row>
    <row r="605" spans="2:5">
      <c r="B605" s="37">
        <v>40909</v>
      </c>
      <c r="C605" s="17">
        <v>4888087268.7600002</v>
      </c>
      <c r="D605" s="17" t="s">
        <v>4</v>
      </c>
      <c r="E605" s="17">
        <v>2</v>
      </c>
    </row>
    <row r="606" spans="2:5">
      <c r="B606" s="37">
        <v>40909</v>
      </c>
      <c r="C606" s="17">
        <v>4842312645.9700003</v>
      </c>
      <c r="D606" s="17" t="s">
        <v>13</v>
      </c>
      <c r="E606" s="17">
        <v>3</v>
      </c>
    </row>
    <row r="607" spans="2:5">
      <c r="B607" s="37">
        <v>40909</v>
      </c>
      <c r="C607" s="17">
        <v>2078917820.78</v>
      </c>
      <c r="D607" s="17" t="s">
        <v>10</v>
      </c>
      <c r="E607" s="17">
        <v>4</v>
      </c>
    </row>
    <row r="608" spans="2:5">
      <c r="B608" s="37">
        <v>40909</v>
      </c>
      <c r="C608" s="17">
        <v>1829508756.9100001</v>
      </c>
      <c r="D608" s="17" t="s">
        <v>20</v>
      </c>
      <c r="E608" s="17">
        <v>5</v>
      </c>
    </row>
    <row r="609" spans="2:5">
      <c r="B609" s="37">
        <v>40909</v>
      </c>
      <c r="C609" s="17">
        <v>1686254886.4100001</v>
      </c>
      <c r="D609" s="17" t="s">
        <v>5</v>
      </c>
      <c r="E609" s="17">
        <v>6</v>
      </c>
    </row>
    <row r="610" spans="2:5">
      <c r="B610" s="37">
        <v>40909</v>
      </c>
      <c r="C610" s="17">
        <v>1325451283.1400001</v>
      </c>
      <c r="D610" s="17" t="s">
        <v>46</v>
      </c>
      <c r="E610" s="17">
        <v>7</v>
      </c>
    </row>
    <row r="611" spans="2:5">
      <c r="B611" s="37">
        <v>40909</v>
      </c>
      <c r="C611" s="17">
        <v>900533697.60000002</v>
      </c>
      <c r="D611" s="17" t="s">
        <v>6</v>
      </c>
      <c r="E611" s="17">
        <v>8</v>
      </c>
    </row>
    <row r="612" spans="2:5">
      <c r="B612" s="37">
        <v>40909</v>
      </c>
      <c r="C612" s="17">
        <v>755828484.13</v>
      </c>
      <c r="D612" s="17" t="s">
        <v>34</v>
      </c>
      <c r="E612" s="17">
        <v>9</v>
      </c>
    </row>
    <row r="613" spans="2:5">
      <c r="B613" s="37">
        <v>40909</v>
      </c>
      <c r="C613" s="17">
        <v>686393892.15999997</v>
      </c>
      <c r="D613" s="17" t="s">
        <v>37</v>
      </c>
      <c r="E613" s="17">
        <v>10</v>
      </c>
    </row>
    <row r="614" spans="2:5">
      <c r="B614" s="37">
        <v>40940</v>
      </c>
      <c r="C614" s="17">
        <v>14632091015.389999</v>
      </c>
      <c r="D614" s="17" t="s">
        <v>11</v>
      </c>
      <c r="E614" s="17">
        <v>1</v>
      </c>
    </row>
    <row r="615" spans="2:5">
      <c r="B615" s="37">
        <v>40940</v>
      </c>
      <c r="C615" s="17">
        <v>6039781731.0699997</v>
      </c>
      <c r="D615" s="17" t="s">
        <v>13</v>
      </c>
      <c r="E615" s="17">
        <v>2</v>
      </c>
    </row>
    <row r="616" spans="2:5">
      <c r="B616" s="37">
        <v>40940</v>
      </c>
      <c r="C616" s="17">
        <v>2741562711.46</v>
      </c>
      <c r="D616" s="17" t="s">
        <v>10</v>
      </c>
      <c r="E616" s="17">
        <v>3</v>
      </c>
    </row>
    <row r="617" spans="2:5">
      <c r="B617" s="37">
        <v>40940</v>
      </c>
      <c r="C617" s="17">
        <v>2226729317.7600002</v>
      </c>
      <c r="D617" s="17" t="s">
        <v>4</v>
      </c>
      <c r="E617" s="17">
        <v>4</v>
      </c>
    </row>
    <row r="618" spans="2:5">
      <c r="B618" s="37">
        <v>40940</v>
      </c>
      <c r="C618" s="17">
        <v>1851657345.4200001</v>
      </c>
      <c r="D618" s="17" t="s">
        <v>5</v>
      </c>
      <c r="E618" s="17">
        <v>5</v>
      </c>
    </row>
    <row r="619" spans="2:5">
      <c r="B619" s="37">
        <v>40940</v>
      </c>
      <c r="C619" s="17">
        <v>1764296230.9100001</v>
      </c>
      <c r="D619" s="17" t="s">
        <v>46</v>
      </c>
      <c r="E619" s="17">
        <v>6</v>
      </c>
    </row>
    <row r="620" spans="2:5">
      <c r="B620" s="37">
        <v>40940</v>
      </c>
      <c r="C620" s="17">
        <v>1397963595.51</v>
      </c>
      <c r="D620" s="17" t="s">
        <v>20</v>
      </c>
      <c r="E620" s="17">
        <v>7</v>
      </c>
    </row>
    <row r="621" spans="2:5">
      <c r="B621" s="37">
        <v>40940</v>
      </c>
      <c r="C621" s="17">
        <v>959494576.99000001</v>
      </c>
      <c r="D621" s="17" t="s">
        <v>34</v>
      </c>
      <c r="E621" s="17">
        <v>8</v>
      </c>
    </row>
    <row r="622" spans="2:5">
      <c r="B622" s="37">
        <v>40940</v>
      </c>
      <c r="C622" s="17">
        <v>672231724.96000004</v>
      </c>
      <c r="D622" s="17" t="s">
        <v>19</v>
      </c>
      <c r="E622" s="17">
        <v>9</v>
      </c>
    </row>
    <row r="623" spans="2:5">
      <c r="B623" s="37">
        <v>40940</v>
      </c>
      <c r="C623" s="17">
        <v>620503186.51999998</v>
      </c>
      <c r="D623" s="17" t="s">
        <v>49</v>
      </c>
      <c r="E623" s="17">
        <v>10</v>
      </c>
    </row>
    <row r="624" spans="2:5">
      <c r="B624" s="37">
        <v>40969</v>
      </c>
      <c r="C624" s="17">
        <v>30737250033.549999</v>
      </c>
      <c r="D624" s="17" t="s">
        <v>11</v>
      </c>
      <c r="E624" s="17">
        <v>1</v>
      </c>
    </row>
    <row r="625" spans="2:5">
      <c r="B625" s="37">
        <v>40969</v>
      </c>
      <c r="C625" s="17">
        <v>9495153084.0799999</v>
      </c>
      <c r="D625" s="17" t="s">
        <v>13</v>
      </c>
      <c r="E625" s="17">
        <v>2</v>
      </c>
    </row>
    <row r="626" spans="2:5">
      <c r="B626" s="37">
        <v>40969</v>
      </c>
      <c r="C626" s="17">
        <v>3358009211.0900002</v>
      </c>
      <c r="D626" s="17" t="s">
        <v>4</v>
      </c>
      <c r="E626" s="17">
        <v>3</v>
      </c>
    </row>
    <row r="627" spans="2:5">
      <c r="B627" s="37">
        <v>40969</v>
      </c>
      <c r="C627" s="17">
        <v>2975788477.54</v>
      </c>
      <c r="D627" s="17" t="s">
        <v>10</v>
      </c>
      <c r="E627" s="17">
        <v>4</v>
      </c>
    </row>
    <row r="628" spans="2:5">
      <c r="B628" s="37">
        <v>40969</v>
      </c>
      <c r="C628" s="17">
        <v>2832823095.7399998</v>
      </c>
      <c r="D628" s="17" t="s">
        <v>46</v>
      </c>
      <c r="E628" s="17">
        <v>5</v>
      </c>
    </row>
    <row r="629" spans="2:5">
      <c r="B629" s="37">
        <v>40969</v>
      </c>
      <c r="C629" s="17">
        <v>1924511400.8299999</v>
      </c>
      <c r="D629" s="17" t="s">
        <v>5</v>
      </c>
      <c r="E629" s="17">
        <v>6</v>
      </c>
    </row>
    <row r="630" spans="2:5">
      <c r="B630" s="37">
        <v>40969</v>
      </c>
      <c r="C630" s="17">
        <v>1504075776.73</v>
      </c>
      <c r="D630" s="17" t="s">
        <v>20</v>
      </c>
      <c r="E630" s="17">
        <v>7</v>
      </c>
    </row>
    <row r="631" spans="2:5">
      <c r="B631" s="37">
        <v>40969</v>
      </c>
      <c r="C631" s="17">
        <v>1482408591.4000001</v>
      </c>
      <c r="D631" s="17" t="s">
        <v>34</v>
      </c>
      <c r="E631" s="17">
        <v>8</v>
      </c>
    </row>
    <row r="632" spans="2:5">
      <c r="B632" s="37">
        <v>40969</v>
      </c>
      <c r="C632" s="17">
        <v>1327709733.49</v>
      </c>
      <c r="D632" s="17" t="s">
        <v>6</v>
      </c>
      <c r="E632" s="17">
        <v>9</v>
      </c>
    </row>
    <row r="633" spans="2:5">
      <c r="B633" s="37">
        <v>40969</v>
      </c>
      <c r="C633" s="17">
        <v>1191429316</v>
      </c>
      <c r="D633" s="17" t="s">
        <v>50</v>
      </c>
      <c r="E633" s="17">
        <v>10</v>
      </c>
    </row>
    <row r="634" spans="2:5">
      <c r="B634" s="37">
        <v>41000</v>
      </c>
      <c r="C634" s="17">
        <v>10763728285.6</v>
      </c>
      <c r="D634" s="17" t="s">
        <v>11</v>
      </c>
      <c r="E634" s="17">
        <v>1</v>
      </c>
    </row>
    <row r="635" spans="2:5">
      <c r="B635" s="37">
        <v>41000</v>
      </c>
      <c r="C635" s="17">
        <v>5066088765.9499998</v>
      </c>
      <c r="D635" s="17" t="s">
        <v>13</v>
      </c>
      <c r="E635" s="17">
        <v>2</v>
      </c>
    </row>
    <row r="636" spans="2:5">
      <c r="B636" s="37">
        <v>41000</v>
      </c>
      <c r="C636" s="17">
        <v>2312712574.1100001</v>
      </c>
      <c r="D636" s="17" t="s">
        <v>10</v>
      </c>
      <c r="E636" s="17">
        <v>3</v>
      </c>
    </row>
    <row r="637" spans="2:5">
      <c r="B637" s="37">
        <v>41000</v>
      </c>
      <c r="C637" s="17">
        <v>1502180272.8599999</v>
      </c>
      <c r="D637" s="17" t="s">
        <v>5</v>
      </c>
      <c r="E637" s="17">
        <v>4</v>
      </c>
    </row>
    <row r="638" spans="2:5">
      <c r="B638" s="37">
        <v>41000</v>
      </c>
      <c r="C638" s="17">
        <v>1096235296.02</v>
      </c>
      <c r="D638" s="17" t="s">
        <v>4</v>
      </c>
      <c r="E638" s="17">
        <v>5</v>
      </c>
    </row>
    <row r="639" spans="2:5">
      <c r="B639" s="37">
        <v>41000</v>
      </c>
      <c r="C639" s="17">
        <v>978164872.58000004</v>
      </c>
      <c r="D639" s="17" t="s">
        <v>20</v>
      </c>
      <c r="E639" s="17">
        <v>6</v>
      </c>
    </row>
    <row r="640" spans="2:5">
      <c r="B640" s="37">
        <v>41000</v>
      </c>
      <c r="C640" s="17">
        <v>751845393.07000005</v>
      </c>
      <c r="D640" s="17" t="s">
        <v>46</v>
      </c>
      <c r="E640" s="17">
        <v>7</v>
      </c>
    </row>
    <row r="641" spans="2:5">
      <c r="B641" s="37">
        <v>41000</v>
      </c>
      <c r="C641" s="17">
        <v>720179506.47000003</v>
      </c>
      <c r="D641" s="17" t="s">
        <v>34</v>
      </c>
      <c r="E641" s="17">
        <v>8</v>
      </c>
    </row>
    <row r="642" spans="2:5">
      <c r="B642" s="37">
        <v>41000</v>
      </c>
      <c r="C642" s="17">
        <v>556381127.55999994</v>
      </c>
      <c r="D642" s="17" t="s">
        <v>19</v>
      </c>
      <c r="E642" s="17">
        <v>9</v>
      </c>
    </row>
    <row r="643" spans="2:5">
      <c r="B643" s="37">
        <v>41000</v>
      </c>
      <c r="C643" s="17">
        <v>456661036.43000001</v>
      </c>
      <c r="D643" s="17" t="s">
        <v>49</v>
      </c>
      <c r="E643" s="17">
        <v>10</v>
      </c>
    </row>
    <row r="644" spans="2:5">
      <c r="B644" s="37">
        <v>41030</v>
      </c>
      <c r="C644" s="17">
        <v>20542825807.290001</v>
      </c>
      <c r="D644" s="17" t="s">
        <v>11</v>
      </c>
      <c r="E644" s="17">
        <v>1</v>
      </c>
    </row>
    <row r="645" spans="2:5">
      <c r="B645" s="37">
        <v>41030</v>
      </c>
      <c r="C645" s="17">
        <v>5710467218.3900003</v>
      </c>
      <c r="D645" s="17" t="s">
        <v>13</v>
      </c>
      <c r="E645" s="17">
        <v>2</v>
      </c>
    </row>
    <row r="646" spans="2:5">
      <c r="B646" s="37">
        <v>41030</v>
      </c>
      <c r="C646" s="17">
        <v>2844809039.77</v>
      </c>
      <c r="D646" s="17" t="s">
        <v>10</v>
      </c>
      <c r="E646" s="17">
        <v>3</v>
      </c>
    </row>
    <row r="647" spans="2:5">
      <c r="B647" s="37">
        <v>41030</v>
      </c>
      <c r="C647" s="17">
        <v>2695975128.2800002</v>
      </c>
      <c r="D647" s="17" t="s">
        <v>46</v>
      </c>
      <c r="E647" s="17">
        <v>4</v>
      </c>
    </row>
    <row r="648" spans="2:5">
      <c r="B648" s="37">
        <v>41030</v>
      </c>
      <c r="C648" s="17">
        <v>2187065888.8899999</v>
      </c>
      <c r="D648" s="17" t="s">
        <v>4</v>
      </c>
      <c r="E648" s="17">
        <v>5</v>
      </c>
    </row>
    <row r="649" spans="2:5">
      <c r="B649" s="37">
        <v>41030</v>
      </c>
      <c r="C649" s="17">
        <v>1384629177.7</v>
      </c>
      <c r="D649" s="17" t="s">
        <v>6</v>
      </c>
      <c r="E649" s="17">
        <v>6</v>
      </c>
    </row>
    <row r="650" spans="2:5">
      <c r="B650" s="37">
        <v>41030</v>
      </c>
      <c r="C650" s="17">
        <v>1158437334</v>
      </c>
      <c r="D650" s="17" t="s">
        <v>8</v>
      </c>
      <c r="E650" s="17">
        <v>7</v>
      </c>
    </row>
    <row r="651" spans="2:5">
      <c r="B651" s="37">
        <v>41030</v>
      </c>
      <c r="C651" s="17">
        <v>1144409990.77</v>
      </c>
      <c r="D651" s="17" t="s">
        <v>5</v>
      </c>
      <c r="E651" s="17">
        <v>8</v>
      </c>
    </row>
    <row r="652" spans="2:5">
      <c r="B652" s="37">
        <v>41030</v>
      </c>
      <c r="C652" s="17">
        <v>1118076494.6500001</v>
      </c>
      <c r="D652" s="17" t="s">
        <v>34</v>
      </c>
      <c r="E652" s="17">
        <v>9</v>
      </c>
    </row>
    <row r="653" spans="2:5">
      <c r="B653" s="37">
        <v>41030</v>
      </c>
      <c r="C653" s="17">
        <v>990429561.15999997</v>
      </c>
      <c r="D653" s="17" t="s">
        <v>51</v>
      </c>
      <c r="E653" s="17">
        <v>10</v>
      </c>
    </row>
    <row r="654" spans="2:5">
      <c r="B654" s="37">
        <v>41061</v>
      </c>
      <c r="C654" s="17">
        <v>12662763974.040001</v>
      </c>
      <c r="D654" s="17" t="s">
        <v>11</v>
      </c>
      <c r="E654" s="17">
        <v>1</v>
      </c>
    </row>
    <row r="655" spans="2:5">
      <c r="B655" s="37">
        <v>41061</v>
      </c>
      <c r="C655" s="17">
        <v>7062009262.0699997</v>
      </c>
      <c r="D655" s="17" t="s">
        <v>13</v>
      </c>
      <c r="E655" s="17">
        <v>2</v>
      </c>
    </row>
    <row r="656" spans="2:5">
      <c r="B656" s="37">
        <v>41061</v>
      </c>
      <c r="C656" s="17">
        <v>2599950568.2399998</v>
      </c>
      <c r="D656" s="17" t="s">
        <v>10</v>
      </c>
      <c r="E656" s="17">
        <v>3</v>
      </c>
    </row>
    <row r="657" spans="2:5">
      <c r="B657" s="37">
        <v>41061</v>
      </c>
      <c r="C657" s="17">
        <v>2411198355.8499999</v>
      </c>
      <c r="D657" s="17" t="s">
        <v>4</v>
      </c>
      <c r="E657" s="17">
        <v>4</v>
      </c>
    </row>
    <row r="658" spans="2:5">
      <c r="B658" s="37">
        <v>41061</v>
      </c>
      <c r="C658" s="17">
        <v>2088349909.77</v>
      </c>
      <c r="D658" s="17" t="s">
        <v>46</v>
      </c>
      <c r="E658" s="17">
        <v>5</v>
      </c>
    </row>
    <row r="659" spans="2:5">
      <c r="B659" s="37">
        <v>41061</v>
      </c>
      <c r="C659" s="17">
        <v>2025978231</v>
      </c>
      <c r="D659" s="17" t="s">
        <v>6</v>
      </c>
      <c r="E659" s="17">
        <v>6</v>
      </c>
    </row>
    <row r="660" spans="2:5">
      <c r="B660" s="37">
        <v>41061</v>
      </c>
      <c r="C660" s="17">
        <v>1850167235.51</v>
      </c>
      <c r="D660" s="17" t="s">
        <v>34</v>
      </c>
      <c r="E660" s="17">
        <v>7</v>
      </c>
    </row>
    <row r="661" spans="2:5">
      <c r="B661" s="37">
        <v>41061</v>
      </c>
      <c r="C661" s="17">
        <v>1717496541.8199999</v>
      </c>
      <c r="D661" s="17" t="s">
        <v>20</v>
      </c>
      <c r="E661" s="17">
        <v>8</v>
      </c>
    </row>
    <row r="662" spans="2:5">
      <c r="B662" s="37">
        <v>41061</v>
      </c>
      <c r="C662" s="17">
        <v>1361383888.96</v>
      </c>
      <c r="D662" s="17" t="s">
        <v>5</v>
      </c>
      <c r="E662" s="17">
        <v>9</v>
      </c>
    </row>
    <row r="663" spans="2:5">
      <c r="B663" s="37">
        <v>41061</v>
      </c>
      <c r="C663" s="17">
        <v>1081847850.47</v>
      </c>
      <c r="D663" s="17" t="s">
        <v>8</v>
      </c>
      <c r="E663" s="17">
        <v>10</v>
      </c>
    </row>
    <row r="664" spans="2:5">
      <c r="B664" s="37">
        <v>41091</v>
      </c>
      <c r="C664" s="17">
        <v>18046078270.810001</v>
      </c>
      <c r="D664" s="17" t="s">
        <v>11</v>
      </c>
      <c r="E664" s="17">
        <v>1</v>
      </c>
    </row>
    <row r="665" spans="2:5">
      <c r="B665" s="37">
        <v>41091</v>
      </c>
      <c r="C665" s="17">
        <v>5842620786.8999996</v>
      </c>
      <c r="D665" s="17" t="s">
        <v>13</v>
      </c>
      <c r="E665" s="17">
        <v>2</v>
      </c>
    </row>
    <row r="666" spans="2:5">
      <c r="B666" s="37">
        <v>41091</v>
      </c>
      <c r="C666" s="17">
        <v>3652881360.4099998</v>
      </c>
      <c r="D666" s="17" t="s">
        <v>46</v>
      </c>
      <c r="E666" s="17">
        <v>3</v>
      </c>
    </row>
    <row r="667" spans="2:5">
      <c r="B667" s="37">
        <v>41091</v>
      </c>
      <c r="C667" s="17">
        <v>3207267837.8099999</v>
      </c>
      <c r="D667" s="17" t="s">
        <v>10</v>
      </c>
      <c r="E667" s="17">
        <v>4</v>
      </c>
    </row>
    <row r="668" spans="2:5">
      <c r="B668" s="37">
        <v>41091</v>
      </c>
      <c r="C668" s="17">
        <v>2024277231.29</v>
      </c>
      <c r="D668" s="17" t="s">
        <v>4</v>
      </c>
      <c r="E668" s="17">
        <v>5</v>
      </c>
    </row>
    <row r="669" spans="2:5">
      <c r="B669" s="37">
        <v>41091</v>
      </c>
      <c r="C669" s="17">
        <v>1549662752.79</v>
      </c>
      <c r="D669" s="17" t="s">
        <v>20</v>
      </c>
      <c r="E669" s="17">
        <v>6</v>
      </c>
    </row>
    <row r="670" spans="2:5">
      <c r="B670" s="37">
        <v>41091</v>
      </c>
      <c r="C670" s="17">
        <v>1398096825.71</v>
      </c>
      <c r="D670" s="17" t="s">
        <v>5</v>
      </c>
      <c r="E670" s="17">
        <v>7</v>
      </c>
    </row>
    <row r="671" spans="2:5">
      <c r="B671" s="37">
        <v>41091</v>
      </c>
      <c r="C671" s="17">
        <v>1319650369.6600001</v>
      </c>
      <c r="D671" s="17" t="s">
        <v>34</v>
      </c>
      <c r="E671" s="17">
        <v>8</v>
      </c>
    </row>
    <row r="672" spans="2:5">
      <c r="B672" s="37">
        <v>41091</v>
      </c>
      <c r="C672" s="17">
        <v>1273015336.48</v>
      </c>
      <c r="D672" s="17" t="s">
        <v>6</v>
      </c>
      <c r="E672" s="17">
        <v>9</v>
      </c>
    </row>
    <row r="673" spans="2:5">
      <c r="B673" s="37">
        <v>41091</v>
      </c>
      <c r="C673" s="17">
        <v>944685677.69000006</v>
      </c>
      <c r="D673" s="17" t="s">
        <v>17</v>
      </c>
      <c r="E673" s="17">
        <v>10</v>
      </c>
    </row>
    <row r="674" spans="2:5">
      <c r="B674" s="37">
        <v>41122</v>
      </c>
      <c r="C674" s="17">
        <v>15782096596.040001</v>
      </c>
      <c r="D674" s="17" t="s">
        <v>11</v>
      </c>
      <c r="E674" s="17">
        <v>1</v>
      </c>
    </row>
    <row r="675" spans="2:5">
      <c r="B675" s="37">
        <v>41122</v>
      </c>
      <c r="C675" s="17">
        <v>8442355092.7799997</v>
      </c>
      <c r="D675" s="17" t="s">
        <v>13</v>
      </c>
      <c r="E675" s="17">
        <v>2</v>
      </c>
    </row>
    <row r="676" spans="2:5">
      <c r="B676" s="37">
        <v>41122</v>
      </c>
      <c r="C676" s="17">
        <v>4795732432.7799997</v>
      </c>
      <c r="D676" s="17" t="s">
        <v>46</v>
      </c>
      <c r="E676" s="17">
        <v>3</v>
      </c>
    </row>
    <row r="677" spans="2:5">
      <c r="B677" s="37">
        <v>41122</v>
      </c>
      <c r="C677" s="17">
        <v>3590695127.9499998</v>
      </c>
      <c r="D677" s="17" t="s">
        <v>10</v>
      </c>
      <c r="E677" s="17">
        <v>4</v>
      </c>
    </row>
    <row r="678" spans="2:5">
      <c r="B678" s="37">
        <v>41122</v>
      </c>
      <c r="C678" s="17">
        <v>2296779153.21</v>
      </c>
      <c r="D678" s="17" t="s">
        <v>4</v>
      </c>
      <c r="E678" s="17">
        <v>5</v>
      </c>
    </row>
    <row r="679" spans="2:5">
      <c r="B679" s="37">
        <v>41122</v>
      </c>
      <c r="C679" s="17">
        <v>2048484161.77</v>
      </c>
      <c r="D679" s="17" t="s">
        <v>6</v>
      </c>
      <c r="E679" s="17">
        <v>6</v>
      </c>
    </row>
    <row r="680" spans="2:5">
      <c r="B680" s="37">
        <v>41122</v>
      </c>
      <c r="C680" s="17">
        <v>1685314349.4100001</v>
      </c>
      <c r="D680" s="17" t="s">
        <v>20</v>
      </c>
      <c r="E680" s="17">
        <v>7</v>
      </c>
    </row>
    <row r="681" spans="2:5">
      <c r="B681" s="37">
        <v>41122</v>
      </c>
      <c r="C681" s="17">
        <v>1448609964.23</v>
      </c>
      <c r="D681" s="17" t="s">
        <v>34</v>
      </c>
      <c r="E681" s="17">
        <v>8</v>
      </c>
    </row>
    <row r="682" spans="2:5">
      <c r="B682" s="37">
        <v>41122</v>
      </c>
      <c r="C682" s="17">
        <v>1337029246.04</v>
      </c>
      <c r="D682" s="17" t="s">
        <v>5</v>
      </c>
      <c r="E682" s="17">
        <v>9</v>
      </c>
    </row>
    <row r="683" spans="2:5">
      <c r="B683" s="37">
        <v>41122</v>
      </c>
      <c r="C683" s="17">
        <v>1094677493.75</v>
      </c>
      <c r="D683" s="17" t="s">
        <v>52</v>
      </c>
      <c r="E683" s="17">
        <v>10</v>
      </c>
    </row>
    <row r="684" spans="2:5">
      <c r="B684" s="37">
        <v>41153</v>
      </c>
      <c r="C684" s="17">
        <v>16358817450.4</v>
      </c>
      <c r="D684" s="17" t="s">
        <v>11</v>
      </c>
      <c r="E684" s="17">
        <v>1</v>
      </c>
    </row>
    <row r="685" spans="2:5">
      <c r="B685" s="37">
        <v>41153</v>
      </c>
      <c r="C685" s="17">
        <v>9641813829.6700001</v>
      </c>
      <c r="D685" s="17" t="s">
        <v>13</v>
      </c>
      <c r="E685" s="17">
        <v>2</v>
      </c>
    </row>
    <row r="686" spans="2:5">
      <c r="B686" s="37">
        <v>41153</v>
      </c>
      <c r="C686" s="17">
        <v>4937311483.1499996</v>
      </c>
      <c r="D686" s="17" t="s">
        <v>46</v>
      </c>
      <c r="E686" s="17">
        <v>3</v>
      </c>
    </row>
    <row r="687" spans="2:5">
      <c r="B687" s="37">
        <v>41153</v>
      </c>
      <c r="C687" s="17">
        <v>3528216594.1500001</v>
      </c>
      <c r="D687" s="17" t="s">
        <v>4</v>
      </c>
      <c r="E687" s="17">
        <v>4</v>
      </c>
    </row>
    <row r="688" spans="2:5">
      <c r="B688" s="37">
        <v>41153</v>
      </c>
      <c r="C688" s="17">
        <v>3367762976.5300002</v>
      </c>
      <c r="D688" s="17" t="s">
        <v>10</v>
      </c>
      <c r="E688" s="17">
        <v>5</v>
      </c>
    </row>
    <row r="689" spans="2:5">
      <c r="B689" s="37">
        <v>41153</v>
      </c>
      <c r="C689" s="17">
        <v>2141757846.5799999</v>
      </c>
      <c r="D689" s="17" t="s">
        <v>20</v>
      </c>
      <c r="E689" s="17">
        <v>6</v>
      </c>
    </row>
    <row r="690" spans="2:5">
      <c r="B690" s="37">
        <v>41153</v>
      </c>
      <c r="C690" s="17">
        <v>1694741437.22</v>
      </c>
      <c r="D690" s="17" t="s">
        <v>34</v>
      </c>
      <c r="E690" s="17">
        <v>7</v>
      </c>
    </row>
    <row r="691" spans="2:5">
      <c r="B691" s="37">
        <v>41153</v>
      </c>
      <c r="C691" s="17">
        <v>1656770244.25</v>
      </c>
      <c r="D691" s="17" t="s">
        <v>5</v>
      </c>
      <c r="E691" s="17">
        <v>8</v>
      </c>
    </row>
    <row r="692" spans="2:5">
      <c r="B692" s="37">
        <v>41153</v>
      </c>
      <c r="C692" s="17">
        <v>1194725137.48</v>
      </c>
      <c r="D692" s="17" t="s">
        <v>6</v>
      </c>
      <c r="E692" s="17">
        <v>9</v>
      </c>
    </row>
    <row r="693" spans="2:5">
      <c r="B693" s="37">
        <v>41153</v>
      </c>
      <c r="C693" s="17">
        <v>1095470707.79</v>
      </c>
      <c r="D693" s="17" t="s">
        <v>52</v>
      </c>
      <c r="E693" s="17">
        <v>10</v>
      </c>
    </row>
    <row r="694" spans="2:5">
      <c r="B694" s="37">
        <v>41183</v>
      </c>
      <c r="C694" s="17">
        <v>13583725455.1</v>
      </c>
      <c r="D694" s="17" t="s">
        <v>11</v>
      </c>
      <c r="E694" s="17">
        <v>1</v>
      </c>
    </row>
    <row r="695" spans="2:5">
      <c r="B695" s="37">
        <v>41183</v>
      </c>
      <c r="C695" s="17">
        <v>4517401460.5299997</v>
      </c>
      <c r="D695" s="17" t="s">
        <v>13</v>
      </c>
      <c r="E695" s="17">
        <v>2</v>
      </c>
    </row>
    <row r="696" spans="2:5">
      <c r="B696" s="37">
        <v>41183</v>
      </c>
      <c r="C696" s="17">
        <v>4269923296.52</v>
      </c>
      <c r="D696" s="17" t="s">
        <v>46</v>
      </c>
      <c r="E696" s="17">
        <v>3</v>
      </c>
    </row>
    <row r="697" spans="2:5">
      <c r="B697" s="37">
        <v>41183</v>
      </c>
      <c r="C697" s="17">
        <v>3102558509.5100002</v>
      </c>
      <c r="D697" s="17" t="s">
        <v>10</v>
      </c>
      <c r="E697" s="17">
        <v>4</v>
      </c>
    </row>
    <row r="698" spans="2:5">
      <c r="B698" s="37">
        <v>41183</v>
      </c>
      <c r="C698" s="17">
        <v>1993354373.29</v>
      </c>
      <c r="D698" s="17" t="s">
        <v>34</v>
      </c>
      <c r="E698" s="17">
        <v>5</v>
      </c>
    </row>
    <row r="699" spans="2:5">
      <c r="B699" s="37">
        <v>41183</v>
      </c>
      <c r="C699" s="17">
        <v>1975668254.21</v>
      </c>
      <c r="D699" s="17" t="s">
        <v>6</v>
      </c>
      <c r="E699" s="17">
        <v>6</v>
      </c>
    </row>
    <row r="700" spans="2:5">
      <c r="B700" s="37">
        <v>41183</v>
      </c>
      <c r="C700" s="17">
        <v>1757170071.4400001</v>
      </c>
      <c r="D700" s="17" t="s">
        <v>52</v>
      </c>
      <c r="E700" s="17">
        <v>7</v>
      </c>
    </row>
    <row r="701" spans="2:5">
      <c r="B701" s="37">
        <v>41183</v>
      </c>
      <c r="C701" s="17">
        <v>1671217469.95</v>
      </c>
      <c r="D701" s="17" t="s">
        <v>20</v>
      </c>
      <c r="E701" s="17">
        <v>8</v>
      </c>
    </row>
    <row r="702" spans="2:5">
      <c r="B702" s="37">
        <v>41183</v>
      </c>
      <c r="C702" s="17">
        <v>1075838630.21</v>
      </c>
      <c r="D702" s="17" t="s">
        <v>5</v>
      </c>
      <c r="E702" s="17">
        <v>9</v>
      </c>
    </row>
    <row r="703" spans="2:5">
      <c r="B703" s="37">
        <v>41183</v>
      </c>
      <c r="C703" s="17">
        <v>1029221418.6799999</v>
      </c>
      <c r="D703" s="17" t="s">
        <v>4</v>
      </c>
      <c r="E703" s="17">
        <v>10</v>
      </c>
    </row>
    <row r="704" spans="2:5">
      <c r="B704" s="37">
        <v>41214</v>
      </c>
      <c r="C704" s="17">
        <v>18702888793.82</v>
      </c>
      <c r="D704" s="17" t="s">
        <v>11</v>
      </c>
      <c r="E704" s="17">
        <v>1</v>
      </c>
    </row>
    <row r="705" spans="2:5">
      <c r="B705" s="37">
        <v>41214</v>
      </c>
      <c r="C705" s="17">
        <v>7664238085.7700005</v>
      </c>
      <c r="D705" s="17" t="s">
        <v>13</v>
      </c>
      <c r="E705" s="17">
        <v>2</v>
      </c>
    </row>
    <row r="706" spans="2:5">
      <c r="B706" s="37">
        <v>41214</v>
      </c>
      <c r="C706" s="17">
        <v>5319861378.3900003</v>
      </c>
      <c r="D706" s="17" t="s">
        <v>46</v>
      </c>
      <c r="E706" s="17">
        <v>3</v>
      </c>
    </row>
    <row r="707" spans="2:5">
      <c r="B707" s="37">
        <v>41214</v>
      </c>
      <c r="C707" s="17">
        <v>3882765467.3400002</v>
      </c>
      <c r="D707" s="17" t="s">
        <v>10</v>
      </c>
      <c r="E707" s="17">
        <v>4</v>
      </c>
    </row>
    <row r="708" spans="2:5">
      <c r="B708" s="37">
        <v>41214</v>
      </c>
      <c r="C708" s="17">
        <v>3051120308</v>
      </c>
      <c r="D708" s="17" t="s">
        <v>4</v>
      </c>
      <c r="E708" s="17">
        <v>5</v>
      </c>
    </row>
    <row r="709" spans="2:5">
      <c r="B709" s="37">
        <v>41214</v>
      </c>
      <c r="C709" s="17">
        <v>2524129754.2800002</v>
      </c>
      <c r="D709" s="17" t="s">
        <v>52</v>
      </c>
      <c r="E709" s="17">
        <v>6</v>
      </c>
    </row>
    <row r="710" spans="2:5">
      <c r="B710" s="37">
        <v>41214</v>
      </c>
      <c r="C710" s="17">
        <v>2418355741.52</v>
      </c>
      <c r="D710" s="17" t="s">
        <v>6</v>
      </c>
      <c r="E710" s="17">
        <v>7</v>
      </c>
    </row>
    <row r="711" spans="2:5">
      <c r="B711" s="37">
        <v>41214</v>
      </c>
      <c r="C711" s="17">
        <v>1998429887.1300001</v>
      </c>
      <c r="D711" s="17" t="s">
        <v>20</v>
      </c>
      <c r="E711" s="17">
        <v>8</v>
      </c>
    </row>
    <row r="712" spans="2:5">
      <c r="B712" s="37">
        <v>41214</v>
      </c>
      <c r="C712" s="17">
        <v>1588213809</v>
      </c>
      <c r="D712" s="17" t="s">
        <v>53</v>
      </c>
      <c r="E712" s="17">
        <v>9</v>
      </c>
    </row>
    <row r="713" spans="2:5">
      <c r="B713" s="37">
        <v>41214</v>
      </c>
      <c r="C713" s="17">
        <v>1550319650.9000001</v>
      </c>
      <c r="D713" s="17" t="s">
        <v>34</v>
      </c>
      <c r="E713" s="17">
        <v>10</v>
      </c>
    </row>
    <row r="714" spans="2:5">
      <c r="B714" s="37">
        <v>41244</v>
      </c>
      <c r="C714" s="17">
        <v>5990993955.3400002</v>
      </c>
      <c r="D714" s="17" t="s">
        <v>11</v>
      </c>
      <c r="E714" s="17">
        <v>1</v>
      </c>
    </row>
    <row r="715" spans="2:5">
      <c r="B715" s="37">
        <v>41244</v>
      </c>
      <c r="C715" s="17">
        <v>5462589667.8999996</v>
      </c>
      <c r="D715" s="17" t="s">
        <v>13</v>
      </c>
      <c r="E715" s="17">
        <v>2</v>
      </c>
    </row>
    <row r="716" spans="2:5">
      <c r="B716" s="37">
        <v>41244</v>
      </c>
      <c r="C716" s="17">
        <v>4866573877.1400003</v>
      </c>
      <c r="D716" s="17" t="s">
        <v>46</v>
      </c>
      <c r="E716" s="17">
        <v>3</v>
      </c>
    </row>
    <row r="717" spans="2:5">
      <c r="B717" s="37">
        <v>41244</v>
      </c>
      <c r="C717" s="17">
        <v>3912376920.6900001</v>
      </c>
      <c r="D717" s="17" t="s">
        <v>10</v>
      </c>
      <c r="E717" s="17">
        <v>4</v>
      </c>
    </row>
    <row r="718" spans="2:5">
      <c r="B718" s="37">
        <v>41244</v>
      </c>
      <c r="C718" s="17">
        <v>2424491906.04</v>
      </c>
      <c r="D718" s="17" t="s">
        <v>20</v>
      </c>
      <c r="E718" s="17">
        <v>5</v>
      </c>
    </row>
    <row r="719" spans="2:5">
      <c r="B719" s="37">
        <v>41244</v>
      </c>
      <c r="C719" s="17">
        <v>1613083367.98</v>
      </c>
      <c r="D719" s="17" t="s">
        <v>52</v>
      </c>
      <c r="E719" s="17">
        <v>6</v>
      </c>
    </row>
    <row r="720" spans="2:5">
      <c r="B720" s="37">
        <v>41244</v>
      </c>
      <c r="C720" s="17">
        <v>1304094351.97</v>
      </c>
      <c r="D720" s="17" t="s">
        <v>6</v>
      </c>
      <c r="E720" s="17">
        <v>7</v>
      </c>
    </row>
    <row r="721" spans="2:5">
      <c r="B721" s="37">
        <v>41244</v>
      </c>
      <c r="C721" s="17">
        <v>1178548513.0699999</v>
      </c>
      <c r="D721" s="17" t="s">
        <v>8</v>
      </c>
      <c r="E721" s="17">
        <v>8</v>
      </c>
    </row>
    <row r="722" spans="2:5">
      <c r="B722" s="37">
        <v>41244</v>
      </c>
      <c r="C722" s="17">
        <v>1082046177.3</v>
      </c>
      <c r="D722" s="17" t="s">
        <v>4</v>
      </c>
      <c r="E722" s="17">
        <v>9</v>
      </c>
    </row>
    <row r="723" spans="2:5">
      <c r="B723" s="37">
        <v>41244</v>
      </c>
      <c r="C723" s="17">
        <v>984432815.47000003</v>
      </c>
      <c r="D723" s="17" t="s">
        <v>34</v>
      </c>
      <c r="E723" s="17">
        <v>10</v>
      </c>
    </row>
    <row r="724" spans="2:5">
      <c r="B724" s="37">
        <v>41275</v>
      </c>
      <c r="C724" s="17">
        <v>12960800578.620001</v>
      </c>
      <c r="D724" s="17" t="s">
        <v>11</v>
      </c>
      <c r="E724" s="17">
        <v>1</v>
      </c>
    </row>
    <row r="725" spans="2:5">
      <c r="B725" s="37">
        <v>41275</v>
      </c>
      <c r="C725" s="17">
        <v>7322099685.6199999</v>
      </c>
      <c r="D725" s="17" t="s">
        <v>13</v>
      </c>
      <c r="E725" s="17">
        <v>2</v>
      </c>
    </row>
    <row r="726" spans="2:5">
      <c r="B726" s="37">
        <v>41275</v>
      </c>
      <c r="C726" s="17">
        <v>5979329449.8800001</v>
      </c>
      <c r="D726" s="17" t="s">
        <v>46</v>
      </c>
      <c r="E726" s="17">
        <v>3</v>
      </c>
    </row>
    <row r="727" spans="2:5">
      <c r="B727" s="37">
        <v>41275</v>
      </c>
      <c r="C727" s="17">
        <v>3555445910.4099998</v>
      </c>
      <c r="D727" s="17" t="s">
        <v>10</v>
      </c>
      <c r="E727" s="17">
        <v>4</v>
      </c>
    </row>
    <row r="728" spans="2:5">
      <c r="B728" s="37">
        <v>41275</v>
      </c>
      <c r="C728" s="17">
        <v>2355507267.6900001</v>
      </c>
      <c r="D728" s="17" t="s">
        <v>20</v>
      </c>
      <c r="E728" s="17">
        <v>5</v>
      </c>
    </row>
    <row r="729" spans="2:5">
      <c r="B729" s="37">
        <v>41275</v>
      </c>
      <c r="C729" s="17">
        <v>2198109024.29</v>
      </c>
      <c r="D729" s="17" t="s">
        <v>52</v>
      </c>
      <c r="E729" s="17">
        <v>6</v>
      </c>
    </row>
    <row r="730" spans="2:5">
      <c r="B730" s="37">
        <v>41275</v>
      </c>
      <c r="C730" s="17">
        <v>1907610161.7</v>
      </c>
      <c r="D730" s="17" t="s">
        <v>6</v>
      </c>
      <c r="E730" s="17">
        <v>7</v>
      </c>
    </row>
    <row r="731" spans="2:5">
      <c r="B731" s="37">
        <v>41275</v>
      </c>
      <c r="C731" s="17">
        <v>1752051096.6099999</v>
      </c>
      <c r="D731" s="17" t="s">
        <v>4</v>
      </c>
      <c r="E731" s="17">
        <v>8</v>
      </c>
    </row>
    <row r="732" spans="2:5">
      <c r="B732" s="37">
        <v>41275</v>
      </c>
      <c r="C732" s="17">
        <v>1602774666.5599999</v>
      </c>
      <c r="D732" s="17" t="s">
        <v>5</v>
      </c>
      <c r="E732" s="17">
        <v>9</v>
      </c>
    </row>
    <row r="733" spans="2:5">
      <c r="B733" s="37">
        <v>41275</v>
      </c>
      <c r="C733" s="17">
        <v>1422874040.1400001</v>
      </c>
      <c r="D733" s="17" t="s">
        <v>34</v>
      </c>
      <c r="E733" s="17">
        <v>10</v>
      </c>
    </row>
    <row r="734" spans="2:5">
      <c r="B734" s="37">
        <v>41306</v>
      </c>
      <c r="C734" s="17">
        <v>12090154945.85</v>
      </c>
      <c r="D734" s="17" t="s">
        <v>11</v>
      </c>
      <c r="E734" s="17">
        <v>1</v>
      </c>
    </row>
    <row r="735" spans="2:5">
      <c r="B735" s="37">
        <v>41306</v>
      </c>
      <c r="C735" s="17">
        <v>7231687296.3800001</v>
      </c>
      <c r="D735" s="17" t="s">
        <v>13</v>
      </c>
      <c r="E735" s="17">
        <v>2</v>
      </c>
    </row>
    <row r="736" spans="2:5">
      <c r="B736" s="37">
        <v>41306</v>
      </c>
      <c r="C736" s="17">
        <v>5069266638.7200003</v>
      </c>
      <c r="D736" s="17" t="s">
        <v>46</v>
      </c>
      <c r="E736" s="17">
        <v>3</v>
      </c>
    </row>
    <row r="737" spans="2:5">
      <c r="B737" s="37">
        <v>41306</v>
      </c>
      <c r="C737" s="17">
        <v>4833507966.8299999</v>
      </c>
      <c r="D737" s="17" t="s">
        <v>4</v>
      </c>
      <c r="E737" s="17">
        <v>4</v>
      </c>
    </row>
    <row r="738" spans="2:5">
      <c r="B738" s="37">
        <v>41306</v>
      </c>
      <c r="C738" s="17">
        <v>3070547359.5500002</v>
      </c>
      <c r="D738" s="17" t="s">
        <v>10</v>
      </c>
      <c r="E738" s="17">
        <v>5</v>
      </c>
    </row>
    <row r="739" spans="2:5">
      <c r="B739" s="37">
        <v>41306</v>
      </c>
      <c r="C739" s="17">
        <v>2029149646.1500001</v>
      </c>
      <c r="D739" s="17" t="s">
        <v>6</v>
      </c>
      <c r="E739" s="17">
        <v>6</v>
      </c>
    </row>
    <row r="740" spans="2:5">
      <c r="B740" s="37">
        <v>41306</v>
      </c>
      <c r="C740" s="17">
        <v>1932080772.45</v>
      </c>
      <c r="D740" s="17" t="s">
        <v>20</v>
      </c>
      <c r="E740" s="17">
        <v>7</v>
      </c>
    </row>
    <row r="741" spans="2:5">
      <c r="B741" s="37">
        <v>41306</v>
      </c>
      <c r="C741" s="17">
        <v>1812863135.98</v>
      </c>
      <c r="D741" s="17" t="s">
        <v>34</v>
      </c>
      <c r="E741" s="17">
        <v>8</v>
      </c>
    </row>
    <row r="742" spans="2:5">
      <c r="B742" s="37">
        <v>41306</v>
      </c>
      <c r="C742" s="17">
        <v>1306980096.78</v>
      </c>
      <c r="D742" s="17" t="s">
        <v>5</v>
      </c>
      <c r="E742" s="17">
        <v>9</v>
      </c>
    </row>
    <row r="743" spans="2:5">
      <c r="B743" s="37">
        <v>41306</v>
      </c>
      <c r="C743" s="17">
        <v>1245620504</v>
      </c>
      <c r="D743" s="17" t="s">
        <v>8</v>
      </c>
      <c r="E743" s="17">
        <v>10</v>
      </c>
    </row>
    <row r="744" spans="2:5">
      <c r="B744" s="37">
        <v>41334</v>
      </c>
      <c r="C744" s="17">
        <v>10298222135.870001</v>
      </c>
      <c r="D744" s="17" t="s">
        <v>11</v>
      </c>
      <c r="E744" s="17">
        <v>1</v>
      </c>
    </row>
    <row r="745" spans="2:5">
      <c r="B745" s="37">
        <v>41334</v>
      </c>
      <c r="C745" s="17">
        <v>6926091191.3800001</v>
      </c>
      <c r="D745" s="17" t="s">
        <v>13</v>
      </c>
      <c r="E745" s="17">
        <v>2</v>
      </c>
    </row>
    <row r="746" spans="2:5">
      <c r="B746" s="37">
        <v>41334</v>
      </c>
      <c r="C746" s="17">
        <v>4567963477.21</v>
      </c>
      <c r="D746" s="17" t="s">
        <v>46</v>
      </c>
      <c r="E746" s="17">
        <v>3</v>
      </c>
    </row>
    <row r="747" spans="2:5">
      <c r="B747" s="37">
        <v>41334</v>
      </c>
      <c r="C747" s="17">
        <v>2511285341.6500001</v>
      </c>
      <c r="D747" s="17" t="s">
        <v>4</v>
      </c>
      <c r="E747" s="17">
        <v>4</v>
      </c>
    </row>
    <row r="748" spans="2:5">
      <c r="B748" s="37">
        <v>41334</v>
      </c>
      <c r="C748" s="17">
        <v>2307636902.73</v>
      </c>
      <c r="D748" s="17" t="s">
        <v>6</v>
      </c>
      <c r="E748" s="17">
        <v>5</v>
      </c>
    </row>
    <row r="749" spans="2:5">
      <c r="B749" s="37">
        <v>41334</v>
      </c>
      <c r="C749" s="17">
        <v>1901922494.5</v>
      </c>
      <c r="D749" s="17" t="s">
        <v>10</v>
      </c>
      <c r="E749" s="17">
        <v>6</v>
      </c>
    </row>
    <row r="750" spans="2:5">
      <c r="B750" s="37">
        <v>41334</v>
      </c>
      <c r="C750" s="17">
        <v>1855493018.1600001</v>
      </c>
      <c r="D750" s="17" t="s">
        <v>34</v>
      </c>
      <c r="E750" s="17">
        <v>7</v>
      </c>
    </row>
    <row r="751" spans="2:5">
      <c r="B751" s="37">
        <v>41334</v>
      </c>
      <c r="C751" s="17">
        <v>799515520.72000003</v>
      </c>
      <c r="D751" s="17" t="s">
        <v>5</v>
      </c>
      <c r="E751" s="17">
        <v>8</v>
      </c>
    </row>
    <row r="752" spans="2:5">
      <c r="B752" s="37">
        <v>41334</v>
      </c>
      <c r="C752" s="17">
        <v>716978597.38</v>
      </c>
      <c r="D752" s="17" t="s">
        <v>20</v>
      </c>
      <c r="E752" s="17">
        <v>9</v>
      </c>
    </row>
    <row r="753" spans="2:5">
      <c r="B753" s="37">
        <v>41334</v>
      </c>
      <c r="C753" s="17">
        <v>703423047</v>
      </c>
      <c r="D753" s="17" t="s">
        <v>53</v>
      </c>
      <c r="E753" s="17">
        <v>10</v>
      </c>
    </row>
    <row r="754" spans="2:5">
      <c r="B754" s="41">
        <v>41365</v>
      </c>
      <c r="C754" s="42">
        <v>10983062364.98</v>
      </c>
      <c r="D754" s="42" t="s">
        <v>11</v>
      </c>
      <c r="E754" s="42">
        <v>1</v>
      </c>
    </row>
    <row r="755" spans="2:5">
      <c r="B755" s="41">
        <v>41365</v>
      </c>
      <c r="C755" s="42">
        <v>6538495087.7299995</v>
      </c>
      <c r="D755" s="42" t="s">
        <v>13</v>
      </c>
      <c r="E755" s="42">
        <v>2</v>
      </c>
    </row>
    <row r="756" spans="2:5">
      <c r="B756" s="41">
        <v>41365</v>
      </c>
      <c r="C756" s="42">
        <v>4621470486.8500004</v>
      </c>
      <c r="D756" s="42" t="s">
        <v>4</v>
      </c>
      <c r="E756" s="42">
        <v>3</v>
      </c>
    </row>
    <row r="757" spans="2:5">
      <c r="B757" s="41">
        <v>41365</v>
      </c>
      <c r="C757" s="42">
        <v>4125896876.8099999</v>
      </c>
      <c r="D757" s="42" t="s">
        <v>46</v>
      </c>
      <c r="E757" s="42">
        <v>4</v>
      </c>
    </row>
    <row r="758" spans="2:5">
      <c r="B758" s="41">
        <v>41365</v>
      </c>
      <c r="C758" s="42">
        <v>3520970482.02</v>
      </c>
      <c r="D758" s="42" t="s">
        <v>6</v>
      </c>
      <c r="E758" s="42">
        <v>5</v>
      </c>
    </row>
    <row r="759" spans="2:5">
      <c r="B759" s="41">
        <v>41365</v>
      </c>
      <c r="C759" s="42">
        <v>2866774138.8499999</v>
      </c>
      <c r="D759" s="42" t="s">
        <v>10</v>
      </c>
      <c r="E759" s="42">
        <v>6</v>
      </c>
    </row>
    <row r="760" spans="2:5">
      <c r="B760" s="41">
        <v>41365</v>
      </c>
      <c r="C760" s="42">
        <v>1599161362.23</v>
      </c>
      <c r="D760" s="42" t="s">
        <v>8</v>
      </c>
      <c r="E760" s="42">
        <v>7</v>
      </c>
    </row>
    <row r="761" spans="2:5">
      <c r="B761" s="41">
        <v>41365</v>
      </c>
      <c r="C761" s="42">
        <v>1051421255.6900001</v>
      </c>
      <c r="D761" s="42" t="s">
        <v>5</v>
      </c>
      <c r="E761" s="42">
        <v>8</v>
      </c>
    </row>
    <row r="762" spans="2:5">
      <c r="B762" s="41">
        <v>41365</v>
      </c>
      <c r="C762" s="42">
        <v>1037437524.3099999</v>
      </c>
      <c r="D762" s="42" t="s">
        <v>54</v>
      </c>
      <c r="E762" s="42">
        <v>9</v>
      </c>
    </row>
    <row r="763" spans="2:5">
      <c r="B763" s="41">
        <v>41365</v>
      </c>
      <c r="C763" s="42">
        <v>1031822824</v>
      </c>
      <c r="D763" s="42" t="s">
        <v>53</v>
      </c>
      <c r="E763" s="42">
        <v>10</v>
      </c>
    </row>
    <row r="764" spans="2:5">
      <c r="B764" s="41">
        <v>41395</v>
      </c>
      <c r="C764" s="42">
        <v>16565187107.59</v>
      </c>
      <c r="D764" s="42" t="s">
        <v>11</v>
      </c>
      <c r="E764" s="42">
        <v>1</v>
      </c>
    </row>
    <row r="765" spans="2:5">
      <c r="B765" s="41">
        <v>41395</v>
      </c>
      <c r="C765" s="42">
        <v>5637410167.5500002</v>
      </c>
      <c r="D765" s="42" t="s">
        <v>13</v>
      </c>
      <c r="E765" s="42">
        <v>2</v>
      </c>
    </row>
    <row r="766" spans="2:5">
      <c r="B766" s="41">
        <v>41395</v>
      </c>
      <c r="C766" s="42">
        <v>3985547277.6199999</v>
      </c>
      <c r="D766" s="42" t="s">
        <v>4</v>
      </c>
      <c r="E766" s="42">
        <v>3</v>
      </c>
    </row>
    <row r="767" spans="2:5">
      <c r="B767" s="41">
        <v>41395</v>
      </c>
      <c r="C767" s="42">
        <v>3459242035.96</v>
      </c>
      <c r="D767" s="42" t="s">
        <v>46</v>
      </c>
      <c r="E767" s="42">
        <v>4</v>
      </c>
    </row>
    <row r="768" spans="2:5">
      <c r="B768" s="41">
        <v>41395</v>
      </c>
      <c r="C768" s="42">
        <v>2175818362.3200002</v>
      </c>
      <c r="D768" s="42" t="s">
        <v>6</v>
      </c>
      <c r="E768" s="42">
        <v>5</v>
      </c>
    </row>
    <row r="769" spans="2:5">
      <c r="B769" s="41">
        <v>41395</v>
      </c>
      <c r="C769" s="42">
        <v>1879426390.98</v>
      </c>
      <c r="D769" s="42" t="s">
        <v>34</v>
      </c>
      <c r="E769" s="42">
        <v>6</v>
      </c>
    </row>
    <row r="770" spans="2:5">
      <c r="B770" s="41">
        <v>41395</v>
      </c>
      <c r="C770" s="42">
        <v>1856516396.73</v>
      </c>
      <c r="D770" s="42" t="s">
        <v>10</v>
      </c>
      <c r="E770" s="42">
        <v>7</v>
      </c>
    </row>
    <row r="771" spans="2:5">
      <c r="B771" s="41">
        <v>41395</v>
      </c>
      <c r="C771" s="42">
        <v>1129016102.25</v>
      </c>
      <c r="D771" s="42" t="s">
        <v>55</v>
      </c>
      <c r="E771" s="42">
        <v>8</v>
      </c>
    </row>
    <row r="772" spans="2:5">
      <c r="B772" s="41">
        <v>41395</v>
      </c>
      <c r="C772" s="42">
        <v>977753136.09000003</v>
      </c>
      <c r="D772" s="42" t="s">
        <v>5</v>
      </c>
      <c r="E772" s="42">
        <v>9</v>
      </c>
    </row>
    <row r="773" spans="2:5">
      <c r="B773" s="41">
        <v>41395</v>
      </c>
      <c r="C773" s="42">
        <v>875520179</v>
      </c>
      <c r="D773" s="42" t="s">
        <v>53</v>
      </c>
      <c r="E773" s="42">
        <v>10</v>
      </c>
    </row>
    <row r="774" spans="2:5">
      <c r="B774" s="41">
        <v>41426</v>
      </c>
      <c r="C774" s="42">
        <v>15486832649.959999</v>
      </c>
      <c r="D774" s="42" t="s">
        <v>11</v>
      </c>
      <c r="E774" s="42">
        <v>1</v>
      </c>
    </row>
    <row r="775" spans="2:5">
      <c r="B775" s="41">
        <v>41426</v>
      </c>
      <c r="C775" s="42">
        <v>4561843788.71</v>
      </c>
      <c r="D775" s="42" t="s">
        <v>13</v>
      </c>
      <c r="E775" s="42">
        <v>2</v>
      </c>
    </row>
    <row r="776" spans="2:5">
      <c r="B776" s="41">
        <v>41426</v>
      </c>
      <c r="C776" s="42">
        <v>4055990638.6799998</v>
      </c>
      <c r="D776" s="42" t="s">
        <v>46</v>
      </c>
      <c r="E776" s="42">
        <v>3</v>
      </c>
    </row>
    <row r="777" spans="2:5">
      <c r="B777" s="41">
        <v>41426</v>
      </c>
      <c r="C777" s="42">
        <v>2681103987.0500002</v>
      </c>
      <c r="D777" s="42" t="s">
        <v>4</v>
      </c>
      <c r="E777" s="42">
        <v>4</v>
      </c>
    </row>
    <row r="778" spans="2:5">
      <c r="B778" s="41">
        <v>41426</v>
      </c>
      <c r="C778" s="42">
        <v>2398858109.7199998</v>
      </c>
      <c r="D778" s="42" t="s">
        <v>6</v>
      </c>
      <c r="E778" s="42">
        <v>5</v>
      </c>
    </row>
    <row r="779" spans="2:5">
      <c r="B779" s="41">
        <v>41426</v>
      </c>
      <c r="C779" s="42">
        <v>1997314246.6300001</v>
      </c>
      <c r="D779" s="42" t="s">
        <v>10</v>
      </c>
      <c r="E779" s="42">
        <v>6</v>
      </c>
    </row>
    <row r="780" spans="2:5">
      <c r="B780" s="41">
        <v>41426</v>
      </c>
      <c r="C780" s="42">
        <v>1573203721.77</v>
      </c>
      <c r="D780" s="42" t="s">
        <v>55</v>
      </c>
      <c r="E780" s="42">
        <v>7</v>
      </c>
    </row>
    <row r="781" spans="2:5">
      <c r="B781" s="41">
        <v>41426</v>
      </c>
      <c r="C781" s="42">
        <v>1169087126</v>
      </c>
      <c r="D781" s="42" t="s">
        <v>53</v>
      </c>
      <c r="E781" s="42">
        <v>8</v>
      </c>
    </row>
    <row r="782" spans="2:5">
      <c r="B782" s="41">
        <v>41426</v>
      </c>
      <c r="C782" s="42">
        <v>1000640774.4400001</v>
      </c>
      <c r="D782" s="42" t="s">
        <v>54</v>
      </c>
      <c r="E782" s="42">
        <v>9</v>
      </c>
    </row>
    <row r="783" spans="2:5">
      <c r="B783" s="41">
        <v>41426</v>
      </c>
      <c r="C783" s="42">
        <v>567488798.92999995</v>
      </c>
      <c r="D783" s="42" t="s">
        <v>5</v>
      </c>
      <c r="E783" s="42">
        <v>10</v>
      </c>
    </row>
    <row r="784" spans="2:5">
      <c r="B784" s="41">
        <v>41456</v>
      </c>
      <c r="C784" s="42">
        <v>16978552578.67</v>
      </c>
      <c r="D784" s="42" t="s">
        <v>11</v>
      </c>
      <c r="E784" s="42">
        <v>1</v>
      </c>
    </row>
    <row r="785" spans="2:5">
      <c r="B785" s="41">
        <v>41456</v>
      </c>
      <c r="C785" s="42">
        <v>4468738110.4300003</v>
      </c>
      <c r="D785" s="42" t="s">
        <v>46</v>
      </c>
      <c r="E785" s="42">
        <v>2</v>
      </c>
    </row>
    <row r="786" spans="2:5">
      <c r="B786" s="41">
        <v>41456</v>
      </c>
      <c r="C786" s="42">
        <v>3148298719.46</v>
      </c>
      <c r="D786" s="42" t="s">
        <v>13</v>
      </c>
      <c r="E786" s="42">
        <v>3</v>
      </c>
    </row>
    <row r="787" spans="2:5">
      <c r="B787" s="41">
        <v>41456</v>
      </c>
      <c r="C787" s="42">
        <v>2941250839.6100001</v>
      </c>
      <c r="D787" s="42" t="s">
        <v>4</v>
      </c>
      <c r="E787" s="42">
        <v>4</v>
      </c>
    </row>
    <row r="788" spans="2:5">
      <c r="B788" s="41">
        <v>41456</v>
      </c>
      <c r="C788" s="42">
        <v>2287568241.9699998</v>
      </c>
      <c r="D788" s="42" t="s">
        <v>10</v>
      </c>
      <c r="E788" s="42">
        <v>5</v>
      </c>
    </row>
    <row r="789" spans="2:5">
      <c r="B789" s="41">
        <v>41456</v>
      </c>
      <c r="C789" s="42">
        <v>2212331897.6900001</v>
      </c>
      <c r="D789" s="42" t="s">
        <v>55</v>
      </c>
      <c r="E789" s="42">
        <v>6</v>
      </c>
    </row>
    <row r="790" spans="2:5">
      <c r="B790" s="41">
        <v>41456</v>
      </c>
      <c r="C790" s="42">
        <v>2001957601.3199999</v>
      </c>
      <c r="D790" s="42" t="s">
        <v>6</v>
      </c>
      <c r="E790" s="42">
        <v>7</v>
      </c>
    </row>
    <row r="791" spans="2:5">
      <c r="B791" s="41">
        <v>41456</v>
      </c>
      <c r="C791" s="42">
        <v>1569984561.9200001</v>
      </c>
      <c r="D791" s="42" t="s">
        <v>54</v>
      </c>
      <c r="E791" s="42">
        <v>8</v>
      </c>
    </row>
    <row r="792" spans="2:5">
      <c r="B792" s="41">
        <v>41456</v>
      </c>
      <c r="C792" s="42">
        <v>1144305792.9000001</v>
      </c>
      <c r="D792" s="42" t="s">
        <v>52</v>
      </c>
      <c r="E792" s="42">
        <v>9</v>
      </c>
    </row>
    <row r="793" spans="2:5">
      <c r="B793" s="41">
        <v>41456</v>
      </c>
      <c r="C793" s="42">
        <v>713708620.26999998</v>
      </c>
      <c r="D793" s="42" t="s">
        <v>5</v>
      </c>
      <c r="E793" s="42">
        <v>10</v>
      </c>
    </row>
    <row r="794" spans="2:5">
      <c r="B794" s="41">
        <v>41487</v>
      </c>
      <c r="C794" s="42">
        <v>16043754924.049999</v>
      </c>
      <c r="D794" s="42" t="s">
        <v>11</v>
      </c>
      <c r="E794" s="42">
        <v>1</v>
      </c>
    </row>
    <row r="795" spans="2:5">
      <c r="B795" s="41">
        <v>41487</v>
      </c>
      <c r="C795" s="42">
        <v>4118976924.3200002</v>
      </c>
      <c r="D795" s="42" t="s">
        <v>46</v>
      </c>
      <c r="E795" s="42">
        <v>2</v>
      </c>
    </row>
    <row r="796" spans="2:5">
      <c r="B796" s="41">
        <v>41487</v>
      </c>
      <c r="C796" s="42">
        <v>2883350418.2600002</v>
      </c>
      <c r="D796" s="42" t="s">
        <v>54</v>
      </c>
      <c r="E796" s="42">
        <v>3</v>
      </c>
    </row>
    <row r="797" spans="2:5">
      <c r="B797" s="41">
        <v>41487</v>
      </c>
      <c r="C797" s="42">
        <v>2572723252.1300001</v>
      </c>
      <c r="D797" s="42" t="s">
        <v>13</v>
      </c>
      <c r="E797" s="42">
        <v>4</v>
      </c>
    </row>
    <row r="798" spans="2:5">
      <c r="B798" s="41">
        <v>41487</v>
      </c>
      <c r="C798" s="42">
        <v>2256386097.4499998</v>
      </c>
      <c r="D798" s="42" t="s">
        <v>4</v>
      </c>
      <c r="E798" s="42">
        <v>5</v>
      </c>
    </row>
    <row r="799" spans="2:5">
      <c r="B799" s="41">
        <v>41487</v>
      </c>
      <c r="C799" s="42">
        <v>2159130451.9000001</v>
      </c>
      <c r="D799" s="42" t="s">
        <v>55</v>
      </c>
      <c r="E799" s="42">
        <v>6</v>
      </c>
    </row>
    <row r="800" spans="2:5">
      <c r="B800" s="41">
        <v>41487</v>
      </c>
      <c r="C800" s="42">
        <v>1796265185.45</v>
      </c>
      <c r="D800" s="42" t="s">
        <v>10</v>
      </c>
      <c r="E800" s="42">
        <v>7</v>
      </c>
    </row>
    <row r="801" spans="2:5">
      <c r="B801" s="41">
        <v>41487</v>
      </c>
      <c r="C801" s="42">
        <v>1724530644.54</v>
      </c>
      <c r="D801" s="42" t="s">
        <v>6</v>
      </c>
      <c r="E801" s="42">
        <v>8</v>
      </c>
    </row>
    <row r="802" spans="2:5">
      <c r="B802" s="41">
        <v>41487</v>
      </c>
      <c r="C802" s="42">
        <v>1299299846</v>
      </c>
      <c r="D802" s="42" t="s">
        <v>50</v>
      </c>
      <c r="E802" s="42">
        <v>9</v>
      </c>
    </row>
    <row r="803" spans="2:5">
      <c r="B803" s="41">
        <v>41487</v>
      </c>
      <c r="C803" s="42">
        <v>916479356.41999996</v>
      </c>
      <c r="D803" s="42" t="s">
        <v>34</v>
      </c>
      <c r="E803" s="42">
        <v>10</v>
      </c>
    </row>
    <row r="804" spans="2:5">
      <c r="B804" s="41">
        <v>41518</v>
      </c>
      <c r="C804" s="42">
        <v>12954391824.35</v>
      </c>
      <c r="D804" s="42" t="s">
        <v>11</v>
      </c>
      <c r="E804" s="42">
        <v>1</v>
      </c>
    </row>
    <row r="805" spans="2:5">
      <c r="B805" s="41">
        <v>41518</v>
      </c>
      <c r="C805" s="42">
        <v>3270291712.54</v>
      </c>
      <c r="D805" s="42" t="s">
        <v>13</v>
      </c>
      <c r="E805" s="42">
        <v>2</v>
      </c>
    </row>
    <row r="806" spans="2:5">
      <c r="B806" s="41">
        <v>41518</v>
      </c>
      <c r="C806" s="42">
        <v>2820572445.3699999</v>
      </c>
      <c r="D806" s="42" t="s">
        <v>4</v>
      </c>
      <c r="E806" s="42">
        <v>3</v>
      </c>
    </row>
    <row r="807" spans="2:5">
      <c r="B807" s="41">
        <v>41518</v>
      </c>
      <c r="C807" s="42">
        <v>2360176115.9099998</v>
      </c>
      <c r="D807" s="42" t="s">
        <v>46</v>
      </c>
      <c r="E807" s="42">
        <v>4</v>
      </c>
    </row>
    <row r="808" spans="2:5">
      <c r="B808" s="41">
        <v>41518</v>
      </c>
      <c r="C808" s="42">
        <v>1812325604.1099999</v>
      </c>
      <c r="D808" s="42" t="s">
        <v>55</v>
      </c>
      <c r="E808" s="42">
        <v>5</v>
      </c>
    </row>
    <row r="809" spans="2:5">
      <c r="B809" s="41">
        <v>41518</v>
      </c>
      <c r="C809" s="42">
        <v>1353122738.8900001</v>
      </c>
      <c r="D809" s="42" t="s">
        <v>54</v>
      </c>
      <c r="E809" s="42">
        <v>6</v>
      </c>
    </row>
    <row r="810" spans="2:5">
      <c r="B810" s="41">
        <v>41518</v>
      </c>
      <c r="C810" s="42">
        <v>1183299223.6300001</v>
      </c>
      <c r="D810" s="42" t="s">
        <v>10</v>
      </c>
      <c r="E810" s="42">
        <v>7</v>
      </c>
    </row>
    <row r="811" spans="2:5">
      <c r="B811" s="41">
        <v>41518</v>
      </c>
      <c r="C811" s="42">
        <v>1080194081.3399999</v>
      </c>
      <c r="D811" s="42" t="s">
        <v>6</v>
      </c>
      <c r="E811" s="42">
        <v>8</v>
      </c>
    </row>
    <row r="812" spans="2:5">
      <c r="B812" s="41">
        <v>41518</v>
      </c>
      <c r="C812" s="42">
        <v>969610409</v>
      </c>
      <c r="D812" s="42" t="s">
        <v>50</v>
      </c>
      <c r="E812" s="42">
        <v>9</v>
      </c>
    </row>
    <row r="813" spans="2:5">
      <c r="B813" s="41">
        <v>41518</v>
      </c>
      <c r="C813" s="42">
        <v>670531652.08000004</v>
      </c>
      <c r="D813" s="42" t="s">
        <v>5</v>
      </c>
      <c r="E813" s="42">
        <v>10</v>
      </c>
    </row>
    <row r="814" spans="2:5">
      <c r="B814" s="41">
        <v>41548</v>
      </c>
      <c r="C814" s="42">
        <v>9148941452.2000008</v>
      </c>
      <c r="D814" s="42" t="s">
        <v>11</v>
      </c>
      <c r="E814" s="42">
        <v>1</v>
      </c>
    </row>
    <row r="815" spans="2:5">
      <c r="B815" s="41">
        <v>41548</v>
      </c>
      <c r="C815" s="42">
        <v>2258522897.0300002</v>
      </c>
      <c r="D815" s="42" t="s">
        <v>13</v>
      </c>
      <c r="E815" s="42">
        <v>2</v>
      </c>
    </row>
    <row r="816" spans="2:5">
      <c r="B816" s="41">
        <v>41548</v>
      </c>
      <c r="C816" s="42">
        <v>1853106711.96</v>
      </c>
      <c r="D816" s="42" t="s">
        <v>46</v>
      </c>
      <c r="E816" s="42">
        <v>3</v>
      </c>
    </row>
    <row r="817" spans="2:5">
      <c r="B817" s="41">
        <v>41548</v>
      </c>
      <c r="C817" s="42">
        <v>1732002462.3699999</v>
      </c>
      <c r="D817" s="42" t="s">
        <v>54</v>
      </c>
      <c r="E817" s="42">
        <v>4</v>
      </c>
    </row>
    <row r="818" spans="2:5">
      <c r="B818" s="41">
        <v>41548</v>
      </c>
      <c r="C818" s="42">
        <v>1629776595.6800001</v>
      </c>
      <c r="D818" s="42" t="s">
        <v>55</v>
      </c>
      <c r="E818" s="42">
        <v>5</v>
      </c>
    </row>
    <row r="819" spans="2:5">
      <c r="B819" s="41">
        <v>41548</v>
      </c>
      <c r="C819" s="42">
        <v>1573100292.4300001</v>
      </c>
      <c r="D819" s="42" t="s">
        <v>4</v>
      </c>
      <c r="E819" s="42">
        <v>6</v>
      </c>
    </row>
    <row r="820" spans="2:5">
      <c r="B820" s="41">
        <v>41548</v>
      </c>
      <c r="C820" s="42">
        <v>1281505531.45</v>
      </c>
      <c r="D820" s="42" t="s">
        <v>10</v>
      </c>
      <c r="E820" s="42">
        <v>7</v>
      </c>
    </row>
    <row r="821" spans="2:5">
      <c r="B821" s="41">
        <v>41548</v>
      </c>
      <c r="C821" s="42">
        <v>866449074.45000005</v>
      </c>
      <c r="D821" s="42" t="s">
        <v>6</v>
      </c>
      <c r="E821" s="42">
        <v>8</v>
      </c>
    </row>
    <row r="822" spans="2:5">
      <c r="B822" s="41">
        <v>41548</v>
      </c>
      <c r="C822" s="42">
        <v>768083664</v>
      </c>
      <c r="D822" s="42" t="s">
        <v>50</v>
      </c>
      <c r="E822" s="42">
        <v>9</v>
      </c>
    </row>
    <row r="823" spans="2:5">
      <c r="B823" s="41">
        <v>41548</v>
      </c>
      <c r="C823" s="42">
        <v>734950444.69000006</v>
      </c>
      <c r="D823" s="42" t="s">
        <v>5</v>
      </c>
      <c r="E823" s="42">
        <v>10</v>
      </c>
    </row>
    <row r="824" spans="2:5">
      <c r="B824" s="41">
        <v>41579</v>
      </c>
      <c r="C824" s="42">
        <v>7277980089.6000004</v>
      </c>
      <c r="D824" s="42" t="s">
        <v>11</v>
      </c>
      <c r="E824" s="42">
        <v>1</v>
      </c>
    </row>
    <row r="825" spans="2:5">
      <c r="B825" s="41">
        <v>41579</v>
      </c>
      <c r="C825" s="42">
        <v>3297359031.2800002</v>
      </c>
      <c r="D825" s="42" t="s">
        <v>13</v>
      </c>
      <c r="E825" s="42">
        <v>2</v>
      </c>
    </row>
    <row r="826" spans="2:5">
      <c r="B826" s="41">
        <v>41579</v>
      </c>
      <c r="C826" s="42">
        <v>1694525112.9400001</v>
      </c>
      <c r="D826" s="42" t="s">
        <v>46</v>
      </c>
      <c r="E826" s="42">
        <v>3</v>
      </c>
    </row>
    <row r="827" spans="2:5">
      <c r="B827" s="41">
        <v>41579</v>
      </c>
      <c r="C827" s="42">
        <v>1443375065.3</v>
      </c>
      <c r="D827" s="42" t="s">
        <v>55</v>
      </c>
      <c r="E827" s="42">
        <v>4</v>
      </c>
    </row>
    <row r="828" spans="2:5">
      <c r="B828" s="41">
        <v>41579</v>
      </c>
      <c r="C828" s="42">
        <v>1416434682.73</v>
      </c>
      <c r="D828" s="42" t="s">
        <v>4</v>
      </c>
      <c r="E828" s="42">
        <v>5</v>
      </c>
    </row>
    <row r="829" spans="2:5">
      <c r="B829" s="41">
        <v>41579</v>
      </c>
      <c r="C829" s="42">
        <v>1390967449.5</v>
      </c>
      <c r="D829" s="42" t="s">
        <v>10</v>
      </c>
      <c r="E829" s="42">
        <v>6</v>
      </c>
    </row>
    <row r="830" spans="2:5">
      <c r="B830" s="41">
        <v>41579</v>
      </c>
      <c r="C830" s="42">
        <v>933820791.04999995</v>
      </c>
      <c r="D830" s="42" t="s">
        <v>56</v>
      </c>
      <c r="E830" s="42">
        <v>7</v>
      </c>
    </row>
    <row r="831" spans="2:5">
      <c r="B831" s="41">
        <v>41579</v>
      </c>
      <c r="C831" s="42">
        <v>888998572.20000005</v>
      </c>
      <c r="D831" s="42" t="s">
        <v>54</v>
      </c>
      <c r="E831" s="42">
        <v>8</v>
      </c>
    </row>
    <row r="832" spans="2:5">
      <c r="B832" s="41">
        <v>41579</v>
      </c>
      <c r="C832" s="42">
        <v>837105658.42999995</v>
      </c>
      <c r="D832" s="42" t="s">
        <v>6</v>
      </c>
      <c r="E832" s="42">
        <v>9</v>
      </c>
    </row>
    <row r="833" spans="2:5">
      <c r="B833" s="41">
        <v>41579</v>
      </c>
      <c r="C833" s="42">
        <v>554951729.87</v>
      </c>
      <c r="D833" s="42" t="s">
        <v>5</v>
      </c>
      <c r="E833" s="42">
        <v>10</v>
      </c>
    </row>
    <row r="834" spans="2:5">
      <c r="B834" s="41">
        <v>41609</v>
      </c>
      <c r="C834" s="42">
        <v>6588450968.0200005</v>
      </c>
      <c r="D834" s="42" t="s">
        <v>11</v>
      </c>
      <c r="E834" s="42">
        <v>1</v>
      </c>
    </row>
    <row r="835" spans="2:5">
      <c r="B835" s="41">
        <v>41609</v>
      </c>
      <c r="C835" s="42">
        <v>2223527627.8699999</v>
      </c>
      <c r="D835" s="42" t="s">
        <v>13</v>
      </c>
      <c r="E835" s="42">
        <v>2</v>
      </c>
    </row>
    <row r="836" spans="2:5">
      <c r="B836" s="41">
        <v>41609</v>
      </c>
      <c r="C836" s="42">
        <v>1561280492.8699999</v>
      </c>
      <c r="D836" s="42" t="s">
        <v>55</v>
      </c>
      <c r="E836" s="42">
        <v>3</v>
      </c>
    </row>
    <row r="837" spans="2:5">
      <c r="B837" s="41">
        <v>41609</v>
      </c>
      <c r="C837" s="42">
        <v>1421676922.75</v>
      </c>
      <c r="D837" s="42" t="s">
        <v>46</v>
      </c>
      <c r="E837" s="42">
        <v>4</v>
      </c>
    </row>
    <row r="838" spans="2:5">
      <c r="B838" s="41">
        <v>41609</v>
      </c>
      <c r="C838" s="42">
        <v>1134090940.3099999</v>
      </c>
      <c r="D838" s="42" t="s">
        <v>4</v>
      </c>
      <c r="E838" s="42">
        <v>5</v>
      </c>
    </row>
    <row r="839" spans="2:5">
      <c r="B839" s="41">
        <v>41609</v>
      </c>
      <c r="C839" s="42">
        <v>1105190231.8399999</v>
      </c>
      <c r="D839" s="42" t="s">
        <v>54</v>
      </c>
      <c r="E839" s="42">
        <v>6</v>
      </c>
    </row>
    <row r="840" spans="2:5">
      <c r="B840" s="41">
        <v>41609</v>
      </c>
      <c r="C840" s="42">
        <v>969676537.08000004</v>
      </c>
      <c r="D840" s="42" t="s">
        <v>10</v>
      </c>
      <c r="E840" s="42">
        <v>7</v>
      </c>
    </row>
    <row r="841" spans="2:5">
      <c r="B841" s="41">
        <v>41609</v>
      </c>
      <c r="C841" s="42">
        <v>812497002.57000005</v>
      </c>
      <c r="D841" s="42" t="s">
        <v>56</v>
      </c>
      <c r="E841" s="42">
        <v>8</v>
      </c>
    </row>
    <row r="842" spans="2:5">
      <c r="B842" s="41">
        <v>41609</v>
      </c>
      <c r="C842" s="42">
        <v>682173000</v>
      </c>
      <c r="D842" s="42" t="s">
        <v>47</v>
      </c>
      <c r="E842" s="42">
        <v>9</v>
      </c>
    </row>
    <row r="843" spans="2:5">
      <c r="B843" s="41">
        <v>41609</v>
      </c>
      <c r="C843" s="42">
        <v>650372970.05999994</v>
      </c>
      <c r="D843" s="42" t="s">
        <v>6</v>
      </c>
      <c r="E843" s="42">
        <v>10</v>
      </c>
    </row>
    <row r="844" spans="2:5">
      <c r="B844" s="41">
        <v>41640</v>
      </c>
      <c r="C844" s="42">
        <v>3105702600.8000002</v>
      </c>
      <c r="D844" s="42" t="s">
        <v>11</v>
      </c>
      <c r="E844" s="42">
        <v>1</v>
      </c>
    </row>
    <row r="845" spans="2:5">
      <c r="B845" s="41">
        <v>41640</v>
      </c>
      <c r="C845" s="42">
        <v>1760019879.1099999</v>
      </c>
      <c r="D845" s="42" t="s">
        <v>46</v>
      </c>
      <c r="E845" s="42">
        <v>2</v>
      </c>
    </row>
    <row r="846" spans="2:5">
      <c r="B846" s="41">
        <v>41640</v>
      </c>
      <c r="C846" s="42">
        <v>1699856288.3499999</v>
      </c>
      <c r="D846" s="42" t="s">
        <v>13</v>
      </c>
      <c r="E846" s="42">
        <v>3</v>
      </c>
    </row>
    <row r="847" spans="2:5">
      <c r="B847" s="41">
        <v>41640</v>
      </c>
      <c r="C847" s="42">
        <v>1342307631.3399999</v>
      </c>
      <c r="D847" s="42" t="s">
        <v>55</v>
      </c>
      <c r="E847" s="42">
        <v>4</v>
      </c>
    </row>
    <row r="848" spans="2:5">
      <c r="B848" s="41">
        <v>41640</v>
      </c>
      <c r="C848" s="42">
        <v>1059610720.12</v>
      </c>
      <c r="D848" s="42" t="s">
        <v>54</v>
      </c>
      <c r="E848" s="42">
        <v>5</v>
      </c>
    </row>
    <row r="849" spans="2:5">
      <c r="B849" s="41">
        <v>41640</v>
      </c>
      <c r="C849" s="42">
        <v>774649500.94000006</v>
      </c>
      <c r="D849" s="42" t="s">
        <v>4</v>
      </c>
      <c r="E849" s="42">
        <v>6</v>
      </c>
    </row>
    <row r="850" spans="2:5">
      <c r="B850" s="41">
        <v>41640</v>
      </c>
      <c r="C850" s="42">
        <v>609932112.33000004</v>
      </c>
      <c r="D850" s="42" t="s">
        <v>10</v>
      </c>
      <c r="E850" s="42">
        <v>7</v>
      </c>
    </row>
    <row r="851" spans="2:5">
      <c r="B851" s="41">
        <v>41640</v>
      </c>
      <c r="C851" s="42">
        <v>439011145.83999997</v>
      </c>
      <c r="D851" s="42" t="s">
        <v>6</v>
      </c>
      <c r="E851" s="42">
        <v>8</v>
      </c>
    </row>
    <row r="852" spans="2:5">
      <c r="B852" s="41">
        <v>41640</v>
      </c>
      <c r="C852" s="42">
        <v>386720717.35000002</v>
      </c>
      <c r="D852" s="42" t="s">
        <v>17</v>
      </c>
      <c r="E852" s="42">
        <v>9</v>
      </c>
    </row>
    <row r="853" spans="2:5">
      <c r="B853" s="41">
        <v>41640</v>
      </c>
      <c r="C853" s="42">
        <v>383298577.99000001</v>
      </c>
      <c r="D853" s="42" t="s">
        <v>23</v>
      </c>
      <c r="E853" s="42">
        <v>10</v>
      </c>
    </row>
    <row r="854" spans="2:5">
      <c r="B854" s="41">
        <v>41671</v>
      </c>
      <c r="C854" s="42">
        <v>4228977520.5</v>
      </c>
      <c r="D854" s="42" t="s">
        <v>11</v>
      </c>
      <c r="E854" s="42">
        <v>1</v>
      </c>
    </row>
    <row r="855" spans="2:5">
      <c r="B855" s="41">
        <v>41671</v>
      </c>
      <c r="C855" s="42">
        <v>2141375023.72</v>
      </c>
      <c r="D855" s="42" t="s">
        <v>13</v>
      </c>
      <c r="E855" s="42">
        <v>2</v>
      </c>
    </row>
    <row r="856" spans="2:5">
      <c r="B856" s="41">
        <v>41671</v>
      </c>
      <c r="C856" s="42">
        <v>1922831147.77</v>
      </c>
      <c r="D856" s="42" t="s">
        <v>46</v>
      </c>
      <c r="E856" s="42">
        <v>3</v>
      </c>
    </row>
    <row r="857" spans="2:5">
      <c r="B857" s="41">
        <v>41671</v>
      </c>
      <c r="C857" s="42">
        <v>1297808997.26</v>
      </c>
      <c r="D857" s="42" t="s">
        <v>54</v>
      </c>
      <c r="E857" s="42">
        <v>4</v>
      </c>
    </row>
    <row r="858" spans="2:5">
      <c r="B858" s="41">
        <v>41671</v>
      </c>
      <c r="C858" s="42">
        <v>1271985898.8900001</v>
      </c>
      <c r="D858" s="42" t="s">
        <v>55</v>
      </c>
      <c r="E858" s="42">
        <v>5</v>
      </c>
    </row>
    <row r="859" spans="2:5">
      <c r="B859" s="41">
        <v>41671</v>
      </c>
      <c r="C859" s="42">
        <v>697193636.46000004</v>
      </c>
      <c r="D859" s="42" t="s">
        <v>4</v>
      </c>
      <c r="E859" s="42">
        <v>6</v>
      </c>
    </row>
    <row r="860" spans="2:5">
      <c r="B860" s="41">
        <v>41671</v>
      </c>
      <c r="C860" s="42">
        <v>627431948.79999995</v>
      </c>
      <c r="D860" s="42" t="s">
        <v>10</v>
      </c>
      <c r="E860" s="42">
        <v>7</v>
      </c>
    </row>
    <row r="861" spans="2:5">
      <c r="B861" s="41">
        <v>41671</v>
      </c>
      <c r="C861" s="42">
        <v>471783633.49000001</v>
      </c>
      <c r="D861" s="42" t="s">
        <v>6</v>
      </c>
      <c r="E861" s="42">
        <v>8</v>
      </c>
    </row>
    <row r="862" spans="2:5">
      <c r="B862" s="41">
        <v>41671</v>
      </c>
      <c r="C862" s="42">
        <v>410110073.08999997</v>
      </c>
      <c r="D862" s="42" t="s">
        <v>23</v>
      </c>
      <c r="E862" s="42">
        <v>9</v>
      </c>
    </row>
    <row r="863" spans="2:5">
      <c r="B863" s="41">
        <v>41671</v>
      </c>
      <c r="C863" s="42">
        <v>377721494.83999997</v>
      </c>
      <c r="D863" s="42" t="s">
        <v>56</v>
      </c>
      <c r="E863" s="42">
        <v>10</v>
      </c>
    </row>
    <row r="864" spans="2:5">
      <c r="B864" s="41">
        <v>41699</v>
      </c>
      <c r="C864" s="42">
        <v>2771745679.8800001</v>
      </c>
      <c r="D864" s="42" t="s">
        <v>11</v>
      </c>
      <c r="E864" s="42">
        <v>1</v>
      </c>
    </row>
    <row r="865" spans="2:5">
      <c r="B865" s="41">
        <v>41699</v>
      </c>
      <c r="C865" s="42">
        <v>1574474809.8399999</v>
      </c>
      <c r="D865" s="42" t="s">
        <v>46</v>
      </c>
      <c r="E865" s="42">
        <v>2</v>
      </c>
    </row>
    <row r="866" spans="2:5">
      <c r="B866" s="41">
        <v>41699</v>
      </c>
      <c r="C866" s="42">
        <v>1404683501.8</v>
      </c>
      <c r="D866" s="42" t="s">
        <v>13</v>
      </c>
      <c r="E866" s="42">
        <v>3</v>
      </c>
    </row>
    <row r="867" spans="2:5">
      <c r="B867" s="41">
        <v>41699</v>
      </c>
      <c r="C867" s="42">
        <v>940764804.61000001</v>
      </c>
      <c r="D867" s="42" t="s">
        <v>54</v>
      </c>
      <c r="E867" s="42">
        <v>4</v>
      </c>
    </row>
    <row r="868" spans="2:5">
      <c r="B868" s="41">
        <v>41699</v>
      </c>
      <c r="C868" s="42">
        <v>910319667.28999996</v>
      </c>
      <c r="D868" s="42" t="s">
        <v>55</v>
      </c>
      <c r="E868" s="42">
        <v>5</v>
      </c>
    </row>
    <row r="869" spans="2:5">
      <c r="B869" s="41">
        <v>41699</v>
      </c>
      <c r="C869" s="42">
        <v>564630562.90999997</v>
      </c>
      <c r="D869" s="42" t="s">
        <v>57</v>
      </c>
      <c r="E869" s="42">
        <v>6</v>
      </c>
    </row>
    <row r="870" spans="2:5">
      <c r="B870" s="41">
        <v>41699</v>
      </c>
      <c r="C870" s="42">
        <v>536183752.19</v>
      </c>
      <c r="D870" s="42" t="s">
        <v>10</v>
      </c>
      <c r="E870" s="42">
        <v>7</v>
      </c>
    </row>
    <row r="871" spans="2:5">
      <c r="B871" s="41">
        <v>41699</v>
      </c>
      <c r="C871" s="42">
        <v>524009255.14999998</v>
      </c>
      <c r="D871" s="42" t="s">
        <v>4</v>
      </c>
      <c r="E871" s="42">
        <v>8</v>
      </c>
    </row>
    <row r="872" spans="2:5">
      <c r="B872" s="41">
        <v>41699</v>
      </c>
      <c r="C872" s="42">
        <v>319855477.95999998</v>
      </c>
      <c r="D872" s="42" t="s">
        <v>23</v>
      </c>
      <c r="E872" s="42">
        <v>9</v>
      </c>
    </row>
    <row r="873" spans="2:5">
      <c r="B873" s="41">
        <v>41699</v>
      </c>
      <c r="C873" s="42">
        <v>313442692.82999998</v>
      </c>
      <c r="D873" s="42" t="s">
        <v>52</v>
      </c>
      <c r="E873" s="42">
        <v>10</v>
      </c>
    </row>
    <row r="874" spans="2:5">
      <c r="B874" s="37">
        <v>41730</v>
      </c>
      <c r="C874" s="17">
        <v>3281937556.02</v>
      </c>
      <c r="D874" s="17" t="s">
        <v>11</v>
      </c>
      <c r="E874" s="17">
        <v>1</v>
      </c>
    </row>
    <row r="875" spans="2:5">
      <c r="B875" s="37">
        <v>41730</v>
      </c>
      <c r="C875" s="17">
        <v>2423937054.6999998</v>
      </c>
      <c r="D875" s="17" t="s">
        <v>13</v>
      </c>
      <c r="E875" s="17">
        <v>2</v>
      </c>
    </row>
    <row r="876" spans="2:5">
      <c r="B876" s="37">
        <v>41730</v>
      </c>
      <c r="C876" s="17">
        <v>1578860937.1900001</v>
      </c>
      <c r="D876" s="17" t="s">
        <v>46</v>
      </c>
      <c r="E876" s="17">
        <v>3</v>
      </c>
    </row>
    <row r="877" spans="2:5">
      <c r="B877" s="37">
        <v>41730</v>
      </c>
      <c r="C877" s="17">
        <v>870248563.14999998</v>
      </c>
      <c r="D877" s="17" t="s">
        <v>55</v>
      </c>
      <c r="E877" s="17">
        <v>4</v>
      </c>
    </row>
    <row r="878" spans="2:5">
      <c r="B878" s="37">
        <v>41730</v>
      </c>
      <c r="C878" s="17">
        <v>862589348.16999996</v>
      </c>
      <c r="D878" s="17" t="s">
        <v>54</v>
      </c>
      <c r="E878" s="17">
        <v>5</v>
      </c>
    </row>
    <row r="879" spans="2:5">
      <c r="B879" s="37">
        <v>41730</v>
      </c>
      <c r="C879" s="17">
        <v>837007926.10000002</v>
      </c>
      <c r="D879" s="17" t="s">
        <v>10</v>
      </c>
      <c r="E879" s="17">
        <v>6</v>
      </c>
    </row>
    <row r="880" spans="2:5">
      <c r="B880" s="37">
        <v>41730</v>
      </c>
      <c r="C880" s="17">
        <v>732016079.92999995</v>
      </c>
      <c r="D880" s="17" t="s">
        <v>57</v>
      </c>
      <c r="E880" s="17">
        <v>7</v>
      </c>
    </row>
    <row r="881" spans="2:5">
      <c r="B881" s="37">
        <v>41730</v>
      </c>
      <c r="C881" s="17">
        <v>632588474.88999999</v>
      </c>
      <c r="D881" s="17" t="s">
        <v>4</v>
      </c>
      <c r="E881" s="17">
        <v>8</v>
      </c>
    </row>
    <row r="882" spans="2:5">
      <c r="B882" s="37">
        <v>41730</v>
      </c>
      <c r="C882" s="17">
        <v>587267554.23000002</v>
      </c>
      <c r="D882" s="17" t="s">
        <v>56</v>
      </c>
      <c r="E882" s="17">
        <v>9</v>
      </c>
    </row>
    <row r="883" spans="2:5">
      <c r="B883" s="37">
        <v>41730</v>
      </c>
      <c r="C883" s="17">
        <v>469850026.73000002</v>
      </c>
      <c r="D883" s="17" t="s">
        <v>23</v>
      </c>
      <c r="E883" s="17">
        <v>10</v>
      </c>
    </row>
    <row r="884" spans="2:5">
      <c r="B884" s="37">
        <v>41760</v>
      </c>
      <c r="C884" s="17">
        <v>3701376306.8000002</v>
      </c>
      <c r="D884" s="17" t="s">
        <v>11</v>
      </c>
      <c r="E884" s="17">
        <v>1</v>
      </c>
    </row>
    <row r="885" spans="2:5">
      <c r="B885" s="37">
        <v>41760</v>
      </c>
      <c r="C885" s="17">
        <v>1528205247.9400001</v>
      </c>
      <c r="D885" s="17" t="s">
        <v>46</v>
      </c>
      <c r="E885" s="17">
        <v>2</v>
      </c>
    </row>
    <row r="886" spans="2:5">
      <c r="B886" s="37">
        <v>41760</v>
      </c>
      <c r="C886" s="17">
        <v>901247559.58000004</v>
      </c>
      <c r="D886" s="17" t="s">
        <v>55</v>
      </c>
      <c r="E886" s="17">
        <v>3</v>
      </c>
    </row>
    <row r="887" spans="2:5">
      <c r="B887" s="37">
        <v>41760</v>
      </c>
      <c r="C887" s="17">
        <v>697483806.19000006</v>
      </c>
      <c r="D887" s="17" t="s">
        <v>4</v>
      </c>
      <c r="E887" s="17">
        <v>4</v>
      </c>
    </row>
    <row r="888" spans="2:5">
      <c r="B888" s="37">
        <v>41760</v>
      </c>
      <c r="C888" s="17">
        <v>683642277.61000001</v>
      </c>
      <c r="D888" s="17" t="s">
        <v>10</v>
      </c>
      <c r="E888" s="17">
        <v>5</v>
      </c>
    </row>
    <row r="889" spans="2:5">
      <c r="B889" s="37">
        <v>41760</v>
      </c>
      <c r="C889" s="17">
        <v>678517253.62</v>
      </c>
      <c r="D889" s="17" t="s">
        <v>13</v>
      </c>
      <c r="E889" s="17">
        <v>6</v>
      </c>
    </row>
    <row r="890" spans="2:5">
      <c r="B890" s="37">
        <v>41760</v>
      </c>
      <c r="C890" s="17">
        <v>651405516.88999999</v>
      </c>
      <c r="D890" s="17" t="s">
        <v>56</v>
      </c>
      <c r="E890" s="17">
        <v>7</v>
      </c>
    </row>
    <row r="891" spans="2:5">
      <c r="B891" s="37">
        <v>41760</v>
      </c>
      <c r="C891" s="17">
        <v>586473141.58000004</v>
      </c>
      <c r="D891" s="17" t="s">
        <v>57</v>
      </c>
      <c r="E891" s="17">
        <v>8</v>
      </c>
    </row>
    <row r="892" spans="2:5">
      <c r="B892" s="37">
        <v>41760</v>
      </c>
      <c r="C892" s="17">
        <v>585060774.85000002</v>
      </c>
      <c r="D892" s="17" t="s">
        <v>54</v>
      </c>
      <c r="E892" s="17">
        <v>9</v>
      </c>
    </row>
    <row r="893" spans="2:5">
      <c r="B893" s="37">
        <v>41760</v>
      </c>
      <c r="C893" s="17">
        <v>527369639.56999999</v>
      </c>
      <c r="D893" s="17" t="s">
        <v>23</v>
      </c>
      <c r="E893" s="17">
        <v>10</v>
      </c>
    </row>
    <row r="894" spans="2:5">
      <c r="B894" s="37">
        <v>41791</v>
      </c>
      <c r="C894" s="17">
        <v>4119664079.48</v>
      </c>
      <c r="D894" s="17" t="s">
        <v>11</v>
      </c>
      <c r="E894" s="17">
        <v>1</v>
      </c>
    </row>
    <row r="895" spans="2:5">
      <c r="B895" s="37">
        <v>41791</v>
      </c>
      <c r="C895" s="17">
        <v>1822050222.5</v>
      </c>
      <c r="D895" s="17" t="s">
        <v>46</v>
      </c>
      <c r="E895" s="17">
        <v>2</v>
      </c>
    </row>
    <row r="896" spans="2:5">
      <c r="B896" s="37">
        <v>41791</v>
      </c>
      <c r="C896" s="17">
        <v>1598605020.27</v>
      </c>
      <c r="D896" s="17" t="s">
        <v>13</v>
      </c>
      <c r="E896" s="17">
        <v>3</v>
      </c>
    </row>
    <row r="897" spans="2:5">
      <c r="B897" s="37">
        <v>41791</v>
      </c>
      <c r="C897" s="17">
        <v>1290844061.5799999</v>
      </c>
      <c r="D897" s="17" t="s">
        <v>55</v>
      </c>
      <c r="E897" s="17">
        <v>4</v>
      </c>
    </row>
    <row r="898" spans="2:5">
      <c r="B898" s="37">
        <v>41791</v>
      </c>
      <c r="C898" s="17">
        <v>867253770.96000004</v>
      </c>
      <c r="D898" s="17" t="s">
        <v>10</v>
      </c>
      <c r="E898" s="17">
        <v>5</v>
      </c>
    </row>
    <row r="899" spans="2:5">
      <c r="B899" s="37">
        <v>41791</v>
      </c>
      <c r="C899" s="17">
        <v>774995345.41999996</v>
      </c>
      <c r="D899" s="17" t="s">
        <v>54</v>
      </c>
      <c r="E899" s="17">
        <v>6</v>
      </c>
    </row>
    <row r="900" spans="2:5">
      <c r="B900" s="37">
        <v>41791</v>
      </c>
      <c r="C900" s="17">
        <v>721574813.37</v>
      </c>
      <c r="D900" s="17" t="s">
        <v>57</v>
      </c>
      <c r="E900" s="17">
        <v>7</v>
      </c>
    </row>
    <row r="901" spans="2:5">
      <c r="B901" s="37">
        <v>41791</v>
      </c>
      <c r="C901" s="17">
        <v>630908308.03999996</v>
      </c>
      <c r="D901" s="17" t="s">
        <v>4</v>
      </c>
      <c r="E901" s="17">
        <v>8</v>
      </c>
    </row>
    <row r="902" spans="2:5">
      <c r="B902" s="37">
        <v>41791</v>
      </c>
      <c r="C902" s="17">
        <v>624925467.57000005</v>
      </c>
      <c r="D902" s="17" t="s">
        <v>56</v>
      </c>
      <c r="E902" s="17">
        <v>9</v>
      </c>
    </row>
    <row r="903" spans="2:5">
      <c r="B903" s="37">
        <v>41791</v>
      </c>
      <c r="C903" s="17">
        <v>597894157.63999999</v>
      </c>
      <c r="D903" s="17" t="s">
        <v>23</v>
      </c>
      <c r="E903" s="17">
        <v>10</v>
      </c>
    </row>
    <row r="904" spans="2:5">
      <c r="B904" s="37">
        <v>41821</v>
      </c>
      <c r="C904" s="17">
        <v>4404846709.1300001</v>
      </c>
      <c r="D904" s="17" t="s">
        <v>11</v>
      </c>
      <c r="E904" s="17">
        <v>1</v>
      </c>
    </row>
    <row r="905" spans="2:5">
      <c r="B905" s="37">
        <v>41821</v>
      </c>
      <c r="C905" s="17">
        <v>2307113272.52</v>
      </c>
      <c r="D905" s="17" t="s">
        <v>46</v>
      </c>
      <c r="E905" s="17">
        <v>2</v>
      </c>
    </row>
    <row r="906" spans="2:5">
      <c r="B906" s="37">
        <v>41821</v>
      </c>
      <c r="C906" s="17">
        <v>1448787273.48</v>
      </c>
      <c r="D906" s="17" t="s">
        <v>55</v>
      </c>
      <c r="E906" s="17">
        <v>3</v>
      </c>
    </row>
    <row r="907" spans="2:5">
      <c r="B907" s="37">
        <v>41821</v>
      </c>
      <c r="C907" s="17">
        <v>1266367352.4300001</v>
      </c>
      <c r="D907" s="17" t="s">
        <v>13</v>
      </c>
      <c r="E907" s="17">
        <v>4</v>
      </c>
    </row>
    <row r="908" spans="2:5">
      <c r="B908" s="37">
        <v>41821</v>
      </c>
      <c r="C908" s="17">
        <v>938242250.29999995</v>
      </c>
      <c r="D908" s="17" t="s">
        <v>57</v>
      </c>
      <c r="E908" s="17">
        <v>5</v>
      </c>
    </row>
    <row r="909" spans="2:5">
      <c r="B909" s="37">
        <v>41821</v>
      </c>
      <c r="C909" s="17">
        <v>826115611.47000003</v>
      </c>
      <c r="D909" s="17" t="s">
        <v>54</v>
      </c>
      <c r="E909" s="17">
        <v>6</v>
      </c>
    </row>
    <row r="910" spans="2:5">
      <c r="B910" s="37">
        <v>41821</v>
      </c>
      <c r="C910" s="17">
        <v>825523368.76999998</v>
      </c>
      <c r="D910" s="17" t="s">
        <v>23</v>
      </c>
      <c r="E910" s="17">
        <v>7</v>
      </c>
    </row>
    <row r="911" spans="2:5">
      <c r="B911" s="37">
        <v>41821</v>
      </c>
      <c r="C911" s="17">
        <v>768797131.27999997</v>
      </c>
      <c r="D911" s="17" t="s">
        <v>34</v>
      </c>
      <c r="E911" s="17">
        <v>8</v>
      </c>
    </row>
    <row r="912" spans="2:5">
      <c r="B912" s="37">
        <v>41821</v>
      </c>
      <c r="C912" s="17">
        <v>726777824.34000003</v>
      </c>
      <c r="D912" s="17" t="s">
        <v>10</v>
      </c>
      <c r="E912" s="17">
        <v>9</v>
      </c>
    </row>
    <row r="913" spans="2:5">
      <c r="B913" s="37">
        <v>41821</v>
      </c>
      <c r="C913" s="17">
        <v>667872707.69000006</v>
      </c>
      <c r="D913" s="17" t="s">
        <v>113</v>
      </c>
      <c r="E913" s="17">
        <v>10</v>
      </c>
    </row>
    <row r="914" spans="2:5">
      <c r="B914" s="37">
        <v>41852</v>
      </c>
      <c r="C914" s="17">
        <v>4351012772.2799997</v>
      </c>
      <c r="D914" s="17" t="s">
        <v>11</v>
      </c>
      <c r="E914" s="17">
        <v>1</v>
      </c>
    </row>
    <row r="915" spans="2:5">
      <c r="B915" s="37">
        <v>41852</v>
      </c>
      <c r="C915" s="17">
        <v>2194803673.75</v>
      </c>
      <c r="D915" s="17" t="s">
        <v>46</v>
      </c>
      <c r="E915" s="17">
        <v>2</v>
      </c>
    </row>
    <row r="916" spans="2:5">
      <c r="B916" s="37">
        <v>41852</v>
      </c>
      <c r="C916" s="17">
        <v>1540916705.1800001</v>
      </c>
      <c r="D916" s="17" t="s">
        <v>55</v>
      </c>
      <c r="E916" s="17">
        <v>3</v>
      </c>
    </row>
    <row r="917" spans="2:5">
      <c r="B917" s="37">
        <v>41852</v>
      </c>
      <c r="C917" s="17">
        <v>1176366465.74</v>
      </c>
      <c r="D917" s="17" t="s">
        <v>13</v>
      </c>
      <c r="E917" s="17">
        <v>4</v>
      </c>
    </row>
    <row r="918" spans="2:5">
      <c r="B918" s="37">
        <v>41852</v>
      </c>
      <c r="C918" s="17">
        <v>922664270</v>
      </c>
      <c r="D918" s="17" t="s">
        <v>54</v>
      </c>
      <c r="E918" s="17">
        <v>5</v>
      </c>
    </row>
    <row r="919" spans="2:5">
      <c r="B919" s="37">
        <v>41852</v>
      </c>
      <c r="C919" s="17">
        <v>787559163.98000002</v>
      </c>
      <c r="D919" s="17" t="s">
        <v>10</v>
      </c>
      <c r="E919" s="17">
        <v>6</v>
      </c>
    </row>
    <row r="920" spans="2:5">
      <c r="B920" s="37">
        <v>41852</v>
      </c>
      <c r="C920" s="17">
        <v>746652178.22000003</v>
      </c>
      <c r="D920" s="17" t="s">
        <v>34</v>
      </c>
      <c r="E920" s="17">
        <v>7</v>
      </c>
    </row>
    <row r="921" spans="2:5">
      <c r="B921" s="37">
        <v>41852</v>
      </c>
      <c r="C921" s="17">
        <v>696445840.41999996</v>
      </c>
      <c r="D921" s="17" t="s">
        <v>57</v>
      </c>
      <c r="E921" s="17">
        <v>8</v>
      </c>
    </row>
    <row r="922" spans="2:5">
      <c r="B922" s="37">
        <v>41852</v>
      </c>
      <c r="C922" s="17">
        <v>689637671.97000003</v>
      </c>
      <c r="D922" s="17" t="s">
        <v>56</v>
      </c>
      <c r="E922" s="17">
        <v>9</v>
      </c>
    </row>
    <row r="923" spans="2:5">
      <c r="B923" s="37">
        <v>41852</v>
      </c>
      <c r="C923" s="17">
        <v>685239103.03999996</v>
      </c>
      <c r="D923" s="17" t="s">
        <v>113</v>
      </c>
      <c r="E923" s="17">
        <v>10</v>
      </c>
    </row>
    <row r="924" spans="2:5">
      <c r="B924" s="37">
        <v>41883</v>
      </c>
      <c r="C924" s="17">
        <v>4282578991.9000001</v>
      </c>
      <c r="D924" s="17" t="s">
        <v>11</v>
      </c>
      <c r="E924" s="17">
        <v>1</v>
      </c>
    </row>
    <row r="925" spans="2:5">
      <c r="B925" s="37">
        <v>41883</v>
      </c>
      <c r="C925" s="17">
        <v>3595254259.9400001</v>
      </c>
      <c r="D925" s="17" t="s">
        <v>6</v>
      </c>
      <c r="E925" s="17">
        <v>2</v>
      </c>
    </row>
    <row r="926" spans="2:5">
      <c r="B926" s="37">
        <v>41883</v>
      </c>
      <c r="C926" s="17">
        <v>2814510250.8400002</v>
      </c>
      <c r="D926" s="17" t="s">
        <v>34</v>
      </c>
      <c r="E926" s="17">
        <v>3</v>
      </c>
    </row>
    <row r="927" spans="2:5">
      <c r="B927" s="37">
        <v>41883</v>
      </c>
      <c r="C927" s="17">
        <v>2398305642.0999999</v>
      </c>
      <c r="D927" s="17" t="s">
        <v>46</v>
      </c>
      <c r="E927" s="17">
        <v>4</v>
      </c>
    </row>
    <row r="928" spans="2:5">
      <c r="B928" s="37">
        <v>41883</v>
      </c>
      <c r="C928" s="17">
        <v>2100477876</v>
      </c>
      <c r="D928" s="17" t="s">
        <v>13</v>
      </c>
      <c r="E928" s="17">
        <v>5</v>
      </c>
    </row>
    <row r="929" spans="2:5">
      <c r="B929" s="37">
        <v>41883</v>
      </c>
      <c r="C929" s="17">
        <v>1540397265.4100001</v>
      </c>
      <c r="D929" s="17" t="s">
        <v>55</v>
      </c>
      <c r="E929" s="17">
        <v>6</v>
      </c>
    </row>
    <row r="930" spans="2:5">
      <c r="B930" s="37">
        <v>41883</v>
      </c>
      <c r="C930" s="17">
        <v>1153583979.72</v>
      </c>
      <c r="D930" s="17" t="s">
        <v>54</v>
      </c>
      <c r="E930" s="17">
        <v>7</v>
      </c>
    </row>
    <row r="931" spans="2:5">
      <c r="B931" s="37">
        <v>41883</v>
      </c>
      <c r="C931" s="17">
        <v>973320000</v>
      </c>
      <c r="D931" s="17" t="s">
        <v>30</v>
      </c>
      <c r="E931" s="17">
        <v>8</v>
      </c>
    </row>
    <row r="932" spans="2:5">
      <c r="B932" s="37">
        <v>41883</v>
      </c>
      <c r="C932" s="17">
        <v>874596962.26999998</v>
      </c>
      <c r="D932" s="17" t="s">
        <v>10</v>
      </c>
      <c r="E932" s="17">
        <v>9</v>
      </c>
    </row>
    <row r="933" spans="2:5">
      <c r="B933" s="37">
        <v>41883</v>
      </c>
      <c r="C933" s="17">
        <v>685504145.92999995</v>
      </c>
      <c r="D933" s="17" t="s">
        <v>56</v>
      </c>
      <c r="E933" s="17">
        <v>10</v>
      </c>
    </row>
    <row r="934" spans="2:5">
      <c r="B934" s="37">
        <v>41913</v>
      </c>
      <c r="C934" s="17">
        <v>4328284495.8800001</v>
      </c>
      <c r="D934" s="17" t="s">
        <v>11</v>
      </c>
      <c r="E934" s="17">
        <v>1</v>
      </c>
    </row>
    <row r="935" spans="2:5">
      <c r="B935" s="37">
        <v>41913</v>
      </c>
      <c r="C935" s="17">
        <v>2885476838.1799998</v>
      </c>
      <c r="D935" s="17" t="s">
        <v>13</v>
      </c>
      <c r="E935" s="17">
        <v>2</v>
      </c>
    </row>
    <row r="936" spans="2:5">
      <c r="B936" s="37">
        <v>41913</v>
      </c>
      <c r="C936" s="17">
        <v>2043426912.0999999</v>
      </c>
      <c r="D936" s="17" t="s">
        <v>46</v>
      </c>
      <c r="E936" s="17">
        <v>3</v>
      </c>
    </row>
    <row r="937" spans="2:5">
      <c r="B937" s="37">
        <v>41913</v>
      </c>
      <c r="C937" s="17">
        <v>1584140311.48</v>
      </c>
      <c r="D937" s="17" t="s">
        <v>55</v>
      </c>
      <c r="E937" s="17">
        <v>4</v>
      </c>
    </row>
    <row r="938" spans="2:5">
      <c r="B938" s="37">
        <v>41913</v>
      </c>
      <c r="C938" s="17">
        <v>1181205153.1800001</v>
      </c>
      <c r="D938" s="17" t="s">
        <v>56</v>
      </c>
      <c r="E938" s="17">
        <v>5</v>
      </c>
    </row>
    <row r="939" spans="2:5">
      <c r="B939" s="37">
        <v>41913</v>
      </c>
      <c r="C939" s="17">
        <v>1076952006.8</v>
      </c>
      <c r="D939" s="17" t="s">
        <v>113</v>
      </c>
      <c r="E939" s="17">
        <v>6</v>
      </c>
    </row>
    <row r="940" spans="2:5">
      <c r="B940" s="37">
        <v>41913</v>
      </c>
      <c r="C940" s="17">
        <v>978700583.25</v>
      </c>
      <c r="D940" s="17" t="s">
        <v>54</v>
      </c>
      <c r="E940" s="17">
        <v>7</v>
      </c>
    </row>
    <row r="941" spans="2:5">
      <c r="B941" s="37">
        <v>41913</v>
      </c>
      <c r="C941" s="17">
        <v>915816431.82000005</v>
      </c>
      <c r="D941" s="17" t="s">
        <v>34</v>
      </c>
      <c r="E941" s="17">
        <v>8</v>
      </c>
    </row>
    <row r="942" spans="2:5">
      <c r="B942" s="37">
        <v>41913</v>
      </c>
      <c r="C942" s="17">
        <v>880893025.72000003</v>
      </c>
      <c r="D942" s="17" t="s">
        <v>10</v>
      </c>
      <c r="E942" s="17">
        <v>9</v>
      </c>
    </row>
    <row r="943" spans="2:5">
      <c r="B943" s="37">
        <v>41913</v>
      </c>
      <c r="C943" s="17">
        <v>716394907.08000004</v>
      </c>
      <c r="D943" s="17" t="s">
        <v>23</v>
      </c>
      <c r="E943" s="17">
        <v>10</v>
      </c>
    </row>
    <row r="944" spans="2:5">
      <c r="B944" s="37">
        <v>41944</v>
      </c>
      <c r="C944" s="17">
        <v>4110188403.46</v>
      </c>
      <c r="D944" s="17" t="s">
        <v>6</v>
      </c>
      <c r="E944" s="17">
        <v>1</v>
      </c>
    </row>
    <row r="945" spans="2:5">
      <c r="B945" s="37">
        <v>41944</v>
      </c>
      <c r="C945" s="17">
        <v>3849600798.1199999</v>
      </c>
      <c r="D945" s="17" t="s">
        <v>11</v>
      </c>
      <c r="E945" s="17">
        <v>2</v>
      </c>
    </row>
    <row r="946" spans="2:5">
      <c r="B946" s="37">
        <v>41944</v>
      </c>
      <c r="C946" s="17">
        <v>3015072775.0799999</v>
      </c>
      <c r="D946" s="17" t="s">
        <v>13</v>
      </c>
      <c r="E946" s="17">
        <v>3</v>
      </c>
    </row>
    <row r="947" spans="2:5">
      <c r="B947" s="37">
        <v>41944</v>
      </c>
      <c r="C947" s="17">
        <v>2775970767.79</v>
      </c>
      <c r="D947" s="17" t="s">
        <v>46</v>
      </c>
      <c r="E947" s="17">
        <v>4</v>
      </c>
    </row>
    <row r="948" spans="2:5">
      <c r="B948" s="37">
        <v>41944</v>
      </c>
      <c r="C948" s="17">
        <v>1393087502.71</v>
      </c>
      <c r="D948" s="17" t="s">
        <v>55</v>
      </c>
      <c r="E948" s="17">
        <v>5</v>
      </c>
    </row>
    <row r="949" spans="2:5">
      <c r="B949" s="37">
        <v>41944</v>
      </c>
      <c r="C949" s="17">
        <v>998050265.50999999</v>
      </c>
      <c r="D949" s="17" t="s">
        <v>56</v>
      </c>
      <c r="E949" s="17">
        <v>6</v>
      </c>
    </row>
    <row r="950" spans="2:5">
      <c r="B950" s="37">
        <v>41944</v>
      </c>
      <c r="C950" s="17">
        <v>810311187.20000005</v>
      </c>
      <c r="D950" s="17" t="s">
        <v>54</v>
      </c>
      <c r="E950" s="17">
        <v>7</v>
      </c>
    </row>
    <row r="951" spans="2:5">
      <c r="B951" s="37">
        <v>41944</v>
      </c>
      <c r="C951" s="17">
        <v>773265401.87</v>
      </c>
      <c r="D951" s="17" t="s">
        <v>34</v>
      </c>
      <c r="E951" s="17">
        <v>8</v>
      </c>
    </row>
    <row r="952" spans="2:5">
      <c r="B952" s="37">
        <v>41944</v>
      </c>
      <c r="C952" s="17">
        <v>718640760.32000005</v>
      </c>
      <c r="D952" s="17" t="s">
        <v>10</v>
      </c>
      <c r="E952" s="17">
        <v>9</v>
      </c>
    </row>
    <row r="953" spans="2:5">
      <c r="B953" s="37">
        <v>41944</v>
      </c>
      <c r="C953" s="17">
        <v>606652063.09000003</v>
      </c>
      <c r="D953" s="17" t="s">
        <v>4</v>
      </c>
      <c r="E953" s="17">
        <v>10</v>
      </c>
    </row>
    <row r="954" spans="2:5">
      <c r="B954" s="37">
        <v>41974</v>
      </c>
      <c r="C954" s="17">
        <v>3928850698.1300001</v>
      </c>
      <c r="D954" s="17" t="s">
        <v>11</v>
      </c>
      <c r="E954" s="17">
        <v>1</v>
      </c>
    </row>
    <row r="955" spans="2:5">
      <c r="B955" s="37">
        <v>41974</v>
      </c>
      <c r="C955" s="17">
        <v>2913297453.96</v>
      </c>
      <c r="D955" s="17" t="s">
        <v>4</v>
      </c>
      <c r="E955" s="17">
        <v>2</v>
      </c>
    </row>
    <row r="956" spans="2:5">
      <c r="B956" s="37">
        <v>41974</v>
      </c>
      <c r="C956" s="17">
        <v>2066146511.47</v>
      </c>
      <c r="D956" s="17" t="s">
        <v>46</v>
      </c>
      <c r="E956" s="17">
        <v>3</v>
      </c>
    </row>
    <row r="957" spans="2:5">
      <c r="B957" s="37">
        <v>41974</v>
      </c>
      <c r="C957" s="17">
        <v>1879715467.6099999</v>
      </c>
      <c r="D957" s="17" t="s">
        <v>56</v>
      </c>
      <c r="E957" s="17">
        <v>4</v>
      </c>
    </row>
    <row r="958" spans="2:5">
      <c r="B958" s="37">
        <v>41974</v>
      </c>
      <c r="C958" s="17">
        <v>1404476774.0999999</v>
      </c>
      <c r="D958" s="17" t="s">
        <v>113</v>
      </c>
      <c r="E958" s="17">
        <v>5</v>
      </c>
    </row>
    <row r="959" spans="2:5">
      <c r="B959" s="37">
        <v>41974</v>
      </c>
      <c r="C959" s="17">
        <v>1117301751.3599999</v>
      </c>
      <c r="D959" s="17" t="s">
        <v>10</v>
      </c>
      <c r="E959" s="17">
        <v>6</v>
      </c>
    </row>
    <row r="960" spans="2:5">
      <c r="B960" s="37">
        <v>41974</v>
      </c>
      <c r="C960" s="17">
        <v>1076041614.8099999</v>
      </c>
      <c r="D960" s="17" t="s">
        <v>55</v>
      </c>
      <c r="E960" s="17">
        <v>7</v>
      </c>
    </row>
    <row r="961" spans="2:5">
      <c r="B961" s="37">
        <v>41974</v>
      </c>
      <c r="C961" s="17">
        <v>960946838.37</v>
      </c>
      <c r="D961" s="17" t="s">
        <v>13</v>
      </c>
      <c r="E961" s="17">
        <v>8</v>
      </c>
    </row>
    <row r="962" spans="2:5">
      <c r="B962" s="37">
        <v>41974</v>
      </c>
      <c r="C962" s="17">
        <v>956205375.35000002</v>
      </c>
      <c r="D962" s="17" t="s">
        <v>54</v>
      </c>
      <c r="E962" s="17">
        <v>9</v>
      </c>
    </row>
    <row r="963" spans="2:5">
      <c r="B963" s="37">
        <v>41974</v>
      </c>
      <c r="C963" s="17">
        <v>666254502</v>
      </c>
      <c r="D963" s="17" t="s">
        <v>17</v>
      </c>
      <c r="E963" s="17">
        <v>10</v>
      </c>
    </row>
    <row r="964" spans="2:5">
      <c r="B964" s="37">
        <v>42005</v>
      </c>
      <c r="C964" s="17">
        <v>5489190091.1700001</v>
      </c>
      <c r="D964" s="17" t="s">
        <v>11</v>
      </c>
      <c r="E964" s="17">
        <v>1</v>
      </c>
    </row>
    <row r="965" spans="2:5">
      <c r="B965" s="37">
        <v>42005</v>
      </c>
      <c r="C965" s="17">
        <v>3191572944.1500001</v>
      </c>
      <c r="D965" s="17" t="s">
        <v>46</v>
      </c>
      <c r="E965" s="17">
        <v>2</v>
      </c>
    </row>
    <row r="966" spans="2:5">
      <c r="B966" s="37">
        <v>42005</v>
      </c>
      <c r="C966" s="17">
        <v>1859953180.3399999</v>
      </c>
      <c r="D966" s="17" t="s">
        <v>13</v>
      </c>
      <c r="E966" s="17">
        <v>3</v>
      </c>
    </row>
    <row r="967" spans="2:5">
      <c r="B967" s="37">
        <v>42005</v>
      </c>
      <c r="C967" s="17">
        <v>1575481438.27</v>
      </c>
      <c r="D967" s="17" t="s">
        <v>56</v>
      </c>
      <c r="E967" s="17">
        <v>4</v>
      </c>
    </row>
    <row r="968" spans="2:5">
      <c r="B968" s="37">
        <v>42005</v>
      </c>
      <c r="C968" s="17">
        <v>1239435764.55</v>
      </c>
      <c r="D968" s="17" t="s">
        <v>55</v>
      </c>
      <c r="E968" s="17">
        <v>5</v>
      </c>
    </row>
    <row r="969" spans="2:5">
      <c r="B969" s="37">
        <v>42005</v>
      </c>
      <c r="C969" s="17">
        <v>908465632.36000001</v>
      </c>
      <c r="D969" s="17" t="s">
        <v>10</v>
      </c>
      <c r="E969" s="17">
        <v>6</v>
      </c>
    </row>
    <row r="970" spans="2:5">
      <c r="B970" s="37">
        <v>42005</v>
      </c>
      <c r="C970" s="17">
        <v>820018959.46000004</v>
      </c>
      <c r="D970" s="17" t="s">
        <v>113</v>
      </c>
      <c r="E970" s="17">
        <v>7</v>
      </c>
    </row>
    <row r="971" spans="2:5">
      <c r="B971" s="37">
        <v>42005</v>
      </c>
      <c r="C971" s="17">
        <v>818350088.14999998</v>
      </c>
      <c r="D971" s="17" t="s">
        <v>34</v>
      </c>
      <c r="E971" s="17">
        <v>8</v>
      </c>
    </row>
    <row r="972" spans="2:5">
      <c r="B972" s="37">
        <v>42005</v>
      </c>
      <c r="C972" s="17">
        <v>727299851.34000003</v>
      </c>
      <c r="D972" s="17" t="s">
        <v>54</v>
      </c>
      <c r="E972" s="17">
        <v>9</v>
      </c>
    </row>
    <row r="973" spans="2:5">
      <c r="B973" s="37">
        <v>42005</v>
      </c>
      <c r="C973" s="17">
        <v>590251975.22000003</v>
      </c>
      <c r="D973" s="17" t="s">
        <v>4</v>
      </c>
      <c r="E973" s="17">
        <v>10</v>
      </c>
    </row>
    <row r="974" spans="2:5">
      <c r="B974" s="37">
        <v>42036</v>
      </c>
      <c r="C974" s="17">
        <v>5063985040.1199999</v>
      </c>
      <c r="D974" s="17" t="s">
        <v>11</v>
      </c>
      <c r="E974" s="17">
        <v>1</v>
      </c>
    </row>
    <row r="975" spans="2:5">
      <c r="B975" s="37">
        <v>42036</v>
      </c>
      <c r="C975" s="17">
        <v>2391607148.8299999</v>
      </c>
      <c r="D975" s="17" t="s">
        <v>46</v>
      </c>
      <c r="E975" s="17">
        <v>2</v>
      </c>
    </row>
    <row r="976" spans="2:5">
      <c r="B976" s="37">
        <v>42036</v>
      </c>
      <c r="C976" s="17">
        <v>1754464295.02</v>
      </c>
      <c r="D976" s="17" t="s">
        <v>13</v>
      </c>
      <c r="E976" s="17">
        <v>3</v>
      </c>
    </row>
    <row r="977" spans="2:5">
      <c r="B977" s="37">
        <v>42036</v>
      </c>
      <c r="C977" s="17">
        <v>1363400170.6300001</v>
      </c>
      <c r="D977" s="17" t="s">
        <v>56</v>
      </c>
      <c r="E977" s="17">
        <v>4</v>
      </c>
    </row>
    <row r="978" spans="2:5">
      <c r="B978" s="37">
        <v>42036</v>
      </c>
      <c r="C978" s="17">
        <v>1098070187.5599999</v>
      </c>
      <c r="D978" s="17" t="s">
        <v>55</v>
      </c>
      <c r="E978" s="17">
        <v>5</v>
      </c>
    </row>
    <row r="979" spans="2:5">
      <c r="B979" s="37">
        <v>42036</v>
      </c>
      <c r="C979" s="17">
        <v>986818665.65999997</v>
      </c>
      <c r="D979" s="17" t="s">
        <v>113</v>
      </c>
      <c r="E979" s="17">
        <v>6</v>
      </c>
    </row>
    <row r="980" spans="2:5">
      <c r="B980" s="37">
        <v>42036</v>
      </c>
      <c r="C980" s="17">
        <v>972342136.94000006</v>
      </c>
      <c r="D980" s="17" t="s">
        <v>10</v>
      </c>
      <c r="E980" s="17">
        <v>7</v>
      </c>
    </row>
    <row r="981" spans="2:5">
      <c r="B981" s="37">
        <v>42036</v>
      </c>
      <c r="C981" s="17">
        <v>917470993.57000005</v>
      </c>
      <c r="D981" s="17" t="s">
        <v>54</v>
      </c>
      <c r="E981" s="17">
        <v>8</v>
      </c>
    </row>
    <row r="982" spans="2:5">
      <c r="B982" s="37">
        <v>42036</v>
      </c>
      <c r="C982" s="17">
        <v>842065425.11000001</v>
      </c>
      <c r="D982" s="17" t="s">
        <v>34</v>
      </c>
      <c r="E982" s="17">
        <v>9</v>
      </c>
    </row>
    <row r="983" spans="2:5">
      <c r="B983" s="37">
        <v>42036</v>
      </c>
      <c r="C983" s="17">
        <v>625784148.74000001</v>
      </c>
      <c r="D983" s="17" t="s">
        <v>23</v>
      </c>
      <c r="E983" s="17">
        <v>10</v>
      </c>
    </row>
    <row r="984" spans="2:5">
      <c r="B984" s="37">
        <v>42064</v>
      </c>
      <c r="C984" s="17">
        <v>4246970201.73</v>
      </c>
      <c r="D984" s="17" t="s">
        <v>11</v>
      </c>
      <c r="E984" s="17">
        <v>1</v>
      </c>
    </row>
    <row r="985" spans="2:5">
      <c r="B985" s="37">
        <v>42064</v>
      </c>
      <c r="C985" s="17">
        <v>4001267869.9400001</v>
      </c>
      <c r="D985" s="17" t="s">
        <v>46</v>
      </c>
      <c r="E985" s="17">
        <v>2</v>
      </c>
    </row>
    <row r="986" spans="2:5">
      <c r="B986" s="37">
        <v>42064</v>
      </c>
      <c r="C986" s="17">
        <v>1662191360.9000001</v>
      </c>
      <c r="D986" s="17" t="s">
        <v>113</v>
      </c>
      <c r="E986" s="17">
        <v>3</v>
      </c>
    </row>
    <row r="987" spans="2:5">
      <c r="B987" s="37">
        <v>42064</v>
      </c>
      <c r="C987" s="17">
        <v>1296799355.3</v>
      </c>
      <c r="D987" s="17" t="s">
        <v>55</v>
      </c>
      <c r="E987" s="17">
        <v>4</v>
      </c>
    </row>
    <row r="988" spans="2:5">
      <c r="B988" s="37">
        <v>42064</v>
      </c>
      <c r="C988" s="17">
        <v>1175126609.49</v>
      </c>
      <c r="D988" s="17" t="s">
        <v>13</v>
      </c>
      <c r="E988" s="17">
        <v>5</v>
      </c>
    </row>
    <row r="989" spans="2:5">
      <c r="B989" s="37">
        <v>42064</v>
      </c>
      <c r="C989" s="17">
        <v>1102188321.1500001</v>
      </c>
      <c r="D989" s="17" t="s">
        <v>56</v>
      </c>
      <c r="E989" s="17">
        <v>6</v>
      </c>
    </row>
    <row r="990" spans="2:5">
      <c r="B990" s="37">
        <v>42064</v>
      </c>
      <c r="C990" s="17">
        <v>1068904418.66</v>
      </c>
      <c r="D990" s="17" t="s">
        <v>10</v>
      </c>
      <c r="E990" s="17">
        <v>7</v>
      </c>
    </row>
    <row r="991" spans="2:5">
      <c r="B991" s="37">
        <v>42064</v>
      </c>
      <c r="C991" s="17">
        <v>985085018.16999996</v>
      </c>
      <c r="D991" s="17" t="s">
        <v>54</v>
      </c>
      <c r="E991" s="17">
        <v>8</v>
      </c>
    </row>
    <row r="992" spans="2:5">
      <c r="B992" s="37">
        <v>42064</v>
      </c>
      <c r="C992" s="17">
        <v>759587215.17999995</v>
      </c>
      <c r="D992" s="17" t="s">
        <v>4</v>
      </c>
      <c r="E992" s="17">
        <v>9</v>
      </c>
    </row>
    <row r="993" spans="2:5">
      <c r="B993" s="37">
        <v>42064</v>
      </c>
      <c r="C993" s="17">
        <v>625428880.38</v>
      </c>
      <c r="D993" s="17" t="s">
        <v>23</v>
      </c>
      <c r="E993" s="17">
        <v>10</v>
      </c>
    </row>
    <row r="994" spans="2:5">
      <c r="B994" s="59">
        <v>42095</v>
      </c>
      <c r="C994" s="60">
        <v>6018108576.21</v>
      </c>
      <c r="D994" s="60" t="s">
        <v>11</v>
      </c>
      <c r="E994" s="60">
        <v>1</v>
      </c>
    </row>
    <row r="995" spans="2:5">
      <c r="B995" s="59">
        <v>42095</v>
      </c>
      <c r="C995" s="60">
        <v>2942739567.1399999</v>
      </c>
      <c r="D995" s="60" t="s">
        <v>46</v>
      </c>
      <c r="E995" s="60">
        <v>2</v>
      </c>
    </row>
    <row r="996" spans="2:5">
      <c r="B996" s="59">
        <v>42095</v>
      </c>
      <c r="C996" s="60">
        <v>1640723673.55</v>
      </c>
      <c r="D996" s="60" t="s">
        <v>113</v>
      </c>
      <c r="E996" s="60">
        <v>3</v>
      </c>
    </row>
    <row r="997" spans="2:5">
      <c r="B997" s="59">
        <v>42095</v>
      </c>
      <c r="C997" s="60">
        <v>1569958762.79</v>
      </c>
      <c r="D997" s="60" t="s">
        <v>55</v>
      </c>
      <c r="E997" s="60">
        <v>4</v>
      </c>
    </row>
    <row r="998" spans="2:5">
      <c r="B998" s="59">
        <v>42095</v>
      </c>
      <c r="C998" s="60">
        <v>1457683039.0799999</v>
      </c>
      <c r="D998" s="60" t="s">
        <v>13</v>
      </c>
      <c r="E998" s="60">
        <v>5</v>
      </c>
    </row>
    <row r="999" spans="2:5">
      <c r="B999" s="59">
        <v>42095</v>
      </c>
      <c r="C999" s="60">
        <v>1037654600.58</v>
      </c>
      <c r="D999" s="60" t="s">
        <v>34</v>
      </c>
      <c r="E999" s="60">
        <v>6</v>
      </c>
    </row>
    <row r="1000" spans="2:5">
      <c r="B1000" s="59">
        <v>42095</v>
      </c>
      <c r="C1000" s="60">
        <v>1016702522.09</v>
      </c>
      <c r="D1000" s="60" t="s">
        <v>10</v>
      </c>
      <c r="E1000" s="60">
        <v>7</v>
      </c>
    </row>
    <row r="1001" spans="2:5">
      <c r="B1001" s="59">
        <v>42095</v>
      </c>
      <c r="C1001" s="60">
        <v>991941266.66999996</v>
      </c>
      <c r="D1001" s="60" t="s">
        <v>54</v>
      </c>
      <c r="E1001" s="60">
        <v>8</v>
      </c>
    </row>
    <row r="1002" spans="2:5">
      <c r="B1002" s="59">
        <v>42095</v>
      </c>
      <c r="C1002" s="60">
        <v>944084402.55999994</v>
      </c>
      <c r="D1002" s="60" t="s">
        <v>56</v>
      </c>
      <c r="E1002" s="60">
        <v>9</v>
      </c>
    </row>
    <row r="1003" spans="2:5">
      <c r="B1003" s="59">
        <v>42095</v>
      </c>
      <c r="C1003" s="60">
        <v>827863000</v>
      </c>
      <c r="D1003" s="60" t="s">
        <v>118</v>
      </c>
      <c r="E1003" s="60">
        <v>10</v>
      </c>
    </row>
    <row r="1004" spans="2:5">
      <c r="B1004" s="37">
        <v>42125</v>
      </c>
      <c r="C1004" s="17">
        <v>6352931391.3199997</v>
      </c>
      <c r="D1004" s="17" t="s">
        <v>11</v>
      </c>
      <c r="E1004" s="17">
        <v>1</v>
      </c>
    </row>
    <row r="1005" spans="2:5">
      <c r="B1005" s="37">
        <v>42125</v>
      </c>
      <c r="C1005" s="17">
        <v>2798725237.3699999</v>
      </c>
      <c r="D1005" s="17" t="s">
        <v>46</v>
      </c>
      <c r="E1005" s="17">
        <v>2</v>
      </c>
    </row>
    <row r="1006" spans="2:5">
      <c r="B1006" s="37">
        <v>42125</v>
      </c>
      <c r="C1006" s="17">
        <v>1577703116.29</v>
      </c>
      <c r="D1006" s="17" t="s">
        <v>113</v>
      </c>
      <c r="E1006" s="17">
        <v>3</v>
      </c>
    </row>
    <row r="1007" spans="2:5">
      <c r="B1007" s="37">
        <v>42125</v>
      </c>
      <c r="C1007" s="17">
        <v>1307933538.6099999</v>
      </c>
      <c r="D1007" s="17" t="s">
        <v>13</v>
      </c>
      <c r="E1007" s="17">
        <v>4</v>
      </c>
    </row>
    <row r="1008" spans="2:5">
      <c r="B1008" s="37">
        <v>42125</v>
      </c>
      <c r="C1008" s="17">
        <v>1264778132.8599999</v>
      </c>
      <c r="D1008" s="17" t="s">
        <v>55</v>
      </c>
      <c r="E1008" s="17">
        <v>5</v>
      </c>
    </row>
    <row r="1009" spans="2:5">
      <c r="B1009" s="37">
        <v>42125</v>
      </c>
      <c r="C1009" s="17">
        <v>918726824.01999998</v>
      </c>
      <c r="D1009" s="17" t="s">
        <v>10</v>
      </c>
      <c r="E1009" s="17">
        <v>6</v>
      </c>
    </row>
    <row r="1010" spans="2:5">
      <c r="B1010" s="37">
        <v>42125</v>
      </c>
      <c r="C1010" s="17">
        <v>883119798.46000004</v>
      </c>
      <c r="D1010" s="17" t="s">
        <v>54</v>
      </c>
      <c r="E1010" s="17">
        <v>7</v>
      </c>
    </row>
    <row r="1011" spans="2:5">
      <c r="B1011" s="37">
        <v>42125</v>
      </c>
      <c r="C1011" s="17">
        <v>855599988.80999994</v>
      </c>
      <c r="D1011" s="17" t="s">
        <v>6</v>
      </c>
      <c r="E1011" s="17">
        <v>8</v>
      </c>
    </row>
    <row r="1012" spans="2:5">
      <c r="B1012" s="37">
        <v>42125</v>
      </c>
      <c r="C1012" s="17">
        <v>849341000</v>
      </c>
      <c r="D1012" s="17" t="s">
        <v>43</v>
      </c>
      <c r="E1012" s="17">
        <v>9</v>
      </c>
    </row>
    <row r="1013" spans="2:5">
      <c r="B1013" s="37">
        <v>42125</v>
      </c>
      <c r="C1013" s="17">
        <v>797647479.84000003</v>
      </c>
      <c r="D1013" s="17" t="s">
        <v>34</v>
      </c>
      <c r="E1013" s="17">
        <v>10</v>
      </c>
    </row>
    <row r="1014" spans="2:5">
      <c r="B1014" s="37">
        <v>42156</v>
      </c>
      <c r="C1014" s="17">
        <v>5813912461.1999998</v>
      </c>
      <c r="D1014" s="17" t="s">
        <v>11</v>
      </c>
      <c r="E1014" s="17">
        <v>1</v>
      </c>
    </row>
    <row r="1015" spans="2:5">
      <c r="B1015" s="37">
        <v>42156</v>
      </c>
      <c r="C1015" s="17">
        <v>2820536650.3600001</v>
      </c>
      <c r="D1015" s="17" t="s">
        <v>46</v>
      </c>
      <c r="E1015" s="17">
        <v>2</v>
      </c>
    </row>
    <row r="1016" spans="2:5">
      <c r="B1016" s="37">
        <v>42156</v>
      </c>
      <c r="C1016" s="17">
        <v>1923227775.6400001</v>
      </c>
      <c r="D1016" s="17" t="s">
        <v>4</v>
      </c>
      <c r="E1016" s="17">
        <v>3</v>
      </c>
    </row>
    <row r="1017" spans="2:5">
      <c r="B1017" s="37">
        <v>42156</v>
      </c>
      <c r="C1017" s="17">
        <v>1613735529.52</v>
      </c>
      <c r="D1017" s="17" t="s">
        <v>113</v>
      </c>
      <c r="E1017" s="17">
        <v>4</v>
      </c>
    </row>
    <row r="1018" spans="2:5">
      <c r="B1018" s="37">
        <v>42156</v>
      </c>
      <c r="C1018" s="17">
        <v>1149723074.47</v>
      </c>
      <c r="D1018" s="17" t="s">
        <v>10</v>
      </c>
      <c r="E1018" s="17">
        <v>5</v>
      </c>
    </row>
    <row r="1019" spans="2:5">
      <c r="B1019" s="37">
        <v>42156</v>
      </c>
      <c r="C1019" s="17">
        <v>984247565</v>
      </c>
      <c r="D1019" s="17" t="s">
        <v>119</v>
      </c>
      <c r="E1019" s="17">
        <v>6</v>
      </c>
    </row>
    <row r="1020" spans="2:5">
      <c r="B1020" s="37">
        <v>42156</v>
      </c>
      <c r="C1020" s="17">
        <v>979107174.38</v>
      </c>
      <c r="D1020" s="17" t="s">
        <v>55</v>
      </c>
      <c r="E1020" s="17">
        <v>7</v>
      </c>
    </row>
    <row r="1021" spans="2:5">
      <c r="B1021" s="37">
        <v>42156</v>
      </c>
      <c r="C1021" s="17">
        <v>899372903.63</v>
      </c>
      <c r="D1021" s="17" t="s">
        <v>34</v>
      </c>
      <c r="E1021" s="17">
        <v>8</v>
      </c>
    </row>
    <row r="1022" spans="2:5">
      <c r="B1022" s="37">
        <v>42156</v>
      </c>
      <c r="C1022" s="17">
        <v>835992204.11000001</v>
      </c>
      <c r="D1022" s="17" t="s">
        <v>13</v>
      </c>
      <c r="E1022" s="17">
        <v>9</v>
      </c>
    </row>
    <row r="1023" spans="2:5">
      <c r="B1023" s="37">
        <v>42156</v>
      </c>
      <c r="C1023" s="17">
        <v>807024817.42999995</v>
      </c>
      <c r="D1023" s="17" t="s">
        <v>54</v>
      </c>
      <c r="E1023" s="17">
        <v>10</v>
      </c>
    </row>
    <row r="1024" spans="2:5">
      <c r="B1024" s="64">
        <v>42186</v>
      </c>
      <c r="C1024" s="65">
        <v>6405337071</v>
      </c>
      <c r="D1024" s="65" t="s">
        <v>11</v>
      </c>
      <c r="E1024" s="65">
        <v>1</v>
      </c>
    </row>
    <row r="1025" spans="2:5">
      <c r="B1025" s="64">
        <v>42186</v>
      </c>
      <c r="C1025" s="65">
        <v>1966661953</v>
      </c>
      <c r="D1025" s="65" t="s">
        <v>46</v>
      </c>
      <c r="E1025" s="65">
        <v>2</v>
      </c>
    </row>
    <row r="1026" spans="2:5">
      <c r="B1026" s="64">
        <v>42186</v>
      </c>
      <c r="C1026" s="65">
        <v>1491094673.8900001</v>
      </c>
      <c r="D1026" s="65" t="s">
        <v>55</v>
      </c>
      <c r="E1026" s="65">
        <v>3</v>
      </c>
    </row>
    <row r="1027" spans="2:5">
      <c r="B1027" s="64">
        <v>42186</v>
      </c>
      <c r="C1027" s="65">
        <v>838666048</v>
      </c>
      <c r="D1027" s="65" t="s">
        <v>34</v>
      </c>
      <c r="E1027" s="65">
        <v>4</v>
      </c>
    </row>
    <row r="1028" spans="2:5">
      <c r="B1028" s="64">
        <v>42186</v>
      </c>
      <c r="C1028" s="65">
        <v>773160494</v>
      </c>
      <c r="D1028" s="65" t="s">
        <v>10</v>
      </c>
      <c r="E1028" s="65">
        <v>5</v>
      </c>
    </row>
    <row r="1029" spans="2:5">
      <c r="B1029" s="64">
        <v>42186</v>
      </c>
      <c r="C1029" s="65">
        <v>729157456</v>
      </c>
      <c r="D1029" s="65" t="s">
        <v>50</v>
      </c>
      <c r="E1029" s="65">
        <v>6</v>
      </c>
    </row>
    <row r="1030" spans="2:5">
      <c r="B1030" s="64">
        <v>42186</v>
      </c>
      <c r="C1030" s="65">
        <v>584100667</v>
      </c>
      <c r="D1030" s="65" t="s">
        <v>120</v>
      </c>
      <c r="E1030" s="65">
        <v>7</v>
      </c>
    </row>
    <row r="1031" spans="2:5">
      <c r="B1031" s="64">
        <v>42186</v>
      </c>
      <c r="C1031" s="65">
        <v>490376991</v>
      </c>
      <c r="D1031" s="65" t="s">
        <v>23</v>
      </c>
      <c r="E1031" s="65">
        <v>8</v>
      </c>
    </row>
    <row r="1032" spans="2:5">
      <c r="B1032" s="64">
        <v>42186</v>
      </c>
      <c r="C1032" s="65">
        <v>438564338</v>
      </c>
      <c r="D1032" s="65" t="s">
        <v>4</v>
      </c>
      <c r="E1032" s="65">
        <v>9</v>
      </c>
    </row>
    <row r="1033" spans="2:5">
      <c r="B1033" s="64">
        <v>42186</v>
      </c>
      <c r="C1033" s="65">
        <v>428720308</v>
      </c>
      <c r="D1033" s="65" t="s">
        <v>13</v>
      </c>
      <c r="E1033" s="65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2015-07-20T14:06:23Z</cp:lastPrinted>
  <dcterms:created xsi:type="dcterms:W3CDTF">2006-09-16T00:00:00Z</dcterms:created>
  <dcterms:modified xsi:type="dcterms:W3CDTF">2015-07-20T18:14:39Z</dcterms:modified>
</cp:coreProperties>
</file>