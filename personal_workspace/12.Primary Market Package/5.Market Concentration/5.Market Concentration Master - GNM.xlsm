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6.xml" ContentType="application/vnd.openxmlformats-officedocument.spreadsheetml.queryTable+xml"/>
  <Override PartName="/xl/tables/table3.xml" ContentType="application/vnd.openxmlformats-officedocument.spreadsheetml.table+xml"/>
  <Override PartName="/xl/queryTables/queryTable7.xml" ContentType="application/vnd.openxmlformats-officedocument.spreadsheetml.queryTable+xml"/>
  <Override PartName="/xl/tables/table4.xml" ContentType="application/vnd.openxmlformats-officedocument.spreadsheetml.table+xml"/>
  <Override PartName="/xl/queryTables/queryTable8.xml" ContentType="application/vnd.openxmlformats-officedocument.spreadsheetml.queryTable+xml"/>
  <Override PartName="/xl/tables/table5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Result Combine" sheetId="17" r:id="rId2"/>
    <sheet name="Result-lag" sheetId="7" r:id="rId3"/>
    <sheet name="Pivot - lag" sheetId="4" r:id="rId4"/>
    <sheet name="Input-lag" sheetId="1" r:id="rId5"/>
    <sheet name="Pivot equal" sheetId="8" r:id="rId6"/>
    <sheet name="Input-equal" sheetId="9" r:id="rId7"/>
  </sheets>
  <functionGroups builtInGroupCount="17"/>
  <externalReferences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CurrentMonth">Report!$U$9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'Pivot equal'!$C$3:$D$105</definedName>
    <definedName name="PivotTable11">'Pivot equal'!$G$3:$H$105</definedName>
    <definedName name="PivotTable12">'Pivot equal'!$K$3:$L$105</definedName>
    <definedName name="_xlnm.Print_Area" localSheetId="0">Report!$B$1:$Q$62</definedName>
    <definedName name="Query_from_Agency" localSheetId="6" hidden="1">'Input-equal'!#REF!</definedName>
    <definedName name="Query_from_Agency_1" localSheetId="6" hidden="1">'Input-equal'!#REF!</definedName>
    <definedName name="Query_from_Agency_4" localSheetId="6" hidden="1">'Input-equal'!$N$3:$O$100</definedName>
    <definedName name="Query_from_Agency_5" localSheetId="6" hidden="1">'Input-equal'!$H$3:$I$102</definedName>
    <definedName name="Query_from_Agency_6" localSheetId="6" hidden="1">'Input-equal'!$B$3:$E$1023</definedName>
    <definedName name="Query_from_Agency_7" localSheetId="6" hidden="1">'Input-equal'!#REF!</definedName>
    <definedName name="Query_from_Agency_8" localSheetId="6" hidden="1">'Input-equal'!$K$3:$L$4</definedName>
    <definedName name="Query_from_Agency_8" localSheetId="1" hidden="1">'Result Combine'!$C$3:$D$100</definedName>
    <definedName name="SaveRatesToDB">Report!$W$1</definedName>
    <definedName name="temp" localSheetId="4">'Input-lag'!$H$3:$I$102</definedName>
    <definedName name="temp_1" localSheetId="3">'Pivot - lag'!#REF!</definedName>
    <definedName name="temp_1" localSheetId="5">'Pivot equal'!#REF!</definedName>
    <definedName name="temp_13" localSheetId="6">'Input-equal'!#REF!</definedName>
    <definedName name="temp_14" localSheetId="6">'Input-equal'!#REF!</definedName>
    <definedName name="temp_17">#REF!</definedName>
    <definedName name="temp_6" localSheetId="4">'Input-lag'!$K$3:$L$102</definedName>
    <definedName name="temp_8" localSheetId="4">'Input-lag'!$N$3:$O$102</definedName>
    <definedName name="temp_9" localSheetId="6">'Input-equal'!#REF!</definedName>
    <definedName name="temp_9" localSheetId="4">'Input-lag'!$B$3:$E$1403</definedName>
  </definedNames>
  <calcPr calcId="145621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U4" i="16" l="1"/>
  <c r="E4" i="17" l="1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K83" i="17" s="1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F24" i="17"/>
  <c r="J24" i="17" s="1"/>
  <c r="F40" i="17"/>
  <c r="J40" i="17" s="1"/>
  <c r="F64" i="17"/>
  <c r="J64" i="17" s="1"/>
  <c r="F65" i="17"/>
  <c r="F88" i="17"/>
  <c r="J88" i="17" s="1"/>
  <c r="F97" i="17"/>
  <c r="G23" i="17"/>
  <c r="K23" i="17" s="1"/>
  <c r="G31" i="17"/>
  <c r="G32" i="17"/>
  <c r="K32" i="17" s="1"/>
  <c r="G48" i="17"/>
  <c r="K48" i="17" s="1"/>
  <c r="G71" i="17"/>
  <c r="K71" i="17" s="1"/>
  <c r="G87" i="17"/>
  <c r="K87" i="17" s="1"/>
  <c r="H22" i="17"/>
  <c r="L22" i="17" s="1"/>
  <c r="H38" i="17"/>
  <c r="L38" i="17" s="1"/>
  <c r="H46" i="17"/>
  <c r="L46" i="17" s="1"/>
  <c r="H70" i="17"/>
  <c r="L70" i="17" s="1"/>
  <c r="H94" i="17"/>
  <c r="L94" i="17" s="1"/>
  <c r="H96" i="17"/>
  <c r="L96" i="17" s="1"/>
  <c r="I4" i="17"/>
  <c r="M4" i="17" s="1"/>
  <c r="I5" i="17"/>
  <c r="M5" i="17" s="1"/>
  <c r="I6" i="17"/>
  <c r="M6" i="17" s="1"/>
  <c r="I7" i="17"/>
  <c r="I8" i="17"/>
  <c r="M8" i="17" s="1"/>
  <c r="I9" i="17"/>
  <c r="I10" i="17"/>
  <c r="I11" i="17"/>
  <c r="I12" i="17"/>
  <c r="M12" i="17" s="1"/>
  <c r="I13" i="17"/>
  <c r="M13" i="17" s="1"/>
  <c r="I14" i="17"/>
  <c r="M14" i="17" s="1"/>
  <c r="I15" i="17"/>
  <c r="I16" i="17"/>
  <c r="M16" i="17" s="1"/>
  <c r="I17" i="17"/>
  <c r="M17" i="17" s="1"/>
  <c r="I18" i="17"/>
  <c r="M18" i="17" s="1"/>
  <c r="I19" i="17"/>
  <c r="I20" i="17"/>
  <c r="I21" i="17"/>
  <c r="M21" i="17" s="1"/>
  <c r="I22" i="17"/>
  <c r="M22" i="17" s="1"/>
  <c r="I23" i="17"/>
  <c r="I24" i="17"/>
  <c r="M24" i="17" s="1"/>
  <c r="I25" i="17"/>
  <c r="I26" i="17"/>
  <c r="M26" i="17" s="1"/>
  <c r="I27" i="17"/>
  <c r="I28" i="17"/>
  <c r="M28" i="17" s="1"/>
  <c r="I29" i="17"/>
  <c r="M29" i="17" s="1"/>
  <c r="I30" i="17"/>
  <c r="M30" i="17" s="1"/>
  <c r="I31" i="17"/>
  <c r="I32" i="17"/>
  <c r="M32" i="17" s="1"/>
  <c r="I33" i="17"/>
  <c r="I34" i="17"/>
  <c r="I35" i="17"/>
  <c r="I36" i="17"/>
  <c r="I37" i="17"/>
  <c r="M37" i="17" s="1"/>
  <c r="I38" i="17"/>
  <c r="M38" i="17" s="1"/>
  <c r="I39" i="17"/>
  <c r="I40" i="17"/>
  <c r="M40" i="17" s="1"/>
  <c r="I41" i="17"/>
  <c r="I42" i="17"/>
  <c r="M42" i="17" s="1"/>
  <c r="I43" i="17"/>
  <c r="M43" i="17" s="1"/>
  <c r="I44" i="17"/>
  <c r="I45" i="17"/>
  <c r="M45" i="17" s="1"/>
  <c r="I46" i="17"/>
  <c r="M46" i="17" s="1"/>
  <c r="I47" i="17"/>
  <c r="I48" i="17"/>
  <c r="M48" i="17" s="1"/>
  <c r="I49" i="17"/>
  <c r="I50" i="17"/>
  <c r="I51" i="17"/>
  <c r="M51" i="17" s="1"/>
  <c r="I52" i="17"/>
  <c r="M52" i="17" s="1"/>
  <c r="I53" i="17"/>
  <c r="M53" i="17" s="1"/>
  <c r="I54" i="17"/>
  <c r="M54" i="17" s="1"/>
  <c r="I55" i="17"/>
  <c r="I56" i="17"/>
  <c r="M56" i="17" s="1"/>
  <c r="I57" i="17"/>
  <c r="I58" i="17"/>
  <c r="I59" i="17"/>
  <c r="I60" i="17"/>
  <c r="M60" i="17" s="1"/>
  <c r="I61" i="17"/>
  <c r="M61" i="17" s="1"/>
  <c r="I62" i="17"/>
  <c r="M62" i="17" s="1"/>
  <c r="I63" i="17"/>
  <c r="I64" i="17"/>
  <c r="M64" i="17" s="1"/>
  <c r="I65" i="17"/>
  <c r="I66" i="17"/>
  <c r="M66" i="17" s="1"/>
  <c r="I67" i="17"/>
  <c r="I68" i="17"/>
  <c r="M68" i="17" s="1"/>
  <c r="I69" i="17"/>
  <c r="M69" i="17" s="1"/>
  <c r="I70" i="17"/>
  <c r="M70" i="17" s="1"/>
  <c r="I71" i="17"/>
  <c r="I72" i="17"/>
  <c r="M72" i="17" s="1"/>
  <c r="I73" i="17"/>
  <c r="I74" i="17"/>
  <c r="I75" i="17"/>
  <c r="I76" i="17"/>
  <c r="M76" i="17" s="1"/>
  <c r="I77" i="17"/>
  <c r="M77" i="17" s="1"/>
  <c r="I78" i="17"/>
  <c r="M78" i="17" s="1"/>
  <c r="I79" i="17"/>
  <c r="I80" i="17"/>
  <c r="M80" i="17" s="1"/>
  <c r="I81" i="17"/>
  <c r="I82" i="17"/>
  <c r="M82" i="17" s="1"/>
  <c r="I83" i="17"/>
  <c r="I84" i="17"/>
  <c r="I85" i="17"/>
  <c r="M85" i="17" s="1"/>
  <c r="I86" i="17"/>
  <c r="M86" i="17" s="1"/>
  <c r="I87" i="17"/>
  <c r="I88" i="17"/>
  <c r="I89" i="17"/>
  <c r="I90" i="17"/>
  <c r="M90" i="17" s="1"/>
  <c r="I91" i="17"/>
  <c r="M91" i="17" s="1"/>
  <c r="I92" i="17"/>
  <c r="M92" i="17" s="1"/>
  <c r="I93" i="17"/>
  <c r="M93" i="17" s="1"/>
  <c r="I94" i="17"/>
  <c r="M94" i="17" s="1"/>
  <c r="I95" i="17"/>
  <c r="I96" i="17"/>
  <c r="M96" i="17" s="1"/>
  <c r="I97" i="17"/>
  <c r="I98" i="17"/>
  <c r="I99" i="17"/>
  <c r="I100" i="17"/>
  <c r="M41" i="17"/>
  <c r="M49" i="17"/>
  <c r="M88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P4" i="9"/>
  <c r="P5" i="9"/>
  <c r="F5" i="17" s="1"/>
  <c r="J5" i="17" s="1"/>
  <c r="P6" i="9"/>
  <c r="P7" i="9"/>
  <c r="F7" i="17" s="1"/>
  <c r="P8" i="9"/>
  <c r="F8" i="17" s="1"/>
  <c r="J8" i="17" s="1"/>
  <c r="P9" i="9"/>
  <c r="U9" i="9" s="1"/>
  <c r="P10" i="9"/>
  <c r="U10" i="9" s="1"/>
  <c r="P11" i="9"/>
  <c r="U11" i="9" s="1"/>
  <c r="P12" i="9"/>
  <c r="P13" i="9"/>
  <c r="F13" i="17" s="1"/>
  <c r="J13" i="17" s="1"/>
  <c r="P14" i="9"/>
  <c r="F14" i="17" s="1"/>
  <c r="J14" i="17" s="1"/>
  <c r="P15" i="9"/>
  <c r="F15" i="17" s="1"/>
  <c r="P16" i="9"/>
  <c r="F16" i="17" s="1"/>
  <c r="J16" i="17" s="1"/>
  <c r="P17" i="9"/>
  <c r="U17" i="9" s="1"/>
  <c r="P18" i="9"/>
  <c r="U18" i="9" s="1"/>
  <c r="P19" i="9"/>
  <c r="U19" i="9" s="1"/>
  <c r="P20" i="9"/>
  <c r="F20" i="17" s="1"/>
  <c r="J20" i="17" s="1"/>
  <c r="P21" i="9"/>
  <c r="F21" i="17" s="1"/>
  <c r="J21" i="17" s="1"/>
  <c r="P22" i="9"/>
  <c r="P23" i="9"/>
  <c r="F23" i="17" s="1"/>
  <c r="P24" i="9"/>
  <c r="P25" i="9"/>
  <c r="U25" i="9" s="1"/>
  <c r="P26" i="9"/>
  <c r="U26" i="9" s="1"/>
  <c r="P27" i="9"/>
  <c r="U27" i="9" s="1"/>
  <c r="P28" i="9"/>
  <c r="F28" i="17" s="1"/>
  <c r="J28" i="17" s="1"/>
  <c r="P29" i="9"/>
  <c r="F29" i="17" s="1"/>
  <c r="J29" i="17" s="1"/>
  <c r="P30" i="9"/>
  <c r="F30" i="17" s="1"/>
  <c r="J30" i="17" s="1"/>
  <c r="P31" i="9"/>
  <c r="F31" i="17" s="1"/>
  <c r="P32" i="9"/>
  <c r="F32" i="17" s="1"/>
  <c r="J32" i="17" s="1"/>
  <c r="P33" i="9"/>
  <c r="U33" i="9" s="1"/>
  <c r="P34" i="9"/>
  <c r="U34" i="9" s="1"/>
  <c r="P35" i="9"/>
  <c r="U35" i="9" s="1"/>
  <c r="P36" i="9"/>
  <c r="P37" i="9"/>
  <c r="F37" i="17" s="1"/>
  <c r="J37" i="17" s="1"/>
  <c r="P38" i="9"/>
  <c r="P39" i="9"/>
  <c r="F39" i="17" s="1"/>
  <c r="P40" i="9"/>
  <c r="P41" i="9"/>
  <c r="U41" i="9" s="1"/>
  <c r="P42" i="9"/>
  <c r="U42" i="9" s="1"/>
  <c r="P43" i="9"/>
  <c r="U43" i="9" s="1"/>
  <c r="P44" i="9"/>
  <c r="P45" i="9"/>
  <c r="F45" i="17" s="1"/>
  <c r="J45" i="17" s="1"/>
  <c r="P46" i="9"/>
  <c r="F46" i="17" s="1"/>
  <c r="J46" i="17" s="1"/>
  <c r="P47" i="9"/>
  <c r="F47" i="17" s="1"/>
  <c r="P48" i="9"/>
  <c r="F48" i="17" s="1"/>
  <c r="J48" i="17" s="1"/>
  <c r="P49" i="9"/>
  <c r="U49" i="9" s="1"/>
  <c r="P50" i="9"/>
  <c r="U50" i="9" s="1"/>
  <c r="P51" i="9"/>
  <c r="U51" i="9" s="1"/>
  <c r="P52" i="9"/>
  <c r="F52" i="17" s="1"/>
  <c r="J52" i="17" s="1"/>
  <c r="P53" i="9"/>
  <c r="F53" i="17" s="1"/>
  <c r="J53" i="17" s="1"/>
  <c r="P54" i="9"/>
  <c r="P55" i="9"/>
  <c r="F55" i="17" s="1"/>
  <c r="P56" i="9"/>
  <c r="F56" i="17" s="1"/>
  <c r="J56" i="17" s="1"/>
  <c r="P57" i="9"/>
  <c r="U57" i="9" s="1"/>
  <c r="P58" i="9"/>
  <c r="U58" i="9" s="1"/>
  <c r="P59" i="9"/>
  <c r="U59" i="9" s="1"/>
  <c r="P60" i="9"/>
  <c r="F60" i="17" s="1"/>
  <c r="J60" i="17" s="1"/>
  <c r="P61" i="9"/>
  <c r="F61" i="17" s="1"/>
  <c r="J61" i="17" s="1"/>
  <c r="P62" i="9"/>
  <c r="F62" i="17" s="1"/>
  <c r="J62" i="17" s="1"/>
  <c r="P63" i="9"/>
  <c r="F63" i="17" s="1"/>
  <c r="P64" i="9"/>
  <c r="P65" i="9"/>
  <c r="U65" i="9" s="1"/>
  <c r="P66" i="9"/>
  <c r="U66" i="9" s="1"/>
  <c r="P67" i="9"/>
  <c r="U67" i="9" s="1"/>
  <c r="P68" i="9"/>
  <c r="P69" i="9"/>
  <c r="F69" i="17" s="1"/>
  <c r="J69" i="17" s="1"/>
  <c r="P70" i="9"/>
  <c r="P71" i="9"/>
  <c r="F71" i="17" s="1"/>
  <c r="P72" i="9"/>
  <c r="F72" i="17" s="1"/>
  <c r="J72" i="17" s="1"/>
  <c r="P73" i="9"/>
  <c r="U73" i="9" s="1"/>
  <c r="P74" i="9"/>
  <c r="U74" i="9" s="1"/>
  <c r="P75" i="9"/>
  <c r="U75" i="9" s="1"/>
  <c r="P76" i="9"/>
  <c r="P77" i="9"/>
  <c r="F77" i="17" s="1"/>
  <c r="J77" i="17" s="1"/>
  <c r="P78" i="9"/>
  <c r="F78" i="17" s="1"/>
  <c r="J78" i="17" s="1"/>
  <c r="P79" i="9"/>
  <c r="F79" i="17" s="1"/>
  <c r="P80" i="9"/>
  <c r="F80" i="17" s="1"/>
  <c r="J80" i="17" s="1"/>
  <c r="P81" i="9"/>
  <c r="U81" i="9" s="1"/>
  <c r="P82" i="9"/>
  <c r="U82" i="9" s="1"/>
  <c r="P83" i="9"/>
  <c r="U83" i="9" s="1"/>
  <c r="P84" i="9"/>
  <c r="F84" i="17" s="1"/>
  <c r="J84" i="17" s="1"/>
  <c r="P85" i="9"/>
  <c r="F85" i="17" s="1"/>
  <c r="J85" i="17" s="1"/>
  <c r="P86" i="9"/>
  <c r="P87" i="9"/>
  <c r="F87" i="17" s="1"/>
  <c r="P88" i="9"/>
  <c r="P89" i="9"/>
  <c r="U89" i="9" s="1"/>
  <c r="P90" i="9"/>
  <c r="U90" i="9" s="1"/>
  <c r="P91" i="9"/>
  <c r="U91" i="9" s="1"/>
  <c r="P92" i="9"/>
  <c r="P93" i="9"/>
  <c r="F93" i="17" s="1"/>
  <c r="J93" i="17" s="1"/>
  <c r="P94" i="9"/>
  <c r="F94" i="17" s="1"/>
  <c r="J94" i="17" s="1"/>
  <c r="P95" i="9"/>
  <c r="F95" i="17" s="1"/>
  <c r="P96" i="9"/>
  <c r="F96" i="17" s="1"/>
  <c r="J96" i="17" s="1"/>
  <c r="P97" i="9"/>
  <c r="U97" i="9" s="1"/>
  <c r="P98" i="9"/>
  <c r="U98" i="9" s="1"/>
  <c r="P99" i="9"/>
  <c r="U99" i="9" s="1"/>
  <c r="P100" i="9"/>
  <c r="F100" i="17" s="1"/>
  <c r="J100" i="17" s="1"/>
  <c r="Q4" i="9"/>
  <c r="G4" i="17" s="1"/>
  <c r="K4" i="17" s="1"/>
  <c r="Q5" i="9"/>
  <c r="Q6" i="9"/>
  <c r="G6" i="17" s="1"/>
  <c r="K6" i="17" s="1"/>
  <c r="Q7" i="9"/>
  <c r="G7" i="17" s="1"/>
  <c r="K7" i="17" s="1"/>
  <c r="Q8" i="9"/>
  <c r="V8" i="9" s="1"/>
  <c r="Q9" i="9"/>
  <c r="V9" i="9" s="1"/>
  <c r="Q10" i="9"/>
  <c r="V10" i="9" s="1"/>
  <c r="Q11" i="9"/>
  <c r="Q12" i="9"/>
  <c r="G12" i="17" s="1"/>
  <c r="K12" i="17" s="1"/>
  <c r="Q13" i="9"/>
  <c r="G13" i="17" s="1"/>
  <c r="K13" i="17" s="1"/>
  <c r="Q14" i="9"/>
  <c r="G14" i="17" s="1"/>
  <c r="K14" i="17" s="1"/>
  <c r="Q15" i="9"/>
  <c r="G15" i="17" s="1"/>
  <c r="Q16" i="9"/>
  <c r="V16" i="9" s="1"/>
  <c r="Q17" i="9"/>
  <c r="V17" i="9" s="1"/>
  <c r="Q18" i="9"/>
  <c r="V18" i="9" s="1"/>
  <c r="Q19" i="9"/>
  <c r="Q20" i="9"/>
  <c r="G20" i="17" s="1"/>
  <c r="K20" i="17" s="1"/>
  <c r="Q21" i="9"/>
  <c r="Q22" i="9"/>
  <c r="G22" i="17" s="1"/>
  <c r="K22" i="17" s="1"/>
  <c r="Q23" i="9"/>
  <c r="Q24" i="9"/>
  <c r="V24" i="9" s="1"/>
  <c r="Q25" i="9"/>
  <c r="V25" i="9" s="1"/>
  <c r="Q26" i="9"/>
  <c r="V26" i="9" s="1"/>
  <c r="Q27" i="9"/>
  <c r="Q28" i="9"/>
  <c r="G28" i="17" s="1"/>
  <c r="K28" i="17" s="1"/>
  <c r="Q29" i="9"/>
  <c r="G29" i="17" s="1"/>
  <c r="K29" i="17" s="1"/>
  <c r="Q30" i="9"/>
  <c r="G30" i="17" s="1"/>
  <c r="K30" i="17" s="1"/>
  <c r="Q31" i="9"/>
  <c r="Q32" i="9"/>
  <c r="V32" i="9" s="1"/>
  <c r="Q33" i="9"/>
  <c r="V33" i="9" s="1"/>
  <c r="Q34" i="9"/>
  <c r="V34" i="9" s="1"/>
  <c r="Q35" i="9"/>
  <c r="Q36" i="9"/>
  <c r="G36" i="17" s="1"/>
  <c r="K36" i="17" s="1"/>
  <c r="Q37" i="9"/>
  <c r="Q38" i="9"/>
  <c r="G38" i="17" s="1"/>
  <c r="K38" i="17" s="1"/>
  <c r="Q39" i="9"/>
  <c r="G39" i="17" s="1"/>
  <c r="Q40" i="9"/>
  <c r="V40" i="9" s="1"/>
  <c r="Q41" i="9"/>
  <c r="V41" i="9" s="1"/>
  <c r="Q42" i="9"/>
  <c r="V42" i="9" s="1"/>
  <c r="Q43" i="9"/>
  <c r="Q44" i="9"/>
  <c r="G44" i="17" s="1"/>
  <c r="K44" i="17" s="1"/>
  <c r="Q45" i="9"/>
  <c r="G45" i="17" s="1"/>
  <c r="K45" i="17" s="1"/>
  <c r="Q46" i="9"/>
  <c r="G46" i="17" s="1"/>
  <c r="K46" i="17" s="1"/>
  <c r="Q47" i="9"/>
  <c r="G47" i="17" s="1"/>
  <c r="Q48" i="9"/>
  <c r="V48" i="9" s="1"/>
  <c r="Q49" i="9"/>
  <c r="V49" i="9" s="1"/>
  <c r="Q50" i="9"/>
  <c r="V50" i="9" s="1"/>
  <c r="Q51" i="9"/>
  <c r="Q52" i="9"/>
  <c r="G52" i="17" s="1"/>
  <c r="K52" i="17" s="1"/>
  <c r="Q53" i="9"/>
  <c r="Q54" i="9"/>
  <c r="G54" i="17" s="1"/>
  <c r="K54" i="17" s="1"/>
  <c r="Q55" i="9"/>
  <c r="G55" i="17" s="1"/>
  <c r="K55" i="17" s="1"/>
  <c r="Q56" i="9"/>
  <c r="V56" i="9" s="1"/>
  <c r="Q57" i="9"/>
  <c r="V57" i="9" s="1"/>
  <c r="Q58" i="9"/>
  <c r="V58" i="9" s="1"/>
  <c r="Q59" i="9"/>
  <c r="Q60" i="9"/>
  <c r="G60" i="17" s="1"/>
  <c r="K60" i="17" s="1"/>
  <c r="Q61" i="9"/>
  <c r="G61" i="17" s="1"/>
  <c r="K61" i="17" s="1"/>
  <c r="Q62" i="9"/>
  <c r="G62" i="17" s="1"/>
  <c r="K62" i="17" s="1"/>
  <c r="Q63" i="9"/>
  <c r="G63" i="17" s="1"/>
  <c r="Q64" i="9"/>
  <c r="V64" i="9" s="1"/>
  <c r="Q65" i="9"/>
  <c r="V65" i="9" s="1"/>
  <c r="Q66" i="9"/>
  <c r="V66" i="9" s="1"/>
  <c r="Q67" i="9"/>
  <c r="Q68" i="9"/>
  <c r="G68" i="17" s="1"/>
  <c r="K68" i="17" s="1"/>
  <c r="Q69" i="9"/>
  <c r="Q70" i="9"/>
  <c r="G70" i="17" s="1"/>
  <c r="K70" i="17" s="1"/>
  <c r="Q71" i="9"/>
  <c r="Q72" i="9"/>
  <c r="V72" i="9" s="1"/>
  <c r="Q73" i="9"/>
  <c r="V73" i="9" s="1"/>
  <c r="Q74" i="9"/>
  <c r="V74" i="9" s="1"/>
  <c r="Q75" i="9"/>
  <c r="G75" i="17" s="1"/>
  <c r="Q76" i="9"/>
  <c r="G76" i="17" s="1"/>
  <c r="K76" i="17" s="1"/>
  <c r="Q77" i="9"/>
  <c r="G77" i="17" s="1"/>
  <c r="K77" i="17" s="1"/>
  <c r="Q78" i="9"/>
  <c r="G78" i="17" s="1"/>
  <c r="K78" i="17" s="1"/>
  <c r="Q79" i="9"/>
  <c r="G79" i="17" s="1"/>
  <c r="Q80" i="9"/>
  <c r="V80" i="9" s="1"/>
  <c r="Q81" i="9"/>
  <c r="G81" i="17" s="1"/>
  <c r="K81" i="17" s="1"/>
  <c r="Q82" i="9"/>
  <c r="V82" i="9" s="1"/>
  <c r="Q83" i="9"/>
  <c r="G83" i="17" s="1"/>
  <c r="Q84" i="9"/>
  <c r="G84" i="17" s="1"/>
  <c r="K84" i="17" s="1"/>
  <c r="Q85" i="9"/>
  <c r="Q86" i="9"/>
  <c r="G86" i="17" s="1"/>
  <c r="K86" i="17" s="1"/>
  <c r="Q87" i="9"/>
  <c r="Q88" i="9"/>
  <c r="V88" i="9" s="1"/>
  <c r="Q89" i="9"/>
  <c r="V89" i="9" s="1"/>
  <c r="Q90" i="9"/>
  <c r="V90" i="9" s="1"/>
  <c r="Q91" i="9"/>
  <c r="Q92" i="9"/>
  <c r="G92" i="17" s="1"/>
  <c r="K92" i="17" s="1"/>
  <c r="Q93" i="9"/>
  <c r="G93" i="17" s="1"/>
  <c r="K93" i="17" s="1"/>
  <c r="Q94" i="9"/>
  <c r="G94" i="17" s="1"/>
  <c r="K94" i="17" s="1"/>
  <c r="Q95" i="9"/>
  <c r="G95" i="17" s="1"/>
  <c r="K95" i="17" s="1"/>
  <c r="Q96" i="9"/>
  <c r="V96" i="9" s="1"/>
  <c r="Q97" i="9"/>
  <c r="V97" i="9" s="1"/>
  <c r="Q98" i="9"/>
  <c r="G98" i="17" s="1"/>
  <c r="Q99" i="9"/>
  <c r="G99" i="17" s="1"/>
  <c r="Q100" i="9"/>
  <c r="G100" i="17" s="1"/>
  <c r="K100" i="17" s="1"/>
  <c r="R4" i="9"/>
  <c r="R5" i="9"/>
  <c r="H5" i="17" s="1"/>
  <c r="L5" i="17" s="1"/>
  <c r="R6" i="9"/>
  <c r="H6" i="17" s="1"/>
  <c r="R7" i="9"/>
  <c r="W7" i="9" s="1"/>
  <c r="R8" i="9"/>
  <c r="W8" i="9" s="1"/>
  <c r="R9" i="9"/>
  <c r="H9" i="17" s="1"/>
  <c r="R10" i="9"/>
  <c r="R11" i="9"/>
  <c r="H11" i="17" s="1"/>
  <c r="R12" i="9"/>
  <c r="H12" i="17" s="1"/>
  <c r="L12" i="17" s="1"/>
  <c r="R13" i="9"/>
  <c r="H13" i="17" s="1"/>
  <c r="L13" i="17" s="1"/>
  <c r="R14" i="9"/>
  <c r="H14" i="17" s="1"/>
  <c r="R15" i="9"/>
  <c r="W15" i="9" s="1"/>
  <c r="R16" i="9"/>
  <c r="H16" i="17" s="1"/>
  <c r="L16" i="17" s="1"/>
  <c r="R17" i="9"/>
  <c r="W17" i="9" s="1"/>
  <c r="R18" i="9"/>
  <c r="H18" i="17" s="1"/>
  <c r="R19" i="9"/>
  <c r="H19" i="17" s="1"/>
  <c r="R20" i="9"/>
  <c r="R21" i="9"/>
  <c r="H21" i="17" s="1"/>
  <c r="L21" i="17" s="1"/>
  <c r="R22" i="9"/>
  <c r="R23" i="9"/>
  <c r="W23" i="9" s="1"/>
  <c r="R24" i="9"/>
  <c r="W24" i="9" s="1"/>
  <c r="R25" i="9"/>
  <c r="W25" i="9" s="1"/>
  <c r="R26" i="9"/>
  <c r="R27" i="9"/>
  <c r="H27" i="17" s="1"/>
  <c r="R28" i="9"/>
  <c r="H28" i="17" s="1"/>
  <c r="L28" i="17" s="1"/>
  <c r="R29" i="9"/>
  <c r="H29" i="17" s="1"/>
  <c r="L29" i="17" s="1"/>
  <c r="R30" i="9"/>
  <c r="H30" i="17" s="1"/>
  <c r="R31" i="9"/>
  <c r="W31" i="9" s="1"/>
  <c r="R32" i="9"/>
  <c r="H32" i="17" s="1"/>
  <c r="L32" i="17" s="1"/>
  <c r="R33" i="9"/>
  <c r="W33" i="9" s="1"/>
  <c r="R34" i="9"/>
  <c r="H34" i="17" s="1"/>
  <c r="R35" i="9"/>
  <c r="H35" i="17" s="1"/>
  <c r="R36" i="9"/>
  <c r="R37" i="9"/>
  <c r="H37" i="17" s="1"/>
  <c r="L37" i="17" s="1"/>
  <c r="R38" i="9"/>
  <c r="R39" i="9"/>
  <c r="W39" i="9" s="1"/>
  <c r="R40" i="9"/>
  <c r="W40" i="9" s="1"/>
  <c r="R41" i="9"/>
  <c r="H41" i="17" s="1"/>
  <c r="R42" i="9"/>
  <c r="R43" i="9"/>
  <c r="H43" i="17" s="1"/>
  <c r="R44" i="9"/>
  <c r="H44" i="17" s="1"/>
  <c r="L44" i="17" s="1"/>
  <c r="R45" i="9"/>
  <c r="H45" i="17" s="1"/>
  <c r="L45" i="17" s="1"/>
  <c r="R46" i="9"/>
  <c r="R47" i="9"/>
  <c r="W47" i="9" s="1"/>
  <c r="R48" i="9"/>
  <c r="W48" i="9" s="1"/>
  <c r="R49" i="9"/>
  <c r="W49" i="9" s="1"/>
  <c r="R50" i="9"/>
  <c r="R51" i="9"/>
  <c r="H51" i="17" s="1"/>
  <c r="R52" i="9"/>
  <c r="R53" i="9"/>
  <c r="H53" i="17" s="1"/>
  <c r="L53" i="17" s="1"/>
  <c r="R54" i="9"/>
  <c r="H54" i="17" s="1"/>
  <c r="R55" i="9"/>
  <c r="W55" i="9" s="1"/>
  <c r="R56" i="9"/>
  <c r="W56" i="9" s="1"/>
  <c r="R57" i="9"/>
  <c r="W57" i="9" s="1"/>
  <c r="R58" i="9"/>
  <c r="H58" i="17" s="1"/>
  <c r="R59" i="9"/>
  <c r="H59" i="17" s="1"/>
  <c r="R60" i="9"/>
  <c r="H60" i="17" s="1"/>
  <c r="L60" i="17" s="1"/>
  <c r="R61" i="9"/>
  <c r="H61" i="17" s="1"/>
  <c r="L61" i="17" s="1"/>
  <c r="R62" i="9"/>
  <c r="H62" i="17" s="1"/>
  <c r="L62" i="17" s="1"/>
  <c r="R63" i="9"/>
  <c r="W63" i="9" s="1"/>
  <c r="R64" i="9"/>
  <c r="W64" i="9" s="1"/>
  <c r="R65" i="9"/>
  <c r="W65" i="9" s="1"/>
  <c r="R66" i="9"/>
  <c r="H66" i="17" s="1"/>
  <c r="R67" i="9"/>
  <c r="H67" i="17" s="1"/>
  <c r="R68" i="9"/>
  <c r="R69" i="9"/>
  <c r="H69" i="17" s="1"/>
  <c r="L69" i="17" s="1"/>
  <c r="R70" i="9"/>
  <c r="R71" i="9"/>
  <c r="W71" i="9" s="1"/>
  <c r="R72" i="9"/>
  <c r="W72" i="9" s="1"/>
  <c r="R73" i="9"/>
  <c r="H73" i="17" s="1"/>
  <c r="R74" i="9"/>
  <c r="H74" i="17" s="1"/>
  <c r="R75" i="9"/>
  <c r="H75" i="17" s="1"/>
  <c r="R76" i="9"/>
  <c r="H76" i="17" s="1"/>
  <c r="L76" i="17" s="1"/>
  <c r="R77" i="9"/>
  <c r="H77" i="17" s="1"/>
  <c r="L77" i="17" s="1"/>
  <c r="R78" i="9"/>
  <c r="H78" i="17" s="1"/>
  <c r="R79" i="9"/>
  <c r="W79" i="9" s="1"/>
  <c r="R80" i="9"/>
  <c r="W80" i="9" s="1"/>
  <c r="R81" i="9"/>
  <c r="W81" i="9" s="1"/>
  <c r="R82" i="9"/>
  <c r="R83" i="9"/>
  <c r="H83" i="17" s="1"/>
  <c r="R84" i="9"/>
  <c r="R85" i="9"/>
  <c r="H85" i="17" s="1"/>
  <c r="L85" i="17" s="1"/>
  <c r="R86" i="9"/>
  <c r="H86" i="17" s="1"/>
  <c r="R87" i="9"/>
  <c r="W87" i="9" s="1"/>
  <c r="R88" i="9"/>
  <c r="W88" i="9" s="1"/>
  <c r="R89" i="9"/>
  <c r="W89" i="9" s="1"/>
  <c r="R90" i="9"/>
  <c r="H90" i="17" s="1"/>
  <c r="R91" i="9"/>
  <c r="H91" i="17" s="1"/>
  <c r="R92" i="9"/>
  <c r="H92" i="17" s="1"/>
  <c r="L92" i="17" s="1"/>
  <c r="R93" i="9"/>
  <c r="H93" i="17" s="1"/>
  <c r="L93" i="17" s="1"/>
  <c r="R94" i="9"/>
  <c r="R95" i="9"/>
  <c r="W95" i="9" s="1"/>
  <c r="R96" i="9"/>
  <c r="R97" i="9"/>
  <c r="W97" i="9" s="1"/>
  <c r="R98" i="9"/>
  <c r="H98" i="17" s="1"/>
  <c r="R99" i="9"/>
  <c r="H99" i="17" s="1"/>
  <c r="R100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T4" i="9"/>
  <c r="T5" i="9"/>
  <c r="X5" i="9" s="1"/>
  <c r="T6" i="9"/>
  <c r="X6" i="9" s="1"/>
  <c r="T7" i="9"/>
  <c r="X7" i="9" s="1"/>
  <c r="T8" i="9"/>
  <c r="X8" i="9" s="1"/>
  <c r="T9" i="9"/>
  <c r="T10" i="9"/>
  <c r="X10" i="9" s="1"/>
  <c r="T11" i="9"/>
  <c r="X11" i="9" s="1"/>
  <c r="T12" i="9"/>
  <c r="T13" i="9"/>
  <c r="X13" i="9" s="1"/>
  <c r="T14" i="9"/>
  <c r="X14" i="9" s="1"/>
  <c r="T15" i="9"/>
  <c r="X15" i="9" s="1"/>
  <c r="T16" i="9"/>
  <c r="X16" i="9" s="1"/>
  <c r="T17" i="9"/>
  <c r="T18" i="9"/>
  <c r="T19" i="9"/>
  <c r="X19" i="9" s="1"/>
  <c r="T20" i="9"/>
  <c r="T21" i="9"/>
  <c r="X21" i="9" s="1"/>
  <c r="T22" i="9"/>
  <c r="X22" i="9" s="1"/>
  <c r="T23" i="9"/>
  <c r="X23" i="9" s="1"/>
  <c r="T24" i="9"/>
  <c r="X24" i="9" s="1"/>
  <c r="T25" i="9"/>
  <c r="T26" i="9"/>
  <c r="X26" i="9" s="1"/>
  <c r="T27" i="9"/>
  <c r="X27" i="9" s="1"/>
  <c r="T28" i="9"/>
  <c r="T29" i="9"/>
  <c r="X29" i="9" s="1"/>
  <c r="T30" i="9"/>
  <c r="X30" i="9" s="1"/>
  <c r="T31" i="9"/>
  <c r="X31" i="9" s="1"/>
  <c r="T32" i="9"/>
  <c r="X32" i="9" s="1"/>
  <c r="T33" i="9"/>
  <c r="T34" i="9"/>
  <c r="T35" i="9"/>
  <c r="X35" i="9" s="1"/>
  <c r="T36" i="9"/>
  <c r="T37" i="9"/>
  <c r="X37" i="9" s="1"/>
  <c r="T38" i="9"/>
  <c r="X38" i="9" s="1"/>
  <c r="T39" i="9"/>
  <c r="X39" i="9" s="1"/>
  <c r="T40" i="9"/>
  <c r="X40" i="9" s="1"/>
  <c r="T41" i="9"/>
  <c r="T42" i="9"/>
  <c r="X42" i="9" s="1"/>
  <c r="T43" i="9"/>
  <c r="X43" i="9" s="1"/>
  <c r="T44" i="9"/>
  <c r="T45" i="9"/>
  <c r="X45" i="9" s="1"/>
  <c r="T46" i="9"/>
  <c r="X46" i="9" s="1"/>
  <c r="T47" i="9"/>
  <c r="X47" i="9" s="1"/>
  <c r="T48" i="9"/>
  <c r="X48" i="9" s="1"/>
  <c r="T49" i="9"/>
  <c r="T50" i="9"/>
  <c r="T51" i="9"/>
  <c r="X51" i="9" s="1"/>
  <c r="T52" i="9"/>
  <c r="T53" i="9"/>
  <c r="X53" i="9" s="1"/>
  <c r="T54" i="9"/>
  <c r="X54" i="9" s="1"/>
  <c r="T55" i="9"/>
  <c r="X55" i="9" s="1"/>
  <c r="T56" i="9"/>
  <c r="X56" i="9" s="1"/>
  <c r="T57" i="9"/>
  <c r="T58" i="9"/>
  <c r="X58" i="9" s="1"/>
  <c r="T59" i="9"/>
  <c r="X59" i="9" s="1"/>
  <c r="T60" i="9"/>
  <c r="T61" i="9"/>
  <c r="X61" i="9" s="1"/>
  <c r="T62" i="9"/>
  <c r="X62" i="9" s="1"/>
  <c r="T63" i="9"/>
  <c r="X63" i="9" s="1"/>
  <c r="T64" i="9"/>
  <c r="X64" i="9" s="1"/>
  <c r="T65" i="9"/>
  <c r="T66" i="9"/>
  <c r="T67" i="9"/>
  <c r="X67" i="9" s="1"/>
  <c r="T68" i="9"/>
  <c r="T69" i="9"/>
  <c r="X69" i="9" s="1"/>
  <c r="T70" i="9"/>
  <c r="X70" i="9" s="1"/>
  <c r="T71" i="9"/>
  <c r="X71" i="9" s="1"/>
  <c r="T72" i="9"/>
  <c r="X72" i="9" s="1"/>
  <c r="T73" i="9"/>
  <c r="T74" i="9"/>
  <c r="X74" i="9" s="1"/>
  <c r="T75" i="9"/>
  <c r="X75" i="9" s="1"/>
  <c r="T76" i="9"/>
  <c r="T77" i="9"/>
  <c r="X77" i="9" s="1"/>
  <c r="T78" i="9"/>
  <c r="X78" i="9" s="1"/>
  <c r="T79" i="9"/>
  <c r="X79" i="9" s="1"/>
  <c r="T80" i="9"/>
  <c r="X80" i="9" s="1"/>
  <c r="T81" i="9"/>
  <c r="T82" i="9"/>
  <c r="T83" i="9"/>
  <c r="X83" i="9" s="1"/>
  <c r="T84" i="9"/>
  <c r="T85" i="9"/>
  <c r="X85" i="9" s="1"/>
  <c r="T86" i="9"/>
  <c r="X86" i="9" s="1"/>
  <c r="T87" i="9"/>
  <c r="X87" i="9" s="1"/>
  <c r="T88" i="9"/>
  <c r="X88" i="9" s="1"/>
  <c r="T89" i="9"/>
  <c r="T90" i="9"/>
  <c r="X90" i="9" s="1"/>
  <c r="T91" i="9"/>
  <c r="X91" i="9" s="1"/>
  <c r="T92" i="9"/>
  <c r="T93" i="9"/>
  <c r="X93" i="9" s="1"/>
  <c r="T94" i="9"/>
  <c r="X94" i="9" s="1"/>
  <c r="T95" i="9"/>
  <c r="X95" i="9" s="1"/>
  <c r="T96" i="9"/>
  <c r="X96" i="9" s="1"/>
  <c r="T97" i="9"/>
  <c r="T98" i="9"/>
  <c r="T99" i="9"/>
  <c r="X99" i="9" s="1"/>
  <c r="T100" i="9"/>
  <c r="U8" i="9"/>
  <c r="U16" i="9"/>
  <c r="U24" i="9"/>
  <c r="U32" i="9"/>
  <c r="U40" i="9"/>
  <c r="U48" i="9"/>
  <c r="U56" i="9"/>
  <c r="U64" i="9"/>
  <c r="U72" i="9"/>
  <c r="U79" i="9"/>
  <c r="U80" i="9"/>
  <c r="U88" i="9"/>
  <c r="U96" i="9"/>
  <c r="V7" i="9"/>
  <c r="V15" i="9"/>
  <c r="V23" i="9"/>
  <c r="V28" i="9"/>
  <c r="V29" i="9"/>
  <c r="V30" i="9"/>
  <c r="V31" i="9"/>
  <c r="V39" i="9"/>
  <c r="V47" i="9"/>
  <c r="V52" i="9"/>
  <c r="V55" i="9"/>
  <c r="V63" i="9"/>
  <c r="V71" i="9"/>
  <c r="V79" i="9"/>
  <c r="V87" i="9"/>
  <c r="V95" i="9"/>
  <c r="V100" i="9"/>
  <c r="W6" i="9"/>
  <c r="W14" i="9"/>
  <c r="W22" i="9"/>
  <c r="W30" i="9"/>
  <c r="W38" i="9"/>
  <c r="W46" i="9"/>
  <c r="W54" i="9"/>
  <c r="W62" i="9"/>
  <c r="W70" i="9"/>
  <c r="W78" i="9"/>
  <c r="W86" i="9"/>
  <c r="W94" i="9"/>
  <c r="W99" i="9"/>
  <c r="X4" i="9"/>
  <c r="X9" i="9"/>
  <c r="X12" i="9"/>
  <c r="X17" i="9"/>
  <c r="X18" i="9"/>
  <c r="X20" i="9"/>
  <c r="X25" i="9"/>
  <c r="X28" i="9"/>
  <c r="X33" i="9"/>
  <c r="X34" i="9"/>
  <c r="X36" i="9"/>
  <c r="X41" i="9"/>
  <c r="X44" i="9"/>
  <c r="X49" i="9"/>
  <c r="X50" i="9"/>
  <c r="X52" i="9"/>
  <c r="X57" i="9"/>
  <c r="X60" i="9"/>
  <c r="X65" i="9"/>
  <c r="X66" i="9"/>
  <c r="X68" i="9"/>
  <c r="X73" i="9"/>
  <c r="X76" i="9"/>
  <c r="X81" i="9"/>
  <c r="X82" i="9"/>
  <c r="X84" i="9"/>
  <c r="X89" i="9"/>
  <c r="X92" i="9"/>
  <c r="X97" i="9"/>
  <c r="X98" i="9"/>
  <c r="X100" i="9"/>
  <c r="I39" i="16"/>
  <c r="U9" i="16"/>
  <c r="F43" i="17" l="1"/>
  <c r="J43" i="17" s="1"/>
  <c r="F42" i="17"/>
  <c r="M10" i="17"/>
  <c r="H88" i="17"/>
  <c r="L88" i="17" s="1"/>
  <c r="G74" i="17"/>
  <c r="K31" i="17"/>
  <c r="F82" i="17"/>
  <c r="J82" i="17" s="1"/>
  <c r="V54" i="9"/>
  <c r="L86" i="17"/>
  <c r="L78" i="17"/>
  <c r="L54" i="17"/>
  <c r="L30" i="17"/>
  <c r="L14" i="17"/>
  <c r="L6" i="17"/>
  <c r="K79" i="17"/>
  <c r="K63" i="17"/>
  <c r="K47" i="17"/>
  <c r="K39" i="17"/>
  <c r="K15" i="17"/>
  <c r="H24" i="17"/>
  <c r="L24" i="17" s="1"/>
  <c r="G73" i="17"/>
  <c r="G26" i="17"/>
  <c r="F81" i="17"/>
  <c r="J81" i="17" s="1"/>
  <c r="F33" i="17"/>
  <c r="G90" i="17"/>
  <c r="K90" i="17" s="1"/>
  <c r="W77" i="9"/>
  <c r="W28" i="9"/>
  <c r="G96" i="17"/>
  <c r="K96" i="17" s="1"/>
  <c r="G9" i="17"/>
  <c r="K9" i="17" s="1"/>
  <c r="F59" i="17"/>
  <c r="F17" i="17"/>
  <c r="J17" i="17" s="1"/>
  <c r="H72" i="17"/>
  <c r="L72" i="17" s="1"/>
  <c r="W29" i="9"/>
  <c r="G64" i="17"/>
  <c r="K64" i="17" s="1"/>
  <c r="G10" i="17"/>
  <c r="F18" i="17"/>
  <c r="J18" i="17" s="1"/>
  <c r="W76" i="9"/>
  <c r="W27" i="9"/>
  <c r="V78" i="9"/>
  <c r="H48" i="17"/>
  <c r="L48" i="17" s="1"/>
  <c r="G49" i="17"/>
  <c r="K49" i="17" s="1"/>
  <c r="W5" i="9"/>
  <c r="U47" i="9"/>
  <c r="W93" i="9"/>
  <c r="W69" i="9"/>
  <c r="W45" i="9"/>
  <c r="V68" i="9"/>
  <c r="V46" i="9"/>
  <c r="U95" i="9"/>
  <c r="U69" i="9"/>
  <c r="U39" i="9"/>
  <c r="U15" i="9"/>
  <c r="H89" i="17"/>
  <c r="L89" i="17" s="1"/>
  <c r="H64" i="17"/>
  <c r="L64" i="17" s="1"/>
  <c r="H40" i="17"/>
  <c r="L40" i="17" s="1"/>
  <c r="G89" i="17"/>
  <c r="K89" i="17" s="1"/>
  <c r="G65" i="17"/>
  <c r="K65" i="17" s="1"/>
  <c r="G25" i="17"/>
  <c r="K25" i="17" s="1"/>
  <c r="F98" i="17"/>
  <c r="J98" i="17" s="1"/>
  <c r="F58" i="17"/>
  <c r="J58" i="17" s="1"/>
  <c r="F34" i="17"/>
  <c r="J34" i="17" s="1"/>
  <c r="V70" i="9"/>
  <c r="V94" i="9"/>
  <c r="V22" i="9"/>
  <c r="U37" i="9"/>
  <c r="G42" i="17"/>
  <c r="K42" i="17" s="1"/>
  <c r="F75" i="17"/>
  <c r="J75" i="17" s="1"/>
  <c r="F11" i="17"/>
  <c r="W61" i="9"/>
  <c r="V62" i="9"/>
  <c r="U63" i="9"/>
  <c r="M95" i="17"/>
  <c r="M87" i="17"/>
  <c r="M79" i="17"/>
  <c r="M71" i="17"/>
  <c r="M63" i="17"/>
  <c r="M55" i="17"/>
  <c r="M47" i="17"/>
  <c r="M39" i="17"/>
  <c r="M31" i="17"/>
  <c r="M23" i="17"/>
  <c r="M15" i="17"/>
  <c r="M7" i="17"/>
  <c r="H57" i="17"/>
  <c r="L57" i="17" s="1"/>
  <c r="H8" i="17"/>
  <c r="L8" i="17" s="1"/>
  <c r="G41" i="17"/>
  <c r="K41" i="17" s="1"/>
  <c r="G17" i="17"/>
  <c r="K17" i="17" s="1"/>
  <c r="F74" i="17"/>
  <c r="J74" i="17" s="1"/>
  <c r="F50" i="17"/>
  <c r="J50" i="17" s="1"/>
  <c r="F10" i="17"/>
  <c r="W53" i="9"/>
  <c r="U23" i="9"/>
  <c r="W21" i="9"/>
  <c r="V45" i="9"/>
  <c r="U14" i="9"/>
  <c r="J33" i="17"/>
  <c r="W83" i="9"/>
  <c r="W37" i="9"/>
  <c r="V86" i="9"/>
  <c r="V38" i="9"/>
  <c r="U87" i="9"/>
  <c r="U7" i="9"/>
  <c r="M57" i="17"/>
  <c r="H80" i="17"/>
  <c r="L80" i="17" s="1"/>
  <c r="H56" i="17"/>
  <c r="L56" i="17" s="1"/>
  <c r="G80" i="17"/>
  <c r="K80" i="17" s="1"/>
  <c r="G58" i="17"/>
  <c r="G16" i="17"/>
  <c r="K16" i="17" s="1"/>
  <c r="F91" i="17"/>
  <c r="J91" i="17" s="1"/>
  <c r="F49" i="17"/>
  <c r="J49" i="17" s="1"/>
  <c r="F27" i="17"/>
  <c r="J27" i="17" s="1"/>
  <c r="V6" i="9"/>
  <c r="U71" i="9"/>
  <c r="W44" i="9"/>
  <c r="U93" i="9"/>
  <c r="W85" i="9"/>
  <c r="W60" i="9"/>
  <c r="W13" i="9"/>
  <c r="V61" i="9"/>
  <c r="V14" i="9"/>
  <c r="U31" i="9"/>
  <c r="W59" i="9"/>
  <c r="W11" i="9"/>
  <c r="V13" i="9"/>
  <c r="U55" i="9"/>
  <c r="U30" i="9"/>
  <c r="H25" i="17"/>
  <c r="L25" i="17" s="1"/>
  <c r="G97" i="17"/>
  <c r="K97" i="17" s="1"/>
  <c r="G57" i="17"/>
  <c r="K57" i="17" s="1"/>
  <c r="G33" i="17"/>
  <c r="K33" i="17" s="1"/>
  <c r="F90" i="17"/>
  <c r="F66" i="17"/>
  <c r="J66" i="17" s="1"/>
  <c r="F26" i="17"/>
  <c r="J26" i="17" s="1"/>
  <c r="M100" i="17"/>
  <c r="M84" i="17"/>
  <c r="M44" i="17"/>
  <c r="M36" i="17"/>
  <c r="M20" i="17"/>
  <c r="L99" i="17"/>
  <c r="L91" i="17"/>
  <c r="L67" i="17"/>
  <c r="L35" i="17"/>
  <c r="L19" i="17"/>
  <c r="W43" i="9"/>
  <c r="V84" i="9"/>
  <c r="V12" i="9"/>
  <c r="U53" i="9"/>
  <c r="H100" i="17"/>
  <c r="L100" i="17" s="1"/>
  <c r="W100" i="9"/>
  <c r="H84" i="17"/>
  <c r="L84" i="17" s="1"/>
  <c r="W84" i="9"/>
  <c r="H68" i="17"/>
  <c r="L68" i="17" s="1"/>
  <c r="W68" i="9"/>
  <c r="H52" i="17"/>
  <c r="L52" i="17" s="1"/>
  <c r="W52" i="9"/>
  <c r="H36" i="17"/>
  <c r="L36" i="17" s="1"/>
  <c r="W36" i="9"/>
  <c r="H20" i="17"/>
  <c r="L20" i="17" s="1"/>
  <c r="W20" i="9"/>
  <c r="H4" i="17"/>
  <c r="L4" i="17" s="1"/>
  <c r="W4" i="9"/>
  <c r="G85" i="17"/>
  <c r="K85" i="17" s="1"/>
  <c r="V85" i="9"/>
  <c r="G69" i="17"/>
  <c r="K69" i="17" s="1"/>
  <c r="V69" i="9"/>
  <c r="G53" i="17"/>
  <c r="K53" i="17" s="1"/>
  <c r="V53" i="9"/>
  <c r="G37" i="17"/>
  <c r="K37" i="17" s="1"/>
  <c r="V37" i="9"/>
  <c r="G21" i="17"/>
  <c r="K21" i="17" s="1"/>
  <c r="V21" i="9"/>
  <c r="G5" i="17"/>
  <c r="K5" i="17" s="1"/>
  <c r="V5" i="9"/>
  <c r="F86" i="17"/>
  <c r="J86" i="17" s="1"/>
  <c r="U86" i="9"/>
  <c r="F70" i="17"/>
  <c r="J70" i="17" s="1"/>
  <c r="U70" i="9"/>
  <c r="F54" i="17"/>
  <c r="J54" i="17" s="1"/>
  <c r="U54" i="9"/>
  <c r="F38" i="17"/>
  <c r="J38" i="17" s="1"/>
  <c r="U38" i="9"/>
  <c r="F22" i="17"/>
  <c r="J22" i="17" s="1"/>
  <c r="U22" i="9"/>
  <c r="F6" i="17"/>
  <c r="J6" i="17" s="1"/>
  <c r="U6" i="9"/>
  <c r="M67" i="17"/>
  <c r="M27" i="17"/>
  <c r="H95" i="17"/>
  <c r="L95" i="17" s="1"/>
  <c r="H79" i="17"/>
  <c r="L79" i="17" s="1"/>
  <c r="H63" i="17"/>
  <c r="L63" i="17" s="1"/>
  <c r="H47" i="17"/>
  <c r="L47" i="17" s="1"/>
  <c r="H31" i="17"/>
  <c r="L31" i="17" s="1"/>
  <c r="H15" i="17"/>
  <c r="L15" i="17" s="1"/>
  <c r="J97" i="17"/>
  <c r="J65" i="17"/>
  <c r="L98" i="17"/>
  <c r="M98" i="17"/>
  <c r="L90" i="17"/>
  <c r="K74" i="17"/>
  <c r="L66" i="17"/>
  <c r="L58" i="17"/>
  <c r="M58" i="17"/>
  <c r="M50" i="17"/>
  <c r="L34" i="17"/>
  <c r="M34" i="17"/>
  <c r="L26" i="17"/>
  <c r="L18" i="17"/>
  <c r="K10" i="17"/>
  <c r="W75" i="9"/>
  <c r="W10" i="9"/>
  <c r="H10" i="17"/>
  <c r="V43" i="9"/>
  <c r="G43" i="17"/>
  <c r="K43" i="17" s="1"/>
  <c r="V19" i="9"/>
  <c r="G19" i="17"/>
  <c r="K19" i="17" s="1"/>
  <c r="U76" i="9"/>
  <c r="F76" i="17"/>
  <c r="J76" i="17" s="1"/>
  <c r="U68" i="9"/>
  <c r="F68" i="17"/>
  <c r="J68" i="17" s="1"/>
  <c r="U44" i="9"/>
  <c r="F44" i="17"/>
  <c r="J44" i="17" s="1"/>
  <c r="U36" i="9"/>
  <c r="F36" i="17"/>
  <c r="J36" i="17" s="1"/>
  <c r="U4" i="9"/>
  <c r="F4" i="17"/>
  <c r="J4" i="17" s="1"/>
  <c r="W91" i="9"/>
  <c r="W35" i="9"/>
  <c r="V60" i="9"/>
  <c r="V4" i="9"/>
  <c r="K73" i="17"/>
  <c r="M97" i="17"/>
  <c r="W92" i="9"/>
  <c r="W19" i="9"/>
  <c r="V44" i="9"/>
  <c r="U85" i="9"/>
  <c r="U13" i="9"/>
  <c r="W82" i="9"/>
  <c r="H82" i="17"/>
  <c r="L82" i="17" s="1"/>
  <c r="W42" i="9"/>
  <c r="H42" i="17"/>
  <c r="L42" i="17" s="1"/>
  <c r="W26" i="9"/>
  <c r="H26" i="17"/>
  <c r="V91" i="9"/>
  <c r="G91" i="17"/>
  <c r="V67" i="9"/>
  <c r="G67" i="17"/>
  <c r="K67" i="17" s="1"/>
  <c r="V51" i="9"/>
  <c r="G51" i="17"/>
  <c r="K51" i="17" s="1"/>
  <c r="V27" i="9"/>
  <c r="G27" i="17"/>
  <c r="K27" i="17" s="1"/>
  <c r="V11" i="9"/>
  <c r="G11" i="17"/>
  <c r="K11" i="17" s="1"/>
  <c r="U12" i="9"/>
  <c r="F12" i="17"/>
  <c r="J12" i="17" s="1"/>
  <c r="M65" i="17"/>
  <c r="V77" i="9"/>
  <c r="U46" i="9"/>
  <c r="M81" i="17"/>
  <c r="J90" i="17"/>
  <c r="J42" i="17"/>
  <c r="J10" i="17"/>
  <c r="W51" i="9"/>
  <c r="V93" i="9"/>
  <c r="V76" i="9"/>
  <c r="V20" i="9"/>
  <c r="U62" i="9"/>
  <c r="U45" i="9"/>
  <c r="M99" i="17"/>
  <c r="H87" i="17"/>
  <c r="L87" i="17" s="1"/>
  <c r="H71" i="17"/>
  <c r="L71" i="17" s="1"/>
  <c r="H55" i="17"/>
  <c r="L55" i="17" s="1"/>
  <c r="H39" i="17"/>
  <c r="L39" i="17" s="1"/>
  <c r="H23" i="17"/>
  <c r="L23" i="17" s="1"/>
  <c r="H7" i="17"/>
  <c r="L7" i="17" s="1"/>
  <c r="G88" i="17"/>
  <c r="K88" i="17" s="1"/>
  <c r="G72" i="17"/>
  <c r="K72" i="17" s="1"/>
  <c r="G56" i="17"/>
  <c r="K56" i="17" s="1"/>
  <c r="G40" i="17"/>
  <c r="K40" i="17" s="1"/>
  <c r="G24" i="17"/>
  <c r="K24" i="17" s="1"/>
  <c r="G8" i="17"/>
  <c r="K8" i="17" s="1"/>
  <c r="F89" i="17"/>
  <c r="J89" i="17" s="1"/>
  <c r="F73" i="17"/>
  <c r="J73" i="17" s="1"/>
  <c r="F57" i="17"/>
  <c r="J57" i="17" s="1"/>
  <c r="F41" i="17"/>
  <c r="J41" i="17" s="1"/>
  <c r="F25" i="17"/>
  <c r="J25" i="17" s="1"/>
  <c r="F9" i="17"/>
  <c r="J9" i="17" s="1"/>
  <c r="M89" i="17"/>
  <c r="L73" i="17"/>
  <c r="M73" i="17"/>
  <c r="W50" i="9"/>
  <c r="H50" i="17"/>
  <c r="L50" i="17" s="1"/>
  <c r="V59" i="9"/>
  <c r="G59" i="17"/>
  <c r="K59" i="17" s="1"/>
  <c r="V35" i="9"/>
  <c r="G35" i="17"/>
  <c r="K35" i="17" s="1"/>
  <c r="U92" i="9"/>
  <c r="F92" i="17"/>
  <c r="J92" i="17" s="1"/>
  <c r="U29" i="9"/>
  <c r="W67" i="9"/>
  <c r="W12" i="9"/>
  <c r="V92" i="9"/>
  <c r="V36" i="9"/>
  <c r="U78" i="9"/>
  <c r="U61" i="9"/>
  <c r="U5" i="9"/>
  <c r="M35" i="17"/>
  <c r="U94" i="9"/>
  <c r="U77" i="9"/>
  <c r="U21" i="9"/>
  <c r="M74" i="17"/>
  <c r="M83" i="17"/>
  <c r="M75" i="17"/>
  <c r="M59" i="17"/>
  <c r="M19" i="17"/>
  <c r="M11" i="17"/>
  <c r="H97" i="17"/>
  <c r="L97" i="17" s="1"/>
  <c r="H81" i="17"/>
  <c r="L81" i="17" s="1"/>
  <c r="H65" i="17"/>
  <c r="L65" i="17" s="1"/>
  <c r="H49" i="17"/>
  <c r="L49" i="17" s="1"/>
  <c r="H33" i="17"/>
  <c r="L33" i="17" s="1"/>
  <c r="H17" i="17"/>
  <c r="L17" i="17" s="1"/>
  <c r="G82" i="17"/>
  <c r="K82" i="17" s="1"/>
  <c r="G66" i="17"/>
  <c r="K66" i="17" s="1"/>
  <c r="G50" i="17"/>
  <c r="K50" i="17" s="1"/>
  <c r="G34" i="17"/>
  <c r="K34" i="17" s="1"/>
  <c r="G18" i="17"/>
  <c r="F99" i="17"/>
  <c r="F83" i="17"/>
  <c r="J83" i="17" s="1"/>
  <c r="F67" i="17"/>
  <c r="J67" i="17" s="1"/>
  <c r="F51" i="17"/>
  <c r="J51" i="17" s="1"/>
  <c r="F35" i="17"/>
  <c r="J35" i="17" s="1"/>
  <c r="F19" i="17"/>
  <c r="J19" i="17" s="1"/>
  <c r="L41" i="17"/>
  <c r="L9" i="17"/>
  <c r="M25" i="17"/>
  <c r="J95" i="17"/>
  <c r="J79" i="17"/>
  <c r="J63" i="17"/>
  <c r="J47" i="17"/>
  <c r="J31" i="17"/>
  <c r="J7" i="17"/>
  <c r="M9" i="17"/>
  <c r="J87" i="17"/>
  <c r="J71" i="17"/>
  <c r="J55" i="17"/>
  <c r="J39" i="17"/>
  <c r="J23" i="17"/>
  <c r="J15" i="17"/>
  <c r="M33" i="17"/>
  <c r="L75" i="17"/>
  <c r="L43" i="17"/>
  <c r="L11" i="17"/>
  <c r="L74" i="17"/>
  <c r="L10" i="17"/>
  <c r="K75" i="17"/>
  <c r="K98" i="17"/>
  <c r="K58" i="17"/>
  <c r="K26" i="17"/>
  <c r="K18" i="17"/>
  <c r="J99" i="17"/>
  <c r="J59" i="17"/>
  <c r="J11" i="17"/>
  <c r="L83" i="17"/>
  <c r="L51" i="17"/>
  <c r="K99" i="17"/>
  <c r="K91" i="17"/>
  <c r="L59" i="17"/>
  <c r="L27" i="17"/>
  <c r="W90" i="9"/>
  <c r="W18" i="9"/>
  <c r="V83" i="9"/>
  <c r="U84" i="9"/>
  <c r="U52" i="9"/>
  <c r="U28" i="9"/>
  <c r="W73" i="9"/>
  <c r="W41" i="9"/>
  <c r="W9" i="9"/>
  <c r="V98" i="9"/>
  <c r="W98" i="9"/>
  <c r="W66" i="9"/>
  <c r="W34" i="9"/>
  <c r="V99" i="9"/>
  <c r="U100" i="9"/>
  <c r="U60" i="9"/>
  <c r="U20" i="9"/>
  <c r="W96" i="9"/>
  <c r="W32" i="9"/>
  <c r="W16" i="9"/>
  <c r="V81" i="9"/>
  <c r="W74" i="9"/>
  <c r="V75" i="9"/>
  <c r="W58" i="9"/>
  <c r="G41" i="16" l="1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F52" i="16" l="1" a="1"/>
  <c r="F52" i="16" s="1"/>
  <c r="F49" i="16" a="1"/>
  <c r="F49" i="16" s="1"/>
  <c r="F53" i="16" a="1"/>
  <c r="F53" i="16" s="1"/>
  <c r="F54" i="16" a="1"/>
  <c r="F54" i="16" s="1"/>
  <c r="F55" i="16" a="1"/>
  <c r="F55" i="16" s="1"/>
  <c r="F50" i="16" a="1"/>
  <c r="F50" i="16" s="1"/>
  <c r="F56" i="16" a="1"/>
  <c r="F56" i="16" s="1"/>
  <c r="F58" i="16" a="1"/>
  <c r="F58" i="16" s="1"/>
  <c r="F51" i="16" a="1"/>
  <c r="F51" i="16" s="1"/>
  <c r="F57" i="16" a="1"/>
  <c r="F57" i="16" s="1"/>
  <c r="F47" i="16"/>
  <c r="D53" i="16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K56" i="16" l="1" a="1"/>
  <c r="K56" i="16" s="1"/>
  <c r="K50" i="16" a="1"/>
  <c r="K50" i="16" s="1"/>
  <c r="K57" i="16" a="1"/>
  <c r="K57" i="16" s="1"/>
  <c r="K47" i="16"/>
  <c r="K51" i="16" a="1"/>
  <c r="K51" i="16" s="1"/>
  <c r="K52" i="16" a="1"/>
  <c r="K52" i="16" s="1"/>
  <c r="K49" i="16" a="1"/>
  <c r="K49" i="16" s="1"/>
  <c r="K55" i="16" a="1"/>
  <c r="K55" i="16" s="1"/>
  <c r="K53" i="16" a="1"/>
  <c r="K53" i="16" s="1"/>
  <c r="K58" i="16" a="1"/>
  <c r="K58" i="16" s="1"/>
  <c r="K54" i="16" a="1"/>
  <c r="K54" i="16" s="1"/>
  <c r="I57" i="16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  <c r="K23" i="7"/>
  <c r="K69" i="7"/>
  <c r="C5" i="7"/>
  <c r="F5" i="7" s="1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E67" i="7" s="1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4" i="7"/>
  <c r="F16" i="7"/>
  <c r="E15" i="7"/>
  <c r="E31" i="7"/>
  <c r="G79" i="7"/>
  <c r="F44" i="7" l="1"/>
  <c r="F12" i="7"/>
  <c r="G58" i="7"/>
  <c r="E52" i="7"/>
  <c r="F50" i="7"/>
  <c r="F27" i="7"/>
  <c r="E21" i="7"/>
  <c r="K73" i="7"/>
  <c r="F57" i="7"/>
  <c r="K57" i="7"/>
  <c r="K11" i="7"/>
  <c r="K41" i="7"/>
  <c r="F89" i="7"/>
  <c r="E95" i="7"/>
  <c r="H4" i="7"/>
  <c r="K7" i="7"/>
  <c r="F20" i="7"/>
  <c r="E93" i="7"/>
  <c r="F86" i="7"/>
  <c r="K53" i="7"/>
  <c r="F79" i="7"/>
  <c r="G91" i="7"/>
  <c r="G83" i="7"/>
  <c r="K67" i="7"/>
  <c r="G59" i="7"/>
  <c r="E43" i="7"/>
  <c r="G29" i="7"/>
  <c r="K4" i="7"/>
  <c r="K97" i="7"/>
  <c r="K81" i="7"/>
  <c r="K65" i="7"/>
  <c r="K49" i="7"/>
  <c r="K19" i="7"/>
  <c r="K89" i="7"/>
  <c r="K33" i="7"/>
  <c r="H99" i="7"/>
  <c r="K75" i="7"/>
  <c r="K35" i="7"/>
  <c r="K13" i="7"/>
  <c r="K5" i="7"/>
  <c r="E61" i="7"/>
  <c r="F78" i="7"/>
  <c r="K37" i="7"/>
  <c r="E55" i="7"/>
  <c r="E45" i="7"/>
  <c r="F32" i="7"/>
  <c r="F56" i="7"/>
  <c r="D10" i="7"/>
  <c r="K85" i="7"/>
  <c r="K27" i="7"/>
  <c r="F51" i="7"/>
  <c r="H83" i="7"/>
  <c r="E51" i="7"/>
  <c r="G98" i="7"/>
  <c r="H35" i="7"/>
  <c r="F67" i="7"/>
  <c r="G74" i="7"/>
  <c r="K91" i="7"/>
  <c r="K59" i="7"/>
  <c r="K43" i="7"/>
  <c r="K29" i="7"/>
  <c r="E39" i="7"/>
  <c r="F74" i="7"/>
  <c r="E77" i="7"/>
  <c r="E29" i="7"/>
  <c r="F62" i="7"/>
  <c r="K90" i="7"/>
  <c r="K74" i="7"/>
  <c r="K58" i="7"/>
  <c r="K42" i="7"/>
  <c r="K28" i="7"/>
  <c r="K12" i="7"/>
  <c r="D18" i="7"/>
  <c r="E5" i="7"/>
  <c r="K99" i="7"/>
  <c r="K83" i="7"/>
  <c r="K51" i="7"/>
  <c r="K21" i="7"/>
  <c r="K98" i="7"/>
  <c r="K82" i="7"/>
  <c r="K66" i="7"/>
  <c r="K50" i="7"/>
  <c r="K34" i="7"/>
  <c r="K20" i="7"/>
  <c r="F21" i="7"/>
  <c r="F58" i="7"/>
  <c r="F98" i="7"/>
  <c r="F80" i="7"/>
  <c r="G20" i="7"/>
  <c r="G51" i="7"/>
  <c r="G21" i="7"/>
  <c r="F66" i="7"/>
  <c r="G12" i="7"/>
  <c r="K93" i="7"/>
  <c r="K77" i="7"/>
  <c r="K61" i="7"/>
  <c r="K45" i="7"/>
  <c r="K31" i="7"/>
  <c r="K15" i="7"/>
  <c r="F64" i="7"/>
  <c r="F48" i="7"/>
  <c r="F26" i="7"/>
  <c r="D80" i="7"/>
  <c r="F9" i="7"/>
  <c r="E47" i="7"/>
  <c r="D55" i="7"/>
  <c r="F95" i="7"/>
  <c r="G42" i="7"/>
  <c r="F100" i="7"/>
  <c r="E92" i="7"/>
  <c r="E84" i="7"/>
  <c r="G76" i="7"/>
  <c r="E68" i="7"/>
  <c r="E60" i="7"/>
  <c r="H52" i="7"/>
  <c r="H44" i="7"/>
  <c r="E36" i="7"/>
  <c r="F30" i="7"/>
  <c r="G22" i="7"/>
  <c r="H14" i="7"/>
  <c r="E6" i="7"/>
  <c r="K95" i="7"/>
  <c r="K87" i="7"/>
  <c r="K79" i="7"/>
  <c r="K71" i="7"/>
  <c r="K63" i="7"/>
  <c r="K55" i="7"/>
  <c r="K47" i="7"/>
  <c r="K39" i="7"/>
  <c r="K25" i="7"/>
  <c r="K17" i="7"/>
  <c r="K9" i="7"/>
  <c r="F28" i="7"/>
  <c r="D48" i="7"/>
  <c r="F87" i="7"/>
  <c r="D39" i="7"/>
  <c r="L39" i="7" s="1"/>
  <c r="F94" i="7"/>
  <c r="F22" i="7"/>
  <c r="G82" i="7"/>
  <c r="G34" i="7"/>
  <c r="G99" i="7"/>
  <c r="E91" i="7"/>
  <c r="E83" i="7"/>
  <c r="F75" i="7"/>
  <c r="G67" i="7"/>
  <c r="E59" i="7"/>
  <c r="F43" i="7"/>
  <c r="G35" i="7"/>
  <c r="F29" i="7"/>
  <c r="E13" i="7"/>
  <c r="G5" i="7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F72" i="7"/>
  <c r="D56" i="7"/>
  <c r="F40" i="7"/>
  <c r="F71" i="7"/>
  <c r="M71" i="7" s="1"/>
  <c r="F47" i="7"/>
  <c r="F18" i="7"/>
  <c r="M18" i="7" s="1"/>
  <c r="E17" i="7"/>
  <c r="F34" i="7"/>
  <c r="D72" i="7"/>
  <c r="F90" i="7"/>
  <c r="E30" i="7"/>
  <c r="F84" i="7"/>
  <c r="F46" i="7"/>
  <c r="F17" i="7"/>
  <c r="G66" i="7"/>
  <c r="G28" i="7"/>
  <c r="F97" i="7"/>
  <c r="F81" i="7"/>
  <c r="E73" i="7"/>
  <c r="F65" i="7"/>
  <c r="F49" i="7"/>
  <c r="F41" i="7"/>
  <c r="G33" i="7"/>
  <c r="F19" i="7"/>
  <c r="E11" i="7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F10" i="7"/>
  <c r="D40" i="7"/>
  <c r="E25" i="7"/>
  <c r="F42" i="7"/>
  <c r="E63" i="7"/>
  <c r="F82" i="7"/>
  <c r="D63" i="7"/>
  <c r="F63" i="7"/>
  <c r="G90" i="7"/>
  <c r="G50" i="7"/>
  <c r="E4" i="7"/>
  <c r="K96" i="7"/>
  <c r="K88" i="7"/>
  <c r="K80" i="7"/>
  <c r="K72" i="7"/>
  <c r="K64" i="7"/>
  <c r="K56" i="7"/>
  <c r="K48" i="7"/>
  <c r="K40" i="7"/>
  <c r="K26" i="7"/>
  <c r="K18" i="7"/>
  <c r="K10" i="7"/>
  <c r="G36" i="7"/>
  <c r="H68" i="7"/>
  <c r="G100" i="7"/>
  <c r="E100" i="7"/>
  <c r="E76" i="7"/>
  <c r="F59" i="7"/>
  <c r="F91" i="7"/>
  <c r="E99" i="7"/>
  <c r="E75" i="7"/>
  <c r="E22" i="7"/>
  <c r="F96" i="7"/>
  <c r="F60" i="7"/>
  <c r="F36" i="7"/>
  <c r="H30" i="7"/>
  <c r="O30" i="7" s="1"/>
  <c r="G60" i="7"/>
  <c r="F76" i="7"/>
  <c r="F52" i="7"/>
  <c r="F14" i="7"/>
  <c r="G52" i="7"/>
  <c r="D64" i="7"/>
  <c r="M64" i="7" s="1"/>
  <c r="H84" i="7"/>
  <c r="E14" i="7"/>
  <c r="F92" i="7"/>
  <c r="G75" i="7"/>
  <c r="G43" i="7"/>
  <c r="G13" i="7"/>
  <c r="H6" i="7"/>
  <c r="F13" i="7"/>
  <c r="E35" i="7"/>
  <c r="F88" i="7"/>
  <c r="F68" i="7"/>
  <c r="F6" i="7"/>
  <c r="H92" i="7"/>
  <c r="E44" i="7"/>
  <c r="D26" i="7"/>
  <c r="G81" i="7"/>
  <c r="G49" i="7"/>
  <c r="G19" i="7"/>
  <c r="D9" i="7"/>
  <c r="E89" i="7"/>
  <c r="E57" i="7"/>
  <c r="E41" i="7"/>
  <c r="E27" i="7"/>
  <c r="G95" i="7"/>
  <c r="G63" i="7"/>
  <c r="N63" i="7" s="1"/>
  <c r="G47" i="7"/>
  <c r="G17" i="7"/>
  <c r="G7" i="7"/>
  <c r="F7" i="7"/>
  <c r="G15" i="7"/>
  <c r="F15" i="7"/>
  <c r="D15" i="7"/>
  <c r="D23" i="7"/>
  <c r="G23" i="7"/>
  <c r="F23" i="7"/>
  <c r="G31" i="7"/>
  <c r="F31" i="7"/>
  <c r="D37" i="7"/>
  <c r="G37" i="7"/>
  <c r="F37" i="7"/>
  <c r="D45" i="7"/>
  <c r="G45" i="7"/>
  <c r="F45" i="7"/>
  <c r="D53" i="7"/>
  <c r="G53" i="7"/>
  <c r="N53" i="7" s="1"/>
  <c r="F53" i="7"/>
  <c r="G61" i="7"/>
  <c r="F61" i="7"/>
  <c r="G69" i="7"/>
  <c r="F69" i="7"/>
  <c r="G77" i="7"/>
  <c r="F77" i="7"/>
  <c r="D85" i="7"/>
  <c r="G85" i="7"/>
  <c r="F85" i="7"/>
  <c r="G93" i="7"/>
  <c r="F93" i="7"/>
  <c r="E85" i="7"/>
  <c r="E69" i="7"/>
  <c r="E53" i="7"/>
  <c r="L53" i="7" s="1"/>
  <c r="E37" i="7"/>
  <c r="E23" i="7"/>
  <c r="E7" i="7"/>
  <c r="G97" i="7"/>
  <c r="G65" i="7"/>
  <c r="D8" i="7"/>
  <c r="E8" i="7"/>
  <c r="G8" i="7"/>
  <c r="D16" i="7"/>
  <c r="M16" i="7" s="1"/>
  <c r="E16" i="7"/>
  <c r="G16" i="7"/>
  <c r="D24" i="7"/>
  <c r="E24" i="7"/>
  <c r="G24" i="7"/>
  <c r="E32" i="7"/>
  <c r="G32" i="7"/>
  <c r="D38" i="7"/>
  <c r="E38" i="7"/>
  <c r="G38" i="7"/>
  <c r="E46" i="7"/>
  <c r="G46" i="7"/>
  <c r="E54" i="7"/>
  <c r="G54" i="7"/>
  <c r="D62" i="7"/>
  <c r="E62" i="7"/>
  <c r="G62" i="7"/>
  <c r="D70" i="7"/>
  <c r="E70" i="7"/>
  <c r="G70" i="7"/>
  <c r="E78" i="7"/>
  <c r="G78" i="7"/>
  <c r="D86" i="7"/>
  <c r="E86" i="7"/>
  <c r="G86" i="7"/>
  <c r="E94" i="7"/>
  <c r="G94" i="7"/>
  <c r="F55" i="7"/>
  <c r="M55" i="7" s="1"/>
  <c r="F39" i="7"/>
  <c r="M39" i="7" s="1"/>
  <c r="F25" i="7"/>
  <c r="F33" i="7"/>
  <c r="H33" i="7"/>
  <c r="F73" i="7"/>
  <c r="H73" i="7"/>
  <c r="I9" i="7"/>
  <c r="E9" i="7"/>
  <c r="F70" i="7"/>
  <c r="F38" i="7"/>
  <c r="F24" i="7"/>
  <c r="F8" i="7"/>
  <c r="G89" i="7"/>
  <c r="G73" i="7"/>
  <c r="G57" i="7"/>
  <c r="G41" i="7"/>
  <c r="G27" i="7"/>
  <c r="F11" i="7"/>
  <c r="H11" i="7"/>
  <c r="E71" i="7"/>
  <c r="I71" i="7"/>
  <c r="D79" i="7"/>
  <c r="N79" i="7" s="1"/>
  <c r="E79" i="7"/>
  <c r="L79" i="7" s="1"/>
  <c r="E87" i="7"/>
  <c r="I87" i="7"/>
  <c r="F54" i="7"/>
  <c r="G11" i="7"/>
  <c r="E97" i="7"/>
  <c r="E81" i="7"/>
  <c r="E65" i="7"/>
  <c r="E49" i="7"/>
  <c r="E33" i="7"/>
  <c r="E19" i="7"/>
  <c r="G87" i="7"/>
  <c r="G71" i="7"/>
  <c r="G55" i="7"/>
  <c r="G39" i="7"/>
  <c r="G25" i="7"/>
  <c r="G9" i="7"/>
  <c r="E98" i="7"/>
  <c r="E90" i="7"/>
  <c r="E82" i="7"/>
  <c r="E74" i="7"/>
  <c r="E66" i="7"/>
  <c r="E58" i="7"/>
  <c r="E50" i="7"/>
  <c r="E42" i="7"/>
  <c r="E34" i="7"/>
  <c r="E28" i="7"/>
  <c r="E20" i="7"/>
  <c r="E12" i="7"/>
  <c r="G96" i="7"/>
  <c r="N96" i="7" s="1"/>
  <c r="G88" i="7"/>
  <c r="N88" i="7" s="1"/>
  <c r="G80" i="7"/>
  <c r="G72" i="7"/>
  <c r="G64" i="7"/>
  <c r="N64" i="7" s="1"/>
  <c r="G56" i="7"/>
  <c r="N56" i="7" s="1"/>
  <c r="G48" i="7"/>
  <c r="G40" i="7"/>
  <c r="G26" i="7"/>
  <c r="N26" i="7" s="1"/>
  <c r="G18" i="7"/>
  <c r="G10" i="7"/>
  <c r="E96" i="7"/>
  <c r="L96" i="7" s="1"/>
  <c r="E88" i="7"/>
  <c r="E80" i="7"/>
  <c r="E72" i="7"/>
  <c r="E64" i="7"/>
  <c r="E56" i="7"/>
  <c r="L56" i="7" s="1"/>
  <c r="E48" i="7"/>
  <c r="E40" i="7"/>
  <c r="E26" i="7"/>
  <c r="E18" i="7"/>
  <c r="E10" i="7"/>
  <c r="L10" i="7" s="1"/>
  <c r="F99" i="7"/>
  <c r="F83" i="7"/>
  <c r="F35" i="7"/>
  <c r="F4" i="7"/>
  <c r="G4" i="7"/>
  <c r="G92" i="7"/>
  <c r="G84" i="7"/>
  <c r="G68" i="7"/>
  <c r="G44" i="7"/>
  <c r="G30" i="7"/>
  <c r="G14" i="7"/>
  <c r="G6" i="7"/>
  <c r="H36" i="7"/>
  <c r="D61" i="7"/>
  <c r="L61" i="7" s="1"/>
  <c r="I88" i="7"/>
  <c r="D94" i="7"/>
  <c r="I55" i="7"/>
  <c r="H100" i="7"/>
  <c r="I39" i="7"/>
  <c r="H97" i="7"/>
  <c r="D17" i="7"/>
  <c r="I25" i="7"/>
  <c r="I72" i="7"/>
  <c r="I26" i="7"/>
  <c r="H51" i="7"/>
  <c r="H50" i="7"/>
  <c r="D54" i="7"/>
  <c r="D32" i="7"/>
  <c r="L32" i="7" s="1"/>
  <c r="I98" i="7"/>
  <c r="I82" i="7"/>
  <c r="I66" i="7"/>
  <c r="I50" i="7"/>
  <c r="I34" i="7"/>
  <c r="I20" i="7"/>
  <c r="H89" i="7"/>
  <c r="H67" i="7"/>
  <c r="H49" i="7"/>
  <c r="H27" i="7"/>
  <c r="H5" i="7"/>
  <c r="D78" i="7"/>
  <c r="D25" i="7"/>
  <c r="M25" i="7" s="1"/>
  <c r="I97" i="7"/>
  <c r="I81" i="7"/>
  <c r="I65" i="7"/>
  <c r="I49" i="7"/>
  <c r="I33" i="7"/>
  <c r="I19" i="7"/>
  <c r="N40" i="7"/>
  <c r="H98" i="7"/>
  <c r="H74" i="7"/>
  <c r="H34" i="7"/>
  <c r="I56" i="7"/>
  <c r="H90" i="7"/>
  <c r="H28" i="7"/>
  <c r="H66" i="7"/>
  <c r="H42" i="7"/>
  <c r="H22" i="7"/>
  <c r="D4" i="7"/>
  <c r="D77" i="7"/>
  <c r="D47" i="7"/>
  <c r="M47" i="7" s="1"/>
  <c r="I96" i="7"/>
  <c r="I80" i="7"/>
  <c r="I64" i="7"/>
  <c r="I48" i="7"/>
  <c r="P48" i="7" s="1"/>
  <c r="I18" i="7"/>
  <c r="H12" i="7"/>
  <c r="I40" i="7"/>
  <c r="I10" i="7"/>
  <c r="H65" i="7"/>
  <c r="H41" i="7"/>
  <c r="H21" i="7"/>
  <c r="D95" i="7"/>
  <c r="L95" i="7" s="1"/>
  <c r="D71" i="7"/>
  <c r="I95" i="7"/>
  <c r="I79" i="7"/>
  <c r="P79" i="7" s="1"/>
  <c r="I63" i="7"/>
  <c r="I47" i="7"/>
  <c r="I17" i="7"/>
  <c r="H82" i="7"/>
  <c r="H58" i="7"/>
  <c r="H20" i="7"/>
  <c r="I90" i="7"/>
  <c r="I74" i="7"/>
  <c r="I58" i="7"/>
  <c r="I42" i="7"/>
  <c r="I28" i="7"/>
  <c r="I12" i="7"/>
  <c r="H81" i="7"/>
  <c r="H57" i="7"/>
  <c r="H19" i="7"/>
  <c r="D87" i="7"/>
  <c r="I89" i="7"/>
  <c r="I73" i="7"/>
  <c r="I57" i="7"/>
  <c r="I41" i="7"/>
  <c r="I27" i="7"/>
  <c r="I11" i="7"/>
  <c r="I29" i="7"/>
  <c r="D29" i="7"/>
  <c r="M29" i="7" s="1"/>
  <c r="I67" i="7"/>
  <c r="D67" i="7"/>
  <c r="I99" i="7"/>
  <c r="D99" i="7"/>
  <c r="N99" i="7" s="1"/>
  <c r="I21" i="7"/>
  <c r="D21" i="7"/>
  <c r="L21" i="7" s="1"/>
  <c r="I51" i="7"/>
  <c r="D51" i="7"/>
  <c r="I91" i="7"/>
  <c r="D91" i="7"/>
  <c r="I13" i="7"/>
  <c r="D13" i="7"/>
  <c r="I35" i="7"/>
  <c r="D35" i="7"/>
  <c r="I59" i="7"/>
  <c r="D59" i="7"/>
  <c r="I83" i="7"/>
  <c r="D83" i="7"/>
  <c r="I6" i="7"/>
  <c r="D6" i="7"/>
  <c r="I22" i="7"/>
  <c r="D22" i="7"/>
  <c r="I36" i="7"/>
  <c r="D36" i="7"/>
  <c r="I52" i="7"/>
  <c r="D52" i="7"/>
  <c r="D68" i="7"/>
  <c r="I68" i="7"/>
  <c r="I84" i="7"/>
  <c r="D84" i="7"/>
  <c r="I100" i="7"/>
  <c r="D100" i="7"/>
  <c r="H60" i="7"/>
  <c r="H7" i="7"/>
  <c r="I7" i="7"/>
  <c r="H15" i="7"/>
  <c r="I15" i="7"/>
  <c r="H23" i="7"/>
  <c r="I23" i="7"/>
  <c r="H31" i="7"/>
  <c r="I31" i="7"/>
  <c r="H37" i="7"/>
  <c r="I37" i="7"/>
  <c r="H45" i="7"/>
  <c r="I45" i="7"/>
  <c r="H53" i="7"/>
  <c r="I53" i="7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H29" i="7"/>
  <c r="H13" i="7"/>
  <c r="D93" i="7"/>
  <c r="O93" i="7" s="1"/>
  <c r="D31" i="7"/>
  <c r="N31" i="7" s="1"/>
  <c r="I5" i="7"/>
  <c r="D5" i="7"/>
  <c r="I43" i="7"/>
  <c r="D43" i="7"/>
  <c r="I75" i="7"/>
  <c r="D75" i="7"/>
  <c r="N75" i="7" s="1"/>
  <c r="I14" i="7"/>
  <c r="D14" i="7"/>
  <c r="D30" i="7"/>
  <c r="I30" i="7"/>
  <c r="I44" i="7"/>
  <c r="D44" i="7"/>
  <c r="O44" i="7" s="1"/>
  <c r="I60" i="7"/>
  <c r="D60" i="7"/>
  <c r="I76" i="7"/>
  <c r="D76" i="7"/>
  <c r="D92" i="7"/>
  <c r="I92" i="7"/>
  <c r="H76" i="7"/>
  <c r="H8" i="7"/>
  <c r="I8" i="7"/>
  <c r="H16" i="7"/>
  <c r="I16" i="7"/>
  <c r="H24" i="7"/>
  <c r="I24" i="7"/>
  <c r="H32" i="7"/>
  <c r="I32" i="7"/>
  <c r="H38" i="7"/>
  <c r="I38" i="7"/>
  <c r="H46" i="7"/>
  <c r="I46" i="7"/>
  <c r="H54" i="7"/>
  <c r="I54" i="7"/>
  <c r="H62" i="7"/>
  <c r="I62" i="7"/>
  <c r="H70" i="7"/>
  <c r="I70" i="7"/>
  <c r="H78" i="7"/>
  <c r="I78" i="7"/>
  <c r="H86" i="7"/>
  <c r="I86" i="7"/>
  <c r="H94" i="7"/>
  <c r="I94" i="7"/>
  <c r="D69" i="7"/>
  <c r="D46" i="7"/>
  <c r="D7" i="7"/>
  <c r="H96" i="7"/>
  <c r="O96" i="7" s="1"/>
  <c r="H88" i="7"/>
  <c r="H80" i="7"/>
  <c r="H72" i="7"/>
  <c r="H64" i="7"/>
  <c r="H56" i="7"/>
  <c r="O56" i="7" s="1"/>
  <c r="H48" i="7"/>
  <c r="H40" i="7"/>
  <c r="O40" i="7" s="1"/>
  <c r="H26" i="7"/>
  <c r="H18" i="7"/>
  <c r="H10" i="7"/>
  <c r="H95" i="7"/>
  <c r="H87" i="7"/>
  <c r="H79" i="7"/>
  <c r="O79" i="7" s="1"/>
  <c r="H71" i="7"/>
  <c r="H63" i="7"/>
  <c r="H55" i="7"/>
  <c r="H47" i="7"/>
  <c r="H39" i="7"/>
  <c r="H25" i="7"/>
  <c r="H17" i="7"/>
  <c r="H9" i="7"/>
  <c r="D98" i="7"/>
  <c r="D90" i="7"/>
  <c r="D82" i="7"/>
  <c r="D74" i="7"/>
  <c r="D66" i="7"/>
  <c r="D58" i="7"/>
  <c r="D50" i="7"/>
  <c r="L50" i="7" s="1"/>
  <c r="D42" i="7"/>
  <c r="D34" i="7"/>
  <c r="D28" i="7"/>
  <c r="D20" i="7"/>
  <c r="N20" i="7" s="1"/>
  <c r="D12" i="7"/>
  <c r="I4" i="7"/>
  <c r="D97" i="7"/>
  <c r="D89" i="7"/>
  <c r="D81" i="7"/>
  <c r="D73" i="7"/>
  <c r="D65" i="7"/>
  <c r="D57" i="7"/>
  <c r="D49" i="7"/>
  <c r="D41" i="7"/>
  <c r="D33" i="7"/>
  <c r="D27" i="7"/>
  <c r="D19" i="7"/>
  <c r="D11" i="7"/>
  <c r="L72" i="7"/>
  <c r="O10" i="7" l="1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N27" i="7"/>
  <c r="P18" i="7"/>
  <c r="M40" i="7"/>
  <c r="M80" i="7"/>
  <c r="L60" i="7"/>
  <c r="O8" i="7"/>
  <c r="O64" i="7"/>
  <c r="M13" i="7"/>
  <c r="L78" i="7"/>
  <c r="L64" i="7"/>
  <c r="N55" i="7"/>
  <c r="M8" i="7"/>
  <c r="P64" i="7"/>
  <c r="M94" i="7"/>
  <c r="M77" i="7"/>
  <c r="L55" i="7"/>
  <c r="O18" i="7"/>
  <c r="O80" i="7"/>
  <c r="L80" i="7"/>
  <c r="L88" i="7"/>
  <c r="M86" i="7"/>
  <c r="L62" i="7"/>
  <c r="L33" i="7"/>
  <c r="P37" i="7"/>
  <c r="L18" i="7"/>
  <c r="N87" i="7"/>
  <c r="M38" i="7"/>
  <c r="M45" i="7"/>
  <c r="M62" i="7"/>
  <c r="L37" i="7"/>
  <c r="L45" i="7"/>
  <c r="M88" i="7"/>
  <c r="P53" i="7"/>
  <c r="M100" i="7"/>
  <c r="M51" i="7"/>
  <c r="L40" i="7"/>
  <c r="N9" i="7"/>
  <c r="M48" i="7"/>
  <c r="O83" i="7"/>
  <c r="N18" i="7"/>
  <c r="L94" i="7"/>
  <c r="N70" i="7"/>
  <c r="N95" i="7"/>
  <c r="L63" i="7"/>
  <c r="M26" i="7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L9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O94" i="7"/>
  <c r="M60" i="7"/>
  <c r="O24" i="7"/>
  <c r="L6" i="7"/>
  <c r="L24" i="7"/>
  <c r="P42" i="7"/>
  <c r="O9" i="7"/>
  <c r="O71" i="7"/>
  <c r="O46" i="7"/>
  <c r="P16" i="7"/>
  <c r="O37" i="7"/>
  <c r="L15" i="7"/>
  <c r="L100" i="7"/>
  <c r="M98" i="7"/>
  <c r="P77" i="7"/>
  <c r="N25" i="7"/>
  <c r="L25" i="7"/>
  <c r="L81" i="7"/>
  <c r="M73" i="7"/>
  <c r="O70" i="7"/>
  <c r="P38" i="7"/>
  <c r="L31" i="7"/>
  <c r="P15" i="7"/>
  <c r="P90" i="7"/>
  <c r="P17" i="7"/>
  <c r="N34" i="7"/>
  <c r="M24" i="7"/>
  <c r="P24" i="7"/>
  <c r="P75" i="7"/>
  <c r="P71" i="7"/>
  <c r="O31" i="7"/>
  <c r="P58" i="7"/>
  <c r="O16" i="7"/>
  <c r="P85" i="7"/>
  <c r="P31" i="7"/>
  <c r="N28" i="7"/>
  <c r="P41" i="7"/>
  <c r="O20" i="7"/>
  <c r="O100" i="7"/>
  <c r="P25" i="7"/>
  <c r="M20" i="7"/>
  <c r="P94" i="7"/>
  <c r="O78" i="7"/>
  <c r="O38" i="7"/>
  <c r="N14" i="7"/>
  <c r="P5" i="7"/>
  <c r="P84" i="7"/>
  <c r="P91" i="7"/>
  <c r="L99" i="7"/>
  <c r="O65" i="7"/>
  <c r="M28" i="7"/>
  <c r="P82" i="7"/>
  <c r="L47" i="7"/>
  <c r="P49" i="7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AsOf &lt;= '2015-06-01' and AsOf &gt;= '20070101' and AsOf not in (  '20090501','20090601', '20090701', '20070601', '20070701')Group by Asof order by asof desc"/>
  </connection>
  <connection id="2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3" name="NoLagNAQuery1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servicerName in ('N/A') and AsOf &lt;= '2015-06-01' and AsOf &gt;= '20070101' and AsOf not in ( '20090601', '20090701')Group by Asof order by asof desc"/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2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servicerName in ('REMAINING') and AsOf &lt;= '2015-06-01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" type="1" refreshedVersion="4" savePassword="1" saveData="1">
    <dbPr connection="DSN=Agency" command="select  * from ( select servicerName, asOf, sum(rpb) TotalBalance, Rank = RANK() over(partition by  asOf  order by  TotalBalance desc) from gnm.MappedServicerDist m join gnm.Sec b on b.issueID = m.issueId and b.issueDate = m.asOf where servicerName not in ('N/A' ,'REMAINING', 'OTHER ISSUERS') and rpb&gt;0 and collateralType = 'LOAN' and couponType = 'FIX' and AsOf &lt;= '2015-06-01' and AsOf &gt;= '20070101' Group by servicerName , asOf ) t where Rank &lt;= 10 order by asOf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NoLagTotalQuery1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AsOf &lt;= '2015-06-01' and AsOf &gt;= '20070101' and AsOf not in (  '20090501','20090601', '20090701', '20070601', '20070701')Group by Asof order by asof desc"/>
  </connection>
  <connection id="11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<sst xmlns="http://schemas.openxmlformats.org/spreadsheetml/2006/main" count="2545" uniqueCount="115">
  <si>
    <t>servicerName</t>
  </si>
  <si>
    <t>asOf</t>
  </si>
  <si>
    <t>TotalBalance</t>
  </si>
  <si>
    <t>Rank</t>
  </si>
  <si>
    <t>CITI</t>
  </si>
  <si>
    <t>PHH</t>
  </si>
  <si>
    <t>BANK OF AMERICA</t>
  </si>
  <si>
    <t>CWB</t>
  </si>
  <si>
    <t>US BANK</t>
  </si>
  <si>
    <t>OHIO SAVINGS BANK</t>
  </si>
  <si>
    <t>FLAGSTAR</t>
  </si>
  <si>
    <t>WELLS FARGO</t>
  </si>
  <si>
    <t>WACHOVIA</t>
  </si>
  <si>
    <t>CHASE</t>
  </si>
  <si>
    <t>WAMU</t>
  </si>
  <si>
    <t>FIRST BANK OF TENNESSEE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</si>
  <si>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</si>
  <si>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</si>
  <si>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</si>
  <si>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</si>
  <si>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</si>
  <si>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</si>
  <si>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</si>
  <si>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</si>
  <si>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</si>
  <si>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</si>
  <si>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SUNTRUST</t>
  </si>
  <si>
    <t>AMTRUST</t>
  </si>
  <si>
    <t>FIFTH THIRD</t>
  </si>
  <si>
    <t>RBS</t>
  </si>
  <si>
    <t>NY COMMUNITY</t>
  </si>
  <si>
    <t>TD BANK, N.A.</t>
  </si>
  <si>
    <t>QUICKEN</t>
  </si>
  <si>
    <t>NYCB MORTGAGE COMPANY, LLC</t>
  </si>
  <si>
    <t>FRANKLIN AMERICAN MORTGAGE COMPANY</t>
  </si>
  <si>
    <t>PENNYMAC CORP.</t>
  </si>
  <si>
    <t>PROVIDENT FUNDING</t>
  </si>
  <si>
    <t>NATIONSTAR</t>
  </si>
  <si>
    <t>GREEN TREE SERVICING, LLC</t>
  </si>
  <si>
    <t>ROUNDPOINT MORTGAGE SERVICING CORPORATIO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</si>
  <si>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</si>
  <si>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</si>
  <si>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</si>
  <si>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</si>
  <si>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</si>
  <si>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</si>
  <si>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</si>
  <si>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</si>
  <si>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</si>
  <si>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</si>
  <si>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</si>
  <si>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</si>
  <si>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</si>
  <si>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</si>
  <si>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</si>
  <si>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</si>
  <si>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</si>
  <si>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</si>
  <si>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</si>
  <si>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</si>
  <si>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</si>
  <si>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</si>
  <si>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</si>
  <si>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</si>
  <si>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</si>
  <si>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</si>
  <si>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</si>
  <si>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</si>
  <si>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</si>
  <si>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</si>
  <si>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</si>
  <si>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</si>
  <si>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</si>
  <si>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</si>
  <si>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</si>
  <si>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</si>
  <si>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</si>
  <si>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</si>
  <si>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</si>
  <si>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</si>
  <si>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</si>
  <si>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</si>
  <si>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</si>
  <si>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</si>
  <si>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</si>
  <si>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</si>
  <si>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</si>
  <si>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Top 10 Amount</t>
  </si>
  <si>
    <t>Top 5 Amount</t>
  </si>
  <si>
    <t>Top 1 Amount</t>
  </si>
  <si>
    <t>Remaining Amount</t>
  </si>
  <si>
    <t>N/A Amount</t>
  </si>
  <si>
    <t>NA</t>
  </si>
  <si>
    <t>Total Amount</t>
  </si>
  <si>
    <t>Change lag on</t>
  </si>
  <si>
    <t>PINGORA LOAN SERVICING, INC.</t>
  </si>
  <si>
    <t>Volume (M)</t>
  </si>
  <si>
    <t>S:\IT\Production\Daily Reports\Primary Market\tmp\</t>
  </si>
  <si>
    <t>Issue Month:</t>
  </si>
  <si>
    <t>Lag</t>
  </si>
  <si>
    <t>MIDFIRST</t>
  </si>
  <si>
    <t>TAYLOR BEAN WHITAKER</t>
  </si>
  <si>
    <t>FIRST HORIZON HOME LOAN CORPORATION</t>
  </si>
  <si>
    <t>PRUDENTIAL HUNTOON PAIGE ASSOCIATES, LTD</t>
  </si>
  <si>
    <t>BB&amp;T</t>
  </si>
  <si>
    <t>DBA FREEDOM HOME MORTGAGE CORP</t>
  </si>
  <si>
    <t>PENNYMAC LOAN SERVICES, LLC</t>
  </si>
  <si>
    <t>M&amp;T BANK</t>
  </si>
  <si>
    <t>STONEGATE MORTGAGE CORPORATION</t>
  </si>
  <si>
    <t>PACIFIC UNION FINANCIAL LLC</t>
  </si>
  <si>
    <t>SUN WEST MORTGAGE CO INC</t>
  </si>
  <si>
    <t>ROUNDPOINT MORTGAGE SERVICING CORPORATION</t>
  </si>
  <si>
    <t>STEARNS LENDING INC DBA FPF WHOLESALE CU</t>
  </si>
  <si>
    <t>CMG MORTGAGE INC</t>
  </si>
  <si>
    <t>AMERIHOME MORTGAGE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</si>
</sst>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6" formatCode="&quot;$&quot;#,##0"/>
    <numFmt numFmtId="197" formatCode="yyyy\-mm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6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2" fillId="11" borderId="0" applyNumberFormat="0" applyBorder="0" applyAlignment="0" applyProtection="0"/>
    <xf numFmtId="0" fontId="13" fillId="14" borderId="0" applyNumberFormat="0" applyBorder="0" applyAlignment="0" applyProtection="0"/>
    <xf numFmtId="0" fontId="14" fillId="21" borderId="0" applyNumberFormat="0" applyBorder="0" applyAlignment="0" applyProtection="0"/>
    <xf numFmtId="0" fontId="12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14" borderId="0" applyNumberFormat="0" applyBorder="0" applyAlignment="0" applyProtection="0"/>
    <xf numFmtId="0" fontId="12" fillId="19" borderId="0" applyNumberFormat="0" applyBorder="0" applyAlignment="0" applyProtection="0"/>
    <xf numFmtId="0" fontId="13" fillId="16" borderId="0" applyNumberFormat="0" applyBorder="0" applyAlignment="0" applyProtection="0"/>
    <xf numFmtId="0" fontId="14" fillId="19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0" borderId="0" applyNumberFormat="0" applyBorder="0" applyAlignment="0" applyProtection="0"/>
    <xf numFmtId="0" fontId="16" fillId="20" borderId="0" applyNumberFormat="0" applyBorder="0" applyAlignment="0" applyProtection="0"/>
    <xf numFmtId="0" fontId="17" fillId="20" borderId="0" applyNumberFormat="0" applyBorder="0" applyAlignment="0" applyProtection="0"/>
    <xf numFmtId="0" fontId="15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21" borderId="0" applyNumberFormat="0" applyBorder="0" applyAlignment="0" applyProtection="0"/>
    <xf numFmtId="0" fontId="15" fillId="17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9" borderId="0" applyNumberFormat="0" applyBorder="0" applyAlignment="0" applyProtection="0"/>
    <xf numFmtId="0" fontId="15" fillId="24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2" borderId="0" applyNumberFormat="0" applyBorder="0" applyAlignment="0" applyProtection="0"/>
    <xf numFmtId="0" fontId="15" fillId="34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5" fillId="30" borderId="0" applyNumberFormat="0" applyBorder="0" applyAlignment="0" applyProtection="0"/>
    <xf numFmtId="0" fontId="16" fillId="30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34" borderId="0" applyNumberFormat="0" applyBorder="0" applyAlignment="0" applyProtection="0"/>
    <xf numFmtId="0" fontId="17" fillId="24" borderId="0" applyNumberFormat="0" applyBorder="0" applyAlignment="0" applyProtection="0"/>
    <xf numFmtId="0" fontId="15" fillId="35" borderId="0" applyNumberFormat="0" applyBorder="0" applyAlignment="0" applyProtection="0"/>
    <xf numFmtId="0" fontId="16" fillId="35" borderId="0" applyNumberFormat="0" applyBorder="0" applyAlignment="0" applyProtection="0"/>
    <xf numFmtId="0" fontId="17" fillId="35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20" fillId="10" borderId="0" applyNumberFormat="0" applyBorder="0" applyAlignment="0" applyProtection="0"/>
    <xf numFmtId="38" fontId="21" fillId="13" borderId="0"/>
    <xf numFmtId="0" fontId="22" fillId="0" borderId="0" applyNumberFormat="0" applyFill="0" applyBorder="0" applyAlignment="0" applyProtection="0"/>
    <xf numFmtId="0" fontId="23" fillId="36" borderId="0">
      <alignment horizontal="left"/>
    </xf>
    <xf numFmtId="2" fontId="24" fillId="37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8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17" borderId="7" applyNumberFormat="0" applyAlignment="0" applyProtection="0"/>
    <xf numFmtId="0" fontId="32" fillId="39" borderId="8" applyNumberFormat="0"/>
    <xf numFmtId="0" fontId="33" fillId="40" borderId="9" applyBorder="0">
      <alignment horizontal="center" wrapText="1"/>
    </xf>
    <xf numFmtId="0" fontId="33" fillId="41" borderId="9" applyBorder="0">
      <alignment horizontal="center" wrapText="1"/>
    </xf>
    <xf numFmtId="0" fontId="34" fillId="42" borderId="8" applyNumberFormat="0"/>
    <xf numFmtId="0" fontId="35" fillId="43" borderId="8" applyNumberFormat="0"/>
    <xf numFmtId="0" fontId="3" fillId="43" borderId="8" applyNumberFormat="0"/>
    <xf numFmtId="0" fontId="34" fillId="42" borderId="8" applyNumberFormat="0"/>
    <xf numFmtId="0" fontId="35" fillId="42" borderId="8" applyNumberFormat="0"/>
    <xf numFmtId="0" fontId="34" fillId="39" borderId="8" applyNumberFormat="0"/>
    <xf numFmtId="0" fontId="32" fillId="39" borderId="8" applyNumberFormat="0"/>
    <xf numFmtId="0" fontId="5" fillId="6" borderId="4" applyNumberFormat="0" applyBorder="0"/>
    <xf numFmtId="0" fontId="5" fillId="6" borderId="4" applyNumberFormat="0" applyBorder="0"/>
    <xf numFmtId="0" fontId="5" fillId="6" borderId="4" applyNumberFormat="0"/>
    <xf numFmtId="0" fontId="5" fillId="6" borderId="4" applyNumberFormat="0" applyBorder="0"/>
    <xf numFmtId="14" fontId="36" fillId="42" borderId="10" applyNumberFormat="0" applyAlignment="0"/>
    <xf numFmtId="14" fontId="36" fillId="43" borderId="10" applyNumberFormat="0" applyAlignment="0"/>
    <xf numFmtId="14" fontId="37" fillId="43" borderId="10" applyNumberFormat="0" applyAlignment="0"/>
    <xf numFmtId="0" fontId="38" fillId="44" borderId="11" applyNumberFormat="0" applyAlignment="0" applyProtection="0"/>
    <xf numFmtId="0" fontId="39" fillId="44" borderId="11" applyNumberFormat="0" applyAlignment="0" applyProtection="0"/>
    <xf numFmtId="0" fontId="40" fillId="44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3" borderId="0"/>
    <xf numFmtId="14" fontId="13" fillId="0" borderId="0" applyFill="0" applyBorder="0" applyAlignment="0"/>
    <xf numFmtId="0" fontId="46" fillId="37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20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3" borderId="0"/>
    <xf numFmtId="0" fontId="57" fillId="12" borderId="0" applyNumberFormat="0" applyBorder="0" applyAlignment="0" applyProtection="0"/>
    <xf numFmtId="0" fontId="58" fillId="16" borderId="0" applyNumberFormat="0" applyBorder="0" applyAlignment="0" applyProtection="0"/>
    <xf numFmtId="0" fontId="59" fillId="12" borderId="0" applyNumberFormat="0" applyBorder="0" applyAlignment="0" applyProtection="0"/>
    <xf numFmtId="2" fontId="60" fillId="37" borderId="6" applyProtection="0">
      <alignment horizontal="left"/>
      <protection locked="0"/>
    </xf>
    <xf numFmtId="38" fontId="41" fillId="45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7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3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6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3" borderId="1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5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3" borderId="0"/>
    <xf numFmtId="0" fontId="83" fillId="9" borderId="0" applyNumberFormat="0" applyBorder="0" applyAlignment="0" applyProtection="0"/>
    <xf numFmtId="0" fontId="84" fillId="14" borderId="0" applyNumberFormat="0" applyBorder="0" applyAlignment="0" applyProtection="0"/>
    <xf numFmtId="0" fontId="85" fillId="38" borderId="0" applyNumberFormat="0" applyBorder="0" applyAlignment="0" applyProtection="0"/>
    <xf numFmtId="37" fontId="86" fillId="0" borderId="0"/>
    <xf numFmtId="0" fontId="49" fillId="13" borderId="0" applyNumberFormat="0" applyFont="0" applyFill="0" applyBorder="0" applyAlignment="0"/>
    <xf numFmtId="10" fontId="13" fillId="13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3" borderId="0"/>
    <xf numFmtId="0" fontId="10" fillId="43" borderId="0"/>
    <xf numFmtId="0" fontId="10" fillId="0" borderId="0"/>
    <xf numFmtId="0" fontId="10" fillId="0" borderId="0"/>
    <xf numFmtId="0" fontId="34" fillId="42" borderId="0"/>
    <xf numFmtId="0" fontId="34" fillId="42" borderId="0"/>
    <xf numFmtId="0" fontId="34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34" fillId="42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4" borderId="2" applyNumberFormat="0" applyFont="0" applyAlignment="0" applyProtection="0"/>
    <xf numFmtId="0" fontId="13" fillId="11" borderId="26" applyNumberFormat="0" applyFont="0" applyAlignment="0" applyProtection="0"/>
    <xf numFmtId="0" fontId="89" fillId="11" borderId="26" applyNumberFormat="0" applyFont="0" applyAlignment="0" applyProtection="0"/>
    <xf numFmtId="0" fontId="34" fillId="4" borderId="2" applyNumberFormat="0" applyFont="0" applyAlignment="0" applyProtection="0"/>
    <xf numFmtId="0" fontId="90" fillId="0" borderId="0"/>
    <xf numFmtId="0" fontId="14" fillId="11" borderId="26" applyNumberFormat="0" applyFont="0" applyAlignment="0" applyProtection="0"/>
    <xf numFmtId="0" fontId="34" fillId="4" borderId="2" applyNumberFormat="0" applyFont="0" applyAlignment="0" applyProtection="0"/>
    <xf numFmtId="0" fontId="34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7" borderId="0" applyNumberFormat="0" applyFont="0" applyBorder="0" applyAlignment="0" applyProtection="0"/>
    <xf numFmtId="0" fontId="91" fillId="0" borderId="27"/>
    <xf numFmtId="2" fontId="92" fillId="37" borderId="6">
      <alignment horizontal="left"/>
    </xf>
    <xf numFmtId="0" fontId="93" fillId="13" borderId="28" applyNumberFormat="0" applyAlignment="0" applyProtection="0"/>
    <xf numFmtId="0" fontId="94" fillId="15" borderId="28" applyNumberFormat="0" applyAlignment="0" applyProtection="0"/>
    <xf numFmtId="0" fontId="95" fillId="17" borderId="28" applyNumberFormat="0" applyAlignment="0" applyProtection="0"/>
    <xf numFmtId="40" fontId="13" fillId="37" borderId="0">
      <alignment horizontal="right"/>
    </xf>
    <xf numFmtId="0" fontId="96" fillId="46" borderId="0">
      <alignment horizontal="center"/>
    </xf>
    <xf numFmtId="0" fontId="39" fillId="47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5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4" borderId="0">
      <alignment horizontal="left"/>
    </xf>
    <xf numFmtId="0" fontId="104" fillId="0" borderId="31"/>
    <xf numFmtId="188" fontId="24" fillId="11" borderId="0">
      <alignment horizontal="center"/>
    </xf>
    <xf numFmtId="188" fontId="105" fillId="11" borderId="0">
      <alignment horizontal="center"/>
    </xf>
    <xf numFmtId="188" fontId="24" fillId="12" borderId="0">
      <alignment horizontal="center"/>
    </xf>
    <xf numFmtId="0" fontId="24" fillId="11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7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8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3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3" borderId="0"/>
    <xf numFmtId="0" fontId="34" fillId="49" borderId="33" applyBorder="0">
      <alignment horizontal="center" wrapText="1"/>
    </xf>
    <xf numFmtId="0" fontId="33" fillId="40" borderId="9" applyBorder="0">
      <alignment horizontal="center" wrapText="1"/>
    </xf>
    <xf numFmtId="0" fontId="34" fillId="50" borderId="9" applyBorder="0">
      <alignment horizontal="center" wrapText="1"/>
    </xf>
    <xf numFmtId="0" fontId="33" fillId="41" borderId="9" applyBorder="0">
      <alignment horizontal="center" wrapText="1"/>
    </xf>
    <xf numFmtId="0" fontId="7" fillId="51" borderId="9" applyBorder="0">
      <alignment horizontal="center" wrapText="1"/>
    </xf>
    <xf numFmtId="0" fontId="33" fillId="52" borderId="9" applyBorder="0">
      <alignment horizontal="center" wrapText="1"/>
    </xf>
    <xf numFmtId="0" fontId="33" fillId="52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3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2" borderId="10"/>
    <xf numFmtId="1" fontId="124" fillId="43" borderId="10"/>
    <xf numFmtId="2" fontId="125" fillId="43" borderId="10"/>
    <xf numFmtId="0" fontId="126" fillId="42" borderId="4" applyNumberFormat="0" applyAlignment="0"/>
    <xf numFmtId="0" fontId="127" fillId="43" borderId="4" applyNumberFormat="0" applyAlignment="0"/>
    <xf numFmtId="1" fontId="128" fillId="43" borderId="10" applyNumberFormat="0"/>
    <xf numFmtId="178" fontId="129" fillId="43" borderId="10" applyNumberFormat="0"/>
    <xf numFmtId="0" fontId="10" fillId="0" borderId="0"/>
  </cellStyleXfs>
  <cellXfs count="64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0" fontId="4" fillId="0" borderId="3" xfId="0" applyFont="1" applyBorder="1"/>
    <xf numFmtId="0" fontId="5" fillId="6" borderId="3" xfId="4" applyFont="1" applyBorder="1" applyAlignment="1">
      <alignment horizontal="center"/>
    </xf>
    <xf numFmtId="14" fontId="5" fillId="6" borderId="3" xfId="4" applyNumberFormat="1" applyFont="1" applyBorder="1"/>
    <xf numFmtId="0" fontId="6" fillId="0" borderId="0" xfId="0" applyFont="1"/>
    <xf numFmtId="0" fontId="34" fillId="42" borderId="0" xfId="353" applyFont="1"/>
    <xf numFmtId="0" fontId="7" fillId="0" borderId="0" xfId="0" applyFont="1"/>
    <xf numFmtId="44" fontId="0" fillId="0" borderId="0" xfId="3" applyFont="1"/>
    <xf numFmtId="44" fontId="0" fillId="0" borderId="0" xfId="0" applyNumberFormat="1"/>
    <xf numFmtId="165" fontId="8" fillId="8" borderId="38" xfId="0" applyNumberFormat="1" applyFont="1" applyFill="1" applyBorder="1" applyAlignment="1">
      <alignment horizontal="left"/>
    </xf>
    <xf numFmtId="165" fontId="8" fillId="8" borderId="38" xfId="0" applyNumberFormat="1" applyFont="1" applyFill="1" applyBorder="1" applyAlignment="1">
      <alignment horizontal="center"/>
    </xf>
    <xf numFmtId="165" fontId="8" fillId="8" borderId="39" xfId="0" applyNumberFormat="1" applyFont="1" applyFill="1" applyBorder="1" applyAlignment="1">
      <alignment horizontal="center"/>
    </xf>
    <xf numFmtId="165" fontId="7" fillId="0" borderId="38" xfId="2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2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5" applyFont="1"/>
    <xf numFmtId="0" fontId="130" fillId="0" borderId="0" xfId="5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2" applyNumberFormat="1" applyFont="1" applyBorder="1" applyAlignment="1">
      <alignment horizontal="center"/>
    </xf>
    <xf numFmtId="165" fontId="7" fillId="0" borderId="0" xfId="2" applyNumberFormat="1" applyFont="1" applyBorder="1" applyAlignment="1">
      <alignment horizontal="left"/>
    </xf>
    <xf numFmtId="195" fontId="4" fillId="0" borderId="0" xfId="2" applyNumberFormat="1" applyFont="1" applyBorder="1" applyAlignment="1">
      <alignment horizontal="center"/>
    </xf>
    <xf numFmtId="195" fontId="7" fillId="0" borderId="0" xfId="2" applyNumberFormat="1" applyFont="1" applyBorder="1" applyAlignment="1">
      <alignment horizontal="center"/>
    </xf>
    <xf numFmtId="14" fontId="7" fillId="0" borderId="0" xfId="0" applyNumberFormat="1" applyFont="1"/>
    <xf numFmtId="0" fontId="131" fillId="0" borderId="0" xfId="0" applyFont="1"/>
    <xf numFmtId="14" fontId="131" fillId="0" borderId="0" xfId="0" applyNumberFormat="1" applyFont="1"/>
    <xf numFmtId="0" fontId="5" fillId="6" borderId="3" xfId="4" applyFont="1" applyBorder="1" applyAlignment="1">
      <alignment horizontal="left"/>
    </xf>
    <xf numFmtId="14" fontId="132" fillId="0" borderId="0" xfId="0" applyNumberFormat="1" applyFont="1"/>
    <xf numFmtId="0" fontId="132" fillId="0" borderId="0" xfId="0" applyFont="1"/>
    <xf numFmtId="0" fontId="7" fillId="0" borderId="0" xfId="0" applyNumberFormat="1" applyFont="1"/>
    <xf numFmtId="9" fontId="7" fillId="0" borderId="0" xfId="2" applyFont="1"/>
    <xf numFmtId="195" fontId="7" fillId="0" borderId="0" xfId="2" applyNumberFormat="1" applyFont="1"/>
    <xf numFmtId="9" fontId="132" fillId="0" borderId="0" xfId="2" applyFont="1"/>
    <xf numFmtId="0" fontId="132" fillId="0" borderId="0" xfId="0" applyNumberFormat="1" applyFont="1"/>
    <xf numFmtId="0" fontId="132" fillId="0" borderId="0" xfId="2" applyNumberFormat="1" applyFont="1"/>
    <xf numFmtId="0" fontId="7" fillId="0" borderId="0" xfId="2" applyNumberFormat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2" applyNumberFormat="1" applyFont="1" applyBorder="1" applyAlignment="1">
      <alignment horizontal="center"/>
    </xf>
    <xf numFmtId="196" fontId="7" fillId="0" borderId="42" xfId="2" applyNumberFormat="1" applyFont="1" applyBorder="1" applyAlignment="1">
      <alignment horizontal="center"/>
    </xf>
    <xf numFmtId="196" fontId="7" fillId="0" borderId="42" xfId="0" applyNumberFormat="1" applyFont="1" applyBorder="1" applyAlignment="1">
      <alignment horizontal="center"/>
    </xf>
    <xf numFmtId="0" fontId="133" fillId="0" borderId="0" xfId="0" applyFont="1" applyAlignment="1">
      <alignment horizontal="right"/>
    </xf>
    <xf numFmtId="197" fontId="133" fillId="0" borderId="0" xfId="0" applyNumberFormat="1" applyFont="1" applyAlignment="1">
      <alignment horizontal="left"/>
    </xf>
    <xf numFmtId="14" fontId="134" fillId="0" borderId="0" xfId="0" applyNumberFormat="1" applyFont="1"/>
    <xf numFmtId="0" fontId="134" fillId="0" borderId="0" xfId="0" applyFont="1"/>
    <xf numFmtId="0" fontId="134" fillId="0" borderId="0" xfId="0" applyNumberFormat="1" applyFont="1"/>
    <xf numFmtId="9" fontId="134" fillId="0" borderId="0" xfId="2" applyFont="1"/>
    <xf numFmtId="0" fontId="134" fillId="0" borderId="0" xfId="2" applyNumberFormat="1" applyFont="1"/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 Combine'!$D$4:$D$100</c:f>
              <c:numCache>
                <c:formatCode>General</c:formatCode>
                <c:ptCount val="97"/>
                <c:pt idx="0">
                  <c:v>41476436391.800003</c:v>
                </c:pt>
                <c:pt idx="1">
                  <c:v>40489330126.019997</c:v>
                </c:pt>
                <c:pt idx="2">
                  <c:v>40527156414.769997</c:v>
                </c:pt>
                <c:pt idx="3">
                  <c:v>31578317075.630001</c:v>
                </c:pt>
                <c:pt idx="4">
                  <c:v>24217653446.099998</c:v>
                </c:pt>
                <c:pt idx="5">
                  <c:v>27262435401.509998</c:v>
                </c:pt>
                <c:pt idx="6">
                  <c:v>27829117697.049999</c:v>
                </c:pt>
                <c:pt idx="7">
                  <c:v>26555705393.77</c:v>
                </c:pt>
                <c:pt idx="8">
                  <c:v>29868572336.75</c:v>
                </c:pt>
                <c:pt idx="9">
                  <c:v>27533853996.610001</c:v>
                </c:pt>
                <c:pt idx="10">
                  <c:v>30530354411.009998</c:v>
                </c:pt>
                <c:pt idx="11">
                  <c:v>27413380042.200001</c:v>
                </c:pt>
                <c:pt idx="12">
                  <c:v>25728881993.799999</c:v>
                </c:pt>
                <c:pt idx="13">
                  <c:v>24207116913.740002</c:v>
                </c:pt>
                <c:pt idx="14">
                  <c:v>21999258156.419998</c:v>
                </c:pt>
                <c:pt idx="15">
                  <c:v>17047395223.98</c:v>
                </c:pt>
                <c:pt idx="16">
                  <c:v>20222239011.169998</c:v>
                </c:pt>
                <c:pt idx="17">
                  <c:v>21920064130.419998</c:v>
                </c:pt>
                <c:pt idx="18">
                  <c:v>21441669551.299999</c:v>
                </c:pt>
                <c:pt idx="19">
                  <c:v>24425721819.209999</c:v>
                </c:pt>
                <c:pt idx="20">
                  <c:v>26884500047.799999</c:v>
                </c:pt>
                <c:pt idx="21">
                  <c:v>30246465328.040001</c:v>
                </c:pt>
                <c:pt idx="22">
                  <c:v>34072165757.150002</c:v>
                </c:pt>
                <c:pt idx="23">
                  <c:v>37282597413.379997</c:v>
                </c:pt>
                <c:pt idx="24">
                  <c:v>40070305738.699997</c:v>
                </c:pt>
                <c:pt idx="25">
                  <c:v>40349366950.739998</c:v>
                </c:pt>
                <c:pt idx="26">
                  <c:v>39207819015.68</c:v>
                </c:pt>
                <c:pt idx="27">
                  <c:v>35969757043.540001</c:v>
                </c:pt>
                <c:pt idx="28">
                  <c:v>38063936628.589996</c:v>
                </c:pt>
                <c:pt idx="29">
                  <c:v>37478642030.029999</c:v>
                </c:pt>
                <c:pt idx="30">
                  <c:v>40588469160.410004</c:v>
                </c:pt>
                <c:pt idx="31">
                  <c:v>40377783920.790001</c:v>
                </c:pt>
                <c:pt idx="32">
                  <c:v>35764476169.269997</c:v>
                </c:pt>
                <c:pt idx="33">
                  <c:v>37945487987.889999</c:v>
                </c:pt>
                <c:pt idx="34">
                  <c:v>38079955996.330002</c:v>
                </c:pt>
                <c:pt idx="35">
                  <c:v>30326222816.41</c:v>
                </c:pt>
                <c:pt idx="36">
                  <c:v>32958680494.32</c:v>
                </c:pt>
                <c:pt idx="37">
                  <c:v>34838750444.559998</c:v>
                </c:pt>
                <c:pt idx="38">
                  <c:v>34798488088.949997</c:v>
                </c:pt>
                <c:pt idx="39">
                  <c:v>27983123127.27</c:v>
                </c:pt>
                <c:pt idx="40">
                  <c:v>26640859908.990002</c:v>
                </c:pt>
                <c:pt idx="41">
                  <c:v>28523030041.060001</c:v>
                </c:pt>
                <c:pt idx="42">
                  <c:v>26358158006.09</c:v>
                </c:pt>
                <c:pt idx="43">
                  <c:v>26639873770.48</c:v>
                </c:pt>
                <c:pt idx="44">
                  <c:v>24221879848.880001</c:v>
                </c:pt>
                <c:pt idx="45">
                  <c:v>26226574830.610001</c:v>
                </c:pt>
                <c:pt idx="46">
                  <c:v>25591163515.669998</c:v>
                </c:pt>
                <c:pt idx="47">
                  <c:v>25330543474.389999</c:v>
                </c:pt>
                <c:pt idx="48">
                  <c:v>24713045702.759998</c:v>
                </c:pt>
                <c:pt idx="49">
                  <c:v>23342277364.419998</c:v>
                </c:pt>
                <c:pt idx="50">
                  <c:v>23651545297.040001</c:v>
                </c:pt>
                <c:pt idx="51">
                  <c:v>22391126216.799999</c:v>
                </c:pt>
                <c:pt idx="52">
                  <c:v>24115689304.939999</c:v>
                </c:pt>
                <c:pt idx="53">
                  <c:v>32407281630.84</c:v>
                </c:pt>
                <c:pt idx="54">
                  <c:v>31794172427.73</c:v>
                </c:pt>
                <c:pt idx="55">
                  <c:v>32277101439.200001</c:v>
                </c:pt>
                <c:pt idx="56">
                  <c:v>33311732208.549999</c:v>
                </c:pt>
                <c:pt idx="57">
                  <c:v>32890725671.939999</c:v>
                </c:pt>
                <c:pt idx="58">
                  <c:v>32321115494.889999</c:v>
                </c:pt>
                <c:pt idx="59">
                  <c:v>34861046615.690002</c:v>
                </c:pt>
                <c:pt idx="60">
                  <c:v>32712631431.27</c:v>
                </c:pt>
                <c:pt idx="61">
                  <c:v>32543181394.959999</c:v>
                </c:pt>
                <c:pt idx="62">
                  <c:v>31107880094.700001</c:v>
                </c:pt>
                <c:pt idx="63">
                  <c:v>22158381362.720001</c:v>
                </c:pt>
                <c:pt idx="64">
                  <c:v>27524482427.09</c:v>
                </c:pt>
                <c:pt idx="65">
                  <c:v>35986611903.889999</c:v>
                </c:pt>
                <c:pt idx="66">
                  <c:v>40973315070.910004</c:v>
                </c:pt>
                <c:pt idx="67">
                  <c:v>34146479465.68</c:v>
                </c:pt>
                <c:pt idx="68">
                  <c:v>36816079871.599998</c:v>
                </c:pt>
                <c:pt idx="69">
                  <c:v>38844969127.540001</c:v>
                </c:pt>
                <c:pt idx="70">
                  <c:v>43301220344.230003</c:v>
                </c:pt>
                <c:pt idx="71">
                  <c:v>35593081340.43</c:v>
                </c:pt>
                <c:pt idx="72">
                  <c:v>34505511131.800003</c:v>
                </c:pt>
                <c:pt idx="73">
                  <c:v>28092224611.080002</c:v>
                </c:pt>
                <c:pt idx="74">
                  <c:v>29879289402.48</c:v>
                </c:pt>
                <c:pt idx="75">
                  <c:v>25259384716.610001</c:v>
                </c:pt>
                <c:pt idx="76">
                  <c:v>28783371110.040001</c:v>
                </c:pt>
                <c:pt idx="77">
                  <c:v>32031899669.07</c:v>
                </c:pt>
                <c:pt idx="78">
                  <c:v>29840076180.630001</c:v>
                </c:pt>
                <c:pt idx="79">
                  <c:v>31543550642.98</c:v>
                </c:pt>
                <c:pt idx="80">
                  <c:v>29055254325.32</c:v>
                </c:pt>
                <c:pt idx="81">
                  <c:v>30154595836.880001</c:v>
                </c:pt>
                <c:pt idx="82">
                  <c:v>23353487150.25</c:v>
                </c:pt>
                <c:pt idx="83">
                  <c:v>20540122319.009998</c:v>
                </c:pt>
                <c:pt idx="84">
                  <c:v>16282064822.610001</c:v>
                </c:pt>
                <c:pt idx="85">
                  <c:v>12940973043.82</c:v>
                </c:pt>
                <c:pt idx="86">
                  <c:v>13369802473.17</c:v>
                </c:pt>
                <c:pt idx="87">
                  <c:v>12894178971.040001</c:v>
                </c:pt>
                <c:pt idx="88">
                  <c:v>11306432081.23</c:v>
                </c:pt>
                <c:pt idx="89">
                  <c:v>11035046591.9</c:v>
                </c:pt>
                <c:pt idx="90">
                  <c:v>9677077155.4500008</c:v>
                </c:pt>
                <c:pt idx="91">
                  <c:v>10881683753.610001</c:v>
                </c:pt>
                <c:pt idx="92">
                  <c:v>8101112006.8299999</c:v>
                </c:pt>
                <c:pt idx="93">
                  <c:v>7089655690.1199999</c:v>
                </c:pt>
                <c:pt idx="94">
                  <c:v>6493191731.1199999</c:v>
                </c:pt>
                <c:pt idx="95">
                  <c:v>5928159958.2299995</c:v>
                </c:pt>
                <c:pt idx="96">
                  <c:v>7303999840.6899996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7056896"/>
        <c:axId val="317050240"/>
      </c:barChart>
      <c:lineChart>
        <c:grouping val="standard"/>
        <c:varyColors val="0"/>
        <c:ser>
          <c:idx val="0"/>
          <c:order val="0"/>
          <c:tx>
            <c:strRef>
              <c:f>'Result Combine'!$J$3</c:f>
              <c:strCache>
                <c:ptCount val="1"/>
                <c:pt idx="0">
                  <c:v>Top 10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 Combine'!$C$4:$C$100</c:f>
              <c:numCache>
                <c:formatCode>m/d/yyyy</c:formatCode>
                <c:ptCount val="97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39904</c:v>
                </c:pt>
                <c:pt idx="72">
                  <c:v>39873</c:v>
                </c:pt>
                <c:pt idx="73">
                  <c:v>39845</c:v>
                </c:pt>
                <c:pt idx="74">
                  <c:v>39814</c:v>
                </c:pt>
                <c:pt idx="75">
                  <c:v>39783</c:v>
                </c:pt>
                <c:pt idx="76">
                  <c:v>39753</c:v>
                </c:pt>
                <c:pt idx="77">
                  <c:v>39722</c:v>
                </c:pt>
                <c:pt idx="78">
                  <c:v>39692</c:v>
                </c:pt>
                <c:pt idx="79">
                  <c:v>39661</c:v>
                </c:pt>
                <c:pt idx="80">
                  <c:v>39630</c:v>
                </c:pt>
                <c:pt idx="81">
                  <c:v>39600</c:v>
                </c:pt>
                <c:pt idx="82">
                  <c:v>39569</c:v>
                </c:pt>
                <c:pt idx="83">
                  <c:v>39539</c:v>
                </c:pt>
                <c:pt idx="84">
                  <c:v>39508</c:v>
                </c:pt>
                <c:pt idx="85">
                  <c:v>39479</c:v>
                </c:pt>
                <c:pt idx="86">
                  <c:v>39448</c:v>
                </c:pt>
                <c:pt idx="87">
                  <c:v>39417</c:v>
                </c:pt>
                <c:pt idx="88">
                  <c:v>39387</c:v>
                </c:pt>
                <c:pt idx="89">
                  <c:v>39356</c:v>
                </c:pt>
                <c:pt idx="90">
                  <c:v>39326</c:v>
                </c:pt>
                <c:pt idx="91">
                  <c:v>39295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 Combine'!$J$4:$J$100</c:f>
              <c:numCache>
                <c:formatCode>0%</c:formatCode>
                <c:ptCount val="97"/>
                <c:pt idx="0">
                  <c:v>0.48199264355079297</c:v>
                </c:pt>
                <c:pt idx="1">
                  <c:v>0.47022305295104888</c:v>
                </c:pt>
                <c:pt idx="2">
                  <c:v>0.47157546646413195</c:v>
                </c:pt>
                <c:pt idx="3">
                  <c:v>0.49630675325395968</c:v>
                </c:pt>
                <c:pt idx="4">
                  <c:v>0.51613649947009765</c:v>
                </c:pt>
                <c:pt idx="5">
                  <c:v>0.49506629715305805</c:v>
                </c:pt>
                <c:pt idx="6">
                  <c:v>0.49595929277639583</c:v>
                </c:pt>
                <c:pt idx="7">
                  <c:v>0.49928740318344411</c:v>
                </c:pt>
                <c:pt idx="8">
                  <c:v>0.52868899208217857</c:v>
                </c:pt>
                <c:pt idx="9">
                  <c:v>0.50133800245361704</c:v>
                </c:pt>
                <c:pt idx="10">
                  <c:v>0.52952792030314255</c:v>
                </c:pt>
                <c:pt idx="11">
                  <c:v>0.47661071318556952</c:v>
                </c:pt>
                <c:pt idx="12">
                  <c:v>0.51320203204833592</c:v>
                </c:pt>
                <c:pt idx="13">
                  <c:v>0.51098005289300408</c:v>
                </c:pt>
                <c:pt idx="14">
                  <c:v>0.51365651755499442</c:v>
                </c:pt>
                <c:pt idx="15">
                  <c:v>0.52446242572961466</c:v>
                </c:pt>
                <c:pt idx="16">
                  <c:v>0.57703498808784326</c:v>
                </c:pt>
                <c:pt idx="17">
                  <c:v>0.54041316057468258</c:v>
                </c:pt>
                <c:pt idx="18">
                  <c:v>0.54080683873317847</c:v>
                </c:pt>
                <c:pt idx="19">
                  <c:v>0.58610240248748635</c:v>
                </c:pt>
                <c:pt idx="20">
                  <c:v>0.58344510089759249</c:v>
                </c:pt>
                <c:pt idx="21">
                  <c:v>0.58772457177930815</c:v>
                </c:pt>
                <c:pt idx="22">
                  <c:v>0.61366336551536382</c:v>
                </c:pt>
                <c:pt idx="23">
                  <c:v>0.63563353217834617</c:v>
                </c:pt>
                <c:pt idx="24">
                  <c:v>0.61250921756895627</c:v>
                </c:pt>
                <c:pt idx="25">
                  <c:v>0.62241806744180928</c:v>
                </c:pt>
                <c:pt idx="26">
                  <c:v>0.63688764171359813</c:v>
                </c:pt>
                <c:pt idx="27">
                  <c:v>0.6212656758918359</c:v>
                </c:pt>
                <c:pt idx="28">
                  <c:v>0.6423773080426588</c:v>
                </c:pt>
                <c:pt idx="29">
                  <c:v>0.63782662317903804</c:v>
                </c:pt>
                <c:pt idx="30">
                  <c:v>0.61894181514793134</c:v>
                </c:pt>
                <c:pt idx="31">
                  <c:v>0.6711966274220369</c:v>
                </c:pt>
                <c:pt idx="32">
                  <c:v>0.66742002864870187</c:v>
                </c:pt>
                <c:pt idx="33">
                  <c:v>0.684660381409543</c:v>
                </c:pt>
                <c:pt idx="34">
                  <c:v>0.7148155855060172</c:v>
                </c:pt>
                <c:pt idx="35">
                  <c:v>0.69975364230876269</c:v>
                </c:pt>
                <c:pt idx="36">
                  <c:v>0.70751663384032315</c:v>
                </c:pt>
                <c:pt idx="37">
                  <c:v>0.74168579546442304</c:v>
                </c:pt>
                <c:pt idx="38">
                  <c:v>0.73297865836100551</c:v>
                </c:pt>
                <c:pt idx="39">
                  <c:v>0.71385405950821834</c:v>
                </c:pt>
                <c:pt idx="40">
                  <c:v>0.71488454081556085</c:v>
                </c:pt>
                <c:pt idx="41">
                  <c:v>0.72642101932519643</c:v>
                </c:pt>
                <c:pt idx="42">
                  <c:v>0.72205615092271158</c:v>
                </c:pt>
                <c:pt idx="43">
                  <c:v>0.74687040754403333</c:v>
                </c:pt>
                <c:pt idx="44">
                  <c:v>0.75461974855370983</c:v>
                </c:pt>
                <c:pt idx="45">
                  <c:v>0.78108671634585458</c:v>
                </c:pt>
                <c:pt idx="46">
                  <c:v>0.7934310429725846</c:v>
                </c:pt>
                <c:pt idx="47">
                  <c:v>0.79373567179273397</c:v>
                </c:pt>
                <c:pt idx="48">
                  <c:v>0.80269707144411406</c:v>
                </c:pt>
                <c:pt idx="49">
                  <c:v>0.7900818052899633</c:v>
                </c:pt>
                <c:pt idx="50">
                  <c:v>0.79206603548117915</c:v>
                </c:pt>
                <c:pt idx="51">
                  <c:v>0.80743715472270705</c:v>
                </c:pt>
                <c:pt idx="52">
                  <c:v>0.82457031538081005</c:v>
                </c:pt>
                <c:pt idx="53">
                  <c:v>0.85248417311063163</c:v>
                </c:pt>
                <c:pt idx="54">
                  <c:v>0.82811353666046084</c:v>
                </c:pt>
                <c:pt idx="55">
                  <c:v>0.8298179305335992</c:v>
                </c:pt>
                <c:pt idx="56">
                  <c:v>0.83233596469965387</c:v>
                </c:pt>
                <c:pt idx="57">
                  <c:v>0.84045744445989023</c:v>
                </c:pt>
                <c:pt idx="58">
                  <c:v>0.84734994231773841</c:v>
                </c:pt>
                <c:pt idx="59">
                  <c:v>0.84476735345678333</c:v>
                </c:pt>
                <c:pt idx="60">
                  <c:v>0.8559015089879306</c:v>
                </c:pt>
                <c:pt idx="61">
                  <c:v>0.85997407745280463</c:v>
                </c:pt>
                <c:pt idx="62">
                  <c:v>0.86313693120395663</c:v>
                </c:pt>
                <c:pt idx="63">
                  <c:v>0.83654271816335435</c:v>
                </c:pt>
                <c:pt idx="64">
                  <c:v>0.86097390370749405</c:v>
                </c:pt>
                <c:pt idx="65">
                  <c:v>0.87121580882114025</c:v>
                </c:pt>
                <c:pt idx="66">
                  <c:v>0.84260073810115621</c:v>
                </c:pt>
                <c:pt idx="67">
                  <c:v>0.84282500404604666</c:v>
                </c:pt>
                <c:pt idx="68">
                  <c:v>0.85591931378951902</c:v>
                </c:pt>
                <c:pt idx="69">
                  <c:v>0.87445686852631466</c:v>
                </c:pt>
                <c:pt idx="70">
                  <c:v>0.86294554226297226</c:v>
                </c:pt>
                <c:pt idx="71">
                  <c:v>0.87356398001967328</c:v>
                </c:pt>
                <c:pt idx="72">
                  <c:v>0.90708718877300232</c:v>
                </c:pt>
                <c:pt idx="73">
                  <c:v>0.87572369731541222</c:v>
                </c:pt>
                <c:pt idx="74">
                  <c:v>0.8371833945058208</c:v>
                </c:pt>
                <c:pt idx="75">
                  <c:v>0.83003051397341421</c:v>
                </c:pt>
                <c:pt idx="76">
                  <c:v>0.8510933296129799</c:v>
                </c:pt>
                <c:pt idx="77">
                  <c:v>0.8454369849771779</c:v>
                </c:pt>
                <c:pt idx="78">
                  <c:v>0.84586644859688509</c:v>
                </c:pt>
                <c:pt idx="79">
                  <c:v>0.84190945343751933</c:v>
                </c:pt>
                <c:pt idx="80">
                  <c:v>0.84596212835281381</c:v>
                </c:pt>
                <c:pt idx="81">
                  <c:v>0.85668659826988636</c:v>
                </c:pt>
                <c:pt idx="82">
                  <c:v>0.84534675784419899</c:v>
                </c:pt>
                <c:pt idx="83">
                  <c:v>0.86838940982166979</c:v>
                </c:pt>
                <c:pt idx="84">
                  <c:v>0.84747864701217179</c:v>
                </c:pt>
                <c:pt idx="85">
                  <c:v>0.84693381219382502</c:v>
                </c:pt>
                <c:pt idx="86">
                  <c:v>0.86584692567453214</c:v>
                </c:pt>
                <c:pt idx="87">
                  <c:v>0.85103502637476747</c:v>
                </c:pt>
                <c:pt idx="88">
                  <c:v>0.83570656234217433</c:v>
                </c:pt>
                <c:pt idx="89">
                  <c:v>0.8452042323632919</c:v>
                </c:pt>
                <c:pt idx="90">
                  <c:v>0.84430357576290949</c:v>
                </c:pt>
                <c:pt idx="91">
                  <c:v>0.84998343009293564</c:v>
                </c:pt>
                <c:pt idx="92">
                  <c:v>0.81804754353263298</c:v>
                </c:pt>
                <c:pt idx="93">
                  <c:v>0.81141998581635366</c:v>
                </c:pt>
                <c:pt idx="94">
                  <c:v>0.80650736207610985</c:v>
                </c:pt>
                <c:pt idx="95">
                  <c:v>0.81299583062347114</c:v>
                </c:pt>
                <c:pt idx="96">
                  <c:v>0.81021879602491187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Combine'!$K$3</c:f>
              <c:strCache>
                <c:ptCount val="1"/>
                <c:pt idx="0">
                  <c:v>Top 5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 Combine'!$C$4:$C$100</c:f>
              <c:numCache>
                <c:formatCode>m/d/yyyy</c:formatCode>
                <c:ptCount val="97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39904</c:v>
                </c:pt>
                <c:pt idx="72">
                  <c:v>39873</c:v>
                </c:pt>
                <c:pt idx="73">
                  <c:v>39845</c:v>
                </c:pt>
                <c:pt idx="74">
                  <c:v>39814</c:v>
                </c:pt>
                <c:pt idx="75">
                  <c:v>39783</c:v>
                </c:pt>
                <c:pt idx="76">
                  <c:v>39753</c:v>
                </c:pt>
                <c:pt idx="77">
                  <c:v>39722</c:v>
                </c:pt>
                <c:pt idx="78">
                  <c:v>39692</c:v>
                </c:pt>
                <c:pt idx="79">
                  <c:v>39661</c:v>
                </c:pt>
                <c:pt idx="80">
                  <c:v>39630</c:v>
                </c:pt>
                <c:pt idx="81">
                  <c:v>39600</c:v>
                </c:pt>
                <c:pt idx="82">
                  <c:v>39569</c:v>
                </c:pt>
                <c:pt idx="83">
                  <c:v>39539</c:v>
                </c:pt>
                <c:pt idx="84">
                  <c:v>39508</c:v>
                </c:pt>
                <c:pt idx="85">
                  <c:v>39479</c:v>
                </c:pt>
                <c:pt idx="86">
                  <c:v>39448</c:v>
                </c:pt>
                <c:pt idx="87">
                  <c:v>39417</c:v>
                </c:pt>
                <c:pt idx="88">
                  <c:v>39387</c:v>
                </c:pt>
                <c:pt idx="89">
                  <c:v>39356</c:v>
                </c:pt>
                <c:pt idx="90">
                  <c:v>39326</c:v>
                </c:pt>
                <c:pt idx="91">
                  <c:v>39295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 Combine'!$K$4:$K$100</c:f>
              <c:numCache>
                <c:formatCode>0%</c:formatCode>
                <c:ptCount val="97"/>
                <c:pt idx="0">
                  <c:v>0.34665693493553335</c:v>
                </c:pt>
                <c:pt idx="1">
                  <c:v>0.342545460755523</c:v>
                </c:pt>
                <c:pt idx="2">
                  <c:v>0.34381649769787037</c:v>
                </c:pt>
                <c:pt idx="3">
                  <c:v>0.3560773529795736</c:v>
                </c:pt>
                <c:pt idx="4">
                  <c:v>0.39046656726243723</c:v>
                </c:pt>
                <c:pt idx="5">
                  <c:v>0.37397471004572463</c:v>
                </c:pt>
                <c:pt idx="6">
                  <c:v>0.3696874516431608</c:v>
                </c:pt>
                <c:pt idx="7">
                  <c:v>0.34685654249692488</c:v>
                </c:pt>
                <c:pt idx="8">
                  <c:v>0.38292644471752851</c:v>
                </c:pt>
                <c:pt idx="9">
                  <c:v>0.36320118039527821</c:v>
                </c:pt>
                <c:pt idx="10">
                  <c:v>0.39401330993006467</c:v>
                </c:pt>
                <c:pt idx="11">
                  <c:v>0.34126089720963959</c:v>
                </c:pt>
                <c:pt idx="12">
                  <c:v>0.39838311926301251</c:v>
                </c:pt>
                <c:pt idx="13">
                  <c:v>0.39316550907216485</c:v>
                </c:pt>
                <c:pt idx="14">
                  <c:v>0.39763177476269607</c:v>
                </c:pt>
                <c:pt idx="15">
                  <c:v>0.39540106962020116</c:v>
                </c:pt>
                <c:pt idx="16">
                  <c:v>0.4487648803486744</c:v>
                </c:pt>
                <c:pt idx="17">
                  <c:v>0.42512208819123787</c:v>
                </c:pt>
                <c:pt idx="18">
                  <c:v>0.43163554423488792</c:v>
                </c:pt>
                <c:pt idx="19">
                  <c:v>0.47493392168810011</c:v>
                </c:pt>
                <c:pt idx="20">
                  <c:v>0.46548323330543256</c:v>
                </c:pt>
                <c:pt idx="21">
                  <c:v>0.47609763610329109</c:v>
                </c:pt>
                <c:pt idx="22">
                  <c:v>0.50388953361490352</c:v>
                </c:pt>
                <c:pt idx="23">
                  <c:v>0.5084280724890492</c:v>
                </c:pt>
                <c:pt idx="24">
                  <c:v>0.49742088343313579</c:v>
                </c:pt>
                <c:pt idx="25">
                  <c:v>0.5172833664810994</c:v>
                </c:pt>
                <c:pt idx="26">
                  <c:v>0.51579772043663774</c:v>
                </c:pt>
                <c:pt idx="27">
                  <c:v>0.50747415777995319</c:v>
                </c:pt>
                <c:pt idx="28">
                  <c:v>0.53215310491310952</c:v>
                </c:pt>
                <c:pt idx="29">
                  <c:v>0.52371190120076749</c:v>
                </c:pt>
                <c:pt idx="30">
                  <c:v>0.50114066468168639</c:v>
                </c:pt>
                <c:pt idx="31">
                  <c:v>0.55208749786691735</c:v>
                </c:pt>
                <c:pt idx="32">
                  <c:v>0.54553119453359078</c:v>
                </c:pt>
                <c:pt idx="33">
                  <c:v>0.57258583392481377</c:v>
                </c:pt>
                <c:pt idx="34">
                  <c:v>0.60058140281081551</c:v>
                </c:pt>
                <c:pt idx="35">
                  <c:v>0.59432382582367449</c:v>
                </c:pt>
                <c:pt idx="36">
                  <c:v>0.61453435448304905</c:v>
                </c:pt>
                <c:pt idx="37">
                  <c:v>0.65206526135977527</c:v>
                </c:pt>
                <c:pt idx="38">
                  <c:v>0.64575591468830529</c:v>
                </c:pt>
                <c:pt idx="39">
                  <c:v>0.606597407453355</c:v>
                </c:pt>
                <c:pt idx="40">
                  <c:v>0.60199231916226881</c:v>
                </c:pt>
                <c:pt idx="41">
                  <c:v>0.61209325712406615</c:v>
                </c:pt>
                <c:pt idx="42">
                  <c:v>0.59866253417913906</c:v>
                </c:pt>
                <c:pt idx="43">
                  <c:v>0.64005654563215197</c:v>
                </c:pt>
                <c:pt idx="44">
                  <c:v>0.63428286362176789</c:v>
                </c:pt>
                <c:pt idx="45">
                  <c:v>0.66324591742296601</c:v>
                </c:pt>
                <c:pt idx="46">
                  <c:v>0.71454013331254584</c:v>
                </c:pt>
                <c:pt idx="47">
                  <c:v>0.71169320549661574</c:v>
                </c:pt>
                <c:pt idx="48">
                  <c:v>0.7147174340683301</c:v>
                </c:pt>
                <c:pt idx="49">
                  <c:v>0.71258462614122475</c:v>
                </c:pt>
                <c:pt idx="50">
                  <c:v>0.71643010415732256</c:v>
                </c:pt>
                <c:pt idx="51">
                  <c:v>0.72598821609354336</c:v>
                </c:pt>
                <c:pt idx="52">
                  <c:v>0.74846261449191076</c:v>
                </c:pt>
                <c:pt idx="53">
                  <c:v>0.76603928208576888</c:v>
                </c:pt>
                <c:pt idx="54">
                  <c:v>0.73211782804475112</c:v>
                </c:pt>
                <c:pt idx="55">
                  <c:v>0.7322601434546846</c:v>
                </c:pt>
                <c:pt idx="56">
                  <c:v>0.73220092340468801</c:v>
                </c:pt>
                <c:pt idx="57">
                  <c:v>0.75589339840714942</c:v>
                </c:pt>
                <c:pt idx="58">
                  <c:v>0.77649564456795739</c:v>
                </c:pt>
                <c:pt idx="59">
                  <c:v>0.78210025014965689</c:v>
                </c:pt>
                <c:pt idx="60">
                  <c:v>0.78645242615021282</c:v>
                </c:pt>
                <c:pt idx="61">
                  <c:v>0.79152112817185316</c:v>
                </c:pt>
                <c:pt idx="62">
                  <c:v>0.79612955673053043</c:v>
                </c:pt>
                <c:pt idx="63">
                  <c:v>0.75452768126144787</c:v>
                </c:pt>
                <c:pt idx="64">
                  <c:v>0.78309076512828713</c:v>
                </c:pt>
                <c:pt idx="65">
                  <c:v>0.80056407963362075</c:v>
                </c:pt>
                <c:pt idx="66">
                  <c:v>0.7526628904363406</c:v>
                </c:pt>
                <c:pt idx="67">
                  <c:v>0.738843251499678</c:v>
                </c:pt>
                <c:pt idx="68">
                  <c:v>0.76624142908548099</c:v>
                </c:pt>
                <c:pt idx="69">
                  <c:v>0.75701233256668687</c:v>
                </c:pt>
                <c:pt idx="70">
                  <c:v>0.75582032285889333</c:v>
                </c:pt>
                <c:pt idx="71">
                  <c:v>0.75334154321818725</c:v>
                </c:pt>
                <c:pt idx="72">
                  <c:v>0.78864247041746227</c:v>
                </c:pt>
                <c:pt idx="73">
                  <c:v>0.72260235143476537</c:v>
                </c:pt>
                <c:pt idx="74">
                  <c:v>0.69438066032145784</c:v>
                </c:pt>
                <c:pt idx="75">
                  <c:v>0.67405567659310139</c:v>
                </c:pt>
                <c:pt idx="76">
                  <c:v>0.69275673813567717</c:v>
                </c:pt>
                <c:pt idx="77">
                  <c:v>0.67004455147393216</c:v>
                </c:pt>
                <c:pt idx="78">
                  <c:v>0.68969972997754891</c:v>
                </c:pt>
                <c:pt idx="79">
                  <c:v>0.69099167109713955</c:v>
                </c:pt>
                <c:pt idx="80">
                  <c:v>0.70902511152715963</c:v>
                </c:pt>
                <c:pt idx="81">
                  <c:v>0.70265033809692978</c:v>
                </c:pt>
                <c:pt idx="82">
                  <c:v>0.67710035280151837</c:v>
                </c:pt>
                <c:pt idx="83">
                  <c:v>0.70671662346943864</c:v>
                </c:pt>
                <c:pt idx="84">
                  <c:v>0.69423488361644092</c:v>
                </c:pt>
                <c:pt idx="85">
                  <c:v>0.68515603802252456</c:v>
                </c:pt>
                <c:pt idx="86">
                  <c:v>0.71771164440059632</c:v>
                </c:pt>
                <c:pt idx="87">
                  <c:v>0.66666929198568925</c:v>
                </c:pt>
                <c:pt idx="88">
                  <c:v>0.63492533976191734</c:v>
                </c:pt>
                <c:pt idx="89">
                  <c:v>0.64909631714085192</c:v>
                </c:pt>
                <c:pt idx="90">
                  <c:v>0.67469257536227512</c:v>
                </c:pt>
                <c:pt idx="91">
                  <c:v>0.64703110586394474</c:v>
                </c:pt>
                <c:pt idx="92">
                  <c:v>0.64233096224850128</c:v>
                </c:pt>
                <c:pt idx="93">
                  <c:v>0.60766522703686909</c:v>
                </c:pt>
                <c:pt idx="94">
                  <c:v>0.59834289466758994</c:v>
                </c:pt>
                <c:pt idx="95">
                  <c:v>0.62542316191093461</c:v>
                </c:pt>
                <c:pt idx="96">
                  <c:v>0.64009747370946446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 Combine'!$L$3</c:f>
              <c:strCache>
                <c:ptCount val="1"/>
                <c:pt idx="0">
                  <c:v>Top 1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 Combine'!$C$4:$C$100</c:f>
              <c:numCache>
                <c:formatCode>m/d/yyyy</c:formatCode>
                <c:ptCount val="97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39904</c:v>
                </c:pt>
                <c:pt idx="72">
                  <c:v>39873</c:v>
                </c:pt>
                <c:pt idx="73">
                  <c:v>39845</c:v>
                </c:pt>
                <c:pt idx="74">
                  <c:v>39814</c:v>
                </c:pt>
                <c:pt idx="75">
                  <c:v>39783</c:v>
                </c:pt>
                <c:pt idx="76">
                  <c:v>39753</c:v>
                </c:pt>
                <c:pt idx="77">
                  <c:v>39722</c:v>
                </c:pt>
                <c:pt idx="78">
                  <c:v>39692</c:v>
                </c:pt>
                <c:pt idx="79">
                  <c:v>39661</c:v>
                </c:pt>
                <c:pt idx="80">
                  <c:v>39630</c:v>
                </c:pt>
                <c:pt idx="81">
                  <c:v>39600</c:v>
                </c:pt>
                <c:pt idx="82">
                  <c:v>39569</c:v>
                </c:pt>
                <c:pt idx="83">
                  <c:v>39539</c:v>
                </c:pt>
                <c:pt idx="84">
                  <c:v>39508</c:v>
                </c:pt>
                <c:pt idx="85">
                  <c:v>39479</c:v>
                </c:pt>
                <c:pt idx="86">
                  <c:v>39448</c:v>
                </c:pt>
                <c:pt idx="87">
                  <c:v>39417</c:v>
                </c:pt>
                <c:pt idx="88">
                  <c:v>39387</c:v>
                </c:pt>
                <c:pt idx="89">
                  <c:v>39356</c:v>
                </c:pt>
                <c:pt idx="90">
                  <c:v>39326</c:v>
                </c:pt>
                <c:pt idx="91">
                  <c:v>39295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 Combine'!$L$4:$L$100</c:f>
              <c:numCache>
                <c:formatCode>0%</c:formatCode>
                <c:ptCount val="97"/>
                <c:pt idx="0" formatCode="0.0%">
                  <c:v>0.13216165142465627</c:v>
                </c:pt>
                <c:pt idx="1">
                  <c:v>0.13051098591167118</c:v>
                </c:pt>
                <c:pt idx="2">
                  <c:v>0.13190242256996351</c:v>
                </c:pt>
                <c:pt idx="3">
                  <c:v>0.14313426531834345</c:v>
                </c:pt>
                <c:pt idx="4">
                  <c:v>0.16770412665823517</c:v>
                </c:pt>
                <c:pt idx="5">
                  <c:v>0.14322474324702961</c:v>
                </c:pt>
                <c:pt idx="6">
                  <c:v>0.1548384021264452</c:v>
                </c:pt>
                <c:pt idx="7">
                  <c:v>0.15103751552203029</c:v>
                </c:pt>
                <c:pt idx="8">
                  <c:v>0.1642441217615222</c:v>
                </c:pt>
                <c:pt idx="9">
                  <c:v>0.16756545687167684</c:v>
                </c:pt>
                <c:pt idx="10">
                  <c:v>0.20696332277398438</c:v>
                </c:pt>
                <c:pt idx="11">
                  <c:v>0.17232159799076321</c:v>
                </c:pt>
                <c:pt idx="12">
                  <c:v>0.23330728273760615</c:v>
                </c:pt>
                <c:pt idx="13">
                  <c:v>0.22122038575772859</c:v>
                </c:pt>
                <c:pt idx="14">
                  <c:v>0.20207123955735312</c:v>
                </c:pt>
                <c:pt idx="15">
                  <c:v>0.18894136609909684</c:v>
                </c:pt>
                <c:pt idx="16">
                  <c:v>0.24604668109113237</c:v>
                </c:pt>
                <c:pt idx="17">
                  <c:v>0.21897764837187222</c:v>
                </c:pt>
                <c:pt idx="18">
                  <c:v>0.22065948956400847</c:v>
                </c:pt>
                <c:pt idx="19">
                  <c:v>0.26465641541106683</c:v>
                </c:pt>
                <c:pt idx="20">
                  <c:v>0.23386267273155029</c:v>
                </c:pt>
                <c:pt idx="21">
                  <c:v>0.24028842596666367</c:v>
                </c:pt>
                <c:pt idx="22">
                  <c:v>0.2603576613053557</c:v>
                </c:pt>
                <c:pt idx="23">
                  <c:v>0.27187042281320173</c:v>
                </c:pt>
                <c:pt idx="24">
                  <c:v>0.27206029782451269</c:v>
                </c:pt>
                <c:pt idx="25">
                  <c:v>0.28473623992009855</c:v>
                </c:pt>
                <c:pt idx="26">
                  <c:v>0.28769409362527809</c:v>
                </c:pt>
                <c:pt idx="27">
                  <c:v>0.26600219763809535</c:v>
                </c:pt>
                <c:pt idx="28">
                  <c:v>0.30191690641446156</c:v>
                </c:pt>
                <c:pt idx="29">
                  <c:v>0.32908903492254221</c:v>
                </c:pt>
                <c:pt idx="30">
                  <c:v>0.28864856147241924</c:v>
                </c:pt>
                <c:pt idx="31">
                  <c:v>0.35365685912538342</c:v>
                </c:pt>
                <c:pt idx="32">
                  <c:v>0.33887574576511353</c:v>
                </c:pt>
                <c:pt idx="33">
                  <c:v>0.37535884447014084</c:v>
                </c:pt>
                <c:pt idx="34">
                  <c:v>0.40799638517800141</c:v>
                </c:pt>
                <c:pt idx="35">
                  <c:v>0.39950886178459588</c:v>
                </c:pt>
                <c:pt idx="36">
                  <c:v>0.37843344426423575</c:v>
                </c:pt>
                <c:pt idx="37">
                  <c:v>0.4267444456261057</c:v>
                </c:pt>
                <c:pt idx="38">
                  <c:v>0.42181340033652326</c:v>
                </c:pt>
                <c:pt idx="39">
                  <c:v>0.37117446173433272</c:v>
                </c:pt>
                <c:pt idx="40">
                  <c:v>0.38335027832842888</c:v>
                </c:pt>
                <c:pt idx="41">
                  <c:v>0.39559492932892726</c:v>
                </c:pt>
                <c:pt idx="42">
                  <c:v>0.36924447419775319</c:v>
                </c:pt>
                <c:pt idx="43">
                  <c:v>0.35934934120814016</c:v>
                </c:pt>
                <c:pt idx="44">
                  <c:v>0.35429330412754106</c:v>
                </c:pt>
                <c:pt idx="45">
                  <c:v>0.36206079330448132</c:v>
                </c:pt>
                <c:pt idx="46">
                  <c:v>0.36089961377819746</c:v>
                </c:pt>
                <c:pt idx="47">
                  <c:v>0.32729651029643575</c:v>
                </c:pt>
                <c:pt idx="48">
                  <c:v>0.32521697705889813</c:v>
                </c:pt>
                <c:pt idx="49">
                  <c:v>0.32070107823414629</c:v>
                </c:pt>
                <c:pt idx="50">
                  <c:v>0.31657846578029186</c:v>
                </c:pt>
                <c:pt idx="51">
                  <c:v>0.3189811963379991</c:v>
                </c:pt>
                <c:pt idx="52">
                  <c:v>0.33532318497209629</c:v>
                </c:pt>
                <c:pt idx="53">
                  <c:v>0.34533307259902751</c:v>
                </c:pt>
                <c:pt idx="54">
                  <c:v>0.35216008836023677</c:v>
                </c:pt>
                <c:pt idx="55">
                  <c:v>0.29276963636032793</c:v>
                </c:pt>
                <c:pt idx="56">
                  <c:v>0.29372028391452698</c:v>
                </c:pt>
                <c:pt idx="57">
                  <c:v>0.31476559227765299</c:v>
                </c:pt>
                <c:pt idx="58">
                  <c:v>0.31470330669429203</c:v>
                </c:pt>
                <c:pt idx="59">
                  <c:v>0.31777989823386521</c:v>
                </c:pt>
                <c:pt idx="60">
                  <c:v>0.31321217963608561</c:v>
                </c:pt>
                <c:pt idx="61">
                  <c:v>0.34312870439149407</c:v>
                </c:pt>
                <c:pt idx="62">
                  <c:v>0.37825278748598301</c:v>
                </c:pt>
                <c:pt idx="63">
                  <c:v>0.2977060417507969</c:v>
                </c:pt>
                <c:pt idx="64">
                  <c:v>0.34775868035575547</c:v>
                </c:pt>
                <c:pt idx="65">
                  <c:v>0.3761002753862186</c:v>
                </c:pt>
                <c:pt idx="66">
                  <c:v>0.28851264676855087</c:v>
                </c:pt>
                <c:pt idx="67">
                  <c:v>0.29742822617358655</c:v>
                </c:pt>
                <c:pt idx="68">
                  <c:v>0.30557933259397485</c:v>
                </c:pt>
                <c:pt idx="69">
                  <c:v>0.27156250342058241</c:v>
                </c:pt>
                <c:pt idx="70">
                  <c:v>0.27179795806466855</c:v>
                </c:pt>
                <c:pt idx="71">
                  <c:v>0.30637464096493588</c:v>
                </c:pt>
                <c:pt idx="72">
                  <c:v>0.28517531260162737</c:v>
                </c:pt>
                <c:pt idx="73">
                  <c:v>0.26543694156136566</c:v>
                </c:pt>
                <c:pt idx="74">
                  <c:v>0.25642922760619785</c:v>
                </c:pt>
                <c:pt idx="75">
                  <c:v>0.24060343976841117</c:v>
                </c:pt>
                <c:pt idx="76">
                  <c:v>0.23923380326108126</c:v>
                </c:pt>
                <c:pt idx="77">
                  <c:v>0.24240631616199856</c:v>
                </c:pt>
                <c:pt idx="78">
                  <c:v>0.22706861756801811</c:v>
                </c:pt>
                <c:pt idx="79">
                  <c:v>0.2019767615646616</c:v>
                </c:pt>
                <c:pt idx="80">
                  <c:v>0.23480530015442783</c:v>
                </c:pt>
                <c:pt idx="81">
                  <c:v>0.22666112129550542</c:v>
                </c:pt>
                <c:pt idx="82">
                  <c:v>0.21160845334342704</c:v>
                </c:pt>
                <c:pt idx="83">
                  <c:v>0.22509366357039509</c:v>
                </c:pt>
                <c:pt idx="84">
                  <c:v>0.21865452563093971</c:v>
                </c:pt>
                <c:pt idx="85">
                  <c:v>0.19186602988063037</c:v>
                </c:pt>
                <c:pt idx="86">
                  <c:v>0.20072480844914847</c:v>
                </c:pt>
                <c:pt idx="87">
                  <c:v>0.20247212558035627</c:v>
                </c:pt>
                <c:pt idx="88">
                  <c:v>0.18159430750205674</c:v>
                </c:pt>
                <c:pt idx="89">
                  <c:v>0.17606373759727634</c:v>
                </c:pt>
                <c:pt idx="90">
                  <c:v>0.21703297326994753</c:v>
                </c:pt>
                <c:pt idx="91">
                  <c:v>0.20211594477925912</c:v>
                </c:pt>
                <c:pt idx="92">
                  <c:v>0.18857490726359954</c:v>
                </c:pt>
                <c:pt idx="93">
                  <c:v>0.19550941886806056</c:v>
                </c:pt>
                <c:pt idx="94">
                  <c:v>0.17497763675831349</c:v>
                </c:pt>
                <c:pt idx="95">
                  <c:v>0.27345937805868908</c:v>
                </c:pt>
                <c:pt idx="96">
                  <c:v>0.24873797409726819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046784"/>
        <c:axId val="317048320"/>
      </c:lineChart>
      <c:dateAx>
        <c:axId val="317046784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317048320"/>
        <c:crosses val="autoZero"/>
        <c:auto val="1"/>
        <c:lblOffset val="100"/>
        <c:baseTimeUnit val="months"/>
        <c:majorUnit val="2"/>
        <c:majorTimeUnit val="months"/>
      </c:dateAx>
      <c:valAx>
        <c:axId val="31704832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17046784"/>
        <c:crosses val="autoZero"/>
        <c:crossBetween val="between"/>
      </c:valAx>
      <c:valAx>
        <c:axId val="317050240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317056896"/>
        <c:crosses val="max"/>
        <c:crossBetween val="between"/>
        <c:dispUnits>
          <c:builtInUnit val="billions"/>
        </c:dispUnits>
      </c:valAx>
      <c:catAx>
        <c:axId val="317056896"/>
        <c:scaling>
          <c:orientation val="minMax"/>
        </c:scaling>
        <c:delete val="1"/>
        <c:axPos val="b"/>
        <c:majorTickMark val="out"/>
        <c:minorTickMark val="none"/>
        <c:tickLblPos val="nextTo"/>
        <c:crossAx val="31705024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0.13216165142465627</c:v>
                </c:pt>
                <c:pt idx="1">
                  <c:v>7.6621510282119998E-2</c:v>
                </c:pt>
                <c:pt idx="2">
                  <c:v>5.474098483033793E-2</c:v>
                </c:pt>
                <c:pt idx="3">
                  <c:v>4.5479110144644168E-2</c:v>
                </c:pt>
                <c:pt idx="4">
                  <c:v>3.7653678253774955E-2</c:v>
                </c:pt>
                <c:pt idx="5">
                  <c:v>3.3220671153956938E-2</c:v>
                </c:pt>
                <c:pt idx="6">
                  <c:v>3.0921131558292535E-2</c:v>
                </c:pt>
                <c:pt idx="7">
                  <c:v>2.837568975628486E-2</c:v>
                </c:pt>
                <c:pt idx="8">
                  <c:v>2.1811352917215737E-2</c:v>
                </c:pt>
                <c:pt idx="9">
                  <c:v>2.1006863229509665E-2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0.13051098591167118</c:v>
                </c:pt>
                <c:pt idx="1">
                  <c:v>6.8144605475872713E-2</c:v>
                </c:pt>
                <c:pt idx="2">
                  <c:v>5.6996188409819092E-2</c:v>
                </c:pt>
                <c:pt idx="3">
                  <c:v>4.8461439106127206E-2</c:v>
                </c:pt>
                <c:pt idx="4">
                  <c:v>3.8432241852032846E-2</c:v>
                </c:pt>
                <c:pt idx="5">
                  <c:v>3.0507766813760846E-2</c:v>
                </c:pt>
                <c:pt idx="6">
                  <c:v>2.6873727979528753E-2</c:v>
                </c:pt>
                <c:pt idx="7">
                  <c:v>2.6829150842431586E-2</c:v>
                </c:pt>
                <c:pt idx="8">
                  <c:v>2.2864654834708214E-2</c:v>
                </c:pt>
                <c:pt idx="9">
                  <c:v>2.0602291725096446E-2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789696"/>
        <c:axId val="319800064"/>
      </c:barChart>
      <c:catAx>
        <c:axId val="319789696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19800064"/>
        <c:crosses val="autoZero"/>
        <c:auto val="1"/>
        <c:lblAlgn val="ctr"/>
        <c:lblOffset val="100"/>
        <c:noMultiLvlLbl val="0"/>
      </c:catAx>
      <c:valAx>
        <c:axId val="319800064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3197896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0.24636269220112281</c:v>
                </c:pt>
                <c:pt idx="1">
                  <c:v>0.2841822858931442</c:v>
                </c:pt>
                <c:pt idx="2">
                  <c:v>0.24949982685433592</c:v>
                </c:pt>
                <c:pt idx="3">
                  <c:v>0.25581238177079269</c:v>
                </c:pt>
                <c:pt idx="4">
                  <c:v>0.26512732652857557</c:v>
                </c:pt>
                <c:pt idx="5">
                  <c:v>0.23875424568212444</c:v>
                </c:pt>
                <c:pt idx="6">
                  <c:v>0.26428853731030344</c:v>
                </c:pt>
                <c:pt idx="7">
                  <c:v>0.22722420734431414</c:v>
                </c:pt>
                <c:pt idx="8">
                  <c:v>0.23501288103876991</c:v>
                </c:pt>
                <c:pt idx="9">
                  <c:v>0.26022610926824746</c:v>
                </c:pt>
                <c:pt idx="10">
                  <c:v>0.22817381475112358</c:v>
                </c:pt>
                <c:pt idx="11">
                  <c:v>0.21980679978152803</c:v>
                </c:pt>
                <c:pt idx="12">
                  <c:v>0.24972476246886532</c:v>
                </c:pt>
                <c:pt idx="13">
                  <c:v>0.24110548865093293</c:v>
                </c:pt>
                <c:pt idx="14">
                  <c:v>0.22930488835202725</c:v>
                </c:pt>
                <c:pt idx="15">
                  <c:v>0.17431360154276068</c:v>
                </c:pt>
                <c:pt idx="16">
                  <c:v>0.21654719329590358</c:v>
                </c:pt>
                <c:pt idx="17">
                  <c:v>0.22128133654971505</c:v>
                </c:pt>
                <c:pt idx="18">
                  <c:v>0.22344343624794941</c:v>
                </c:pt>
                <c:pt idx="19">
                  <c:v>0.17513053790699545</c:v>
                </c:pt>
                <c:pt idx="20">
                  <c:v>0.16748588520581784</c:v>
                </c:pt>
                <c:pt idx="21">
                  <c:v>0.20390101803626007</c:v>
                </c:pt>
                <c:pt idx="22">
                  <c:v>0.19079921884197154</c:v>
                </c:pt>
                <c:pt idx="23">
                  <c:v>0.20602999284109241</c:v>
                </c:pt>
                <c:pt idx="24">
                  <c:v>0.21430122319796135</c:v>
                </c:pt>
                <c:pt idx="25">
                  <c:v>0.1766367222480027</c:v>
                </c:pt>
                <c:pt idx="26">
                  <c:v>0.22312392267497616</c:v>
                </c:pt>
                <c:pt idx="27">
                  <c:v>0.23633644320086647</c:v>
                </c:pt>
                <c:pt idx="28">
                  <c:v>0.19534476965194081</c:v>
                </c:pt>
                <c:pt idx="29">
                  <c:v>0.22905909097314606</c:v>
                </c:pt>
                <c:pt idx="30">
                  <c:v>0.24916868550830817</c:v>
                </c:pt>
                <c:pt idx="31">
                  <c:v>0.26636989305782133</c:v>
                </c:pt>
                <c:pt idx="32">
                  <c:v>0.26132512234393679</c:v>
                </c:pt>
                <c:pt idx="33">
                  <c:v>0.21690748757067005</c:v>
                </c:pt>
                <c:pt idx="34">
                  <c:v>0.24938925253036257</c:v>
                </c:pt>
                <c:pt idx="35">
                  <c:v>0.25945914883095961</c:v>
                </c:pt>
                <c:pt idx="36">
                  <c:v>0.26340112469461252</c:v>
                </c:pt>
                <c:pt idx="37">
                  <c:v>0.23221855217642162</c:v>
                </c:pt>
                <c:pt idx="38">
                  <c:v>0.28336065864683552</c:v>
                </c:pt>
                <c:pt idx="39">
                  <c:v>0.26154400601732475</c:v>
                </c:pt>
                <c:pt idx="40">
                  <c:v>0.21411757028363768</c:v>
                </c:pt>
                <c:pt idx="41">
                  <c:v>0.22209856432238018</c:v>
                </c:pt>
                <c:pt idx="42">
                  <c:v>0.23207238394783508</c:v>
                </c:pt>
                <c:pt idx="43">
                  <c:v>0.18904510664903632</c:v>
                </c:pt>
                <c:pt idx="44">
                  <c:v>0.20621698716838782</c:v>
                </c:pt>
                <c:pt idx="45">
                  <c:v>0.18488393073974052</c:v>
                </c:pt>
                <c:pt idx="46">
                  <c:v>0.17774501775598905</c:v>
                </c:pt>
                <c:pt idx="47">
                  <c:v>0.22957188495669772</c:v>
                </c:pt>
                <c:pt idx="48">
                  <c:v>0.25591485351597654</c:v>
                </c:pt>
                <c:pt idx="49">
                  <c:v>0.18470634174024339</c:v>
                </c:pt>
                <c:pt idx="50">
                  <c:v>0.23577980701780243</c:v>
                </c:pt>
                <c:pt idx="51">
                  <c:v>0.22878844991226946</c:v>
                </c:pt>
                <c:pt idx="52">
                  <c:v>0.23561613857322325</c:v>
                </c:pt>
                <c:pt idx="53">
                  <c:v>0.18024855405800505</c:v>
                </c:pt>
                <c:pt idx="54">
                  <c:v>0.2241613499507375</c:v>
                </c:pt>
                <c:pt idx="55">
                  <c:v>0.21949732387745682</c:v>
                </c:pt>
                <c:pt idx="56">
                  <c:v>0.23970654509869141</c:v>
                </c:pt>
                <c:pt idx="57">
                  <c:v>0.23877487605465297</c:v>
                </c:pt>
                <c:pt idx="58">
                  <c:v>0.31991216756100593</c:v>
                </c:pt>
                <c:pt idx="59">
                  <c:v>0.2684757093875183</c:v>
                </c:pt>
                <c:pt idx="60">
                  <c:v>0.26106533078291561</c:v>
                </c:pt>
                <c:pt idx="61">
                  <c:v>0.35795720020052219</c:v>
                </c:pt>
                <c:pt idx="62">
                  <c:v>0.22892275323862449</c:v>
                </c:pt>
                <c:pt idx="63">
                  <c:v>0.31080586294319845</c:v>
                </c:pt>
                <c:pt idx="64">
                  <c:v>0.19506759561596548</c:v>
                </c:pt>
                <c:pt idx="65">
                  <c:v>0.25307285769095378</c:v>
                </c:pt>
                <c:pt idx="66">
                  <c:v>0.19783012765877508</c:v>
                </c:pt>
                <c:pt idx="67">
                  <c:v>0.18726065266600217</c:v>
                </c:pt>
                <c:pt idx="68">
                  <c:v>0.2206778111197692</c:v>
                </c:pt>
                <c:pt idx="69">
                  <c:v>0.17656361667081691</c:v>
                </c:pt>
                <c:pt idx="70">
                  <c:v>8.4019467689846125E-2</c:v>
                </c:pt>
                <c:pt idx="71">
                  <c:v>0.14715480369802222</c:v>
                </c:pt>
                <c:pt idx="72">
                  <c:v>0.15543212209873777</c:v>
                </c:pt>
                <c:pt idx="73">
                  <c:v>0.15240421371496468</c:v>
                </c:pt>
                <c:pt idx="74">
                  <c:v>0.148335265574044</c:v>
                </c:pt>
                <c:pt idx="75">
                  <c:v>0.22759616801521063</c:v>
                </c:pt>
                <c:pt idx="76">
                  <c:v>0.23220142964113813</c:v>
                </c:pt>
                <c:pt idx="77">
                  <c:v>0.23677842979061098</c:v>
                </c:pt>
                <c:pt idx="78">
                  <c:v>0.24361723778169839</c:v>
                </c:pt>
                <c:pt idx="79">
                  <c:v>0.24915486552110575</c:v>
                </c:pt>
                <c:pt idx="80">
                  <c:v>0.19661707526669342</c:v>
                </c:pt>
                <c:pt idx="81">
                  <c:v>0.19210481133245383</c:v>
                </c:pt>
                <c:pt idx="82">
                  <c:v>0.16235553377970091</c:v>
                </c:pt>
                <c:pt idx="83">
                  <c:v>0.10217808324968256</c:v>
                </c:pt>
                <c:pt idx="84">
                  <c:v>0.14469396786863739</c:v>
                </c:pt>
                <c:pt idx="85">
                  <c:v>0.11959707031534259</c:v>
                </c:pt>
                <c:pt idx="86">
                  <c:v>0.12175721902507194</c:v>
                </c:pt>
                <c:pt idx="87">
                  <c:v>0.13038574255632018</c:v>
                </c:pt>
                <c:pt idx="88">
                  <c:v>0.12696528542041305</c:v>
                </c:pt>
                <c:pt idx="89">
                  <c:v>0.11848884385691461</c:v>
                </c:pt>
                <c:pt idx="90">
                  <c:v>0.12763021479156866</c:v>
                </c:pt>
                <c:pt idx="91">
                  <c:v>9.889565738178506E-2</c:v>
                </c:pt>
                <c:pt idx="92">
                  <c:v>0.10116639670896706</c:v>
                </c:pt>
                <c:pt idx="93">
                  <c:v>0.12880289441241849</c:v>
                </c:pt>
                <c:pt idx="94">
                  <c:v>8.0706504100514415E-2</c:v>
                </c:pt>
                <c:pt idx="95">
                  <c:v>0.14733742692845792</c:v>
                </c:pt>
                <c:pt idx="96">
                  <c:v>0.13417771305645587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0.67329044839970842</c:v>
                </c:pt>
                <c:pt idx="1">
                  <c:v>0.71178118212515928</c:v>
                </c:pt>
                <c:pt idx="2">
                  <c:v>0.66439575742773882</c:v>
                </c:pt>
                <c:pt idx="3">
                  <c:v>0.69387438314627425</c:v>
                </c:pt>
                <c:pt idx="4">
                  <c:v>0.69388019062103157</c:v>
                </c:pt>
                <c:pt idx="5">
                  <c:v>0.65559362216724637</c:v>
                </c:pt>
                <c:pt idx="6">
                  <c:v>0.68524004319921961</c:v>
                </c:pt>
                <c:pt idx="7">
                  <c:v>0.65194307133524076</c:v>
                </c:pt>
                <c:pt idx="8">
                  <c:v>0.6518948692557156</c:v>
                </c:pt>
                <c:pt idx="9">
                  <c:v>0.65114981482513734</c:v>
                </c:pt>
                <c:pt idx="10">
                  <c:v>0.65124946646364579</c:v>
                </c:pt>
                <c:pt idx="11">
                  <c:v>0.61778676925991571</c:v>
                </c:pt>
                <c:pt idx="12">
                  <c:v>0.67937899499851695</c:v>
                </c:pt>
                <c:pt idx="13">
                  <c:v>0.6524090043104801</c:v>
                </c:pt>
                <c:pt idx="14">
                  <c:v>0.70402319257163559</c:v>
                </c:pt>
                <c:pt idx="15">
                  <c:v>0.66614255677342116</c:v>
                </c:pt>
                <c:pt idx="16">
                  <c:v>0.6651885250582108</c:v>
                </c:pt>
                <c:pt idx="17">
                  <c:v>0.68923290077531063</c:v>
                </c:pt>
                <c:pt idx="18">
                  <c:v>0.69570835774597106</c:v>
                </c:pt>
                <c:pt idx="19">
                  <c:v>0.654055597922794</c:v>
                </c:pt>
                <c:pt idx="20">
                  <c:v>0.66024138920147801</c:v>
                </c:pt>
                <c:pt idx="21">
                  <c:v>0.66719020931947037</c:v>
                </c:pt>
                <c:pt idx="22">
                  <c:v>0.63925896082261091</c:v>
                </c:pt>
                <c:pt idx="23">
                  <c:v>0.63876184903482536</c:v>
                </c:pt>
                <c:pt idx="24">
                  <c:v>0.61425261338238335</c:v>
                </c:pt>
                <c:pt idx="25">
                  <c:v>0.58056152178394227</c:v>
                </c:pt>
                <c:pt idx="26">
                  <c:v>0.60946073958699809</c:v>
                </c:pt>
                <c:pt idx="27">
                  <c:v>0.66249266809271756</c:v>
                </c:pt>
                <c:pt idx="28">
                  <c:v>0.51803539528457054</c:v>
                </c:pt>
                <c:pt idx="29">
                  <c:v>0.59322757276468918</c:v>
                </c:pt>
                <c:pt idx="30">
                  <c:v>0.58252307424613325</c:v>
                </c:pt>
                <c:pt idx="31">
                  <c:v>0.64294162331896221</c:v>
                </c:pt>
                <c:pt idx="32">
                  <c:v>0.6388984731944346</c:v>
                </c:pt>
                <c:pt idx="33">
                  <c:v>0.61380485688141773</c:v>
                </c:pt>
                <c:pt idx="34">
                  <c:v>0.6453417467159126</c:v>
                </c:pt>
                <c:pt idx="35">
                  <c:v>0.64012526475228637</c:v>
                </c:pt>
                <c:pt idx="36">
                  <c:v>0.70476091713093048</c:v>
                </c:pt>
                <c:pt idx="37">
                  <c:v>0.72288996819528029</c:v>
                </c:pt>
                <c:pt idx="38">
                  <c:v>0.69023458531878512</c:v>
                </c:pt>
                <c:pt idx="39">
                  <c:v>0.68733338153608714</c:v>
                </c:pt>
                <c:pt idx="40">
                  <c:v>0.62969704274353655</c:v>
                </c:pt>
                <c:pt idx="41">
                  <c:v>0.63315696017467626</c:v>
                </c:pt>
                <c:pt idx="42">
                  <c:v>0.55805775289735315</c:v>
                </c:pt>
                <c:pt idx="43">
                  <c:v>0.62944282252470773</c:v>
                </c:pt>
                <c:pt idx="44">
                  <c:v>0.5595676094859019</c:v>
                </c:pt>
                <c:pt idx="45">
                  <c:v>0.50751769552016823</c:v>
                </c:pt>
                <c:pt idx="46">
                  <c:v>0.59800947688755879</c:v>
                </c:pt>
                <c:pt idx="47">
                  <c:v>0.59387821527091189</c:v>
                </c:pt>
                <c:pt idx="48">
                  <c:v>0.63110413855606695</c:v>
                </c:pt>
                <c:pt idx="49">
                  <c:v>0.63038375430667215</c:v>
                </c:pt>
                <c:pt idx="50">
                  <c:v>0.61305264167744788</c:v>
                </c:pt>
                <c:pt idx="51">
                  <c:v>0.60201757888390139</c:v>
                </c:pt>
                <c:pt idx="52">
                  <c:v>0.63378109487029743</c:v>
                </c:pt>
                <c:pt idx="53">
                  <c:v>0.59040523237371945</c:v>
                </c:pt>
                <c:pt idx="54">
                  <c:v>0.56163517511182515</c:v>
                </c:pt>
                <c:pt idx="55">
                  <c:v>0.60735372857505066</c:v>
                </c:pt>
                <c:pt idx="56">
                  <c:v>0.50078184720149421</c:v>
                </c:pt>
                <c:pt idx="57">
                  <c:v>0.54753332588225001</c:v>
                </c:pt>
                <c:pt idx="58">
                  <c:v>0.5839375127078773</c:v>
                </c:pt>
                <c:pt idx="59">
                  <c:v>0.51007598670676924</c:v>
                </c:pt>
                <c:pt idx="60">
                  <c:v>0.49826055007523629</c:v>
                </c:pt>
                <c:pt idx="61">
                  <c:v>0.57541079089651459</c:v>
                </c:pt>
                <c:pt idx="62">
                  <c:v>0.44513905983860069</c:v>
                </c:pt>
                <c:pt idx="63">
                  <c:v>0.51760398357307569</c:v>
                </c:pt>
                <c:pt idx="64">
                  <c:v>0.41103631466349622</c:v>
                </c:pt>
                <c:pt idx="65">
                  <c:v>0.46241638852973094</c:v>
                </c:pt>
                <c:pt idx="66">
                  <c:v>0.44164198644180641</c:v>
                </c:pt>
                <c:pt idx="67">
                  <c:v>0.44438649016413884</c:v>
                </c:pt>
                <c:pt idx="68">
                  <c:v>0.45184864917921763</c:v>
                </c:pt>
                <c:pt idx="69">
                  <c:v>0.36505972786371155</c:v>
                </c:pt>
                <c:pt idx="70">
                  <c:v>0.33702326509064801</c:v>
                </c:pt>
                <c:pt idx="71">
                  <c:v>0.37470156812099736</c:v>
                </c:pt>
                <c:pt idx="72">
                  <c:v>0.4205332857330451</c:v>
                </c:pt>
                <c:pt idx="73">
                  <c:v>0.40014884747366275</c:v>
                </c:pt>
                <c:pt idx="74">
                  <c:v>0.40883260320162551</c:v>
                </c:pt>
                <c:pt idx="75">
                  <c:v>0.43738407576174293</c:v>
                </c:pt>
                <c:pt idx="76">
                  <c:v>0.44006519611605494</c:v>
                </c:pt>
                <c:pt idx="77">
                  <c:v>0.41746954085792631</c:v>
                </c:pt>
                <c:pt idx="78">
                  <c:v>0.42778849043288125</c:v>
                </c:pt>
                <c:pt idx="79">
                  <c:v>0.44795982088886382</c:v>
                </c:pt>
                <c:pt idx="80">
                  <c:v>0.35807032123398946</c:v>
                </c:pt>
                <c:pt idx="81">
                  <c:v>0.40008571475088917</c:v>
                </c:pt>
                <c:pt idx="82">
                  <c:v>0.33228822068798325</c:v>
                </c:pt>
                <c:pt idx="83">
                  <c:v>0.31603122926106775</c:v>
                </c:pt>
                <c:pt idx="84">
                  <c:v>0.38858480436722431</c:v>
                </c:pt>
                <c:pt idx="85">
                  <c:v>0.3285253026054718</c:v>
                </c:pt>
                <c:pt idx="86">
                  <c:v>0.33759538418962715</c:v>
                </c:pt>
                <c:pt idx="87">
                  <c:v>0.27156599576585394</c:v>
                </c:pt>
                <c:pt idx="88">
                  <c:v>0.30651291927338403</c:v>
                </c:pt>
                <c:pt idx="89">
                  <c:v>0.28223098713675887</c:v>
                </c:pt>
                <c:pt idx="90">
                  <c:v>0.30042343545306915</c:v>
                </c:pt>
                <c:pt idx="91">
                  <c:v>0.37311794915481006</c:v>
                </c:pt>
                <c:pt idx="92">
                  <c:v>0.28976308057961853</c:v>
                </c:pt>
                <c:pt idx="93">
                  <c:v>0.47409383747366829</c:v>
                </c:pt>
                <c:pt idx="94">
                  <c:v>0.24466213441779025</c:v>
                </c:pt>
                <c:pt idx="95">
                  <c:v>0.34800949996292735</c:v>
                </c:pt>
                <c:pt idx="96">
                  <c:v>0.30749238628665193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0.82226979817186741</c:v>
                </c:pt>
                <c:pt idx="1">
                  <c:v>0.84759009584030343</c:v>
                </c:pt>
                <c:pt idx="2">
                  <c:v>0.83128848355068297</c:v>
                </c:pt>
                <c:pt idx="3">
                  <c:v>0.84909534807570508</c:v>
                </c:pt>
                <c:pt idx="4">
                  <c:v>0.82070296342721849</c:v>
                </c:pt>
                <c:pt idx="5">
                  <c:v>0.81128916874379287</c:v>
                </c:pt>
                <c:pt idx="6">
                  <c:v>0.82354532083684107</c:v>
                </c:pt>
                <c:pt idx="7">
                  <c:v>0.80902255709518578</c:v>
                </c:pt>
                <c:pt idx="8">
                  <c:v>0.82312204926633037</c:v>
                </c:pt>
                <c:pt idx="9">
                  <c:v>0.79633927432313689</c:v>
                </c:pt>
                <c:pt idx="10">
                  <c:v>0.83105304212478759</c:v>
                </c:pt>
                <c:pt idx="11">
                  <c:v>0.81340974207374728</c:v>
                </c:pt>
                <c:pt idx="12">
                  <c:v>0.84366917946716147</c:v>
                </c:pt>
                <c:pt idx="13">
                  <c:v>0.81832322247960332</c:v>
                </c:pt>
                <c:pt idx="14">
                  <c:v>0.87473858884312328</c:v>
                </c:pt>
                <c:pt idx="15">
                  <c:v>0.82670438751832354</c:v>
                </c:pt>
                <c:pt idx="16">
                  <c:v>0.83333097378651533</c:v>
                </c:pt>
                <c:pt idx="17">
                  <c:v>0.84894578515123986</c:v>
                </c:pt>
                <c:pt idx="18">
                  <c:v>0.81832029671621664</c:v>
                </c:pt>
                <c:pt idx="19">
                  <c:v>0.80813697680937824</c:v>
                </c:pt>
                <c:pt idx="20">
                  <c:v>0.81087076338181574</c:v>
                </c:pt>
                <c:pt idx="21">
                  <c:v>0.80451915645507011</c:v>
                </c:pt>
                <c:pt idx="22">
                  <c:v>0.82973930552847597</c:v>
                </c:pt>
                <c:pt idx="23">
                  <c:v>0.79373038543231456</c:v>
                </c:pt>
                <c:pt idx="24">
                  <c:v>0.82061980589110017</c:v>
                </c:pt>
                <c:pt idx="25">
                  <c:v>0.7038161100840955</c:v>
                </c:pt>
                <c:pt idx="26">
                  <c:v>0.72946759080252876</c:v>
                </c:pt>
                <c:pt idx="27">
                  <c:v>0.7677108961387592</c:v>
                </c:pt>
                <c:pt idx="28">
                  <c:v>0.64028607383387015</c:v>
                </c:pt>
                <c:pt idx="29">
                  <c:v>0.68540251907737237</c:v>
                </c:pt>
                <c:pt idx="30">
                  <c:v>0.66841729368308134</c:v>
                </c:pt>
                <c:pt idx="31">
                  <c:v>0.70607913097161878</c:v>
                </c:pt>
                <c:pt idx="32">
                  <c:v>0.72782691587093595</c:v>
                </c:pt>
                <c:pt idx="33">
                  <c:v>0.72465753151748546</c:v>
                </c:pt>
                <c:pt idx="34">
                  <c:v>0.7479507732683085</c:v>
                </c:pt>
                <c:pt idx="35">
                  <c:v>0.7216283163555367</c:v>
                </c:pt>
                <c:pt idx="36">
                  <c:v>0.77198987761874016</c:v>
                </c:pt>
                <c:pt idx="37">
                  <c:v>0.78950295541143867</c:v>
                </c:pt>
                <c:pt idx="38">
                  <c:v>0.76989769902918825</c:v>
                </c:pt>
                <c:pt idx="39">
                  <c:v>0.77945106571302991</c:v>
                </c:pt>
                <c:pt idx="40">
                  <c:v>0.7156254786099453</c:v>
                </c:pt>
                <c:pt idx="41">
                  <c:v>0.70883899100929548</c:v>
                </c:pt>
                <c:pt idx="42">
                  <c:v>0.66959692627896616</c:v>
                </c:pt>
                <c:pt idx="43">
                  <c:v>0.73036670298927497</c:v>
                </c:pt>
                <c:pt idx="44">
                  <c:v>0.65579387630658992</c:v>
                </c:pt>
                <c:pt idx="45">
                  <c:v>0.62612998295673794</c:v>
                </c:pt>
                <c:pt idx="46">
                  <c:v>0.67404582655922252</c:v>
                </c:pt>
                <c:pt idx="47">
                  <c:v>0.70343448670880093</c:v>
                </c:pt>
                <c:pt idx="48">
                  <c:v>0.73305556458319487</c:v>
                </c:pt>
                <c:pt idx="49">
                  <c:v>0.72670312561160377</c:v>
                </c:pt>
                <c:pt idx="50">
                  <c:v>0.70412311819884632</c:v>
                </c:pt>
                <c:pt idx="51">
                  <c:v>0.69906734837567486</c:v>
                </c:pt>
                <c:pt idx="52">
                  <c:v>0.72803724129952629</c:v>
                </c:pt>
                <c:pt idx="53">
                  <c:v>0.68268030583218564</c:v>
                </c:pt>
                <c:pt idx="54">
                  <c:v>0.67195896023622037</c:v>
                </c:pt>
                <c:pt idx="55">
                  <c:v>0.70734096133000712</c:v>
                </c:pt>
                <c:pt idx="56">
                  <c:v>0.62715853156865475</c:v>
                </c:pt>
                <c:pt idx="57">
                  <c:v>0.65160506996569434</c:v>
                </c:pt>
                <c:pt idx="58">
                  <c:v>0.66446746530531131</c:v>
                </c:pt>
                <c:pt idx="59">
                  <c:v>0.60413048031754624</c:v>
                </c:pt>
                <c:pt idx="60">
                  <c:v>0.59323136576638857</c:v>
                </c:pt>
                <c:pt idx="61">
                  <c:v>0.66202813793798931</c:v>
                </c:pt>
                <c:pt idx="62">
                  <c:v>0.51827344247529805</c:v>
                </c:pt>
                <c:pt idx="63">
                  <c:v>0.60326406321066961</c:v>
                </c:pt>
                <c:pt idx="64">
                  <c:v>0.53180208283598618</c:v>
                </c:pt>
                <c:pt idx="65">
                  <c:v>0.55380739694478975</c:v>
                </c:pt>
                <c:pt idx="66">
                  <c:v>0.53640508903739337</c:v>
                </c:pt>
                <c:pt idx="67">
                  <c:v>0.53322716624439437</c:v>
                </c:pt>
                <c:pt idx="68">
                  <c:v>0.57656714660342656</c:v>
                </c:pt>
                <c:pt idx="69">
                  <c:v>0.45809918086386209</c:v>
                </c:pt>
                <c:pt idx="70">
                  <c:v>0.42750747566862818</c:v>
                </c:pt>
                <c:pt idx="71">
                  <c:v>0.47636750931304078</c:v>
                </c:pt>
                <c:pt idx="72">
                  <c:v>0.53016030023400917</c:v>
                </c:pt>
                <c:pt idx="73">
                  <c:v>0.49118168131946977</c:v>
                </c:pt>
                <c:pt idx="74">
                  <c:v>0.51423689511354909</c:v>
                </c:pt>
                <c:pt idx="75">
                  <c:v>0.53022634128906176</c:v>
                </c:pt>
                <c:pt idx="76">
                  <c:v>0.53611580967658246</c:v>
                </c:pt>
                <c:pt idx="77">
                  <c:v>0.5245788025053657</c:v>
                </c:pt>
                <c:pt idx="78">
                  <c:v>0.55136166086286253</c:v>
                </c:pt>
                <c:pt idx="79">
                  <c:v>0.54901597302674554</c:v>
                </c:pt>
                <c:pt idx="80">
                  <c:v>0.4714550045096445</c:v>
                </c:pt>
                <c:pt idx="81">
                  <c:v>0.50694565309934003</c:v>
                </c:pt>
                <c:pt idx="82">
                  <c:v>0.42730908067034029</c:v>
                </c:pt>
                <c:pt idx="83">
                  <c:v>0.41066008757998562</c:v>
                </c:pt>
                <c:pt idx="84">
                  <c:v>0.48006278568588912</c:v>
                </c:pt>
                <c:pt idx="85">
                  <c:v>0.41482990705589201</c:v>
                </c:pt>
                <c:pt idx="86">
                  <c:v>0.44343178569243091</c:v>
                </c:pt>
                <c:pt idx="87">
                  <c:v>0.37696147391733809</c:v>
                </c:pt>
                <c:pt idx="88">
                  <c:v>0.39686718876134325</c:v>
                </c:pt>
                <c:pt idx="89">
                  <c:v>0.37683083728409794</c:v>
                </c:pt>
                <c:pt idx="90">
                  <c:v>0.39088376774196576</c:v>
                </c:pt>
                <c:pt idx="91">
                  <c:v>0.49117851484051983</c:v>
                </c:pt>
                <c:pt idx="92">
                  <c:v>0.37920193602628349</c:v>
                </c:pt>
                <c:pt idx="93">
                  <c:v>0.58766100974565816</c:v>
                </c:pt>
                <c:pt idx="94">
                  <c:v>0.32757627754419832</c:v>
                </c:pt>
                <c:pt idx="95">
                  <c:v>0.44169472718951891</c:v>
                </c:pt>
                <c:pt idx="96">
                  <c:v>0.40230075842482582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540992"/>
        <c:axId val="337542528"/>
      </c:lineChart>
      <c:dateAx>
        <c:axId val="337540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7542528"/>
        <c:crosses val="autoZero"/>
        <c:auto val="1"/>
        <c:lblOffset val="100"/>
        <c:baseTimeUnit val="months"/>
      </c:dateAx>
      <c:valAx>
        <c:axId val="3375425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7540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568512"/>
        <c:axId val="337570048"/>
      </c:lineChart>
      <c:dateAx>
        <c:axId val="337568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7570048"/>
        <c:crosses val="autoZero"/>
        <c:auto val="1"/>
        <c:lblOffset val="100"/>
        <c:baseTimeUnit val="months"/>
      </c:dateAx>
      <c:valAx>
        <c:axId val="33757004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37568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134144"/>
        <c:axId val="338135680"/>
      </c:lineChart>
      <c:dateAx>
        <c:axId val="338134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8135680"/>
        <c:crosses val="autoZero"/>
        <c:auto val="1"/>
        <c:lblOffset val="100"/>
        <c:baseTimeUnit val="months"/>
      </c:dateAx>
      <c:valAx>
        <c:axId val="3381356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8134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257176</xdr:colOff>
      <xdr:row>5</xdr:row>
      <xdr:rowOff>85726</xdr:rowOff>
    </xdr:from>
    <xdr:to>
      <xdr:col>23</xdr:col>
      <xdr:colOff>28576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3644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Sources:Ginnie</a:t>
          </a:r>
          <a:r>
            <a:rPr lang="en-US" sz="900" baseline="0"/>
            <a:t> Mae; Cello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6</xdr:col>
      <xdr:colOff>314325</xdr:colOff>
      <xdr:row>59</xdr:row>
      <xdr:rowOff>38100</xdr:rowOff>
    </xdr:to>
    <xdr:sp macro="" textlink="">
      <xdr:nvSpPr>
        <xdr:cNvPr id="7" name="TextBox 6"/>
        <xdr:cNvSpPr txBox="1"/>
      </xdr:nvSpPr>
      <xdr:spPr>
        <a:xfrm>
          <a:off x="3067050" y="9429749"/>
          <a:ext cx="2657475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/>
        </a:p>
      </xdr:txBody>
    </xdr:sp>
    <xdr:clientData/>
  </xdr:twoCellAnchor>
  <xdr:twoCellAnchor>
    <xdr:from>
      <xdr:col>2</xdr:col>
      <xdr:colOff>0</xdr:colOff>
      <xdr:row>58</xdr:row>
      <xdr:rowOff>114299</xdr:rowOff>
    </xdr:from>
    <xdr:to>
      <xdr:col>6</xdr:col>
      <xdr:colOff>904875</xdr:colOff>
      <xdr:row>62</xdr:row>
      <xdr:rowOff>28575</xdr:rowOff>
    </xdr:to>
    <xdr:sp macro="" textlink="">
      <xdr:nvSpPr>
        <xdr:cNvPr id="9" name="TextBox 8"/>
        <xdr:cNvSpPr txBox="1"/>
      </xdr:nvSpPr>
      <xdr:spPr>
        <a:xfrm>
          <a:off x="1219200" y="9534524"/>
          <a:ext cx="5095875" cy="561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Note:</a:t>
          </a:r>
          <a:r>
            <a:rPr lang="en-US" sz="1000" b="1" baseline="0"/>
            <a:t> </a:t>
          </a:r>
          <a:r>
            <a:rPr lang="en-US" sz="1000" baseline="0"/>
            <a:t>Calculation includes all GNM fixed rate products.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arket%20Concentration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81.692075810184" createdVersion="4" refreshedVersion="4" minRefreshableVersion="3" recordCount="1400">
  <cacheSource type="worksheet">
    <worksheetSource ref="B3:E1403" sheet="Input-lag" r:id="rId2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3-02T00:00:00" count="140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282540.439999998" maxValue="31820990055.02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05.613399884256" createdVersion="4" refreshedVersion="4" minRefreshableVersion="3" recordCount="102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5-07-02T00:00:00" count="103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 u="1"/>
      </sharedItems>
    </cacheField>
    <cacheField name="TotalBalance" numFmtId="0">
      <sharedItems containsSemiMixedTypes="0" containsString="0" containsNumber="1" minValue="107482362.75" maxValue="15536484394.24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0">
  <r>
    <s v="BANK OF AMERICA"/>
    <x v="0"/>
    <n v="29346009324.57"/>
    <x v="0"/>
  </r>
  <r>
    <s v="CHASE"/>
    <x v="0"/>
    <n v="25594894422.529999"/>
    <x v="1"/>
  </r>
  <r>
    <s v="CWB"/>
    <x v="0"/>
    <n v="23300241072.73"/>
    <x v="2"/>
  </r>
  <r>
    <s v="WAMU"/>
    <x v="0"/>
    <n v="17817818276.099998"/>
    <x v="3"/>
  </r>
  <r>
    <s v="ALLY"/>
    <x v="0"/>
    <n v="5591763689.3800001"/>
    <x v="4"/>
  </r>
  <r>
    <s v="FLAGSTAR"/>
    <x v="0"/>
    <n v="4371995001.1899996"/>
    <x v="5"/>
  </r>
  <r>
    <s v="FIRST BANK OF TENNESSEE"/>
    <x v="0"/>
    <n v="3031001736.98"/>
    <x v="6"/>
  </r>
  <r>
    <s v="WELLS FARGO"/>
    <x v="0"/>
    <n v="2386757053.25"/>
    <x v="7"/>
  </r>
  <r>
    <s v="SUNTRUST"/>
    <x v="0"/>
    <n v="2160965900.48"/>
    <x v="8"/>
  </r>
  <r>
    <s v="OHIO SAVINGS BANK"/>
    <x v="0"/>
    <n v="1659941249.73"/>
    <x v="9"/>
  </r>
  <r>
    <s v="CHASE"/>
    <x v="1"/>
    <n v="29203480041.400002"/>
    <x v="0"/>
  </r>
  <r>
    <s v="BANK OF AMERICA"/>
    <x v="1"/>
    <n v="29172965695.619999"/>
    <x v="1"/>
  </r>
  <r>
    <s v="CWB"/>
    <x v="1"/>
    <n v="23865657170.52"/>
    <x v="2"/>
  </r>
  <r>
    <s v="WAMU"/>
    <x v="1"/>
    <n v="20341432059.669998"/>
    <x v="3"/>
  </r>
  <r>
    <s v="ALLY"/>
    <x v="1"/>
    <n v="6153977891.3500004"/>
    <x v="4"/>
  </r>
  <r>
    <s v="FLAGSTAR"/>
    <x v="1"/>
    <n v="3946035702.4200001"/>
    <x v="5"/>
  </r>
  <r>
    <s v="WELLS FARGO"/>
    <x v="1"/>
    <n v="3743886848.1799998"/>
    <x v="6"/>
  </r>
  <r>
    <s v="FIRST BANK OF TENNESSEE"/>
    <x v="1"/>
    <n v="2415574600.1999998"/>
    <x v="7"/>
  </r>
  <r>
    <s v="CITI"/>
    <x v="1"/>
    <n v="2259153579.3499999"/>
    <x v="8"/>
  </r>
  <r>
    <s v="SUNTRUST"/>
    <x v="1"/>
    <n v="1957977856.9100001"/>
    <x v="9"/>
  </r>
  <r>
    <s v="BANK OF AMERICA"/>
    <x v="2"/>
    <n v="31589484729.220001"/>
    <x v="0"/>
  </r>
  <r>
    <s v="CHASE"/>
    <x v="2"/>
    <n v="26773551949.470001"/>
    <x v="1"/>
  </r>
  <r>
    <s v="CWB"/>
    <x v="2"/>
    <n v="25312850976.130001"/>
    <x v="2"/>
  </r>
  <r>
    <s v="WAMU"/>
    <x v="2"/>
    <n v="19350033281.610001"/>
    <x v="3"/>
  </r>
  <r>
    <s v="ALLY"/>
    <x v="2"/>
    <n v="6553272141.8500004"/>
    <x v="4"/>
  </r>
  <r>
    <s v="FLAGSTAR"/>
    <x v="2"/>
    <n v="5198344897.3400002"/>
    <x v="5"/>
  </r>
  <r>
    <s v="CITI"/>
    <x v="2"/>
    <n v="3791741304.1500001"/>
    <x v="6"/>
  </r>
  <r>
    <s v="FIRST BANK OF TENNESSEE"/>
    <x v="2"/>
    <n v="3097950638.54"/>
    <x v="7"/>
  </r>
  <r>
    <s v="WELLS FARGO"/>
    <x v="2"/>
    <n v="2957240670.1599998"/>
    <x v="8"/>
  </r>
  <r>
    <s v="OHIO SAVINGS BANK"/>
    <x v="2"/>
    <n v="1897629658.1199999"/>
    <x v="9"/>
  </r>
  <r>
    <s v="CHASE"/>
    <x v="3"/>
    <n v="23343172196.529999"/>
    <x v="0"/>
  </r>
  <r>
    <s v="BANK OF AMERICA"/>
    <x v="3"/>
    <n v="23275697073.029999"/>
    <x v="1"/>
  </r>
  <r>
    <s v="CWB"/>
    <x v="3"/>
    <n v="19826816440.5"/>
    <x v="2"/>
  </r>
  <r>
    <s v="WAMU"/>
    <x v="3"/>
    <n v="14426975099.549999"/>
    <x v="3"/>
  </r>
  <r>
    <s v="ALLY"/>
    <x v="3"/>
    <n v="7515096015.8900003"/>
    <x v="4"/>
  </r>
  <r>
    <s v="FLAGSTAR"/>
    <x v="3"/>
    <n v="5929568065.8800001"/>
    <x v="5"/>
  </r>
  <r>
    <s v="FIRST BANK OF TENNESSEE"/>
    <x v="3"/>
    <n v="4567955305.6700001"/>
    <x v="6"/>
  </r>
  <r>
    <s v="CITI"/>
    <x v="3"/>
    <n v="4028777568.02"/>
    <x v="7"/>
  </r>
  <r>
    <s v="WELLS FARGO"/>
    <x v="3"/>
    <n v="3062034416.1900001"/>
    <x v="8"/>
  </r>
  <r>
    <s v="IRWIN"/>
    <x v="3"/>
    <n v="2004877979.8800001"/>
    <x v="9"/>
  </r>
  <r>
    <s v="CHASE"/>
    <x v="4"/>
    <n v="31820990055.02"/>
    <x v="0"/>
  </r>
  <r>
    <s v="WAMU"/>
    <x v="4"/>
    <n v="23304462130.580002"/>
    <x v="1"/>
  </r>
  <r>
    <s v="BANK OF AMERICA"/>
    <x v="4"/>
    <n v="19607994570.57"/>
    <x v="2"/>
  </r>
  <r>
    <s v="CWB"/>
    <x v="4"/>
    <n v="15233136435.33"/>
    <x v="3"/>
  </r>
  <r>
    <s v="ALLY"/>
    <x v="4"/>
    <n v="8298069354.0699997"/>
    <x v="4"/>
  </r>
  <r>
    <s v="CITI"/>
    <x v="4"/>
    <n v="5956711121.5"/>
    <x v="5"/>
  </r>
  <r>
    <s v="FLAGSTAR"/>
    <x v="4"/>
    <n v="3618514005.9400001"/>
    <x v="6"/>
  </r>
  <r>
    <s v="WELLS FARGO"/>
    <x v="4"/>
    <n v="3106236145.0700002"/>
    <x v="7"/>
  </r>
  <r>
    <s v="FIRST BANK OF TENNESSEE"/>
    <x v="4"/>
    <n v="2584077491.52"/>
    <x v="8"/>
  </r>
  <r>
    <s v="SUNTRUST"/>
    <x v="4"/>
    <n v="2423012172.8200002"/>
    <x v="9"/>
  </r>
  <r>
    <s v="BANK OF AMERICA"/>
    <x v="5"/>
    <n v="14035831776.82"/>
    <x v="0"/>
  </r>
  <r>
    <s v="CHASE"/>
    <x v="5"/>
    <n v="13967974843.139999"/>
    <x v="1"/>
  </r>
  <r>
    <s v="WAMU"/>
    <x v="5"/>
    <n v="11162561398.85"/>
    <x v="2"/>
  </r>
  <r>
    <s v="CWB"/>
    <x v="5"/>
    <n v="11145599480.370001"/>
    <x v="3"/>
  </r>
  <r>
    <s v="ALLY"/>
    <x v="5"/>
    <n v="7145846167.6000004"/>
    <x v="4"/>
  </r>
  <r>
    <s v="CITI"/>
    <x v="5"/>
    <n v="5672773548.6700001"/>
    <x v="5"/>
  </r>
  <r>
    <s v="WELLS FARGO"/>
    <x v="5"/>
    <n v="4312143095.29"/>
    <x v="6"/>
  </r>
  <r>
    <s v="OHIO SAVINGS BANK"/>
    <x v="5"/>
    <n v="1885440241.96"/>
    <x v="7"/>
  </r>
  <r>
    <s v="FLAGSTAR"/>
    <x v="5"/>
    <n v="1663051773.1099999"/>
    <x v="8"/>
  </r>
  <r>
    <s v="SUNTRUST"/>
    <x v="5"/>
    <n v="1617063031.6199999"/>
    <x v="9"/>
  </r>
  <r>
    <s v="CHASE"/>
    <x v="6"/>
    <n v="11117075517.34"/>
    <x v="0"/>
  </r>
  <r>
    <s v="BANK OF AMERICA"/>
    <x v="6"/>
    <n v="10254546587"/>
    <x v="1"/>
  </r>
  <r>
    <s v="WAMU"/>
    <x v="6"/>
    <n v="9589883533.4500008"/>
    <x v="2"/>
  </r>
  <r>
    <s v="CWB"/>
    <x v="6"/>
    <n v="8284866996.75"/>
    <x v="3"/>
  </r>
  <r>
    <s v="CITI"/>
    <x v="6"/>
    <n v="4786944474.4899998"/>
    <x v="4"/>
  </r>
  <r>
    <s v="ALLY"/>
    <x v="6"/>
    <n v="4320462524.4099998"/>
    <x v="5"/>
  </r>
  <r>
    <s v="SUNTRUST"/>
    <x v="6"/>
    <n v="1782826073.9200001"/>
    <x v="6"/>
  </r>
  <r>
    <s v="FLAGSTAR"/>
    <x v="6"/>
    <n v="1667103888.1500001"/>
    <x v="7"/>
  </r>
  <r>
    <s v="WELLS FARGO"/>
    <x v="6"/>
    <n v="1531991100.9300001"/>
    <x v="8"/>
  </r>
  <r>
    <s v="OHIO SAVINGS BANK"/>
    <x v="6"/>
    <n v="1527950917.3199999"/>
    <x v="9"/>
  </r>
  <r>
    <s v="BANK OF AMERICA"/>
    <x v="7"/>
    <n v="13196343605.73"/>
    <x v="0"/>
  </r>
  <r>
    <s v="CWB"/>
    <x v="7"/>
    <n v="11409757594.76"/>
    <x v="1"/>
  </r>
  <r>
    <s v="CHASE"/>
    <x v="7"/>
    <n v="9311164762.7999992"/>
    <x v="2"/>
  </r>
  <r>
    <s v="WAMU"/>
    <x v="7"/>
    <n v="8617995788.6800003"/>
    <x v="3"/>
  </r>
  <r>
    <s v="ALLY"/>
    <x v="7"/>
    <n v="3151419601.3600001"/>
    <x v="4"/>
  </r>
  <r>
    <s v="WELLS FARGO"/>
    <x v="7"/>
    <n v="2478144609.0799999"/>
    <x v="5"/>
  </r>
  <r>
    <s v="CITI"/>
    <x v="7"/>
    <n v="2334610514.6199999"/>
    <x v="6"/>
  </r>
  <r>
    <s v="FLAGSTAR"/>
    <x v="7"/>
    <n v="1254293674.6300001"/>
    <x v="7"/>
  </r>
  <r>
    <s v="CHARTER ONE MORTGAGE CORP."/>
    <x v="7"/>
    <n v="1084814450.73"/>
    <x v="8"/>
  </r>
  <r>
    <s v="OHIO SAVINGS BANK"/>
    <x v="7"/>
    <n v="980747613.04999995"/>
    <x v="9"/>
  </r>
  <r>
    <s v="BANK OF AMERICA"/>
    <x v="8"/>
    <n v="11231015625.76"/>
    <x v="0"/>
  </r>
  <r>
    <s v="CWB"/>
    <x v="8"/>
    <n v="9452100315.2600002"/>
    <x v="1"/>
  </r>
  <r>
    <s v="CHASE"/>
    <x v="8"/>
    <n v="4530064544.6499996"/>
    <x v="2"/>
  </r>
  <r>
    <s v="WAMU"/>
    <x v="8"/>
    <n v="4417879288.3599997"/>
    <x v="3"/>
  </r>
  <r>
    <s v="CITI"/>
    <x v="8"/>
    <n v="2368138219.3200002"/>
    <x v="4"/>
  </r>
  <r>
    <s v="ALLY"/>
    <x v="8"/>
    <n v="2100740735.3499999"/>
    <x v="5"/>
  </r>
  <r>
    <s v="WELLS FARGO"/>
    <x v="8"/>
    <n v="1872089561.9200001"/>
    <x v="6"/>
  </r>
  <r>
    <s v="FLAGSTAR"/>
    <x v="8"/>
    <n v="1616933411.3"/>
    <x v="7"/>
  </r>
  <r>
    <s v="ABM"/>
    <x v="8"/>
    <n v="1147507516.5799999"/>
    <x v="8"/>
  </r>
  <r>
    <s v="SUNTRUST"/>
    <x v="8"/>
    <n v="1102545266.3"/>
    <x v="9"/>
  </r>
  <r>
    <s v="BANK OF AMERICA"/>
    <x v="9"/>
    <n v="12648473634.91"/>
    <x v="0"/>
  </r>
  <r>
    <s v="CWB"/>
    <x v="9"/>
    <n v="11307603614.940001"/>
    <x v="1"/>
  </r>
  <r>
    <s v="CHASE"/>
    <x v="9"/>
    <n v="3475012158.8600001"/>
    <x v="2"/>
  </r>
  <r>
    <s v="WAMU"/>
    <x v="9"/>
    <n v="3105251049.5100002"/>
    <x v="3"/>
  </r>
  <r>
    <s v="WELLS FARGO"/>
    <x v="9"/>
    <n v="2600310060.71"/>
    <x v="4"/>
  </r>
  <r>
    <s v="CITI"/>
    <x v="9"/>
    <n v="2487358580.54"/>
    <x v="5"/>
  </r>
  <r>
    <s v="ALLY"/>
    <x v="9"/>
    <n v="1435016521.97"/>
    <x v="6"/>
  </r>
  <r>
    <s v="FLAGSTAR"/>
    <x v="9"/>
    <n v="1294632427.0599999"/>
    <x v="7"/>
  </r>
  <r>
    <s v="SUNTRUST"/>
    <x v="9"/>
    <n v="979260156.20000005"/>
    <x v="8"/>
  </r>
  <r>
    <s v="OHIO SAVINGS BANK"/>
    <x v="9"/>
    <n v="726244089.71000004"/>
    <x v="9"/>
  </r>
  <r>
    <s v="BANK OF AMERICA"/>
    <x v="10"/>
    <n v="13767718999.52"/>
    <x v="0"/>
  </r>
  <r>
    <s v="CWB"/>
    <x v="10"/>
    <n v="11373820582.950001"/>
    <x v="1"/>
  </r>
  <r>
    <s v="CITI"/>
    <x v="10"/>
    <n v="2284894619.5900002"/>
    <x v="2"/>
  </r>
  <r>
    <s v="ALLY"/>
    <x v="10"/>
    <n v="2008197969.97"/>
    <x v="3"/>
  </r>
  <r>
    <s v="CHASE"/>
    <x v="10"/>
    <n v="1849033628.73"/>
    <x v="4"/>
  </r>
  <r>
    <s v="FLAGSTAR"/>
    <x v="10"/>
    <n v="1302384256.4400001"/>
    <x v="5"/>
  </r>
  <r>
    <s v="WELLS FARGO"/>
    <x v="10"/>
    <n v="1154919820.49"/>
    <x v="6"/>
  </r>
  <r>
    <s v="WAMU"/>
    <x v="10"/>
    <n v="1116001703.6800001"/>
    <x v="7"/>
  </r>
  <r>
    <s v="OHIO SAVINGS BANK"/>
    <x v="10"/>
    <n v="771109081.96000004"/>
    <x v="8"/>
  </r>
  <r>
    <s v="FIRST BANK OF TENNESSEE"/>
    <x v="10"/>
    <n v="758406395.63999999"/>
    <x v="9"/>
  </r>
  <r>
    <s v="BANK OF AMERICA"/>
    <x v="11"/>
    <n v="16189427785.290001"/>
    <x v="0"/>
  </r>
  <r>
    <s v="CWB"/>
    <x v="11"/>
    <n v="11452206892.49"/>
    <x v="1"/>
  </r>
  <r>
    <s v="CHASE"/>
    <x v="11"/>
    <n v="9504942509.5300007"/>
    <x v="2"/>
  </r>
  <r>
    <s v="WAMU"/>
    <x v="11"/>
    <n v="8971864064.2900009"/>
    <x v="3"/>
  </r>
  <r>
    <s v="CITI"/>
    <x v="11"/>
    <n v="3285032961.6599998"/>
    <x v="4"/>
  </r>
  <r>
    <s v="FLAGSTAR"/>
    <x v="11"/>
    <n v="1595357433.5999999"/>
    <x v="5"/>
  </r>
  <r>
    <s v="ALLY"/>
    <x v="11"/>
    <n v="1453780757.1600001"/>
    <x v="6"/>
  </r>
  <r>
    <s v="FIRST BANK OF TENNESSEE"/>
    <x v="11"/>
    <n v="1051966876.52"/>
    <x v="7"/>
  </r>
  <r>
    <s v="SUNTRUST"/>
    <x v="11"/>
    <n v="1041533333.22"/>
    <x v="8"/>
  </r>
  <r>
    <s v="OHIO SAVINGS BANK"/>
    <x v="11"/>
    <n v="991309388.50999999"/>
    <x v="9"/>
  </r>
  <r>
    <s v="BANK OF AMERICA"/>
    <x v="12"/>
    <n v="15256199593.17"/>
    <x v="0"/>
  </r>
  <r>
    <s v="CWB"/>
    <x v="12"/>
    <n v="10261824878.860001"/>
    <x v="1"/>
  </r>
  <r>
    <s v="CHASE"/>
    <x v="12"/>
    <n v="6706818586.9700003"/>
    <x v="2"/>
  </r>
  <r>
    <s v="WAMU"/>
    <x v="12"/>
    <n v="5955115177.5200005"/>
    <x v="3"/>
  </r>
  <r>
    <s v="CITI"/>
    <x v="12"/>
    <n v="3529357478.5999999"/>
    <x v="4"/>
  </r>
  <r>
    <s v="ALLY"/>
    <x v="12"/>
    <n v="2787328884.0300002"/>
    <x v="5"/>
  </r>
  <r>
    <s v="FLAGSTAR"/>
    <x v="12"/>
    <n v="1965057030.0799999"/>
    <x v="6"/>
  </r>
  <r>
    <s v="FIRST BANK OF TENNESSEE"/>
    <x v="12"/>
    <n v="1240838109.6500001"/>
    <x v="7"/>
  </r>
  <r>
    <s v="OHIO SAVINGS BANK"/>
    <x v="12"/>
    <n v="896114085.15999997"/>
    <x v="8"/>
  </r>
  <r>
    <s v="SUNTRUST"/>
    <x v="12"/>
    <n v="843678740.34000003"/>
    <x v="9"/>
  </r>
  <r>
    <s v="BANK OF AMERICA"/>
    <x v="13"/>
    <n v="12407380467.74"/>
    <x v="0"/>
  </r>
  <r>
    <s v="CWB"/>
    <x v="13"/>
    <n v="9249527769.5100002"/>
    <x v="1"/>
  </r>
  <r>
    <s v="CHASE"/>
    <x v="13"/>
    <n v="7396016245.1400003"/>
    <x v="2"/>
  </r>
  <r>
    <s v="WAMU"/>
    <x v="13"/>
    <n v="5987766742.6999998"/>
    <x v="3"/>
  </r>
  <r>
    <s v="CITI"/>
    <x v="13"/>
    <n v="3503814389.2600002"/>
    <x v="4"/>
  </r>
  <r>
    <s v="ALLY"/>
    <x v="13"/>
    <n v="2115295841.5"/>
    <x v="5"/>
  </r>
  <r>
    <s v="WELLS FARGO"/>
    <x v="13"/>
    <n v="1597395760.1099999"/>
    <x v="6"/>
  </r>
  <r>
    <s v="FLAGSTAR"/>
    <x v="13"/>
    <n v="1433903943.5799999"/>
    <x v="7"/>
  </r>
  <r>
    <s v="OHIO SAVINGS BANK"/>
    <x v="13"/>
    <n v="1210792209.96"/>
    <x v="8"/>
  </r>
  <r>
    <s v="FIRST BANK OF TENNESSEE"/>
    <x v="13"/>
    <n v="949320265.55999994"/>
    <x v="9"/>
  </r>
  <r>
    <s v="BANK OF AMERICA"/>
    <x v="14"/>
    <n v="9536604948.9400005"/>
    <x v="0"/>
  </r>
  <r>
    <s v="CWB"/>
    <x v="14"/>
    <n v="7770091037.8599997"/>
    <x v="1"/>
  </r>
  <r>
    <s v="CHASE"/>
    <x v="14"/>
    <n v="5574591540.25"/>
    <x v="2"/>
  </r>
  <r>
    <s v="WAMU"/>
    <x v="14"/>
    <n v="4380249369.75"/>
    <x v="3"/>
  </r>
  <r>
    <s v="CITI"/>
    <x v="14"/>
    <n v="2181966322.8899999"/>
    <x v="4"/>
  </r>
  <r>
    <s v="ALLY"/>
    <x v="14"/>
    <n v="1946508724.6099999"/>
    <x v="5"/>
  </r>
  <r>
    <s v="SUNTRUST"/>
    <x v="14"/>
    <n v="979790921.73000002"/>
    <x v="6"/>
  </r>
  <r>
    <s v="FLAGSTAR"/>
    <x v="14"/>
    <n v="969465042.34000003"/>
    <x v="7"/>
  </r>
  <r>
    <s v="OHIO SAVINGS BANK"/>
    <x v="14"/>
    <n v="905512217.89999998"/>
    <x v="8"/>
  </r>
  <r>
    <s v="FIRST BANK OF TENNESSEE"/>
    <x v="14"/>
    <n v="747367268.19000006"/>
    <x v="9"/>
  </r>
  <r>
    <s v="BANK OF AMERICA"/>
    <x v="15"/>
    <n v="9785050909.1900005"/>
    <x v="0"/>
  </r>
  <r>
    <s v="CWB"/>
    <x v="15"/>
    <n v="8096770488.9700003"/>
    <x v="1"/>
  </r>
  <r>
    <s v="CHASE"/>
    <x v="15"/>
    <n v="3141483417.9899998"/>
    <x v="2"/>
  </r>
  <r>
    <s v="WAMU"/>
    <x v="15"/>
    <n v="2189526792.29"/>
    <x v="3"/>
  </r>
  <r>
    <s v="CITI"/>
    <x v="15"/>
    <n v="2183486384.2600002"/>
    <x v="4"/>
  </r>
  <r>
    <s v="ALLY"/>
    <x v="15"/>
    <n v="1314841883.22"/>
    <x v="5"/>
  </r>
  <r>
    <s v="FLAGSTAR"/>
    <x v="15"/>
    <n v="977772680.30999994"/>
    <x v="6"/>
  </r>
  <r>
    <s v="SUNTRUST"/>
    <x v="15"/>
    <n v="902065292.52999997"/>
    <x v="7"/>
  </r>
  <r>
    <s v="OHIO SAVINGS BANK"/>
    <x v="15"/>
    <n v="761655238.01999998"/>
    <x v="8"/>
  </r>
  <r>
    <s v="FIRST BANK OF TENNESSEE"/>
    <x v="15"/>
    <n v="581763827.16999996"/>
    <x v="9"/>
  </r>
  <r>
    <s v="BANK OF AMERICA"/>
    <x v="16"/>
    <n v="9131387615.3299999"/>
    <x v="0"/>
  </r>
  <r>
    <s v="CWB"/>
    <x v="16"/>
    <n v="7344628182.6999998"/>
    <x v="1"/>
  </r>
  <r>
    <s v="CHASE"/>
    <x v="16"/>
    <n v="3643512500.7800002"/>
    <x v="2"/>
  </r>
  <r>
    <s v="WAMU"/>
    <x v="16"/>
    <n v="2846023471.5300002"/>
    <x v="3"/>
  </r>
  <r>
    <s v="CITI"/>
    <x v="16"/>
    <n v="2609572342.4699998"/>
    <x v="4"/>
  </r>
  <r>
    <s v="ALLY"/>
    <x v="16"/>
    <n v="1530308531.2"/>
    <x v="5"/>
  </r>
  <r>
    <s v="FLAGSTAR"/>
    <x v="16"/>
    <n v="1119369329.79"/>
    <x v="6"/>
  </r>
  <r>
    <s v="WELLS FARGO"/>
    <x v="16"/>
    <n v="1086448833.99"/>
    <x v="7"/>
  </r>
  <r>
    <s v="OHIO SAVINGS BANK"/>
    <x v="16"/>
    <n v="835517781.16999996"/>
    <x v="8"/>
  </r>
  <r>
    <s v="FIRST BANK OF TENNESSEE"/>
    <x v="16"/>
    <n v="721103970.91999996"/>
    <x v="9"/>
  </r>
  <r>
    <s v="BANK OF AMERICA"/>
    <x v="17"/>
    <n v="8238855635.6999998"/>
    <x v="0"/>
  </r>
  <r>
    <s v="CWB"/>
    <x v="17"/>
    <n v="6206174286.2700005"/>
    <x v="1"/>
  </r>
  <r>
    <s v="CHASE"/>
    <x v="17"/>
    <n v="2867262552.0799999"/>
    <x v="2"/>
  </r>
  <r>
    <s v="WAMU"/>
    <x v="17"/>
    <n v="2141612616.1400001"/>
    <x v="3"/>
  </r>
  <r>
    <s v="ALLY"/>
    <x v="17"/>
    <n v="2100084686.99"/>
    <x v="4"/>
  </r>
  <r>
    <s v="CITI"/>
    <x v="17"/>
    <n v="1273064147.8699999"/>
    <x v="5"/>
  </r>
  <r>
    <s v="WELLS FARGO"/>
    <x v="17"/>
    <n v="1204020887.5699999"/>
    <x v="6"/>
  </r>
  <r>
    <s v="FLAGSTAR"/>
    <x v="17"/>
    <n v="1038774031.25"/>
    <x v="7"/>
  </r>
  <r>
    <s v="OHIO SAVINGS BANK"/>
    <x v="17"/>
    <n v="669807736.55999994"/>
    <x v="8"/>
  </r>
  <r>
    <s v="SUNTRUST"/>
    <x v="17"/>
    <n v="580779347"/>
    <x v="9"/>
  </r>
  <r>
    <s v="BANK OF AMERICA"/>
    <x v="18"/>
    <n v="7182449750.2799997"/>
    <x v="0"/>
  </r>
  <r>
    <s v="CWB"/>
    <x v="18"/>
    <n v="5221389376.7700005"/>
    <x v="1"/>
  </r>
  <r>
    <s v="CHASE"/>
    <x v="18"/>
    <n v="3111033356.3099999"/>
    <x v="2"/>
  </r>
  <r>
    <s v="WAMU"/>
    <x v="18"/>
    <n v="2296991670.52"/>
    <x v="3"/>
  </r>
  <r>
    <s v="CITI"/>
    <x v="18"/>
    <n v="1995054103.78"/>
    <x v="4"/>
  </r>
  <r>
    <s v="ALLY"/>
    <x v="18"/>
    <n v="1933615871.8099999"/>
    <x v="5"/>
  </r>
  <r>
    <s v="WELLS FARGO"/>
    <x v="18"/>
    <n v="1783657058.3"/>
    <x v="6"/>
  </r>
  <r>
    <s v="FLAGSTAR"/>
    <x v="18"/>
    <n v="1111679216.8499999"/>
    <x v="7"/>
  </r>
  <r>
    <s v="OHIO SAVINGS BANK"/>
    <x v="18"/>
    <n v="782734237.75999999"/>
    <x v="8"/>
  </r>
  <r>
    <s v="FIRST BANK OF TENNESSEE"/>
    <x v="18"/>
    <n v="619260066.98000002"/>
    <x v="9"/>
  </r>
  <r>
    <s v="BANK OF AMERICA"/>
    <x v="19"/>
    <n v="7728778433.3199997"/>
    <x v="0"/>
  </r>
  <r>
    <s v="CWB"/>
    <x v="19"/>
    <n v="6335052438.8400002"/>
    <x v="1"/>
  </r>
  <r>
    <s v="CHASE"/>
    <x v="19"/>
    <n v="3252992728.7199998"/>
    <x v="2"/>
  </r>
  <r>
    <s v="CITI"/>
    <x v="19"/>
    <n v="2515865062.46"/>
    <x v="3"/>
  </r>
  <r>
    <s v="ALLY"/>
    <x v="19"/>
    <n v="2327791831.7600002"/>
    <x v="4"/>
  </r>
  <r>
    <s v="WAMU"/>
    <x v="19"/>
    <n v="2301561192.1199999"/>
    <x v="5"/>
  </r>
  <r>
    <s v="WELLS FARGO"/>
    <x v="19"/>
    <n v="1446986653.54"/>
    <x v="6"/>
  </r>
  <r>
    <s v="CHARTER ONE MORTGAGE CORP."/>
    <x v="19"/>
    <n v="1044130065.28"/>
    <x v="7"/>
  </r>
  <r>
    <s v="FLAGSTAR"/>
    <x v="19"/>
    <n v="893087634.78999996"/>
    <x v="8"/>
  </r>
  <r>
    <s v="OHIO SAVINGS BANK"/>
    <x v="19"/>
    <n v="673685780.14999998"/>
    <x v="9"/>
  </r>
  <r>
    <s v="BANK OF AMERICA"/>
    <x v="20"/>
    <n v="6548421686.8000002"/>
    <x v="0"/>
  </r>
  <r>
    <s v="CWB"/>
    <x v="20"/>
    <n v="4899040406.6099997"/>
    <x v="1"/>
  </r>
  <r>
    <s v="CHASE"/>
    <x v="20"/>
    <n v="3820090499.29"/>
    <x v="2"/>
  </r>
  <r>
    <s v="WAMU"/>
    <x v="20"/>
    <n v="2940366449.5"/>
    <x v="3"/>
  </r>
  <r>
    <s v="ALLY"/>
    <x v="20"/>
    <n v="2341434701.0799999"/>
    <x v="4"/>
  </r>
  <r>
    <s v="CITI"/>
    <x v="20"/>
    <n v="2186951567.29"/>
    <x v="5"/>
  </r>
  <r>
    <s v="FLAGSTAR"/>
    <x v="20"/>
    <n v="1584384715.02"/>
    <x v="6"/>
  </r>
  <r>
    <s v="WELLS FARGO"/>
    <x v="20"/>
    <n v="1193168889.51"/>
    <x v="7"/>
  </r>
  <r>
    <s v="SUNTRUST"/>
    <x v="20"/>
    <n v="878150368.83000004"/>
    <x v="8"/>
  </r>
  <r>
    <s v="OHIO SAVINGS BANK"/>
    <x v="20"/>
    <n v="680138468.63999999"/>
    <x v="9"/>
  </r>
  <r>
    <s v="BANK OF AMERICA"/>
    <x v="21"/>
    <n v="5448667036.9300003"/>
    <x v="0"/>
  </r>
  <r>
    <s v="CWB"/>
    <x v="21"/>
    <n v="4257395851.2199998"/>
    <x v="1"/>
  </r>
  <r>
    <s v="CHASE"/>
    <x v="21"/>
    <n v="3426361699.8299999"/>
    <x v="2"/>
  </r>
  <r>
    <s v="CITI"/>
    <x v="21"/>
    <n v="2345087914.6999998"/>
    <x v="3"/>
  </r>
  <r>
    <s v="WAMU"/>
    <x v="21"/>
    <n v="2288475168.52"/>
    <x v="4"/>
  </r>
  <r>
    <s v="ALLY"/>
    <x v="21"/>
    <n v="1607330806.52"/>
    <x v="5"/>
  </r>
  <r>
    <s v="WELLS FARGO"/>
    <x v="21"/>
    <n v="1346533603.22"/>
    <x v="6"/>
  </r>
  <r>
    <s v="FLAGSTAR"/>
    <x v="21"/>
    <n v="1156931085.5699999"/>
    <x v="7"/>
  </r>
  <r>
    <s v="OHIO SAVINGS BANK"/>
    <x v="21"/>
    <n v="887176881.39999998"/>
    <x v="8"/>
  </r>
  <r>
    <s v="SUNTRUST"/>
    <x v="21"/>
    <n v="665791396.12"/>
    <x v="9"/>
  </r>
  <r>
    <s v="BANK OF AMERICA"/>
    <x v="22"/>
    <n v="6200760652.5699997"/>
    <x v="0"/>
  </r>
  <r>
    <s v="CWB"/>
    <x v="22"/>
    <n v="4545288580.9300003"/>
    <x v="1"/>
  </r>
  <r>
    <s v="CHASE"/>
    <x v="22"/>
    <n v="3290452093.5100002"/>
    <x v="2"/>
  </r>
  <r>
    <s v="CITI"/>
    <x v="22"/>
    <n v="2356943759.25"/>
    <x v="3"/>
  </r>
  <r>
    <s v="WAMU"/>
    <x v="22"/>
    <n v="2240641016.6799998"/>
    <x v="4"/>
  </r>
  <r>
    <s v="ALLY"/>
    <x v="22"/>
    <n v="2162657746.1500001"/>
    <x v="5"/>
  </r>
  <r>
    <s v="FLAGSTAR"/>
    <x v="22"/>
    <n v="1240894459.51"/>
    <x v="6"/>
  </r>
  <r>
    <s v="SUNTRUST"/>
    <x v="22"/>
    <n v="1030204361.03"/>
    <x v="7"/>
  </r>
  <r>
    <s v="WELLS FARGO"/>
    <x v="22"/>
    <n v="981874479.55999994"/>
    <x v="8"/>
  </r>
  <r>
    <s v="OHIO SAVINGS BANK"/>
    <x v="22"/>
    <n v="755896256.55999994"/>
    <x v="9"/>
  </r>
  <r>
    <s v="BANK OF AMERICA"/>
    <x v="23"/>
    <n v="8249856689.5500002"/>
    <x v="0"/>
  </r>
  <r>
    <s v="CWB"/>
    <x v="23"/>
    <n v="5978111138.7600002"/>
    <x v="1"/>
  </r>
  <r>
    <s v="CITI"/>
    <x v="23"/>
    <n v="2749158412.5700002"/>
    <x v="2"/>
  </r>
  <r>
    <s v="WELLS FARGO"/>
    <x v="23"/>
    <n v="2698667569.0799999"/>
    <x v="3"/>
  </r>
  <r>
    <s v="ALLY"/>
    <x v="23"/>
    <n v="2681093688.6500001"/>
    <x v="4"/>
  </r>
  <r>
    <s v="FLAGSTAR"/>
    <x v="23"/>
    <n v="1533778537.5599999"/>
    <x v="5"/>
  </r>
  <r>
    <s v="CHASE"/>
    <x v="23"/>
    <n v="1423590125.0899999"/>
    <x v="6"/>
  </r>
  <r>
    <s v="SUNTRUST"/>
    <x v="23"/>
    <n v="1259546433.72"/>
    <x v="7"/>
  </r>
  <r>
    <s v="OHIO SAVINGS BANK"/>
    <x v="23"/>
    <n v="730140954.38"/>
    <x v="8"/>
  </r>
  <r>
    <s v="FIRST BANK OF TENNESSEE"/>
    <x v="23"/>
    <n v="695502661.55999994"/>
    <x v="9"/>
  </r>
  <r>
    <s v="BANK OF AMERICA"/>
    <x v="24"/>
    <n v="8151630322.04"/>
    <x v="0"/>
  </r>
  <r>
    <s v="CWB"/>
    <x v="24"/>
    <n v="6496219206.3999996"/>
    <x v="1"/>
  </r>
  <r>
    <s v="CITI"/>
    <x v="24"/>
    <n v="3150126026.8400002"/>
    <x v="2"/>
  </r>
  <r>
    <s v="WELLS FARGO"/>
    <x v="24"/>
    <n v="2489603680.48"/>
    <x v="3"/>
  </r>
  <r>
    <s v="CHASE"/>
    <x v="24"/>
    <n v="2108031999.3800001"/>
    <x v="4"/>
  </r>
  <r>
    <s v="ALLY"/>
    <x v="24"/>
    <n v="1560042290.1199999"/>
    <x v="5"/>
  </r>
  <r>
    <s v="SUNTRUST"/>
    <x v="24"/>
    <n v="1394421152.3599999"/>
    <x v="6"/>
  </r>
  <r>
    <s v="FLAGSTAR"/>
    <x v="24"/>
    <n v="1153524647.54"/>
    <x v="7"/>
  </r>
  <r>
    <s v="WACHOVIA"/>
    <x v="24"/>
    <n v="861824321.49000001"/>
    <x v="8"/>
  </r>
  <r>
    <s v="WAMU"/>
    <x v="24"/>
    <n v="855475060.36000001"/>
    <x v="9"/>
  </r>
  <r>
    <s v="BANK OF AMERICA"/>
    <x v="25"/>
    <n v="8430888883.8800001"/>
    <x v="0"/>
  </r>
  <r>
    <s v="CWB"/>
    <x v="25"/>
    <n v="6969425037.3100004"/>
    <x v="1"/>
  </r>
  <r>
    <s v="CITI"/>
    <x v="25"/>
    <n v="3004249409.73"/>
    <x v="2"/>
  </r>
  <r>
    <s v="WELLS FARGO"/>
    <x v="25"/>
    <n v="2018954754.2"/>
    <x v="3"/>
  </r>
  <r>
    <s v="CHASE"/>
    <x v="25"/>
    <n v="1982441542.5"/>
    <x v="4"/>
  </r>
  <r>
    <s v="ALLY"/>
    <x v="25"/>
    <n v="1723209508.3699999"/>
    <x v="5"/>
  </r>
  <r>
    <s v="SUNTRUST"/>
    <x v="25"/>
    <n v="1275430461.9200001"/>
    <x v="6"/>
  </r>
  <r>
    <s v="FLAGSTAR"/>
    <x v="25"/>
    <n v="977044639.59000003"/>
    <x v="7"/>
  </r>
  <r>
    <s v="OHIO SAVINGS BANK"/>
    <x v="25"/>
    <n v="849576275.61000001"/>
    <x v="8"/>
  </r>
  <r>
    <s v="FIRST BANK OF TENNESSEE"/>
    <x v="25"/>
    <n v="787803743.65999997"/>
    <x v="9"/>
  </r>
  <r>
    <s v="BANK OF AMERICA"/>
    <x v="26"/>
    <n v="11555724329.280001"/>
    <x v="0"/>
  </r>
  <r>
    <s v="CWB"/>
    <x v="26"/>
    <n v="10109655227.870001"/>
    <x v="1"/>
  </r>
  <r>
    <s v="WELLS FARGO"/>
    <x v="26"/>
    <n v="3487218958.5599999"/>
    <x v="2"/>
  </r>
  <r>
    <s v="CITI"/>
    <x v="26"/>
    <n v="3050278249.8699999"/>
    <x v="3"/>
  </r>
  <r>
    <s v="CHASE"/>
    <x v="26"/>
    <n v="2688700926.5599999"/>
    <x v="4"/>
  </r>
  <r>
    <s v="ALLY"/>
    <x v="26"/>
    <n v="1927742772.05"/>
    <x v="5"/>
  </r>
  <r>
    <s v="FLAGSTAR"/>
    <x v="26"/>
    <n v="1437691276.5"/>
    <x v="6"/>
  </r>
  <r>
    <s v="SUNTRUST"/>
    <x v="26"/>
    <n v="1201400093.04"/>
    <x v="7"/>
  </r>
  <r>
    <s v="WAMU"/>
    <x v="26"/>
    <n v="1113176333.8399999"/>
    <x v="8"/>
  </r>
  <r>
    <s v="FIRST BANK OF TENNESSEE"/>
    <x v="26"/>
    <n v="1074105836.53"/>
    <x v="9"/>
  </r>
  <r>
    <s v="BANK OF AMERICA"/>
    <x v="27"/>
    <n v="12483873401.42"/>
    <x v="0"/>
  </r>
  <r>
    <s v="CWB"/>
    <x v="27"/>
    <n v="10660200646.540001"/>
    <x v="1"/>
  </r>
  <r>
    <s v="WELLS FARGO"/>
    <x v="27"/>
    <n v="3665390255.1300001"/>
    <x v="2"/>
  </r>
  <r>
    <s v="CITI"/>
    <x v="27"/>
    <n v="3625468599.8899999"/>
    <x v="3"/>
  </r>
  <r>
    <s v="CHASE"/>
    <x v="27"/>
    <n v="3275805460.0100002"/>
    <x v="4"/>
  </r>
  <r>
    <s v="ALLY"/>
    <x v="27"/>
    <n v="2905608116.7800002"/>
    <x v="5"/>
  </r>
  <r>
    <s v="WAMU"/>
    <x v="27"/>
    <n v="1284343140.3699999"/>
    <x v="6"/>
  </r>
  <r>
    <s v="FLAGSTAR"/>
    <x v="27"/>
    <n v="1164280047.74"/>
    <x v="7"/>
  </r>
  <r>
    <s v="SUNTRUST"/>
    <x v="27"/>
    <n v="1156528305.9200001"/>
    <x v="8"/>
  </r>
  <r>
    <s v="FIRST BANK OF TENNESSEE"/>
    <x v="27"/>
    <n v="1112522484.8199999"/>
    <x v="9"/>
  </r>
  <r>
    <s v="BANK OF AMERICA"/>
    <x v="28"/>
    <n v="14134133218"/>
    <x v="0"/>
  </r>
  <r>
    <s v="CWB"/>
    <x v="28"/>
    <n v="11843596722.15"/>
    <x v="1"/>
  </r>
  <r>
    <s v="CITI"/>
    <x v="28"/>
    <n v="4600153330.3000002"/>
    <x v="2"/>
  </r>
  <r>
    <s v="CHASE"/>
    <x v="28"/>
    <n v="4126653580.0100002"/>
    <x v="3"/>
  </r>
  <r>
    <s v="WELLS FARGO"/>
    <x v="28"/>
    <n v="2772929966.3299999"/>
    <x v="4"/>
  </r>
  <r>
    <s v="ALLY"/>
    <x v="28"/>
    <n v="1975709975.3199999"/>
    <x v="5"/>
  </r>
  <r>
    <s v="WAMU"/>
    <x v="28"/>
    <n v="1945707796.5999999"/>
    <x v="6"/>
  </r>
  <r>
    <s v="OHIO SAVINGS BANK"/>
    <x v="28"/>
    <n v="1688999836.3399999"/>
    <x v="7"/>
  </r>
  <r>
    <s v="FLAGSTAR"/>
    <x v="28"/>
    <n v="1409329134.6700001"/>
    <x v="8"/>
  </r>
  <r>
    <s v="SUNTRUST"/>
    <x v="28"/>
    <n v="1380698248.48"/>
    <x v="9"/>
  </r>
  <r>
    <s v="BANK OF AMERICA"/>
    <x v="29"/>
    <n v="12566705288.139999"/>
    <x v="0"/>
  </r>
  <r>
    <s v="CWB"/>
    <x v="29"/>
    <n v="10651056537.49"/>
    <x v="1"/>
  </r>
  <r>
    <s v="CITI"/>
    <x v="29"/>
    <n v="2821211812.6599998"/>
    <x v="2"/>
  </r>
  <r>
    <s v="WELLS FARGO"/>
    <x v="29"/>
    <n v="2457582090.1799998"/>
    <x v="3"/>
  </r>
  <r>
    <s v="CHASE"/>
    <x v="29"/>
    <n v="2442226315.3899999"/>
    <x v="4"/>
  </r>
  <r>
    <s v="ALLY"/>
    <x v="29"/>
    <n v="1727565585.48"/>
    <x v="5"/>
  </r>
  <r>
    <s v="FLAGSTAR"/>
    <x v="29"/>
    <n v="1318196737.45"/>
    <x v="6"/>
  </r>
  <r>
    <s v="OHIO SAVINGS BANK"/>
    <x v="29"/>
    <n v="1280788007.3599999"/>
    <x v="7"/>
  </r>
  <r>
    <s v="SUNTRUST"/>
    <x v="29"/>
    <n v="1269296283.4100001"/>
    <x v="8"/>
  </r>
  <r>
    <s v="FIRST BANK OF TENNESSEE"/>
    <x v="29"/>
    <n v="805832053.38999999"/>
    <x v="9"/>
  </r>
  <r>
    <s v="CWB"/>
    <x v="30"/>
    <n v="2070651256.24"/>
    <x v="0"/>
  </r>
  <r>
    <s v="BANK OF AMERICA"/>
    <x v="30"/>
    <n v="2070651256.24"/>
    <x v="0"/>
  </r>
  <r>
    <s v="ALLY"/>
    <x v="30"/>
    <n v="725327641.04999995"/>
    <x v="2"/>
  </r>
  <r>
    <s v="OHIO SAVINGS BANK"/>
    <x v="30"/>
    <n v="538393225.62"/>
    <x v="3"/>
  </r>
  <r>
    <s v="PHH"/>
    <x v="30"/>
    <n v="387185771.39999998"/>
    <x v="4"/>
  </r>
  <r>
    <s v="FLAGSTAR"/>
    <x v="30"/>
    <n v="364911443"/>
    <x v="5"/>
  </r>
  <r>
    <s v="USAA"/>
    <x v="30"/>
    <n v="270607282.56999999"/>
    <x v="6"/>
  </r>
  <r>
    <s v="SUNTRUST"/>
    <x v="30"/>
    <n v="233071797.31999999"/>
    <x v="7"/>
  </r>
  <r>
    <s v="IRWIN"/>
    <x v="30"/>
    <n v="205137323.12"/>
    <x v="8"/>
  </r>
  <r>
    <s v="CHASE"/>
    <x v="30"/>
    <n v="66282540.439999998"/>
    <x v="9"/>
  </r>
  <r>
    <s v="BANK OF AMERICA"/>
    <x v="31"/>
    <n v="10973844334.49"/>
    <x v="0"/>
  </r>
  <r>
    <s v="CWB"/>
    <x v="31"/>
    <n v="8758732482.6900005"/>
    <x v="1"/>
  </r>
  <r>
    <s v="WELLS FARGO"/>
    <x v="31"/>
    <n v="3453825775.5799999"/>
    <x v="2"/>
  </r>
  <r>
    <s v="CHASE"/>
    <x v="31"/>
    <n v="3000853088.4299998"/>
    <x v="3"/>
  </r>
  <r>
    <s v="CITI"/>
    <x v="31"/>
    <n v="2805440695.2399998"/>
    <x v="4"/>
  </r>
  <r>
    <s v="ALLY"/>
    <x v="31"/>
    <n v="1589051101.3399999"/>
    <x v="5"/>
  </r>
  <r>
    <s v="OHIO SAVINGS BANK"/>
    <x v="31"/>
    <n v="1190759562.4300001"/>
    <x v="6"/>
  </r>
  <r>
    <s v="FLAGSTAR"/>
    <x v="31"/>
    <n v="759528959.26999998"/>
    <x v="7"/>
  </r>
  <r>
    <s v="WAMU"/>
    <x v="31"/>
    <n v="705864383.04999995"/>
    <x v="8"/>
  </r>
  <r>
    <s v="FIRST BANK OF TENNESSEE"/>
    <x v="31"/>
    <n v="696537956.32000005"/>
    <x v="9"/>
  </r>
  <r>
    <s v="BANK OF AMERICA"/>
    <x v="32"/>
    <n v="10358305289.91"/>
    <x v="0"/>
  </r>
  <r>
    <s v="CWB"/>
    <x v="32"/>
    <n v="9032989047.8700008"/>
    <x v="1"/>
  </r>
  <r>
    <s v="CITI"/>
    <x v="32"/>
    <n v="3027644368.0700002"/>
    <x v="2"/>
  </r>
  <r>
    <s v="CHASE"/>
    <x v="32"/>
    <n v="2639469374.9000001"/>
    <x v="3"/>
  </r>
  <r>
    <s v="WELLS FARGO"/>
    <x v="32"/>
    <n v="2635129657.8800001"/>
    <x v="4"/>
  </r>
  <r>
    <s v="SUNTRUST"/>
    <x v="32"/>
    <n v="2338045896.1799998"/>
    <x v="5"/>
  </r>
  <r>
    <s v="ALLY"/>
    <x v="32"/>
    <n v="1915009538.51"/>
    <x v="6"/>
  </r>
  <r>
    <s v="OHIO SAVINGS BANK"/>
    <x v="32"/>
    <n v="990721792.80999994"/>
    <x v="7"/>
  </r>
  <r>
    <s v="WAMU"/>
    <x v="32"/>
    <n v="810137866.02999997"/>
    <x v="8"/>
  </r>
  <r>
    <s v="FIRST BANK OF TENNESSEE"/>
    <x v="32"/>
    <n v="808998797.29999995"/>
    <x v="9"/>
  </r>
  <r>
    <s v="BANK OF AMERICA"/>
    <x v="33"/>
    <n v="6978704255.8400002"/>
    <x v="0"/>
  </r>
  <r>
    <s v="CWB"/>
    <x v="33"/>
    <n v="5495137439.1999998"/>
    <x v="1"/>
  </r>
  <r>
    <s v="CHASE"/>
    <x v="33"/>
    <n v="3042261494.9299998"/>
    <x v="2"/>
  </r>
  <r>
    <s v="WELLS FARGO"/>
    <x v="33"/>
    <n v="2631894145.25"/>
    <x v="3"/>
  </r>
  <r>
    <s v="CITI"/>
    <x v="33"/>
    <n v="2308312746.5500002"/>
    <x v="4"/>
  </r>
  <r>
    <s v="SUNTRUST"/>
    <x v="33"/>
    <n v="1883780544.9400001"/>
    <x v="5"/>
  </r>
  <r>
    <s v="ALLY"/>
    <x v="33"/>
    <n v="1740811595.75"/>
    <x v="6"/>
  </r>
  <r>
    <s v="WAMU"/>
    <x v="33"/>
    <n v="1589118989.3299999"/>
    <x v="7"/>
  </r>
  <r>
    <s v="INDYMAC BANK, FSB"/>
    <x v="33"/>
    <n v="1121784551.25"/>
    <x v="8"/>
  </r>
  <r>
    <s v="OHIO SAVINGS BANK"/>
    <x v="33"/>
    <n v="1120473577.1900001"/>
    <x v="9"/>
  </r>
  <r>
    <s v="BANK OF AMERICA"/>
    <x v="34"/>
    <n v="8722494308.0400009"/>
    <x v="0"/>
  </r>
  <r>
    <s v="CWB"/>
    <x v="34"/>
    <n v="7674012077.6199999"/>
    <x v="1"/>
  </r>
  <r>
    <s v="CHASE"/>
    <x v="34"/>
    <n v="2565179780.52"/>
    <x v="2"/>
  </r>
  <r>
    <s v="SUNTRUST"/>
    <x v="34"/>
    <n v="2287379973.8099999"/>
    <x v="3"/>
  </r>
  <r>
    <s v="CITI"/>
    <x v="34"/>
    <n v="2121022833.9200001"/>
    <x v="4"/>
  </r>
  <r>
    <s v="WELLS FARGO"/>
    <x v="34"/>
    <n v="1808443576.4000001"/>
    <x v="5"/>
  </r>
  <r>
    <s v="ALLY"/>
    <x v="34"/>
    <n v="1318407636.3199999"/>
    <x v="6"/>
  </r>
  <r>
    <s v="WAMU"/>
    <x v="34"/>
    <n v="1253851453.8900001"/>
    <x v="7"/>
  </r>
  <r>
    <s v="OHIO SAVINGS BANK"/>
    <x v="34"/>
    <n v="994577512.00999999"/>
    <x v="8"/>
  </r>
  <r>
    <s v="INDYMAC BANK, FSB"/>
    <x v="34"/>
    <n v="810849624.72000003"/>
    <x v="9"/>
  </r>
  <r>
    <s v="BANK OF AMERICA"/>
    <x v="35"/>
    <n v="9582564990.2199993"/>
    <x v="0"/>
  </r>
  <r>
    <s v="CWB"/>
    <x v="35"/>
    <n v="8585208581.6700001"/>
    <x v="1"/>
  </r>
  <r>
    <s v="CITI"/>
    <x v="35"/>
    <n v="3190920607.3299999"/>
    <x v="2"/>
  </r>
  <r>
    <s v="WELLS FARGO"/>
    <x v="35"/>
    <n v="3088788943.8800001"/>
    <x v="3"/>
  </r>
  <r>
    <s v="CHASE"/>
    <x v="35"/>
    <n v="2857246235.5100002"/>
    <x v="4"/>
  </r>
  <r>
    <s v="SUNTRUST"/>
    <x v="35"/>
    <n v="1855245672.23"/>
    <x v="5"/>
  </r>
  <r>
    <s v="ALLY"/>
    <x v="35"/>
    <n v="1682540462.5999999"/>
    <x v="6"/>
  </r>
  <r>
    <s v="PNC"/>
    <x v="35"/>
    <n v="1208592361.22"/>
    <x v="7"/>
  </r>
  <r>
    <s v="OHIO SAVINGS BANK"/>
    <x v="35"/>
    <n v="1106072232.51"/>
    <x v="8"/>
  </r>
  <r>
    <s v="FLAGSTAR"/>
    <x v="35"/>
    <n v="1084688488.78"/>
    <x v="9"/>
  </r>
  <r>
    <s v="BANK OF AMERICA"/>
    <x v="36"/>
    <n v="6730657877.1899996"/>
    <x v="0"/>
  </r>
  <r>
    <s v="CWB"/>
    <x v="36"/>
    <n v="5813663933.3800001"/>
    <x v="1"/>
  </r>
  <r>
    <s v="CITI"/>
    <x v="36"/>
    <n v="4271244319.7399998"/>
    <x v="2"/>
  </r>
  <r>
    <s v="ALLY"/>
    <x v="36"/>
    <n v="2990450428.04"/>
    <x v="3"/>
  </r>
  <r>
    <s v="CHASE"/>
    <x v="36"/>
    <n v="2888770196.1999998"/>
    <x v="4"/>
  </r>
  <r>
    <s v="WELLS FARGO"/>
    <x v="36"/>
    <n v="2311888321.9299998"/>
    <x v="5"/>
  </r>
  <r>
    <s v="SUNTRUST"/>
    <x v="36"/>
    <n v="2038759426.5999999"/>
    <x v="6"/>
  </r>
  <r>
    <s v="OHIO SAVINGS BANK"/>
    <x v="36"/>
    <n v="1289293850.24"/>
    <x v="7"/>
  </r>
  <r>
    <s v="FLAGSTAR"/>
    <x v="36"/>
    <n v="954021072.17999995"/>
    <x v="8"/>
  </r>
  <r>
    <s v="INDYMAC BANK, FSB"/>
    <x v="36"/>
    <n v="921241768.96000004"/>
    <x v="9"/>
  </r>
  <r>
    <s v="BANK OF AMERICA"/>
    <x v="37"/>
    <n v="8965396007.8700008"/>
    <x v="0"/>
  </r>
  <r>
    <s v="CWB"/>
    <x v="37"/>
    <n v="8021599510.5100002"/>
    <x v="1"/>
  </r>
  <r>
    <s v="CITI"/>
    <x v="37"/>
    <n v="4259554318.7399998"/>
    <x v="2"/>
  </r>
  <r>
    <s v="ALLY"/>
    <x v="37"/>
    <n v="3176378793.3400002"/>
    <x v="3"/>
  </r>
  <r>
    <s v="CHASE"/>
    <x v="37"/>
    <n v="2706201429.5500002"/>
    <x v="4"/>
  </r>
  <r>
    <s v="WELLS FARGO"/>
    <x v="37"/>
    <n v="2539917398.6199999"/>
    <x v="5"/>
  </r>
  <r>
    <s v="OHIO SAVINGS BANK"/>
    <x v="37"/>
    <n v="1567093191.0799999"/>
    <x v="6"/>
  </r>
  <r>
    <s v="SUNTRUST"/>
    <x v="37"/>
    <n v="1485499260.4200001"/>
    <x v="7"/>
  </r>
  <r>
    <s v="FLAGSTAR"/>
    <x v="37"/>
    <n v="839725062.69000006"/>
    <x v="8"/>
  </r>
  <r>
    <s v="INDYMAC BANK, FSB"/>
    <x v="37"/>
    <n v="799350786.94000006"/>
    <x v="9"/>
  </r>
  <r>
    <s v="BANK OF AMERICA"/>
    <x v="38"/>
    <n v="7937895190.9099998"/>
    <x v="0"/>
  </r>
  <r>
    <s v="CWB"/>
    <x v="38"/>
    <n v="7482650729.9300003"/>
    <x v="1"/>
  </r>
  <r>
    <s v="CITI"/>
    <x v="38"/>
    <n v="3924938406.6100001"/>
    <x v="2"/>
  </r>
  <r>
    <s v="WELLS FARGO"/>
    <x v="38"/>
    <n v="2443448786.8000002"/>
    <x v="3"/>
  </r>
  <r>
    <s v="CHASE"/>
    <x v="38"/>
    <n v="2024818342.8499999"/>
    <x v="4"/>
  </r>
  <r>
    <s v="ALLY"/>
    <x v="38"/>
    <n v="1925461790.45"/>
    <x v="5"/>
  </r>
  <r>
    <s v="SUNTRUST"/>
    <x v="38"/>
    <n v="1752991870.7"/>
    <x v="6"/>
  </r>
  <r>
    <s v="FIRST BANK OF TENNESSEE"/>
    <x v="38"/>
    <n v="914924139.89999998"/>
    <x v="7"/>
  </r>
  <r>
    <s v="OHIO SAVINGS BANK"/>
    <x v="38"/>
    <n v="854038458.64999998"/>
    <x v="8"/>
  </r>
  <r>
    <s v="FLAGSTAR"/>
    <x v="38"/>
    <n v="813164836.91999996"/>
    <x v="9"/>
  </r>
  <r>
    <s v="BANK OF AMERICA"/>
    <x v="39"/>
    <n v="12881299848.049999"/>
    <x v="0"/>
  </r>
  <r>
    <s v="CWB"/>
    <x v="39"/>
    <n v="11793300856.860001"/>
    <x v="1"/>
  </r>
  <r>
    <s v="CITI"/>
    <x v="39"/>
    <n v="3004026765.3299999"/>
    <x v="2"/>
  </r>
  <r>
    <s v="WELLS FARGO"/>
    <x v="39"/>
    <n v="2534609295.7800002"/>
    <x v="3"/>
  </r>
  <r>
    <s v="CHASE"/>
    <x v="39"/>
    <n v="2083799576.1600001"/>
    <x v="4"/>
  </r>
  <r>
    <s v="ALLY"/>
    <x v="39"/>
    <n v="1937299624.6199999"/>
    <x v="5"/>
  </r>
  <r>
    <s v="SUNTRUST"/>
    <x v="39"/>
    <n v="1566716834.5999999"/>
    <x v="6"/>
  </r>
  <r>
    <s v="INDYMAC BANK, FSB"/>
    <x v="39"/>
    <n v="1043534022.4400001"/>
    <x v="7"/>
  </r>
  <r>
    <s v="OHIO SAVINGS BANK"/>
    <x v="39"/>
    <n v="1030972708.28"/>
    <x v="8"/>
  </r>
  <r>
    <s v="PNC"/>
    <x v="39"/>
    <n v="960615545.09000003"/>
    <x v="9"/>
  </r>
  <r>
    <s v="BANK OF AMERICA"/>
    <x v="40"/>
    <n v="11369922533.33"/>
    <x v="0"/>
  </r>
  <r>
    <s v="CWB"/>
    <x v="40"/>
    <n v="10270535420.92"/>
    <x v="1"/>
  </r>
  <r>
    <s v="CITI"/>
    <x v="40"/>
    <n v="3359214384.9000001"/>
    <x v="2"/>
  </r>
  <r>
    <s v="WELLS FARGO"/>
    <x v="40"/>
    <n v="2906462369.3699999"/>
    <x v="3"/>
  </r>
  <r>
    <s v="ALLY"/>
    <x v="40"/>
    <n v="2246071129.2399998"/>
    <x v="4"/>
  </r>
  <r>
    <s v="CHASE"/>
    <x v="40"/>
    <n v="2013738300.99"/>
    <x v="5"/>
  </r>
  <r>
    <s v="SUNTRUST"/>
    <x v="40"/>
    <n v="1843249690.05"/>
    <x v="6"/>
  </r>
  <r>
    <s v="OHIO SAVINGS BANK"/>
    <x v="40"/>
    <n v="1040302257.8200001"/>
    <x v="7"/>
  </r>
  <r>
    <s v="PNC"/>
    <x v="40"/>
    <n v="781372045.30999994"/>
    <x v="8"/>
  </r>
  <r>
    <s v="FIRST BANK OF TENNESSEE"/>
    <x v="40"/>
    <n v="751171822.16999996"/>
    <x v="9"/>
  </r>
  <r>
    <s v="BANK OF AMERICA"/>
    <x v="41"/>
    <n v="12068562737.24"/>
    <x v="0"/>
  </r>
  <r>
    <s v="CWB"/>
    <x v="41"/>
    <n v="11681700587.98"/>
    <x v="1"/>
  </r>
  <r>
    <s v="WELLS FARGO"/>
    <x v="41"/>
    <n v="3297592150.5500002"/>
    <x v="2"/>
  </r>
  <r>
    <s v="SUNTRUST"/>
    <x v="41"/>
    <n v="2997445484.7600002"/>
    <x v="3"/>
  </r>
  <r>
    <s v="CITI"/>
    <x v="41"/>
    <n v="2937160565.1900001"/>
    <x v="4"/>
  </r>
  <r>
    <s v="CHASE"/>
    <x v="41"/>
    <n v="2688316844.1700001"/>
    <x v="5"/>
  </r>
  <r>
    <s v="ALLY"/>
    <x v="41"/>
    <n v="1624971289.8099999"/>
    <x v="6"/>
  </r>
  <r>
    <s v="OHIO SAVINGS BANK"/>
    <x v="41"/>
    <n v="1126766081.78"/>
    <x v="7"/>
  </r>
  <r>
    <s v="WACHOVIA"/>
    <x v="41"/>
    <n v="964007367.75999999"/>
    <x v="8"/>
  </r>
  <r>
    <s v="PNC"/>
    <x v="41"/>
    <n v="893985913.90999997"/>
    <x v="9"/>
  </r>
  <r>
    <s v="BANK OF AMERICA"/>
    <x v="42"/>
    <n v="14906336717.870001"/>
    <x v="0"/>
  </r>
  <r>
    <s v="CWB"/>
    <x v="42"/>
    <n v="14601314801.620001"/>
    <x v="1"/>
  </r>
  <r>
    <s v="CITI"/>
    <x v="42"/>
    <n v="2925521620.21"/>
    <x v="2"/>
  </r>
  <r>
    <s v="ALLY"/>
    <x v="42"/>
    <n v="2460469083.1599998"/>
    <x v="3"/>
  </r>
  <r>
    <s v="WELLS FARGO"/>
    <x v="42"/>
    <n v="2441724887.9200001"/>
    <x v="4"/>
  </r>
  <r>
    <s v="CHASE"/>
    <x v="42"/>
    <n v="2138867218.3299999"/>
    <x v="5"/>
  </r>
  <r>
    <s v="SUNTRUST"/>
    <x v="42"/>
    <n v="1681152905.8"/>
    <x v="6"/>
  </r>
  <r>
    <s v="INDYMAC BANK, FSB"/>
    <x v="42"/>
    <n v="1318374534.23"/>
    <x v="7"/>
  </r>
  <r>
    <s v="OHIO SAVINGS BANK"/>
    <x v="42"/>
    <n v="1083466444.1900001"/>
    <x v="8"/>
  </r>
  <r>
    <s v="PNC"/>
    <x v="42"/>
    <n v="901782761.33000004"/>
    <x v="9"/>
  </r>
  <r>
    <s v="BANK OF AMERICA"/>
    <x v="43"/>
    <n v="11915399053.1"/>
    <x v="0"/>
  </r>
  <r>
    <s v="CWB"/>
    <x v="43"/>
    <n v="9206220291.1299992"/>
    <x v="1"/>
  </r>
  <r>
    <s v="CITI"/>
    <x v="43"/>
    <n v="3890208424.1700001"/>
    <x v="2"/>
  </r>
  <r>
    <s v="CHASE"/>
    <x v="43"/>
    <n v="3732500424.5999999"/>
    <x v="3"/>
  </r>
  <r>
    <s v="WELLS FARGO"/>
    <x v="43"/>
    <n v="2985315385.3099999"/>
    <x v="4"/>
  </r>
  <r>
    <s v="SUNTRUST"/>
    <x v="43"/>
    <n v="2779190717.4200001"/>
    <x v="5"/>
  </r>
  <r>
    <s v="ALLY"/>
    <x v="43"/>
    <n v="1783123280.8499999"/>
    <x v="6"/>
  </r>
  <r>
    <s v="OHIO SAVINGS BANK"/>
    <x v="43"/>
    <n v="1400648261.4300001"/>
    <x v="7"/>
  </r>
  <r>
    <s v="PNC"/>
    <x v="43"/>
    <n v="1076526508.7"/>
    <x v="8"/>
  </r>
  <r>
    <s v="FLAGSTAR"/>
    <x v="43"/>
    <n v="930831114.73000002"/>
    <x v="9"/>
  </r>
  <r>
    <s v="BANK OF AMERICA"/>
    <x v="44"/>
    <n v="13440547910.5"/>
    <x v="0"/>
  </r>
  <r>
    <s v="CWB"/>
    <x v="44"/>
    <n v="12829856145.469999"/>
    <x v="1"/>
  </r>
  <r>
    <s v="CITI"/>
    <x v="44"/>
    <n v="3851199610.8499999"/>
    <x v="2"/>
  </r>
  <r>
    <s v="CHASE"/>
    <x v="44"/>
    <n v="3377397645.52"/>
    <x v="3"/>
  </r>
  <r>
    <s v="WELLS FARGO"/>
    <x v="44"/>
    <n v="2957607339.6300001"/>
    <x v="4"/>
  </r>
  <r>
    <s v="INDYMAC BANK, FSB"/>
    <x v="44"/>
    <n v="2050143179.3699999"/>
    <x v="5"/>
  </r>
  <r>
    <s v="SUNTRUST"/>
    <x v="44"/>
    <n v="1966470786.1099999"/>
    <x v="6"/>
  </r>
  <r>
    <s v="ALLY"/>
    <x v="44"/>
    <n v="1754639598.27"/>
    <x v="7"/>
  </r>
  <r>
    <s v="OHIO SAVINGS BANK"/>
    <x v="44"/>
    <n v="1447487916.3299999"/>
    <x v="8"/>
  </r>
  <r>
    <s v="FIRST BANK OF TENNESSEE"/>
    <x v="44"/>
    <n v="936668361.33000004"/>
    <x v="9"/>
  </r>
  <r>
    <s v="BANK OF AMERICA"/>
    <x v="45"/>
    <n v="14589989652.360001"/>
    <x v="0"/>
  </r>
  <r>
    <s v="CWB"/>
    <x v="45"/>
    <n v="14193408528.25"/>
    <x v="1"/>
  </r>
  <r>
    <s v="CITI"/>
    <x v="45"/>
    <n v="3561719799.3400002"/>
    <x v="2"/>
  </r>
  <r>
    <s v="CHASE"/>
    <x v="45"/>
    <n v="3438763278.0799999"/>
    <x v="3"/>
  </r>
  <r>
    <s v="WELLS FARGO"/>
    <x v="45"/>
    <n v="2400431666.98"/>
    <x v="4"/>
  </r>
  <r>
    <s v="SUNTRUST"/>
    <x v="45"/>
    <n v="2073037813.0799999"/>
    <x v="5"/>
  </r>
  <r>
    <s v="AMTRUST"/>
    <x v="45"/>
    <n v="1477365224.1900001"/>
    <x v="6"/>
  </r>
  <r>
    <s v="ALLY"/>
    <x v="45"/>
    <n v="1294136276.6199999"/>
    <x v="7"/>
  </r>
  <r>
    <s v="FIRST BANK OF TENNESSEE"/>
    <x v="45"/>
    <n v="1081593381.96"/>
    <x v="8"/>
  </r>
  <r>
    <s v="PNC"/>
    <x v="45"/>
    <n v="1052940216.6"/>
    <x v="9"/>
  </r>
  <r>
    <s v="BANK OF AMERICA"/>
    <x v="46"/>
    <n v="15230409440.049999"/>
    <x v="0"/>
  </r>
  <r>
    <s v="CWB"/>
    <x v="46"/>
    <n v="14703375942.889999"/>
    <x v="1"/>
  </r>
  <r>
    <s v="CHASE"/>
    <x v="46"/>
    <n v="4704588320.8599997"/>
    <x v="2"/>
  </r>
  <r>
    <s v="WELLS FARGO"/>
    <x v="46"/>
    <n v="3991515759.6700001"/>
    <x v="3"/>
  </r>
  <r>
    <s v="CITI"/>
    <x v="46"/>
    <n v="3191185857.5799999"/>
    <x v="4"/>
  </r>
  <r>
    <s v="SUNTRUST"/>
    <x v="46"/>
    <n v="3057896153.2199998"/>
    <x v="5"/>
  </r>
  <r>
    <s v="ALLY"/>
    <x v="46"/>
    <n v="2404088259.6199999"/>
    <x v="6"/>
  </r>
  <r>
    <s v="INDYMAC BANK, FSB"/>
    <x v="46"/>
    <n v="1615440788.0799999"/>
    <x v="7"/>
  </r>
  <r>
    <s v="AMTRUST"/>
    <x v="46"/>
    <n v="1553581133.7"/>
    <x v="8"/>
  </r>
  <r>
    <s v="FLAGSTAR"/>
    <x v="46"/>
    <n v="1300992636.03"/>
    <x v="9"/>
  </r>
  <r>
    <s v="BANK OF AMERICA"/>
    <x v="47"/>
    <n v="17586653532.040001"/>
    <x v="0"/>
  </r>
  <r>
    <s v="CWB"/>
    <x v="47"/>
    <n v="17142662362.059999"/>
    <x v="1"/>
  </r>
  <r>
    <s v="CHASE"/>
    <x v="47"/>
    <n v="4300836247.1300001"/>
    <x v="2"/>
  </r>
  <r>
    <s v="CITI"/>
    <x v="47"/>
    <n v="3836560339.73"/>
    <x v="3"/>
  </r>
  <r>
    <s v="WELLS FARGO"/>
    <x v="47"/>
    <n v="2731478604.6999998"/>
    <x v="4"/>
  </r>
  <r>
    <s v="SUNTRUST"/>
    <x v="47"/>
    <n v="2307181922.4299998"/>
    <x v="5"/>
  </r>
  <r>
    <s v="ALLY"/>
    <x v="47"/>
    <n v="2278819237.3600001"/>
    <x v="6"/>
  </r>
  <r>
    <s v="AMTRUST"/>
    <x v="47"/>
    <n v="1906852083.95"/>
    <x v="7"/>
  </r>
  <r>
    <s v="PNC"/>
    <x v="47"/>
    <n v="1394224530.9200001"/>
    <x v="8"/>
  </r>
  <r>
    <s v="INDYMAC BANK, FSB"/>
    <x v="47"/>
    <n v="1316223375.74"/>
    <x v="9"/>
  </r>
  <r>
    <s v="BANK OF AMERICA"/>
    <x v="48"/>
    <n v="15188068031.41"/>
    <x v="0"/>
  </r>
  <r>
    <s v="CWB"/>
    <x v="48"/>
    <n v="14698388639.51"/>
    <x v="1"/>
  </r>
  <r>
    <s v="WELLS FARGO"/>
    <x v="48"/>
    <n v="6018415234.2799997"/>
    <x v="2"/>
  </r>
  <r>
    <s v="CHASE"/>
    <x v="48"/>
    <n v="4368969208.9799995"/>
    <x v="3"/>
  </r>
  <r>
    <s v="CITI"/>
    <x v="48"/>
    <n v="3303187212.9200001"/>
    <x v="4"/>
  </r>
  <r>
    <s v="SUNTRUST"/>
    <x v="48"/>
    <n v="2842855885.04"/>
    <x v="5"/>
  </r>
  <r>
    <s v="INDYMAC BANK, FSB"/>
    <x v="48"/>
    <n v="2292513360.1999998"/>
    <x v="6"/>
  </r>
  <r>
    <s v="ALLY"/>
    <x v="48"/>
    <n v="1841737385.8499999"/>
    <x v="7"/>
  </r>
  <r>
    <s v="ABM"/>
    <x v="48"/>
    <n v="1807624275.1300001"/>
    <x v="8"/>
  </r>
  <r>
    <s v="AMTRUST"/>
    <x v="48"/>
    <n v="1714739832.1500001"/>
    <x v="9"/>
  </r>
  <r>
    <s v="BANK OF AMERICA"/>
    <x v="49"/>
    <n v="13829268759.76"/>
    <x v="0"/>
  </r>
  <r>
    <s v="CWB"/>
    <x v="49"/>
    <n v="10643238075.370001"/>
    <x v="1"/>
  </r>
  <r>
    <s v="WELLS FARGO"/>
    <x v="49"/>
    <n v="5143069384.9799995"/>
    <x v="2"/>
  </r>
  <r>
    <s v="CHASE"/>
    <x v="49"/>
    <n v="4890121630.1499996"/>
    <x v="3"/>
  </r>
  <r>
    <s v="CITI"/>
    <x v="49"/>
    <n v="3854877579.4699998"/>
    <x v="4"/>
  </r>
  <r>
    <s v="ALLY"/>
    <x v="49"/>
    <n v="2847267157.4000001"/>
    <x v="5"/>
  </r>
  <r>
    <s v="SUNTRUST"/>
    <x v="49"/>
    <n v="2458473903.25"/>
    <x v="6"/>
  </r>
  <r>
    <s v="PNC"/>
    <x v="49"/>
    <n v="1994254729.6099999"/>
    <x v="7"/>
  </r>
  <r>
    <s v="AMTRUST"/>
    <x v="49"/>
    <n v="1388548009.76"/>
    <x v="8"/>
  </r>
  <r>
    <s v="ABM"/>
    <x v="49"/>
    <n v="1387272814.27"/>
    <x v="9"/>
  </r>
  <r>
    <s v="BANK OF AMERICA"/>
    <x v="50"/>
    <n v="16061360740.030001"/>
    <x v="0"/>
  </r>
  <r>
    <s v="CWB"/>
    <x v="50"/>
    <n v="12406881529.92"/>
    <x v="1"/>
  </r>
  <r>
    <s v="WELLS FARGO"/>
    <x v="50"/>
    <n v="4689720335.75"/>
    <x v="2"/>
  </r>
  <r>
    <s v="CITI"/>
    <x v="50"/>
    <n v="4057104000.5"/>
    <x v="3"/>
  </r>
  <r>
    <s v="CHASE"/>
    <x v="50"/>
    <n v="2974413615.9000001"/>
    <x v="4"/>
  </r>
  <r>
    <s v="SUNTRUST"/>
    <x v="50"/>
    <n v="2052835599.0899999"/>
    <x v="5"/>
  </r>
  <r>
    <s v="ALLY"/>
    <x v="50"/>
    <n v="1932771583.74"/>
    <x v="6"/>
  </r>
  <r>
    <s v="ABM"/>
    <x v="50"/>
    <n v="1716047375.54"/>
    <x v="7"/>
  </r>
  <r>
    <s v="FLAGSTAR"/>
    <x v="50"/>
    <n v="1632374005.76"/>
    <x v="8"/>
  </r>
  <r>
    <s v="INDYMAC BANK, FSB"/>
    <x v="50"/>
    <n v="1627179406.9100001"/>
    <x v="9"/>
  </r>
  <r>
    <s v="BANK OF AMERICA"/>
    <x v="51"/>
    <n v="13009808173.709999"/>
    <x v="0"/>
  </r>
  <r>
    <s v="CWB"/>
    <x v="51"/>
    <n v="11532643036.76"/>
    <x v="1"/>
  </r>
  <r>
    <s v="WELLS FARGO"/>
    <x v="51"/>
    <n v="5477637374.3699999"/>
    <x v="2"/>
  </r>
  <r>
    <s v="CHASE"/>
    <x v="51"/>
    <n v="4106468626.3499999"/>
    <x v="3"/>
  </r>
  <r>
    <s v="INDYMAC BANK, FSB"/>
    <x v="51"/>
    <n v="3005795776.6599998"/>
    <x v="4"/>
  </r>
  <r>
    <s v="CITI"/>
    <x v="51"/>
    <n v="2440915374.0100002"/>
    <x v="5"/>
  </r>
  <r>
    <s v="SUNTRUST"/>
    <x v="51"/>
    <n v="2295059599.6599998"/>
    <x v="6"/>
  </r>
  <r>
    <s v="ALLY"/>
    <x v="51"/>
    <n v="1898061596.96"/>
    <x v="7"/>
  </r>
  <r>
    <s v="PNC"/>
    <x v="51"/>
    <n v="1833683351.3399999"/>
    <x v="8"/>
  </r>
  <r>
    <s v="FLAGSTAR"/>
    <x v="51"/>
    <n v="1784157712.8499999"/>
    <x v="9"/>
  </r>
  <r>
    <s v="BANK OF AMERICA"/>
    <x v="52"/>
    <n v="12603633651.940001"/>
    <x v="0"/>
  </r>
  <r>
    <s v="CWB"/>
    <x v="52"/>
    <n v="8830293939.6599998"/>
    <x v="1"/>
  </r>
  <r>
    <s v="WELLS FARGO"/>
    <x v="52"/>
    <n v="6128983567.5500002"/>
    <x v="2"/>
  </r>
  <r>
    <s v="CHASE"/>
    <x v="52"/>
    <n v="4784499832.4499998"/>
    <x v="3"/>
  </r>
  <r>
    <s v="CITI"/>
    <x v="52"/>
    <n v="3076234330.1399999"/>
    <x v="4"/>
  </r>
  <r>
    <s v="PNC"/>
    <x v="52"/>
    <n v="2979385823.8600001"/>
    <x v="5"/>
  </r>
  <r>
    <s v="SUNTRUST"/>
    <x v="52"/>
    <n v="2878585849.6500001"/>
    <x v="6"/>
  </r>
  <r>
    <s v="ALLY"/>
    <x v="52"/>
    <n v="2238443049.8499999"/>
    <x v="7"/>
  </r>
  <r>
    <s v="AMTRUST"/>
    <x v="52"/>
    <n v="1587214030.9300001"/>
    <x v="8"/>
  </r>
  <r>
    <s v="FLAGSTAR"/>
    <x v="52"/>
    <n v="1533313968.5899999"/>
    <x v="9"/>
  </r>
  <r>
    <s v="BANK OF AMERICA"/>
    <x v="53"/>
    <n v="19245031368.959999"/>
    <x v="0"/>
  </r>
  <r>
    <s v="CWB"/>
    <x v="53"/>
    <n v="16764636099.889999"/>
    <x v="1"/>
  </r>
  <r>
    <s v="CHASE"/>
    <x v="53"/>
    <n v="7492129106.8599997"/>
    <x v="2"/>
  </r>
  <r>
    <s v="WELLS FARGO"/>
    <x v="53"/>
    <n v="5922081670.7299995"/>
    <x v="3"/>
  </r>
  <r>
    <s v="CITI"/>
    <x v="53"/>
    <n v="2932443733.4000001"/>
    <x v="4"/>
  </r>
  <r>
    <s v="ALLY"/>
    <x v="53"/>
    <n v="2777009284.9299998"/>
    <x v="5"/>
  </r>
  <r>
    <s v="PNC"/>
    <x v="53"/>
    <n v="2709598977.0999999"/>
    <x v="6"/>
  </r>
  <r>
    <s v="SUNTRUST"/>
    <x v="53"/>
    <n v="2693818093.54"/>
    <x v="7"/>
  </r>
  <r>
    <s v="INDYMAC BANK, FSB"/>
    <x v="53"/>
    <n v="2331516295"/>
    <x v="8"/>
  </r>
  <r>
    <s v="WACHOVIA"/>
    <x v="53"/>
    <n v="2149075513.8000002"/>
    <x v="9"/>
  </r>
  <r>
    <s v="BANK OF AMERICA"/>
    <x v="54"/>
    <n v="14202157043.27"/>
    <x v="0"/>
  </r>
  <r>
    <s v="CWB"/>
    <x v="54"/>
    <n v="12621973781.870001"/>
    <x v="1"/>
  </r>
  <r>
    <s v="WELLS FARGO"/>
    <x v="54"/>
    <n v="5195462052.75"/>
    <x v="2"/>
  </r>
  <r>
    <s v="CHASE"/>
    <x v="54"/>
    <n v="3462535631.8600001"/>
    <x v="3"/>
  </r>
  <r>
    <s v="CITI"/>
    <x v="54"/>
    <n v="2947586166.1999998"/>
    <x v="4"/>
  </r>
  <r>
    <s v="SUNTRUST"/>
    <x v="54"/>
    <n v="2827494752.0799999"/>
    <x v="5"/>
  </r>
  <r>
    <s v="ALLY"/>
    <x v="54"/>
    <n v="2775332433.4299998"/>
    <x v="6"/>
  </r>
  <r>
    <s v="INDYMAC BANK, FSB"/>
    <x v="54"/>
    <n v="1603611344.5899999"/>
    <x v="7"/>
  </r>
  <r>
    <s v="AMTRUST"/>
    <x v="54"/>
    <n v="1429750310.99"/>
    <x v="8"/>
  </r>
  <r>
    <s v="PNC"/>
    <x v="54"/>
    <n v="1136876862.78"/>
    <x v="9"/>
  </r>
  <r>
    <s v="BANK OF AMERICA"/>
    <x v="55"/>
    <n v="18869156796.220001"/>
    <x v="0"/>
  </r>
  <r>
    <s v="CWB"/>
    <x v="55"/>
    <n v="15666973862.35"/>
    <x v="1"/>
  </r>
  <r>
    <s v="WELLS FARGO"/>
    <x v="55"/>
    <n v="10463321114.809999"/>
    <x v="2"/>
  </r>
  <r>
    <s v="CHASE"/>
    <x v="55"/>
    <n v="8263551375.8699999"/>
    <x v="3"/>
  </r>
  <r>
    <s v="SUNTRUST"/>
    <x v="55"/>
    <n v="4670013910.6199999"/>
    <x v="4"/>
  </r>
  <r>
    <s v="CITI"/>
    <x v="55"/>
    <n v="4475362907.0500002"/>
    <x v="5"/>
  </r>
  <r>
    <s v="INDYMAC BANK, FSB"/>
    <x v="55"/>
    <n v="3021716833.79"/>
    <x v="6"/>
  </r>
  <r>
    <s v="ALLY"/>
    <x v="55"/>
    <n v="2956410222.3499999"/>
    <x v="7"/>
  </r>
  <r>
    <s v="FLAGSTAR"/>
    <x v="55"/>
    <n v="2148417999.02"/>
    <x v="8"/>
  </r>
  <r>
    <s v="PNC"/>
    <x v="55"/>
    <n v="1446007033.96"/>
    <x v="9"/>
  </r>
  <r>
    <s v="BANK OF AMERICA"/>
    <x v="56"/>
    <n v="9926586445.7800007"/>
    <x v="0"/>
  </r>
  <r>
    <s v="CWB"/>
    <x v="56"/>
    <n v="9604764183.2199993"/>
    <x v="1"/>
  </r>
  <r>
    <s v="WELLS FARGO"/>
    <x v="56"/>
    <n v="8335762574.4099998"/>
    <x v="2"/>
  </r>
  <r>
    <s v="CITI"/>
    <x v="56"/>
    <n v="7148555769.2600002"/>
    <x v="3"/>
  </r>
  <r>
    <s v="CHASE"/>
    <x v="56"/>
    <n v="2918959286.4000001"/>
    <x v="4"/>
  </r>
  <r>
    <s v="ALLY"/>
    <x v="56"/>
    <n v="2689977192.96"/>
    <x v="5"/>
  </r>
  <r>
    <s v="WACHOVIA"/>
    <x v="56"/>
    <n v="2282514196.4699998"/>
    <x v="6"/>
  </r>
  <r>
    <s v="AMTRUST"/>
    <x v="56"/>
    <n v="1448382903.7"/>
    <x v="7"/>
  </r>
  <r>
    <s v="INDYMAC BANK, FSB"/>
    <x v="56"/>
    <n v="1435114914.6099999"/>
    <x v="8"/>
  </r>
  <r>
    <s v="SUNTRUST"/>
    <x v="56"/>
    <n v="1287479108.4200001"/>
    <x v="9"/>
  </r>
  <r>
    <s v="BANK OF AMERICA"/>
    <x v="57"/>
    <n v="13677637389.280001"/>
    <x v="0"/>
  </r>
  <r>
    <s v="CWB"/>
    <x v="57"/>
    <n v="11260841584.469999"/>
    <x v="1"/>
  </r>
  <r>
    <s v="WELLS FARGO"/>
    <x v="57"/>
    <n v="7725471901.6400003"/>
    <x v="2"/>
  </r>
  <r>
    <s v="CITI"/>
    <x v="57"/>
    <n v="5086138597.2299995"/>
    <x v="3"/>
  </r>
  <r>
    <s v="CHASE"/>
    <x v="57"/>
    <n v="4264804845.6999998"/>
    <x v="4"/>
  </r>
  <r>
    <s v="ALLY"/>
    <x v="57"/>
    <n v="3658268824.0300002"/>
    <x v="5"/>
  </r>
  <r>
    <s v="SUNTRUST"/>
    <x v="57"/>
    <n v="2994126799.2199998"/>
    <x v="6"/>
  </r>
  <r>
    <s v="AMTRUST"/>
    <x v="57"/>
    <n v="1694093260.71"/>
    <x v="7"/>
  </r>
  <r>
    <s v="FLAGSTAR"/>
    <x v="57"/>
    <n v="1350233547.8599999"/>
    <x v="8"/>
  </r>
  <r>
    <s v="WACHOVIA"/>
    <x v="57"/>
    <n v="923555801.51999998"/>
    <x v="9"/>
  </r>
  <r>
    <s v="BANK OF AMERICA"/>
    <x v="58"/>
    <n v="16065557997.07"/>
    <x v="0"/>
  </r>
  <r>
    <s v="CWB"/>
    <x v="58"/>
    <n v="11100913368.030001"/>
    <x v="1"/>
  </r>
  <r>
    <s v="CHASE"/>
    <x v="58"/>
    <n v="9252210769.0799999"/>
    <x v="2"/>
  </r>
  <r>
    <s v="WELLS FARGO"/>
    <x v="58"/>
    <n v="9073366756.0400009"/>
    <x v="3"/>
  </r>
  <r>
    <s v="CITI"/>
    <x v="58"/>
    <n v="4547919746.75"/>
    <x v="4"/>
  </r>
  <r>
    <s v="ALLY"/>
    <x v="58"/>
    <n v="3305671422.6199999"/>
    <x v="5"/>
  </r>
  <r>
    <s v="WACHOVIA"/>
    <x v="58"/>
    <n v="3073082012.29"/>
    <x v="6"/>
  </r>
  <r>
    <s v="SUNTRUST"/>
    <x v="58"/>
    <n v="2181523294.0300002"/>
    <x v="7"/>
  </r>
  <r>
    <s v="FLAGSTAR"/>
    <x v="58"/>
    <n v="1971286047.4300001"/>
    <x v="8"/>
  </r>
  <r>
    <s v="AMTRUST"/>
    <x v="58"/>
    <n v="1063977303.1900001"/>
    <x v="9"/>
  </r>
  <r>
    <s v="WELLS FARGO"/>
    <x v="59"/>
    <n v="12448685404.389999"/>
    <x v="0"/>
  </r>
  <r>
    <s v="BANK OF AMERICA"/>
    <x v="59"/>
    <n v="8671992289.8500004"/>
    <x v="1"/>
  </r>
  <r>
    <s v="CHASE"/>
    <x v="59"/>
    <n v="7601730535.4399996"/>
    <x v="2"/>
  </r>
  <r>
    <s v="CWB"/>
    <x v="59"/>
    <n v="5626585790.7399998"/>
    <x v="3"/>
  </r>
  <r>
    <s v="CITI"/>
    <x v="59"/>
    <n v="4410947306.1800003"/>
    <x v="4"/>
  </r>
  <r>
    <s v="WAMU"/>
    <x v="59"/>
    <n v="2184280083.5799999"/>
    <x v="5"/>
  </r>
  <r>
    <s v="AMTRUST"/>
    <x v="59"/>
    <n v="1798969583.0799999"/>
    <x v="6"/>
  </r>
  <r>
    <s v="SUNTRUST"/>
    <x v="59"/>
    <n v="1033094421.8"/>
    <x v="7"/>
  </r>
  <r>
    <s v="ALLY"/>
    <x v="59"/>
    <n v="1030762827.8099999"/>
    <x v="8"/>
  </r>
  <r>
    <s v="WACHOVIA"/>
    <x v="59"/>
    <n v="783961745.63999999"/>
    <x v="9"/>
  </r>
  <r>
    <s v="BANK OF AMERICA"/>
    <x v="60"/>
    <n v="6812598633.46"/>
    <x v="0"/>
  </r>
  <r>
    <s v="WELLS FARGO"/>
    <x v="60"/>
    <n v="5651126697.8800001"/>
    <x v="1"/>
  </r>
  <r>
    <s v="CWB"/>
    <x v="60"/>
    <n v="5186273977.5699997"/>
    <x v="2"/>
  </r>
  <r>
    <s v="CHASE"/>
    <x v="60"/>
    <n v="4660286494.7399998"/>
    <x v="3"/>
  </r>
  <r>
    <s v="CITI"/>
    <x v="60"/>
    <n v="3132554296.4699998"/>
    <x v="4"/>
  </r>
  <r>
    <s v="AMTRUST"/>
    <x v="60"/>
    <n v="1499404802.6700001"/>
    <x v="5"/>
  </r>
  <r>
    <s v="SUNTRUST"/>
    <x v="60"/>
    <n v="1386167136.9100001"/>
    <x v="6"/>
  </r>
  <r>
    <s v="ALLY"/>
    <x v="60"/>
    <n v="1268489048.78"/>
    <x v="7"/>
  </r>
  <r>
    <s v="FLAGSTAR"/>
    <x v="60"/>
    <n v="1010293780.8"/>
    <x v="8"/>
  </r>
  <r>
    <s v="INDYMAC BANK, FSB"/>
    <x v="60"/>
    <n v="829429089.38"/>
    <x v="9"/>
  </r>
  <r>
    <s v="WELLS FARGO"/>
    <x v="61"/>
    <n v="5479074775.4300003"/>
    <x v="0"/>
  </r>
  <r>
    <s v="CHASE"/>
    <x v="61"/>
    <n v="5241802901.2700005"/>
    <x v="1"/>
  </r>
  <r>
    <s v="BANK OF AMERICA"/>
    <x v="61"/>
    <n v="4829389929.1999998"/>
    <x v="2"/>
  </r>
  <r>
    <s v="CWB"/>
    <x v="61"/>
    <n v="3597810473.3000002"/>
    <x v="3"/>
  </r>
  <r>
    <s v="CITI"/>
    <x v="61"/>
    <n v="2450828221.6100001"/>
    <x v="4"/>
  </r>
  <r>
    <s v="AMTRUST"/>
    <x v="61"/>
    <n v="1321486905.6099999"/>
    <x v="5"/>
  </r>
  <r>
    <s v="SUNTRUST"/>
    <x v="61"/>
    <n v="1212867361.9300001"/>
    <x v="6"/>
  </r>
  <r>
    <s v="ALLY"/>
    <x v="61"/>
    <n v="997632890.15999997"/>
    <x v="7"/>
  </r>
  <r>
    <s v="FLAGSTAR"/>
    <x v="61"/>
    <n v="823242354.52999997"/>
    <x v="8"/>
  </r>
  <r>
    <s v="WACHOVIA"/>
    <x v="61"/>
    <n v="572407246.50999999"/>
    <x v="9"/>
  </r>
  <r>
    <s v="CHASE"/>
    <x v="62"/>
    <n v="7947690883.6099997"/>
    <x v="0"/>
  </r>
  <r>
    <s v="BANK OF AMERICA"/>
    <x v="62"/>
    <n v="6371042917.5200005"/>
    <x v="1"/>
  </r>
  <r>
    <s v="WELLS FARGO"/>
    <x v="62"/>
    <n v="5895526086.3699999"/>
    <x v="2"/>
  </r>
  <r>
    <s v="CWB"/>
    <x v="62"/>
    <n v="3209041996.9899998"/>
    <x v="3"/>
  </r>
  <r>
    <s v="CITI"/>
    <x v="62"/>
    <n v="2582559171.5799999"/>
    <x v="4"/>
  </r>
  <r>
    <s v="SUNTRUST"/>
    <x v="62"/>
    <n v="1360853316.3699999"/>
    <x v="5"/>
  </r>
  <r>
    <s v="AMTRUST"/>
    <x v="62"/>
    <n v="1248096513.3399999"/>
    <x v="6"/>
  </r>
  <r>
    <s v="ALLY"/>
    <x v="62"/>
    <n v="1136669931.97"/>
    <x v="7"/>
  </r>
  <r>
    <s v="FLAGSTAR"/>
    <x v="62"/>
    <n v="1002288580.52"/>
    <x v="8"/>
  </r>
  <r>
    <s v="WACHOVIA"/>
    <x v="62"/>
    <n v="604924280.78999996"/>
    <x v="9"/>
  </r>
  <r>
    <s v="WELLS FARGO"/>
    <x v="63"/>
    <n v="6263865667.6599998"/>
    <x v="0"/>
  </r>
  <r>
    <s v="BANK OF AMERICA"/>
    <x v="63"/>
    <n v="4738956185.4300003"/>
    <x v="1"/>
  </r>
  <r>
    <s v="CITI"/>
    <x v="63"/>
    <n v="4205013863.8099999"/>
    <x v="2"/>
  </r>
  <r>
    <s v="CWB"/>
    <x v="63"/>
    <n v="3683826115.2199998"/>
    <x v="3"/>
  </r>
  <r>
    <s v="WACHOVIA"/>
    <x v="63"/>
    <n v="2094966319.4200001"/>
    <x v="4"/>
  </r>
  <r>
    <s v="CHASE"/>
    <x v="63"/>
    <n v="1912251961.98"/>
    <x v="5"/>
  </r>
  <r>
    <s v="ALLY"/>
    <x v="63"/>
    <n v="1470669632.5"/>
    <x v="6"/>
  </r>
  <r>
    <s v="SUNTRUST"/>
    <x v="63"/>
    <n v="1224686047.46"/>
    <x v="7"/>
  </r>
  <r>
    <s v="AMTRUST"/>
    <x v="63"/>
    <n v="843395611.76999998"/>
    <x v="8"/>
  </r>
  <r>
    <s v="FLAGSTAR"/>
    <x v="63"/>
    <n v="802393897.53999996"/>
    <x v="9"/>
  </r>
  <r>
    <s v="WELLS FARGO"/>
    <x v="64"/>
    <n v="5409841465.3100004"/>
    <x v="0"/>
  </r>
  <r>
    <s v="BANK OF AMERICA"/>
    <x v="64"/>
    <n v="4017794117.1599998"/>
    <x v="1"/>
  </r>
  <r>
    <s v="CHASE"/>
    <x v="64"/>
    <n v="2663611458.3400002"/>
    <x v="2"/>
  </r>
  <r>
    <s v="CITI"/>
    <x v="64"/>
    <n v="2522728386.54"/>
    <x v="3"/>
  </r>
  <r>
    <s v="CWB"/>
    <x v="64"/>
    <n v="2158341504.3499999"/>
    <x v="4"/>
  </r>
  <r>
    <s v="SUNTRUST"/>
    <x v="64"/>
    <n v="1270133878.5"/>
    <x v="5"/>
  </r>
  <r>
    <s v="WACHOVIA"/>
    <x v="64"/>
    <n v="1047883427.5599999"/>
    <x v="6"/>
  </r>
  <r>
    <s v="ALLY"/>
    <x v="64"/>
    <n v="620839697.44000006"/>
    <x v="7"/>
  </r>
  <r>
    <s v="FLAGSTAR"/>
    <x v="64"/>
    <n v="587970707.45000005"/>
    <x v="8"/>
  </r>
  <r>
    <s v="AMTRUST"/>
    <x v="64"/>
    <n v="542265349.04999995"/>
    <x v="9"/>
  </r>
  <r>
    <s v="CHASE"/>
    <x v="65"/>
    <n v="8591092469.3799992"/>
    <x v="0"/>
  </r>
  <r>
    <s v="WELLS FARGO"/>
    <x v="65"/>
    <n v="5863270817.7600002"/>
    <x v="1"/>
  </r>
  <r>
    <s v="BANK OF AMERICA"/>
    <x v="65"/>
    <n v="3978802044.6900001"/>
    <x v="2"/>
  </r>
  <r>
    <s v="CITI"/>
    <x v="65"/>
    <n v="3221876765.6700001"/>
    <x v="3"/>
  </r>
  <r>
    <s v="CWB"/>
    <x v="65"/>
    <n v="2969647031.0900002"/>
    <x v="4"/>
  </r>
  <r>
    <s v="HSBC"/>
    <x v="65"/>
    <n v="2255179789.8299999"/>
    <x v="5"/>
  </r>
  <r>
    <s v="PNC"/>
    <x v="65"/>
    <n v="1726263195.97"/>
    <x v="6"/>
  </r>
  <r>
    <s v="RBS"/>
    <x v="65"/>
    <n v="1515379715.46"/>
    <x v="7"/>
  </r>
  <r>
    <s v="SUNTRUST"/>
    <x v="65"/>
    <n v="1464856783.98"/>
    <x v="8"/>
  </r>
  <r>
    <s v="ALLY"/>
    <x v="65"/>
    <n v="1311346711.4000001"/>
    <x v="9"/>
  </r>
  <r>
    <s v="BANK OF AMERICA"/>
    <x v="66"/>
    <n v="4307824965.3000002"/>
    <x v="0"/>
  </r>
  <r>
    <s v="WELLS FARGO"/>
    <x v="66"/>
    <n v="3776829710.1700001"/>
    <x v="1"/>
  </r>
  <r>
    <s v="CWB"/>
    <x v="66"/>
    <n v="3317104858.1599998"/>
    <x v="2"/>
  </r>
  <r>
    <s v="CITI"/>
    <x v="66"/>
    <n v="1793714935.3299999"/>
    <x v="3"/>
  </r>
  <r>
    <s v="CHASE"/>
    <x v="66"/>
    <n v="963288134.89999998"/>
    <x v="4"/>
  </r>
  <r>
    <s v="SUNTRUST"/>
    <x v="66"/>
    <n v="724463965.13"/>
    <x v="5"/>
  </r>
  <r>
    <s v="AMTRUST"/>
    <x v="66"/>
    <n v="596455268.49000001"/>
    <x v="6"/>
  </r>
  <r>
    <s v="METLIFE"/>
    <x v="66"/>
    <n v="583492367.36000001"/>
    <x v="7"/>
  </r>
  <r>
    <s v="FLAGSTAR"/>
    <x v="66"/>
    <n v="552621931.66999996"/>
    <x v="8"/>
  </r>
  <r>
    <s v="ALLY"/>
    <x v="66"/>
    <n v="548905355.99000001"/>
    <x v="9"/>
  </r>
  <r>
    <s v="BANK OF AMERICA"/>
    <x v="67"/>
    <n v="9985509207.7099991"/>
    <x v="0"/>
  </r>
  <r>
    <s v="WELLS FARGO"/>
    <x v="67"/>
    <n v="9560375140.2900009"/>
    <x v="1"/>
  </r>
  <r>
    <s v="CHASE"/>
    <x v="67"/>
    <n v="2858414927.5"/>
    <x v="2"/>
  </r>
  <r>
    <s v="CITI"/>
    <x v="67"/>
    <n v="2641345634.0700002"/>
    <x v="3"/>
  </r>
  <r>
    <s v="SUNTRUST"/>
    <x v="67"/>
    <n v="2229672563.8899999"/>
    <x v="4"/>
  </r>
  <r>
    <s v="FLAGSTAR"/>
    <x v="67"/>
    <n v="1559389357.8900001"/>
    <x v="5"/>
  </r>
  <r>
    <s v="WACHOVIA"/>
    <x v="67"/>
    <n v="1254259027.49"/>
    <x v="6"/>
  </r>
  <r>
    <s v="AMTRUST"/>
    <x v="67"/>
    <n v="956909872.99000001"/>
    <x v="7"/>
  </r>
  <r>
    <s v="METLIFE"/>
    <x v="67"/>
    <n v="841723160.23000002"/>
    <x v="8"/>
  </r>
  <r>
    <s v="PNC"/>
    <x v="67"/>
    <n v="758409018.50999999"/>
    <x v="9"/>
  </r>
  <r>
    <s v="BANK OF AMERICA"/>
    <x v="68"/>
    <n v="21059327558.889999"/>
    <x v="0"/>
  </r>
  <r>
    <s v="WELLS FARGO"/>
    <x v="68"/>
    <n v="16026314793.370001"/>
    <x v="1"/>
  </r>
  <r>
    <s v="CHASE"/>
    <x v="68"/>
    <n v="13915310789.370001"/>
    <x v="2"/>
  </r>
  <r>
    <s v="CITI"/>
    <x v="68"/>
    <n v="4624280742.8000002"/>
    <x v="3"/>
  </r>
  <r>
    <s v="SUNTRUST"/>
    <x v="68"/>
    <n v="3407769717.4299998"/>
    <x v="4"/>
  </r>
  <r>
    <s v="ALLY"/>
    <x v="68"/>
    <n v="2441399554.0999999"/>
    <x v="5"/>
  </r>
  <r>
    <s v="PNC"/>
    <x v="68"/>
    <n v="1922349871.71"/>
    <x v="6"/>
  </r>
  <r>
    <s v="WACHOVIA"/>
    <x v="68"/>
    <n v="1737171982.3699999"/>
    <x v="7"/>
  </r>
  <r>
    <s v="FLAGSTAR"/>
    <x v="68"/>
    <n v="1643661737.3099999"/>
    <x v="8"/>
  </r>
  <r>
    <s v="AMTRUST"/>
    <x v="68"/>
    <n v="1631140291.73"/>
    <x v="9"/>
  </r>
  <r>
    <s v="WELLS FARGO"/>
    <x v="69"/>
    <n v="11006090698.6"/>
    <x v="0"/>
  </r>
  <r>
    <s v="BANK OF AMERICA"/>
    <x v="69"/>
    <n v="10133406434.110001"/>
    <x v="1"/>
  </r>
  <r>
    <s v="PHH"/>
    <x v="69"/>
    <n v="2815227706.5700002"/>
    <x v="2"/>
  </r>
  <r>
    <s v="SUNTRUST"/>
    <x v="69"/>
    <n v="2714587852.3600001"/>
    <x v="3"/>
  </r>
  <r>
    <s v="CITI"/>
    <x v="69"/>
    <n v="2517773073.4200001"/>
    <x v="4"/>
  </r>
  <r>
    <s v="CHASE"/>
    <x v="69"/>
    <n v="2061482709.0799999"/>
    <x v="5"/>
  </r>
  <r>
    <s v="AMTRUST"/>
    <x v="69"/>
    <n v="1520805155.21"/>
    <x v="6"/>
  </r>
  <r>
    <s v="FLAGSTAR"/>
    <x v="69"/>
    <n v="1193867589.9300001"/>
    <x v="7"/>
  </r>
  <r>
    <s v="ALLY"/>
    <x v="69"/>
    <n v="1082714427.5699999"/>
    <x v="8"/>
  </r>
  <r>
    <s v="WACHOVIA"/>
    <x v="69"/>
    <n v="1028962633.39"/>
    <x v="9"/>
  </r>
  <r>
    <s v="BANK OF AMERICA"/>
    <x v="70"/>
    <n v="13967560067"/>
    <x v="0"/>
  </r>
  <r>
    <s v="WELLS FARGO"/>
    <x v="70"/>
    <n v="13334297680.540001"/>
    <x v="1"/>
  </r>
  <r>
    <s v="CHASE"/>
    <x v="70"/>
    <n v="6570942270.1400003"/>
    <x v="2"/>
  </r>
  <r>
    <s v="CITI"/>
    <x v="70"/>
    <n v="4279745468.29"/>
    <x v="3"/>
  </r>
  <r>
    <s v="SUNTRUST"/>
    <x v="70"/>
    <n v="2989564840.3499999"/>
    <x v="4"/>
  </r>
  <r>
    <s v="FLAGSTAR"/>
    <x v="70"/>
    <n v="1665474577.04"/>
    <x v="5"/>
  </r>
  <r>
    <s v="ALLY"/>
    <x v="70"/>
    <n v="1562894759.0899999"/>
    <x v="6"/>
  </r>
  <r>
    <s v="PHH"/>
    <x v="70"/>
    <n v="1515846536.6400001"/>
    <x v="7"/>
  </r>
  <r>
    <s v="RBS"/>
    <x v="70"/>
    <n v="978379602"/>
    <x v="8"/>
  </r>
  <r>
    <s v="WACHOVIA"/>
    <x v="70"/>
    <n v="936122247.58000004"/>
    <x v="9"/>
  </r>
  <r>
    <s v="BANK OF AMERICA"/>
    <x v="71"/>
    <n v="22149963934.57"/>
    <x v="0"/>
  </r>
  <r>
    <s v="WELLS FARGO"/>
    <x v="71"/>
    <n v="19469168924.950001"/>
    <x v="1"/>
  </r>
  <r>
    <s v="CHASE"/>
    <x v="71"/>
    <n v="12432036389.190001"/>
    <x v="2"/>
  </r>
  <r>
    <s v="CITI"/>
    <x v="71"/>
    <n v="4725751938.4200001"/>
    <x v="3"/>
  </r>
  <r>
    <s v="SUNTRUST"/>
    <x v="71"/>
    <n v="3693076130.73"/>
    <x v="4"/>
  </r>
  <r>
    <s v="ALLY"/>
    <x v="71"/>
    <n v="2869622330.21"/>
    <x v="5"/>
  </r>
  <r>
    <s v="FLAGSTAR"/>
    <x v="71"/>
    <n v="2100851837.9300001"/>
    <x v="6"/>
  </r>
  <r>
    <s v="PHH"/>
    <x v="71"/>
    <n v="1870162161.0899999"/>
    <x v="7"/>
  </r>
  <r>
    <s v="WACHOVIA"/>
    <x v="71"/>
    <n v="883955249.34000003"/>
    <x v="8"/>
  </r>
  <r>
    <s v="PNC"/>
    <x v="71"/>
    <n v="805872940.15999997"/>
    <x v="9"/>
  </r>
  <r>
    <s v="BANK OF AMERICA"/>
    <x v="72"/>
    <n v="17966598426.119999"/>
    <x v="0"/>
  </r>
  <r>
    <s v="WELLS FARGO"/>
    <x v="72"/>
    <n v="17016611877.120001"/>
    <x v="1"/>
  </r>
  <r>
    <s v="SUNTRUST"/>
    <x v="72"/>
    <n v="4882309364.7299995"/>
    <x v="2"/>
  </r>
  <r>
    <s v="CITI"/>
    <x v="72"/>
    <n v="4435636881.6199999"/>
    <x v="3"/>
  </r>
  <r>
    <s v="ALLY"/>
    <x v="72"/>
    <n v="2229551006.6300001"/>
    <x v="4"/>
  </r>
  <r>
    <s v="CHASE"/>
    <x v="72"/>
    <n v="2216974394.5"/>
    <x v="5"/>
  </r>
  <r>
    <s v="PHH"/>
    <x v="72"/>
    <n v="2009262252.27"/>
    <x v="6"/>
  </r>
  <r>
    <s v="FLAGSTAR"/>
    <x v="72"/>
    <n v="1257913308.8199999"/>
    <x v="7"/>
  </r>
  <r>
    <s v="METLIFE"/>
    <x v="72"/>
    <n v="913654412.88"/>
    <x v="8"/>
  </r>
  <r>
    <s v="PNC"/>
    <x v="72"/>
    <n v="832077834.90999997"/>
    <x v="9"/>
  </r>
  <r>
    <s v="WELLS FARGO"/>
    <x v="73"/>
    <n v="14871497530.26"/>
    <x v="0"/>
  </r>
  <r>
    <s v="BANK OF AMERICA"/>
    <x v="73"/>
    <n v="12633222435.5"/>
    <x v="1"/>
  </r>
  <r>
    <s v="CHASE"/>
    <x v="73"/>
    <n v="3261193412.1100001"/>
    <x v="2"/>
  </r>
  <r>
    <s v="CITI"/>
    <x v="73"/>
    <n v="2143517990.47"/>
    <x v="3"/>
  </r>
  <r>
    <s v="SUNTRUST"/>
    <x v="73"/>
    <n v="1858141620.6099999"/>
    <x v="4"/>
  </r>
  <r>
    <s v="PHH"/>
    <x v="73"/>
    <n v="1517335208.99"/>
    <x v="5"/>
  </r>
  <r>
    <s v="ALLY"/>
    <x v="73"/>
    <n v="1462808894.8"/>
    <x v="6"/>
  </r>
  <r>
    <s v="FLAGSTAR"/>
    <x v="73"/>
    <n v="1018336962.6"/>
    <x v="7"/>
  </r>
  <r>
    <s v="PNC"/>
    <x v="73"/>
    <n v="570372803.38999999"/>
    <x v="8"/>
  </r>
  <r>
    <s v="METLIFE"/>
    <x v="73"/>
    <n v="557695919.63"/>
    <x v="9"/>
  </r>
  <r>
    <s v="BANK OF AMERICA"/>
    <x v="74"/>
    <n v="15019540836.5"/>
    <x v="0"/>
  </r>
  <r>
    <s v="WELLS FARGO"/>
    <x v="74"/>
    <n v="10137828616.16"/>
    <x v="1"/>
  </r>
  <r>
    <s v="CHASE"/>
    <x v="74"/>
    <n v="7619424641.3100004"/>
    <x v="2"/>
  </r>
  <r>
    <s v="CITI"/>
    <x v="74"/>
    <n v="1856130817.8"/>
    <x v="3"/>
  </r>
  <r>
    <s v="SUNTRUST"/>
    <x v="74"/>
    <n v="1620000882.77"/>
    <x v="4"/>
  </r>
  <r>
    <s v="ALLY"/>
    <x v="74"/>
    <n v="1436034214.4200001"/>
    <x v="5"/>
  </r>
  <r>
    <s v="FLAGSTAR"/>
    <x v="74"/>
    <n v="732944580.41999996"/>
    <x v="6"/>
  </r>
  <r>
    <s v="PHH"/>
    <x v="74"/>
    <n v="619067015.65999997"/>
    <x v="7"/>
  </r>
  <r>
    <s v="USAA"/>
    <x v="74"/>
    <n v="391522691.43000001"/>
    <x v="8"/>
  </r>
  <r>
    <s v="US BANK"/>
    <x v="74"/>
    <n v="380504911.83999997"/>
    <x v="9"/>
  </r>
  <r>
    <s v="WELLS FARGO"/>
    <x v="75"/>
    <n v="9801952065.9599991"/>
    <x v="0"/>
  </r>
  <r>
    <s v="BANK OF AMERICA"/>
    <x v="75"/>
    <n v="8644667946.5900002"/>
    <x v="1"/>
  </r>
  <r>
    <s v="CHASE"/>
    <x v="75"/>
    <n v="2580145583.5"/>
    <x v="2"/>
  </r>
  <r>
    <s v="ALLY"/>
    <x v="75"/>
    <n v="1785454973.51"/>
    <x v="3"/>
  </r>
  <r>
    <s v="SUNTRUST"/>
    <x v="75"/>
    <n v="1151997463.1199999"/>
    <x v="4"/>
  </r>
  <r>
    <s v="FLAGSTAR"/>
    <x v="75"/>
    <n v="1021924928.27"/>
    <x v="5"/>
  </r>
  <r>
    <s v="CITI"/>
    <x v="75"/>
    <n v="993808959.69000006"/>
    <x v="6"/>
  </r>
  <r>
    <s v="PHH"/>
    <x v="75"/>
    <n v="593395364.09000003"/>
    <x v="7"/>
  </r>
  <r>
    <s v="US BANK"/>
    <x v="75"/>
    <n v="414165881.75999999"/>
    <x v="8"/>
  </r>
  <r>
    <s v="USAA"/>
    <x v="75"/>
    <n v="312290532.80000001"/>
    <x v="9"/>
  </r>
  <r>
    <s v="WELLS FARGO"/>
    <x v="76"/>
    <n v="7919040750.3400002"/>
    <x v="0"/>
  </r>
  <r>
    <s v="CHASE"/>
    <x v="76"/>
    <n v="7118044551.6300001"/>
    <x v="1"/>
  </r>
  <r>
    <s v="BANK OF AMERICA"/>
    <x v="76"/>
    <n v="4214804757.3099999"/>
    <x v="2"/>
  </r>
  <r>
    <s v="ALLY"/>
    <x v="76"/>
    <n v="1884115395.5999999"/>
    <x v="3"/>
  </r>
  <r>
    <s v="SUNTRUST"/>
    <x v="76"/>
    <n v="1273297833.0799999"/>
    <x v="4"/>
  </r>
  <r>
    <s v="CITI"/>
    <x v="76"/>
    <n v="1162636164.0999999"/>
    <x v="5"/>
  </r>
  <r>
    <s v="PNC"/>
    <x v="76"/>
    <n v="995351291.99000001"/>
    <x v="6"/>
  </r>
  <r>
    <s v="FLAGSTAR"/>
    <x v="76"/>
    <n v="872600518.03999996"/>
    <x v="7"/>
  </r>
  <r>
    <s v="PHH"/>
    <x v="76"/>
    <n v="667107726.84000003"/>
    <x v="8"/>
  </r>
  <r>
    <s v="AMTRUST"/>
    <x v="76"/>
    <n v="349406856.70999998"/>
    <x v="9"/>
  </r>
  <r>
    <s v="WELLS FARGO"/>
    <x v="77"/>
    <n v="11776429345.26"/>
    <x v="0"/>
  </r>
  <r>
    <s v="BANK OF AMERICA"/>
    <x v="77"/>
    <n v="10974897215.700001"/>
    <x v="1"/>
  </r>
  <r>
    <s v="CHASE"/>
    <x v="77"/>
    <n v="4323523894.3900003"/>
    <x v="2"/>
  </r>
  <r>
    <s v="ALLY"/>
    <x v="77"/>
    <n v="1770204493.27"/>
    <x v="3"/>
  </r>
  <r>
    <s v="CITI"/>
    <x v="77"/>
    <n v="1628678007.54"/>
    <x v="4"/>
  </r>
  <r>
    <s v="SUNTRUST"/>
    <x v="77"/>
    <n v="1217766175.1800001"/>
    <x v="5"/>
  </r>
  <r>
    <s v="PHH"/>
    <x v="77"/>
    <n v="1200958066.97"/>
    <x v="6"/>
  </r>
  <r>
    <s v="FLAGSTAR"/>
    <x v="77"/>
    <n v="1196133935.4400001"/>
    <x v="7"/>
  </r>
  <r>
    <s v="HSBC"/>
    <x v="77"/>
    <n v="809317697.84000003"/>
    <x v="8"/>
  </r>
  <r>
    <s v="USAA"/>
    <x v="77"/>
    <n v="421132970.56"/>
    <x v="9"/>
  </r>
  <r>
    <s v="WELLS FARGO"/>
    <x v="78"/>
    <n v="10182718045.91"/>
    <x v="0"/>
  </r>
  <r>
    <s v="BANK OF AMERICA"/>
    <x v="78"/>
    <n v="8441306507.9300003"/>
    <x v="1"/>
  </r>
  <r>
    <s v="CHASE"/>
    <x v="78"/>
    <n v="3172118257.73"/>
    <x v="2"/>
  </r>
  <r>
    <s v="ALLY"/>
    <x v="78"/>
    <n v="1937402814.29"/>
    <x v="3"/>
  </r>
  <r>
    <s v="CITI"/>
    <x v="78"/>
    <n v="1388771757.8399999"/>
    <x v="4"/>
  </r>
  <r>
    <s v="FLAGSTAR"/>
    <x v="78"/>
    <n v="925689123.63"/>
    <x v="5"/>
  </r>
  <r>
    <s v="SUNTRUST"/>
    <x v="78"/>
    <n v="903822744.26999998"/>
    <x v="6"/>
  </r>
  <r>
    <s v="PHH"/>
    <x v="78"/>
    <n v="558505182.92999995"/>
    <x v="7"/>
  </r>
  <r>
    <s v="USAA"/>
    <x v="78"/>
    <n v="497769158.43000001"/>
    <x v="8"/>
  </r>
  <r>
    <s v="FIFTH THIRD"/>
    <x v="78"/>
    <n v="312877619.31"/>
    <x v="9"/>
  </r>
  <r>
    <s v="WELLS FARGO"/>
    <x v="79"/>
    <n v="10733753561.620001"/>
    <x v="0"/>
  </r>
  <r>
    <s v="BANK OF AMERICA"/>
    <x v="79"/>
    <n v="8684327168.7800007"/>
    <x v="1"/>
  </r>
  <r>
    <s v="CHASE"/>
    <x v="79"/>
    <n v="4898965309.4399996"/>
    <x v="2"/>
  </r>
  <r>
    <s v="ALLY"/>
    <x v="79"/>
    <n v="2201280079.0100002"/>
    <x v="3"/>
  </r>
  <r>
    <s v="CITI"/>
    <x v="79"/>
    <n v="2201103280.3800001"/>
    <x v="4"/>
  </r>
  <r>
    <s v="SUNTRUST"/>
    <x v="79"/>
    <n v="730114015.47000003"/>
    <x v="5"/>
  </r>
  <r>
    <s v="FLAGSTAR"/>
    <x v="79"/>
    <n v="626985782.29999995"/>
    <x v="6"/>
  </r>
  <r>
    <s v="PHH"/>
    <x v="79"/>
    <n v="612143303.38"/>
    <x v="7"/>
  </r>
  <r>
    <s v="USAA"/>
    <x v="79"/>
    <n v="447502320.58999997"/>
    <x v="8"/>
  </r>
  <r>
    <s v="US BANK"/>
    <x v="79"/>
    <n v="322874976.30000001"/>
    <x v="9"/>
  </r>
  <r>
    <s v="WELLS FARGO"/>
    <x v="80"/>
    <n v="8010432484.8699999"/>
    <x v="0"/>
  </r>
  <r>
    <s v="CHASE"/>
    <x v="80"/>
    <n v="7889927073.7299995"/>
    <x v="1"/>
  </r>
  <r>
    <s v="BANK OF AMERICA"/>
    <x v="80"/>
    <n v="6534294055.0100002"/>
    <x v="2"/>
  </r>
  <r>
    <s v="CITI"/>
    <x v="80"/>
    <n v="1500451371.27"/>
    <x v="3"/>
  </r>
  <r>
    <s v="ALLY"/>
    <x v="80"/>
    <n v="1001151097.79"/>
    <x v="4"/>
  </r>
  <r>
    <s v="PHH"/>
    <x v="80"/>
    <n v="642473994.00999999"/>
    <x v="5"/>
  </r>
  <r>
    <s v="FLAGSTAR"/>
    <x v="80"/>
    <n v="533160065.02999997"/>
    <x v="6"/>
  </r>
  <r>
    <s v="SUNTRUST"/>
    <x v="80"/>
    <n v="508230714.5"/>
    <x v="7"/>
  </r>
  <r>
    <s v="USAA"/>
    <x v="80"/>
    <n v="357183770.66000003"/>
    <x v="8"/>
  </r>
  <r>
    <s v="US BANK"/>
    <x v="80"/>
    <n v="256781804.44999999"/>
    <x v="9"/>
  </r>
  <r>
    <s v="WELLS FARGO"/>
    <x v="81"/>
    <n v="9793443604.5200005"/>
    <x v="0"/>
  </r>
  <r>
    <s v="BANK OF AMERICA"/>
    <x v="81"/>
    <n v="8650479347.9599991"/>
    <x v="1"/>
  </r>
  <r>
    <s v="CHASE"/>
    <x v="81"/>
    <n v="2776414384.9000001"/>
    <x v="2"/>
  </r>
  <r>
    <s v="ALLY"/>
    <x v="81"/>
    <n v="1373292642.55"/>
    <x v="3"/>
  </r>
  <r>
    <s v="CITI"/>
    <x v="81"/>
    <n v="1262093385.0899999"/>
    <x v="4"/>
  </r>
  <r>
    <s v="SUNTRUST"/>
    <x v="81"/>
    <n v="799912498.09000003"/>
    <x v="5"/>
  </r>
  <r>
    <s v="PHH"/>
    <x v="81"/>
    <n v="648973588.63999999"/>
    <x v="6"/>
  </r>
  <r>
    <s v="FLAGSTAR"/>
    <x v="81"/>
    <n v="609364105.82000005"/>
    <x v="7"/>
  </r>
  <r>
    <s v="USAA"/>
    <x v="81"/>
    <n v="374451577.42000002"/>
    <x v="8"/>
  </r>
  <r>
    <s v="NY COMMUNITY"/>
    <x v="81"/>
    <n v="320595795.07999998"/>
    <x v="9"/>
  </r>
  <r>
    <s v="WELLS FARGO"/>
    <x v="82"/>
    <n v="8799294787.6299992"/>
    <x v="0"/>
  </r>
  <r>
    <s v="BANK OF AMERICA"/>
    <x v="82"/>
    <n v="8154661116.96"/>
    <x v="1"/>
  </r>
  <r>
    <s v="CHASE"/>
    <x v="82"/>
    <n v="3622024666.25"/>
    <x v="2"/>
  </r>
  <r>
    <s v="ALLY"/>
    <x v="82"/>
    <n v="1375076321.3399999"/>
    <x v="3"/>
  </r>
  <r>
    <s v="CITI"/>
    <x v="82"/>
    <n v="1173346276.5699999"/>
    <x v="4"/>
  </r>
  <r>
    <s v="PHH"/>
    <x v="82"/>
    <n v="917979863.50999999"/>
    <x v="5"/>
  </r>
  <r>
    <s v="SUNTRUST"/>
    <x v="82"/>
    <n v="851895011.08000004"/>
    <x v="6"/>
  </r>
  <r>
    <s v="FLAGSTAR"/>
    <x v="82"/>
    <n v="748753735.46000004"/>
    <x v="7"/>
  </r>
  <r>
    <s v="NY COMMUNITY"/>
    <x v="82"/>
    <n v="326270703.69999999"/>
    <x v="8"/>
  </r>
  <r>
    <s v="PNC"/>
    <x v="82"/>
    <n v="254275737.40000001"/>
    <x v="9"/>
  </r>
  <r>
    <s v="WELLS FARGO"/>
    <x v="83"/>
    <n v="7934970468.3800001"/>
    <x v="0"/>
  </r>
  <r>
    <s v="BANK OF AMERICA"/>
    <x v="83"/>
    <n v="7241081757.5200005"/>
    <x v="1"/>
  </r>
  <r>
    <s v="CHASE"/>
    <x v="83"/>
    <n v="5027427171.6099997"/>
    <x v="2"/>
  </r>
  <r>
    <s v="ALLY"/>
    <x v="83"/>
    <n v="1866229299.05"/>
    <x v="3"/>
  </r>
  <r>
    <s v="CITI"/>
    <x v="83"/>
    <n v="1266197047.0799999"/>
    <x v="4"/>
  </r>
  <r>
    <s v="PHH"/>
    <x v="83"/>
    <n v="944390561.76999998"/>
    <x v="5"/>
  </r>
  <r>
    <s v="FLAGSTAR"/>
    <x v="83"/>
    <n v="918705846.91999996"/>
    <x v="6"/>
  </r>
  <r>
    <s v="SUNTRUST"/>
    <x v="83"/>
    <n v="775601724.25999999"/>
    <x v="7"/>
  </r>
  <r>
    <s v="NY COMMUNITY"/>
    <x v="83"/>
    <n v="300443074.45999998"/>
    <x v="8"/>
  </r>
  <r>
    <s v="USAA"/>
    <x v="83"/>
    <n v="245275653.34"/>
    <x v="9"/>
  </r>
  <r>
    <s v="WELLS FARGO"/>
    <x v="84"/>
    <n v="8650842881.4500008"/>
    <x v="0"/>
  </r>
  <r>
    <s v="BANK OF AMERICA"/>
    <x v="84"/>
    <n v="6535117770.4499998"/>
    <x v="1"/>
  </r>
  <r>
    <s v="CHASE"/>
    <x v="84"/>
    <n v="5545327746.9499998"/>
    <x v="2"/>
  </r>
  <r>
    <s v="ALLY"/>
    <x v="84"/>
    <n v="2503047050.4899998"/>
    <x v="3"/>
  </r>
  <r>
    <s v="CITI"/>
    <x v="84"/>
    <n v="1427424064.8599999"/>
    <x v="4"/>
  </r>
  <r>
    <s v="PHH"/>
    <x v="84"/>
    <n v="932411839.5"/>
    <x v="5"/>
  </r>
  <r>
    <s v="SUNTRUST"/>
    <x v="84"/>
    <n v="649866638.75999999"/>
    <x v="6"/>
  </r>
  <r>
    <s v="FLAGSTAR"/>
    <x v="84"/>
    <n v="619739523.94000006"/>
    <x v="7"/>
  </r>
  <r>
    <s v="NY COMMUNITY"/>
    <x v="84"/>
    <n v="480853769.99000001"/>
    <x v="8"/>
  </r>
  <r>
    <s v="FIFTH THIRD"/>
    <x v="84"/>
    <n v="264978699.94999999"/>
    <x v="9"/>
  </r>
  <r>
    <s v="WELLS FARGO"/>
    <x v="85"/>
    <n v="10264966285.639999"/>
    <x v="0"/>
  </r>
  <r>
    <s v="BANK OF AMERICA"/>
    <x v="85"/>
    <n v="6666240706.8299999"/>
    <x v="1"/>
  </r>
  <r>
    <s v="ALLY"/>
    <x v="85"/>
    <n v="2676228021.5100002"/>
    <x v="2"/>
  </r>
  <r>
    <s v="CITI"/>
    <x v="85"/>
    <n v="2621195325.3299999"/>
    <x v="3"/>
  </r>
  <r>
    <s v="CHASE"/>
    <x v="85"/>
    <n v="2455237346.6399999"/>
    <x v="4"/>
  </r>
  <r>
    <s v="FLAGSTAR"/>
    <x v="85"/>
    <n v="1433781043.1500001"/>
    <x v="5"/>
  </r>
  <r>
    <s v="PHH"/>
    <x v="85"/>
    <n v="1342708519.8399999"/>
    <x v="6"/>
  </r>
  <r>
    <s v="SUNTRUST"/>
    <x v="85"/>
    <n v="1023917028.28"/>
    <x v="7"/>
  </r>
  <r>
    <s v="TD BANK, N.A."/>
    <x v="85"/>
    <n v="593439306.13"/>
    <x v="8"/>
  </r>
  <r>
    <s v="NY COMMUNITY"/>
    <x v="85"/>
    <n v="539726270.10000002"/>
    <x v="9"/>
  </r>
  <r>
    <s v="CHASE"/>
    <x v="86"/>
    <n v="12567511433.07"/>
    <x v="0"/>
  </r>
  <r>
    <s v="WELLS FARGO"/>
    <x v="86"/>
    <n v="12423016925.08"/>
    <x v="1"/>
  </r>
  <r>
    <s v="BANK OF AMERICA"/>
    <x v="86"/>
    <n v="8770914673.4699993"/>
    <x v="2"/>
  </r>
  <r>
    <s v="CITI"/>
    <x v="86"/>
    <n v="4455208312.8599997"/>
    <x v="3"/>
  </r>
  <r>
    <s v="ALLY"/>
    <x v="86"/>
    <n v="3628017416.1300001"/>
    <x v="4"/>
  </r>
  <r>
    <s v="FLAGSTAR"/>
    <x v="86"/>
    <n v="2078576416.8699999"/>
    <x v="5"/>
  </r>
  <r>
    <s v="PHH"/>
    <x v="86"/>
    <n v="1723198955.49"/>
    <x v="6"/>
  </r>
  <r>
    <s v="SUNTRUST"/>
    <x v="86"/>
    <n v="1111899953.1300001"/>
    <x v="7"/>
  </r>
  <r>
    <s v="NY COMMUNITY"/>
    <x v="86"/>
    <n v="963061126.65999997"/>
    <x v="8"/>
  </r>
  <r>
    <s v="QUICKEN"/>
    <x v="86"/>
    <n v="832572474.64999998"/>
    <x v="9"/>
  </r>
  <r>
    <s v="WELLS FARGO"/>
    <x v="87"/>
    <n v="13640971298.67"/>
    <x v="0"/>
  </r>
  <r>
    <s v="BANK OF AMERICA"/>
    <x v="87"/>
    <n v="7047136981.0299997"/>
    <x v="1"/>
  </r>
  <r>
    <s v="CHASE"/>
    <x v="87"/>
    <n v="7014707935.25"/>
    <x v="2"/>
  </r>
  <r>
    <s v="ALLY"/>
    <x v="87"/>
    <n v="4793824904.6700001"/>
    <x v="3"/>
  </r>
  <r>
    <s v="CITI"/>
    <x v="87"/>
    <n v="4517989951.6300001"/>
    <x v="4"/>
  </r>
  <r>
    <s v="PHH"/>
    <x v="87"/>
    <n v="1750513489.3299999"/>
    <x v="5"/>
  </r>
  <r>
    <s v="FLAGSTAR"/>
    <x v="87"/>
    <n v="1581926551.48"/>
    <x v="6"/>
  </r>
  <r>
    <s v="SUNTRUST"/>
    <x v="87"/>
    <n v="1232242691.3499999"/>
    <x v="7"/>
  </r>
  <r>
    <s v="QUICKEN"/>
    <x v="87"/>
    <n v="982787840.32000005"/>
    <x v="8"/>
  </r>
  <r>
    <s v="NY COMMUNITY"/>
    <x v="87"/>
    <n v="817765201.26999998"/>
    <x v="9"/>
  </r>
  <r>
    <s v="WELLS FARGO"/>
    <x v="88"/>
    <n v="12770630060.530001"/>
    <x v="0"/>
  </r>
  <r>
    <s v="BANK OF AMERICA"/>
    <x v="88"/>
    <n v="8048055292.0600004"/>
    <x v="1"/>
  </r>
  <r>
    <s v="CHASE"/>
    <x v="88"/>
    <n v="5641916957.5299997"/>
    <x v="2"/>
  </r>
  <r>
    <s v="ALLY"/>
    <x v="88"/>
    <n v="4603146722.4499998"/>
    <x v="3"/>
  </r>
  <r>
    <s v="CITI"/>
    <x v="88"/>
    <n v="3992411406.73"/>
    <x v="4"/>
  </r>
  <r>
    <s v="PHH"/>
    <x v="88"/>
    <n v="2184526963.1799998"/>
    <x v="5"/>
  </r>
  <r>
    <s v="QUICKEN"/>
    <x v="88"/>
    <n v="1748243152.5"/>
    <x v="6"/>
  </r>
  <r>
    <s v="FLAGSTAR"/>
    <x v="88"/>
    <n v="1648670960.6600001"/>
    <x v="7"/>
  </r>
  <r>
    <s v="SUNTRUST"/>
    <x v="88"/>
    <n v="1577607632.71"/>
    <x v="8"/>
  </r>
  <r>
    <s v="PROVIDENT FUNDING"/>
    <x v="88"/>
    <n v="1033949121.67"/>
    <x v="9"/>
  </r>
  <r>
    <s v="WELLS FARGO"/>
    <x v="89"/>
    <n v="14069204024.26"/>
    <x v="0"/>
  </r>
  <r>
    <s v="CHASE"/>
    <x v="89"/>
    <n v="13133524612.870001"/>
    <x v="1"/>
  </r>
  <r>
    <s v="BANK OF AMERICA"/>
    <x v="89"/>
    <n v="11641848064.200001"/>
    <x v="2"/>
  </r>
  <r>
    <s v="CITI"/>
    <x v="89"/>
    <n v="4429306561.8699999"/>
    <x v="3"/>
  </r>
  <r>
    <s v="ALLY"/>
    <x v="89"/>
    <n v="4060874385.6599998"/>
    <x v="4"/>
  </r>
  <r>
    <s v="SUNTRUST"/>
    <x v="89"/>
    <n v="1801951078.1099999"/>
    <x v="5"/>
  </r>
  <r>
    <s v="FLAGSTAR"/>
    <x v="89"/>
    <n v="1782436481.8499999"/>
    <x v="6"/>
  </r>
  <r>
    <s v="PHH"/>
    <x v="89"/>
    <n v="1208344418.1800001"/>
    <x v="7"/>
  </r>
  <r>
    <s v="QUICKEN"/>
    <x v="89"/>
    <n v="653806389.21000004"/>
    <x v="8"/>
  </r>
  <r>
    <s v="NY COMMUNITY"/>
    <x v="89"/>
    <n v="572032112.40999997"/>
    <x v="9"/>
  </r>
  <r>
    <s v="WELLS FARGO"/>
    <x v="90"/>
    <n v="14638512908.190001"/>
    <x v="0"/>
  </r>
  <r>
    <s v="BANK OF AMERICA"/>
    <x v="90"/>
    <n v="10027787623.24"/>
    <x v="1"/>
  </r>
  <r>
    <s v="CHASE"/>
    <x v="90"/>
    <n v="5437253796.8900003"/>
    <x v="2"/>
  </r>
  <r>
    <s v="CITI"/>
    <x v="90"/>
    <n v="4234558632.6799998"/>
    <x v="3"/>
  </r>
  <r>
    <s v="ALLY"/>
    <x v="90"/>
    <n v="3530173574.9400001"/>
    <x v="4"/>
  </r>
  <r>
    <s v="PHH"/>
    <x v="90"/>
    <n v="2434118122.3600001"/>
    <x v="5"/>
  </r>
  <r>
    <s v="FLAGSTAR"/>
    <x v="90"/>
    <n v="1648672345.8699999"/>
    <x v="6"/>
  </r>
  <r>
    <s v="SUNTRUST"/>
    <x v="90"/>
    <n v="1548157269.8499999"/>
    <x v="7"/>
  </r>
  <r>
    <s v="NY COMMUNITY"/>
    <x v="90"/>
    <n v="717011195.69000006"/>
    <x v="8"/>
  </r>
  <r>
    <s v="PNC"/>
    <x v="90"/>
    <n v="637830697.74000001"/>
    <x v="9"/>
  </r>
  <r>
    <s v="WELLS FARGO"/>
    <x v="91"/>
    <n v="12508600905.84"/>
    <x v="0"/>
  </r>
  <r>
    <s v="BANK OF AMERICA"/>
    <x v="91"/>
    <n v="9499450974.0100002"/>
    <x v="1"/>
  </r>
  <r>
    <s v="CHASE"/>
    <x v="91"/>
    <n v="4252809613.1300001"/>
    <x v="2"/>
  </r>
  <r>
    <s v="CITI"/>
    <x v="91"/>
    <n v="2430640972.3499999"/>
    <x v="3"/>
  </r>
  <r>
    <s v="PHH"/>
    <x v="91"/>
    <n v="2155592538.1999998"/>
    <x v="4"/>
  </r>
  <r>
    <s v="ALLY"/>
    <x v="91"/>
    <n v="1915347141.49"/>
    <x v="5"/>
  </r>
  <r>
    <s v="SUNTRUST"/>
    <x v="91"/>
    <n v="1243211245.6800001"/>
    <x v="6"/>
  </r>
  <r>
    <s v="FLAGSTAR"/>
    <x v="91"/>
    <n v="853570632.77999997"/>
    <x v="7"/>
  </r>
  <r>
    <s v="PNC"/>
    <x v="91"/>
    <n v="531626540.47000003"/>
    <x v="8"/>
  </r>
  <r>
    <s v="US BANK"/>
    <x v="91"/>
    <n v="439424127.80000001"/>
    <x v="9"/>
  </r>
  <r>
    <s v="CHASE"/>
    <x v="92"/>
    <n v="9375011832.8899994"/>
    <x v="0"/>
  </r>
  <r>
    <s v="WELLS FARGO"/>
    <x v="92"/>
    <n v="9367773473.6599998"/>
    <x v="1"/>
  </r>
  <r>
    <s v="BANK OF AMERICA"/>
    <x v="92"/>
    <n v="8533421708.3199997"/>
    <x v="2"/>
  </r>
  <r>
    <s v="CITI"/>
    <x v="92"/>
    <n v="2598991988.1199999"/>
    <x v="3"/>
  </r>
  <r>
    <s v="PHH"/>
    <x v="92"/>
    <n v="2120752517.71"/>
    <x v="4"/>
  </r>
  <r>
    <s v="ALLY"/>
    <x v="92"/>
    <n v="2106788705.9200001"/>
    <x v="5"/>
  </r>
  <r>
    <s v="SUNTRUST"/>
    <x v="92"/>
    <n v="1176664421.78"/>
    <x v="6"/>
  </r>
  <r>
    <s v="FLAGSTAR"/>
    <x v="92"/>
    <n v="734868464.33000004"/>
    <x v="7"/>
  </r>
  <r>
    <s v="PNC"/>
    <x v="92"/>
    <n v="569714776.50999999"/>
    <x v="8"/>
  </r>
  <r>
    <s v="USAA"/>
    <x v="92"/>
    <n v="300779235.80000001"/>
    <x v="9"/>
  </r>
  <r>
    <s v="WELLS FARGO"/>
    <x v="93"/>
    <n v="7263200622.4200001"/>
    <x v="0"/>
  </r>
  <r>
    <s v="BANK OF AMERICA"/>
    <x v="93"/>
    <n v="4713078509.5699997"/>
    <x v="1"/>
  </r>
  <r>
    <s v="CHASE"/>
    <x v="93"/>
    <n v="3745951222.4499998"/>
    <x v="2"/>
  </r>
  <r>
    <s v="CITI"/>
    <x v="93"/>
    <n v="2054389741.1600001"/>
    <x v="3"/>
  </r>
  <r>
    <s v="ALLY"/>
    <x v="93"/>
    <n v="1108476066.48"/>
    <x v="4"/>
  </r>
  <r>
    <s v="FLAGSTAR"/>
    <x v="93"/>
    <n v="809370651.20000005"/>
    <x v="5"/>
  </r>
  <r>
    <s v="SUNTRUST"/>
    <x v="93"/>
    <n v="670283683.65999997"/>
    <x v="6"/>
  </r>
  <r>
    <s v="PNC"/>
    <x v="93"/>
    <n v="551538786.36000001"/>
    <x v="7"/>
  </r>
  <r>
    <s v="PHH"/>
    <x v="93"/>
    <n v="453825981.13999999"/>
    <x v="8"/>
  </r>
  <r>
    <s v="REGIONS BANK"/>
    <x v="93"/>
    <n v="320408343.36000001"/>
    <x v="9"/>
  </r>
  <r>
    <s v="WELLS FARGO"/>
    <x v="94"/>
    <n v="6560805145.7200003"/>
    <x v="0"/>
  </r>
  <r>
    <s v="CHASE"/>
    <x v="94"/>
    <n v="4397294621.2799997"/>
    <x v="1"/>
  </r>
  <r>
    <s v="BANK OF AMERICA"/>
    <x v="94"/>
    <n v="2883072438.6100001"/>
    <x v="2"/>
  </r>
  <r>
    <s v="CITI"/>
    <x v="94"/>
    <n v="1717155852.23"/>
    <x v="3"/>
  </r>
  <r>
    <s v="ALLY"/>
    <x v="94"/>
    <n v="1705305796.3599999"/>
    <x v="4"/>
  </r>
  <r>
    <s v="FLAGSTAR"/>
    <x v="94"/>
    <n v="839564162.10000002"/>
    <x v="5"/>
  </r>
  <r>
    <s v="PHH"/>
    <x v="94"/>
    <n v="723728232.77999997"/>
    <x v="6"/>
  </r>
  <r>
    <s v="SUNTRUST"/>
    <x v="94"/>
    <n v="561654246.87"/>
    <x v="7"/>
  </r>
  <r>
    <s v="PNC"/>
    <x v="94"/>
    <n v="385476927.93000001"/>
    <x v="8"/>
  </r>
  <r>
    <s v="REGIONS BANK"/>
    <x v="94"/>
    <n v="272604276.86000001"/>
    <x v="9"/>
  </r>
  <r>
    <s v="WELLS FARGO"/>
    <x v="95"/>
    <n v="7723507087.5699997"/>
    <x v="0"/>
  </r>
  <r>
    <s v="CHASE"/>
    <x v="95"/>
    <n v="5521240960.25"/>
    <x v="1"/>
  </r>
  <r>
    <s v="ALLY"/>
    <x v="95"/>
    <n v="3125723742.4400001"/>
    <x v="2"/>
  </r>
  <r>
    <s v="BANK OF AMERICA"/>
    <x v="95"/>
    <n v="2890199494.2199998"/>
    <x v="3"/>
  </r>
  <r>
    <s v="CITI"/>
    <x v="95"/>
    <n v="1514700079.47"/>
    <x v="4"/>
  </r>
  <r>
    <s v="PHH"/>
    <x v="95"/>
    <n v="1249270995.0799999"/>
    <x v="5"/>
  </r>
  <r>
    <s v="SUNTRUST"/>
    <x v="95"/>
    <n v="598841873.17999995"/>
    <x v="6"/>
  </r>
  <r>
    <s v="FLAGSTAR"/>
    <x v="95"/>
    <n v="536900681"/>
    <x v="7"/>
  </r>
  <r>
    <s v="PNC"/>
    <x v="95"/>
    <n v="388098543.69999999"/>
    <x v="8"/>
  </r>
  <r>
    <s v="USAA"/>
    <x v="95"/>
    <n v="316608413.45999998"/>
    <x v="9"/>
  </r>
  <r>
    <s v="WELLS FARGO"/>
    <x v="96"/>
    <n v="5076597395.6099997"/>
    <x v="0"/>
  </r>
  <r>
    <s v="CHASE"/>
    <x v="96"/>
    <n v="3400992563.5999999"/>
    <x v="1"/>
  </r>
  <r>
    <s v="CITI"/>
    <x v="96"/>
    <n v="3392380514.9299998"/>
    <x v="2"/>
  </r>
  <r>
    <s v="BANK OF AMERICA"/>
    <x v="96"/>
    <n v="3145063452.5300002"/>
    <x v="3"/>
  </r>
  <r>
    <s v="ALLY"/>
    <x v="96"/>
    <n v="1613391642.05"/>
    <x v="4"/>
  </r>
  <r>
    <s v="FLAGSTAR"/>
    <x v="96"/>
    <n v="846856456.50999999"/>
    <x v="5"/>
  </r>
  <r>
    <s v="SUNTRUST"/>
    <x v="96"/>
    <n v="719443235.38"/>
    <x v="6"/>
  </r>
  <r>
    <s v="PHH"/>
    <x v="96"/>
    <n v="487930353.06999999"/>
    <x v="7"/>
  </r>
  <r>
    <s v="PNC"/>
    <x v="96"/>
    <n v="332388827"/>
    <x v="8"/>
  </r>
  <r>
    <s v="US BANK"/>
    <x v="96"/>
    <n v="212255776.69999999"/>
    <x v="9"/>
  </r>
  <r>
    <s v="WELLS FARGO"/>
    <x v="97"/>
    <n v="8026484432.2399998"/>
    <x v="0"/>
  </r>
  <r>
    <s v="CHASE"/>
    <x v="97"/>
    <n v="4546578204.5100002"/>
    <x v="1"/>
  </r>
  <r>
    <s v="BANK OF AMERICA"/>
    <x v="97"/>
    <n v="3689413886.0100002"/>
    <x v="2"/>
  </r>
  <r>
    <s v="ALLY"/>
    <x v="97"/>
    <n v="2312378626.5700002"/>
    <x v="3"/>
  </r>
  <r>
    <s v="CITI"/>
    <x v="97"/>
    <n v="1535462666.9400001"/>
    <x v="4"/>
  </r>
  <r>
    <s v="PHH"/>
    <x v="97"/>
    <n v="1488442307.6700001"/>
    <x v="5"/>
  </r>
  <r>
    <s v="FLAGSTAR"/>
    <x v="97"/>
    <n v="1235686134.8199999"/>
    <x v="6"/>
  </r>
  <r>
    <s v="SUNTRUST"/>
    <x v="97"/>
    <n v="723041247.12"/>
    <x v="7"/>
  </r>
  <r>
    <s v="PNC"/>
    <x v="97"/>
    <n v="257691149.83000001"/>
    <x v="8"/>
  </r>
  <r>
    <s v="USAA"/>
    <x v="97"/>
    <n v="245472900.08000001"/>
    <x v="9"/>
  </r>
  <r>
    <s v="WELLS FARGO"/>
    <x v="98"/>
    <n v="9630208171.6000004"/>
    <x v="0"/>
  </r>
  <r>
    <s v="CHASE"/>
    <x v="98"/>
    <n v="8148436625.0600004"/>
    <x v="1"/>
  </r>
  <r>
    <s v="ALLY"/>
    <x v="98"/>
    <n v="3379466287.0999999"/>
    <x v="2"/>
  </r>
  <r>
    <s v="BANK OF AMERICA"/>
    <x v="98"/>
    <n v="2834634956.2800002"/>
    <x v="3"/>
  </r>
  <r>
    <s v="CITI"/>
    <x v="98"/>
    <n v="2654243256.4699998"/>
    <x v="4"/>
  </r>
  <r>
    <s v="FLAGSTAR"/>
    <x v="98"/>
    <n v="1477823763.1900001"/>
    <x v="5"/>
  </r>
  <r>
    <s v="PHH"/>
    <x v="98"/>
    <n v="1064883083.64"/>
    <x v="6"/>
  </r>
  <r>
    <s v="QUICKEN"/>
    <x v="98"/>
    <n v="818515708.92999995"/>
    <x v="7"/>
  </r>
  <r>
    <s v="SUNTRUST"/>
    <x v="98"/>
    <n v="607535378.60000002"/>
    <x v="8"/>
  </r>
  <r>
    <s v="PNC"/>
    <x v="98"/>
    <n v="418073981.95999998"/>
    <x v="9"/>
  </r>
  <r>
    <s v="WELLS FARGO"/>
    <x v="99"/>
    <n v="11686443131.879999"/>
    <x v="0"/>
  </r>
  <r>
    <s v="CHASE"/>
    <x v="99"/>
    <n v="5088834053.8500004"/>
    <x v="1"/>
  </r>
  <r>
    <s v="CITI"/>
    <x v="99"/>
    <n v="3332262713.5100002"/>
    <x v="2"/>
  </r>
  <r>
    <s v="FLAGSTAR"/>
    <x v="99"/>
    <n v="2184906446.2199998"/>
    <x v="3"/>
  </r>
  <r>
    <s v="PHH"/>
    <x v="99"/>
    <n v="2122233597.4200001"/>
    <x v="4"/>
  </r>
  <r>
    <s v="BANK OF AMERICA"/>
    <x v="99"/>
    <n v="1990901215.54"/>
    <x v="5"/>
  </r>
  <r>
    <s v="ALLY"/>
    <x v="99"/>
    <n v="1808551858.1600001"/>
    <x v="6"/>
  </r>
  <r>
    <s v="QUICKEN"/>
    <x v="99"/>
    <n v="1099145883.3299999"/>
    <x v="7"/>
  </r>
  <r>
    <s v="SUNTRUST"/>
    <x v="99"/>
    <n v="781955044.85000002"/>
    <x v="8"/>
  </r>
  <r>
    <s v="NYCB MORTGAGE COMPANY, LLC"/>
    <x v="99"/>
    <n v="480704275.17000002"/>
    <x v="9"/>
  </r>
  <r>
    <s v="WELLS FARGO"/>
    <x v="100"/>
    <n v="14402413671.309999"/>
    <x v="0"/>
  </r>
  <r>
    <s v="CHASE"/>
    <x v="100"/>
    <n v="7892692642.7799997"/>
    <x v="1"/>
  </r>
  <r>
    <s v="CITI"/>
    <x v="100"/>
    <n v="4713649275.1999998"/>
    <x v="2"/>
  </r>
  <r>
    <s v="ALLY"/>
    <x v="100"/>
    <n v="3647920798.0700002"/>
    <x v="3"/>
  </r>
  <r>
    <s v="FLAGSTAR"/>
    <x v="100"/>
    <n v="2369417431.5700002"/>
    <x v="4"/>
  </r>
  <r>
    <s v="PHH"/>
    <x v="100"/>
    <n v="2089241126.1800001"/>
    <x v="5"/>
  </r>
  <r>
    <s v="BANK OF AMERICA"/>
    <x v="100"/>
    <n v="1479691577.53"/>
    <x v="6"/>
  </r>
  <r>
    <s v="QUICKEN"/>
    <x v="100"/>
    <n v="1412203171.1800001"/>
    <x v="7"/>
  </r>
  <r>
    <s v="NYCB MORTGAGE COMPANY, LLC"/>
    <x v="100"/>
    <n v="745106160.72000003"/>
    <x v="8"/>
  </r>
  <r>
    <s v="US BANK"/>
    <x v="100"/>
    <n v="551153369.42999995"/>
    <x v="9"/>
  </r>
  <r>
    <s v="WELLS FARGO"/>
    <x v="101"/>
    <n v="23209079451.07"/>
    <x v="0"/>
  </r>
  <r>
    <s v="CHASE"/>
    <x v="101"/>
    <n v="8093581984.6999998"/>
    <x v="1"/>
  </r>
  <r>
    <s v="CITI"/>
    <x v="101"/>
    <n v="4642114946.9700003"/>
    <x v="2"/>
  </r>
  <r>
    <s v="ALLY"/>
    <x v="101"/>
    <n v="4059865643.29"/>
    <x v="3"/>
  </r>
  <r>
    <s v="FLAGSTAR"/>
    <x v="101"/>
    <n v="2359023695.79"/>
    <x v="4"/>
  </r>
  <r>
    <s v="PHH"/>
    <x v="101"/>
    <n v="2314600375.54"/>
    <x v="5"/>
  </r>
  <r>
    <s v="QUICKEN"/>
    <x v="101"/>
    <n v="1120575680.53"/>
    <x v="6"/>
  </r>
  <r>
    <s v="BANK OF AMERICA"/>
    <x v="101"/>
    <n v="1111375517.51"/>
    <x v="7"/>
  </r>
  <r>
    <s v="NYCB MORTGAGE COMPANY, LLC"/>
    <x v="101"/>
    <n v="683743002.97000003"/>
    <x v="8"/>
  </r>
  <r>
    <s v="FIFTH THIRD"/>
    <x v="101"/>
    <n v="612015462.09000003"/>
    <x v="9"/>
  </r>
  <r>
    <s v="WELLS FARGO"/>
    <x v="102"/>
    <n v="15050460727.190001"/>
    <x v="0"/>
  </r>
  <r>
    <s v="CITI"/>
    <x v="102"/>
    <n v="4853233992.2700005"/>
    <x v="1"/>
  </r>
  <r>
    <s v="CHASE"/>
    <x v="102"/>
    <n v="4796151135.9200001"/>
    <x v="2"/>
  </r>
  <r>
    <s v="FLAGSTAR"/>
    <x v="102"/>
    <n v="2074382019.1199999"/>
    <x v="3"/>
  </r>
  <r>
    <s v="ALLY"/>
    <x v="102"/>
    <n v="1820085642.0799999"/>
    <x v="4"/>
  </r>
  <r>
    <s v="PHH"/>
    <x v="102"/>
    <n v="1616843705.9300001"/>
    <x v="5"/>
  </r>
  <r>
    <s v="QUICKEN"/>
    <x v="102"/>
    <n v="1320904264.2"/>
    <x v="6"/>
  </r>
  <r>
    <s v="BANK OF AMERICA"/>
    <x v="102"/>
    <n v="896797454.86000001"/>
    <x v="7"/>
  </r>
  <r>
    <s v="SUNTRUST"/>
    <x v="102"/>
    <n v="753973852.75999999"/>
    <x v="8"/>
  </r>
  <r>
    <s v="FIFTH THIRD"/>
    <x v="102"/>
    <n v="684074900.45000005"/>
    <x v="9"/>
  </r>
  <r>
    <s v="WELLS FARGO"/>
    <x v="103"/>
    <n v="14049256877.940001"/>
    <x v="0"/>
  </r>
  <r>
    <s v="CHASE"/>
    <x v="103"/>
    <n v="6006376585.1800003"/>
    <x v="1"/>
  </r>
  <r>
    <s v="FLAGSTAR"/>
    <x v="103"/>
    <n v="2735353783.9699998"/>
    <x v="2"/>
  </r>
  <r>
    <s v="CITI"/>
    <x v="103"/>
    <n v="2175926629.9400001"/>
    <x v="3"/>
  </r>
  <r>
    <s v="PHH"/>
    <x v="103"/>
    <n v="1847027442.4000001"/>
    <x v="4"/>
  </r>
  <r>
    <s v="QUICKEN"/>
    <x v="103"/>
    <n v="1757601309.22"/>
    <x v="5"/>
  </r>
  <r>
    <s v="ALLY"/>
    <x v="103"/>
    <n v="1392637011.05"/>
    <x v="6"/>
  </r>
  <r>
    <s v="SUNTRUST"/>
    <x v="103"/>
    <n v="955978630.90999997"/>
    <x v="7"/>
  </r>
  <r>
    <s v="US BANK"/>
    <x v="103"/>
    <n v="521440662.5"/>
    <x v="8"/>
  </r>
  <r>
    <s v="FIFTH THIRD"/>
    <x v="103"/>
    <n v="483206328.12"/>
    <x v="9"/>
  </r>
  <r>
    <s v="WELLS FARGO"/>
    <x v="104"/>
    <n v="30547686964.380001"/>
    <x v="0"/>
  </r>
  <r>
    <s v="CHASE"/>
    <x v="104"/>
    <n v="9441708451.4200001"/>
    <x v="1"/>
  </r>
  <r>
    <s v="CITI"/>
    <x v="104"/>
    <n v="3322405643.1199999"/>
    <x v="2"/>
  </r>
  <r>
    <s v="FLAGSTAR"/>
    <x v="104"/>
    <n v="2968862432.2199998"/>
    <x v="3"/>
  </r>
  <r>
    <s v="QUICKEN"/>
    <x v="104"/>
    <n v="2824281754.79"/>
    <x v="4"/>
  </r>
  <r>
    <s v="PHH"/>
    <x v="104"/>
    <n v="1919116424.9100001"/>
    <x v="5"/>
  </r>
  <r>
    <s v="ALLY"/>
    <x v="104"/>
    <n v="1497727107.4200001"/>
    <x v="6"/>
  </r>
  <r>
    <s v="SUNTRUST"/>
    <x v="104"/>
    <n v="1478766147.8"/>
    <x v="7"/>
  </r>
  <r>
    <s v="BANK OF AMERICA"/>
    <x v="104"/>
    <n v="1307576306.0799999"/>
    <x v="8"/>
  </r>
  <r>
    <s v="FRANKLIN AMERICAN MORTGAGE COMPANY"/>
    <x v="104"/>
    <n v="1188646337.95"/>
    <x v="9"/>
  </r>
  <r>
    <s v="WELLS FARGO"/>
    <x v="105"/>
    <n v="10497979104.360001"/>
    <x v="0"/>
  </r>
  <r>
    <s v="CHASE"/>
    <x v="105"/>
    <n v="5045445465.96"/>
    <x v="1"/>
  </r>
  <r>
    <s v="FLAGSTAR"/>
    <x v="105"/>
    <n v="2307288287.8400002"/>
    <x v="2"/>
  </r>
  <r>
    <s v="PHH"/>
    <x v="105"/>
    <n v="1497778473.45"/>
    <x v="3"/>
  </r>
  <r>
    <s v="CITI"/>
    <x v="105"/>
    <n v="1064772455.45"/>
    <x v="4"/>
  </r>
  <r>
    <s v="ALLY"/>
    <x v="105"/>
    <n v="975876845.86000001"/>
    <x v="5"/>
  </r>
  <r>
    <s v="QUICKEN"/>
    <x v="105"/>
    <n v="749628632.73000002"/>
    <x v="6"/>
  </r>
  <r>
    <s v="SUNTRUST"/>
    <x v="105"/>
    <n v="715750834.32000005"/>
    <x v="7"/>
  </r>
  <r>
    <s v="AMERICAN HOME MORTGAGE CORPORATION"/>
    <x v="105"/>
    <n v="473607098.20999998"/>
    <x v="8"/>
  </r>
  <r>
    <s v="BANK OF AMERICA"/>
    <x v="105"/>
    <n v="438945722.61000001"/>
    <x v="9"/>
  </r>
  <r>
    <s v="WELLS FARGO"/>
    <x v="106"/>
    <n v="20085553792.799999"/>
    <x v="0"/>
  </r>
  <r>
    <s v="CHASE"/>
    <x v="106"/>
    <n v="5672797241.4200001"/>
    <x v="1"/>
  </r>
  <r>
    <s v="FLAGSTAR"/>
    <x v="106"/>
    <n v="2837371203.46"/>
    <x v="2"/>
  </r>
  <r>
    <s v="QUICKEN"/>
    <x v="106"/>
    <n v="2688689221.8800001"/>
    <x v="3"/>
  </r>
  <r>
    <s v="CITI"/>
    <x v="106"/>
    <n v="2165287838.1799998"/>
    <x v="4"/>
  </r>
  <r>
    <s v="BANK OF AMERICA"/>
    <x v="106"/>
    <n v="1378945570.53"/>
    <x v="5"/>
  </r>
  <r>
    <s v="US BANK"/>
    <x v="106"/>
    <n v="1155522324.5799999"/>
    <x v="6"/>
  </r>
  <r>
    <s v="SUNTRUST"/>
    <x v="106"/>
    <n v="1115152704.5899999"/>
    <x v="7"/>
  </r>
  <r>
    <s v="PHH"/>
    <x v="106"/>
    <n v="1078652286.0999999"/>
    <x v="8"/>
  </r>
  <r>
    <s v="ALLY"/>
    <x v="106"/>
    <n v="807433941.49000001"/>
    <x v="9"/>
  </r>
  <r>
    <s v="WELLS FARGO"/>
    <x v="107"/>
    <n v="12490413319.5"/>
    <x v="0"/>
  </r>
  <r>
    <s v="CHASE"/>
    <x v="107"/>
    <n v="7036329639.4899998"/>
    <x v="1"/>
  </r>
  <r>
    <s v="FLAGSTAR"/>
    <x v="107"/>
    <n v="2594295416.6100001"/>
    <x v="2"/>
  </r>
  <r>
    <s v="CITI"/>
    <x v="107"/>
    <n v="2114310416.24"/>
    <x v="3"/>
  </r>
  <r>
    <s v="QUICKEN"/>
    <x v="107"/>
    <n v="2083801978.74"/>
    <x v="4"/>
  </r>
  <r>
    <s v="BANK OF AMERICA"/>
    <x v="107"/>
    <n v="2018906100.1300001"/>
    <x v="5"/>
  </r>
  <r>
    <s v="SUNTRUST"/>
    <x v="107"/>
    <n v="1819644112.4000001"/>
    <x v="6"/>
  </r>
  <r>
    <s v="ALLY"/>
    <x v="107"/>
    <n v="1462187564.1500001"/>
    <x v="7"/>
  </r>
  <r>
    <s v="PHH"/>
    <x v="107"/>
    <n v="1354198848.0599999"/>
    <x v="8"/>
  </r>
  <r>
    <s v="US BANK"/>
    <x v="107"/>
    <n v="1077841105.76"/>
    <x v="9"/>
  </r>
  <r>
    <s v="WELLS FARGO"/>
    <x v="108"/>
    <n v="17722445723.59"/>
    <x v="0"/>
  </r>
  <r>
    <s v="CHASE"/>
    <x v="108"/>
    <n v="5805711544.7600002"/>
    <x v="1"/>
  </r>
  <r>
    <s v="QUICKEN"/>
    <x v="108"/>
    <n v="3642919334.4899998"/>
    <x v="2"/>
  </r>
  <r>
    <s v="FLAGSTAR"/>
    <x v="108"/>
    <n v="3200713245.7600002"/>
    <x v="3"/>
  </r>
  <r>
    <s v="CITI"/>
    <x v="108"/>
    <n v="2010779432.79"/>
    <x v="4"/>
  </r>
  <r>
    <s v="ALLY"/>
    <x v="108"/>
    <n v="1545512293.75"/>
    <x v="5"/>
  </r>
  <r>
    <s v="PHH"/>
    <x v="108"/>
    <n v="1393815043.55"/>
    <x v="6"/>
  </r>
  <r>
    <s v="SUNTRUST"/>
    <x v="108"/>
    <n v="1313834958.79"/>
    <x v="7"/>
  </r>
  <r>
    <s v="BANK OF AMERICA"/>
    <x v="108"/>
    <n v="1261050205.1800001"/>
    <x v="8"/>
  </r>
  <r>
    <s v="PNC"/>
    <x v="108"/>
    <n v="885810800.47000003"/>
    <x v="9"/>
  </r>
  <r>
    <s v="WELLS FARGO"/>
    <x v="109"/>
    <n v="15450764934.82"/>
    <x v="0"/>
  </r>
  <r>
    <s v="CHASE"/>
    <x v="109"/>
    <n v="8415301500.0699997"/>
    <x v="1"/>
  </r>
  <r>
    <s v="QUICKEN"/>
    <x v="109"/>
    <n v="4782260991.4399996"/>
    <x v="2"/>
  </r>
  <r>
    <s v="FLAGSTAR"/>
    <x v="109"/>
    <n v="3581253979.6700001"/>
    <x v="3"/>
  </r>
  <r>
    <s v="CITI"/>
    <x v="109"/>
    <n v="2263175580.0799999"/>
    <x v="4"/>
  </r>
  <r>
    <s v="BANK OF AMERICA"/>
    <x v="109"/>
    <n v="2041166208.9200001"/>
    <x v="5"/>
  </r>
  <r>
    <s v="ALLY"/>
    <x v="109"/>
    <n v="1681290589.78"/>
    <x v="6"/>
  </r>
  <r>
    <s v="SUNTRUST"/>
    <x v="109"/>
    <n v="1443631118.3499999"/>
    <x v="7"/>
  </r>
  <r>
    <s v="PHH"/>
    <x v="109"/>
    <n v="1298624220.6199999"/>
    <x v="8"/>
  </r>
  <r>
    <s v="FRANKLIN AMERICAN MORTGAGE COMPANY"/>
    <x v="109"/>
    <n v="936397289.01999998"/>
    <x v="9"/>
  </r>
  <r>
    <s v="WELLS FARGO"/>
    <x v="110"/>
    <n v="15515154908.18"/>
    <x v="0"/>
  </r>
  <r>
    <s v="CHASE"/>
    <x v="110"/>
    <n v="9589348332.7900009"/>
    <x v="1"/>
  </r>
  <r>
    <s v="QUICKEN"/>
    <x v="110"/>
    <n v="4912389510.3100004"/>
    <x v="2"/>
  </r>
  <r>
    <s v="CITI"/>
    <x v="110"/>
    <n v="3442130927.8200002"/>
    <x v="3"/>
  </r>
  <r>
    <s v="FLAGSTAR"/>
    <x v="110"/>
    <n v="3359844224.2199998"/>
    <x v="4"/>
  </r>
  <r>
    <s v="ALLY"/>
    <x v="110"/>
    <n v="1966201200.96"/>
    <x v="5"/>
  </r>
  <r>
    <s v="SUNTRUST"/>
    <x v="110"/>
    <n v="1681914929.71"/>
    <x v="6"/>
  </r>
  <r>
    <s v="PHH"/>
    <x v="110"/>
    <n v="1583385329.6199999"/>
    <x v="7"/>
  </r>
  <r>
    <s v="BANK OF AMERICA"/>
    <x v="110"/>
    <n v="1184012805.45"/>
    <x v="8"/>
  </r>
  <r>
    <s v="PENNYMAC CORP."/>
    <x v="110"/>
    <n v="945225066.88999999"/>
    <x v="9"/>
  </r>
  <r>
    <s v="WELLS FARGO"/>
    <x v="111"/>
    <n v="13208748904.610001"/>
    <x v="0"/>
  </r>
  <r>
    <s v="CHASE"/>
    <x v="111"/>
    <n v="4495620611.7799997"/>
    <x v="1"/>
  </r>
  <r>
    <s v="QUICKEN"/>
    <x v="111"/>
    <n v="4259407226.3299999"/>
    <x v="2"/>
  </r>
  <r>
    <s v="FLAGSTAR"/>
    <x v="111"/>
    <n v="3094481674.0799999"/>
    <x v="3"/>
  </r>
  <r>
    <s v="SUNTRUST"/>
    <x v="111"/>
    <n v="1987303253.45"/>
    <x v="4"/>
  </r>
  <r>
    <s v="BANK OF AMERICA"/>
    <x v="111"/>
    <n v="1968182126.6199999"/>
    <x v="5"/>
  </r>
  <r>
    <s v="PENNYMAC CORP."/>
    <x v="111"/>
    <n v="1732847138.78"/>
    <x v="6"/>
  </r>
  <r>
    <s v="ALLY"/>
    <x v="111"/>
    <n v="1666900687.8199999"/>
    <x v="7"/>
  </r>
  <r>
    <s v="PHH"/>
    <x v="111"/>
    <n v="1072372364.4"/>
    <x v="8"/>
  </r>
  <r>
    <s v="CITI"/>
    <x v="111"/>
    <n v="1024767722.17"/>
    <x v="9"/>
  </r>
  <r>
    <s v="WELLS FARGO"/>
    <x v="112"/>
    <n v="18561639674.389999"/>
    <x v="0"/>
  </r>
  <r>
    <s v="CHASE"/>
    <x v="112"/>
    <n v="7624851409.7200003"/>
    <x v="1"/>
  </r>
  <r>
    <s v="QUICKEN"/>
    <x v="112"/>
    <n v="5306609068.2399998"/>
    <x v="2"/>
  </r>
  <r>
    <s v="FLAGSTAR"/>
    <x v="112"/>
    <n v="3874518072.98"/>
    <x v="3"/>
  </r>
  <r>
    <s v="CITI"/>
    <x v="112"/>
    <n v="3010090931.3099999"/>
    <x v="4"/>
  </r>
  <r>
    <s v="BANK OF AMERICA"/>
    <x v="112"/>
    <n v="2405929122.71"/>
    <x v="5"/>
  </r>
  <r>
    <s v="PENNYMAC CORP."/>
    <x v="112"/>
    <n v="2250728428.04"/>
    <x v="6"/>
  </r>
  <r>
    <s v="ALLY"/>
    <x v="112"/>
    <n v="1993515527.46"/>
    <x v="7"/>
  </r>
  <r>
    <s v="PROVIDENT FUNDING"/>
    <x v="112"/>
    <n v="1584714943.46"/>
    <x v="8"/>
  </r>
  <r>
    <s v="SUNTRUST"/>
    <x v="112"/>
    <n v="1546089705.53"/>
    <x v="9"/>
  </r>
  <r>
    <s v="WELLS FARGO"/>
    <x v="113"/>
    <n v="5514998779.8199997"/>
    <x v="0"/>
  </r>
  <r>
    <s v="CHASE"/>
    <x v="113"/>
    <n v="5430680984.2200003"/>
    <x v="1"/>
  </r>
  <r>
    <s v="QUICKEN"/>
    <x v="113"/>
    <n v="4854996551.6700001"/>
    <x v="2"/>
  </r>
  <r>
    <s v="FLAGSTAR"/>
    <x v="113"/>
    <n v="3904061336.3899999"/>
    <x v="3"/>
  </r>
  <r>
    <s v="ALLY"/>
    <x v="113"/>
    <n v="2417312711.3600001"/>
    <x v="4"/>
  </r>
  <r>
    <s v="PENNYMAC CORP."/>
    <x v="113"/>
    <n v="1428718132.8699999"/>
    <x v="5"/>
  </r>
  <r>
    <s v="BANK OF AMERICA"/>
    <x v="113"/>
    <n v="1299415806.4100001"/>
    <x v="6"/>
  </r>
  <r>
    <s v="US BANK"/>
    <x v="113"/>
    <n v="1174707913.27"/>
    <x v="7"/>
  </r>
  <r>
    <s v="CITI"/>
    <x v="113"/>
    <n v="1056573970.66"/>
    <x v="8"/>
  </r>
  <r>
    <s v="SUNTRUST"/>
    <x v="113"/>
    <n v="979925672.88999999"/>
    <x v="9"/>
  </r>
  <r>
    <s v="WELLS FARGO"/>
    <x v="114"/>
    <n v="12330874909.370001"/>
    <x v="0"/>
  </r>
  <r>
    <s v="CHASE"/>
    <x v="114"/>
    <n v="7204104917.6300001"/>
    <x v="1"/>
  </r>
  <r>
    <s v="QUICKEN"/>
    <x v="114"/>
    <n v="5966617258.3500004"/>
    <x v="2"/>
  </r>
  <r>
    <s v="FLAGSTAR"/>
    <x v="114"/>
    <n v="3547658348.7199998"/>
    <x v="3"/>
  </r>
  <r>
    <s v="ALLY"/>
    <x v="114"/>
    <n v="2348959566.2800002"/>
    <x v="4"/>
  </r>
  <r>
    <s v="PENNYMAC CORP."/>
    <x v="114"/>
    <n v="1997102160.27"/>
    <x v="5"/>
  </r>
  <r>
    <s v="BANK OF AMERICA"/>
    <x v="114"/>
    <n v="1897359310.29"/>
    <x v="6"/>
  </r>
  <r>
    <s v="CITI"/>
    <x v="114"/>
    <n v="1610688422.49"/>
    <x v="7"/>
  </r>
  <r>
    <s v="PHH"/>
    <x v="114"/>
    <n v="1597255113.6800001"/>
    <x v="8"/>
  </r>
  <r>
    <s v="SUNTRUST"/>
    <x v="114"/>
    <n v="1416718881.03"/>
    <x v="9"/>
  </r>
  <r>
    <s v="WELLS FARGO"/>
    <x v="115"/>
    <n v="11762868452.809999"/>
    <x v="0"/>
  </r>
  <r>
    <s v="CHASE"/>
    <x v="115"/>
    <n v="7145425651.6099997"/>
    <x v="1"/>
  </r>
  <r>
    <s v="QUICKEN"/>
    <x v="115"/>
    <n v="5058886938.4799995"/>
    <x v="2"/>
  </r>
  <r>
    <s v="CITI"/>
    <x v="115"/>
    <n v="4794489644.7399998"/>
    <x v="3"/>
  </r>
  <r>
    <s v="FLAGSTAR"/>
    <x v="115"/>
    <n v="3063653790.4200001"/>
    <x v="4"/>
  </r>
  <r>
    <s v="BANK OF AMERICA"/>
    <x v="115"/>
    <n v="2016668573.79"/>
    <x v="5"/>
  </r>
  <r>
    <s v="ALLY"/>
    <x v="115"/>
    <n v="1926771112.8099999"/>
    <x v="6"/>
  </r>
  <r>
    <s v="SUNTRUST"/>
    <x v="115"/>
    <n v="1807672705.3199999"/>
    <x v="7"/>
  </r>
  <r>
    <s v="PHH"/>
    <x v="115"/>
    <n v="1302704294.5799999"/>
    <x v="8"/>
  </r>
  <r>
    <s v="US BANK"/>
    <x v="115"/>
    <n v="1242590343.3800001"/>
    <x v="9"/>
  </r>
  <r>
    <s v="WELLS FARGO"/>
    <x v="116"/>
    <n v="9980934177.1000004"/>
    <x v="0"/>
  </r>
  <r>
    <s v="CHASE"/>
    <x v="116"/>
    <n v="6886584084.6800003"/>
    <x v="1"/>
  </r>
  <r>
    <s v="QUICKEN"/>
    <x v="116"/>
    <n v="4559782207.0600004"/>
    <x v="2"/>
  </r>
  <r>
    <s v="CITI"/>
    <x v="116"/>
    <n v="2479680401.48"/>
    <x v="3"/>
  </r>
  <r>
    <s v="BANK OF AMERICA"/>
    <x v="116"/>
    <n v="2298720470.3699999"/>
    <x v="4"/>
  </r>
  <r>
    <s v="FLAGSTAR"/>
    <x v="116"/>
    <n v="1898208233.29"/>
    <x v="5"/>
  </r>
  <r>
    <s v="SUNTRUST"/>
    <x v="116"/>
    <n v="1849709012.8599999"/>
    <x v="6"/>
  </r>
  <r>
    <s v="PHH"/>
    <x v="116"/>
    <n v="797265609.63999999"/>
    <x v="7"/>
  </r>
  <r>
    <s v="ALLY"/>
    <x v="116"/>
    <n v="714987470.79999995"/>
    <x v="8"/>
  </r>
  <r>
    <s v="PROVIDENT FUNDING"/>
    <x v="116"/>
    <n v="701559342.30999994"/>
    <x v="9"/>
  </r>
  <r>
    <s v="WELLS FARGO"/>
    <x v="117"/>
    <n v="10647976949.73"/>
    <x v="0"/>
  </r>
  <r>
    <s v="CHASE"/>
    <x v="117"/>
    <n v="6492413731.9499998"/>
    <x v="1"/>
  </r>
  <r>
    <s v="CITI"/>
    <x v="117"/>
    <n v="4584046912.8000002"/>
    <x v="2"/>
  </r>
  <r>
    <s v="QUICKEN"/>
    <x v="117"/>
    <n v="4116486836.2199998"/>
    <x v="3"/>
  </r>
  <r>
    <s v="BANK OF AMERICA"/>
    <x v="117"/>
    <n v="3506379585.9299998"/>
    <x v="4"/>
  </r>
  <r>
    <s v="FLAGSTAR"/>
    <x v="117"/>
    <n v="2860219926.48"/>
    <x v="5"/>
  </r>
  <r>
    <s v="US BANK"/>
    <x v="117"/>
    <n v="1593764921.78"/>
    <x v="6"/>
  </r>
  <r>
    <s v="PHH"/>
    <x v="117"/>
    <n v="1048561400.36"/>
    <x v="7"/>
  </r>
  <r>
    <s v="NATIONSTAR"/>
    <x v="117"/>
    <n v="1034194462.79"/>
    <x v="8"/>
  </r>
  <r>
    <s v="PROVIDENT FUNDING"/>
    <x v="117"/>
    <n v="1029514462.89"/>
    <x v="9"/>
  </r>
  <r>
    <s v="WELLS FARGO"/>
    <x v="118"/>
    <n v="16378355650.98"/>
    <x v="0"/>
  </r>
  <r>
    <s v="CHASE"/>
    <x v="118"/>
    <n v="5570903232.0500002"/>
    <x v="1"/>
  </r>
  <r>
    <s v="CITI"/>
    <x v="118"/>
    <n v="3906418369.8600001"/>
    <x v="2"/>
  </r>
  <r>
    <s v="QUICKEN"/>
    <x v="118"/>
    <n v="3451450904.1700001"/>
    <x v="3"/>
  </r>
  <r>
    <s v="BANK OF AMERICA"/>
    <x v="118"/>
    <n v="2168058843.5500002"/>
    <x v="4"/>
  </r>
  <r>
    <s v="SUNTRUST"/>
    <x v="118"/>
    <n v="1871436657.03"/>
    <x v="5"/>
  </r>
  <r>
    <s v="FLAGSTAR"/>
    <x v="118"/>
    <n v="1853026355.25"/>
    <x v="6"/>
  </r>
  <r>
    <s v="GREEN TREE SERVICING, LLC"/>
    <x v="118"/>
    <n v="1108278332"/>
    <x v="7"/>
  </r>
  <r>
    <s v="PHH"/>
    <x v="118"/>
    <n v="975136764.05999994"/>
    <x v="8"/>
  </r>
  <r>
    <s v="PROVIDENT FUNDING"/>
    <x v="118"/>
    <n v="873269722.52999997"/>
    <x v="9"/>
  </r>
  <r>
    <s v="WELLS FARGO"/>
    <x v="119"/>
    <n v="15177156622.67"/>
    <x v="0"/>
  </r>
  <r>
    <s v="CHASE"/>
    <x v="119"/>
    <n v="4532716807.6599998"/>
    <x v="1"/>
  </r>
  <r>
    <s v="QUICKEN"/>
    <x v="119"/>
    <n v="4046227360.8000002"/>
    <x v="2"/>
  </r>
  <r>
    <s v="CITI"/>
    <x v="119"/>
    <n v="2617912861.6999998"/>
    <x v="3"/>
  </r>
  <r>
    <s v="BANK OF AMERICA"/>
    <x v="119"/>
    <n v="2389540542.1700001"/>
    <x v="4"/>
  </r>
  <r>
    <s v="FLAGSTAR"/>
    <x v="119"/>
    <n v="1992445611.8499999"/>
    <x v="5"/>
  </r>
  <r>
    <s v="GREEN TREE SERVICING, LLC"/>
    <x v="119"/>
    <n v="1563390928.6700001"/>
    <x v="6"/>
  </r>
  <r>
    <s v="PROVIDENT FUNDING"/>
    <x v="119"/>
    <n v="1165394823.78"/>
    <x v="7"/>
  </r>
  <r>
    <s v="NATIONSTAR"/>
    <x v="119"/>
    <n v="990997193.94000006"/>
    <x v="8"/>
  </r>
  <r>
    <s v="PHH"/>
    <x v="119"/>
    <n v="565834449.23000002"/>
    <x v="9"/>
  </r>
  <r>
    <s v="WELLS FARGO"/>
    <x v="120"/>
    <n v="16749167656.17"/>
    <x v="0"/>
  </r>
  <r>
    <s v="QUICKEN"/>
    <x v="120"/>
    <n v="4431900841.0100002"/>
    <x v="1"/>
  </r>
  <r>
    <s v="CHASE"/>
    <x v="120"/>
    <n v="3137222205.3800001"/>
    <x v="2"/>
  </r>
  <r>
    <s v="CITI"/>
    <x v="120"/>
    <n v="2930451579.5999999"/>
    <x v="3"/>
  </r>
  <r>
    <s v="FLAGSTAR"/>
    <x v="120"/>
    <n v="2282103654.0900002"/>
    <x v="4"/>
  </r>
  <r>
    <s v="GREEN TREE SERVICING, LLC"/>
    <x v="120"/>
    <n v="2166674852.6700001"/>
    <x v="5"/>
  </r>
  <r>
    <s v="BANK OF AMERICA"/>
    <x v="120"/>
    <n v="1994105036.03"/>
    <x v="6"/>
  </r>
  <r>
    <s v="NATIONSTAR"/>
    <x v="120"/>
    <n v="1563932131.55"/>
    <x v="7"/>
  </r>
  <r>
    <s v="PENNYMAC CORP."/>
    <x v="120"/>
    <n v="1139966393.8199999"/>
    <x v="8"/>
  </r>
  <r>
    <s v="PHH"/>
    <x v="120"/>
    <n v="711987173.45000005"/>
    <x v="9"/>
  </r>
  <r>
    <s v="WELLS FARGO"/>
    <x v="121"/>
    <n v="15517116259.82"/>
    <x v="0"/>
  </r>
  <r>
    <s v="QUICKEN"/>
    <x v="121"/>
    <n v="4099763945.7399998"/>
    <x v="1"/>
  </r>
  <r>
    <s v="NATIONSTAR"/>
    <x v="121"/>
    <n v="2861460099.5799999"/>
    <x v="2"/>
  </r>
  <r>
    <s v="CHASE"/>
    <x v="121"/>
    <n v="2535693044.8800001"/>
    <x v="3"/>
  </r>
  <r>
    <s v="CITI"/>
    <x v="121"/>
    <n v="2233807570.8600001"/>
    <x v="4"/>
  </r>
  <r>
    <s v="GREEN TREE SERVICING, LLC"/>
    <x v="121"/>
    <n v="2152825718.3000002"/>
    <x v="5"/>
  </r>
  <r>
    <s v="FLAGSTAR"/>
    <x v="121"/>
    <n v="1790973007.52"/>
    <x v="6"/>
  </r>
  <r>
    <s v="BANK OF AMERICA"/>
    <x v="121"/>
    <n v="1718538173.28"/>
    <x v="7"/>
  </r>
  <r>
    <s v="FRANKLIN AMERICAN MORTGAGE COMPANY"/>
    <x v="121"/>
    <n v="1295687786.72"/>
    <x v="8"/>
  </r>
  <r>
    <s v="SUNTRUST"/>
    <x v="121"/>
    <n v="912925948.12"/>
    <x v="9"/>
  </r>
  <r>
    <s v="WELLS FARGO"/>
    <x v="122"/>
    <n v="12736272274.200001"/>
    <x v="0"/>
  </r>
  <r>
    <s v="CHASE"/>
    <x v="122"/>
    <n v="3244376454.9099998"/>
    <x v="1"/>
  </r>
  <r>
    <s v="CITI"/>
    <x v="122"/>
    <n v="2756386822.5100002"/>
    <x v="2"/>
  </r>
  <r>
    <s v="QUICKEN"/>
    <x v="122"/>
    <n v="2353070457.5900002"/>
    <x v="3"/>
  </r>
  <r>
    <s v="GREEN TREE SERVICING, LLC"/>
    <x v="122"/>
    <n v="1808657114.72"/>
    <x v="4"/>
  </r>
  <r>
    <s v="NATIONSTAR"/>
    <x v="122"/>
    <n v="1339478926.28"/>
    <x v="5"/>
  </r>
  <r>
    <s v="FLAGSTAR"/>
    <x v="122"/>
    <n v="1178857899.45"/>
    <x v="6"/>
  </r>
  <r>
    <s v="BANK OF AMERICA"/>
    <x v="122"/>
    <n v="1074960568.03"/>
    <x v="7"/>
  </r>
  <r>
    <s v="FRANKLIN AMERICAN MORTGAGE COMPANY"/>
    <x v="122"/>
    <n v="967298891.16999996"/>
    <x v="8"/>
  </r>
  <r>
    <s v="PHH"/>
    <x v="122"/>
    <n v="605181497.16999996"/>
    <x v="9"/>
  </r>
  <r>
    <s v="WELLS FARGO"/>
    <x v="123"/>
    <n v="9023886132.7900009"/>
    <x v="0"/>
  </r>
  <r>
    <s v="CHASE"/>
    <x v="123"/>
    <n v="2224516923.4400001"/>
    <x v="1"/>
  </r>
  <r>
    <s v="QUICKEN"/>
    <x v="123"/>
    <n v="1845973493.28"/>
    <x v="2"/>
  </r>
  <r>
    <s v="NATIONSTAR"/>
    <x v="123"/>
    <n v="1714263954.01"/>
    <x v="3"/>
  </r>
  <r>
    <s v="GREEN TREE SERVICING, LLC"/>
    <x v="123"/>
    <n v="1625261801.0699999"/>
    <x v="4"/>
  </r>
  <r>
    <s v="CITI"/>
    <x v="123"/>
    <n v="1548644985.6900001"/>
    <x v="5"/>
  </r>
  <r>
    <s v="FLAGSTAR"/>
    <x v="123"/>
    <n v="1277248858.6700001"/>
    <x v="6"/>
  </r>
  <r>
    <s v="BANK OF AMERICA"/>
    <x v="123"/>
    <n v="862988410.10000002"/>
    <x v="7"/>
  </r>
  <r>
    <s v="FRANKLIN AMERICAN MORTGAGE COMPANY"/>
    <x v="123"/>
    <n v="766705889.39999998"/>
    <x v="8"/>
  </r>
  <r>
    <s v="PHH"/>
    <x v="123"/>
    <n v="748285780.59000003"/>
    <x v="9"/>
  </r>
  <r>
    <s v="WELLS FARGO"/>
    <x v="124"/>
    <n v="7160448808.71"/>
    <x v="0"/>
  </r>
  <r>
    <s v="CHASE"/>
    <x v="124"/>
    <n v="3275629193.4299998"/>
    <x v="1"/>
  </r>
  <r>
    <s v="QUICKEN"/>
    <x v="124"/>
    <n v="1689487463.0999999"/>
    <x v="2"/>
  </r>
  <r>
    <s v="CITI"/>
    <x v="124"/>
    <n v="1401145120.4400001"/>
    <x v="3"/>
  </r>
  <r>
    <s v="FLAGSTAR"/>
    <x v="124"/>
    <n v="1385947039.5999999"/>
    <x v="4"/>
  </r>
  <r>
    <s v="GREEN TREE SERVICING, LLC"/>
    <x v="124"/>
    <n v="1234168380.74"/>
    <x v="5"/>
  </r>
  <r>
    <s v="NATIONSTAR"/>
    <x v="124"/>
    <n v="883068620.78999996"/>
    <x v="6"/>
  </r>
  <r>
    <s v="BANK OF AMERICA"/>
    <x v="124"/>
    <n v="834319839.09000003"/>
    <x v="7"/>
  </r>
  <r>
    <s v="PHH"/>
    <x v="124"/>
    <n v="553098374.40999997"/>
    <x v="8"/>
  </r>
  <r>
    <s v="ROUNDPOINT MORTGAGE SERVICING CORPORATIO"/>
    <x v="124"/>
    <n v="478405453.45999998"/>
    <x v="9"/>
  </r>
  <r>
    <s v="WELLS FARGO"/>
    <x v="125"/>
    <n v="5970250118.0100002"/>
    <x v="0"/>
  </r>
  <r>
    <s v="CHASE"/>
    <x v="125"/>
    <n v="2207793813.1599998"/>
    <x v="1"/>
  </r>
  <r>
    <s v="GREEN TREE SERVICING, LLC"/>
    <x v="125"/>
    <n v="1555357392.6700001"/>
    <x v="2"/>
  </r>
  <r>
    <s v="QUICKEN"/>
    <x v="125"/>
    <n v="1417769963.4200001"/>
    <x v="3"/>
  </r>
  <r>
    <s v="NATIONSTAR"/>
    <x v="125"/>
    <n v="1067961270.72"/>
    <x v="4"/>
  </r>
  <r>
    <s v="CITI"/>
    <x v="125"/>
    <n v="1061697850.64"/>
    <x v="5"/>
  </r>
  <r>
    <s v="FLAGSTAR"/>
    <x v="125"/>
    <n v="966432689.55999994"/>
    <x v="6"/>
  </r>
  <r>
    <s v="BANK OF AMERICA"/>
    <x v="125"/>
    <n v="646947732.10000002"/>
    <x v="7"/>
  </r>
  <r>
    <s v="PHH"/>
    <x v="125"/>
    <n v="423629042.22000003"/>
    <x v="8"/>
  </r>
  <r>
    <s v="FREEDOM"/>
    <x v="125"/>
    <n v="395465549.91000003"/>
    <x v="9"/>
  </r>
  <r>
    <s v="WELLS FARGO"/>
    <x v="126"/>
    <n v="2787339203.8600001"/>
    <x v="0"/>
  </r>
  <r>
    <s v="QUICKEN"/>
    <x v="126"/>
    <n v="1754359485.8099999"/>
    <x v="1"/>
  </r>
  <r>
    <s v="CHASE"/>
    <x v="126"/>
    <n v="1687480050.0599999"/>
    <x v="2"/>
  </r>
  <r>
    <s v="GREEN TREE SERVICING, LLC"/>
    <x v="126"/>
    <n v="1337275043.49"/>
    <x v="3"/>
  </r>
  <r>
    <s v="NATIONSTAR"/>
    <x v="126"/>
    <n v="1054634095.39"/>
    <x v="4"/>
  </r>
  <r>
    <s v="CITI"/>
    <x v="126"/>
    <n v="772623567.57000005"/>
    <x v="5"/>
  </r>
  <r>
    <s v="FLAGSTAR"/>
    <x v="126"/>
    <n v="608831623.90999997"/>
    <x v="6"/>
  </r>
  <r>
    <s v="BANK OF AMERICA"/>
    <x v="126"/>
    <n v="437423782.51999998"/>
    <x v="7"/>
  </r>
  <r>
    <s v="FREEDOM"/>
    <x v="126"/>
    <n v="382102212.56"/>
    <x v="8"/>
  </r>
  <r>
    <s v="PHH"/>
    <x v="126"/>
    <n v="380420991.08999997"/>
    <x v="9"/>
  </r>
  <r>
    <s v="WELLS FARGO"/>
    <x v="127"/>
    <n v="3860179857.6700001"/>
    <x v="0"/>
  </r>
  <r>
    <s v="CHASE"/>
    <x v="127"/>
    <n v="2055501949.8099999"/>
    <x v="1"/>
  </r>
  <r>
    <s v="QUICKEN"/>
    <x v="127"/>
    <n v="1916682883.5699999"/>
    <x v="2"/>
  </r>
  <r>
    <s v="GREEN TREE SERVICING, LLC"/>
    <x v="127"/>
    <n v="1267206821.6800001"/>
    <x v="3"/>
  </r>
  <r>
    <s v="NATIONSTAR"/>
    <x v="127"/>
    <n v="1267185698.4400001"/>
    <x v="4"/>
  </r>
  <r>
    <s v="CITI"/>
    <x v="127"/>
    <n v="649550606.24000001"/>
    <x v="5"/>
  </r>
  <r>
    <s v="FLAGSTAR"/>
    <x v="127"/>
    <n v="625973165.45000005"/>
    <x v="6"/>
  </r>
  <r>
    <s v="BANK OF AMERICA"/>
    <x v="127"/>
    <n v="470195699.30000001"/>
    <x v="7"/>
  </r>
  <r>
    <s v="FREEDOM"/>
    <x v="127"/>
    <n v="408580255.77999997"/>
    <x v="8"/>
  </r>
  <r>
    <s v="PHH"/>
    <x v="127"/>
    <n v="286171469.83999997"/>
    <x v="9"/>
  </r>
  <r>
    <s v="WELLS FARGO"/>
    <x v="128"/>
    <n v="2723269728.27"/>
    <x v="0"/>
  </r>
  <r>
    <s v="QUICKEN"/>
    <x v="128"/>
    <n v="1569133883.05"/>
    <x v="1"/>
  </r>
  <r>
    <s v="CHASE"/>
    <x v="128"/>
    <n v="1372169527.04"/>
    <x v="2"/>
  </r>
  <r>
    <s v="NATIONSTAR"/>
    <x v="128"/>
    <n v="909424536.85000002"/>
    <x v="3"/>
  </r>
  <r>
    <s v="GREEN TREE SERVICING, LLC"/>
    <x v="128"/>
    <n v="906645531.15999997"/>
    <x v="4"/>
  </r>
  <r>
    <s v="FLAGSTAR"/>
    <x v="128"/>
    <n v="534078279.32999998"/>
    <x v="5"/>
  </r>
  <r>
    <s v="CITI"/>
    <x v="128"/>
    <n v="518057060.72000003"/>
    <x v="6"/>
  </r>
  <r>
    <s v="FREEDOM"/>
    <x v="128"/>
    <n v="317565010.06999999"/>
    <x v="7"/>
  </r>
  <r>
    <s v="PENNYMAC CORP."/>
    <x v="128"/>
    <n v="312613978.33999997"/>
    <x v="8"/>
  </r>
  <r>
    <s v="BANK OF AMERICA"/>
    <x v="128"/>
    <n v="282873582"/>
    <x v="9"/>
  </r>
  <r>
    <s v="WELLS FARGO"/>
    <x v="129"/>
    <n v="3201052079.1599998"/>
    <x v="0"/>
  </r>
  <r>
    <s v="CHASE"/>
    <x v="129"/>
    <n v="2401374616.25"/>
    <x v="1"/>
  </r>
  <r>
    <s v="QUICKEN"/>
    <x v="129"/>
    <n v="1572084510.04"/>
    <x v="2"/>
  </r>
  <r>
    <s v="GREEN TREE SERVICING, LLC"/>
    <x v="129"/>
    <n v="866292694.84000003"/>
    <x v="3"/>
  </r>
  <r>
    <s v="FLAGSTAR"/>
    <x v="129"/>
    <n v="834730668.64999998"/>
    <x v="4"/>
  </r>
  <r>
    <s v="NATIONSTAR"/>
    <x v="129"/>
    <n v="828909798.36000001"/>
    <x v="5"/>
  </r>
  <r>
    <s v="CITI"/>
    <x v="129"/>
    <n v="626546587.73000002"/>
    <x v="6"/>
  </r>
  <r>
    <s v="FREEDOM"/>
    <x v="129"/>
    <n v="468001431.88999999"/>
    <x v="7"/>
  </r>
  <r>
    <s v="ROUNDPOINT MORTGAGE SERVICING CORPORATIO"/>
    <x v="129"/>
    <n v="443325185.75999999"/>
    <x v="8"/>
  </r>
  <r>
    <s v="BANK OF AMERICA"/>
    <x v="129"/>
    <n v="415703618.36000001"/>
    <x v="9"/>
  </r>
  <r>
    <s v="WELLS FARGO"/>
    <x v="130"/>
    <n v="3493812279.3000002"/>
    <x v="0"/>
  </r>
  <r>
    <s v="QUICKEN"/>
    <x v="130"/>
    <n v="1523092086.4300001"/>
    <x v="1"/>
  </r>
  <r>
    <s v="GREEN TREE SERVICING, LLC"/>
    <x v="130"/>
    <n v="897813612.57000005"/>
    <x v="2"/>
  </r>
  <r>
    <s v="FLAGSTAR"/>
    <x v="130"/>
    <n v="682300544.83000004"/>
    <x v="3"/>
  </r>
  <r>
    <s v="CITI"/>
    <x v="130"/>
    <n v="679855405.29999995"/>
    <x v="4"/>
  </r>
  <r>
    <s v="CHASE"/>
    <x v="130"/>
    <n v="675024826.10000002"/>
    <x v="5"/>
  </r>
  <r>
    <s v="NATIONSTAR"/>
    <x v="130"/>
    <n v="568052778.69000006"/>
    <x v="6"/>
  </r>
  <r>
    <s v="ROUNDPOINT MORTGAGE SERVICING CORPORATIO"/>
    <x v="130"/>
    <n v="536538819.19999999"/>
    <x v="7"/>
  </r>
  <r>
    <s v="FREEDOM"/>
    <x v="130"/>
    <n v="523383504.5"/>
    <x v="8"/>
  </r>
  <r>
    <s v="FRANKLIN AMERICAN MORTGAGE COMPANY"/>
    <x v="130"/>
    <n v="521174007.47000003"/>
    <x v="9"/>
  </r>
  <r>
    <s v="WELLS FARGO"/>
    <x v="131"/>
    <n v="3922236463.21"/>
    <x v="0"/>
  </r>
  <r>
    <s v="QUICKEN"/>
    <x v="131"/>
    <n v="1815521830.9200001"/>
    <x v="1"/>
  </r>
  <r>
    <s v="CHASE"/>
    <x v="131"/>
    <n v="1578614288.8800001"/>
    <x v="2"/>
  </r>
  <r>
    <s v="GREEN TREE SERVICING, LLC"/>
    <x v="131"/>
    <n v="1286875630.3800001"/>
    <x v="3"/>
  </r>
  <r>
    <s v="FLAGSTAR"/>
    <x v="131"/>
    <n v="865608919"/>
    <x v="4"/>
  </r>
  <r>
    <s v="NATIONSTAR"/>
    <x v="131"/>
    <n v="732897324.17999995"/>
    <x v="5"/>
  </r>
  <r>
    <s v="CITI"/>
    <x v="131"/>
    <n v="613072165.80999994"/>
    <x v="6"/>
  </r>
  <r>
    <s v="FREEDOM"/>
    <x v="131"/>
    <n v="594661694.71000004"/>
    <x v="7"/>
  </r>
  <r>
    <s v="ROUNDPOINT MORTGAGE SERVICING CORPORATIO"/>
    <x v="131"/>
    <n v="471094129.24000001"/>
    <x v="8"/>
  </r>
  <r>
    <s v="PENNYMAC CORP."/>
    <x v="131"/>
    <n v="379516474.86000001"/>
    <x v="9"/>
  </r>
  <r>
    <s v="WELLS FARGO"/>
    <x v="132"/>
    <n v="4211266060.8699999"/>
    <x v="0"/>
  </r>
  <r>
    <s v="QUICKEN"/>
    <x v="132"/>
    <n v="2299190742.25"/>
    <x v="1"/>
  </r>
  <r>
    <s v="GREEN TREE SERVICING, LLC"/>
    <x v="132"/>
    <n v="1444694113.3900001"/>
    <x v="2"/>
  </r>
  <r>
    <s v="CHASE"/>
    <x v="132"/>
    <n v="1256009451.99"/>
    <x v="3"/>
  </r>
  <r>
    <s v="FREEDOM"/>
    <x v="132"/>
    <n v="819739915.15999997"/>
    <x v="4"/>
  </r>
  <r>
    <s v="SUNTRUST"/>
    <x v="132"/>
    <n v="765661024.61000001"/>
    <x v="5"/>
  </r>
  <r>
    <s v="NATIONSTAR"/>
    <x v="132"/>
    <n v="764448274.14999998"/>
    <x v="6"/>
  </r>
  <r>
    <s v="FLAGSTAR"/>
    <x v="132"/>
    <n v="729902335.99000001"/>
    <x v="7"/>
  </r>
  <r>
    <s v="CITI"/>
    <x v="132"/>
    <n v="576252299.98000002"/>
    <x v="8"/>
  </r>
  <r>
    <s v="PENNYMAC CORP."/>
    <x v="132"/>
    <n v="525952501.19"/>
    <x v="9"/>
  </r>
  <r>
    <s v="WELLS FARGO"/>
    <x v="133"/>
    <n v="4257244054.8600001"/>
    <x v="0"/>
  </r>
  <r>
    <s v="QUICKEN"/>
    <x v="133"/>
    <n v="2188451666.4499998"/>
    <x v="1"/>
  </r>
  <r>
    <s v="GREEN TREE SERVICING, LLC"/>
    <x v="133"/>
    <n v="1535693081.29"/>
    <x v="2"/>
  </r>
  <r>
    <s v="CHASE"/>
    <x v="133"/>
    <n v="1162108590.4200001"/>
    <x v="3"/>
  </r>
  <r>
    <s v="NATIONSTAR"/>
    <x v="133"/>
    <n v="877451695.02999997"/>
    <x v="4"/>
  </r>
  <r>
    <s v="FLAGSTAR"/>
    <x v="133"/>
    <n v="785999239.74000001"/>
    <x v="5"/>
  </r>
  <r>
    <s v="SUNTRUST"/>
    <x v="133"/>
    <n v="742569431.09000003"/>
    <x v="6"/>
  </r>
  <r>
    <s v="CITI"/>
    <x v="133"/>
    <n v="590371770.82000005"/>
    <x v="7"/>
  </r>
  <r>
    <s v="PENNYMAC CORP."/>
    <x v="133"/>
    <n v="460490700.62"/>
    <x v="8"/>
  </r>
  <r>
    <s v="ROUNDPOINT MORTGAGE SERVICING CORPORATIO"/>
    <x v="133"/>
    <n v="437971221.79000002"/>
    <x v="9"/>
  </r>
  <r>
    <s v="WELLS FARGO"/>
    <x v="134"/>
    <n v="3899112245.7399998"/>
    <x v="0"/>
  </r>
  <r>
    <s v="BANK OF AMERICA"/>
    <x v="134"/>
    <n v="3552132855.6300001"/>
    <x v="1"/>
  </r>
  <r>
    <s v="SUNTRUST"/>
    <x v="134"/>
    <n v="2783280665.23"/>
    <x v="2"/>
  </r>
  <r>
    <s v="QUICKEN"/>
    <x v="134"/>
    <n v="2389791457.5599999"/>
    <x v="3"/>
  </r>
  <r>
    <s v="CHASE"/>
    <x v="134"/>
    <n v="2086427445.23"/>
    <x v="4"/>
  </r>
  <r>
    <s v="GREEN TREE SERVICING, LLC"/>
    <x v="134"/>
    <n v="1535983379.74"/>
    <x v="5"/>
  </r>
  <r>
    <s v="NATIONSTAR"/>
    <x v="134"/>
    <n v="1085804754.1199999"/>
    <x v="6"/>
  </r>
  <r>
    <s v="FLAGSTAR"/>
    <x v="134"/>
    <n v="870888081.38999999"/>
    <x v="7"/>
  </r>
  <r>
    <s v="FREEDOM"/>
    <x v="134"/>
    <n v="611874691.96000004"/>
    <x v="8"/>
  </r>
  <r>
    <s v="CITI"/>
    <x v="134"/>
    <n v="550167101.55999994"/>
    <x v="9"/>
  </r>
  <r>
    <s v="WELLS FARGO"/>
    <x v="135"/>
    <n v="3926294145.04"/>
    <x v="0"/>
  </r>
  <r>
    <s v="CHASE"/>
    <x v="135"/>
    <n v="2838560140.8800001"/>
    <x v="1"/>
  </r>
  <r>
    <s v="QUICKEN"/>
    <x v="135"/>
    <n v="2036061242.9100001"/>
    <x v="2"/>
  </r>
  <r>
    <s v="GREEN TREE SERVICING, LLC"/>
    <x v="135"/>
    <n v="1531899596.8499999"/>
    <x v="3"/>
  </r>
  <r>
    <s v="SUNTRUST"/>
    <x v="135"/>
    <n v="912965328.49000001"/>
    <x v="4"/>
  </r>
  <r>
    <s v="FLAGSTAR"/>
    <x v="135"/>
    <n v="878388058.72000003"/>
    <x v="5"/>
  </r>
  <r>
    <s v="NATIONSTAR"/>
    <x v="135"/>
    <n v="834463365.48000002"/>
    <x v="6"/>
  </r>
  <r>
    <s v="FREEDOM"/>
    <x v="135"/>
    <n v="662813498.03999996"/>
    <x v="7"/>
  </r>
  <r>
    <s v="CITI"/>
    <x v="135"/>
    <n v="595276050.34000003"/>
    <x v="8"/>
  </r>
  <r>
    <s v="PENNYMAC CORP."/>
    <x v="135"/>
    <n v="500204248.58999997"/>
    <x v="9"/>
  </r>
  <r>
    <s v="BANK OF AMERICA"/>
    <x v="136"/>
    <n v="4060384889.1599998"/>
    <x v="0"/>
  </r>
  <r>
    <s v="WELLS FARGO"/>
    <x v="136"/>
    <n v="3731231905.7600002"/>
    <x v="1"/>
  </r>
  <r>
    <s v="CHASE"/>
    <x v="136"/>
    <n v="3000151952.8899999"/>
    <x v="2"/>
  </r>
  <r>
    <s v="QUICKEN"/>
    <x v="136"/>
    <n v="2764147676.1700001"/>
    <x v="3"/>
  </r>
  <r>
    <s v="GREEN TREE SERVICING, LLC"/>
    <x v="136"/>
    <n v="1389426710.6099999"/>
    <x v="4"/>
  </r>
  <r>
    <s v="NATIONSTAR"/>
    <x v="136"/>
    <n v="805943904.73000002"/>
    <x v="5"/>
  </r>
  <r>
    <s v="SUNTRUST"/>
    <x v="136"/>
    <n v="770850866.33000004"/>
    <x v="6"/>
  </r>
  <r>
    <s v="FLAGSTAR"/>
    <x v="136"/>
    <n v="717407310.95000005"/>
    <x v="7"/>
  </r>
  <r>
    <s v="ROUNDPOINT MORTGAGE SERVICING CORPORATIO"/>
    <x v="136"/>
    <n v="710666768.27999997"/>
    <x v="8"/>
  </r>
  <r>
    <s v="CITI"/>
    <x v="136"/>
    <n v="575224844.82000005"/>
    <x v="9"/>
  </r>
  <r>
    <s v="WELLS FARGO"/>
    <x v="137"/>
    <n v="3507360281.3800001"/>
    <x v="0"/>
  </r>
  <r>
    <s v="CITI"/>
    <x v="137"/>
    <n v="2887876961.9000001"/>
    <x v="1"/>
  </r>
  <r>
    <s v="QUICKEN"/>
    <x v="137"/>
    <n v="2059485374.03"/>
    <x v="2"/>
  </r>
  <r>
    <s v="FLAGSTAR"/>
    <x v="137"/>
    <n v="1104439089.96"/>
    <x v="3"/>
  </r>
  <r>
    <s v="GREEN TREE SERVICING, LLC"/>
    <x v="137"/>
    <n v="1073416945.2"/>
    <x v="4"/>
  </r>
  <r>
    <s v="CHASE"/>
    <x v="137"/>
    <n v="943487241.74000001"/>
    <x v="5"/>
  </r>
  <r>
    <s v="NATIONSTAR"/>
    <x v="137"/>
    <n v="758991275.28999996"/>
    <x v="6"/>
  </r>
  <r>
    <s v="ROUNDPOINT MORTGAGE SERVICING CORPORATIO"/>
    <x v="137"/>
    <n v="657873548.25"/>
    <x v="7"/>
  </r>
  <r>
    <s v="SUNTRUST"/>
    <x v="137"/>
    <n v="645169719.35000002"/>
    <x v="8"/>
  </r>
  <r>
    <s v="FREEDOM"/>
    <x v="137"/>
    <n v="597778539.26999998"/>
    <x v="9"/>
  </r>
  <r>
    <s v="WELLS FARGO"/>
    <x v="138"/>
    <n v="5302574418.9099998"/>
    <x v="0"/>
  </r>
  <r>
    <s v="QUICKEN"/>
    <x v="138"/>
    <n v="3177985156.9499998"/>
    <x v="1"/>
  </r>
  <r>
    <s v="CHASE"/>
    <x v="138"/>
    <n v="1841848287.3900001"/>
    <x v="2"/>
  </r>
  <r>
    <s v="GREEN TREE SERVICING, LLC"/>
    <x v="138"/>
    <n v="1234949707.1900001"/>
    <x v="3"/>
  </r>
  <r>
    <s v="ROUNDPOINT MORTGAGE SERVICING CORPORATIO"/>
    <x v="138"/>
    <n v="967269135.14999998"/>
    <x v="4"/>
  </r>
  <r>
    <s v="FLAGSTAR"/>
    <x v="138"/>
    <n v="926692781.25"/>
    <x v="5"/>
  </r>
  <r>
    <s v="SUNTRUST"/>
    <x v="138"/>
    <n v="814842832.97000003"/>
    <x v="6"/>
  </r>
  <r>
    <s v="CITI"/>
    <x v="138"/>
    <n v="558788700.02999997"/>
    <x v="7"/>
  </r>
  <r>
    <s v="NATIONSTAR"/>
    <x v="138"/>
    <n v="556166429.88999999"/>
    <x v="8"/>
  </r>
  <r>
    <s v="FREEDOM"/>
    <x v="138"/>
    <n v="515177267.69999999"/>
    <x v="9"/>
  </r>
  <r>
    <s v="WELLS FARGO"/>
    <x v="139"/>
    <n v="4795370179.5500002"/>
    <x v="0"/>
  </r>
  <r>
    <s v="QUICKEN"/>
    <x v="139"/>
    <n v="2385777676.1799998"/>
    <x v="1"/>
  </r>
  <r>
    <s v="CHASE"/>
    <x v="139"/>
    <n v="1744880169.5999999"/>
    <x v="2"/>
  </r>
  <r>
    <s v="GREEN TREE SERVICING, LLC"/>
    <x v="139"/>
    <n v="1093287336.01"/>
    <x v="3"/>
  </r>
  <r>
    <s v="FLAGSTAR"/>
    <x v="139"/>
    <n v="970138744.33000004"/>
    <x v="4"/>
  </r>
  <r>
    <s v="SUNTRUST"/>
    <x v="139"/>
    <n v="839249502.65999997"/>
    <x v="5"/>
  </r>
  <r>
    <s v="NATIONSTAR"/>
    <x v="139"/>
    <n v="800403329.84000003"/>
    <x v="6"/>
  </r>
  <r>
    <s v="ROUNDPOINT MORTGAGE SERVICING CORPORATIO"/>
    <x v="139"/>
    <n v="646809552.53999996"/>
    <x v="7"/>
  </r>
  <r>
    <s v="FREEDOM"/>
    <x v="139"/>
    <n v="621440129.88"/>
    <x v="8"/>
  </r>
  <r>
    <s v="CITI"/>
    <x v="139"/>
    <n v="480448874.94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20">
  <r>
    <x v="0"/>
    <n v="1816782123.1800001"/>
    <s v="WELLS FARGO"/>
    <x v="0"/>
  </r>
  <r>
    <x v="0"/>
    <n v="1336543623.8900001"/>
    <s v="BANK OF AMERICA"/>
    <x v="1"/>
  </r>
  <r>
    <x v="0"/>
    <n v="607687193.74000001"/>
    <s v="CWB"/>
    <x v="2"/>
  </r>
  <r>
    <x v="0"/>
    <n v="496043083.19"/>
    <s v="CHASE"/>
    <x v="3"/>
  </r>
  <r>
    <x v="0"/>
    <n v="418215822"/>
    <s v="MIDFIRST"/>
    <x v="4"/>
  </r>
  <r>
    <x v="0"/>
    <n v="366854872.81"/>
    <s v="CITI"/>
    <x v="5"/>
  </r>
  <r>
    <x v="0"/>
    <n v="252333072.41999999"/>
    <s v="PNC"/>
    <x v="6"/>
  </r>
  <r>
    <x v="0"/>
    <n v="245840427.65000001"/>
    <s v="US BANK"/>
    <x v="7"/>
  </r>
  <r>
    <x v="0"/>
    <n v="221974897.47999999"/>
    <s v="TAYLOR BEAN WHITAKER"/>
    <x v="8"/>
  </r>
  <r>
    <x v="0"/>
    <n v="155562840.72999999"/>
    <s v="SUNTRUST"/>
    <x v="9"/>
  </r>
  <r>
    <x v="1"/>
    <n v="1621110935.21"/>
    <s v="WELLS FARGO"/>
    <x v="0"/>
  </r>
  <r>
    <x v="1"/>
    <n v="869974601.39999998"/>
    <s v="BANK OF AMERICA"/>
    <x v="1"/>
  </r>
  <r>
    <x v="1"/>
    <n v="570923079.46000004"/>
    <s v="CHASE"/>
    <x v="2"/>
  </r>
  <r>
    <x v="1"/>
    <n v="377190566.31999999"/>
    <s v="CWB"/>
    <x v="3"/>
  </r>
  <r>
    <x v="1"/>
    <n v="268409363"/>
    <s v="MIDFIRST"/>
    <x v="4"/>
  </r>
  <r>
    <x v="1"/>
    <n v="265814723.13999999"/>
    <s v="TAYLOR BEAN WHITAKER"/>
    <x v="5"/>
  </r>
  <r>
    <x v="1"/>
    <n v="262487581.16"/>
    <s v="US BANK"/>
    <x v="6"/>
  </r>
  <r>
    <x v="1"/>
    <n v="240883899.58000001"/>
    <s v="PNC"/>
    <x v="7"/>
  </r>
  <r>
    <x v="1"/>
    <n v="226406026.94999999"/>
    <s v="CITI"/>
    <x v="8"/>
  </r>
  <r>
    <x v="1"/>
    <n v="116368553.09"/>
    <s v="ALLY"/>
    <x v="9"/>
  </r>
  <r>
    <x v="2"/>
    <n v="1136163344.1300001"/>
    <s v="WELLS FARGO"/>
    <x v="0"/>
  </r>
  <r>
    <x v="2"/>
    <n v="1086310630.5599999"/>
    <s v="BANK OF AMERICA"/>
    <x v="1"/>
  </r>
  <r>
    <x v="2"/>
    <n v="616257064"/>
    <s v="MIDFIRST"/>
    <x v="2"/>
  </r>
  <r>
    <x v="2"/>
    <n v="527836553.68000001"/>
    <s v="CHASE"/>
    <x v="3"/>
  </r>
  <r>
    <x v="2"/>
    <n v="518587543.66000003"/>
    <s v="CITI"/>
    <x v="4"/>
  </r>
  <r>
    <x v="2"/>
    <n v="475430933.06"/>
    <s v="CWB"/>
    <x v="5"/>
  </r>
  <r>
    <x v="2"/>
    <n v="328710504.68000001"/>
    <s v="TAYLOR BEAN WHITAKER"/>
    <x v="6"/>
  </r>
  <r>
    <x v="2"/>
    <n v="220919756.88999999"/>
    <s v="PNC"/>
    <x v="7"/>
  </r>
  <r>
    <x v="2"/>
    <n v="219108241.11000001"/>
    <s v="US BANK"/>
    <x v="8"/>
  </r>
  <r>
    <x v="2"/>
    <n v="107482362.75"/>
    <s v="FLAGSTAR"/>
    <x v="9"/>
  </r>
  <r>
    <x v="3"/>
    <n v="1386094463.95"/>
    <s v="BANK OF AMERICA"/>
    <x v="0"/>
  </r>
  <r>
    <x v="3"/>
    <n v="1054161043.52"/>
    <s v="WELLS FARGO"/>
    <x v="1"/>
  </r>
  <r>
    <x v="3"/>
    <n v="697228581.84000003"/>
    <s v="CWB"/>
    <x v="2"/>
  </r>
  <r>
    <x v="3"/>
    <n v="610609457.89999998"/>
    <s v="CHASE"/>
    <x v="3"/>
  </r>
  <r>
    <x v="3"/>
    <n v="560043687.34000003"/>
    <s v="CITI"/>
    <x v="4"/>
  </r>
  <r>
    <x v="3"/>
    <n v="549494004"/>
    <s v="MIDFIRST"/>
    <x v="5"/>
  </r>
  <r>
    <x v="3"/>
    <n v="300885844.23000002"/>
    <s v="TAYLOR BEAN WHITAKER"/>
    <x v="6"/>
  </r>
  <r>
    <x v="3"/>
    <n v="240388245.47"/>
    <s v="PNC"/>
    <x v="7"/>
  </r>
  <r>
    <x v="3"/>
    <n v="235387471.34999999"/>
    <s v="US BANK"/>
    <x v="8"/>
  </r>
  <r>
    <x v="3"/>
    <n v="118395519.92"/>
    <s v="ALLY"/>
    <x v="9"/>
  </r>
  <r>
    <x v="4"/>
    <n v="1527666445.4200001"/>
    <s v="BANK OF AMERICA"/>
    <x v="0"/>
  </r>
  <r>
    <x v="4"/>
    <n v="1325103193.3800001"/>
    <s v="WELLS FARGO"/>
    <x v="1"/>
  </r>
  <r>
    <x v="4"/>
    <n v="940698389.69000006"/>
    <s v="CHASE"/>
    <x v="2"/>
  </r>
  <r>
    <x v="4"/>
    <n v="787882452.95000005"/>
    <s v="CWB"/>
    <x v="3"/>
  </r>
  <r>
    <x v="4"/>
    <n v="622244589.19000006"/>
    <s v="CITI"/>
    <x v="4"/>
  </r>
  <r>
    <x v="4"/>
    <n v="483605043.64999998"/>
    <s v="TAYLOR BEAN WHITAKER"/>
    <x v="5"/>
  </r>
  <r>
    <x v="4"/>
    <n v="323658105"/>
    <s v="MIDFIRST"/>
    <x v="6"/>
  </r>
  <r>
    <x v="4"/>
    <n v="261976006.90000001"/>
    <s v="US BANK"/>
    <x v="7"/>
  </r>
  <r>
    <x v="4"/>
    <n v="189718991.81999999"/>
    <s v="PNC"/>
    <x v="8"/>
  </r>
  <r>
    <x v="4"/>
    <n v="164541559.06999999"/>
    <s v="ALLY"/>
    <x v="9"/>
  </r>
  <r>
    <x v="5"/>
    <n v="1823409047.55"/>
    <s v="BANK OF AMERICA"/>
    <x v="0"/>
  </r>
  <r>
    <x v="5"/>
    <n v="1348539445.8800001"/>
    <s v="WELLS FARGO"/>
    <x v="1"/>
  </r>
  <r>
    <x v="5"/>
    <n v="1199564655"/>
    <s v="CWB"/>
    <x v="2"/>
  </r>
  <r>
    <x v="5"/>
    <n v="899505175.19000006"/>
    <s v="CHASE"/>
    <x v="3"/>
  </r>
  <r>
    <x v="5"/>
    <n v="631116059.47000003"/>
    <s v="CITI"/>
    <x v="4"/>
  </r>
  <r>
    <x v="5"/>
    <n v="585337435.99000001"/>
    <s v="TAYLOR BEAN WHITAKER"/>
    <x v="5"/>
  </r>
  <r>
    <x v="5"/>
    <n v="317233120.64999998"/>
    <s v="PNC"/>
    <x v="6"/>
  </r>
  <r>
    <x v="5"/>
    <n v="311961958"/>
    <s v="MIDFIRST"/>
    <x v="7"/>
  </r>
  <r>
    <x v="5"/>
    <n v="296721791.93000001"/>
    <s v="US BANK"/>
    <x v="8"/>
  </r>
  <r>
    <x v="5"/>
    <n v="211183790.52000001"/>
    <s v="ALLY"/>
    <x v="9"/>
  </r>
  <r>
    <x v="6"/>
    <n v="2191372591.8000002"/>
    <s v="BANK OF AMERICA"/>
    <x v="0"/>
  </r>
  <r>
    <x v="6"/>
    <n v="1506940443.8699999"/>
    <s v="CWB"/>
    <x v="1"/>
  </r>
  <r>
    <x v="6"/>
    <n v="1282290225.9100001"/>
    <s v="WELLS FARGO"/>
    <x v="2"/>
  </r>
  <r>
    <x v="6"/>
    <n v="894683434.65999997"/>
    <s v="CHASE"/>
    <x v="3"/>
  </r>
  <r>
    <x v="6"/>
    <n v="561034731.88999999"/>
    <s v="CITI"/>
    <x v="4"/>
  </r>
  <r>
    <x v="6"/>
    <n v="556119596"/>
    <s v="MIDFIRST"/>
    <x v="5"/>
  </r>
  <r>
    <x v="6"/>
    <n v="474830478.36000001"/>
    <s v="TAYLOR BEAN WHITAKER"/>
    <x v="6"/>
  </r>
  <r>
    <x v="6"/>
    <n v="291874608.01999998"/>
    <s v="US BANK"/>
    <x v="7"/>
  </r>
  <r>
    <x v="6"/>
    <n v="280538657.69999999"/>
    <s v="PNC"/>
    <x v="8"/>
  </r>
  <r>
    <x v="6"/>
    <n v="218796800.81999999"/>
    <s v="PHH"/>
    <x v="9"/>
  </r>
  <r>
    <x v="7"/>
    <n v="2199361792.6500001"/>
    <s v="BANK OF AMERICA"/>
    <x v="0"/>
  </r>
  <r>
    <x v="7"/>
    <n v="1547835971.8900001"/>
    <s v="WELLS FARGO"/>
    <x v="1"/>
  </r>
  <r>
    <x v="7"/>
    <n v="1419998549.7"/>
    <s v="CWB"/>
    <x v="2"/>
  </r>
  <r>
    <x v="7"/>
    <n v="1086376333.4400001"/>
    <s v="CHASE"/>
    <x v="3"/>
  </r>
  <r>
    <x v="7"/>
    <n v="787215225.08000004"/>
    <s v="TAYLOR BEAN WHITAKER"/>
    <x v="4"/>
  </r>
  <r>
    <x v="7"/>
    <n v="672076746.57000005"/>
    <s v="CITI"/>
    <x v="5"/>
  </r>
  <r>
    <x v="7"/>
    <n v="445623149"/>
    <s v="MIDFIRST"/>
    <x v="6"/>
  </r>
  <r>
    <x v="7"/>
    <n v="421912504.26999998"/>
    <s v="US BANK"/>
    <x v="7"/>
  </r>
  <r>
    <x v="7"/>
    <n v="364355555.85000002"/>
    <s v="PNC"/>
    <x v="8"/>
  </r>
  <r>
    <x v="7"/>
    <n v="304495053.63"/>
    <s v="ALLY"/>
    <x v="9"/>
  </r>
  <r>
    <x v="8"/>
    <n v="2100244827.6099999"/>
    <s v="BANK OF AMERICA"/>
    <x v="0"/>
  </r>
  <r>
    <x v="8"/>
    <n v="1378080317.3099999"/>
    <s v="CWB"/>
    <x v="1"/>
  </r>
  <r>
    <x v="8"/>
    <n v="1243355958.8499999"/>
    <s v="CHASE"/>
    <x v="2"/>
  </r>
  <r>
    <x v="8"/>
    <n v="1175104294.3900001"/>
    <s v="WELLS FARGO"/>
    <x v="3"/>
  </r>
  <r>
    <x v="8"/>
    <n v="632266709.83000004"/>
    <s v="CITI"/>
    <x v="4"/>
  </r>
  <r>
    <x v="8"/>
    <n v="533379577.56"/>
    <s v="TAYLOR BEAN WHITAKER"/>
    <x v="5"/>
  </r>
  <r>
    <x v="8"/>
    <n v="399818823.14999998"/>
    <s v="US BANK"/>
    <x v="6"/>
  </r>
  <r>
    <x v="8"/>
    <n v="270795396"/>
    <s v="MIDFIRST"/>
    <x v="7"/>
  </r>
  <r>
    <x v="8"/>
    <n v="238964204.69"/>
    <s v="PNC"/>
    <x v="8"/>
  </r>
  <r>
    <x v="8"/>
    <n v="198380735.88999999"/>
    <s v="ALLY"/>
    <x v="9"/>
  </r>
  <r>
    <x v="9"/>
    <n v="1942871547.53"/>
    <s v="WELLS FARGO"/>
    <x v="0"/>
  </r>
  <r>
    <x v="9"/>
    <n v="1934718748.54"/>
    <s v="BANK OF AMERICA"/>
    <x v="1"/>
  </r>
  <r>
    <x v="9"/>
    <n v="1370898651.8699999"/>
    <s v="CHASE"/>
    <x v="2"/>
  </r>
  <r>
    <x v="9"/>
    <n v="1331945377.22"/>
    <s v="CWB"/>
    <x v="3"/>
  </r>
  <r>
    <x v="9"/>
    <n v="582373777.12"/>
    <s v="TAYLOR BEAN WHITAKER"/>
    <x v="4"/>
  </r>
  <r>
    <x v="9"/>
    <n v="568043753.41999996"/>
    <s v="CITI"/>
    <x v="5"/>
  </r>
  <r>
    <x v="9"/>
    <n v="462361139.27999997"/>
    <s v="PNC"/>
    <x v="6"/>
  </r>
  <r>
    <x v="9"/>
    <n v="420992160"/>
    <s v="MIDFIRST"/>
    <x v="7"/>
  </r>
  <r>
    <x v="9"/>
    <n v="409658048.44"/>
    <s v="US BANK"/>
    <x v="8"/>
  </r>
  <r>
    <x v="9"/>
    <n v="303004880.38"/>
    <s v="ALLY"/>
    <x v="9"/>
  </r>
  <r>
    <x v="10"/>
    <n v="2053183704.1099999"/>
    <s v="WELLS FARGO"/>
    <x v="0"/>
  </r>
  <r>
    <x v="10"/>
    <n v="1939608135.73"/>
    <s v="BANK OF AMERICA"/>
    <x v="1"/>
  </r>
  <r>
    <x v="10"/>
    <n v="1556421780.53"/>
    <s v="CHASE"/>
    <x v="2"/>
  </r>
  <r>
    <x v="10"/>
    <n v="1016642708.3"/>
    <s v="CWB"/>
    <x v="3"/>
  </r>
  <r>
    <x v="10"/>
    <n v="612883902"/>
    <s v="MIDFIRST"/>
    <x v="4"/>
  </r>
  <r>
    <x v="10"/>
    <n v="578508117.63999999"/>
    <s v="TAYLOR BEAN WHITAKER"/>
    <x v="5"/>
  </r>
  <r>
    <x v="10"/>
    <n v="518725321.77999997"/>
    <s v="PNC"/>
    <x v="6"/>
  </r>
  <r>
    <x v="10"/>
    <n v="466556979.43000001"/>
    <s v="US BANK"/>
    <x v="7"/>
  </r>
  <r>
    <x v="10"/>
    <n v="413592821.22000003"/>
    <s v="CITI"/>
    <x v="8"/>
  </r>
  <r>
    <x v="10"/>
    <n v="292736016.22000003"/>
    <s v="ALLY"/>
    <x v="9"/>
  </r>
  <r>
    <x v="11"/>
    <n v="2610711823.8800001"/>
    <s v="BANK OF AMERICA"/>
    <x v="0"/>
  </r>
  <r>
    <x v="11"/>
    <n v="2342574638.27"/>
    <s v="WELLS FARGO"/>
    <x v="1"/>
  </r>
  <r>
    <x v="11"/>
    <n v="1454465093.1800001"/>
    <s v="CHASE"/>
    <x v="2"/>
  </r>
  <r>
    <x v="11"/>
    <n v="1371045833.03"/>
    <s v="CWB"/>
    <x v="3"/>
  </r>
  <r>
    <x v="11"/>
    <n v="817355777"/>
    <s v="MIDFIRST"/>
    <x v="4"/>
  </r>
  <r>
    <x v="11"/>
    <n v="743659618.86000001"/>
    <s v="TAYLOR BEAN WHITAKER"/>
    <x v="5"/>
  </r>
  <r>
    <x v="11"/>
    <n v="490867676.63"/>
    <s v="PNC"/>
    <x v="6"/>
  </r>
  <r>
    <x v="11"/>
    <n v="431103145.98000002"/>
    <s v="US BANK"/>
    <x v="7"/>
  </r>
  <r>
    <x v="11"/>
    <n v="367933545.91000003"/>
    <s v="CITI"/>
    <x v="8"/>
  </r>
  <r>
    <x v="11"/>
    <n v="343680787.95999998"/>
    <s v="FLAGSTAR"/>
    <x v="9"/>
  </r>
  <r>
    <x v="12"/>
    <n v="2683651040.4299998"/>
    <s v="BANK OF AMERICA"/>
    <x v="0"/>
  </r>
  <r>
    <x v="12"/>
    <n v="2649963805.1799998"/>
    <s v="WELLS FARGO"/>
    <x v="1"/>
  </r>
  <r>
    <x v="12"/>
    <n v="2091632053.6300001"/>
    <s v="CHASE"/>
    <x v="2"/>
  </r>
  <r>
    <x v="12"/>
    <n v="1494660889.1199999"/>
    <s v="CWB"/>
    <x v="3"/>
  </r>
  <r>
    <x v="12"/>
    <n v="675755129.97000003"/>
    <s v="TAYLOR BEAN WHITAKER"/>
    <x v="4"/>
  </r>
  <r>
    <x v="12"/>
    <n v="480153762.08999997"/>
    <s v="US BANK"/>
    <x v="5"/>
  </r>
  <r>
    <x v="12"/>
    <n v="408178424.07999998"/>
    <s v="PNC"/>
    <x v="6"/>
  </r>
  <r>
    <x v="12"/>
    <n v="371098259.77999997"/>
    <s v="ALLY"/>
    <x v="7"/>
  </r>
  <r>
    <x v="12"/>
    <n v="369592569.22000003"/>
    <s v="CITI"/>
    <x v="8"/>
  </r>
  <r>
    <x v="12"/>
    <n v="351516434.76999998"/>
    <s v="FLAGSTAR"/>
    <x v="9"/>
  </r>
  <r>
    <x v="13"/>
    <n v="2482933120.71"/>
    <s v="BANK OF AMERICA"/>
    <x v="0"/>
  </r>
  <r>
    <x v="13"/>
    <n v="2342887388.9699998"/>
    <s v="WELLS FARGO"/>
    <x v="1"/>
  </r>
  <r>
    <x v="13"/>
    <n v="2295374356.52"/>
    <s v="CHASE"/>
    <x v="2"/>
  </r>
  <r>
    <x v="13"/>
    <n v="1058053803.87"/>
    <s v="CWB"/>
    <x v="3"/>
  </r>
  <r>
    <x v="13"/>
    <n v="687337148.78999996"/>
    <s v="TAYLOR BEAN WHITAKER"/>
    <x v="4"/>
  </r>
  <r>
    <x v="13"/>
    <n v="569022928.28999996"/>
    <s v="US BANK"/>
    <x v="5"/>
  </r>
  <r>
    <x v="13"/>
    <n v="440499976.63"/>
    <s v="FLAGSTAR"/>
    <x v="6"/>
  </r>
  <r>
    <x v="13"/>
    <n v="397705776.72000003"/>
    <s v="PNC"/>
    <x v="7"/>
  </r>
  <r>
    <x v="13"/>
    <n v="365876666"/>
    <s v="ALLY"/>
    <x v="8"/>
  </r>
  <r>
    <x v="13"/>
    <n v="320456467"/>
    <s v="MIDFIRST"/>
    <x v="9"/>
  </r>
  <r>
    <x v="14"/>
    <n v="3560147160.0799999"/>
    <s v="CHASE"/>
    <x v="0"/>
  </r>
  <r>
    <x v="14"/>
    <n v="2946816172.1900001"/>
    <s v="BANK OF AMERICA"/>
    <x v="1"/>
  </r>
  <r>
    <x v="14"/>
    <n v="2664076243.4000001"/>
    <s v="WELLS FARGO"/>
    <x v="2"/>
  </r>
  <r>
    <x v="14"/>
    <n v="1125059373.74"/>
    <s v="CWB"/>
    <x v="3"/>
  </r>
  <r>
    <x v="14"/>
    <n v="1007478427.75"/>
    <s v="TAYLOR BEAN WHITAKER"/>
    <x v="4"/>
  </r>
  <r>
    <x v="14"/>
    <n v="576344011.66999996"/>
    <s v="CITI"/>
    <x v="5"/>
  </r>
  <r>
    <x v="14"/>
    <n v="552472426.05999994"/>
    <s v="ALLY"/>
    <x v="6"/>
  </r>
  <r>
    <x v="14"/>
    <n v="514261207.12"/>
    <s v="US BANK"/>
    <x v="7"/>
  </r>
  <r>
    <x v="14"/>
    <n v="447323590.42000002"/>
    <s v="PNC"/>
    <x v="8"/>
  </r>
  <r>
    <x v="14"/>
    <n v="404723654"/>
    <s v="MIDFIRST"/>
    <x v="9"/>
  </r>
  <r>
    <x v="15"/>
    <n v="4623451382.9700003"/>
    <s v="BANK OF AMERICA"/>
    <x v="0"/>
  </r>
  <r>
    <x v="15"/>
    <n v="3787928131.5500002"/>
    <s v="WELLS FARGO"/>
    <x v="1"/>
  </r>
  <r>
    <x v="15"/>
    <n v="2994465303.77"/>
    <s v="CHASE"/>
    <x v="2"/>
  </r>
  <r>
    <x v="15"/>
    <n v="1728165057.1099999"/>
    <s v="CWB"/>
    <x v="3"/>
  </r>
  <r>
    <x v="15"/>
    <n v="1382036015.54"/>
    <s v="TAYLOR BEAN WHITAKER"/>
    <x v="4"/>
  </r>
  <r>
    <x v="15"/>
    <n v="806015108.05999994"/>
    <s v="ALLY"/>
    <x v="5"/>
  </r>
  <r>
    <x v="15"/>
    <n v="736329443.12"/>
    <s v="CITI"/>
    <x v="6"/>
  </r>
  <r>
    <x v="15"/>
    <n v="704745365.10000002"/>
    <s v="PNC"/>
    <x v="7"/>
  </r>
  <r>
    <x v="15"/>
    <n v="701477024.63"/>
    <s v="US BANK"/>
    <x v="8"/>
  </r>
  <r>
    <x v="15"/>
    <n v="372211866.42000002"/>
    <s v="SUNTRUST"/>
    <x v="9"/>
  </r>
  <r>
    <x v="16"/>
    <n v="4941795296.04"/>
    <s v="BANK OF AMERICA"/>
    <x v="0"/>
  </r>
  <r>
    <x v="16"/>
    <n v="4417231196.7200003"/>
    <s v="WELLS FARGO"/>
    <x v="1"/>
  </r>
  <r>
    <x v="16"/>
    <n v="3285812126.3600001"/>
    <s v="CHASE"/>
    <x v="2"/>
  </r>
  <r>
    <x v="16"/>
    <n v="2106155444.54"/>
    <s v="CWB"/>
    <x v="3"/>
  </r>
  <r>
    <x v="16"/>
    <n v="1061660324.92"/>
    <s v="TAYLOR BEAN WHITAKER"/>
    <x v="4"/>
  </r>
  <r>
    <x v="16"/>
    <n v="1014106846"/>
    <s v="FLAGSTAR"/>
    <x v="5"/>
  </r>
  <r>
    <x v="16"/>
    <n v="946553665.57000005"/>
    <s v="ALLY"/>
    <x v="6"/>
  </r>
  <r>
    <x v="16"/>
    <n v="761565205"/>
    <s v="NATIONSTAR"/>
    <x v="7"/>
  </r>
  <r>
    <x v="16"/>
    <n v="614927338.54999995"/>
    <s v="CITI"/>
    <x v="8"/>
  </r>
  <r>
    <x v="16"/>
    <n v="591987203.12"/>
    <s v="US BANK"/>
    <x v="9"/>
  </r>
  <r>
    <x v="17"/>
    <n v="6834874504.6000004"/>
    <s v="BANK OF AMERICA"/>
    <x v="0"/>
  </r>
  <r>
    <x v="17"/>
    <n v="5428603347.0299997"/>
    <s v="WELLS FARGO"/>
    <x v="1"/>
  </r>
  <r>
    <x v="17"/>
    <n v="4452423353.6099997"/>
    <s v="CHASE"/>
    <x v="2"/>
  </r>
  <r>
    <x v="17"/>
    <n v="3107028470.5599999"/>
    <s v="CWB"/>
    <x v="3"/>
  </r>
  <r>
    <x v="17"/>
    <n v="1365207284.1600001"/>
    <s v="CITI"/>
    <x v="4"/>
  </r>
  <r>
    <x v="17"/>
    <n v="1227959985.3599999"/>
    <s v="TAYLOR BEAN WHITAKER"/>
    <x v="5"/>
  </r>
  <r>
    <x v="17"/>
    <n v="1214350468.5899999"/>
    <s v="ALLY"/>
    <x v="6"/>
  </r>
  <r>
    <x v="17"/>
    <n v="779603948.83000004"/>
    <s v="FLAGSTAR"/>
    <x v="7"/>
  </r>
  <r>
    <x v="17"/>
    <n v="752162102.57000005"/>
    <s v="PNC"/>
    <x v="8"/>
  </r>
  <r>
    <x v="17"/>
    <n v="670824664.38999999"/>
    <s v="SUNTRUST"/>
    <x v="9"/>
  </r>
  <r>
    <x v="18"/>
    <n v="6822327712.9200001"/>
    <s v="BANK OF AMERICA"/>
    <x v="0"/>
  </r>
  <r>
    <x v="18"/>
    <n v="5337927402.8800001"/>
    <s v="WELLS FARGO"/>
    <x v="1"/>
  </r>
  <r>
    <x v="18"/>
    <n v="3732386096.5500002"/>
    <s v="CHASE"/>
    <x v="2"/>
  </r>
  <r>
    <x v="18"/>
    <n v="3481999997.29"/>
    <s v="CWB"/>
    <x v="3"/>
  </r>
  <r>
    <x v="18"/>
    <n v="1226263728.8199999"/>
    <s v="ALLY"/>
    <x v="4"/>
  </r>
  <r>
    <x v="18"/>
    <n v="1133337594.4000001"/>
    <s v="TAYLOR BEAN WHITAKER"/>
    <x v="5"/>
  </r>
  <r>
    <x v="18"/>
    <n v="834821325.55999994"/>
    <s v="CITI"/>
    <x v="6"/>
  </r>
  <r>
    <x v="18"/>
    <n v="701718957.09000003"/>
    <s v="FLAGSTAR"/>
    <x v="7"/>
  </r>
  <r>
    <x v="18"/>
    <n v="662250677.78999996"/>
    <s v="US BANK"/>
    <x v="8"/>
  </r>
  <r>
    <x v="18"/>
    <n v="646611295.58000004"/>
    <s v="PNC"/>
    <x v="9"/>
  </r>
  <r>
    <x v="19"/>
    <n v="6371064207.1199999"/>
    <s v="WELLS FARGO"/>
    <x v="0"/>
  </r>
  <r>
    <x v="19"/>
    <n v="6044302161.9200001"/>
    <s v="BANK OF AMERICA"/>
    <x v="1"/>
  </r>
  <r>
    <x v="19"/>
    <n v="4575744461.9300003"/>
    <s v="CHASE"/>
    <x v="2"/>
  </r>
  <r>
    <x v="19"/>
    <n v="3306271591.9499998"/>
    <s v="CWB"/>
    <x v="3"/>
  </r>
  <r>
    <x v="19"/>
    <n v="1498948348.21"/>
    <s v="ALLY"/>
    <x v="4"/>
  </r>
  <r>
    <x v="19"/>
    <n v="1168814499.1400001"/>
    <s v="TAYLOR BEAN WHITAKER"/>
    <x v="5"/>
  </r>
  <r>
    <x v="19"/>
    <n v="1163029698.1199999"/>
    <s v="CITI"/>
    <x v="6"/>
  </r>
  <r>
    <x v="19"/>
    <n v="960866535.97000003"/>
    <s v="FLAGSTAR"/>
    <x v="7"/>
  </r>
  <r>
    <x v="19"/>
    <n v="735477127"/>
    <s v="MIDFIRST"/>
    <x v="8"/>
  </r>
  <r>
    <x v="19"/>
    <n v="732294849.95000005"/>
    <s v="FIRST HORIZON HOME LOAN CORPORATION"/>
    <x v="9"/>
  </r>
  <r>
    <x v="20"/>
    <n v="6775744846.46"/>
    <s v="BANK OF AMERICA"/>
    <x v="0"/>
  </r>
  <r>
    <x v="20"/>
    <n v="5340158620.7799997"/>
    <s v="WELLS FARGO"/>
    <x v="1"/>
  </r>
  <r>
    <x v="20"/>
    <n v="3726180638.1199999"/>
    <s v="CHASE"/>
    <x v="2"/>
  </r>
  <r>
    <x v="20"/>
    <n v="3403868589.4099998"/>
    <s v="CWB"/>
    <x v="3"/>
  </r>
  <r>
    <x v="20"/>
    <n v="1334739789.52"/>
    <s v="TAYLOR BEAN WHITAKER"/>
    <x v="4"/>
  </r>
  <r>
    <x v="20"/>
    <n v="1284933326.3"/>
    <s v="ALLY"/>
    <x v="5"/>
  </r>
  <r>
    <x v="20"/>
    <n v="1194798308.22"/>
    <s v="CITI"/>
    <x v="6"/>
  </r>
  <r>
    <x v="20"/>
    <n v="752032690.84000003"/>
    <s v="FLAGSTAR"/>
    <x v="7"/>
  </r>
  <r>
    <x v="20"/>
    <n v="750285787.12"/>
    <s v="US BANK"/>
    <x v="8"/>
  </r>
  <r>
    <x v="20"/>
    <n v="677976668"/>
    <s v="MIDFIRST"/>
    <x v="9"/>
  </r>
  <r>
    <x v="21"/>
    <n v="7764734798.4499998"/>
    <s v="BANK OF AMERICA"/>
    <x v="0"/>
  </r>
  <r>
    <x v="21"/>
    <n v="5446629178.8800001"/>
    <s v="WELLS FARGO"/>
    <x v="1"/>
  </r>
  <r>
    <x v="21"/>
    <n v="3404917043.8200002"/>
    <s v="CWB"/>
    <x v="2"/>
  </r>
  <r>
    <x v="21"/>
    <n v="3199205806.8899999"/>
    <s v="CHASE"/>
    <x v="3"/>
  </r>
  <r>
    <x v="21"/>
    <n v="1647313018.5799999"/>
    <s v="TAYLOR BEAN WHITAKER"/>
    <x v="4"/>
  </r>
  <r>
    <x v="21"/>
    <n v="1516420659.4300001"/>
    <s v="CITI"/>
    <x v="5"/>
  </r>
  <r>
    <x v="21"/>
    <n v="1194782493.28"/>
    <s v="ALLY"/>
    <x v="6"/>
  </r>
  <r>
    <x v="21"/>
    <n v="1110079535.5699999"/>
    <s v="FLAGSTAR"/>
    <x v="7"/>
  </r>
  <r>
    <x v="21"/>
    <n v="916913157"/>
    <s v="MIDFIRST"/>
    <x v="8"/>
  </r>
  <r>
    <x v="21"/>
    <n v="879956987.40999997"/>
    <s v="US BANK"/>
    <x v="9"/>
  </r>
  <r>
    <x v="22"/>
    <n v="6885955341.3299999"/>
    <s v="WELLS FARGO"/>
    <x v="0"/>
  </r>
  <r>
    <x v="22"/>
    <n v="6054298249.8100004"/>
    <s v="BANK OF AMERICA"/>
    <x v="1"/>
  </r>
  <r>
    <x v="22"/>
    <n v="3302691170.6199999"/>
    <s v="CHASE"/>
    <x v="2"/>
  </r>
  <r>
    <x v="22"/>
    <n v="2531423978.4400001"/>
    <s v="CWB"/>
    <x v="3"/>
  </r>
  <r>
    <x v="22"/>
    <n v="1165505542.54"/>
    <s v="TAYLOR BEAN WHITAKER"/>
    <x v="4"/>
  </r>
  <r>
    <x v="22"/>
    <n v="1076757393.6300001"/>
    <s v="CITI"/>
    <x v="5"/>
  </r>
  <r>
    <x v="22"/>
    <n v="1033438340.9299999"/>
    <s v="ALLY"/>
    <x v="6"/>
  </r>
  <r>
    <x v="22"/>
    <n v="895810315.16999996"/>
    <s v="US BANK"/>
    <x v="7"/>
  </r>
  <r>
    <x v="22"/>
    <n v="790297152"/>
    <s v="MIDFIRST"/>
    <x v="8"/>
  </r>
  <r>
    <x v="22"/>
    <n v="761157671.05999994"/>
    <s v="SUNTRUST"/>
    <x v="9"/>
  </r>
  <r>
    <x v="23"/>
    <n v="6077494849.25"/>
    <s v="WELLS FARGO"/>
    <x v="0"/>
  </r>
  <r>
    <x v="23"/>
    <n v="4515954434.1499996"/>
    <s v="CHASE"/>
    <x v="1"/>
  </r>
  <r>
    <x v="23"/>
    <n v="3525985223.3000002"/>
    <s v="BANK OF AMERICA"/>
    <x v="2"/>
  </r>
  <r>
    <x v="23"/>
    <n v="1769490401.8699999"/>
    <s v="CWB"/>
    <x v="3"/>
  </r>
  <r>
    <x v="23"/>
    <n v="1137306746.9100001"/>
    <s v="ALLY"/>
    <x v="4"/>
  </r>
  <r>
    <x v="23"/>
    <n v="1076432546.29"/>
    <s v="US BANK"/>
    <x v="5"/>
  </r>
  <r>
    <x v="23"/>
    <n v="992898883.14999998"/>
    <s v="TAYLOR BEAN WHITAKER"/>
    <x v="6"/>
  </r>
  <r>
    <x v="23"/>
    <n v="647947092.61000001"/>
    <s v="CITI"/>
    <x v="7"/>
  </r>
  <r>
    <x v="23"/>
    <n v="628857688.45000005"/>
    <s v="SUNTRUST"/>
    <x v="8"/>
  </r>
  <r>
    <x v="23"/>
    <n v="593692213"/>
    <s v="MIDFIRST"/>
    <x v="9"/>
  </r>
  <r>
    <x v="24"/>
    <n v="7661923102.8999996"/>
    <s v="BANK OF AMERICA"/>
    <x v="0"/>
  </r>
  <r>
    <x v="24"/>
    <n v="5329288411.1099997"/>
    <s v="WELLS FARGO"/>
    <x v="1"/>
  </r>
  <r>
    <x v="24"/>
    <n v="3559349638.54"/>
    <s v="CHASE"/>
    <x v="2"/>
  </r>
  <r>
    <x v="24"/>
    <n v="2926117508.6799998"/>
    <s v="CWB"/>
    <x v="3"/>
  </r>
  <r>
    <x v="24"/>
    <n v="1270922044"/>
    <s v="NATIONSTAR"/>
    <x v="4"/>
  </r>
  <r>
    <x v="24"/>
    <n v="1250582494.02"/>
    <s v="TAYLOR BEAN WHITAKER"/>
    <x v="5"/>
  </r>
  <r>
    <x v="24"/>
    <n v="786228931.70000005"/>
    <s v="FLAGSTAR"/>
    <x v="6"/>
  </r>
  <r>
    <x v="24"/>
    <n v="785758033.70000005"/>
    <s v="PNC"/>
    <x v="7"/>
  </r>
  <r>
    <x v="24"/>
    <n v="733986679.58000004"/>
    <s v="US BANK"/>
    <x v="8"/>
  </r>
  <r>
    <x v="24"/>
    <n v="710288083.15999997"/>
    <s v="ALLY"/>
    <x v="9"/>
  </r>
  <r>
    <x v="25"/>
    <n v="7456714182.4200001"/>
    <s v="WELLS FARGO"/>
    <x v="0"/>
  </r>
  <r>
    <x v="25"/>
    <n v="6945836066.8100004"/>
    <s v="BANK OF AMERICA"/>
    <x v="1"/>
  </r>
  <r>
    <x v="25"/>
    <n v="3045112523.0799999"/>
    <s v="CHASE"/>
    <x v="2"/>
  </r>
  <r>
    <x v="25"/>
    <n v="1725419126.0899999"/>
    <s v="CITI"/>
    <x v="3"/>
  </r>
  <r>
    <x v="25"/>
    <n v="1126425662.5999999"/>
    <s v="TAYLOR BEAN WHITAKER"/>
    <x v="4"/>
  </r>
  <r>
    <x v="25"/>
    <n v="1036033162.27"/>
    <s v="ALLY"/>
    <x v="5"/>
  </r>
  <r>
    <x v="25"/>
    <n v="972865493.75"/>
    <s v="US BANK"/>
    <x v="6"/>
  </r>
  <r>
    <x v="25"/>
    <n v="952538993.27999997"/>
    <s v="FLAGSTAR"/>
    <x v="7"/>
  </r>
  <r>
    <x v="25"/>
    <n v="722946586"/>
    <s v="PNC"/>
    <x v="8"/>
  </r>
  <r>
    <x v="25"/>
    <n v="617135005.92999995"/>
    <s v="SUNTRUST"/>
    <x v="9"/>
  </r>
  <r>
    <x v="26"/>
    <n v="9840119923.4899998"/>
    <s v="BANK OF AMERICA"/>
    <x v="0"/>
  </r>
  <r>
    <x v="26"/>
    <n v="9171903853.8999996"/>
    <s v="WELLS FARGO"/>
    <x v="1"/>
  </r>
  <r>
    <x v="26"/>
    <n v="4011374777.8200002"/>
    <s v="CHASE"/>
    <x v="2"/>
  </r>
  <r>
    <x v="26"/>
    <n v="2753477519.96"/>
    <s v="CITI"/>
    <x v="3"/>
  </r>
  <r>
    <x v="26"/>
    <n v="1435635466.8299999"/>
    <s v="ALLY"/>
    <x v="4"/>
  </r>
  <r>
    <x v="26"/>
    <n v="1073284536.02"/>
    <s v="TAYLOR BEAN WHITAKER"/>
    <x v="5"/>
  </r>
  <r>
    <x v="26"/>
    <n v="1009418750.71"/>
    <s v="US BANK"/>
    <x v="6"/>
  </r>
  <r>
    <x v="26"/>
    <n v="905034160.61000001"/>
    <s v="FLAGSTAR"/>
    <x v="7"/>
  </r>
  <r>
    <x v="26"/>
    <n v="701533269.99000001"/>
    <s v="PNC"/>
    <x v="8"/>
  </r>
  <r>
    <x v="26"/>
    <n v="397724830.38999999"/>
    <s v="SUNTRUST"/>
    <x v="9"/>
  </r>
  <r>
    <x v="27"/>
    <n v="10904817516.51"/>
    <s v="BANK OF AMERICA"/>
    <x v="0"/>
  </r>
  <r>
    <x v="27"/>
    <n v="8231869956.6099997"/>
    <s v="WELLS FARGO"/>
    <x v="1"/>
  </r>
  <r>
    <x v="27"/>
    <n v="3390079181.54"/>
    <s v="CHASE"/>
    <x v="2"/>
  </r>
  <r>
    <x v="27"/>
    <n v="2789020064.4099998"/>
    <s v="ALLY"/>
    <x v="3"/>
  </r>
  <r>
    <x v="27"/>
    <n v="1497960105.8199999"/>
    <s v="TAYLOR BEAN WHITAKER"/>
    <x v="4"/>
  </r>
  <r>
    <x v="27"/>
    <n v="1168438734.6300001"/>
    <s v="CITI"/>
    <x v="5"/>
  </r>
  <r>
    <x v="27"/>
    <n v="1108205576.6400001"/>
    <s v="FLAGSTAR"/>
    <x v="6"/>
  </r>
  <r>
    <x v="27"/>
    <n v="761589073.5"/>
    <s v="PNC"/>
    <x v="7"/>
  </r>
  <r>
    <x v="27"/>
    <n v="693189857.25"/>
    <s v="US BANK"/>
    <x v="8"/>
  </r>
  <r>
    <x v="27"/>
    <n v="547663730"/>
    <s v="PRUDENTIAL HUNTOON PAIGE ASSOCIATES, LTD"/>
    <x v="9"/>
  </r>
  <r>
    <x v="28"/>
    <n v="10840958471.42"/>
    <s v="BANK OF AMERICA"/>
    <x v="0"/>
  </r>
  <r>
    <x v="28"/>
    <n v="10201806008.49"/>
    <s v="WELLS FARGO"/>
    <x v="1"/>
  </r>
  <r>
    <x v="28"/>
    <n v="3319862124.77"/>
    <s v="CHASE"/>
    <x v="2"/>
  </r>
  <r>
    <x v="28"/>
    <n v="2286882416.7199998"/>
    <s v="ALLY"/>
    <x v="3"/>
  </r>
  <r>
    <x v="28"/>
    <n v="1679335900.29"/>
    <s v="CITI"/>
    <x v="4"/>
  </r>
  <r>
    <x v="28"/>
    <n v="1379630616.9000001"/>
    <s v="TAYLOR BEAN WHITAKER"/>
    <x v="5"/>
  </r>
  <r>
    <x v="28"/>
    <n v="1003560926.35"/>
    <s v="US BANK"/>
    <x v="6"/>
  </r>
  <r>
    <x v="28"/>
    <n v="911945310.42999995"/>
    <s v="FLAGSTAR"/>
    <x v="7"/>
  </r>
  <r>
    <x v="28"/>
    <n v="766537825"/>
    <s v="NATIONSTAR"/>
    <x v="8"/>
  </r>
  <r>
    <x v="28"/>
    <n v="763827714.04999995"/>
    <s v="PNC"/>
    <x v="9"/>
  </r>
  <r>
    <x v="29"/>
    <n v="12232694325.1"/>
    <s v="BANK OF AMERICA"/>
    <x v="0"/>
  </r>
  <r>
    <x v="29"/>
    <n v="11354294966.4"/>
    <s v="WELLS FARGO"/>
    <x v="1"/>
  </r>
  <r>
    <x v="29"/>
    <n v="3830445787.1700001"/>
    <s v="CHASE"/>
    <x v="2"/>
  </r>
  <r>
    <x v="29"/>
    <n v="2783177351.5599999"/>
    <s v="ALLY"/>
    <x v="3"/>
  </r>
  <r>
    <x v="29"/>
    <n v="2403543415.1700001"/>
    <s v="CITI"/>
    <x v="4"/>
  </r>
  <r>
    <x v="29"/>
    <n v="1478806984.6600001"/>
    <s v="TAYLOR BEAN WHITAKER"/>
    <x v="5"/>
  </r>
  <r>
    <x v="29"/>
    <n v="1235742158.22"/>
    <s v="US BANK"/>
    <x v="6"/>
  </r>
  <r>
    <x v="29"/>
    <n v="970165322.98000002"/>
    <s v="FLAGSTAR"/>
    <x v="7"/>
  </r>
  <r>
    <x v="29"/>
    <n v="924990104.25999999"/>
    <s v="PNC"/>
    <x v="8"/>
  </r>
  <r>
    <x v="29"/>
    <n v="655090446.74000001"/>
    <s v="SUNTRUST"/>
    <x v="9"/>
  </r>
  <r>
    <x v="30"/>
    <n v="14499431718.969999"/>
    <s v="BANK OF AMERICA"/>
    <x v="0"/>
  </r>
  <r>
    <x v="30"/>
    <n v="11214465320.32"/>
    <s v="WELLS FARGO"/>
    <x v="1"/>
  </r>
  <r>
    <x v="30"/>
    <n v="4283127941.4499998"/>
    <s v="CHASE"/>
    <x v="2"/>
  </r>
  <r>
    <x v="30"/>
    <n v="2359737703.02"/>
    <s v="ALLY"/>
    <x v="3"/>
  </r>
  <r>
    <x v="30"/>
    <n v="1686850981.6199999"/>
    <s v="CITI"/>
    <x v="4"/>
  </r>
  <r>
    <x v="30"/>
    <n v="1380151289.53"/>
    <s v="TAYLOR BEAN WHITAKER"/>
    <x v="5"/>
  </r>
  <r>
    <x v="30"/>
    <n v="1033649015.61"/>
    <s v="US BANK"/>
    <x v="6"/>
  </r>
  <r>
    <x v="30"/>
    <n v="902247705.23000002"/>
    <s v="FLAGSTAR"/>
    <x v="7"/>
  </r>
  <r>
    <x v="30"/>
    <n v="828096252.44000006"/>
    <s v="PNC"/>
    <x v="8"/>
  </r>
  <r>
    <x v="30"/>
    <n v="756892867"/>
    <s v="NATIONSTAR"/>
    <x v="9"/>
  </r>
  <r>
    <x v="31"/>
    <n v="11769183271.27"/>
    <s v="BANK OF AMERICA"/>
    <x v="0"/>
  </r>
  <r>
    <x v="31"/>
    <n v="11376824458.200001"/>
    <s v="WELLS FARGO"/>
    <x v="1"/>
  </r>
  <r>
    <x v="31"/>
    <n v="4488136042.5"/>
    <s v="CHASE"/>
    <x v="2"/>
  </r>
  <r>
    <x v="31"/>
    <n v="3058613090.6999998"/>
    <s v="NATIONSTAR"/>
    <x v="3"/>
  </r>
  <r>
    <x v="31"/>
    <n v="2035185478.0899999"/>
    <s v="ALLY"/>
    <x v="4"/>
  </r>
  <r>
    <x v="31"/>
    <n v="1254264532.1900001"/>
    <s v="US BANK"/>
    <x v="5"/>
  </r>
  <r>
    <x v="31"/>
    <n v="1041546480.64"/>
    <s v="CITI"/>
    <x v="6"/>
  </r>
  <r>
    <x v="31"/>
    <n v="817916670.22000003"/>
    <s v="SUNTRUST"/>
    <x v="7"/>
  </r>
  <r>
    <x v="31"/>
    <n v="803887389.88999999"/>
    <s v="FLAGSTAR"/>
    <x v="8"/>
  </r>
  <r>
    <x v="31"/>
    <n v="721037656.89999998"/>
    <s v="PHH"/>
    <x v="9"/>
  </r>
  <r>
    <x v="32"/>
    <n v="10548837061.57"/>
    <s v="BANK OF AMERICA"/>
    <x v="0"/>
  </r>
  <r>
    <x v="32"/>
    <n v="10011305878.389999"/>
    <s v="WELLS FARGO"/>
    <x v="1"/>
  </r>
  <r>
    <x v="32"/>
    <n v="4333414325.4399996"/>
    <s v="CHASE"/>
    <x v="2"/>
  </r>
  <r>
    <x v="32"/>
    <n v="2395749865.0999999"/>
    <s v="NATIONSTAR"/>
    <x v="3"/>
  </r>
  <r>
    <x v="32"/>
    <n v="2116813557.22"/>
    <s v="ALLY"/>
    <x v="4"/>
  </r>
  <r>
    <x v="32"/>
    <n v="1348060871.71"/>
    <s v="US BANK"/>
    <x v="5"/>
  </r>
  <r>
    <x v="32"/>
    <n v="874812512.83000004"/>
    <s v="CITI"/>
    <x v="6"/>
  </r>
  <r>
    <x v="32"/>
    <n v="854925690.01999998"/>
    <s v="FLAGSTAR"/>
    <x v="7"/>
  </r>
  <r>
    <x v="32"/>
    <n v="751260534.66999996"/>
    <s v="SUNTRUST"/>
    <x v="8"/>
  </r>
  <r>
    <x v="32"/>
    <n v="733069764.32000005"/>
    <s v="FIFTH THIRD"/>
    <x v="9"/>
  </r>
  <r>
    <x v="33"/>
    <n v="11250233115.889999"/>
    <s v="BANK OF AMERICA"/>
    <x v="0"/>
  </r>
  <r>
    <x v="33"/>
    <n v="9900655361.5599995"/>
    <s v="WELLS FARGO"/>
    <x v="1"/>
  </r>
  <r>
    <x v="33"/>
    <n v="3493083347.9400001"/>
    <s v="CHASE"/>
    <x v="2"/>
  </r>
  <r>
    <x v="33"/>
    <n v="1914730168.24"/>
    <s v="ALLY"/>
    <x v="3"/>
  </r>
  <r>
    <x v="33"/>
    <n v="1651303660.51"/>
    <s v="US BANK"/>
    <x v="4"/>
  </r>
  <r>
    <x v="33"/>
    <n v="1073313561.91"/>
    <s v="NATIONSTAR"/>
    <x v="5"/>
  </r>
  <r>
    <x v="33"/>
    <n v="649265034.55999994"/>
    <s v="FLAGSTAR"/>
    <x v="6"/>
  </r>
  <r>
    <x v="33"/>
    <n v="541185999.19000006"/>
    <s v="SUNTRUST"/>
    <x v="7"/>
  </r>
  <r>
    <x v="33"/>
    <n v="540630578.84000003"/>
    <s v="PHH"/>
    <x v="8"/>
  </r>
  <r>
    <x v="33"/>
    <n v="497192991.48000002"/>
    <s v="CITI"/>
    <x v="9"/>
  </r>
  <r>
    <x v="34"/>
    <n v="10156126817.549999"/>
    <s v="WELLS FARGO"/>
    <x v="0"/>
  </r>
  <r>
    <x v="34"/>
    <n v="7903283970.2799997"/>
    <s v="BANK OF AMERICA"/>
    <x v="1"/>
  </r>
  <r>
    <x v="34"/>
    <n v="4229127390.04"/>
    <s v="CHASE"/>
    <x v="2"/>
  </r>
  <r>
    <x v="34"/>
    <n v="1894766427.04"/>
    <s v="ALLY"/>
    <x v="3"/>
  </r>
  <r>
    <x v="34"/>
    <n v="1045591310.78"/>
    <s v="NATIONSTAR"/>
    <x v="4"/>
  </r>
  <r>
    <x v="34"/>
    <n v="929481277.40999997"/>
    <s v="US BANK"/>
    <x v="5"/>
  </r>
  <r>
    <x v="34"/>
    <n v="803071891.69000006"/>
    <s v="FLAGSTAR"/>
    <x v="6"/>
  </r>
  <r>
    <x v="34"/>
    <n v="666855634.77999997"/>
    <s v="PHH"/>
    <x v="7"/>
  </r>
  <r>
    <x v="34"/>
    <n v="622357981.45000005"/>
    <s v="SUNTRUST"/>
    <x v="8"/>
  </r>
  <r>
    <x v="34"/>
    <n v="528843992.80000001"/>
    <s v="FIFTH THIRD"/>
    <x v="9"/>
  </r>
  <r>
    <x v="35"/>
    <n v="11821319577.99"/>
    <s v="BANK OF AMERICA"/>
    <x v="0"/>
  </r>
  <r>
    <x v="35"/>
    <n v="11106775406.790001"/>
    <s v="WELLS FARGO"/>
    <x v="1"/>
  </r>
  <r>
    <x v="35"/>
    <n v="5159207722.5799999"/>
    <s v="CHASE"/>
    <x v="2"/>
  </r>
  <r>
    <x v="35"/>
    <n v="1724937315.96"/>
    <s v="ALLY"/>
    <x v="3"/>
  </r>
  <r>
    <x v="35"/>
    <n v="1026853728.71"/>
    <s v="US BANK"/>
    <x v="4"/>
  </r>
  <r>
    <x v="35"/>
    <n v="950970204"/>
    <s v="NATIONSTAR"/>
    <x v="5"/>
  </r>
  <r>
    <x v="35"/>
    <n v="945095393.87"/>
    <s v="PHH"/>
    <x v="6"/>
  </r>
  <r>
    <x v="35"/>
    <n v="813656142.58000004"/>
    <s v="FLAGSTAR"/>
    <x v="7"/>
  </r>
  <r>
    <x v="35"/>
    <n v="492584166.88999999"/>
    <s v="SUNTRUST"/>
    <x v="8"/>
  </r>
  <r>
    <x v="35"/>
    <n v="482745861.82999998"/>
    <s v="FIFTH THIRD"/>
    <x v="9"/>
  </r>
  <r>
    <x v="36"/>
    <n v="13534574647.27"/>
    <s v="BANK OF AMERICA"/>
    <x v="0"/>
  </r>
  <r>
    <x v="36"/>
    <n v="8891094099.8700008"/>
    <s v="WELLS FARGO"/>
    <x v="1"/>
  </r>
  <r>
    <x v="36"/>
    <n v="3640382716.3200002"/>
    <s v="CHASE"/>
    <x v="2"/>
  </r>
  <r>
    <x v="36"/>
    <n v="1778566471.8900001"/>
    <s v="ALLY"/>
    <x v="3"/>
  </r>
  <r>
    <x v="36"/>
    <n v="964970902.62"/>
    <s v="US BANK"/>
    <x v="4"/>
  </r>
  <r>
    <x v="36"/>
    <n v="702577792.37"/>
    <s v="PHH"/>
    <x v="5"/>
  </r>
  <r>
    <x v="36"/>
    <n v="588382633.11000001"/>
    <s v="FLAGSTAR"/>
    <x v="6"/>
  </r>
  <r>
    <x v="36"/>
    <n v="429883284.86000001"/>
    <s v="SUNTRUST"/>
    <x v="7"/>
  </r>
  <r>
    <x v="36"/>
    <n v="412856334.39999998"/>
    <s v="FREEDOM"/>
    <x v="8"/>
  </r>
  <r>
    <x v="36"/>
    <n v="408816313.87"/>
    <s v="NATIONSTAR"/>
    <x v="9"/>
  </r>
  <r>
    <x v="37"/>
    <n v="9571877686.3199997"/>
    <s v="BANK OF AMERICA"/>
    <x v="0"/>
  </r>
  <r>
    <x v="37"/>
    <n v="7009957861.2600002"/>
    <s v="WELLS FARGO"/>
    <x v="1"/>
  </r>
  <r>
    <x v="37"/>
    <n v="2986366988.96"/>
    <s v="CHASE"/>
    <x v="2"/>
  </r>
  <r>
    <x v="37"/>
    <n v="1171995949.4100001"/>
    <s v="ALLY"/>
    <x v="3"/>
  </r>
  <r>
    <x v="37"/>
    <n v="813969517.63999999"/>
    <s v="US BANK"/>
    <x v="4"/>
  </r>
  <r>
    <x v="37"/>
    <n v="575085100.59000003"/>
    <s v="PHH"/>
    <x v="5"/>
  </r>
  <r>
    <x v="37"/>
    <n v="542856482.74000001"/>
    <s v="NATIONSTAR"/>
    <x v="6"/>
  </r>
  <r>
    <x v="37"/>
    <n v="391151365.38999999"/>
    <s v="FLAGSTAR"/>
    <x v="7"/>
  </r>
  <r>
    <x v="37"/>
    <n v="360317722.80000001"/>
    <s v="CITI"/>
    <x v="8"/>
  </r>
  <r>
    <x v="37"/>
    <n v="274282407.67000002"/>
    <s v="SUNTRUST"/>
    <x v="9"/>
  </r>
  <r>
    <x v="38"/>
    <n v="6596684007.1000004"/>
    <s v="WELLS FARGO"/>
    <x v="0"/>
  </r>
  <r>
    <x v="38"/>
    <n v="6472069307.6199999"/>
    <s v="BANK OF AMERICA"/>
    <x v="1"/>
  </r>
  <r>
    <x v="38"/>
    <n v="2453444911.8800001"/>
    <s v="CHASE"/>
    <x v="2"/>
  </r>
  <r>
    <x v="38"/>
    <n v="604639181.76999998"/>
    <s v="ALLY"/>
    <x v="3"/>
  </r>
  <r>
    <x v="38"/>
    <n v="592274701.75"/>
    <s v="US BANK"/>
    <x v="4"/>
  </r>
  <r>
    <x v="38"/>
    <n v="554730453.46000004"/>
    <s v="PHH"/>
    <x v="5"/>
  </r>
  <r>
    <x v="38"/>
    <n v="365559027.10000002"/>
    <s v="NATIONSTAR"/>
    <x v="6"/>
  </r>
  <r>
    <x v="38"/>
    <n v="356937103.83999997"/>
    <s v="CITI"/>
    <x v="7"/>
  </r>
  <r>
    <x v="38"/>
    <n v="272498723.47000003"/>
    <s v="BB&amp;T"/>
    <x v="8"/>
  </r>
  <r>
    <x v="38"/>
    <n v="267595157.28"/>
    <s v="FLAGSTAR"/>
    <x v="9"/>
  </r>
  <r>
    <x v="39"/>
    <n v="11766642358.6"/>
    <s v="BANK OF AMERICA"/>
    <x v="0"/>
  </r>
  <r>
    <x v="39"/>
    <n v="8290793092.5900002"/>
    <s v="WELLS FARGO"/>
    <x v="1"/>
  </r>
  <r>
    <x v="39"/>
    <n v="3139007348.25"/>
    <s v="CHASE"/>
    <x v="2"/>
  </r>
  <r>
    <x v="39"/>
    <n v="815687726.90999997"/>
    <s v="US BANK"/>
    <x v="3"/>
  </r>
  <r>
    <x v="39"/>
    <n v="753772264.26999998"/>
    <s v="PHH"/>
    <x v="4"/>
  </r>
  <r>
    <x v="39"/>
    <n v="748345371.95000005"/>
    <s v="ALLY"/>
    <x v="5"/>
  </r>
  <r>
    <x v="39"/>
    <n v="376997317.48000002"/>
    <s v="NATIONSTAR"/>
    <x v="6"/>
  </r>
  <r>
    <x v="39"/>
    <n v="336742035.24000001"/>
    <s v="SUNTRUST"/>
    <x v="7"/>
  </r>
  <r>
    <x v="39"/>
    <n v="323795989.54000002"/>
    <s v="PNC"/>
    <x v="8"/>
  </r>
  <r>
    <x v="39"/>
    <n v="298576656.37"/>
    <s v="BB&amp;T"/>
    <x v="9"/>
  </r>
  <r>
    <x v="40"/>
    <n v="11166499668.83"/>
    <s v="BANK OF AMERICA"/>
    <x v="0"/>
  </r>
  <r>
    <x v="40"/>
    <n v="9302544959.0599995"/>
    <s v="WELLS FARGO"/>
    <x v="1"/>
  </r>
  <r>
    <x v="40"/>
    <n v="3428287759.0599999"/>
    <s v="CHASE"/>
    <x v="2"/>
  </r>
  <r>
    <x v="40"/>
    <n v="969831152.08000004"/>
    <s v="ALLY"/>
    <x v="3"/>
  </r>
  <r>
    <x v="40"/>
    <n v="891452113.00999999"/>
    <s v="US BANK"/>
    <x v="4"/>
  </r>
  <r>
    <x v="40"/>
    <n v="882152691.83000004"/>
    <s v="PHH"/>
    <x v="5"/>
  </r>
  <r>
    <x v="40"/>
    <n v="372565627.99000001"/>
    <s v="SUNTRUST"/>
    <x v="6"/>
  </r>
  <r>
    <x v="40"/>
    <n v="365974002.43000001"/>
    <s v="BB&amp;T"/>
    <x v="7"/>
  </r>
  <r>
    <x v="40"/>
    <n v="310279725.27999997"/>
    <s v="NATIONSTAR"/>
    <x v="8"/>
  </r>
  <r>
    <x v="40"/>
    <n v="296704697.94"/>
    <s v="PNC"/>
    <x v="9"/>
  </r>
  <r>
    <x v="41"/>
    <n v="10245994592.219999"/>
    <s v="BANK OF AMERICA"/>
    <x v="0"/>
  </r>
  <r>
    <x v="41"/>
    <n v="9498319404.9200001"/>
    <s v="WELLS FARGO"/>
    <x v="1"/>
  </r>
  <r>
    <x v="41"/>
    <n v="3497307421.0799999"/>
    <s v="CHASE"/>
    <x v="2"/>
  </r>
  <r>
    <x v="41"/>
    <n v="1347140443.1199999"/>
    <s v="ALLY"/>
    <x v="3"/>
  </r>
  <r>
    <x v="41"/>
    <n v="1138166493.54"/>
    <s v="US BANK"/>
    <x v="4"/>
  </r>
  <r>
    <x v="41"/>
    <n v="814127661.30999994"/>
    <s v="PHH"/>
    <x v="5"/>
  </r>
  <r>
    <x v="41"/>
    <n v="420459196.05000001"/>
    <s v="NATIONSTAR"/>
    <x v="6"/>
  </r>
  <r>
    <x v="41"/>
    <n v="371789062.98000002"/>
    <s v="SUNTRUST"/>
    <x v="7"/>
  </r>
  <r>
    <x v="41"/>
    <n v="343441962.49000001"/>
    <s v="BB&amp;T"/>
    <x v="8"/>
  </r>
  <r>
    <x v="41"/>
    <n v="322044367.27999997"/>
    <s v="PNC"/>
    <x v="9"/>
  </r>
  <r>
    <x v="42"/>
    <n v="11078139845.860001"/>
    <s v="WELLS FARGO"/>
    <x v="0"/>
  </r>
  <r>
    <x v="42"/>
    <n v="10783429242.02"/>
    <s v="BANK OF AMERICA"/>
    <x v="1"/>
  </r>
  <r>
    <x v="42"/>
    <n v="2800939976.8000002"/>
    <s v="CHASE"/>
    <x v="2"/>
  </r>
  <r>
    <x v="42"/>
    <n v="1362875318.2"/>
    <s v="ALLY"/>
    <x v="3"/>
  </r>
  <r>
    <x v="42"/>
    <n v="1239448895.73"/>
    <s v="US BANK"/>
    <x v="4"/>
  </r>
  <r>
    <x v="42"/>
    <n v="752974986.41999996"/>
    <s v="PHH"/>
    <x v="5"/>
  </r>
  <r>
    <x v="42"/>
    <n v="447512787.55000001"/>
    <s v="NATIONSTAR"/>
    <x v="6"/>
  </r>
  <r>
    <x v="42"/>
    <n v="332101067.66000003"/>
    <s v="FLAGSTAR"/>
    <x v="7"/>
  </r>
  <r>
    <x v="42"/>
    <n v="329344468.70999998"/>
    <s v="METLIFE"/>
    <x v="8"/>
  </r>
  <r>
    <x v="42"/>
    <n v="322707499.31999999"/>
    <s v="SUNTRUST"/>
    <x v="9"/>
  </r>
  <r>
    <x v="43"/>
    <n v="10171561922.290001"/>
    <s v="BANK OF AMERICA"/>
    <x v="0"/>
  </r>
  <r>
    <x v="43"/>
    <n v="9550338694.2700005"/>
    <s v="WELLS FARGO"/>
    <x v="1"/>
  </r>
  <r>
    <x v="43"/>
    <n v="2570331926.04"/>
    <s v="CHASE"/>
    <x v="2"/>
  </r>
  <r>
    <x v="43"/>
    <n v="1455539996.6099999"/>
    <s v="ALLY"/>
    <x v="3"/>
  </r>
  <r>
    <x v="43"/>
    <n v="1349432870.1500001"/>
    <s v="US BANK"/>
    <x v="4"/>
  </r>
  <r>
    <x v="43"/>
    <n v="655199068.88999999"/>
    <s v="PHH"/>
    <x v="5"/>
  </r>
  <r>
    <x v="43"/>
    <n v="470472734.94"/>
    <s v="FLAGSTAR"/>
    <x v="6"/>
  </r>
  <r>
    <x v="43"/>
    <n v="439047096.98000002"/>
    <s v="SUNTRUST"/>
    <x v="7"/>
  </r>
  <r>
    <x v="43"/>
    <n v="420823599.52999997"/>
    <s v="NATIONSTAR"/>
    <x v="8"/>
  </r>
  <r>
    <x v="43"/>
    <n v="304547440.54000002"/>
    <s v="CITI"/>
    <x v="9"/>
  </r>
  <r>
    <x v="44"/>
    <n v="10352868746.57"/>
    <s v="WELLS FARGO"/>
    <x v="0"/>
  </r>
  <r>
    <x v="44"/>
    <n v="8958109334.6299992"/>
    <s v="BANK OF AMERICA"/>
    <x v="1"/>
  </r>
  <r>
    <x v="44"/>
    <n v="2647347440.21"/>
    <s v="CHASE"/>
    <x v="2"/>
  </r>
  <r>
    <x v="44"/>
    <n v="1637896727.54"/>
    <s v="ALLY"/>
    <x v="3"/>
  </r>
  <r>
    <x v="44"/>
    <n v="1265660155.29"/>
    <s v="US BANK"/>
    <x v="4"/>
  </r>
  <r>
    <x v="44"/>
    <n v="925920041.42999995"/>
    <s v="PHH"/>
    <x v="5"/>
  </r>
  <r>
    <x v="44"/>
    <n v="866695910.67999995"/>
    <s v="FLAGSTAR"/>
    <x v="6"/>
  </r>
  <r>
    <x v="44"/>
    <n v="346572111.54000002"/>
    <s v="SUNTRUST"/>
    <x v="7"/>
  </r>
  <r>
    <x v="44"/>
    <n v="338350374.83999997"/>
    <s v="CITI"/>
    <x v="8"/>
  </r>
  <r>
    <x v="44"/>
    <n v="303834401.94"/>
    <s v="FIFTH THIRD"/>
    <x v="9"/>
  </r>
  <r>
    <x v="45"/>
    <n v="9784331441.9799995"/>
    <s v="BANK OF AMERICA"/>
    <x v="0"/>
  </r>
  <r>
    <x v="45"/>
    <n v="9694766233.9400005"/>
    <s v="WELLS FARGO"/>
    <x v="1"/>
  </r>
  <r>
    <x v="45"/>
    <n v="1978334271.0999999"/>
    <s v="CHASE"/>
    <x v="2"/>
  </r>
  <r>
    <x v="45"/>
    <n v="1500074508.27"/>
    <s v="CITI"/>
    <x v="3"/>
  </r>
  <r>
    <x v="45"/>
    <n v="1433374628.02"/>
    <s v="US BANK"/>
    <x v="4"/>
  </r>
  <r>
    <x v="45"/>
    <n v="1294824250.4200001"/>
    <s v="ALLY"/>
    <x v="5"/>
  </r>
  <r>
    <x v="45"/>
    <n v="1050556462.1900001"/>
    <s v="PHH"/>
    <x v="6"/>
  </r>
  <r>
    <x v="45"/>
    <n v="335872685.36000001"/>
    <s v="NATIONSTAR"/>
    <x v="7"/>
  </r>
  <r>
    <x v="45"/>
    <n v="331443465.35000002"/>
    <s v="METLIFE"/>
    <x v="8"/>
  </r>
  <r>
    <x v="45"/>
    <n v="322974816.99000001"/>
    <s v="DBA FREEDOM HOME MORTGAGE CORP"/>
    <x v="9"/>
  </r>
  <r>
    <x v="46"/>
    <n v="9449755251.1200008"/>
    <s v="BANK OF AMERICA"/>
    <x v="0"/>
  </r>
  <r>
    <x v="46"/>
    <n v="9426168566.3199997"/>
    <s v="WELLS FARGO"/>
    <x v="1"/>
  </r>
  <r>
    <x v="46"/>
    <n v="1979944390.26"/>
    <s v="CHASE"/>
    <x v="2"/>
  </r>
  <r>
    <x v="46"/>
    <n v="1631053384.3"/>
    <s v="PHH"/>
    <x v="3"/>
  </r>
  <r>
    <x v="46"/>
    <n v="1148313338.1700001"/>
    <s v="US BANK"/>
    <x v="4"/>
  </r>
  <r>
    <x v="46"/>
    <n v="983765087.01999998"/>
    <s v="ALLY"/>
    <x v="5"/>
  </r>
  <r>
    <x v="46"/>
    <n v="824298715.08000004"/>
    <s v="FLAGSTAR"/>
    <x v="6"/>
  </r>
  <r>
    <x v="46"/>
    <n v="502715959.76999998"/>
    <s v="METLIFE"/>
    <x v="7"/>
  </r>
  <r>
    <x v="46"/>
    <n v="477716620.51999998"/>
    <s v="CITI"/>
    <x v="8"/>
  </r>
  <r>
    <x v="46"/>
    <n v="360386207.33999997"/>
    <s v="DBA FREEDOM HOME MORTGAGE CORP"/>
    <x v="9"/>
  </r>
  <r>
    <x v="47"/>
    <n v="11196638571.49"/>
    <s v="WELLS FARGO"/>
    <x v="0"/>
  </r>
  <r>
    <x v="47"/>
    <n v="7361046437.6000004"/>
    <s v="BANK OF AMERICA"/>
    <x v="1"/>
  </r>
  <r>
    <x v="47"/>
    <n v="2306715354.8200002"/>
    <s v="CHASE"/>
    <x v="2"/>
  </r>
  <r>
    <x v="47"/>
    <n v="1286757113.47"/>
    <s v="US BANK"/>
    <x v="3"/>
  </r>
  <r>
    <x v="47"/>
    <n v="1125922984.8900001"/>
    <s v="PHH"/>
    <x v="4"/>
  </r>
  <r>
    <x v="47"/>
    <n v="885410229.37"/>
    <s v="ALLY"/>
    <x v="5"/>
  </r>
  <r>
    <x v="47"/>
    <n v="597692283.73000002"/>
    <s v="METLIFE"/>
    <x v="6"/>
  </r>
  <r>
    <x v="47"/>
    <n v="559653849.83000004"/>
    <s v="CITI"/>
    <x v="7"/>
  </r>
  <r>
    <x v="47"/>
    <n v="544279623.12"/>
    <s v="FLAGSTAR"/>
    <x v="8"/>
  </r>
  <r>
    <x v="47"/>
    <n v="465068126"/>
    <s v="PRUDENTIAL HUNTOON PAIGE ASSOCIATES, LTD"/>
    <x v="9"/>
  </r>
  <r>
    <x v="48"/>
    <n v="11191306140.16"/>
    <s v="WELLS FARGO"/>
    <x v="0"/>
  </r>
  <r>
    <x v="48"/>
    <n v="9319595229.7099991"/>
    <s v="BANK OF AMERICA"/>
    <x v="1"/>
  </r>
  <r>
    <x v="48"/>
    <n v="1851001705.04"/>
    <s v="CHASE"/>
    <x v="2"/>
  </r>
  <r>
    <x v="48"/>
    <n v="1331286404.53"/>
    <s v="PHH"/>
    <x v="3"/>
  </r>
  <r>
    <x v="48"/>
    <n v="1132061275.4000001"/>
    <s v="US BANK"/>
    <x v="4"/>
  </r>
  <r>
    <x v="48"/>
    <n v="850078336.94000006"/>
    <s v="ALLY"/>
    <x v="5"/>
  </r>
  <r>
    <x v="48"/>
    <n v="569248880.77999997"/>
    <s v="METLIFE"/>
    <x v="6"/>
  </r>
  <r>
    <x v="48"/>
    <n v="569094714.59000003"/>
    <s v="FLAGSTAR"/>
    <x v="7"/>
  </r>
  <r>
    <x v="48"/>
    <n v="478842165.73000002"/>
    <s v="CITI"/>
    <x v="8"/>
  </r>
  <r>
    <x v="48"/>
    <n v="334179830.94999999"/>
    <s v="FIFTH THIRD"/>
    <x v="9"/>
  </r>
  <r>
    <x v="49"/>
    <n v="8086549745.5299997"/>
    <s v="WELLS FARGO"/>
    <x v="0"/>
  </r>
  <r>
    <x v="49"/>
    <n v="6689822178.4700003"/>
    <s v="BANK OF AMERICA"/>
    <x v="1"/>
  </r>
  <r>
    <x v="49"/>
    <n v="1372185497.1700001"/>
    <s v="CHASE"/>
    <x v="2"/>
  </r>
  <r>
    <x v="49"/>
    <n v="1023295271.24"/>
    <s v="PHH"/>
    <x v="3"/>
  </r>
  <r>
    <x v="49"/>
    <n v="877839175.03999996"/>
    <s v="US BANK"/>
    <x v="4"/>
  </r>
  <r>
    <x v="49"/>
    <n v="586572474.48000002"/>
    <s v="ALLY"/>
    <x v="5"/>
  </r>
  <r>
    <x v="49"/>
    <n v="401390903.76999998"/>
    <s v="METLIFE"/>
    <x v="6"/>
  </r>
  <r>
    <x v="49"/>
    <n v="400450698.25"/>
    <s v="FLAGSTAR"/>
    <x v="7"/>
  </r>
  <r>
    <x v="49"/>
    <n v="225131348.52000001"/>
    <s v="FIFTH THIRD"/>
    <x v="8"/>
  </r>
  <r>
    <x v="49"/>
    <n v="221844243.33000001"/>
    <s v="PNC"/>
    <x v="9"/>
  </r>
  <r>
    <x v="50"/>
    <n v="7142348227.9899998"/>
    <s v="WELLS FARGO"/>
    <x v="0"/>
  </r>
  <r>
    <x v="50"/>
    <n v="6007798721.3000002"/>
    <s v="BANK OF AMERICA"/>
    <x v="1"/>
  </r>
  <r>
    <x v="50"/>
    <n v="1753403082.3800001"/>
    <s v="CHASE"/>
    <x v="2"/>
  </r>
  <r>
    <x v="50"/>
    <n v="734838771.58000004"/>
    <s v="US BANK"/>
    <x v="3"/>
  </r>
  <r>
    <x v="50"/>
    <n v="617304975.21000004"/>
    <s v="PHH"/>
    <x v="4"/>
  </r>
  <r>
    <x v="50"/>
    <n v="461329605.54000002"/>
    <s v="ALLY"/>
    <x v="5"/>
  </r>
  <r>
    <x v="50"/>
    <n v="361728307.54000002"/>
    <s v="METLIFE"/>
    <x v="6"/>
  </r>
  <r>
    <x v="50"/>
    <n v="356086663.95999998"/>
    <s v="FLAGSTAR"/>
    <x v="7"/>
  </r>
  <r>
    <x v="50"/>
    <n v="332945590.33999997"/>
    <s v="CITI"/>
    <x v="8"/>
  </r>
  <r>
    <x v="50"/>
    <n v="311643297.69"/>
    <s v="BB&amp;T"/>
    <x v="9"/>
  </r>
  <r>
    <x v="51"/>
    <n v="7487569923.4700003"/>
    <s v="WELLS FARGO"/>
    <x v="0"/>
  </r>
  <r>
    <x v="51"/>
    <n v="6126395282.5699997"/>
    <s v="BANK OF AMERICA"/>
    <x v="1"/>
  </r>
  <r>
    <x v="51"/>
    <n v="1880752425.6500001"/>
    <s v="CHASE"/>
    <x v="2"/>
  </r>
  <r>
    <x v="51"/>
    <n v="752376209.79999995"/>
    <s v="US BANK"/>
    <x v="3"/>
  </r>
  <r>
    <x v="51"/>
    <n v="697585219.14999998"/>
    <s v="PHH"/>
    <x v="4"/>
  </r>
  <r>
    <x v="51"/>
    <n v="429929592.63"/>
    <s v="METLIFE"/>
    <x v="5"/>
  </r>
  <r>
    <x v="51"/>
    <n v="428753507.79000002"/>
    <s v="ALLY"/>
    <x v="6"/>
  </r>
  <r>
    <x v="51"/>
    <n v="408263075"/>
    <s v="FLAGSTAR"/>
    <x v="7"/>
  </r>
  <r>
    <x v="51"/>
    <n v="265559087.28"/>
    <s v="PNC"/>
    <x v="8"/>
  </r>
  <r>
    <x v="51"/>
    <n v="256401393.09"/>
    <s v="CITI"/>
    <x v="9"/>
  </r>
  <r>
    <x v="52"/>
    <n v="7485893519.21"/>
    <s v="WELLS FARGO"/>
    <x v="0"/>
  </r>
  <r>
    <x v="52"/>
    <n v="5762927882.6199999"/>
    <s v="BANK OF AMERICA"/>
    <x v="1"/>
  </r>
  <r>
    <x v="52"/>
    <n v="2174406852.29"/>
    <s v="CHASE"/>
    <x v="2"/>
  </r>
  <r>
    <x v="52"/>
    <n v="608161197.64999998"/>
    <s v="PHH"/>
    <x v="3"/>
  </r>
  <r>
    <x v="52"/>
    <n v="601958537.24000001"/>
    <s v="US BANK"/>
    <x v="4"/>
  </r>
  <r>
    <x v="52"/>
    <n v="459316864.63"/>
    <s v="ALLY"/>
    <x v="5"/>
  </r>
  <r>
    <x v="52"/>
    <n v="443605192.85000002"/>
    <s v="METLIFE"/>
    <x v="6"/>
  </r>
  <r>
    <x v="52"/>
    <n v="408283252.47000003"/>
    <s v="FLAGSTAR"/>
    <x v="7"/>
  </r>
  <r>
    <x v="52"/>
    <n v="253253246.61000001"/>
    <s v="PNC"/>
    <x v="8"/>
  </r>
  <r>
    <x v="52"/>
    <n v="244502094.09"/>
    <s v="SUNTRUST"/>
    <x v="9"/>
  </r>
  <r>
    <x v="53"/>
    <n v="8037102017.3699999"/>
    <s v="WELLS FARGO"/>
    <x v="0"/>
  </r>
  <r>
    <x v="53"/>
    <n v="5798004838.9200001"/>
    <s v="BANK OF AMERICA"/>
    <x v="1"/>
  </r>
  <r>
    <x v="53"/>
    <n v="2263476542.2399998"/>
    <s v="CHASE"/>
    <x v="2"/>
  </r>
  <r>
    <x v="53"/>
    <n v="894123593.24000001"/>
    <s v="PHH"/>
    <x v="3"/>
  </r>
  <r>
    <x v="53"/>
    <n v="670137620.91999996"/>
    <s v="US BANK"/>
    <x v="4"/>
  </r>
  <r>
    <x v="53"/>
    <n v="643649975.04999995"/>
    <s v="ALLY"/>
    <x v="5"/>
  </r>
  <r>
    <x v="53"/>
    <n v="434092831.55000001"/>
    <s v="FLAGSTAR"/>
    <x v="6"/>
  </r>
  <r>
    <x v="53"/>
    <n v="419168284.22000003"/>
    <s v="METLIFE"/>
    <x v="7"/>
  </r>
  <r>
    <x v="53"/>
    <n v="395675688.74000001"/>
    <s v="QUICKEN"/>
    <x v="8"/>
  </r>
  <r>
    <x v="53"/>
    <n v="281658019.81999999"/>
    <s v="PNC"/>
    <x v="9"/>
  </r>
  <r>
    <x v="54"/>
    <n v="8290598483.0799999"/>
    <s v="WELLS FARGO"/>
    <x v="0"/>
  </r>
  <r>
    <x v="54"/>
    <n v="5592657271.3999996"/>
    <s v="BANK OF AMERICA"/>
    <x v="1"/>
  </r>
  <r>
    <x v="54"/>
    <n v="2409116702.98"/>
    <s v="CHASE"/>
    <x v="2"/>
  </r>
  <r>
    <x v="54"/>
    <n v="982541083.70000005"/>
    <s v="PHH"/>
    <x v="3"/>
  </r>
  <r>
    <x v="54"/>
    <n v="752662141.10000002"/>
    <s v="US BANK"/>
    <x v="4"/>
  </r>
  <r>
    <x v="54"/>
    <n v="639291452.46000004"/>
    <s v="FLAGSTAR"/>
    <x v="5"/>
  </r>
  <r>
    <x v="54"/>
    <n v="429162120.43000001"/>
    <s v="METLIFE"/>
    <x v="6"/>
  </r>
  <r>
    <x v="54"/>
    <n v="356883684.76999998"/>
    <s v="ALLY"/>
    <x v="7"/>
  </r>
  <r>
    <x v="54"/>
    <n v="351568051.57999998"/>
    <s v="QUICKEN"/>
    <x v="8"/>
  </r>
  <r>
    <x v="54"/>
    <n v="301274950.01999998"/>
    <s v="BB&amp;T"/>
    <x v="9"/>
  </r>
  <r>
    <x v="55"/>
    <n v="9235841028.9400005"/>
    <s v="WELLS FARGO"/>
    <x v="0"/>
  </r>
  <r>
    <x v="55"/>
    <n v="4847625834.8699999"/>
    <s v="BANK OF AMERICA"/>
    <x v="1"/>
  </r>
  <r>
    <x v="55"/>
    <n v="2608663203.9699998"/>
    <s v="CHASE"/>
    <x v="2"/>
  </r>
  <r>
    <x v="55"/>
    <n v="921897702.82000005"/>
    <s v="PHH"/>
    <x v="3"/>
  </r>
  <r>
    <x v="55"/>
    <n v="671885619.50999999"/>
    <s v="US BANK"/>
    <x v="4"/>
  </r>
  <r>
    <x v="55"/>
    <n v="550835285.99000001"/>
    <s v="FLAGSTAR"/>
    <x v="5"/>
  </r>
  <r>
    <x v="55"/>
    <n v="469759629.55000001"/>
    <s v="ALLY"/>
    <x v="6"/>
  </r>
  <r>
    <x v="55"/>
    <n v="365122445.68000001"/>
    <s v="METLIFE"/>
    <x v="7"/>
  </r>
  <r>
    <x v="55"/>
    <n v="345690365.74000001"/>
    <s v="QUICKEN"/>
    <x v="8"/>
  </r>
  <r>
    <x v="55"/>
    <n v="287502442.05000001"/>
    <s v="PNC"/>
    <x v="9"/>
  </r>
  <r>
    <x v="56"/>
    <n v="9495614488.8299999"/>
    <s v="WELLS FARGO"/>
    <x v="0"/>
  </r>
  <r>
    <x v="56"/>
    <n v="3819074881.2800002"/>
    <s v="BANK OF AMERICA"/>
    <x v="1"/>
  </r>
  <r>
    <x v="56"/>
    <n v="2310406503.02"/>
    <s v="CHASE"/>
    <x v="2"/>
  </r>
  <r>
    <x v="56"/>
    <n v="909837417.96000004"/>
    <s v="PHH"/>
    <x v="3"/>
  </r>
  <r>
    <x v="56"/>
    <n v="859735393.29999995"/>
    <s v="US BANK"/>
    <x v="4"/>
  </r>
  <r>
    <x v="56"/>
    <n v="815209919.17999995"/>
    <s v="FLAGSTAR"/>
    <x v="5"/>
  </r>
  <r>
    <x v="56"/>
    <n v="745770035.08000004"/>
    <s v="ALLY"/>
    <x v="6"/>
  </r>
  <r>
    <x v="56"/>
    <n v="583086867.67999995"/>
    <s v="QUICKEN"/>
    <x v="7"/>
  </r>
  <r>
    <x v="56"/>
    <n v="570242348.27999997"/>
    <s v="METLIFE"/>
    <x v="8"/>
  </r>
  <r>
    <x v="56"/>
    <n v="376251360.82999998"/>
    <s v="CITI"/>
    <x v="9"/>
  </r>
  <r>
    <x v="57"/>
    <n v="8581649843.8400002"/>
    <s v="WELLS FARGO"/>
    <x v="0"/>
  </r>
  <r>
    <x v="57"/>
    <n v="2901359176.8800001"/>
    <s v="BANK OF AMERICA"/>
    <x v="1"/>
  </r>
  <r>
    <x v="57"/>
    <n v="2340701401.02"/>
    <s v="CHASE"/>
    <x v="2"/>
  </r>
  <r>
    <x v="57"/>
    <n v="773678191.63"/>
    <s v="QUICKEN"/>
    <x v="3"/>
  </r>
  <r>
    <x v="57"/>
    <n v="766134699.48000002"/>
    <s v="US BANK"/>
    <x v="4"/>
  </r>
  <r>
    <x v="57"/>
    <n v="716608001.79999995"/>
    <s v="PHH"/>
    <x v="5"/>
  </r>
  <r>
    <x v="57"/>
    <n v="665851667.19000006"/>
    <s v="ALLY"/>
    <x v="6"/>
  </r>
  <r>
    <x v="57"/>
    <n v="575989274.98000002"/>
    <s v="FLAGSTAR"/>
    <x v="7"/>
  </r>
  <r>
    <x v="57"/>
    <n v="553888321.10000002"/>
    <s v="METLIFE"/>
    <x v="8"/>
  </r>
  <r>
    <x v="57"/>
    <n v="402448303.13999999"/>
    <s v="CITI"/>
    <x v="9"/>
  </r>
  <r>
    <x v="58"/>
    <n v="9573021089.2900009"/>
    <s v="WELLS FARGO"/>
    <x v="0"/>
  </r>
  <r>
    <x v="58"/>
    <n v="2997364955.0799999"/>
    <s v="BANK OF AMERICA"/>
    <x v="1"/>
  </r>
  <r>
    <x v="58"/>
    <n v="2561965154.0100002"/>
    <s v="CHASE"/>
    <x v="2"/>
  </r>
  <r>
    <x v="58"/>
    <n v="1051028358.3099999"/>
    <s v="QUICKEN"/>
    <x v="3"/>
  </r>
  <r>
    <x v="58"/>
    <n v="867646024.91999996"/>
    <s v="US BANK"/>
    <x v="4"/>
  </r>
  <r>
    <x v="58"/>
    <n v="738294116.20000005"/>
    <s v="FLAGSTAR"/>
    <x v="5"/>
  </r>
  <r>
    <x v="58"/>
    <n v="713339419.13999999"/>
    <s v="PHH"/>
    <x v="6"/>
  </r>
  <r>
    <x v="58"/>
    <n v="574793038.98000002"/>
    <s v="ALLY"/>
    <x v="7"/>
  </r>
  <r>
    <x v="58"/>
    <n v="456250769.62"/>
    <s v="METLIFE"/>
    <x v="8"/>
  </r>
  <r>
    <x v="58"/>
    <n v="362830454.32999998"/>
    <s v="BB&amp;T"/>
    <x v="9"/>
  </r>
  <r>
    <x v="59"/>
    <n v="9732604193.7800007"/>
    <s v="WELLS FARGO"/>
    <x v="0"/>
  </r>
  <r>
    <x v="59"/>
    <n v="2454782079.79"/>
    <s v="CHASE"/>
    <x v="1"/>
  </r>
  <r>
    <x v="59"/>
    <n v="1519718894"/>
    <s v="BANK OF AMERICA"/>
    <x v="2"/>
  </r>
  <r>
    <x v="59"/>
    <n v="1078410493"/>
    <s v="US BANK"/>
    <x v="3"/>
  </r>
  <r>
    <x v="59"/>
    <n v="994126007.64999998"/>
    <s v="QUICKEN"/>
    <x v="4"/>
  </r>
  <r>
    <x v="59"/>
    <n v="840304742.00999999"/>
    <s v="PHH"/>
    <x v="5"/>
  </r>
  <r>
    <x v="59"/>
    <n v="835490170.02999997"/>
    <s v="ALLY"/>
    <x v="6"/>
  </r>
  <r>
    <x v="59"/>
    <n v="732189860.03999996"/>
    <s v="FLAGSTAR"/>
    <x v="7"/>
  </r>
  <r>
    <x v="59"/>
    <n v="500515827.91000003"/>
    <s v="METLIFE"/>
    <x v="8"/>
  </r>
  <r>
    <x v="59"/>
    <n v="343927847.07999998"/>
    <s v="BB&amp;T"/>
    <x v="9"/>
  </r>
  <r>
    <x v="60"/>
    <n v="11283566053.34"/>
    <s v="WELLS FARGO"/>
    <x v="0"/>
  </r>
  <r>
    <x v="60"/>
    <n v="2561295128.6999998"/>
    <s v="CHASE"/>
    <x v="1"/>
  </r>
  <r>
    <x v="60"/>
    <n v="1241687556.9000001"/>
    <s v="US BANK"/>
    <x v="2"/>
  </r>
  <r>
    <x v="60"/>
    <n v="1202878437.99"/>
    <s v="BANK OF AMERICA"/>
    <x v="3"/>
  </r>
  <r>
    <x v="60"/>
    <n v="1169327183.95"/>
    <s v="QUICKEN"/>
    <x v="4"/>
  </r>
  <r>
    <x v="60"/>
    <n v="825952840.24000001"/>
    <s v="PHH"/>
    <x v="5"/>
  </r>
  <r>
    <x v="60"/>
    <n v="724148026.90999997"/>
    <s v="FLAGSTAR"/>
    <x v="6"/>
  </r>
  <r>
    <x v="60"/>
    <n v="708192190.95000005"/>
    <s v="ALLY"/>
    <x v="7"/>
  </r>
  <r>
    <x v="60"/>
    <n v="505384698.86000001"/>
    <s v="BB&amp;T"/>
    <x v="8"/>
  </r>
  <r>
    <x v="60"/>
    <n v="497296438.82999998"/>
    <s v="METLIFE"/>
    <x v="9"/>
  </r>
  <r>
    <x v="61"/>
    <n v="10212781061.02"/>
    <s v="WELLS FARGO"/>
    <x v="0"/>
  </r>
  <r>
    <x v="61"/>
    <n v="2386808467.02"/>
    <s v="CHASE"/>
    <x v="1"/>
  </r>
  <r>
    <x v="61"/>
    <n v="1495556112.8399999"/>
    <s v="US BANK"/>
    <x v="2"/>
  </r>
  <r>
    <x v="61"/>
    <n v="1150669253.3299999"/>
    <s v="QUICKEN"/>
    <x v="3"/>
  </r>
  <r>
    <x v="61"/>
    <n v="791778146.88"/>
    <s v="FLAGSTAR"/>
    <x v="4"/>
  </r>
  <r>
    <x v="61"/>
    <n v="767796362.38999999"/>
    <s v="PHH"/>
    <x v="5"/>
  </r>
  <r>
    <x v="61"/>
    <n v="746921744.39999998"/>
    <s v="BANK OF AMERICA"/>
    <x v="6"/>
  </r>
  <r>
    <x v="61"/>
    <n v="532293545.26999998"/>
    <s v="ALLY"/>
    <x v="7"/>
  </r>
  <r>
    <x v="61"/>
    <n v="490426869.00999999"/>
    <s v="BB&amp;T"/>
    <x v="8"/>
  </r>
  <r>
    <x v="61"/>
    <n v="470107340.81"/>
    <s v="METLIFE"/>
    <x v="9"/>
  </r>
  <r>
    <x v="62"/>
    <n v="10386620664.41"/>
    <s v="WELLS FARGO"/>
    <x v="0"/>
  </r>
  <r>
    <x v="62"/>
    <n v="3025021312.1799998"/>
    <s v="CHASE"/>
    <x v="1"/>
  </r>
  <r>
    <x v="62"/>
    <n v="1388444116.9000001"/>
    <s v="US BANK"/>
    <x v="2"/>
  </r>
  <r>
    <x v="62"/>
    <n v="1246037232.02"/>
    <s v="QUICKEN"/>
    <x v="3"/>
  </r>
  <r>
    <x v="62"/>
    <n v="928366615.94000006"/>
    <s v="FLAGSTAR"/>
    <x v="4"/>
  </r>
  <r>
    <x v="62"/>
    <n v="872712001.54999995"/>
    <s v="BANK OF AMERICA"/>
    <x v="5"/>
  </r>
  <r>
    <x v="62"/>
    <n v="786087364.27999997"/>
    <s v="PHH"/>
    <x v="6"/>
  </r>
  <r>
    <x v="62"/>
    <n v="497836190.08999997"/>
    <s v="ALLY"/>
    <x v="7"/>
  </r>
  <r>
    <x v="62"/>
    <n v="453592101.39999998"/>
    <s v="DBA FREEDOM HOME MORTGAGE CORP"/>
    <x v="8"/>
  </r>
  <r>
    <x v="62"/>
    <n v="391148443.35000002"/>
    <s v="BB&amp;T"/>
    <x v="9"/>
  </r>
  <r>
    <x v="63"/>
    <n v="14678468587.370001"/>
    <s v="WELLS FARGO"/>
    <x v="0"/>
  </r>
  <r>
    <x v="63"/>
    <n v="3279782580.3499999"/>
    <s v="CHASE"/>
    <x v="1"/>
  </r>
  <r>
    <x v="63"/>
    <n v="1788024057.5599999"/>
    <s v="QUICKEN"/>
    <x v="2"/>
  </r>
  <r>
    <x v="63"/>
    <n v="1623946588.1600001"/>
    <s v="US BANK"/>
    <x v="3"/>
  </r>
  <r>
    <x v="63"/>
    <n v="1101107692.21"/>
    <s v="FLAGSTAR"/>
    <x v="4"/>
  </r>
  <r>
    <x v="63"/>
    <n v="676710285.07000005"/>
    <s v="BANK OF AMERICA"/>
    <x v="5"/>
  </r>
  <r>
    <x v="63"/>
    <n v="618156934.75"/>
    <s v="DBA FREEDOM HOME MORTGAGE CORP"/>
    <x v="6"/>
  </r>
  <r>
    <x v="63"/>
    <n v="609027301.90999997"/>
    <s v="PHH"/>
    <x v="7"/>
  </r>
  <r>
    <x v="63"/>
    <n v="569748972.45000005"/>
    <s v="USAA"/>
    <x v="8"/>
  </r>
  <r>
    <x v="63"/>
    <n v="561576112.60000002"/>
    <s v="FRANKLIN AMERICAN MORTGAGE COMPANY"/>
    <x v="9"/>
  </r>
  <r>
    <x v="64"/>
    <n v="14867243244.77"/>
    <s v="WELLS FARGO"/>
    <x v="0"/>
  </r>
  <r>
    <x v="64"/>
    <n v="3475990122.7399998"/>
    <s v="CHASE"/>
    <x v="1"/>
  </r>
  <r>
    <x v="64"/>
    <n v="1636856120.0699999"/>
    <s v="US BANK"/>
    <x v="2"/>
  </r>
  <r>
    <x v="64"/>
    <n v="1533887121.8499999"/>
    <s v="QUICKEN"/>
    <x v="3"/>
  </r>
  <r>
    <x v="64"/>
    <n v="1203162304.6500001"/>
    <s v="FLAGSTAR"/>
    <x v="4"/>
  </r>
  <r>
    <x v="64"/>
    <n v="797397738.61000001"/>
    <s v="BANK OF AMERICA"/>
    <x v="5"/>
  </r>
  <r>
    <x v="64"/>
    <n v="663623792.21000004"/>
    <s v="USAA"/>
    <x v="6"/>
  </r>
  <r>
    <x v="64"/>
    <n v="617874894.47000003"/>
    <s v="DBA FREEDOM HOME MORTGAGE CORP"/>
    <x v="7"/>
  </r>
  <r>
    <x v="64"/>
    <n v="557253106.67999995"/>
    <s v="FRANKLIN AMERICAN MORTGAGE COMPANY"/>
    <x v="8"/>
  </r>
  <r>
    <x v="64"/>
    <n v="486117890.41000003"/>
    <s v="PHH"/>
    <x v="9"/>
  </r>
  <r>
    <x v="65"/>
    <n v="12472666977.870001"/>
    <s v="WELLS FARGO"/>
    <x v="0"/>
  </r>
  <r>
    <x v="65"/>
    <n v="4129047027.5900002"/>
    <s v="CHASE"/>
    <x v="1"/>
  </r>
  <r>
    <x v="65"/>
    <n v="1654303007.46"/>
    <s v="US BANK"/>
    <x v="2"/>
  </r>
  <r>
    <x v="65"/>
    <n v="1032213747.79"/>
    <s v="FLAGSTAR"/>
    <x v="3"/>
  </r>
  <r>
    <x v="65"/>
    <n v="966010681.48000002"/>
    <s v="QUICKEN"/>
    <x v="4"/>
  </r>
  <r>
    <x v="65"/>
    <n v="723782638.42999995"/>
    <s v="USAA"/>
    <x v="5"/>
  </r>
  <r>
    <x v="65"/>
    <n v="638652801.38"/>
    <s v="BANK OF AMERICA"/>
    <x v="6"/>
  </r>
  <r>
    <x v="65"/>
    <n v="612221707.07000005"/>
    <s v="PENNYMAC LOAN SERVICES, LLC"/>
    <x v="7"/>
  </r>
  <r>
    <x v="65"/>
    <n v="545917402.63999999"/>
    <s v="BB&amp;T"/>
    <x v="8"/>
  </r>
  <r>
    <x v="65"/>
    <n v="543998687.45000005"/>
    <s v="DBA FREEDOM HOME MORTGAGE CORP"/>
    <x v="9"/>
  </r>
  <r>
    <x v="66"/>
    <n v="12115594759.610001"/>
    <s v="WELLS FARGO"/>
    <x v="0"/>
  </r>
  <r>
    <x v="66"/>
    <n v="2680981349.2399998"/>
    <s v="CHASE"/>
    <x v="1"/>
  </r>
  <r>
    <x v="66"/>
    <n v="1498448140.76"/>
    <s v="US BANK"/>
    <x v="2"/>
  </r>
  <r>
    <x v="66"/>
    <n v="867414598.09000003"/>
    <s v="FLAGSTAR"/>
    <x v="3"/>
  </r>
  <r>
    <x v="66"/>
    <n v="861157919.33000004"/>
    <s v="BANK OF AMERICA"/>
    <x v="4"/>
  </r>
  <r>
    <x v="66"/>
    <n v="833624076.48000002"/>
    <s v="QUICKEN"/>
    <x v="5"/>
  </r>
  <r>
    <x v="66"/>
    <n v="648686305.75"/>
    <s v="DBA FREEDOM HOME MORTGAGE CORP"/>
    <x v="6"/>
  </r>
  <r>
    <x v="66"/>
    <n v="647523112.40999997"/>
    <s v="PENNYMAC LOAN SERVICES, LLC"/>
    <x v="7"/>
  </r>
  <r>
    <x v="66"/>
    <n v="596162590.98000002"/>
    <s v="USAA"/>
    <x v="8"/>
  </r>
  <r>
    <x v="66"/>
    <n v="471292020.60000002"/>
    <s v="FRANKLIN AMERICAN MORTGAGE COMPANY"/>
    <x v="9"/>
  </r>
  <r>
    <x v="67"/>
    <n v="15536484394.24"/>
    <s v="WELLS FARGO"/>
    <x v="0"/>
  </r>
  <r>
    <x v="67"/>
    <n v="3610770531.3699999"/>
    <s v="CHASE"/>
    <x v="1"/>
  </r>
  <r>
    <x v="67"/>
    <n v="1448198788.1400001"/>
    <s v="US BANK"/>
    <x v="2"/>
  </r>
  <r>
    <x v="67"/>
    <n v="1241206979.5"/>
    <s v="FLAGSTAR"/>
    <x v="3"/>
  </r>
  <r>
    <x v="67"/>
    <n v="1033452698"/>
    <s v="QUICKEN"/>
    <x v="4"/>
  </r>
  <r>
    <x v="67"/>
    <n v="940599642.59000003"/>
    <s v="FRANKLIN AMERICAN MORTGAGE COMPANY"/>
    <x v="5"/>
  </r>
  <r>
    <x v="67"/>
    <n v="911244053.24000001"/>
    <s v="PENNYMAC LOAN SERVICES, LLC"/>
    <x v="6"/>
  </r>
  <r>
    <x v="67"/>
    <n v="883257447.82000005"/>
    <s v="BANK OF AMERICA"/>
    <x v="7"/>
  </r>
  <r>
    <x v="67"/>
    <n v="873613684.47000003"/>
    <s v="DBA FREEDOM HOME MORTGAGE CORP"/>
    <x v="8"/>
  </r>
  <r>
    <x v="67"/>
    <n v="741317822.19000006"/>
    <s v="USAA"/>
    <x v="9"/>
  </r>
  <r>
    <x v="68"/>
    <n v="14243174523.99"/>
    <s v="WELLS FARGO"/>
    <x v="0"/>
  </r>
  <r>
    <x v="68"/>
    <n v="3530525371.5100002"/>
    <s v="CHASE"/>
    <x v="1"/>
  </r>
  <r>
    <x v="68"/>
    <n v="1626024510.22"/>
    <s v="US BANK"/>
    <x v="2"/>
  </r>
  <r>
    <x v="68"/>
    <n v="1318828499.48"/>
    <s v="QUICKEN"/>
    <x v="3"/>
  </r>
  <r>
    <x v="68"/>
    <n v="1008495978.03"/>
    <s v="FLAGSTAR"/>
    <x v="4"/>
  </r>
  <r>
    <x v="68"/>
    <n v="963210624.91999996"/>
    <s v="BANK OF AMERICA"/>
    <x v="5"/>
  </r>
  <r>
    <x v="68"/>
    <n v="954341251.76999998"/>
    <s v="DBA FREEDOM HOME MORTGAGE CORP"/>
    <x v="6"/>
  </r>
  <r>
    <x v="68"/>
    <n v="885925502.97000003"/>
    <s v="FRANKLIN AMERICAN MORTGAGE COMPANY"/>
    <x v="7"/>
  </r>
  <r>
    <x v="68"/>
    <n v="850069761.46000004"/>
    <s v="PENNYMAC LOAN SERVICES, LLC"/>
    <x v="8"/>
  </r>
  <r>
    <x v="68"/>
    <n v="599176254.21000004"/>
    <s v="USAA"/>
    <x v="9"/>
  </r>
  <r>
    <x v="69"/>
    <n v="12119713533.76"/>
    <s v="WELLS FARGO"/>
    <x v="0"/>
  </r>
  <r>
    <x v="69"/>
    <n v="3647960504.6300001"/>
    <s v="CHASE"/>
    <x v="1"/>
  </r>
  <r>
    <x v="69"/>
    <n v="1320822642.8"/>
    <s v="US BANK"/>
    <x v="2"/>
  </r>
  <r>
    <x v="69"/>
    <n v="1213010804.3299999"/>
    <s v="PENNYMAC LOAN SERVICES, LLC"/>
    <x v="3"/>
  </r>
  <r>
    <x v="69"/>
    <n v="1209129920.97"/>
    <s v="FLAGSTAR"/>
    <x v="4"/>
  </r>
  <r>
    <x v="69"/>
    <n v="1147683633.0899999"/>
    <s v="QUICKEN"/>
    <x v="5"/>
  </r>
  <r>
    <x v="69"/>
    <n v="1063797140.58"/>
    <s v="DBA FREEDOM HOME MORTGAGE CORP"/>
    <x v="6"/>
  </r>
  <r>
    <x v="69"/>
    <n v="769766685.66999996"/>
    <s v="FRANKLIN AMERICAN MORTGAGE COMPANY"/>
    <x v="7"/>
  </r>
  <r>
    <x v="69"/>
    <n v="735677902.50999999"/>
    <s v="BANK OF AMERICA"/>
    <x v="8"/>
  </r>
  <r>
    <x v="69"/>
    <n v="642364941.15999997"/>
    <s v="USAA"/>
    <x v="9"/>
  </r>
  <r>
    <x v="70"/>
    <n v="14279880239.870001"/>
    <s v="WELLS FARGO"/>
    <x v="0"/>
  </r>
  <r>
    <x v="70"/>
    <n v="3867768341.0599999"/>
    <s v="CHASE"/>
    <x v="1"/>
  </r>
  <r>
    <x v="70"/>
    <n v="1410120185.45"/>
    <s v="DBA FREEDOM HOME MORTGAGE CORP"/>
    <x v="2"/>
  </r>
  <r>
    <x v="70"/>
    <n v="1388371101.05"/>
    <s v="QUICKEN"/>
    <x v="3"/>
  </r>
  <r>
    <x v="70"/>
    <n v="1345929826.8099999"/>
    <s v="US BANK"/>
    <x v="4"/>
  </r>
  <r>
    <x v="70"/>
    <n v="1141247243.5699999"/>
    <s v="PENNYMAC LOAN SERVICES, LLC"/>
    <x v="5"/>
  </r>
  <r>
    <x v="70"/>
    <n v="1122261747.9300001"/>
    <s v="FLAGSTAR"/>
    <x v="6"/>
  </r>
  <r>
    <x v="70"/>
    <n v="1101156705.0699999"/>
    <s v="BANK OF AMERICA"/>
    <x v="7"/>
  </r>
  <r>
    <x v="70"/>
    <n v="756950622.17999995"/>
    <s v="USAA"/>
    <x v="8"/>
  </r>
  <r>
    <x v="70"/>
    <n v="687746377.41999996"/>
    <s v="FRANKLIN AMERICAN MORTGAGE COMPANY"/>
    <x v="9"/>
  </r>
  <r>
    <x v="71"/>
    <n v="11715803235.52"/>
    <s v="WELLS FARGO"/>
    <x v="0"/>
  </r>
  <r>
    <x v="71"/>
    <n v="4603155104.75"/>
    <s v="CHASE"/>
    <x v="1"/>
  </r>
  <r>
    <x v="71"/>
    <n v="1426030210.0899999"/>
    <s v="US BANK"/>
    <x v="2"/>
  </r>
  <r>
    <x v="71"/>
    <n v="1333008346.5999999"/>
    <s v="QUICKEN"/>
    <x v="3"/>
  </r>
  <r>
    <x v="71"/>
    <n v="1262535516.5"/>
    <s v="PENNYMAC LOAN SERVICES, LLC"/>
    <x v="4"/>
  </r>
  <r>
    <x v="71"/>
    <n v="1195233760.3199999"/>
    <s v="DBA FREEDOM HOME MORTGAGE CORP"/>
    <x v="5"/>
  </r>
  <r>
    <x v="71"/>
    <n v="1060890323.79"/>
    <s v="FLAGSTAR"/>
    <x v="6"/>
  </r>
  <r>
    <x v="71"/>
    <n v="1050570358.36"/>
    <s v="BANK OF AMERICA"/>
    <x v="7"/>
  </r>
  <r>
    <x v="71"/>
    <n v="777947751"/>
    <s v="PRUDENTIAL HUNTOON PAIGE ASSOCIATES, LTD"/>
    <x v="8"/>
  </r>
  <r>
    <x v="71"/>
    <n v="696726169.28999996"/>
    <s v="FIFTH THIRD"/>
    <x v="9"/>
  </r>
  <r>
    <x v="72"/>
    <n v="12333810135.870001"/>
    <s v="WELLS FARGO"/>
    <x v="0"/>
  </r>
  <r>
    <x v="72"/>
    <n v="3406595229.4200001"/>
    <s v="CHASE"/>
    <x v="1"/>
  </r>
  <r>
    <x v="72"/>
    <n v="1358811877.3299999"/>
    <s v="DBA FREEDOM HOME MORTGAGE CORP"/>
    <x v="2"/>
  </r>
  <r>
    <x v="72"/>
    <n v="1278250980.23"/>
    <s v="QUICKEN"/>
    <x v="3"/>
  </r>
  <r>
    <x v="72"/>
    <n v="1250542649.1199999"/>
    <s v="PENNYMAC LOAN SERVICES, LLC"/>
    <x v="4"/>
  </r>
  <r>
    <x v="72"/>
    <n v="1098609814.0599999"/>
    <s v="US BANK"/>
    <x v="5"/>
  </r>
  <r>
    <x v="72"/>
    <n v="1056753409.04"/>
    <s v="FLAGSTAR"/>
    <x v="6"/>
  </r>
  <r>
    <x v="72"/>
    <n v="905677367.41999996"/>
    <s v="BANK OF AMERICA"/>
    <x v="7"/>
  </r>
  <r>
    <x v="72"/>
    <n v="628292826.95000005"/>
    <s v="FRANKLIN AMERICAN MORTGAGE COMPANY"/>
    <x v="8"/>
  </r>
  <r>
    <x v="72"/>
    <n v="587531397.90999997"/>
    <s v="FIFTH THIRD"/>
    <x v="9"/>
  </r>
  <r>
    <x v="73"/>
    <n v="11492145992.860001"/>
    <s v="WELLS FARGO"/>
    <x v="0"/>
  </r>
  <r>
    <x v="73"/>
    <n v="4297785616.7799997"/>
    <s v="CHASE"/>
    <x v="1"/>
  </r>
  <r>
    <x v="73"/>
    <n v="1522817944.51"/>
    <s v="DBA FREEDOM HOME MORTGAGE CORP"/>
    <x v="2"/>
  </r>
  <r>
    <x v="73"/>
    <n v="1508469793.8099999"/>
    <s v="QUICKEN"/>
    <x v="3"/>
  </r>
  <r>
    <x v="73"/>
    <n v="1434622714.1600001"/>
    <s v="US BANK"/>
    <x v="4"/>
  </r>
  <r>
    <x v="73"/>
    <n v="1221634377.97"/>
    <s v="PENNYMAC LOAN SERVICES, LLC"/>
    <x v="5"/>
  </r>
  <r>
    <x v="73"/>
    <n v="1051446865.35"/>
    <s v="FLAGSTAR"/>
    <x v="6"/>
  </r>
  <r>
    <x v="73"/>
    <n v="726387958.42999995"/>
    <s v="BANK OF AMERICA"/>
    <x v="7"/>
  </r>
  <r>
    <x v="73"/>
    <n v="605117600.45000005"/>
    <s v="FRANKLIN AMERICAN MORTGAGE COMPANY"/>
    <x v="8"/>
  </r>
  <r>
    <x v="73"/>
    <n v="590980280.65999997"/>
    <s v="USAA"/>
    <x v="9"/>
  </r>
  <r>
    <x v="74"/>
    <n v="9568034422.0900002"/>
    <s v="WELLS FARGO"/>
    <x v="0"/>
  </r>
  <r>
    <x v="74"/>
    <n v="4541262709.5900002"/>
    <s v="CHASE"/>
    <x v="1"/>
  </r>
  <r>
    <x v="74"/>
    <n v="1531102982.5999999"/>
    <s v="QUICKEN"/>
    <x v="2"/>
  </r>
  <r>
    <x v="74"/>
    <n v="1390934944.3399999"/>
    <s v="DBA FREEDOM HOME MORTGAGE CORP"/>
    <x v="3"/>
  </r>
  <r>
    <x v="74"/>
    <n v="1222387102.5999999"/>
    <s v="US BANK"/>
    <x v="4"/>
  </r>
  <r>
    <x v="74"/>
    <n v="1185296820.3"/>
    <s v="PENNYMAC LOAN SERVICES, LLC"/>
    <x v="5"/>
  </r>
  <r>
    <x v="74"/>
    <n v="968502735.75"/>
    <s v="FLAGSTAR"/>
    <x v="6"/>
  </r>
  <r>
    <x v="74"/>
    <n v="766459786.45000005"/>
    <s v="BANK OF AMERICA"/>
    <x v="7"/>
  </r>
  <r>
    <x v="74"/>
    <n v="678345069.05999994"/>
    <s v="FIFTH THIRD"/>
    <x v="8"/>
  </r>
  <r>
    <x v="74"/>
    <n v="494448848.54000002"/>
    <s v="USAA"/>
    <x v="9"/>
  </r>
  <r>
    <x v="75"/>
    <n v="11279857954.74"/>
    <s v="WELLS FARGO"/>
    <x v="0"/>
  </r>
  <r>
    <x v="75"/>
    <n v="4195492989.2800002"/>
    <s v="CHASE"/>
    <x v="1"/>
  </r>
  <r>
    <x v="75"/>
    <n v="1797450747.04"/>
    <s v="QUICKEN"/>
    <x v="2"/>
  </r>
  <r>
    <x v="75"/>
    <n v="1648217309.1500001"/>
    <s v="US BANK"/>
    <x v="3"/>
  </r>
  <r>
    <x v="75"/>
    <n v="1302284671.3699999"/>
    <s v="DBA FREEDOM HOME MORTGAGE CORP"/>
    <x v="4"/>
  </r>
  <r>
    <x v="75"/>
    <n v="1297895003.49"/>
    <s v="PENNYMAC LOAN SERVICES, LLC"/>
    <x v="5"/>
  </r>
  <r>
    <x v="75"/>
    <n v="1086522366.0599999"/>
    <s v="BANK OF AMERICA"/>
    <x v="6"/>
  </r>
  <r>
    <x v="75"/>
    <n v="918488192.34000003"/>
    <s v="FLAGSTAR"/>
    <x v="7"/>
  </r>
  <r>
    <x v="75"/>
    <n v="860474327.73000002"/>
    <s v="FIFTH THIRD"/>
    <x v="8"/>
  </r>
  <r>
    <x v="75"/>
    <n v="584291828.42999995"/>
    <s v="USAA"/>
    <x v="9"/>
  </r>
  <r>
    <x v="76"/>
    <n v="11488927028.709999"/>
    <s v="WELLS FARGO"/>
    <x v="0"/>
  </r>
  <r>
    <x v="76"/>
    <n v="4738173677.5200005"/>
    <s v="CHASE"/>
    <x v="1"/>
  </r>
  <r>
    <x v="76"/>
    <n v="1755678401.27"/>
    <s v="QUICKEN"/>
    <x v="2"/>
  </r>
  <r>
    <x v="76"/>
    <n v="1596995131.97"/>
    <s v="US BANK"/>
    <x v="3"/>
  </r>
  <r>
    <x v="76"/>
    <n v="1292282132.1900001"/>
    <s v="PENNYMAC LOAN SERVICES, LLC"/>
    <x v="4"/>
  </r>
  <r>
    <x v="76"/>
    <n v="1035640548.02"/>
    <s v="BANK OF AMERICA"/>
    <x v="5"/>
  </r>
  <r>
    <x v="76"/>
    <n v="931298107.47000003"/>
    <s v="DBA FREEDOM HOME MORTGAGE CORP"/>
    <x v="6"/>
  </r>
  <r>
    <x v="76"/>
    <n v="906812377.44000006"/>
    <s v="FLAGSTAR"/>
    <x v="7"/>
  </r>
  <r>
    <x v="76"/>
    <n v="710435857.17999995"/>
    <s v="FIFTH THIRD"/>
    <x v="8"/>
  </r>
  <r>
    <x v="76"/>
    <n v="657931738.21000004"/>
    <s v="USAA"/>
    <x v="9"/>
  </r>
  <r>
    <x v="77"/>
    <n v="10901539313.190001"/>
    <s v="WELLS FARGO"/>
    <x v="0"/>
  </r>
  <r>
    <x v="77"/>
    <n v="4730381051.3400002"/>
    <s v="CHASE"/>
    <x v="1"/>
  </r>
  <r>
    <x v="77"/>
    <n v="1580686262.49"/>
    <s v="PENNYMAC LOAN SERVICES, LLC"/>
    <x v="2"/>
  </r>
  <r>
    <x v="77"/>
    <n v="1376326862.25"/>
    <s v="QUICKEN"/>
    <x v="3"/>
  </r>
  <r>
    <x v="77"/>
    <n v="1342873390.71"/>
    <s v="BANK OF AMERICA"/>
    <x v="4"/>
  </r>
  <r>
    <x v="77"/>
    <n v="1216785434.53"/>
    <s v="US BANK"/>
    <x v="5"/>
  </r>
  <r>
    <x v="77"/>
    <n v="989690722.12"/>
    <s v="DBA FREEDOM HOME MORTGAGE CORP"/>
    <x v="6"/>
  </r>
  <r>
    <x v="77"/>
    <n v="866478125.78999996"/>
    <s v="FLAGSTAR"/>
    <x v="7"/>
  </r>
  <r>
    <x v="77"/>
    <n v="774315018.16999996"/>
    <s v="FIFTH THIRD"/>
    <x v="8"/>
  </r>
  <r>
    <x v="77"/>
    <n v="764355435.16999996"/>
    <s v="USAA"/>
    <x v="9"/>
  </r>
  <r>
    <x v="78"/>
    <n v="10136035522.35"/>
    <s v="WELLS FARGO"/>
    <x v="0"/>
  </r>
  <r>
    <x v="78"/>
    <n v="4465855112.6400003"/>
    <s v="CHASE"/>
    <x v="1"/>
  </r>
  <r>
    <x v="78"/>
    <n v="1643145346.3900001"/>
    <s v="BANK OF AMERICA"/>
    <x v="2"/>
  </r>
  <r>
    <x v="78"/>
    <n v="1497063712.9400001"/>
    <s v="PENNYMAC LOAN SERVICES, LLC"/>
    <x v="3"/>
  </r>
  <r>
    <x v="78"/>
    <n v="1213419445.95"/>
    <s v="US BANK"/>
    <x v="4"/>
  </r>
  <r>
    <x v="78"/>
    <n v="1175656245.8800001"/>
    <s v="QUICKEN"/>
    <x v="5"/>
  </r>
  <r>
    <x v="78"/>
    <n v="1000607956.98"/>
    <s v="M&amp;T BANK"/>
    <x v="6"/>
  </r>
  <r>
    <x v="78"/>
    <n v="917539108.76999998"/>
    <s v="USAA"/>
    <x v="7"/>
  </r>
  <r>
    <x v="78"/>
    <n v="860237870.13"/>
    <s v="DBA FREEDOM HOME MORTGAGE CORP"/>
    <x v="8"/>
  </r>
  <r>
    <x v="78"/>
    <n v="788508760.62"/>
    <s v="FIFTH THIRD"/>
    <x v="9"/>
  </r>
  <r>
    <x v="79"/>
    <n v="8870949392.1399994"/>
    <s v="WELLS FARGO"/>
    <x v="0"/>
  </r>
  <r>
    <x v="79"/>
    <n v="3980782790.2600002"/>
    <s v="CHASE"/>
    <x v="1"/>
  </r>
  <r>
    <x v="79"/>
    <n v="1522616013.21"/>
    <s v="BANK OF AMERICA"/>
    <x v="2"/>
  </r>
  <r>
    <x v="79"/>
    <n v="1468817888.6099999"/>
    <s v="PENNYMAC LOAN SERVICES, LLC"/>
    <x v="3"/>
  </r>
  <r>
    <x v="79"/>
    <n v="1325441628.4000001"/>
    <s v="US BANK"/>
    <x v="4"/>
  </r>
  <r>
    <x v="79"/>
    <n v="940900321.38999999"/>
    <s v="QUICKEN"/>
    <x v="5"/>
  </r>
  <r>
    <x v="79"/>
    <n v="925588421.05999994"/>
    <s v="USAA"/>
    <x v="6"/>
  </r>
  <r>
    <x v="79"/>
    <n v="741313532.32000005"/>
    <s v="FLAGSTAR"/>
    <x v="7"/>
  </r>
  <r>
    <x v="79"/>
    <n v="599862075.03999996"/>
    <s v="DBA FREEDOM HOME MORTGAGE CORP"/>
    <x v="8"/>
  </r>
  <r>
    <x v="79"/>
    <n v="532567846.5"/>
    <s v="NATIONSTAR"/>
    <x v="9"/>
  </r>
  <r>
    <x v="80"/>
    <n v="7267875544.7299995"/>
    <s v="WELLS FARGO"/>
    <x v="0"/>
  </r>
  <r>
    <x v="80"/>
    <n v="3471777396.3299999"/>
    <s v="CHASE"/>
    <x v="1"/>
  </r>
  <r>
    <x v="80"/>
    <n v="1341424820.1500001"/>
    <s v="BANK OF AMERICA"/>
    <x v="2"/>
  </r>
  <r>
    <x v="80"/>
    <n v="1172147863.8399999"/>
    <s v="PENNYMAC LOAN SERVICES, LLC"/>
    <x v="3"/>
  </r>
  <r>
    <x v="80"/>
    <n v="1147045018.1099999"/>
    <s v="US BANK"/>
    <x v="4"/>
  </r>
  <r>
    <x v="80"/>
    <n v="782389323.86000001"/>
    <s v="QUICKEN"/>
    <x v="5"/>
  </r>
  <r>
    <x v="80"/>
    <n v="683770829.99000001"/>
    <s v="USAA"/>
    <x v="6"/>
  </r>
  <r>
    <x v="80"/>
    <n v="670423511.88"/>
    <s v="NATIONSTAR"/>
    <x v="7"/>
  </r>
  <r>
    <x v="80"/>
    <n v="641375462.87"/>
    <s v="FLAGSTAR"/>
    <x v="8"/>
  </r>
  <r>
    <x v="80"/>
    <n v="598361111"/>
    <s v="PRUDENTIAL HUNTOON PAIGE ASSOCIATES, LTD"/>
    <x v="9"/>
  </r>
  <r>
    <x v="81"/>
    <n v="6287281036.2299995"/>
    <s v="WELLS FARGO"/>
    <x v="0"/>
  </r>
  <r>
    <x v="81"/>
    <n v="3182328797.0799999"/>
    <s v="CHASE"/>
    <x v="1"/>
  </r>
  <r>
    <x v="81"/>
    <n v="1258315006.4100001"/>
    <s v="PENNYMAC LOAN SERVICES, LLC"/>
    <x v="2"/>
  </r>
  <r>
    <x v="81"/>
    <n v="974102458.21000004"/>
    <s v="US BANK"/>
    <x v="3"/>
  </r>
  <r>
    <x v="81"/>
    <n v="812256710.12"/>
    <s v="BANK OF AMERICA"/>
    <x v="4"/>
  </r>
  <r>
    <x v="81"/>
    <n v="779301985.91999996"/>
    <s v="QUICKEN"/>
    <x v="5"/>
  </r>
  <r>
    <x v="81"/>
    <n v="754718398.10000002"/>
    <s v="NATIONSTAR"/>
    <x v="6"/>
  </r>
  <r>
    <x v="81"/>
    <n v="615656843.39999998"/>
    <s v="FLAGSTAR"/>
    <x v="7"/>
  </r>
  <r>
    <x v="81"/>
    <n v="539416375.85000002"/>
    <s v="USAA"/>
    <x v="8"/>
  </r>
  <r>
    <x v="81"/>
    <n v="482252231.64999998"/>
    <s v="CMG MORTGAGE INC"/>
    <x v="9"/>
  </r>
  <r>
    <x v="82"/>
    <n v="6464423980.5"/>
    <s v="WELLS FARGO"/>
    <x v="0"/>
  </r>
  <r>
    <x v="82"/>
    <n v="2463325497.46"/>
    <s v="CHASE"/>
    <x v="1"/>
  </r>
  <r>
    <x v="82"/>
    <n v="1076163316.6600001"/>
    <s v="PENNYMAC LOAN SERVICES, LLC"/>
    <x v="2"/>
  </r>
  <r>
    <x v="82"/>
    <n v="799622429.14999998"/>
    <s v="US BANK"/>
    <x v="3"/>
  </r>
  <r>
    <x v="82"/>
    <n v="797068629.88999999"/>
    <s v="QUICKEN"/>
    <x v="4"/>
  </r>
  <r>
    <x v="82"/>
    <n v="668737119.49000001"/>
    <s v="BANK OF AMERICA"/>
    <x v="5"/>
  </r>
  <r>
    <x v="82"/>
    <n v="639144067.30999994"/>
    <s v="FLAGSTAR"/>
    <x v="6"/>
  </r>
  <r>
    <x v="82"/>
    <n v="516460274.13"/>
    <s v="DBA FREEDOM HOME MORTGAGE CORP"/>
    <x v="7"/>
  </r>
  <r>
    <x v="82"/>
    <n v="449112516.25"/>
    <s v="BB&amp;T"/>
    <x v="8"/>
  </r>
  <r>
    <x v="82"/>
    <n v="441916409.88999999"/>
    <s v="USAA"/>
    <x v="9"/>
  </r>
  <r>
    <x v="83"/>
    <n v="4731307858.5900002"/>
    <s v="WELLS FARGO"/>
    <x v="0"/>
  </r>
  <r>
    <x v="83"/>
    <n v="1724480336.5599999"/>
    <s v="CHASE"/>
    <x v="1"/>
  </r>
  <r>
    <x v="83"/>
    <n v="1113262611.8599999"/>
    <s v="PENNYMAC LOAN SERVICES, LLC"/>
    <x v="2"/>
  </r>
  <r>
    <x v="83"/>
    <n v="870228630.88999999"/>
    <s v="QUICKEN"/>
    <x v="3"/>
  </r>
  <r>
    <x v="83"/>
    <n v="815707268.17999995"/>
    <s v="BANK OF AMERICA"/>
    <x v="4"/>
  </r>
  <r>
    <x v="83"/>
    <n v="558729588.00999999"/>
    <s v="DBA FREEDOM HOME MORTGAGE CORP"/>
    <x v="5"/>
  </r>
  <r>
    <x v="83"/>
    <n v="513276919.01999998"/>
    <s v="US BANK"/>
    <x v="6"/>
  </r>
  <r>
    <x v="83"/>
    <n v="461977965.93000001"/>
    <s v="FLAGSTAR"/>
    <x v="7"/>
  </r>
  <r>
    <x v="83"/>
    <n v="410582199.24000001"/>
    <s v="NATIONSTAR"/>
    <x v="8"/>
  </r>
  <r>
    <x v="83"/>
    <n v="396248148.92000002"/>
    <s v="USAA"/>
    <x v="9"/>
  </r>
  <r>
    <x v="84"/>
    <n v="4800004095.4399996"/>
    <s v="WELLS FARGO"/>
    <x v="0"/>
  </r>
  <r>
    <x v="84"/>
    <n v="1862401712.6600001"/>
    <s v="CHASE"/>
    <x v="1"/>
  </r>
  <r>
    <x v="84"/>
    <n v="1066458116.17"/>
    <s v="PENNYMAC LOAN SERVICES, LLC"/>
    <x v="2"/>
  </r>
  <r>
    <x v="84"/>
    <n v="802516246.95000005"/>
    <s v="QUICKEN"/>
    <x v="3"/>
  </r>
  <r>
    <x v="84"/>
    <n v="787323265.19000006"/>
    <s v="BANK OF AMERICA"/>
    <x v="4"/>
  </r>
  <r>
    <x v="84"/>
    <n v="719029877.03999996"/>
    <s v="DBA FREEDOM HOME MORTGAGE CORP"/>
    <x v="5"/>
  </r>
  <r>
    <x v="84"/>
    <n v="608692529.63"/>
    <s v="US BANK"/>
    <x v="6"/>
  </r>
  <r>
    <x v="84"/>
    <n v="511331717.36000001"/>
    <s v="FLAGSTAR"/>
    <x v="7"/>
  </r>
  <r>
    <x v="84"/>
    <n v="353889252.02999997"/>
    <s v="STONEGATE MORTGAGE CORPORATION"/>
    <x v="8"/>
  </r>
  <r>
    <x v="84"/>
    <n v="334244324.25"/>
    <s v="NATIONSTAR"/>
    <x v="9"/>
  </r>
  <r>
    <x v="85"/>
    <n v="4975614792.9300003"/>
    <s v="WELLS FARGO"/>
    <x v="0"/>
  </r>
  <r>
    <x v="85"/>
    <n v="1533271487.3800001"/>
    <s v="CHASE"/>
    <x v="1"/>
  </r>
  <r>
    <x v="85"/>
    <n v="929692115.90999997"/>
    <s v="US BANK"/>
    <x v="2"/>
  </r>
  <r>
    <x v="85"/>
    <n v="865514313.89999998"/>
    <s v="PENNYMAC LOAN SERVICES, LLC"/>
    <x v="3"/>
  </r>
  <r>
    <x v="85"/>
    <n v="770937960.11000001"/>
    <s v="DBA FREEDOM HOME MORTGAGE CORP"/>
    <x v="4"/>
  </r>
  <r>
    <x v="85"/>
    <n v="757958069.71000004"/>
    <s v="BANK OF AMERICA"/>
    <x v="5"/>
  </r>
  <r>
    <x v="85"/>
    <n v="708551293.49000001"/>
    <s v="QUICKEN"/>
    <x v="6"/>
  </r>
  <r>
    <x v="85"/>
    <n v="402849410.14999998"/>
    <s v="USAA"/>
    <x v="7"/>
  </r>
  <r>
    <x v="85"/>
    <n v="394848037.62"/>
    <s v="FLAGSTAR"/>
    <x v="8"/>
  </r>
  <r>
    <x v="85"/>
    <n v="329701965.72000003"/>
    <s v="NATIONSTAR"/>
    <x v="9"/>
  </r>
  <r>
    <x v="86"/>
    <n v="3220958142.0500002"/>
    <s v="WELLS FARGO"/>
    <x v="0"/>
  </r>
  <r>
    <x v="86"/>
    <n v="1089146163.8"/>
    <s v="CHASE"/>
    <x v="1"/>
  </r>
  <r>
    <x v="86"/>
    <n v="1022805617.8200001"/>
    <s v="PENNYMAC LOAN SERVICES, LLC"/>
    <x v="2"/>
  </r>
  <r>
    <x v="86"/>
    <n v="712356474.03999996"/>
    <s v="FREEDOM"/>
    <x v="3"/>
  </r>
  <r>
    <x v="86"/>
    <n v="695291908.09000003"/>
    <s v="QUICKEN"/>
    <x v="4"/>
  </r>
  <r>
    <x v="86"/>
    <n v="563502069.10000002"/>
    <s v="BANK OF AMERICA"/>
    <x v="5"/>
  </r>
  <r>
    <x v="86"/>
    <n v="480247030.62"/>
    <s v="US BANK"/>
    <x v="6"/>
  </r>
  <r>
    <x v="86"/>
    <n v="431135901.98000002"/>
    <s v="FLAGSTAR"/>
    <x v="7"/>
  </r>
  <r>
    <x v="86"/>
    <n v="381263288.63"/>
    <s v="NATIONSTAR"/>
    <x v="8"/>
  </r>
  <r>
    <x v="86"/>
    <n v="344011655.41000003"/>
    <s v="USAA"/>
    <x v="9"/>
  </r>
  <r>
    <x v="87"/>
    <n v="4445417365.0100002"/>
    <s v="WELLS FARGO"/>
    <x v="0"/>
  </r>
  <r>
    <x v="87"/>
    <n v="1289246266.5"/>
    <s v="PENNYMAC LOAN SERVICES, LLC"/>
    <x v="1"/>
  </r>
  <r>
    <x v="87"/>
    <n v="1181772643.3199999"/>
    <s v="CHASE"/>
    <x v="2"/>
  </r>
  <r>
    <x v="87"/>
    <n v="939936270.5"/>
    <s v="FREEDOM"/>
    <x v="3"/>
  </r>
  <r>
    <x v="87"/>
    <n v="891231518.87"/>
    <s v="QUICKEN"/>
    <x v="4"/>
  </r>
  <r>
    <x v="87"/>
    <n v="577555244.13"/>
    <s v="US BANK"/>
    <x v="5"/>
  </r>
  <r>
    <x v="87"/>
    <n v="560402271.94000006"/>
    <s v="BANK OF AMERICA"/>
    <x v="6"/>
  </r>
  <r>
    <x v="87"/>
    <n v="540535444.28999996"/>
    <s v="FLAGSTAR"/>
    <x v="7"/>
  </r>
  <r>
    <x v="87"/>
    <n v="478836948.66000003"/>
    <s v="NATIONSTAR"/>
    <x v="8"/>
  </r>
  <r>
    <x v="87"/>
    <n v="395128360.19999999"/>
    <s v="PINGORA LOAN SERVICING, INC."/>
    <x v="9"/>
  </r>
  <r>
    <x v="88"/>
    <n v="5355107741.7399998"/>
    <s v="WELLS FARGO"/>
    <x v="0"/>
  </r>
  <r>
    <x v="88"/>
    <n v="1357591642.0799999"/>
    <s v="PENNYMAC LOAN SERVICES, LLC"/>
    <x v="1"/>
  </r>
  <r>
    <x v="88"/>
    <n v="1184891022.47"/>
    <s v="CHASE"/>
    <x v="2"/>
  </r>
  <r>
    <x v="88"/>
    <n v="964743791.53999996"/>
    <s v="QUICKEN"/>
    <x v="3"/>
  </r>
  <r>
    <x v="88"/>
    <n v="655069246.73000002"/>
    <s v="US BANK"/>
    <x v="4"/>
  </r>
  <r>
    <x v="88"/>
    <n v="646605506.82000005"/>
    <s v="PINGORA LOAN SERVICING, INC."/>
    <x v="5"/>
  </r>
  <r>
    <x v="88"/>
    <n v="624382026.03999996"/>
    <s v="DBA FREEDOM HOME MORTGAGE CORP"/>
    <x v="6"/>
  </r>
  <r>
    <x v="88"/>
    <n v="594617651.25"/>
    <s v="BANK OF AMERICA"/>
    <x v="7"/>
  </r>
  <r>
    <x v="88"/>
    <n v="515014397.62"/>
    <s v="FLAGSTAR"/>
    <x v="8"/>
  </r>
  <r>
    <x v="88"/>
    <n v="471330854.68000001"/>
    <s v="NATIONSTAR"/>
    <x v="9"/>
  </r>
  <r>
    <x v="89"/>
    <n v="6002735545.8500004"/>
    <s v="WELLS FARGO"/>
    <x v="0"/>
  </r>
  <r>
    <x v="89"/>
    <n v="1326631431.48"/>
    <s v="PENNYMAC LOAN SERVICES, LLC"/>
    <x v="1"/>
  </r>
  <r>
    <x v="89"/>
    <n v="1080807363.3299999"/>
    <s v="FREEDOM"/>
    <x v="2"/>
  </r>
  <r>
    <x v="89"/>
    <n v="993878458.38999999"/>
    <s v="QUICKEN"/>
    <x v="3"/>
  </r>
  <r>
    <x v="89"/>
    <n v="845899464.78999996"/>
    <s v="CHASE"/>
    <x v="4"/>
  </r>
  <r>
    <x v="89"/>
    <n v="769198130.64999998"/>
    <s v="US BANK"/>
    <x v="5"/>
  </r>
  <r>
    <x v="89"/>
    <n v="608138021.98000002"/>
    <s v="PINGORA LOAN SERVICING, INC."/>
    <x v="6"/>
  </r>
  <r>
    <x v="89"/>
    <n v="546000521.87"/>
    <s v="FLAGSTAR"/>
    <x v="7"/>
  </r>
  <r>
    <x v="89"/>
    <n v="539540337.66999996"/>
    <s v="USAA"/>
    <x v="8"/>
  </r>
  <r>
    <x v="89"/>
    <n v="491285245.54000002"/>
    <s v="SUNTRUST"/>
    <x v="9"/>
  </r>
  <r>
    <x v="90"/>
    <n v="4723917455.1999998"/>
    <s v="WELLS FARGO"/>
    <x v="0"/>
  </r>
  <r>
    <x v="90"/>
    <n v="1670155620.8699999"/>
    <s v="PENNYMAC LOAN SERVICES, LLC"/>
    <x v="1"/>
  </r>
  <r>
    <x v="90"/>
    <n v="1027789952.87"/>
    <s v="QUICKEN"/>
    <x v="2"/>
  </r>
  <r>
    <x v="90"/>
    <n v="1023157972.13"/>
    <s v="US BANK"/>
    <x v="3"/>
  </r>
  <r>
    <x v="90"/>
    <n v="910093667.67999995"/>
    <s v="CHASE"/>
    <x v="4"/>
  </r>
  <r>
    <x v="90"/>
    <n v="877802032.32000005"/>
    <s v="PINGORA LOAN SERVICING, INC."/>
    <x v="5"/>
  </r>
  <r>
    <x v="90"/>
    <n v="791978650.03999996"/>
    <s v="USAA"/>
    <x v="6"/>
  </r>
  <r>
    <x v="90"/>
    <n v="698183951.72000003"/>
    <s v="DBA FREEDOM HOME MORTGAGE CORP"/>
    <x v="7"/>
  </r>
  <r>
    <x v="90"/>
    <n v="691950470.26999998"/>
    <s v="FREEDOM"/>
    <x v="8"/>
  </r>
  <r>
    <x v="90"/>
    <n v="650480839.63999999"/>
    <s v="FLAGSTAR"/>
    <x v="9"/>
  </r>
  <r>
    <x v="91"/>
    <n v="6318663594.3699999"/>
    <s v="WELLS FARGO"/>
    <x v="0"/>
  </r>
  <r>
    <x v="91"/>
    <n v="1699898385.21"/>
    <s v="FREEDOM"/>
    <x v="1"/>
  </r>
  <r>
    <x v="91"/>
    <n v="1635145941.8399999"/>
    <s v="PENNYMAC LOAN SERVICES, LLC"/>
    <x v="2"/>
  </r>
  <r>
    <x v="91"/>
    <n v="1320321847.8299999"/>
    <s v="US BANK"/>
    <x v="3"/>
  </r>
  <r>
    <x v="91"/>
    <n v="1055336225.5700001"/>
    <s v="CHASE"/>
    <x v="4"/>
  </r>
  <r>
    <x v="91"/>
    <n v="981734208.25999999"/>
    <s v="QUICKEN"/>
    <x v="5"/>
  </r>
  <r>
    <x v="91"/>
    <n v="975030866.97000003"/>
    <s v="USAA"/>
    <x v="6"/>
  </r>
  <r>
    <x v="91"/>
    <n v="881794092.59000003"/>
    <s v="PINGORA LOAN SERVICING, INC."/>
    <x v="7"/>
  </r>
  <r>
    <x v="91"/>
    <n v="689850035.39999998"/>
    <s v="FLAGSTAR"/>
    <x v="8"/>
  </r>
  <r>
    <x v="91"/>
    <n v="608899879.34000003"/>
    <s v="PACIFIC UNION FINANCIAL LLC"/>
    <x v="9"/>
  </r>
  <r>
    <x v="92"/>
    <n v="4613722824.3800001"/>
    <s v="WELLS FARGO"/>
    <x v="0"/>
  </r>
  <r>
    <x v="92"/>
    <n v="1556373390.77"/>
    <s v="PENNYMAC LOAN SERVICES, LLC"/>
    <x v="1"/>
  </r>
  <r>
    <x v="92"/>
    <n v="1415728775.98"/>
    <s v="CHASE"/>
    <x v="2"/>
  </r>
  <r>
    <x v="92"/>
    <n v="1383444647.1400001"/>
    <s v="FREEDOM"/>
    <x v="3"/>
  </r>
  <r>
    <x v="92"/>
    <n v="1031058634.13"/>
    <s v="US BANK"/>
    <x v="4"/>
  </r>
  <r>
    <x v="92"/>
    <n v="960697697.27999997"/>
    <s v="PINGORA LOAN SERVICING, INC."/>
    <x v="5"/>
  </r>
  <r>
    <x v="92"/>
    <n v="911284632.14999998"/>
    <s v="QUICKEN"/>
    <x v="6"/>
  </r>
  <r>
    <x v="92"/>
    <n v="726301542.14999998"/>
    <s v="USAA"/>
    <x v="7"/>
  </r>
  <r>
    <x v="92"/>
    <n v="723572045.92999995"/>
    <s v="FLAGSTAR"/>
    <x v="8"/>
  </r>
  <r>
    <x v="92"/>
    <n v="481583172.60000002"/>
    <s v="PACIFIC UNION FINANCIAL LLC"/>
    <x v="9"/>
  </r>
  <r>
    <x v="93"/>
    <n v="4905737431.7200003"/>
    <s v="WELLS FARGO"/>
    <x v="0"/>
  </r>
  <r>
    <x v="93"/>
    <n v="1778992721.8800001"/>
    <s v="PENNYMAC LOAN SERVICES, LLC"/>
    <x v="1"/>
  </r>
  <r>
    <x v="93"/>
    <n v="1702449370.6600001"/>
    <s v="FREEDOM"/>
    <x v="2"/>
  </r>
  <r>
    <x v="93"/>
    <n v="1640922646.6199999"/>
    <s v="CHASE"/>
    <x v="3"/>
  </r>
  <r>
    <x v="93"/>
    <n v="1409364042.8199999"/>
    <s v="PINGORA LOAN SERVICING, INC."/>
    <x v="4"/>
  </r>
  <r>
    <x v="93"/>
    <n v="1199448917.1400001"/>
    <s v="US BANK"/>
    <x v="5"/>
  </r>
  <r>
    <x v="93"/>
    <n v="1091284686.5"/>
    <s v="QUICKEN"/>
    <x v="6"/>
  </r>
  <r>
    <x v="93"/>
    <n v="775537759.84000003"/>
    <s v="USAA"/>
    <x v="7"/>
  </r>
  <r>
    <x v="93"/>
    <n v="717643687.88"/>
    <s v="FLAGSTAR"/>
    <x v="8"/>
  </r>
  <r>
    <x v="93"/>
    <n v="569804138.59000003"/>
    <s v="STONEGATE MORTGAGE CORPORATION"/>
    <x v="9"/>
  </r>
  <r>
    <x v="94"/>
    <n v="4010907765.6100001"/>
    <s v="WELLS FARGO"/>
    <x v="0"/>
  </r>
  <r>
    <x v="94"/>
    <n v="1481928390.0599999"/>
    <s v="FREEDOM"/>
    <x v="1"/>
  </r>
  <r>
    <x v="94"/>
    <n v="1318877643.8399999"/>
    <s v="PENNYMAC LOAN SERVICES, LLC"/>
    <x v="2"/>
  </r>
  <r>
    <x v="94"/>
    <n v="1268946997.46"/>
    <s v="QUICKEN"/>
    <x v="3"/>
  </r>
  <r>
    <x v="94"/>
    <n v="1130359359.48"/>
    <s v="CHASE"/>
    <x v="4"/>
  </r>
  <r>
    <x v="94"/>
    <n v="1040007439.1900001"/>
    <s v="US BANK"/>
    <x v="5"/>
  </r>
  <r>
    <x v="94"/>
    <n v="1029313038.71"/>
    <s v="PINGORA LOAN SERVICING, INC."/>
    <x v="6"/>
  </r>
  <r>
    <x v="94"/>
    <n v="682912583.20000005"/>
    <s v="PACIFIC UNION FINANCIAL LLC"/>
    <x v="7"/>
  </r>
  <r>
    <x v="94"/>
    <n v="656362470.60000002"/>
    <s v="FLAGSTAR"/>
    <x v="8"/>
  </r>
  <r>
    <x v="94"/>
    <n v="639313497.61000001"/>
    <s v="USAA"/>
    <x v="9"/>
  </r>
  <r>
    <x v="95"/>
    <n v="4309016116.8000002"/>
    <s v="WELLS FARGO"/>
    <x v="0"/>
  </r>
  <r>
    <x v="95"/>
    <n v="1701533056"/>
    <s v="QUICKEN"/>
    <x v="1"/>
  </r>
  <r>
    <x v="95"/>
    <n v="1622968081.75"/>
    <s v="PENNYMAC LOAN SERVICES, LLC"/>
    <x v="2"/>
  </r>
  <r>
    <x v="95"/>
    <n v="1593404499.52"/>
    <s v="FREEDOM"/>
    <x v="3"/>
  </r>
  <r>
    <x v="95"/>
    <n v="1061153848.83"/>
    <s v="US BANK"/>
    <x v="4"/>
  </r>
  <r>
    <x v="95"/>
    <n v="1041623721.72"/>
    <s v="CHASE"/>
    <x v="5"/>
  </r>
  <r>
    <x v="95"/>
    <n v="783384788.52999997"/>
    <s v="PINGORA LOAN SERVICING, INC."/>
    <x v="6"/>
  </r>
  <r>
    <x v="95"/>
    <n v="595284777.33000004"/>
    <s v="PACIFIC UNION FINANCIAL LLC"/>
    <x v="7"/>
  </r>
  <r>
    <x v="95"/>
    <n v="555021260.59000003"/>
    <s v="FLAGSTAR"/>
    <x v="8"/>
  </r>
  <r>
    <x v="95"/>
    <n v="538719380.54999995"/>
    <s v="USAA"/>
    <x v="9"/>
  </r>
  <r>
    <x v="96"/>
    <n v="3904655310.6700001"/>
    <s v="WELLS FARGO"/>
    <x v="0"/>
  </r>
  <r>
    <x v="96"/>
    <n v="1879668236.21"/>
    <s v="FREEDOM"/>
    <x v="1"/>
  </r>
  <r>
    <x v="96"/>
    <n v="1625033492.25"/>
    <s v="PENNYMAC LOAN SERVICES, LLC"/>
    <x v="2"/>
  </r>
  <r>
    <x v="96"/>
    <n v="1608075629.5699999"/>
    <s v="QUICKEN"/>
    <x v="3"/>
  </r>
  <r>
    <x v="96"/>
    <n v="1178028705.72"/>
    <s v="US BANK"/>
    <x v="4"/>
  </r>
  <r>
    <x v="96"/>
    <n v="896080600.24000001"/>
    <s v="PINGORA LOAN SERVICING, INC."/>
    <x v="5"/>
  </r>
  <r>
    <x v="96"/>
    <n v="742919383.65999997"/>
    <s v="PACIFIC UNION FINANCIAL LLC"/>
    <x v="6"/>
  </r>
  <r>
    <x v="96"/>
    <n v="567421630.83000004"/>
    <s v="SUN WEST MORTGAGE CO INC"/>
    <x v="7"/>
  </r>
  <r>
    <x v="96"/>
    <n v="556752715.63"/>
    <s v="ROUNDPOINT MORTGAGE SERVICING CORPORATION"/>
    <x v="8"/>
  </r>
  <r>
    <x v="96"/>
    <n v="538077240.82000005"/>
    <s v="CHASE"/>
    <x v="9"/>
  </r>
  <r>
    <x v="97"/>
    <n v="4061400420.8899999"/>
    <s v="WELLS FARGO"/>
    <x v="0"/>
  </r>
  <r>
    <x v="97"/>
    <n v="1709595700.75"/>
    <s v="FREEDOM"/>
    <x v="1"/>
  </r>
  <r>
    <x v="97"/>
    <n v="1276651700.3800001"/>
    <s v="QUICKEN"/>
    <x v="2"/>
  </r>
  <r>
    <x v="97"/>
    <n v="1254494476.75"/>
    <s v="PENNYMAC LOAN SERVICES, LLC"/>
    <x v="3"/>
  </r>
  <r>
    <x v="97"/>
    <n v="1154041709.48"/>
    <s v="US BANK"/>
    <x v="4"/>
  </r>
  <r>
    <x v="97"/>
    <n v="801913745.34000003"/>
    <s v="PINGORA LOAN SERVICING, INC."/>
    <x v="5"/>
  </r>
  <r>
    <x v="97"/>
    <n v="773346642.21000004"/>
    <s v="CHASE"/>
    <x v="6"/>
  </r>
  <r>
    <x v="97"/>
    <n v="509205711.77999997"/>
    <s v="USAA"/>
    <x v="7"/>
  </r>
  <r>
    <x v="97"/>
    <n v="495007211.51999998"/>
    <s v="PACIFIC UNION FINANCIAL LLC"/>
    <x v="8"/>
  </r>
  <r>
    <x v="97"/>
    <n v="463957555.94999999"/>
    <s v="SUN WEST MORTGAGE CO INC"/>
    <x v="9"/>
  </r>
  <r>
    <x v="98"/>
    <n v="4519939214.6099997"/>
    <s v="WELLS FARGO"/>
    <x v="0"/>
  </r>
  <r>
    <x v="98"/>
    <n v="2184165727.7399998"/>
    <s v="PENNYMAC LOAN SERVICES, LLC"/>
    <x v="1"/>
  </r>
  <r>
    <x v="98"/>
    <n v="1951357567.9100001"/>
    <s v="FREEDOM"/>
    <x v="2"/>
  </r>
  <r>
    <x v="98"/>
    <n v="1395752227.78"/>
    <s v="QUICKEN"/>
    <x v="3"/>
  </r>
  <r>
    <x v="98"/>
    <n v="1193108817.8"/>
    <s v="US BANK"/>
    <x v="4"/>
  </r>
  <r>
    <x v="98"/>
    <n v="1150073844.3399999"/>
    <s v="PINGORA LOAN SERVICING, INC."/>
    <x v="5"/>
  </r>
  <r>
    <x v="98"/>
    <n v="1121598716.0999999"/>
    <s v="CHASE"/>
    <x v="6"/>
  </r>
  <r>
    <x v="98"/>
    <n v="740711037.30999994"/>
    <s v="STEARNS LENDING INC DBA FPF WHOLESALE CU"/>
    <x v="7"/>
  </r>
  <r>
    <x v="98"/>
    <n v="711619802.50999999"/>
    <s v="SUN WEST MORTGAGE CO INC"/>
    <x v="8"/>
  </r>
  <r>
    <x v="98"/>
    <n v="704205064.92999995"/>
    <s v="PACIFIC UNION FINANCIAL LLC"/>
    <x v="9"/>
  </r>
  <r>
    <x v="99"/>
    <n v="5345630110.9799995"/>
    <s v="WELLS FARGO"/>
    <x v="0"/>
  </r>
  <r>
    <x v="99"/>
    <n v="2768969803.9499998"/>
    <s v="FREEDOM"/>
    <x v="1"/>
  </r>
  <r>
    <x v="99"/>
    <n v="2695906594.3299999"/>
    <s v="PENNYMAC LOAN SERVICES, LLC"/>
    <x v="2"/>
  </r>
  <r>
    <x v="99"/>
    <n v="1578591042.45"/>
    <s v="QUICKEN"/>
    <x v="3"/>
  </r>
  <r>
    <x v="99"/>
    <n v="1544807428.47"/>
    <s v="PINGORA LOAN SERVICING, INC."/>
    <x v="4"/>
  </r>
  <r>
    <x v="99"/>
    <n v="1199028717.3499999"/>
    <s v="US BANK"/>
    <x v="5"/>
  </r>
  <r>
    <x v="99"/>
    <n v="1061581290.74"/>
    <s v="PACIFIC UNION FINANCIAL LLC"/>
    <x v="6"/>
  </r>
  <r>
    <x v="99"/>
    <n v="1004138741.78"/>
    <s v="CHASE"/>
    <x v="7"/>
  </r>
  <r>
    <x v="99"/>
    <n v="994538230.60000002"/>
    <s v="GREEN TREE SERVICING, LLC"/>
    <x v="8"/>
  </r>
  <r>
    <x v="99"/>
    <n v="918420730.11000001"/>
    <s v="STEARNS LENDING INC DBA FPF WHOLESALE CU"/>
    <x v="9"/>
  </r>
  <r>
    <x v="100"/>
    <n v="5284302393.6499996"/>
    <s v="WELLS FARGO"/>
    <x v="0"/>
  </r>
  <r>
    <x v="100"/>
    <n v="2759129427.4200001"/>
    <s v="PENNYMAC LOAN SERVICES, LLC"/>
    <x v="1"/>
  </r>
  <r>
    <x v="100"/>
    <n v="2307737488.4499998"/>
    <s v="FREEDOM"/>
    <x v="2"/>
  </r>
  <r>
    <x v="100"/>
    <n v="1962171206.3499999"/>
    <s v="QUICKEN"/>
    <x v="3"/>
  </r>
  <r>
    <x v="100"/>
    <n v="1556095727.8299999"/>
    <s v="PINGORA LOAN SERVICING, INC."/>
    <x v="4"/>
  </r>
  <r>
    <x v="100"/>
    <n v="1235239041.9300001"/>
    <s v="US BANK"/>
    <x v="5"/>
  </r>
  <r>
    <x v="100"/>
    <n v="1088099243.8800001"/>
    <s v="PACIFIC UNION FINANCIAL LLC"/>
    <x v="6"/>
  </r>
  <r>
    <x v="100"/>
    <n v="1086294345.46"/>
    <s v="CHASE"/>
    <x v="7"/>
  </r>
  <r>
    <x v="100"/>
    <n v="925774557.82000005"/>
    <s v="SUN WEST MORTGAGE CO INC"/>
    <x v="8"/>
  </r>
  <r>
    <x v="100"/>
    <n v="834172991.00999999"/>
    <s v="GREEN TREE SERVICING, LLC"/>
    <x v="9"/>
  </r>
  <r>
    <x v="101"/>
    <n v="5481594328.75"/>
    <s v="WELLS FARGO"/>
    <x v="0"/>
  </r>
  <r>
    <x v="101"/>
    <n v="3177987197.46"/>
    <s v="PENNYMAC LOAN SERVICES, LLC"/>
    <x v="1"/>
  </r>
  <r>
    <x v="101"/>
    <n v="2270460975.3400002"/>
    <s v="FREEDOM"/>
    <x v="2"/>
  </r>
  <r>
    <x v="101"/>
    <n v="1886311419.0699999"/>
    <s v="QUICKEN"/>
    <x v="3"/>
  </r>
  <r>
    <x v="101"/>
    <n v="1561740391.01"/>
    <s v="PINGORA LOAN SERVICING, INC."/>
    <x v="4"/>
  </r>
  <r>
    <x v="101"/>
    <n v="1377875054.01"/>
    <s v="US BANK"/>
    <x v="5"/>
  </r>
  <r>
    <x v="101"/>
    <n v="1282498346.24"/>
    <s v="CHASE"/>
    <x v="6"/>
  </r>
  <r>
    <x v="101"/>
    <n v="1176922491.25"/>
    <s v="GREEN TREE SERVICING, LLC"/>
    <x v="7"/>
  </r>
  <r>
    <x v="101"/>
    <n v="904657191.88999999"/>
    <s v="PACIFIC UNION FINANCIAL LLC"/>
    <x v="8"/>
  </r>
  <r>
    <x v="101"/>
    <n v="871289826.52999997"/>
    <s v="AMERIHOME MORTGAGE CORPORATION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3:J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3:F144" firstHeaderRow="1" firstDataRow="1" firstDataCol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showAll="0"/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:N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06" firstHeaderRow="1" firstDataRow="1" firstDataCol="1" rowPageCount="1" colPageCount="1"/>
  <pivotFields count="4">
    <pivotField axis="axisRow" numFmtId="14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m="1" x="102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06" firstHeaderRow="1" firstDataRow="1" firstDataCol="1" rowPageCount="1" colPageCount="1"/>
  <pivotFields count="4">
    <pivotField axis="axisRow" numFmtId="14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m="1" x="102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06" firstHeaderRow="1" firstDataRow="1" firstDataCol="1"/>
  <pivotFields count="4">
    <pivotField axis="axisRow" numFmtId="14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m="1" x="102"/>
        <item t="default"/>
      </items>
    </pivotField>
    <pivotField dataField="1" showAll="0"/>
    <pivotField showAll="0"/>
    <pivotField showAll="0"/>
  </pivotFields>
  <rowFields count="1">
    <field x="0"/>
  </rowFields>
  <row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10">
    <queryTableFields count="12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8" dataBound="0" tableColumnId="8"/>
      <queryTableField id="67" dataBound="0" tableColumnId="9"/>
      <queryTableField id="66" dataBound="0" tableColumnId="10"/>
      <queryTableField id="65" dataBound="0" tableColumnId="11"/>
      <queryTableField id="70" dataBound="0" tableColumnId="13"/>
    </queryTableFields>
  </queryTableRefresh>
</queryTable>
</file>

<file path=xl/queryTables/queryTable2.xml><?xml version="1.0" encoding="utf-8"?>
<queryTable xmlns="http://schemas.openxmlformats.org/spreadsheetml/2006/main" name="temp_9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_8" connectionId="1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_6" connectionId="1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4" backgroundRefresh="0" adjustColumnWidth="0" connectionId="10" autoFormatId="16" applyNumberFormats="0" applyBorderFormats="0" applyFontFormats="0" applyPatternFormats="0" applyAlignmentFormats="0" applyWidthHeightFormats="0">
  <queryTableRefresh nextId="69" unboundColumnsRight="9">
    <queryTableFields count="11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5" dataBound="0" tableColumnId="8"/>
      <queryTableField id="66" dataBound="0" tableColumnId="9"/>
      <queryTableField id="67" dataBound="0" tableColumnId="10"/>
      <queryTableField id="68" dataBound="0" tableColumnId="11"/>
    </queryTableFields>
  </queryTableRefresh>
</queryTable>
</file>

<file path=xl/queryTables/queryTable7.xml><?xml version="1.0" encoding="utf-8"?>
<queryTable xmlns="http://schemas.openxmlformats.org/spreadsheetml/2006/main" name="Query from Agency_5" backgroundRefresh="0" adjustColumnWidth="0" connectionId="3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8.xml><?xml version="1.0" encoding="utf-8"?>
<queryTable xmlns="http://schemas.openxmlformats.org/spreadsheetml/2006/main" name="Query from Agency_6" backgroundRefresh="0" adjustColumnWidth="0" connectionId="8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9.xml><?xml version="1.0" encoding="utf-8"?>
<queryTable xmlns="http://schemas.openxmlformats.org/spreadsheetml/2006/main" name="Query from Agency_8" backgroundRefresh="0" adjustColumnWidth="0" connectionId="6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CurrentMtgRatesDataTable934" displayName="CurrentMtgRatesDataTable934" ref="C3:N100" tableType="queryTable" totalsRowShown="0" headerRowDxfId="40" dataDxfId="39">
  <tableColumns count="12">
    <tableColumn id="2" uniqueName="2" name="asOf" queryTableFieldId="57" dataDxfId="38"/>
    <tableColumn id="3" uniqueName="3" name="TotalBalance" queryTableFieldId="58" dataDxfId="37"/>
    <tableColumn id="1" uniqueName="1" name="Total Amount" queryTableFieldId="60" dataDxfId="36">
      <calculatedColumnFormula>IF(C4&lt;=DateToChangeLag,VLOOKUP(C4,'Result-lag'!$C$4:$H$100,2,0),VLOOKUP(C4,CurrentMtgRatesDataTable8[],2,0))</calculatedColumnFormula>
    </tableColumn>
    <tableColumn id="4" uniqueName="4" name="Top 10 Amount" queryTableFieldId="61" dataDxfId="35">
      <calculatedColumnFormula>IF($C4&lt;=DateToChangeLag,VLOOKUP($C4,'Result-lag'!$C$4:$I$100,3,0),VLOOKUP($C4,CurrentMtgRatesDataTable8[],3,0))</calculatedColumnFormula>
    </tableColumn>
    <tableColumn id="5" uniqueName="5" name="Top 5 Amount" queryTableFieldId="62" dataDxfId="34">
      <calculatedColumnFormula>IF($C4&lt;=DateToChangeLag,VLOOKUP($C4,'Result-lag'!$C$4:$I$100,4,0),VLOOKUP($C4,CurrentMtgRatesDataTable8[],4,0))</calculatedColumnFormula>
    </tableColumn>
    <tableColumn id="6" uniqueName="6" name="Top 1 Amount" queryTableFieldId="63" dataDxfId="33">
      <calculatedColumnFormula>IF($C4&lt;=DateToChangeLag,VLOOKUP($C4,'Result-lag'!$C$4:$I$100,5,0),VLOOKUP($C4,CurrentMtgRatesDataTable8[],5,0))</calculatedColumnFormula>
    </tableColumn>
    <tableColumn id="7" uniqueName="7" name="N/A Amount" queryTableFieldId="64" dataDxfId="32">
      <calculatedColumnFormula>IF($C4&lt;=DateToChangeLag,VLOOKUP($C4,'Result-lag'!$C$4:$I$100,6,0),VLOOKUP($C4,CurrentMtgRatesDataTable8[],6,0))</calculatedColumnFormula>
    </tableColumn>
    <tableColumn id="8" uniqueName="8" name="Top 10" queryTableFieldId="68" dataDxfId="31" dataCellStyle="Percent">
      <calculatedColumnFormula>CurrentMtgRatesDataTable934[[#This Row],[Top 10 Amount]]/CurrentMtgRatesDataTable934[[#This Row],[Total Amount]]</calculatedColumnFormula>
    </tableColumn>
    <tableColumn id="9" uniqueName="9" name="Top 5" queryTableFieldId="67" dataDxfId="30" dataCellStyle="Percent">
      <calculatedColumnFormula>CurrentMtgRatesDataTable934[[#This Row],[Top 5 Amount]]/CurrentMtgRatesDataTable934[[#This Row],[Total Amount]]</calculatedColumnFormula>
    </tableColumn>
    <tableColumn id="10" uniqueName="10" name="Top 1" queryTableFieldId="66" dataDxfId="29" dataCellStyle="Percent">
      <calculatedColumnFormula>CurrentMtgRatesDataTable934[[#This Row],[Top 1 Amount]]/CurrentMtgRatesDataTable934[[#This Row],[Total Amount]]</calculatedColumnFormula>
    </tableColumn>
    <tableColumn id="11" uniqueName="11" name="NA" queryTableFieldId="65" dataDxfId="28" dataCellStyle="Percent">
      <calculatedColumnFormula>CurrentMtgRatesDataTable934[[#This Row],[N/A Amount]]/CurrentMtgRatesDataTable934[[#This Row],[Total Amount]]</calculatedColumnFormula>
    </tableColumn>
    <tableColumn id="13" uniqueName="13" name="Lag" queryTableFieldId="70" dataDxfId="27" dataCellStyle="Percent">
      <calculatedColumnFormula>IF(C4&lt;=DateToChangeLag,1,0)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N3:X100" tableType="queryTable" totalsRowShown="0" headerRowDxfId="26" dataDxfId="25">
  <tableColumns count="11">
    <tableColumn id="2" uniqueName="2" name="asOf" queryTableFieldId="57" dataDxfId="24"/>
    <tableColumn id="3" uniqueName="3" name="TotalBalance" queryTableFieldId="58" dataDxfId="23"/>
    <tableColumn id="1" uniqueName="1" name="Top 10 Amount" queryTableFieldId="60" dataDxfId="22">
      <calculatedColumnFormula>VLOOKUP($N4,'Pivot equal'!C:D,2,0)</calculatedColumnFormula>
    </tableColumn>
    <tableColumn id="4" uniqueName="4" name="Top 5 Amount" queryTableFieldId="61" dataDxfId="21">
      <calculatedColumnFormula>VLOOKUP(N4,'Pivot equal'!G:H,2,0)</calculatedColumnFormula>
    </tableColumn>
    <tableColumn id="5" uniqueName="5" name="Top 1 Amount" queryTableFieldId="62" dataDxfId="20">
      <calculatedColumnFormula>VLOOKUP(N4,'Pivot equal'!K:L,2,0)</calculatedColumnFormula>
    </tableColumn>
    <tableColumn id="6" uniqueName="6" name="Remaining Amount" queryTableFieldId="63" dataDxfId="19">
      <calculatedColumnFormula>VLOOKUP(N4,CurrentMtgRatesDataTable9[],2,0)</calculatedColumnFormula>
    </tableColumn>
    <tableColumn id="7" uniqueName="7" name="N/A Amount" queryTableFieldId="64" dataDxfId="18">
      <calculatedColumnFormula>VLOOKUP(N4,CurrentMtgRatesDataTable93[],2,0)</calculatedColumnFormula>
    </tableColumn>
    <tableColumn id="8" uniqueName="8" name="Top 10" queryTableFieldId="65" dataDxfId="17" dataCellStyle="Percent">
      <calculatedColumnFormula>CurrentMtgRatesDataTable8[[#This Row],[Top 10 Amount]]/CurrentMtgRatesDataTable8[[#This Row],[TotalBalance]]</calculatedColumnFormula>
    </tableColumn>
    <tableColumn id="9" uniqueName="9" name="Top 5" queryTableFieldId="66" dataDxfId="16" dataCellStyle="Percent">
      <calculatedColumnFormula>CurrentMtgRatesDataTable8[[#This Row],[Top 5 Amount]]/CurrentMtgRatesDataTable8[[#This Row],[TotalBalance]]</calculatedColumnFormula>
    </tableColumn>
    <tableColumn id="10" uniqueName="10" name="Top 1" queryTableFieldId="67" dataDxfId="15" dataCellStyle="Percent">
      <calculatedColumnFormula>CurrentMtgRatesDataTable8[[#This Row],[Top 1 Amount]]/CurrentMtgRatesDataTable8[[#This Row],[TotalBalance]]</calculatedColumnFormula>
    </tableColumn>
    <tableColumn id="11" uniqueName="11" name="NA" queryTableFieldId="68" dataDxfId="14" dataCellStyle="Percent">
      <calculatedColumnFormula>CurrentMtgRatesDataTable8[[#This Row],[N/A Amount]]/CurrentMtgRatesDataTable8[[#This Row],[TotalBalance]]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8" name="CurrentMtgRatesDataTable9" displayName="CurrentMtgRatesDataTable9" ref="H3:I102" tableType="queryTable" totalsRowShown="0" headerRowDxfId="13" dataDxfId="12">
  <tableColumns count="2">
    <tableColumn id="2" uniqueName="2" name="asOf" queryTableFieldId="57" dataDxfId="11"/>
    <tableColumn id="3" uniqueName="3" name="TotalBalance" queryTableFieldId="58" dataDxfId="1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" displayName="CurrentMtgRatesDataTable82" ref="B3:E1023" tableType="queryTable" totalsRowShown="0" headerRowDxfId="9" dataDxfId="8">
  <tableColumns count="4">
    <tableColumn id="2" uniqueName="2" name="asOf" queryTableFieldId="57" dataDxfId="7"/>
    <tableColumn id="3" uniqueName="3" name="TotalBalance" queryTableFieldId="58" dataDxfId="6"/>
    <tableColumn id="1" uniqueName="1" name="servicerName" queryTableFieldId="60" dataDxfId="5"/>
    <tableColumn id="4" uniqueName="4" name="Rank" queryTableFieldId="61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93" displayName="CurrentMtgRatesDataTable93" ref="K3:L4" tableType="queryTable" insertRow="1" totalsRowShown="0" headerRowDxfId="3" dataDxfId="2">
  <tableColumns count="2">
    <tableColumn id="2" uniqueName="2" name="asOf" queryTableFieldId="57" dataDxfId="1"/>
    <tableColumn id="3" uniqueName="3" name="TotalBalance" queryTableFieldId="58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tabSelected="1" zoomScaleNormal="100" workbookViewId="0">
      <selection activeCell="U5" sqref="U5"/>
    </sheetView>
  </sheetViews>
  <sheetFormatPr defaultRowHeight="12.75"/>
  <cols>
    <col min="1" max="1" width="9.140625" style="17" customWidth="1"/>
    <col min="2" max="2" width="9.140625" style="17"/>
    <col min="3" max="11" width="15.7109375" style="17" customWidth="1"/>
    <col min="12" max="14" width="10.28515625" style="17" customWidth="1"/>
    <col min="15" max="15" width="13.140625" style="17" customWidth="1"/>
    <col min="16" max="16" width="15.85546875" style="17" bestFit="1" customWidth="1"/>
    <col min="17" max="17" width="7.5703125" style="17" customWidth="1"/>
    <col min="18" max="18" width="10.28515625" style="17" customWidth="1"/>
    <col min="19" max="19" width="9.140625" style="17"/>
    <col min="20" max="20" width="14.140625" style="17" customWidth="1"/>
    <col min="21" max="21" width="40.85546875" style="17" bestFit="1" customWidth="1"/>
    <col min="22" max="22" width="14.85546875" style="17" bestFit="1" customWidth="1"/>
    <col min="23" max="16384" width="9.140625" style="17"/>
  </cols>
  <sheetData>
    <row r="1" spans="3:23">
      <c r="T1" s="12" t="s">
        <v>61</v>
      </c>
      <c r="U1" s="13" t="s">
        <v>62</v>
      </c>
      <c r="V1" s="17" t="s">
        <v>63</v>
      </c>
      <c r="W1" s="13" t="s">
        <v>64</v>
      </c>
    </row>
    <row r="2" spans="3:23">
      <c r="T2" s="12" t="s">
        <v>65</v>
      </c>
      <c r="U2" s="14">
        <v>42202</v>
      </c>
    </row>
    <row r="3" spans="3:23">
      <c r="T3" s="12" t="s">
        <v>86</v>
      </c>
      <c r="U3" s="40" t="s">
        <v>97</v>
      </c>
    </row>
    <row r="4" spans="3:23">
      <c r="T4" s="12" t="s">
        <v>66</v>
      </c>
      <c r="U4" s="13" t="str">
        <f>PDFReportDir&amp;"Market Concentration  - GNM " &amp; TEXT(CurrentCloseDate, "yyyy-mm-dd") &amp; ".pdf"</f>
        <v>S:\IT\Production\Daily Reports\Primary Market\tmp\Market Concentration  - GNM 2015-07-17.pdf</v>
      </c>
    </row>
    <row r="5" spans="3:23">
      <c r="T5" s="24"/>
    </row>
    <row r="6" spans="3:23">
      <c r="T6" s="24"/>
    </row>
    <row r="9" spans="3:23" s="25" customFormat="1"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Q9" s="17"/>
      <c r="R9" s="17"/>
      <c r="T9" s="25" t="s">
        <v>81</v>
      </c>
      <c r="U9" s="31">
        <f>IF(DAY(CurrentCloseDate)&lt;32,(CurrentCloseDate-DAY(CurrentCloseDate))-DAY((CurrentCloseDate-DAY(CurrentCloseDate)))+1,CurrentCloseDate-DAY(CurrentCloseDate)+1)</f>
        <v>42156</v>
      </c>
    </row>
    <row r="10" spans="3:23" s="26" customFormat="1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Q10" s="17"/>
      <c r="R10" s="17"/>
      <c r="T10" s="26" t="s">
        <v>82</v>
      </c>
      <c r="U10" s="32">
        <f>(U9-1)-DAY((U9-1))+1</f>
        <v>42125</v>
      </c>
    </row>
    <row r="11" spans="3:23" s="26" customFormat="1"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Q11" s="17"/>
      <c r="R11" s="17"/>
    </row>
    <row r="12" spans="3:23" s="26" customFormat="1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Q12" s="17"/>
      <c r="R12" s="17"/>
      <c r="T12" s="26" t="s">
        <v>94</v>
      </c>
      <c r="U12" s="32">
        <v>38869</v>
      </c>
    </row>
    <row r="13" spans="3:23" s="26" customFormat="1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Q13" s="17"/>
      <c r="R13" s="17"/>
    </row>
    <row r="14" spans="3:23" s="26" customFormat="1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Q14" s="17"/>
      <c r="R14" s="17"/>
    </row>
    <row r="15" spans="3:23" s="26" customForma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Q15" s="17"/>
      <c r="R15" s="17"/>
    </row>
    <row r="16" spans="3:23" s="26" customFormat="1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Q16" s="17"/>
      <c r="R16" s="17"/>
    </row>
    <row r="17" spans="3:18" s="26" customFormat="1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Q17" s="17"/>
      <c r="R17" s="17"/>
    </row>
    <row r="18" spans="3:18" s="26" customFormat="1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Q18" s="17"/>
      <c r="R18" s="17"/>
    </row>
    <row r="19" spans="3:18" s="26" customFormat="1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Q19" s="17"/>
      <c r="R19" s="17"/>
    </row>
    <row r="20" spans="3:18" s="26" customFormat="1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Q20" s="17"/>
      <c r="R20" s="17"/>
    </row>
    <row r="21" spans="3:18" s="26" customFormat="1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Q21" s="17"/>
      <c r="R21" s="17"/>
    </row>
    <row r="39" spans="3:11" ht="15">
      <c r="H39" s="57" t="s">
        <v>98</v>
      </c>
      <c r="I39" s="58">
        <f>U9</f>
        <v>42156</v>
      </c>
    </row>
    <row r="40" spans="3:11">
      <c r="D40" s="20"/>
      <c r="E40" s="21" t="s">
        <v>75</v>
      </c>
      <c r="F40" s="22" t="s">
        <v>76</v>
      </c>
      <c r="G40" s="22" t="s">
        <v>77</v>
      </c>
      <c r="H40" s="22" t="s">
        <v>78</v>
      </c>
      <c r="I40" s="22" t="s">
        <v>79</v>
      </c>
    </row>
    <row r="41" spans="3:11">
      <c r="D41" s="23" t="s">
        <v>72</v>
      </c>
      <c r="E41" s="33">
        <f>'Result Combine'!$J$4</f>
        <v>0.48199264355079297</v>
      </c>
      <c r="F41" s="27">
        <f>'Result Combine'!$J$4-'Result Combine'!$J$5</f>
        <v>1.1769590599744084E-2</v>
      </c>
      <c r="G41" s="27">
        <f>'Result Combine'!$J$4-'Result Combine'!$J$7</f>
        <v>-1.4314109703166711E-2</v>
      </c>
      <c r="H41" s="27">
        <f>'Result Combine'!$J$4-'Result Combine'!$J$10</f>
        <v>-1.3966649225602867E-2</v>
      </c>
      <c r="I41" s="27">
        <f>'Result Combine'!$J$4-'Result Combine'!$J$16</f>
        <v>-3.1209388497542956E-2</v>
      </c>
    </row>
    <row r="42" spans="3:11">
      <c r="D42" s="23" t="s">
        <v>73</v>
      </c>
      <c r="E42" s="33">
        <f>'Result Combine'!$K$4</f>
        <v>0.34665693493553335</v>
      </c>
      <c r="F42" s="27">
        <f>'Result Combine'!$K$4-'Result Combine'!$K$5</f>
        <v>4.1114741800103438E-3</v>
      </c>
      <c r="G42" s="27">
        <f>'Result Combine'!$K$4-'Result Combine'!$K$7</f>
        <v>-9.4204180440402574E-3</v>
      </c>
      <c r="H42" s="27">
        <f>'Result Combine'!$K$4-'Result Combine'!$K$10</f>
        <v>-2.3030516707627458E-2</v>
      </c>
      <c r="I42" s="27">
        <f>'Result Combine'!$K$4-'Result Combine'!$K$16</f>
        <v>-5.1726184327479163E-2</v>
      </c>
    </row>
    <row r="43" spans="3:11">
      <c r="D43" s="23" t="s">
        <v>74</v>
      </c>
      <c r="E43" s="33">
        <f>'Result Combine'!$L$4</f>
        <v>0.13216165142465627</v>
      </c>
      <c r="F43" s="27">
        <f>'Result Combine'!$L$4-'Result Combine'!$L$5</f>
        <v>1.6506655129850945E-3</v>
      </c>
      <c r="G43" s="27">
        <f>'Result Combine'!$L$4-'Result Combine'!$L$7</f>
        <v>-1.0972613893687172E-2</v>
      </c>
      <c r="H43" s="27">
        <f>'Result Combine'!$L$4-'Result Combine'!$L$10</f>
        <v>-2.2676750701788928E-2</v>
      </c>
      <c r="I43" s="27">
        <f>'Result Combine'!$L$4-'Result Combine'!$L$16</f>
        <v>-0.10114563131294987</v>
      </c>
      <c r="J43" s="36"/>
    </row>
    <row r="44" spans="3:11">
      <c r="D44" s="34"/>
      <c r="E44" s="35"/>
      <c r="F44" s="35"/>
      <c r="G44" s="36"/>
      <c r="H44" s="36"/>
      <c r="I44" s="36"/>
      <c r="J44" s="36"/>
    </row>
    <row r="47" spans="3:11" ht="15">
      <c r="C47" s="15" t="s">
        <v>84</v>
      </c>
      <c r="E47" s="57" t="s">
        <v>98</v>
      </c>
      <c r="F47" s="58">
        <f>U9</f>
        <v>42156</v>
      </c>
      <c r="H47" s="15" t="s">
        <v>85</v>
      </c>
      <c r="J47" s="57" t="s">
        <v>98</v>
      </c>
      <c r="K47" s="58">
        <f>U10</f>
        <v>42125</v>
      </c>
    </row>
    <row r="48" spans="3:11">
      <c r="C48" s="50" t="s">
        <v>3</v>
      </c>
      <c r="D48" s="51" t="s">
        <v>83</v>
      </c>
      <c r="E48" s="51" t="s">
        <v>80</v>
      </c>
      <c r="F48" s="52" t="s">
        <v>96</v>
      </c>
      <c r="H48" s="50" t="s">
        <v>3</v>
      </c>
      <c r="I48" s="51" t="s">
        <v>83</v>
      </c>
      <c r="J48" s="51" t="s">
        <v>80</v>
      </c>
      <c r="K48" s="52" t="s">
        <v>96</v>
      </c>
    </row>
    <row r="49" spans="3:11">
      <c r="C49" s="50">
        <v>1</v>
      </c>
      <c r="D49" s="53" t="str">
        <f t="array" ref="D49">VLOOKUP(C49&amp;$U$9,IF({1,0},CurrentMtgRatesDataTable82[Rank]&amp;CurrentMtgRatesDataTable82[asOf],CurrentMtgRatesDataTable82[servicerName]),2,0)</f>
        <v>WELLS FARGO</v>
      </c>
      <c r="E49" s="54">
        <f t="array" ref="E49">VLOOKUP(C49&amp;$U$9,IF({1,0},CurrentMtgRatesDataTable82[Rank]&amp;CurrentMtgRatesDataTable82[asOf],CurrentMtgRatesDataTable82[TotalBalance]),2,0)/VLOOKUP($U$9,CurrentMtgRatesDataTable8[],2,0)</f>
        <v>0.13216165142465627</v>
      </c>
      <c r="F49" s="55">
        <f t="array" ref="F49">VLOOKUP(C49&amp;$U$9,IF({1,0},CurrentMtgRatesDataTable82[Rank]&amp;CurrentMtgRatesDataTable82[asOf],CurrentMtgRatesDataTable82[TotalBalance]),2,0)/1000000</f>
        <v>5481.5943287500004</v>
      </c>
      <c r="H49" s="50">
        <v>1</v>
      </c>
      <c r="I49" s="53" t="str">
        <f t="array" ref="I49">VLOOKUP(C49&amp;$U$10,IF({1,0},CurrentMtgRatesDataTable82[Rank]&amp;CurrentMtgRatesDataTable82[asOf],CurrentMtgRatesDataTable82[servicerName]),2,0)</f>
        <v>WELLS FARGO</v>
      </c>
      <c r="J49" s="54">
        <f t="array" ref="J49">VLOOKUP(C49&amp;$U$10,IF({1,0},CurrentMtgRatesDataTable82[Rank]&amp;CurrentMtgRatesDataTable82[asOf],CurrentMtgRatesDataTable82[TotalBalance]),2,0)/VLOOKUP($U$10,CurrentMtgRatesDataTable8[],2,0)</f>
        <v>0.13051098591167118</v>
      </c>
      <c r="K49" s="56">
        <f t="array" ref="K49">VLOOKUP(C49&amp;$U$10,IF({1,0},CurrentMtgRatesDataTable82[Rank]&amp;CurrentMtgRatesDataTable82[asOf],CurrentMtgRatesDataTable82[TotalBalance]),2,0)/1000000</f>
        <v>5284.3023936499994</v>
      </c>
    </row>
    <row r="50" spans="3:11">
      <c r="C50" s="50">
        <v>2</v>
      </c>
      <c r="D50" s="53" t="str">
        <f t="array" ref="D50">VLOOKUP(C50&amp;$U$9,IF({1,0},CurrentMtgRatesDataTable82[Rank]&amp;CurrentMtgRatesDataTable82[asOf],CurrentMtgRatesDataTable82[servicerName]),2,0)</f>
        <v>PENNYMAC LOAN SERVICES, LLC</v>
      </c>
      <c r="E50" s="54">
        <f t="array" ref="E50">VLOOKUP(C50&amp;$U$9,IF({1,0},CurrentMtgRatesDataTable82[Rank]&amp;CurrentMtgRatesDataTable82[asOf],CurrentMtgRatesDataTable82[TotalBalance]),2,0)/VLOOKUP($U$9,CurrentMtgRatesDataTable8[],2,0)</f>
        <v>7.6621510282119998E-2</v>
      </c>
      <c r="F50" s="55">
        <f t="array" ref="F50">VLOOKUP(C50&amp;$U$9,IF({1,0},CurrentMtgRatesDataTable82[Rank]&amp;CurrentMtgRatesDataTable82[asOf],CurrentMtgRatesDataTable82[TotalBalance]),2,0)/1000000</f>
        <v>3177.9871974600001</v>
      </c>
      <c r="H50" s="50">
        <v>2</v>
      </c>
      <c r="I50" s="53" t="str">
        <f t="array" ref="I50">VLOOKUP(C50&amp;$U$10,IF({1,0},CurrentMtgRatesDataTable82[Rank]&amp;CurrentMtgRatesDataTable82[asOf],CurrentMtgRatesDataTable82[servicerName]),2,0)</f>
        <v>PENNYMAC LOAN SERVICES, LLC</v>
      </c>
      <c r="J50" s="54">
        <f t="array" ref="J50">VLOOKUP(C50&amp;$U$10,IF({1,0},CurrentMtgRatesDataTable82[Rank]&amp;CurrentMtgRatesDataTable82[asOf],CurrentMtgRatesDataTable82[TotalBalance]),2,0)/VLOOKUP($U$10,CurrentMtgRatesDataTable8[],2,0)</f>
        <v>6.8144605475872713E-2</v>
      </c>
      <c r="K50" s="56">
        <f t="array" ref="K50">VLOOKUP(C50&amp;$U$10,IF({1,0},CurrentMtgRatesDataTable82[Rank]&amp;CurrentMtgRatesDataTable82[asOf],CurrentMtgRatesDataTable82[TotalBalance]),2,0)/1000000</f>
        <v>2759.12942742</v>
      </c>
    </row>
    <row r="51" spans="3:11">
      <c r="C51" s="50">
        <v>3</v>
      </c>
      <c r="D51" s="53" t="str">
        <f t="array" ref="D51">VLOOKUP(C51&amp;$U$9,IF({1,0},CurrentMtgRatesDataTable82[Rank]&amp;CurrentMtgRatesDataTable82[asOf],CurrentMtgRatesDataTable82[servicerName]),2,0)</f>
        <v>FREEDOM</v>
      </c>
      <c r="E51" s="54">
        <f t="array" ref="E51">VLOOKUP(C51&amp;$U$9,IF({1,0},CurrentMtgRatesDataTable82[Rank]&amp;CurrentMtgRatesDataTable82[asOf],CurrentMtgRatesDataTable82[TotalBalance]),2,0)/VLOOKUP($U$9,CurrentMtgRatesDataTable8[],2,0)</f>
        <v>5.474098483033793E-2</v>
      </c>
      <c r="F51" s="55">
        <f t="array" ref="F51">VLOOKUP(C51&amp;$U$9,IF({1,0},CurrentMtgRatesDataTable82[Rank]&amp;CurrentMtgRatesDataTable82[asOf],CurrentMtgRatesDataTable82[TotalBalance]),2,0)/1000000</f>
        <v>2270.46097534</v>
      </c>
      <c r="H51" s="50">
        <v>3</v>
      </c>
      <c r="I51" s="53" t="str">
        <f t="array" ref="I51">VLOOKUP(C51&amp;$U$10,IF({1,0},CurrentMtgRatesDataTable82[Rank]&amp;CurrentMtgRatesDataTable82[asOf],CurrentMtgRatesDataTable82[servicerName]),2,0)</f>
        <v>FREEDOM</v>
      </c>
      <c r="J51" s="54">
        <f t="array" ref="J51">VLOOKUP(C51&amp;$U$10,IF({1,0},CurrentMtgRatesDataTable82[Rank]&amp;CurrentMtgRatesDataTable82[asOf],CurrentMtgRatesDataTable82[TotalBalance]),2,0)/VLOOKUP($U$10,CurrentMtgRatesDataTable8[],2,0)</f>
        <v>5.6996188409819092E-2</v>
      </c>
      <c r="K51" s="56">
        <f t="array" ref="K51">VLOOKUP(C51&amp;$U$10,IF({1,0},CurrentMtgRatesDataTable82[Rank]&amp;CurrentMtgRatesDataTable82[asOf],CurrentMtgRatesDataTable82[TotalBalance]),2,0)/1000000</f>
        <v>2307.73748845</v>
      </c>
    </row>
    <row r="52" spans="3:11">
      <c r="C52" s="50">
        <v>4</v>
      </c>
      <c r="D52" s="53" t="str">
        <f t="array" ref="D52">VLOOKUP(C52&amp;$U$9,IF({1,0},CurrentMtgRatesDataTable82[Rank]&amp;CurrentMtgRatesDataTable82[asOf],CurrentMtgRatesDataTable82[servicerName]),2,0)</f>
        <v>QUICKEN</v>
      </c>
      <c r="E52" s="54">
        <f t="array" ref="E52">VLOOKUP(C52&amp;$U$9,IF({1,0},CurrentMtgRatesDataTable82[Rank]&amp;CurrentMtgRatesDataTable82[asOf],CurrentMtgRatesDataTable82[TotalBalance]),2,0)/VLOOKUP($U$9,CurrentMtgRatesDataTable8[],2,0)</f>
        <v>4.5479110144644168E-2</v>
      </c>
      <c r="F52" s="55">
        <f t="array" ref="F52">VLOOKUP(C52&amp;$U$9,IF({1,0},CurrentMtgRatesDataTable82[Rank]&amp;CurrentMtgRatesDataTable82[asOf],CurrentMtgRatesDataTable82[TotalBalance]),2,0)/1000000</f>
        <v>1886.3114190699998</v>
      </c>
      <c r="H52" s="50">
        <v>4</v>
      </c>
      <c r="I52" s="53" t="str">
        <f t="array" ref="I52">VLOOKUP(C52&amp;$U$10,IF({1,0},CurrentMtgRatesDataTable82[Rank]&amp;CurrentMtgRatesDataTable82[asOf],CurrentMtgRatesDataTable82[servicerName]),2,0)</f>
        <v>QUICKEN</v>
      </c>
      <c r="J52" s="54">
        <f t="array" ref="J52">VLOOKUP(C52&amp;$U$10,IF({1,0},CurrentMtgRatesDataTable82[Rank]&amp;CurrentMtgRatesDataTable82[asOf],CurrentMtgRatesDataTable82[TotalBalance]),2,0)/VLOOKUP($U$10,CurrentMtgRatesDataTable8[],2,0)</f>
        <v>4.8461439106127206E-2</v>
      </c>
      <c r="K52" s="56">
        <f t="array" ref="K52">VLOOKUP(C52&amp;$U$10,IF({1,0},CurrentMtgRatesDataTable82[Rank]&amp;CurrentMtgRatesDataTable82[asOf],CurrentMtgRatesDataTable82[TotalBalance]),2,0)/1000000</f>
        <v>1962.1712063499999</v>
      </c>
    </row>
    <row r="53" spans="3:11">
      <c r="C53" s="50">
        <v>5</v>
      </c>
      <c r="D53" s="53" t="str">
        <f t="array" ref="D53">VLOOKUP(C53&amp;$U$9,IF({1,0},CurrentMtgRatesDataTable82[Rank]&amp;CurrentMtgRatesDataTable82[asOf],CurrentMtgRatesDataTable82[servicerName]),2,0)</f>
        <v>PINGORA LOAN SERVICING, INC.</v>
      </c>
      <c r="E53" s="54">
        <f t="array" ref="E53">VLOOKUP(C53&amp;$U$9,IF({1,0},CurrentMtgRatesDataTable82[Rank]&amp;CurrentMtgRatesDataTable82[asOf],CurrentMtgRatesDataTable82[TotalBalance]),2,0)/VLOOKUP($U$9,CurrentMtgRatesDataTable8[],2,0)</f>
        <v>3.7653678253774955E-2</v>
      </c>
      <c r="F53" s="55">
        <f t="array" ref="F53">VLOOKUP(C53&amp;$U$9,IF({1,0},CurrentMtgRatesDataTable82[Rank]&amp;CurrentMtgRatesDataTable82[asOf],CurrentMtgRatesDataTable82[TotalBalance]),2,0)/1000000</f>
        <v>1561.7403910099999</v>
      </c>
      <c r="H53" s="50">
        <v>5</v>
      </c>
      <c r="I53" s="53" t="str">
        <f t="array" ref="I53">VLOOKUP(C53&amp;$U$10,IF({1,0},CurrentMtgRatesDataTable82[Rank]&amp;CurrentMtgRatesDataTable82[asOf],CurrentMtgRatesDataTable82[servicerName]),2,0)</f>
        <v>PINGORA LOAN SERVICING, INC.</v>
      </c>
      <c r="J53" s="54">
        <f t="array" ref="J53">VLOOKUP(C53&amp;$U$10,IF({1,0},CurrentMtgRatesDataTable82[Rank]&amp;CurrentMtgRatesDataTable82[asOf],CurrentMtgRatesDataTable82[TotalBalance]),2,0)/VLOOKUP($U$10,CurrentMtgRatesDataTable8[],2,0)</f>
        <v>3.8432241852032846E-2</v>
      </c>
      <c r="K53" s="56">
        <f t="array" ref="K53">VLOOKUP(C53&amp;$U$10,IF({1,0},CurrentMtgRatesDataTable82[Rank]&amp;CurrentMtgRatesDataTable82[asOf],CurrentMtgRatesDataTable82[TotalBalance]),2,0)/1000000</f>
        <v>1556.09572783</v>
      </c>
    </row>
    <row r="54" spans="3:11">
      <c r="C54" s="50">
        <v>6</v>
      </c>
      <c r="D54" s="53" t="str">
        <f t="array" ref="D54">VLOOKUP(C54&amp;$U$9,IF({1,0},CurrentMtgRatesDataTable82[Rank]&amp;CurrentMtgRatesDataTable82[asOf],CurrentMtgRatesDataTable82[servicerName]),2,0)</f>
        <v>US BANK</v>
      </c>
      <c r="E54" s="54">
        <f t="array" ref="E54">VLOOKUP(C54&amp;$U$9,IF({1,0},CurrentMtgRatesDataTable82[Rank]&amp;CurrentMtgRatesDataTable82[asOf],CurrentMtgRatesDataTable82[TotalBalance]),2,0)/VLOOKUP($U$9,CurrentMtgRatesDataTable8[],2,0)</f>
        <v>3.3220671153956938E-2</v>
      </c>
      <c r="F54" s="55">
        <f t="array" ref="F54">VLOOKUP(C54&amp;$U$9,IF({1,0},CurrentMtgRatesDataTable82[Rank]&amp;CurrentMtgRatesDataTable82[asOf],CurrentMtgRatesDataTable82[TotalBalance]),2,0)/1000000</f>
        <v>1377.87505401</v>
      </c>
      <c r="H54" s="50">
        <v>6</v>
      </c>
      <c r="I54" s="53" t="str">
        <f t="array" ref="I54">VLOOKUP(C54&amp;$U$10,IF({1,0},CurrentMtgRatesDataTable82[Rank]&amp;CurrentMtgRatesDataTable82[asOf],CurrentMtgRatesDataTable82[servicerName]),2,0)</f>
        <v>US BANK</v>
      </c>
      <c r="J54" s="54">
        <f t="array" ref="J54">VLOOKUP(C54&amp;$U$10,IF({1,0},CurrentMtgRatesDataTable82[Rank]&amp;CurrentMtgRatesDataTable82[asOf],CurrentMtgRatesDataTable82[TotalBalance]),2,0)/VLOOKUP($U$10,CurrentMtgRatesDataTable8[],2,0)</f>
        <v>3.0507766813760846E-2</v>
      </c>
      <c r="K54" s="56">
        <f t="array" ref="K54">VLOOKUP(C54&amp;$U$10,IF({1,0},CurrentMtgRatesDataTable82[Rank]&amp;CurrentMtgRatesDataTable82[asOf],CurrentMtgRatesDataTable82[TotalBalance]),2,0)/1000000</f>
        <v>1235.23904193</v>
      </c>
    </row>
    <row r="55" spans="3:11">
      <c r="C55" s="50">
        <v>7</v>
      </c>
      <c r="D55" s="53" t="str">
        <f t="array" ref="D55">VLOOKUP(C55&amp;$U$9,IF({1,0},CurrentMtgRatesDataTable82[Rank]&amp;CurrentMtgRatesDataTable82[asOf],CurrentMtgRatesDataTable82[servicerName]),2,0)</f>
        <v>CHASE</v>
      </c>
      <c r="E55" s="54">
        <f t="array" ref="E55">VLOOKUP(C55&amp;$U$9,IF({1,0},CurrentMtgRatesDataTable82[Rank]&amp;CurrentMtgRatesDataTable82[asOf],CurrentMtgRatesDataTable82[TotalBalance]),2,0)/VLOOKUP($U$9,CurrentMtgRatesDataTable8[],2,0)</f>
        <v>3.0921131558292535E-2</v>
      </c>
      <c r="F55" s="55">
        <f t="array" ref="F55">VLOOKUP(C55&amp;$U$9,IF({1,0},CurrentMtgRatesDataTable82[Rank]&amp;CurrentMtgRatesDataTable82[asOf],CurrentMtgRatesDataTable82[TotalBalance]),2,0)/1000000</f>
        <v>1282.49834624</v>
      </c>
      <c r="H55" s="50">
        <v>7</v>
      </c>
      <c r="I55" s="53" t="str">
        <f t="array" ref="I55">VLOOKUP(C55&amp;$U$10,IF({1,0},CurrentMtgRatesDataTable82[Rank]&amp;CurrentMtgRatesDataTable82[asOf],CurrentMtgRatesDataTable82[servicerName]),2,0)</f>
        <v>PACIFIC UNION FINANCIAL LLC</v>
      </c>
      <c r="J55" s="54">
        <f t="array" ref="J55">VLOOKUP(C55&amp;$U$10,IF({1,0},CurrentMtgRatesDataTable82[Rank]&amp;CurrentMtgRatesDataTable82[asOf],CurrentMtgRatesDataTable82[TotalBalance]),2,0)/VLOOKUP($U$10,CurrentMtgRatesDataTable8[],2,0)</f>
        <v>2.6873727979528753E-2</v>
      </c>
      <c r="K55" s="56">
        <f t="array" ref="K55">VLOOKUP(C55&amp;$U$10,IF({1,0},CurrentMtgRatesDataTable82[Rank]&amp;CurrentMtgRatesDataTable82[asOf],CurrentMtgRatesDataTable82[TotalBalance]),2,0)/1000000</f>
        <v>1088.0992438800001</v>
      </c>
    </row>
    <row r="56" spans="3:11">
      <c r="C56" s="50">
        <v>8</v>
      </c>
      <c r="D56" s="53" t="str">
        <f t="array" ref="D56">VLOOKUP(C56&amp;$U$9,IF({1,0},CurrentMtgRatesDataTable82[Rank]&amp;CurrentMtgRatesDataTable82[asOf],CurrentMtgRatesDataTable82[servicerName]),2,0)</f>
        <v>GREEN TREE SERVICING, LLC</v>
      </c>
      <c r="E56" s="54">
        <f t="array" ref="E56">VLOOKUP(C56&amp;$U$9,IF({1,0},CurrentMtgRatesDataTable82[Rank]&amp;CurrentMtgRatesDataTable82[asOf],CurrentMtgRatesDataTable82[TotalBalance]),2,0)/VLOOKUP($U$9,CurrentMtgRatesDataTable8[],2,0)</f>
        <v>2.837568975628486E-2</v>
      </c>
      <c r="F56" s="55">
        <f t="array" ref="F56">VLOOKUP(C56&amp;$U$9,IF({1,0},CurrentMtgRatesDataTable82[Rank]&amp;CurrentMtgRatesDataTable82[asOf],CurrentMtgRatesDataTable82[TotalBalance]),2,0)/1000000</f>
        <v>1176.9224912499999</v>
      </c>
      <c r="H56" s="50">
        <v>8</v>
      </c>
      <c r="I56" s="53" t="str">
        <f t="array" ref="I56">VLOOKUP(C56&amp;$U$10,IF({1,0},CurrentMtgRatesDataTable82[Rank]&amp;CurrentMtgRatesDataTable82[asOf],CurrentMtgRatesDataTable82[servicerName]),2,0)</f>
        <v>CHASE</v>
      </c>
      <c r="J56" s="54">
        <f t="array" ref="J56">VLOOKUP(C56&amp;$U$10,IF({1,0},CurrentMtgRatesDataTable82[Rank]&amp;CurrentMtgRatesDataTable82[asOf],CurrentMtgRatesDataTable82[TotalBalance]),2,0)/VLOOKUP($U$10,CurrentMtgRatesDataTable8[],2,0)</f>
        <v>2.6829150842431586E-2</v>
      </c>
      <c r="K56" s="56">
        <f t="array" ref="K56">VLOOKUP(C56&amp;$U$10,IF({1,0},CurrentMtgRatesDataTable82[Rank]&amp;CurrentMtgRatesDataTable82[asOf],CurrentMtgRatesDataTable82[TotalBalance]),2,0)/1000000</f>
        <v>1086.2943454599999</v>
      </c>
    </row>
    <row r="57" spans="3:11">
      <c r="C57" s="50">
        <v>9</v>
      </c>
      <c r="D57" s="53" t="str">
        <f t="array" ref="D57">VLOOKUP(C57&amp;$U$9,IF({1,0},CurrentMtgRatesDataTable82[Rank]&amp;CurrentMtgRatesDataTable82[asOf],CurrentMtgRatesDataTable82[servicerName]),2,0)</f>
        <v>PACIFIC UNION FINANCIAL LLC</v>
      </c>
      <c r="E57" s="54">
        <f t="array" ref="E57">VLOOKUP(C57&amp;$U$9,IF({1,0},CurrentMtgRatesDataTable82[Rank]&amp;CurrentMtgRatesDataTable82[asOf],CurrentMtgRatesDataTable82[TotalBalance]),2,0)/VLOOKUP($U$9,CurrentMtgRatesDataTable8[],2,0)</f>
        <v>2.1811352917215737E-2</v>
      </c>
      <c r="F57" s="55">
        <f t="array" ref="F57">VLOOKUP(C57&amp;$U$9,IF({1,0},CurrentMtgRatesDataTable82[Rank]&amp;CurrentMtgRatesDataTable82[asOf],CurrentMtgRatesDataTable82[TotalBalance]),2,0)/1000000</f>
        <v>904.65719189000004</v>
      </c>
      <c r="H57" s="50">
        <v>9</v>
      </c>
      <c r="I57" s="53" t="str">
        <f t="array" ref="I57">VLOOKUP(C57&amp;$U$10,IF({1,0},CurrentMtgRatesDataTable82[Rank]&amp;CurrentMtgRatesDataTable82[asOf],CurrentMtgRatesDataTable82[servicerName]),2,0)</f>
        <v>SUN WEST MORTGAGE CO INC</v>
      </c>
      <c r="J57" s="54">
        <f t="array" ref="J57">VLOOKUP(C57&amp;$U$10,IF({1,0},CurrentMtgRatesDataTable82[Rank]&amp;CurrentMtgRatesDataTable82[asOf],CurrentMtgRatesDataTable82[TotalBalance]),2,0)/VLOOKUP($U$10,CurrentMtgRatesDataTable8[],2,0)</f>
        <v>2.2864654834708214E-2</v>
      </c>
      <c r="K57" s="56">
        <f t="array" ref="K57">VLOOKUP(C57&amp;$U$10,IF({1,0},CurrentMtgRatesDataTable82[Rank]&amp;CurrentMtgRatesDataTable82[asOf],CurrentMtgRatesDataTable82[TotalBalance]),2,0)/1000000</f>
        <v>925.77455782000004</v>
      </c>
    </row>
    <row r="58" spans="3:11">
      <c r="C58" s="50">
        <v>10</v>
      </c>
      <c r="D58" s="53" t="str">
        <f t="array" ref="D58">VLOOKUP(C58&amp;$U$9,IF({1,0},CurrentMtgRatesDataTable82[Rank]&amp;CurrentMtgRatesDataTable82[asOf],CurrentMtgRatesDataTable82[servicerName]),2,0)</f>
        <v>AMERIHOME MORTGAGE CORPORATION</v>
      </c>
      <c r="E58" s="54">
        <f t="array" ref="E58">VLOOKUP(C58&amp;$U$9,IF({1,0},CurrentMtgRatesDataTable82[Rank]&amp;CurrentMtgRatesDataTable82[asOf],CurrentMtgRatesDataTable82[TotalBalance]),2,0)/VLOOKUP($U$9,CurrentMtgRatesDataTable8[],2,0)</f>
        <v>2.1006863229509665E-2</v>
      </c>
      <c r="F58" s="55">
        <f t="array" ref="F58">VLOOKUP(C58&amp;$U$9,IF({1,0},CurrentMtgRatesDataTable82[Rank]&amp;CurrentMtgRatesDataTable82[asOf],CurrentMtgRatesDataTable82[TotalBalance]),2,0)/1000000</f>
        <v>871.28982653000003</v>
      </c>
      <c r="H58" s="50">
        <v>10</v>
      </c>
      <c r="I58" s="53" t="str">
        <f t="array" ref="I58">VLOOKUP(C58&amp;$U$10,IF({1,0},CurrentMtgRatesDataTable82[Rank]&amp;CurrentMtgRatesDataTable82[asOf],CurrentMtgRatesDataTable82[servicerName]),2,0)</f>
        <v>GREEN TREE SERVICING, LLC</v>
      </c>
      <c r="J58" s="54">
        <f t="array" ref="J58">VLOOKUP(C58&amp;$U$10,IF({1,0},CurrentMtgRatesDataTable82[Rank]&amp;CurrentMtgRatesDataTable82[asOf],CurrentMtgRatesDataTable82[TotalBalance]),2,0)/VLOOKUP($U$10,CurrentMtgRatesDataTable8[],2,0)</f>
        <v>2.0602291725096446E-2</v>
      </c>
      <c r="K58" s="56">
        <f t="array" ref="K58">VLOOKUP(C58&amp;$U$10,IF({1,0},CurrentMtgRatesDataTable82[Rank]&amp;CurrentMtgRatesDataTable82[asOf],CurrentMtgRatesDataTable82[TotalBalance]),2,0)/1000000</f>
        <v>834.17299101000003</v>
      </c>
    </row>
    <row r="84" spans="16:17">
      <c r="P84" s="28" t="s">
        <v>71</v>
      </c>
      <c r="Q84" s="29" t="s">
        <v>67</v>
      </c>
    </row>
    <row r="85" spans="16:17">
      <c r="Q85" s="29" t="s">
        <v>68</v>
      </c>
    </row>
    <row r="86" spans="16:17">
      <c r="Q86" s="29" t="s">
        <v>69</v>
      </c>
    </row>
    <row r="87" spans="16:17">
      <c r="Q87" s="30" t="s">
        <v>70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&amp;R&amp;"-,Bold"&amp;10&amp;K2E398A
As of 06/01/2015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100"/>
  <sheetViews>
    <sheetView workbookViewId="0">
      <selection activeCell="E4" sqref="E4"/>
    </sheetView>
  </sheetViews>
  <sheetFormatPr defaultRowHeight="15"/>
  <cols>
    <col min="5" max="7" width="12" bestFit="1" customWidth="1"/>
    <col min="8" max="9" width="11" bestFit="1" customWidth="1"/>
  </cols>
  <sheetData>
    <row r="3" spans="3:14">
      <c r="C3" s="16" t="s">
        <v>1</v>
      </c>
      <c r="D3" s="16" t="s">
        <v>2</v>
      </c>
      <c r="E3" t="s">
        <v>93</v>
      </c>
      <c r="F3" s="17" t="s">
        <v>87</v>
      </c>
      <c r="G3" s="17" t="s">
        <v>88</v>
      </c>
      <c r="H3" s="17" t="s">
        <v>89</v>
      </c>
      <c r="I3" s="17" t="s">
        <v>91</v>
      </c>
      <c r="J3" s="17" t="s">
        <v>48</v>
      </c>
      <c r="K3" s="17" t="s">
        <v>49</v>
      </c>
      <c r="L3" s="17" t="s">
        <v>50</v>
      </c>
      <c r="M3" s="17" t="s">
        <v>92</v>
      </c>
      <c r="N3" s="43" t="s">
        <v>99</v>
      </c>
    </row>
    <row r="4" spans="3:14">
      <c r="C4" s="37">
        <v>42156</v>
      </c>
      <c r="D4" s="16">
        <v>41476436391.800003</v>
      </c>
      <c r="E4" s="17">
        <f>IF(C4&lt;=DateToChangeLag,VLOOKUP(C4,'Result-lag'!$C$4:$H$100,2,0),VLOOKUP(C4,CurrentMtgRatesDataTable8[],2,0))</f>
        <v>41476436391.800003</v>
      </c>
      <c r="F4" s="17">
        <f>IF($C4&lt;=DateToChangeLag,VLOOKUP($C4,'Result-lag'!$C$4:$I$100,3,0),VLOOKUP($C4,CurrentMtgRatesDataTable8[],3,0))</f>
        <v>19991337221.549995</v>
      </c>
      <c r="G4" s="17">
        <f>IF($C4&lt;=DateToChangeLag,VLOOKUP($C4,'Result-lag'!$C$4:$I$100,4,0),VLOOKUP($C4,CurrentMtgRatesDataTable8[],4,0))</f>
        <v>14378094311.630001</v>
      </c>
      <c r="H4" s="43">
        <f>IF($C4&lt;=DateToChangeLag,VLOOKUP($C4,'Result-lag'!$C$4:$I$100,5,0),VLOOKUP($C4,CurrentMtgRatesDataTable8[],5,0))</f>
        <v>5481594328.75</v>
      </c>
      <c r="I4" s="43">
        <f>IF($C4&lt;=DateToChangeLag,VLOOKUP($C4,'Result-lag'!$C$4:$I$100,6,0),VLOOKUP($C4,CurrentMtgRatesDataTable8[],6,0))</f>
        <v>363766.98</v>
      </c>
      <c r="J4" s="44">
        <f>CurrentMtgRatesDataTable934[[#This Row],[Top 10 Amount]]/CurrentMtgRatesDataTable934[[#This Row],[Total Amount]]</f>
        <v>0.48199264355079297</v>
      </c>
      <c r="K4" s="44">
        <f>CurrentMtgRatesDataTable934[[#This Row],[Top 5 Amount]]/CurrentMtgRatesDataTable934[[#This Row],[Total Amount]]</f>
        <v>0.34665693493553335</v>
      </c>
      <c r="L4" s="45">
        <f>CurrentMtgRatesDataTable934[[#This Row],[Top 1 Amount]]/CurrentMtgRatesDataTable934[[#This Row],[Total Amount]]</f>
        <v>0.13216165142465627</v>
      </c>
      <c r="M4" s="44">
        <f>CurrentMtgRatesDataTable934[[#This Row],[N/A Amount]]/CurrentMtgRatesDataTable934[[#This Row],[Total Amount]]</f>
        <v>8.7704492392677602E-6</v>
      </c>
      <c r="N4" s="48">
        <f t="shared" ref="N4:N35" si="0">IF(C4&lt;=DateToChangeLag,1,0)</f>
        <v>0</v>
      </c>
    </row>
    <row r="5" spans="3:14">
      <c r="C5" s="37">
        <v>42125</v>
      </c>
      <c r="D5" s="16">
        <v>40489330126.019997</v>
      </c>
      <c r="E5" s="17">
        <f>IF(C5&lt;=DateToChangeLag,VLOOKUP(C5,'Result-lag'!$C$4:$H$100,2,0),VLOOKUP(C5,CurrentMtgRatesDataTable8[],2,0))</f>
        <v>40489330126.019997</v>
      </c>
      <c r="F5" s="17">
        <f>IF($C5&lt;=DateToChangeLag,VLOOKUP($C5,'Result-lag'!$C$4:$I$100,3,0),VLOOKUP($C5,CurrentMtgRatesDataTable8[],3,0))</f>
        <v>19039016423.799999</v>
      </c>
      <c r="G5" s="17">
        <f>IF($C5&lt;=DateToChangeLag,VLOOKUP($C5,'Result-lag'!$C$4:$I$100,4,0),VLOOKUP($C5,CurrentMtgRatesDataTable8[],4,0))</f>
        <v>13869436243.699999</v>
      </c>
      <c r="H5" s="43">
        <f>IF($C5&lt;=DateToChangeLag,VLOOKUP($C5,'Result-lag'!$C$4:$I$100,5,0),VLOOKUP($C5,CurrentMtgRatesDataTable8[],5,0))</f>
        <v>5284302393.6499996</v>
      </c>
      <c r="I5" s="43">
        <f>IF($C5&lt;=DateToChangeLag,VLOOKUP($C5,'Result-lag'!$C$4:$I$100,6,0),VLOOKUP($C5,CurrentMtgRatesDataTable8[],6,0))</f>
        <v>15591.66</v>
      </c>
      <c r="J5" s="44">
        <f>CurrentMtgRatesDataTable934[[#This Row],[Top 10 Amount]]/CurrentMtgRatesDataTable934[[#This Row],[Total Amount]]</f>
        <v>0.47022305295104888</v>
      </c>
      <c r="K5" s="44">
        <f>CurrentMtgRatesDataTable934[[#This Row],[Top 5 Amount]]/CurrentMtgRatesDataTable934[[#This Row],[Total Amount]]</f>
        <v>0.342545460755523</v>
      </c>
      <c r="L5" s="44">
        <f>CurrentMtgRatesDataTable934[[#This Row],[Top 1 Amount]]/CurrentMtgRatesDataTable934[[#This Row],[Total Amount]]</f>
        <v>0.13051098591167118</v>
      </c>
      <c r="M5" s="44">
        <f>CurrentMtgRatesDataTable934[[#This Row],[N/A Amount]]/CurrentMtgRatesDataTable934[[#This Row],[Total Amount]]</f>
        <v>3.8508071018888505E-7</v>
      </c>
      <c r="N5" s="48">
        <f t="shared" si="0"/>
        <v>0</v>
      </c>
    </row>
    <row r="6" spans="3:14">
      <c r="C6" s="37">
        <v>42095</v>
      </c>
      <c r="D6" s="16">
        <v>40527156414.769997</v>
      </c>
      <c r="E6" s="17">
        <f>IF(C6&lt;=DateToChangeLag,VLOOKUP(C6,'Result-lag'!$C$4:$H$100,2,0),VLOOKUP(C6,CurrentMtgRatesDataTable8[],2,0))</f>
        <v>40527156414.769997</v>
      </c>
      <c r="F6" s="17">
        <f>IF($C6&lt;=DateToChangeLag,VLOOKUP($C6,'Result-lag'!$C$4:$I$100,3,0),VLOOKUP($C6,CurrentMtgRatesDataTable8[],3,0))</f>
        <v>19111612690.759998</v>
      </c>
      <c r="G6" s="17">
        <f>IF($C6&lt;=DateToChangeLag,VLOOKUP($C6,'Result-lag'!$C$4:$I$100,4,0),VLOOKUP($C6,CurrentMtgRatesDataTable8[],4,0))</f>
        <v>13933904980.18</v>
      </c>
      <c r="H6" s="43">
        <f>IF($C6&lt;=DateToChangeLag,VLOOKUP($C6,'Result-lag'!$C$4:$I$100,5,0),VLOOKUP($C6,CurrentMtgRatesDataTable8[],5,0))</f>
        <v>5345630110.9799995</v>
      </c>
      <c r="I6" s="43">
        <f>IF($C6&lt;=DateToChangeLag,VLOOKUP($C6,'Result-lag'!$C$4:$I$100,6,0),VLOOKUP($C6,CurrentMtgRatesDataTable8[],6,0))</f>
        <v>5314494.28</v>
      </c>
      <c r="J6" s="44">
        <f>CurrentMtgRatesDataTable934[[#This Row],[Top 10 Amount]]/CurrentMtgRatesDataTable934[[#This Row],[Total Amount]]</f>
        <v>0.47157546646413195</v>
      </c>
      <c r="K6" s="44">
        <f>CurrentMtgRatesDataTable934[[#This Row],[Top 5 Amount]]/CurrentMtgRatesDataTable934[[#This Row],[Total Amount]]</f>
        <v>0.34381649769787037</v>
      </c>
      <c r="L6" s="44">
        <f>CurrentMtgRatesDataTable934[[#This Row],[Top 1 Amount]]/CurrentMtgRatesDataTable934[[#This Row],[Total Amount]]</f>
        <v>0.13190242256996351</v>
      </c>
      <c r="M6" s="44">
        <f>CurrentMtgRatesDataTable934[[#This Row],[N/A Amount]]/CurrentMtgRatesDataTable934[[#This Row],[Total Amount]]</f>
        <v>1.311341517675084E-4</v>
      </c>
      <c r="N6" s="48">
        <f t="shared" si="0"/>
        <v>0</v>
      </c>
    </row>
    <row r="7" spans="3:14">
      <c r="C7" s="37">
        <v>42064</v>
      </c>
      <c r="D7" s="16">
        <v>31578317075.630001</v>
      </c>
      <c r="E7" s="17">
        <f>IF(C7&lt;=DateToChangeLag,VLOOKUP(C7,'Result-lag'!$C$4:$H$100,2,0),VLOOKUP(C7,CurrentMtgRatesDataTable8[],2,0))</f>
        <v>31578317075.630001</v>
      </c>
      <c r="F7" s="17">
        <f>IF($C7&lt;=DateToChangeLag,VLOOKUP($C7,'Result-lag'!$C$4:$I$100,3,0),VLOOKUP($C7,CurrentMtgRatesDataTable8[],3,0))</f>
        <v>15672532021.030001</v>
      </c>
      <c r="G7" s="17">
        <f>IF($C7&lt;=DateToChangeLag,VLOOKUP($C7,'Result-lag'!$C$4:$I$100,4,0),VLOOKUP($C7,CurrentMtgRatesDataTable8[],4,0))</f>
        <v>11244323555.84</v>
      </c>
      <c r="H7" s="43">
        <f>IF($C7&lt;=DateToChangeLag,VLOOKUP($C7,'Result-lag'!$C$4:$I$100,5,0),VLOOKUP($C7,CurrentMtgRatesDataTable8[],5,0))</f>
        <v>4519939214.6099997</v>
      </c>
      <c r="I7" s="43">
        <f>IF($C7&lt;=DateToChangeLag,VLOOKUP($C7,'Result-lag'!$C$4:$I$100,6,0),VLOOKUP($C7,CurrentMtgRatesDataTable8[],6,0))</f>
        <v>983996.58</v>
      </c>
      <c r="J7" s="44">
        <f>CurrentMtgRatesDataTable934[[#This Row],[Top 10 Amount]]/CurrentMtgRatesDataTable934[[#This Row],[Total Amount]]</f>
        <v>0.49630675325395968</v>
      </c>
      <c r="K7" s="44">
        <f>CurrentMtgRatesDataTable934[[#This Row],[Top 5 Amount]]/CurrentMtgRatesDataTable934[[#This Row],[Total Amount]]</f>
        <v>0.3560773529795736</v>
      </c>
      <c r="L7" s="44">
        <f>CurrentMtgRatesDataTable934[[#This Row],[Top 1 Amount]]/CurrentMtgRatesDataTable934[[#This Row],[Total Amount]]</f>
        <v>0.14313426531834345</v>
      </c>
      <c r="M7" s="44">
        <f>CurrentMtgRatesDataTable934[[#This Row],[N/A Amount]]/CurrentMtgRatesDataTable934[[#This Row],[Total Amount]]</f>
        <v>3.1160513641158591E-5</v>
      </c>
      <c r="N7" s="48">
        <f t="shared" si="0"/>
        <v>0</v>
      </c>
    </row>
    <row r="8" spans="3:14">
      <c r="C8" s="37">
        <v>42036</v>
      </c>
      <c r="D8" s="16">
        <v>24217653446.099998</v>
      </c>
      <c r="E8" s="17">
        <f>IF(C8&lt;=DateToChangeLag,VLOOKUP(C8,'Result-lag'!$C$4:$H$100,2,0),VLOOKUP(C8,CurrentMtgRatesDataTable8[],2,0))</f>
        <v>24217653446.099998</v>
      </c>
      <c r="F8" s="17">
        <f>IF($C8&lt;=DateToChangeLag,VLOOKUP($C8,'Result-lag'!$C$4:$I$100,3,0),VLOOKUP($C8,CurrentMtgRatesDataTable8[],3,0))</f>
        <v>12499614875.050001</v>
      </c>
      <c r="G8" s="17">
        <f>IF($C8&lt;=DateToChangeLag,VLOOKUP($C8,'Result-lag'!$C$4:$I$100,4,0),VLOOKUP($C8,CurrentMtgRatesDataTable8[],4,0))</f>
        <v>9456184008.25</v>
      </c>
      <c r="H8" s="43">
        <f>IF($C8&lt;=DateToChangeLag,VLOOKUP($C8,'Result-lag'!$C$4:$I$100,5,0),VLOOKUP($C8,CurrentMtgRatesDataTable8[],5,0))</f>
        <v>4061400420.8899999</v>
      </c>
      <c r="I8" s="43">
        <f>IF($C8&lt;=DateToChangeLag,VLOOKUP($C8,'Result-lag'!$C$4:$I$100,6,0),VLOOKUP($C8,CurrentMtgRatesDataTable8[],6,0))</f>
        <v>225370.97</v>
      </c>
      <c r="J8" s="44">
        <f>CurrentMtgRatesDataTable934[[#This Row],[Top 10 Amount]]/CurrentMtgRatesDataTable934[[#This Row],[Total Amount]]</f>
        <v>0.51613649947009765</v>
      </c>
      <c r="K8" s="44">
        <f>CurrentMtgRatesDataTable934[[#This Row],[Top 5 Amount]]/CurrentMtgRatesDataTable934[[#This Row],[Total Amount]]</f>
        <v>0.39046656726243723</v>
      </c>
      <c r="L8" s="44">
        <f>CurrentMtgRatesDataTable934[[#This Row],[Top 1 Amount]]/CurrentMtgRatesDataTable934[[#This Row],[Total Amount]]</f>
        <v>0.16770412665823517</v>
      </c>
      <c r="M8" s="44">
        <f>CurrentMtgRatesDataTable934[[#This Row],[N/A Amount]]/CurrentMtgRatesDataTable934[[#This Row],[Total Amount]]</f>
        <v>9.3060614027530251E-6</v>
      </c>
      <c r="N8" s="48">
        <f t="shared" si="0"/>
        <v>0</v>
      </c>
    </row>
    <row r="9" spans="3:14">
      <c r="C9" s="37">
        <v>42005</v>
      </c>
      <c r="D9" s="16">
        <v>27262435401.509998</v>
      </c>
      <c r="E9" s="17">
        <f>IF(C9&lt;=DateToChangeLag,VLOOKUP(C9,'Result-lag'!$C$4:$H$100,2,0),VLOOKUP(C9,CurrentMtgRatesDataTable8[],2,0))</f>
        <v>27262435401.509998</v>
      </c>
      <c r="F9" s="17">
        <f>IF($C9&lt;=DateToChangeLag,VLOOKUP($C9,'Result-lag'!$C$4:$I$100,3,0),VLOOKUP($C9,CurrentMtgRatesDataTable8[],3,0))</f>
        <v>13496712945.599998</v>
      </c>
      <c r="G9" s="17">
        <f>IF($C9&lt;=DateToChangeLag,VLOOKUP($C9,'Result-lag'!$C$4:$I$100,4,0),VLOOKUP($C9,CurrentMtgRatesDataTable8[],4,0))</f>
        <v>10195461374.42</v>
      </c>
      <c r="H9" s="43">
        <f>IF($C9&lt;=DateToChangeLag,VLOOKUP($C9,'Result-lag'!$C$4:$I$100,5,0),VLOOKUP($C9,CurrentMtgRatesDataTable8[],5,0))</f>
        <v>3904655310.6700001</v>
      </c>
      <c r="I9" s="43">
        <f>IF($C9&lt;=DateToChangeLag,VLOOKUP($C9,'Result-lag'!$C$4:$I$100,6,0),VLOOKUP($C9,CurrentMtgRatesDataTable8[],6,0))</f>
        <v>2721098.09</v>
      </c>
      <c r="J9" s="44">
        <f>CurrentMtgRatesDataTable934[[#This Row],[Top 10 Amount]]/CurrentMtgRatesDataTable934[[#This Row],[Total Amount]]</f>
        <v>0.49506629715305805</v>
      </c>
      <c r="K9" s="44">
        <f>CurrentMtgRatesDataTable934[[#This Row],[Top 5 Amount]]/CurrentMtgRatesDataTable934[[#This Row],[Total Amount]]</f>
        <v>0.37397471004572463</v>
      </c>
      <c r="L9" s="44">
        <f>CurrentMtgRatesDataTable934[[#This Row],[Top 1 Amount]]/CurrentMtgRatesDataTable934[[#This Row],[Total Amount]]</f>
        <v>0.14322474324702961</v>
      </c>
      <c r="M9" s="44">
        <f>CurrentMtgRatesDataTable934[[#This Row],[N/A Amount]]/CurrentMtgRatesDataTable934[[#This Row],[Total Amount]]</f>
        <v>9.9811262270768549E-5</v>
      </c>
      <c r="N9" s="48">
        <f t="shared" si="0"/>
        <v>0</v>
      </c>
    </row>
    <row r="10" spans="3:14">
      <c r="C10" s="37">
        <v>41974</v>
      </c>
      <c r="D10" s="16">
        <v>27829117697.049999</v>
      </c>
      <c r="E10" s="17">
        <f>IF(C10&lt;=DateToChangeLag,VLOOKUP(C10,'Result-lag'!$C$4:$H$100,2,0),VLOOKUP(C10,CurrentMtgRatesDataTable8[],2,0))</f>
        <v>27829117697.049999</v>
      </c>
      <c r="F10" s="17">
        <f>IF($C10&lt;=DateToChangeLag,VLOOKUP($C10,'Result-lag'!$C$4:$I$100,3,0),VLOOKUP($C10,CurrentMtgRatesDataTable8[],3,0))</f>
        <v>13802109531.619999</v>
      </c>
      <c r="G10" s="17">
        <f>IF($C10&lt;=DateToChangeLag,VLOOKUP($C10,'Result-lag'!$C$4:$I$100,4,0),VLOOKUP($C10,CurrentMtgRatesDataTable8[],4,0))</f>
        <v>10288075602.900002</v>
      </c>
      <c r="H10" s="43">
        <f>IF($C10&lt;=DateToChangeLag,VLOOKUP($C10,'Result-lag'!$C$4:$I$100,5,0),VLOOKUP($C10,CurrentMtgRatesDataTable8[],5,0))</f>
        <v>4309016116.8000002</v>
      </c>
      <c r="I10" s="43">
        <f>IF($C10&lt;=DateToChangeLag,VLOOKUP($C10,'Result-lag'!$C$4:$I$100,6,0),VLOOKUP($C10,CurrentMtgRatesDataTable8[],6,0))</f>
        <v>2213171.4300000002</v>
      </c>
      <c r="J10" s="44">
        <f>CurrentMtgRatesDataTable934[[#This Row],[Top 10 Amount]]/CurrentMtgRatesDataTable934[[#This Row],[Total Amount]]</f>
        <v>0.49595929277639583</v>
      </c>
      <c r="K10" s="44">
        <f>CurrentMtgRatesDataTable934[[#This Row],[Top 5 Amount]]/CurrentMtgRatesDataTable934[[#This Row],[Total Amount]]</f>
        <v>0.3696874516431608</v>
      </c>
      <c r="L10" s="44">
        <f>CurrentMtgRatesDataTable934[[#This Row],[Top 1 Amount]]/CurrentMtgRatesDataTable934[[#This Row],[Total Amount]]</f>
        <v>0.1548384021264452</v>
      </c>
      <c r="M10" s="44">
        <f>CurrentMtgRatesDataTable934[[#This Row],[N/A Amount]]/CurrentMtgRatesDataTable934[[#This Row],[Total Amount]]</f>
        <v>7.9527186384159259E-5</v>
      </c>
      <c r="N10" s="48">
        <f t="shared" si="0"/>
        <v>0</v>
      </c>
    </row>
    <row r="11" spans="3:14">
      <c r="C11" s="37">
        <v>41944</v>
      </c>
      <c r="D11" s="16">
        <v>26555705393.77</v>
      </c>
      <c r="E11" s="17">
        <f>IF(C11&lt;=DateToChangeLag,VLOOKUP(C11,'Result-lag'!$C$4:$H$100,2,0),VLOOKUP(C11,CurrentMtgRatesDataTable8[],2,0))</f>
        <v>26555705393.77</v>
      </c>
      <c r="F11" s="17">
        <f>IF($C11&lt;=DateToChangeLag,VLOOKUP($C11,'Result-lag'!$C$4:$I$100,3,0),VLOOKUP($C11,CurrentMtgRatesDataTable8[],3,0))</f>
        <v>13258929185.760004</v>
      </c>
      <c r="G11" s="17">
        <f>IF($C11&lt;=DateToChangeLag,VLOOKUP($C11,'Result-lag'!$C$4:$I$100,4,0),VLOOKUP($C11,CurrentMtgRatesDataTable8[],4,0))</f>
        <v>9211020156.4500008</v>
      </c>
      <c r="H11" s="43">
        <f>IF($C11&lt;=DateToChangeLag,VLOOKUP($C11,'Result-lag'!$C$4:$I$100,5,0),VLOOKUP($C11,CurrentMtgRatesDataTable8[],5,0))</f>
        <v>4010907765.6100001</v>
      </c>
      <c r="I11" s="43">
        <f>IF($C11&lt;=DateToChangeLag,VLOOKUP($C11,'Result-lag'!$C$4:$I$100,6,0),VLOOKUP($C11,CurrentMtgRatesDataTable8[],6,0))</f>
        <v>2780416.69</v>
      </c>
      <c r="J11" s="44">
        <f>CurrentMtgRatesDataTable934[[#This Row],[Top 10 Amount]]/CurrentMtgRatesDataTable934[[#This Row],[Total Amount]]</f>
        <v>0.49928740318344411</v>
      </c>
      <c r="K11" s="44">
        <f>CurrentMtgRatesDataTable934[[#This Row],[Top 5 Amount]]/CurrentMtgRatesDataTable934[[#This Row],[Total Amount]]</f>
        <v>0.34685654249692488</v>
      </c>
      <c r="L11" s="44">
        <f>CurrentMtgRatesDataTable934[[#This Row],[Top 1 Amount]]/CurrentMtgRatesDataTable934[[#This Row],[Total Amount]]</f>
        <v>0.15103751552203029</v>
      </c>
      <c r="M11" s="44">
        <f>CurrentMtgRatesDataTable934[[#This Row],[N/A Amount]]/CurrentMtgRatesDataTable934[[#This Row],[Total Amount]]</f>
        <v>1.0470129295274863E-4</v>
      </c>
      <c r="N11" s="48">
        <f t="shared" si="0"/>
        <v>0</v>
      </c>
    </row>
    <row r="12" spans="3:14">
      <c r="C12" s="37">
        <v>41913</v>
      </c>
      <c r="D12" s="16">
        <v>29868572336.75</v>
      </c>
      <c r="E12" s="17">
        <f>IF(C12&lt;=DateToChangeLag,VLOOKUP(C12,'Result-lag'!$C$4:$H$100,2,0),VLOOKUP(C12,CurrentMtgRatesDataTable8[],2,0))</f>
        <v>29868572336.75</v>
      </c>
      <c r="F12" s="17">
        <f>IF($C12&lt;=DateToChangeLag,VLOOKUP($C12,'Result-lag'!$C$4:$I$100,3,0),VLOOKUP($C12,CurrentMtgRatesDataTable8[],3,0))</f>
        <v>15791185403.65</v>
      </c>
      <c r="G12" s="17">
        <f>IF($C12&lt;=DateToChangeLag,VLOOKUP($C12,'Result-lag'!$C$4:$I$100,4,0),VLOOKUP($C12,CurrentMtgRatesDataTable8[],4,0))</f>
        <v>11437466213.700001</v>
      </c>
      <c r="H12" s="43">
        <f>IF($C12&lt;=DateToChangeLag,VLOOKUP($C12,'Result-lag'!$C$4:$I$100,5,0),VLOOKUP($C12,CurrentMtgRatesDataTable8[],5,0))</f>
        <v>4905737431.7200003</v>
      </c>
      <c r="I12" s="43">
        <f>IF($C12&lt;=DateToChangeLag,VLOOKUP($C12,'Result-lag'!$C$4:$I$100,6,0),VLOOKUP($C12,CurrentMtgRatesDataTable8[],6,0))</f>
        <v>3777700.79</v>
      </c>
      <c r="J12" s="44">
        <f>CurrentMtgRatesDataTable934[[#This Row],[Top 10 Amount]]/CurrentMtgRatesDataTable934[[#This Row],[Total Amount]]</f>
        <v>0.52868899208217857</v>
      </c>
      <c r="K12" s="44">
        <f>CurrentMtgRatesDataTable934[[#This Row],[Top 5 Amount]]/CurrentMtgRatesDataTable934[[#This Row],[Total Amount]]</f>
        <v>0.38292644471752851</v>
      </c>
      <c r="L12" s="44">
        <f>CurrentMtgRatesDataTable934[[#This Row],[Top 1 Amount]]/CurrentMtgRatesDataTable934[[#This Row],[Total Amount]]</f>
        <v>0.1642441217615222</v>
      </c>
      <c r="M12" s="44">
        <f>CurrentMtgRatesDataTable934[[#This Row],[N/A Amount]]/CurrentMtgRatesDataTable934[[#This Row],[Total Amount]]</f>
        <v>1.2647744751268053E-4</v>
      </c>
      <c r="N12" s="48">
        <f t="shared" si="0"/>
        <v>0</v>
      </c>
    </row>
    <row r="13" spans="3:14">
      <c r="C13" s="37">
        <v>41883</v>
      </c>
      <c r="D13" s="16">
        <v>27533853996.610001</v>
      </c>
      <c r="E13" s="17">
        <f>IF(C13&lt;=DateToChangeLag,VLOOKUP(C13,'Result-lag'!$C$4:$H$100,2,0),VLOOKUP(C13,CurrentMtgRatesDataTable8[],2,0))</f>
        <v>27533853996.610001</v>
      </c>
      <c r="F13" s="17">
        <f>IF($C13&lt;=DateToChangeLag,VLOOKUP($C13,'Result-lag'!$C$4:$I$100,3,0),VLOOKUP($C13,CurrentMtgRatesDataTable8[],3,0))</f>
        <v>13803767362.509998</v>
      </c>
      <c r="G13" s="17">
        <f>IF($C13&lt;=DateToChangeLag,VLOOKUP($C13,'Result-lag'!$C$4:$I$100,4,0),VLOOKUP($C13,CurrentMtgRatesDataTable8[],4,0))</f>
        <v>10000328272.400002</v>
      </c>
      <c r="H13" s="43">
        <f>IF($C13&lt;=DateToChangeLag,VLOOKUP($C13,'Result-lag'!$C$4:$I$100,5,0),VLOOKUP($C13,CurrentMtgRatesDataTable8[],5,0))</f>
        <v>4613722824.3800001</v>
      </c>
      <c r="I13" s="43">
        <f>IF($C13&lt;=DateToChangeLag,VLOOKUP($C13,'Result-lag'!$C$4:$I$100,6,0),VLOOKUP($C13,CurrentMtgRatesDataTable8[],6,0))</f>
        <v>1278264.72</v>
      </c>
      <c r="J13" s="44">
        <f>CurrentMtgRatesDataTable934[[#This Row],[Top 10 Amount]]/CurrentMtgRatesDataTable934[[#This Row],[Total Amount]]</f>
        <v>0.50133800245361704</v>
      </c>
      <c r="K13" s="44">
        <f>CurrentMtgRatesDataTable934[[#This Row],[Top 5 Amount]]/CurrentMtgRatesDataTable934[[#This Row],[Total Amount]]</f>
        <v>0.36320118039527821</v>
      </c>
      <c r="L13" s="44">
        <f>CurrentMtgRatesDataTable934[[#This Row],[Top 1 Amount]]/CurrentMtgRatesDataTable934[[#This Row],[Total Amount]]</f>
        <v>0.16756545687167684</v>
      </c>
      <c r="M13" s="44">
        <f>CurrentMtgRatesDataTable934[[#This Row],[N/A Amount]]/CurrentMtgRatesDataTable934[[#This Row],[Total Amount]]</f>
        <v>4.6425201504932122E-5</v>
      </c>
      <c r="N13" s="48">
        <f t="shared" si="0"/>
        <v>0</v>
      </c>
    </row>
    <row r="14" spans="3:14">
      <c r="C14" s="37">
        <v>41852</v>
      </c>
      <c r="D14" s="16">
        <v>30530354411.009998</v>
      </c>
      <c r="E14" s="17">
        <f>IF(C14&lt;=DateToChangeLag,VLOOKUP(C14,'Result-lag'!$C$4:$H$100,2,0),VLOOKUP(C14,CurrentMtgRatesDataTable8[],2,0))</f>
        <v>30530354411.009998</v>
      </c>
      <c r="F14" s="17">
        <f>IF($C14&lt;=DateToChangeLag,VLOOKUP($C14,'Result-lag'!$C$4:$I$100,3,0),VLOOKUP($C14,CurrentMtgRatesDataTable8[],3,0))</f>
        <v>16166675077.379999</v>
      </c>
      <c r="G14" s="17">
        <f>IF($C14&lt;=DateToChangeLag,VLOOKUP($C14,'Result-lag'!$C$4:$I$100,4,0),VLOOKUP($C14,CurrentMtgRatesDataTable8[],4,0))</f>
        <v>12029365994.82</v>
      </c>
      <c r="H14" s="43">
        <f>IF($C14&lt;=DateToChangeLag,VLOOKUP($C14,'Result-lag'!$C$4:$I$100,5,0),VLOOKUP($C14,CurrentMtgRatesDataTable8[],5,0))</f>
        <v>6318663594.3699999</v>
      </c>
      <c r="I14" s="43">
        <f>IF($C14&lt;=DateToChangeLag,VLOOKUP($C14,'Result-lag'!$C$4:$I$100,6,0),VLOOKUP($C14,CurrentMtgRatesDataTable8[],6,0))</f>
        <v>1497479.6</v>
      </c>
      <c r="J14" s="44">
        <f>CurrentMtgRatesDataTable934[[#This Row],[Top 10 Amount]]/CurrentMtgRatesDataTable934[[#This Row],[Total Amount]]</f>
        <v>0.52952792030314255</v>
      </c>
      <c r="K14" s="44">
        <f>CurrentMtgRatesDataTable934[[#This Row],[Top 5 Amount]]/CurrentMtgRatesDataTable934[[#This Row],[Total Amount]]</f>
        <v>0.39401330993006467</v>
      </c>
      <c r="L14" s="44">
        <f>CurrentMtgRatesDataTable934[[#This Row],[Top 1 Amount]]/CurrentMtgRatesDataTable934[[#This Row],[Total Amount]]</f>
        <v>0.20696332277398438</v>
      </c>
      <c r="M14" s="44">
        <f>CurrentMtgRatesDataTable934[[#This Row],[N/A Amount]]/CurrentMtgRatesDataTable934[[#This Row],[Total Amount]]</f>
        <v>4.9048877056598207E-5</v>
      </c>
      <c r="N14" s="48">
        <f t="shared" si="0"/>
        <v>0</v>
      </c>
    </row>
    <row r="15" spans="3:14">
      <c r="C15" s="37">
        <v>41821</v>
      </c>
      <c r="D15" s="16">
        <v>27413380042.200001</v>
      </c>
      <c r="E15" s="17">
        <f>IF(C15&lt;=DateToChangeLag,VLOOKUP(C15,'Result-lag'!$C$4:$H$100,2,0),VLOOKUP(C15,CurrentMtgRatesDataTable8[],2,0))</f>
        <v>27413380042.200001</v>
      </c>
      <c r="F15" s="17">
        <f>IF($C15&lt;=DateToChangeLag,VLOOKUP($C15,'Result-lag'!$C$4:$I$100,3,0),VLOOKUP($C15,CurrentMtgRatesDataTable8[],3,0))</f>
        <v>13065510612.74</v>
      </c>
      <c r="G15" s="17">
        <f>IF($C15&lt;=DateToChangeLag,VLOOKUP($C15,'Result-lag'!$C$4:$I$100,4,0),VLOOKUP($C15,CurrentMtgRatesDataTable8[],4,0))</f>
        <v>9355114668.75</v>
      </c>
      <c r="H15" s="43">
        <f>IF($C15&lt;=DateToChangeLag,VLOOKUP($C15,'Result-lag'!$C$4:$I$100,5,0),VLOOKUP($C15,CurrentMtgRatesDataTable8[],5,0))</f>
        <v>4723917455.1999998</v>
      </c>
      <c r="I15" s="43">
        <f>IF($C15&lt;=DateToChangeLag,VLOOKUP($C15,'Result-lag'!$C$4:$I$100,6,0),VLOOKUP($C15,CurrentMtgRatesDataTable8[],6,0))</f>
        <v>1047984.72</v>
      </c>
      <c r="J15" s="44">
        <f>CurrentMtgRatesDataTable934[[#This Row],[Top 10 Amount]]/CurrentMtgRatesDataTable934[[#This Row],[Total Amount]]</f>
        <v>0.47661071318556952</v>
      </c>
      <c r="K15" s="44">
        <f>CurrentMtgRatesDataTable934[[#This Row],[Top 5 Amount]]/CurrentMtgRatesDataTable934[[#This Row],[Total Amount]]</f>
        <v>0.34126089720963959</v>
      </c>
      <c r="L15" s="44">
        <f>CurrentMtgRatesDataTable934[[#This Row],[Top 1 Amount]]/CurrentMtgRatesDataTable934[[#This Row],[Total Amount]]</f>
        <v>0.17232159799076321</v>
      </c>
      <c r="M15" s="44">
        <f>CurrentMtgRatesDataTable934[[#This Row],[N/A Amount]]/CurrentMtgRatesDataTable934[[#This Row],[Total Amount]]</f>
        <v>3.8228949454125625E-5</v>
      </c>
      <c r="N15" s="48">
        <f t="shared" si="0"/>
        <v>0</v>
      </c>
    </row>
    <row r="16" spans="3:14">
      <c r="C16" s="37">
        <v>41791</v>
      </c>
      <c r="D16" s="16">
        <v>25728881993.799999</v>
      </c>
      <c r="E16" s="17">
        <f>IF(C16&lt;=DateToChangeLag,VLOOKUP(C16,'Result-lag'!$C$4:$H$100,2,0),VLOOKUP(C16,CurrentMtgRatesDataTable8[],2,0))</f>
        <v>25728881993.799999</v>
      </c>
      <c r="F16" s="17">
        <f>IF($C16&lt;=DateToChangeLag,VLOOKUP($C16,'Result-lag'!$C$4:$I$100,3,0),VLOOKUP($C16,CurrentMtgRatesDataTable8[],3,0))</f>
        <v>13204114521.550001</v>
      </c>
      <c r="G16" s="17">
        <f>IF($C16&lt;=DateToChangeLag,VLOOKUP($C16,'Result-lag'!$C$4:$I$100,4,0),VLOOKUP($C16,CurrentMtgRatesDataTable8[],4,0))</f>
        <v>10249952263.84</v>
      </c>
      <c r="H16" s="43">
        <f>IF($C16&lt;=DateToChangeLag,VLOOKUP($C16,'Result-lag'!$C$4:$I$100,5,0),VLOOKUP($C16,CurrentMtgRatesDataTable8[],5,0))</f>
        <v>6002735545.8500004</v>
      </c>
      <c r="I16" s="43">
        <f>IF($C16&lt;=DateToChangeLag,VLOOKUP($C16,'Result-lag'!$C$4:$I$100,6,0),VLOOKUP($C16,CurrentMtgRatesDataTable8[],6,0))</f>
        <v>82102.63</v>
      </c>
      <c r="J16" s="44">
        <f>CurrentMtgRatesDataTable934[[#This Row],[Top 10 Amount]]/CurrentMtgRatesDataTable934[[#This Row],[Total Amount]]</f>
        <v>0.51320203204833592</v>
      </c>
      <c r="K16" s="44">
        <f>CurrentMtgRatesDataTable934[[#This Row],[Top 5 Amount]]/CurrentMtgRatesDataTable934[[#This Row],[Total Amount]]</f>
        <v>0.39838311926301251</v>
      </c>
      <c r="L16" s="44">
        <f>CurrentMtgRatesDataTable934[[#This Row],[Top 1 Amount]]/CurrentMtgRatesDataTable934[[#This Row],[Total Amount]]</f>
        <v>0.23330728273760615</v>
      </c>
      <c r="M16" s="44">
        <f>CurrentMtgRatesDataTable934[[#This Row],[N/A Amount]]/CurrentMtgRatesDataTable934[[#This Row],[Total Amount]]</f>
        <v>3.1910686993622433E-6</v>
      </c>
      <c r="N16" s="48">
        <f t="shared" si="0"/>
        <v>0</v>
      </c>
    </row>
    <row r="17" spans="3:14">
      <c r="C17" s="37">
        <v>41760</v>
      </c>
      <c r="D17" s="16">
        <v>24207116913.740002</v>
      </c>
      <c r="E17" s="17">
        <f>IF(C17&lt;=DateToChangeLag,VLOOKUP(C17,'Result-lag'!$C$4:$H$100,2,0),VLOOKUP(C17,CurrentMtgRatesDataTable8[],2,0))</f>
        <v>24207116913.740002</v>
      </c>
      <c r="F17" s="17">
        <f>IF($C17&lt;=DateToChangeLag,VLOOKUP($C17,'Result-lag'!$C$4:$I$100,3,0),VLOOKUP($C17,CurrentMtgRatesDataTable8[],3,0))</f>
        <v>12369353880.969999</v>
      </c>
      <c r="G17" s="17">
        <f>IF($C17&lt;=DateToChangeLag,VLOOKUP($C17,'Result-lag'!$C$4:$I$100,4,0),VLOOKUP($C17,CurrentMtgRatesDataTable8[],4,0))</f>
        <v>9517403444.5599995</v>
      </c>
      <c r="H17" s="43">
        <f>IF($C17&lt;=DateToChangeLag,VLOOKUP($C17,'Result-lag'!$C$4:$I$100,5,0),VLOOKUP($C17,CurrentMtgRatesDataTable8[],5,0))</f>
        <v>5355107741.7399998</v>
      </c>
      <c r="I17" s="43">
        <f>IF($C17&lt;=DateToChangeLag,VLOOKUP($C17,'Result-lag'!$C$4:$I$100,6,0),VLOOKUP($C17,CurrentMtgRatesDataTable8[],6,0))</f>
        <v>1136383.83</v>
      </c>
      <c r="J17" s="44">
        <f>CurrentMtgRatesDataTable934[[#This Row],[Top 10 Amount]]/CurrentMtgRatesDataTable934[[#This Row],[Total Amount]]</f>
        <v>0.51098005289300408</v>
      </c>
      <c r="K17" s="44">
        <f>CurrentMtgRatesDataTable934[[#This Row],[Top 5 Amount]]/CurrentMtgRatesDataTable934[[#This Row],[Total Amount]]</f>
        <v>0.39316550907216485</v>
      </c>
      <c r="L17" s="44">
        <f>CurrentMtgRatesDataTable934[[#This Row],[Top 1 Amount]]/CurrentMtgRatesDataTable934[[#This Row],[Total Amount]]</f>
        <v>0.22122038575772859</v>
      </c>
      <c r="M17" s="44">
        <f>CurrentMtgRatesDataTable934[[#This Row],[N/A Amount]]/CurrentMtgRatesDataTable934[[#This Row],[Total Amount]]</f>
        <v>4.6944203807888687E-5</v>
      </c>
      <c r="N17" s="48">
        <f t="shared" si="0"/>
        <v>0</v>
      </c>
    </row>
    <row r="18" spans="3:14">
      <c r="C18" s="37">
        <v>41730</v>
      </c>
      <c r="D18" s="16">
        <v>21999258156.419998</v>
      </c>
      <c r="E18" s="17">
        <f>IF(C18&lt;=DateToChangeLag,VLOOKUP(C18,'Result-lag'!$C$4:$H$100,2,0),VLOOKUP(C18,CurrentMtgRatesDataTable8[],2,0))</f>
        <v>21999258156.419998</v>
      </c>
      <c r="F18" s="17">
        <f>IF($C18&lt;=DateToChangeLag,VLOOKUP($C18,'Result-lag'!$C$4:$I$100,3,0),VLOOKUP($C18,CurrentMtgRatesDataTable8[],3,0))</f>
        <v>11300062333.420002</v>
      </c>
      <c r="G18" s="17">
        <f>IF($C18&lt;=DateToChangeLag,VLOOKUP($C18,'Result-lag'!$C$4:$I$100,4,0),VLOOKUP($C18,CurrentMtgRatesDataTable8[],4,0))</f>
        <v>8747604064.2000008</v>
      </c>
      <c r="H18" s="43">
        <f>IF($C18&lt;=DateToChangeLag,VLOOKUP($C18,'Result-lag'!$C$4:$I$100,5,0),VLOOKUP($C18,CurrentMtgRatesDataTable8[],5,0))</f>
        <v>4445417365.0100002</v>
      </c>
      <c r="I18" s="43">
        <f>IF($C18&lt;=DateToChangeLag,VLOOKUP($C18,'Result-lag'!$C$4:$I$100,6,0),VLOOKUP($C18,CurrentMtgRatesDataTable8[],6,0))</f>
        <v>262231.59000000003</v>
      </c>
      <c r="J18" s="44">
        <f>CurrentMtgRatesDataTable934[[#This Row],[Top 10 Amount]]/CurrentMtgRatesDataTable934[[#This Row],[Total Amount]]</f>
        <v>0.51365651755499442</v>
      </c>
      <c r="K18" s="44">
        <f>CurrentMtgRatesDataTable934[[#This Row],[Top 5 Amount]]/CurrentMtgRatesDataTable934[[#This Row],[Total Amount]]</f>
        <v>0.39763177476269607</v>
      </c>
      <c r="L18" s="44">
        <f>CurrentMtgRatesDataTable934[[#This Row],[Top 1 Amount]]/CurrentMtgRatesDataTable934[[#This Row],[Total Amount]]</f>
        <v>0.20207123955735312</v>
      </c>
      <c r="M18" s="44">
        <f>CurrentMtgRatesDataTable934[[#This Row],[N/A Amount]]/CurrentMtgRatesDataTable934[[#This Row],[Total Amount]]</f>
        <v>1.1920019672275791E-5</v>
      </c>
      <c r="N18" s="48">
        <f t="shared" si="0"/>
        <v>0</v>
      </c>
    </row>
    <row r="19" spans="3:14">
      <c r="C19" s="37">
        <v>41699</v>
      </c>
      <c r="D19" s="16">
        <v>17047395223.98</v>
      </c>
      <c r="E19" s="17">
        <f>IF(C19&lt;=DateToChangeLag,VLOOKUP(C19,'Result-lag'!$C$4:$H$100,2,0),VLOOKUP(C19,CurrentMtgRatesDataTable8[],2,0))</f>
        <v>17047395223.98</v>
      </c>
      <c r="F19" s="17">
        <f>IF($C19&lt;=DateToChangeLag,VLOOKUP($C19,'Result-lag'!$C$4:$I$100,3,0),VLOOKUP($C19,CurrentMtgRatesDataTable8[],3,0))</f>
        <v>8940718251.539999</v>
      </c>
      <c r="G19" s="17">
        <f>IF($C19&lt;=DateToChangeLag,VLOOKUP($C19,'Result-lag'!$C$4:$I$100,4,0),VLOOKUP($C19,CurrentMtgRatesDataTable8[],4,0))</f>
        <v>6740558305.8000002</v>
      </c>
      <c r="H19" s="43">
        <f>IF($C19&lt;=DateToChangeLag,VLOOKUP($C19,'Result-lag'!$C$4:$I$100,5,0),VLOOKUP($C19,CurrentMtgRatesDataTable8[],5,0))</f>
        <v>3220958142.0500002</v>
      </c>
      <c r="I19" s="43">
        <f>IF($C19&lt;=DateToChangeLag,VLOOKUP($C19,'Result-lag'!$C$4:$I$100,6,0),VLOOKUP($C19,CurrentMtgRatesDataTable8[],6,0))</f>
        <v>1145344.71</v>
      </c>
      <c r="J19" s="44">
        <f>CurrentMtgRatesDataTable934[[#This Row],[Top 10 Amount]]/CurrentMtgRatesDataTable934[[#This Row],[Total Amount]]</f>
        <v>0.52446242572961466</v>
      </c>
      <c r="K19" s="44">
        <f>CurrentMtgRatesDataTable934[[#This Row],[Top 5 Amount]]/CurrentMtgRatesDataTable934[[#This Row],[Total Amount]]</f>
        <v>0.39540106962020116</v>
      </c>
      <c r="L19" s="44">
        <f>CurrentMtgRatesDataTable934[[#This Row],[Top 1 Amount]]/CurrentMtgRatesDataTable934[[#This Row],[Total Amount]]</f>
        <v>0.18894136609909684</v>
      </c>
      <c r="M19" s="44">
        <f>CurrentMtgRatesDataTable934[[#This Row],[N/A Amount]]/CurrentMtgRatesDataTable934[[#This Row],[Total Amount]]</f>
        <v>6.7185906993514285E-5</v>
      </c>
      <c r="N19" s="48">
        <f t="shared" si="0"/>
        <v>0</v>
      </c>
    </row>
    <row r="20" spans="3:14">
      <c r="C20" s="37">
        <v>41671</v>
      </c>
      <c r="D20" s="16">
        <v>20222239011.169998</v>
      </c>
      <c r="E20" s="17">
        <f>IF(C20&lt;=DateToChangeLag,VLOOKUP(C20,'Result-lag'!$C$4:$H$100,2,0),VLOOKUP(C20,CurrentMtgRatesDataTable8[],2,0))</f>
        <v>20222239011.169998</v>
      </c>
      <c r="F20" s="17">
        <f>IF($C20&lt;=DateToChangeLag,VLOOKUP($C20,'Result-lag'!$C$4:$I$100,3,0),VLOOKUP($C20,CurrentMtgRatesDataTable8[],3,0))</f>
        <v>11668939446.919998</v>
      </c>
      <c r="G20" s="17">
        <f>IF($C20&lt;=DateToChangeLag,VLOOKUP($C20,'Result-lag'!$C$4:$I$100,4,0),VLOOKUP($C20,CurrentMtgRatesDataTable8[],4,0))</f>
        <v>9075030670.2299995</v>
      </c>
      <c r="H20" s="43">
        <f>IF($C20&lt;=DateToChangeLag,VLOOKUP($C20,'Result-lag'!$C$4:$I$100,5,0),VLOOKUP($C20,CurrentMtgRatesDataTable8[],5,0))</f>
        <v>4975614792.9300003</v>
      </c>
      <c r="I20" s="43">
        <f>IF($C20&lt;=DateToChangeLag,VLOOKUP($C20,'Result-lag'!$C$4:$I$100,6,0),VLOOKUP($C20,CurrentMtgRatesDataTable8[],6,0))</f>
        <v>36521.199999999997</v>
      </c>
      <c r="J20" s="44">
        <f>CurrentMtgRatesDataTable934[[#This Row],[Top 10 Amount]]/CurrentMtgRatesDataTable934[[#This Row],[Total Amount]]</f>
        <v>0.57703498808784326</v>
      </c>
      <c r="K20" s="44">
        <f>CurrentMtgRatesDataTable934[[#This Row],[Top 5 Amount]]/CurrentMtgRatesDataTable934[[#This Row],[Total Amount]]</f>
        <v>0.4487648803486744</v>
      </c>
      <c r="L20" s="44">
        <f>CurrentMtgRatesDataTable934[[#This Row],[Top 1 Amount]]/CurrentMtgRatesDataTable934[[#This Row],[Total Amount]]</f>
        <v>0.24604668109113237</v>
      </c>
      <c r="M20" s="44">
        <f>CurrentMtgRatesDataTable934[[#This Row],[N/A Amount]]/CurrentMtgRatesDataTable934[[#This Row],[Total Amount]]</f>
        <v>1.8059919072179432E-6</v>
      </c>
      <c r="N20" s="48">
        <f t="shared" si="0"/>
        <v>0</v>
      </c>
    </row>
    <row r="21" spans="3:14">
      <c r="C21" s="37">
        <v>41640</v>
      </c>
      <c r="D21" s="16">
        <v>21920064130.419998</v>
      </c>
      <c r="E21" s="17">
        <f>IF(C21&lt;=DateToChangeLag,VLOOKUP(C21,'Result-lag'!$C$4:$H$100,2,0),VLOOKUP(C21,CurrentMtgRatesDataTable8[],2,0))</f>
        <v>21920064130.419998</v>
      </c>
      <c r="F21" s="17">
        <f>IF($C21&lt;=DateToChangeLag,VLOOKUP($C21,'Result-lag'!$C$4:$I$100,3,0),VLOOKUP($C21,CurrentMtgRatesDataTable8[],3,0))</f>
        <v>11845891136.720001</v>
      </c>
      <c r="G21" s="17">
        <f>IF($C21&lt;=DateToChangeLag,VLOOKUP($C21,'Result-lag'!$C$4:$I$100,4,0),VLOOKUP($C21,CurrentMtgRatesDataTable8[],4,0))</f>
        <v>9318703436.4099998</v>
      </c>
      <c r="H21" s="43">
        <f>IF($C21&lt;=DateToChangeLag,VLOOKUP($C21,'Result-lag'!$C$4:$I$100,5,0),VLOOKUP($C21,CurrentMtgRatesDataTable8[],5,0))</f>
        <v>4800004095.4399996</v>
      </c>
      <c r="I21" s="43">
        <f>IF($C21&lt;=DateToChangeLag,VLOOKUP($C21,'Result-lag'!$C$4:$I$100,6,0),VLOOKUP($C21,CurrentMtgRatesDataTable8[],6,0))</f>
        <v>101926.61</v>
      </c>
      <c r="J21" s="44">
        <f>CurrentMtgRatesDataTable934[[#This Row],[Top 10 Amount]]/CurrentMtgRatesDataTable934[[#This Row],[Total Amount]]</f>
        <v>0.54041316057468258</v>
      </c>
      <c r="K21" s="44">
        <f>CurrentMtgRatesDataTable934[[#This Row],[Top 5 Amount]]/CurrentMtgRatesDataTable934[[#This Row],[Total Amount]]</f>
        <v>0.42512208819123787</v>
      </c>
      <c r="L21" s="44">
        <f>CurrentMtgRatesDataTable934[[#This Row],[Top 1 Amount]]/CurrentMtgRatesDataTable934[[#This Row],[Total Amount]]</f>
        <v>0.21897764837187222</v>
      </c>
      <c r="M21" s="44">
        <f>CurrentMtgRatesDataTable934[[#This Row],[N/A Amount]]/CurrentMtgRatesDataTable934[[#This Row],[Total Amount]]</f>
        <v>4.6499229835075779E-6</v>
      </c>
      <c r="N21" s="48">
        <f t="shared" si="0"/>
        <v>0</v>
      </c>
    </row>
    <row r="22" spans="3:14">
      <c r="C22" s="37">
        <v>41609</v>
      </c>
      <c r="D22" s="16">
        <v>21441669551.299999</v>
      </c>
      <c r="E22" s="17">
        <f>IF(C22&lt;=DateToChangeLag,VLOOKUP(C22,'Result-lag'!$C$4:$H$100,2,0),VLOOKUP(C22,CurrentMtgRatesDataTable8[],2,0))</f>
        <v>21441669551.299999</v>
      </c>
      <c r="F22" s="17">
        <f>IF($C22&lt;=DateToChangeLag,VLOOKUP($C22,'Result-lag'!$C$4:$I$100,3,0),VLOOKUP($C22,CurrentMtgRatesDataTable8[],3,0))</f>
        <v>11595801527.200001</v>
      </c>
      <c r="G22" s="17">
        <f>IF($C22&lt;=DateToChangeLag,VLOOKUP($C22,'Result-lag'!$C$4:$I$100,4,0),VLOOKUP($C22,CurrentMtgRatesDataTable8[],4,0))</f>
        <v>9254986706.0799999</v>
      </c>
      <c r="H22" s="43">
        <f>IF($C22&lt;=DateToChangeLag,VLOOKUP($C22,'Result-lag'!$C$4:$I$100,5,0),VLOOKUP($C22,CurrentMtgRatesDataTable8[],5,0))</f>
        <v>4731307858.5900002</v>
      </c>
      <c r="I22" s="43">
        <f>IF($C22&lt;=DateToChangeLag,VLOOKUP($C22,'Result-lag'!$C$4:$I$100,6,0),VLOOKUP($C22,CurrentMtgRatesDataTable8[],6,0))</f>
        <v>69070.8</v>
      </c>
      <c r="J22" s="44">
        <f>CurrentMtgRatesDataTable934[[#This Row],[Top 10 Amount]]/CurrentMtgRatesDataTable934[[#This Row],[Total Amount]]</f>
        <v>0.54080683873317847</v>
      </c>
      <c r="K22" s="44">
        <f>CurrentMtgRatesDataTable934[[#This Row],[Top 5 Amount]]/CurrentMtgRatesDataTable934[[#This Row],[Total Amount]]</f>
        <v>0.43163554423488792</v>
      </c>
      <c r="L22" s="44">
        <f>CurrentMtgRatesDataTable934[[#This Row],[Top 1 Amount]]/CurrentMtgRatesDataTable934[[#This Row],[Total Amount]]</f>
        <v>0.22065948956400847</v>
      </c>
      <c r="M22" s="44">
        <f>CurrentMtgRatesDataTable934[[#This Row],[N/A Amount]]/CurrentMtgRatesDataTable934[[#This Row],[Total Amount]]</f>
        <v>3.2213349727615904E-6</v>
      </c>
      <c r="N22" s="48">
        <f t="shared" si="0"/>
        <v>0</v>
      </c>
    </row>
    <row r="23" spans="3:14">
      <c r="C23" s="37">
        <v>41579</v>
      </c>
      <c r="D23" s="16">
        <v>24425721819.209999</v>
      </c>
      <c r="E23" s="17">
        <f>IF(C23&lt;=DateToChangeLag,VLOOKUP(C23,'Result-lag'!$C$4:$H$100,2,0),VLOOKUP(C23,CurrentMtgRatesDataTable8[],2,0))</f>
        <v>24425721819.209999</v>
      </c>
      <c r="F23" s="17">
        <f>IF($C23&lt;=DateToChangeLag,VLOOKUP($C23,'Result-lag'!$C$4:$I$100,3,0),VLOOKUP($C23,CurrentMtgRatesDataTable8[],3,0))</f>
        <v>14315974240.729996</v>
      </c>
      <c r="G23" s="17">
        <f>IF($C23&lt;=DateToChangeLag,VLOOKUP($C23,'Result-lag'!$C$4:$I$100,4,0),VLOOKUP($C23,CurrentMtgRatesDataTable8[],4,0))</f>
        <v>11600603853.66</v>
      </c>
      <c r="H23" s="43">
        <f>IF($C23&lt;=DateToChangeLag,VLOOKUP($C23,'Result-lag'!$C$4:$I$100,5,0),VLOOKUP($C23,CurrentMtgRatesDataTable8[],5,0))</f>
        <v>6464423980.5</v>
      </c>
      <c r="I23" s="43">
        <f>IF($C23&lt;=DateToChangeLag,VLOOKUP($C23,'Result-lag'!$C$4:$I$100,6,0),VLOOKUP($C23,CurrentMtgRatesDataTable8[],6,0))</f>
        <v>2558893.7599999998</v>
      </c>
      <c r="J23" s="44">
        <f>CurrentMtgRatesDataTable934[[#This Row],[Top 10 Amount]]/CurrentMtgRatesDataTable934[[#This Row],[Total Amount]]</f>
        <v>0.58610240248748635</v>
      </c>
      <c r="K23" s="44">
        <f>CurrentMtgRatesDataTable934[[#This Row],[Top 5 Amount]]/CurrentMtgRatesDataTable934[[#This Row],[Total Amount]]</f>
        <v>0.47493392168810011</v>
      </c>
      <c r="L23" s="44">
        <f>CurrentMtgRatesDataTable934[[#This Row],[Top 1 Amount]]/CurrentMtgRatesDataTable934[[#This Row],[Total Amount]]</f>
        <v>0.26465641541106683</v>
      </c>
      <c r="M23" s="44">
        <f>CurrentMtgRatesDataTable934[[#This Row],[N/A Amount]]/CurrentMtgRatesDataTable934[[#This Row],[Total Amount]]</f>
        <v>1.0476225754718605E-4</v>
      </c>
      <c r="N23" s="48">
        <f t="shared" si="0"/>
        <v>0</v>
      </c>
    </row>
    <row r="24" spans="3:14">
      <c r="C24" s="37">
        <v>41548</v>
      </c>
      <c r="D24" s="16">
        <v>26884500047.799999</v>
      </c>
      <c r="E24" s="17">
        <f>IF(C24&lt;=DateToChangeLag,VLOOKUP(C24,'Result-lag'!$C$4:$H$100,2,0),VLOOKUP(C24,CurrentMtgRatesDataTable8[],2,0))</f>
        <v>26884500047.799999</v>
      </c>
      <c r="F24" s="17">
        <f>IF($C24&lt;=DateToChangeLag,VLOOKUP($C24,'Result-lag'!$C$4:$I$100,3,0),VLOOKUP($C24,CurrentMtgRatesDataTable8[],3,0))</f>
        <v>15685629842.970001</v>
      </c>
      <c r="G24" s="17">
        <f>IF($C24&lt;=DateToChangeLag,VLOOKUP($C24,'Result-lag'!$C$4:$I$100,4,0),VLOOKUP($C24,CurrentMtgRatesDataTable8[],4,0))</f>
        <v>12514284008.049999</v>
      </c>
      <c r="H24" s="43">
        <f>IF($C24&lt;=DateToChangeLag,VLOOKUP($C24,'Result-lag'!$C$4:$I$100,5,0),VLOOKUP($C24,CurrentMtgRatesDataTable8[],5,0))</f>
        <v>6287281036.2299995</v>
      </c>
      <c r="I24" s="43">
        <f>IF($C24&lt;=DateToChangeLag,VLOOKUP($C24,'Result-lag'!$C$4:$I$100,6,0),VLOOKUP($C24,CurrentMtgRatesDataTable8[],6,0))</f>
        <v>158895.63</v>
      </c>
      <c r="J24" s="44">
        <f>CurrentMtgRatesDataTable934[[#This Row],[Top 10 Amount]]/CurrentMtgRatesDataTable934[[#This Row],[Total Amount]]</f>
        <v>0.58344510089759249</v>
      </c>
      <c r="K24" s="44">
        <f>CurrentMtgRatesDataTable934[[#This Row],[Top 5 Amount]]/CurrentMtgRatesDataTable934[[#This Row],[Total Amount]]</f>
        <v>0.46548323330543256</v>
      </c>
      <c r="L24" s="44">
        <f>CurrentMtgRatesDataTable934[[#This Row],[Top 1 Amount]]/CurrentMtgRatesDataTable934[[#This Row],[Total Amount]]</f>
        <v>0.23386267273155029</v>
      </c>
      <c r="M24" s="44">
        <f>CurrentMtgRatesDataTable934[[#This Row],[N/A Amount]]/CurrentMtgRatesDataTable934[[#This Row],[Total Amount]]</f>
        <v>5.9103062998191292E-6</v>
      </c>
      <c r="N24" s="48">
        <f t="shared" si="0"/>
        <v>0</v>
      </c>
    </row>
    <row r="25" spans="3:14">
      <c r="C25" s="37">
        <v>41518</v>
      </c>
      <c r="D25" s="16">
        <v>30246465328.040001</v>
      </c>
      <c r="E25" s="17">
        <f>IF(C25&lt;=DateToChangeLag,VLOOKUP(C25,'Result-lag'!$C$4:$H$100,2,0),VLOOKUP(C25,CurrentMtgRatesDataTable8[],2,0))</f>
        <v>30246465328.040001</v>
      </c>
      <c r="F25" s="17">
        <f>IF($C25&lt;=DateToChangeLag,VLOOKUP($C25,'Result-lag'!$C$4:$I$100,3,0),VLOOKUP($C25,CurrentMtgRatesDataTable8[],3,0))</f>
        <v>17776590882.760002</v>
      </c>
      <c r="G25" s="17">
        <f>IF($C25&lt;=DateToChangeLag,VLOOKUP($C25,'Result-lag'!$C$4:$I$100,4,0),VLOOKUP($C25,CurrentMtgRatesDataTable8[],4,0))</f>
        <v>14400270643.16</v>
      </c>
      <c r="H25" s="43">
        <f>IF($C25&lt;=DateToChangeLag,VLOOKUP($C25,'Result-lag'!$C$4:$I$100,5,0),VLOOKUP($C25,CurrentMtgRatesDataTable8[],5,0))</f>
        <v>7267875544.7299995</v>
      </c>
      <c r="I25" s="43">
        <f>IF($C25&lt;=DateToChangeLag,VLOOKUP($C25,'Result-lag'!$C$4:$I$100,6,0),VLOOKUP($C25,CurrentMtgRatesDataTable8[],6,0))</f>
        <v>715052.98</v>
      </c>
      <c r="J25" s="44">
        <f>CurrentMtgRatesDataTable934[[#This Row],[Top 10 Amount]]/CurrentMtgRatesDataTable934[[#This Row],[Total Amount]]</f>
        <v>0.58772457177930815</v>
      </c>
      <c r="K25" s="44">
        <f>CurrentMtgRatesDataTable934[[#This Row],[Top 5 Amount]]/CurrentMtgRatesDataTable934[[#This Row],[Total Amount]]</f>
        <v>0.47609763610329109</v>
      </c>
      <c r="L25" s="44">
        <f>CurrentMtgRatesDataTable934[[#This Row],[Top 1 Amount]]/CurrentMtgRatesDataTable934[[#This Row],[Total Amount]]</f>
        <v>0.24028842596666367</v>
      </c>
      <c r="M25" s="44">
        <f>CurrentMtgRatesDataTable934[[#This Row],[N/A Amount]]/CurrentMtgRatesDataTable934[[#This Row],[Total Amount]]</f>
        <v>2.3640877446169214E-5</v>
      </c>
      <c r="N25" s="48">
        <f t="shared" si="0"/>
        <v>0</v>
      </c>
    </row>
    <row r="26" spans="3:14">
      <c r="C26" s="37">
        <v>41487</v>
      </c>
      <c r="D26" s="16">
        <v>34072165757.150002</v>
      </c>
      <c r="E26" s="17">
        <f>IF(C26&lt;=DateToChangeLag,VLOOKUP(C26,'Result-lag'!$C$4:$H$100,2,0),VLOOKUP(C26,CurrentMtgRatesDataTable8[],2,0))</f>
        <v>34072165757.150002</v>
      </c>
      <c r="F26" s="17">
        <f>IF($C26&lt;=DateToChangeLag,VLOOKUP($C26,'Result-lag'!$C$4:$I$100,3,0),VLOOKUP($C26,CurrentMtgRatesDataTable8[],3,0))</f>
        <v>20908839908.930004</v>
      </c>
      <c r="G26" s="17">
        <f>IF($C26&lt;=DateToChangeLag,VLOOKUP($C26,'Result-lag'!$C$4:$I$100,4,0),VLOOKUP($C26,CurrentMtgRatesDataTable8[],4,0))</f>
        <v>17168607712.619999</v>
      </c>
      <c r="H26" s="43">
        <f>IF($C26&lt;=DateToChangeLag,VLOOKUP($C26,'Result-lag'!$C$4:$I$100,5,0),VLOOKUP($C26,CurrentMtgRatesDataTable8[],5,0))</f>
        <v>8870949392.1399994</v>
      </c>
      <c r="I26" s="43">
        <f>IF($C26&lt;=DateToChangeLag,VLOOKUP($C26,'Result-lag'!$C$4:$I$100,6,0),VLOOKUP($C26,CurrentMtgRatesDataTable8[],6,0))</f>
        <v>42386.54</v>
      </c>
      <c r="J26" s="44">
        <f>CurrentMtgRatesDataTable934[[#This Row],[Top 10 Amount]]/CurrentMtgRatesDataTable934[[#This Row],[Total Amount]]</f>
        <v>0.61366336551536382</v>
      </c>
      <c r="K26" s="44">
        <f>CurrentMtgRatesDataTable934[[#This Row],[Top 5 Amount]]/CurrentMtgRatesDataTable934[[#This Row],[Total Amount]]</f>
        <v>0.50388953361490352</v>
      </c>
      <c r="L26" s="44">
        <f>CurrentMtgRatesDataTable934[[#This Row],[Top 1 Amount]]/CurrentMtgRatesDataTable934[[#This Row],[Total Amount]]</f>
        <v>0.2603576613053557</v>
      </c>
      <c r="M26" s="44">
        <f>CurrentMtgRatesDataTable934[[#This Row],[N/A Amount]]/CurrentMtgRatesDataTable934[[#This Row],[Total Amount]]</f>
        <v>1.2440224757683694E-6</v>
      </c>
      <c r="N26" s="48">
        <f t="shared" si="0"/>
        <v>0</v>
      </c>
    </row>
    <row r="27" spans="3:14">
      <c r="C27" s="37">
        <v>41456</v>
      </c>
      <c r="D27" s="16">
        <v>37282597413.379997</v>
      </c>
      <c r="E27" s="17">
        <f>IF(C27&lt;=DateToChangeLag,VLOOKUP(C27,'Result-lag'!$C$4:$H$100,2,0),VLOOKUP(C27,CurrentMtgRatesDataTable8[],2,0))</f>
        <v>37282597413.379997</v>
      </c>
      <c r="F27" s="17">
        <f>IF($C27&lt;=DateToChangeLag,VLOOKUP($C27,'Result-lag'!$C$4:$I$100,3,0),VLOOKUP($C27,CurrentMtgRatesDataTable8[],3,0))</f>
        <v>23698069082.650002</v>
      </c>
      <c r="G27" s="17">
        <f>IF($C27&lt;=DateToChangeLag,VLOOKUP($C27,'Result-lag'!$C$4:$I$100,4,0),VLOOKUP($C27,CurrentMtgRatesDataTable8[],4,0))</f>
        <v>18955519140.270004</v>
      </c>
      <c r="H27" s="43">
        <f>IF($C27&lt;=DateToChangeLag,VLOOKUP($C27,'Result-lag'!$C$4:$I$100,5,0),VLOOKUP($C27,CurrentMtgRatesDataTable8[],5,0))</f>
        <v>10136035522.35</v>
      </c>
      <c r="I27" s="43">
        <f>IF($C27&lt;=DateToChangeLag,VLOOKUP($C27,'Result-lag'!$C$4:$I$100,6,0),VLOOKUP($C27,CurrentMtgRatesDataTable8[],6,0))</f>
        <v>98553.86</v>
      </c>
      <c r="J27" s="44">
        <f>CurrentMtgRatesDataTable934[[#This Row],[Top 10 Amount]]/CurrentMtgRatesDataTable934[[#This Row],[Total Amount]]</f>
        <v>0.63563353217834617</v>
      </c>
      <c r="K27" s="44">
        <f>CurrentMtgRatesDataTable934[[#This Row],[Top 5 Amount]]/CurrentMtgRatesDataTable934[[#This Row],[Total Amount]]</f>
        <v>0.5084280724890492</v>
      </c>
      <c r="L27" s="44">
        <f>CurrentMtgRatesDataTable934[[#This Row],[Top 1 Amount]]/CurrentMtgRatesDataTable934[[#This Row],[Total Amount]]</f>
        <v>0.27187042281320173</v>
      </c>
      <c r="M27" s="44">
        <f>CurrentMtgRatesDataTable934[[#This Row],[N/A Amount]]/CurrentMtgRatesDataTable934[[#This Row],[Total Amount]]</f>
        <v>2.6434279486286794E-6</v>
      </c>
      <c r="N27" s="48">
        <f t="shared" si="0"/>
        <v>0</v>
      </c>
    </row>
    <row r="28" spans="3:14">
      <c r="C28" s="37">
        <v>41426</v>
      </c>
      <c r="D28" s="16">
        <v>40070305738.699997</v>
      </c>
      <c r="E28" s="17">
        <f>IF(C28&lt;=DateToChangeLag,VLOOKUP(C28,'Result-lag'!$C$4:$H$100,2,0),VLOOKUP(C28,CurrentMtgRatesDataTable8[],2,0))</f>
        <v>40070305738.699997</v>
      </c>
      <c r="F28" s="17">
        <f>IF($C28&lt;=DateToChangeLag,VLOOKUP($C28,'Result-lag'!$C$4:$I$100,3,0),VLOOKUP($C28,CurrentMtgRatesDataTable8[],3,0))</f>
        <v>24543431615.759995</v>
      </c>
      <c r="G28" s="17">
        <f>IF($C28&lt;=DateToChangeLag,VLOOKUP($C28,'Result-lag'!$C$4:$I$100,4,0),VLOOKUP($C28,CurrentMtgRatesDataTable8[],4,0))</f>
        <v>19931806879.980003</v>
      </c>
      <c r="H28" s="43">
        <f>IF($C28&lt;=DateToChangeLag,VLOOKUP($C28,'Result-lag'!$C$4:$I$100,5,0),VLOOKUP($C28,CurrentMtgRatesDataTable8[],5,0))</f>
        <v>10901539313.190001</v>
      </c>
      <c r="I28" s="43">
        <f>IF($C28&lt;=DateToChangeLag,VLOOKUP($C28,'Result-lag'!$C$4:$I$100,6,0),VLOOKUP($C28,CurrentMtgRatesDataTable8[],6,0))</f>
        <v>41436.800000000003</v>
      </c>
      <c r="J28" s="44">
        <f>CurrentMtgRatesDataTable934[[#This Row],[Top 10 Amount]]/CurrentMtgRatesDataTable934[[#This Row],[Total Amount]]</f>
        <v>0.61250921756895627</v>
      </c>
      <c r="K28" s="44">
        <f>CurrentMtgRatesDataTable934[[#This Row],[Top 5 Amount]]/CurrentMtgRatesDataTable934[[#This Row],[Total Amount]]</f>
        <v>0.49742088343313579</v>
      </c>
      <c r="L28" s="44">
        <f>CurrentMtgRatesDataTable934[[#This Row],[Top 1 Amount]]/CurrentMtgRatesDataTable934[[#This Row],[Total Amount]]</f>
        <v>0.27206029782451269</v>
      </c>
      <c r="M28" s="44">
        <f>CurrentMtgRatesDataTable934[[#This Row],[N/A Amount]]/CurrentMtgRatesDataTable934[[#This Row],[Total Amount]]</f>
        <v>1.0341024166426622E-6</v>
      </c>
      <c r="N28" s="48">
        <f t="shared" si="0"/>
        <v>0</v>
      </c>
    </row>
    <row r="29" spans="3:14">
      <c r="C29" s="37">
        <v>41395</v>
      </c>
      <c r="D29" s="16">
        <v>40349366950.739998</v>
      </c>
      <c r="E29" s="17">
        <f>IF(C29&lt;=DateToChangeLag,VLOOKUP(C29,'Result-lag'!$C$4:$H$100,2,0),VLOOKUP(C29,CurrentMtgRatesDataTable8[],2,0))</f>
        <v>40349366950.739998</v>
      </c>
      <c r="F29" s="17">
        <f>IF($C29&lt;=DateToChangeLag,VLOOKUP($C29,'Result-lag'!$C$4:$I$100,3,0),VLOOKUP($C29,CurrentMtgRatesDataTable8[],3,0))</f>
        <v>25114174999.98</v>
      </c>
      <c r="G29" s="17">
        <f>IF($C29&lt;=DateToChangeLag,VLOOKUP($C29,'Result-lag'!$C$4:$I$100,4,0),VLOOKUP($C29,CurrentMtgRatesDataTable8[],4,0))</f>
        <v>20872056371.66</v>
      </c>
      <c r="H29" s="43">
        <f>IF($C29&lt;=DateToChangeLag,VLOOKUP($C29,'Result-lag'!$C$4:$I$100,5,0),VLOOKUP($C29,CurrentMtgRatesDataTable8[],5,0))</f>
        <v>11488927028.709999</v>
      </c>
      <c r="I29" s="43" t="e">
        <f>IF($C29&lt;=DateToChangeLag,VLOOKUP($C29,'Result-lag'!$C$4:$I$100,6,0),VLOOKUP($C29,CurrentMtgRatesDataTable8[],6,0))</f>
        <v>#N/A</v>
      </c>
      <c r="J29" s="44">
        <f>CurrentMtgRatesDataTable934[[#This Row],[Top 10 Amount]]/CurrentMtgRatesDataTable934[[#This Row],[Total Amount]]</f>
        <v>0.62241806744180928</v>
      </c>
      <c r="K29" s="44">
        <f>CurrentMtgRatesDataTable934[[#This Row],[Top 5 Amount]]/CurrentMtgRatesDataTable934[[#This Row],[Total Amount]]</f>
        <v>0.5172833664810994</v>
      </c>
      <c r="L29" s="44">
        <f>CurrentMtgRatesDataTable934[[#This Row],[Top 1 Amount]]/CurrentMtgRatesDataTable934[[#This Row],[Total Amount]]</f>
        <v>0.28473623992009855</v>
      </c>
      <c r="M29" s="44" t="e">
        <f>CurrentMtgRatesDataTable934[[#This Row],[N/A Amount]]/CurrentMtgRatesDataTable934[[#This Row],[Total Amount]]</f>
        <v>#N/A</v>
      </c>
      <c r="N29" s="48">
        <f t="shared" si="0"/>
        <v>0</v>
      </c>
    </row>
    <row r="30" spans="3:14">
      <c r="C30" s="37">
        <v>41365</v>
      </c>
      <c r="D30" s="16">
        <v>39207819015.68</v>
      </c>
      <c r="E30" s="17">
        <f>IF(C30&lt;=DateToChangeLag,VLOOKUP(C30,'Result-lag'!$C$4:$H$100,2,0),VLOOKUP(C30,CurrentMtgRatesDataTable8[],2,0))</f>
        <v>39207819015.68</v>
      </c>
      <c r="F30" s="17">
        <f>IF($C30&lt;=DateToChangeLag,VLOOKUP($C30,'Result-lag'!$C$4:$I$100,3,0),VLOOKUP($C30,CurrentMtgRatesDataTable8[],3,0))</f>
        <v>24970975389.630005</v>
      </c>
      <c r="G30" s="17">
        <f>IF($C30&lt;=DateToChangeLag,VLOOKUP($C30,'Result-lag'!$C$4:$I$100,4,0),VLOOKUP($C30,CurrentMtgRatesDataTable8[],4,0))</f>
        <v>20223303671.580002</v>
      </c>
      <c r="H30" s="43">
        <f>IF($C30&lt;=DateToChangeLag,VLOOKUP($C30,'Result-lag'!$C$4:$I$100,5,0),VLOOKUP($C30,CurrentMtgRatesDataTable8[],5,0))</f>
        <v>11279857954.74</v>
      </c>
      <c r="I30" s="43">
        <f>IF($C30&lt;=DateToChangeLag,VLOOKUP($C30,'Result-lag'!$C$4:$I$100,6,0),VLOOKUP($C30,CurrentMtgRatesDataTable8[],6,0))</f>
        <v>156145.66</v>
      </c>
      <c r="J30" s="44">
        <f>CurrentMtgRatesDataTable934[[#This Row],[Top 10 Amount]]/CurrentMtgRatesDataTable934[[#This Row],[Total Amount]]</f>
        <v>0.63688764171359813</v>
      </c>
      <c r="K30" s="44">
        <f>CurrentMtgRatesDataTable934[[#This Row],[Top 5 Amount]]/CurrentMtgRatesDataTable934[[#This Row],[Total Amount]]</f>
        <v>0.51579772043663774</v>
      </c>
      <c r="L30" s="44">
        <f>CurrentMtgRatesDataTable934[[#This Row],[Top 1 Amount]]/CurrentMtgRatesDataTable934[[#This Row],[Total Amount]]</f>
        <v>0.28769409362527809</v>
      </c>
      <c r="M30" s="44">
        <f>CurrentMtgRatesDataTable934[[#This Row],[N/A Amount]]/CurrentMtgRatesDataTable934[[#This Row],[Total Amount]]</f>
        <v>3.9825132823010178E-6</v>
      </c>
      <c r="N30" s="48">
        <f t="shared" si="0"/>
        <v>0</v>
      </c>
    </row>
    <row r="31" spans="3:14">
      <c r="C31" s="37">
        <v>41334</v>
      </c>
      <c r="D31" s="16">
        <v>35969757043.540001</v>
      </c>
      <c r="E31" s="17">
        <f>IF(C31&lt;=DateToChangeLag,VLOOKUP(C31,'Result-lag'!$C$4:$H$100,2,0),VLOOKUP(C31,CurrentMtgRatesDataTable8[],2,0))</f>
        <v>35969757043.540001</v>
      </c>
      <c r="F31" s="17">
        <f>IF($C31&lt;=DateToChangeLag,VLOOKUP($C31,'Result-lag'!$C$4:$I$100,3,0),VLOOKUP($C31,CurrentMtgRatesDataTable8[],3,0))</f>
        <v>22346775421.320004</v>
      </c>
      <c r="G31" s="17">
        <f>IF($C31&lt;=DateToChangeLag,VLOOKUP($C31,'Result-lag'!$C$4:$I$100,4,0),VLOOKUP($C31,CurrentMtgRatesDataTable8[],4,0))</f>
        <v>18253722161.220001</v>
      </c>
      <c r="H31" s="43">
        <f>IF($C31&lt;=DateToChangeLag,VLOOKUP($C31,'Result-lag'!$C$4:$I$100,5,0),VLOOKUP($C31,CurrentMtgRatesDataTable8[],5,0))</f>
        <v>9568034422.0900002</v>
      </c>
      <c r="I31" s="43">
        <f>IF($C31&lt;=DateToChangeLag,VLOOKUP($C31,'Result-lag'!$C$4:$I$100,6,0),VLOOKUP($C31,CurrentMtgRatesDataTable8[],6,0))</f>
        <v>1097501.01</v>
      </c>
      <c r="J31" s="44">
        <f>CurrentMtgRatesDataTable934[[#This Row],[Top 10 Amount]]/CurrentMtgRatesDataTable934[[#This Row],[Total Amount]]</f>
        <v>0.6212656758918359</v>
      </c>
      <c r="K31" s="44">
        <f>CurrentMtgRatesDataTable934[[#This Row],[Top 5 Amount]]/CurrentMtgRatesDataTable934[[#This Row],[Total Amount]]</f>
        <v>0.50747415777995319</v>
      </c>
      <c r="L31" s="44">
        <f>CurrentMtgRatesDataTable934[[#This Row],[Top 1 Amount]]/CurrentMtgRatesDataTable934[[#This Row],[Total Amount]]</f>
        <v>0.26600219763809535</v>
      </c>
      <c r="M31" s="44">
        <f>CurrentMtgRatesDataTable934[[#This Row],[N/A Amount]]/CurrentMtgRatesDataTable934[[#This Row],[Total Amount]]</f>
        <v>3.0511771560522842E-5</v>
      </c>
      <c r="N31" s="48">
        <f t="shared" si="0"/>
        <v>0</v>
      </c>
    </row>
    <row r="32" spans="3:14">
      <c r="C32" s="37">
        <v>41306</v>
      </c>
      <c r="D32" s="16">
        <v>38063936628.589996</v>
      </c>
      <c r="E32" s="17">
        <f>IF(C32&lt;=DateToChangeLag,VLOOKUP(C32,'Result-lag'!$C$4:$H$100,2,0),VLOOKUP(C32,CurrentMtgRatesDataTable8[],2,0))</f>
        <v>38063936628.589996</v>
      </c>
      <c r="F32" s="17">
        <f>IF($C32&lt;=DateToChangeLag,VLOOKUP($C32,'Result-lag'!$C$4:$I$100,3,0),VLOOKUP($C32,CurrentMtgRatesDataTable8[],3,0))</f>
        <v>24451409144.98</v>
      </c>
      <c r="G32" s="17">
        <f>IF($C32&lt;=DateToChangeLag,VLOOKUP($C32,'Result-lag'!$C$4:$I$100,4,0),VLOOKUP($C32,CurrentMtgRatesDataTable8[],4,0))</f>
        <v>20255842062.120003</v>
      </c>
      <c r="H32" s="43">
        <f>IF($C32&lt;=DateToChangeLag,VLOOKUP($C32,'Result-lag'!$C$4:$I$100,5,0),VLOOKUP($C32,CurrentMtgRatesDataTable8[],5,0))</f>
        <v>11492145992.860001</v>
      </c>
      <c r="I32" s="43">
        <f>IF($C32&lt;=DateToChangeLag,VLOOKUP($C32,'Result-lag'!$C$4:$I$100,6,0),VLOOKUP($C32,CurrentMtgRatesDataTable8[],6,0))</f>
        <v>2766460.86</v>
      </c>
      <c r="J32" s="44">
        <f>CurrentMtgRatesDataTable934[[#This Row],[Top 10 Amount]]/CurrentMtgRatesDataTable934[[#This Row],[Total Amount]]</f>
        <v>0.6423773080426588</v>
      </c>
      <c r="K32" s="44">
        <f>CurrentMtgRatesDataTable934[[#This Row],[Top 5 Amount]]/CurrentMtgRatesDataTable934[[#This Row],[Total Amount]]</f>
        <v>0.53215310491310952</v>
      </c>
      <c r="L32" s="44">
        <f>CurrentMtgRatesDataTable934[[#This Row],[Top 1 Amount]]/CurrentMtgRatesDataTable934[[#This Row],[Total Amount]]</f>
        <v>0.30191690641446156</v>
      </c>
      <c r="M32" s="44">
        <f>CurrentMtgRatesDataTable934[[#This Row],[N/A Amount]]/CurrentMtgRatesDataTable934[[#This Row],[Total Amount]]</f>
        <v>7.2679315515728832E-5</v>
      </c>
      <c r="N32" s="48">
        <f t="shared" si="0"/>
        <v>0</v>
      </c>
    </row>
    <row r="33" spans="3:14">
      <c r="C33" s="37">
        <v>41275</v>
      </c>
      <c r="D33" s="16">
        <v>37478642030.029999</v>
      </c>
      <c r="E33" s="17">
        <f>IF(C33&lt;=DateToChangeLag,VLOOKUP(C33,'Result-lag'!$C$4:$H$100,2,0),VLOOKUP(C33,CurrentMtgRatesDataTable8[],2,0))</f>
        <v>37478642030.029999</v>
      </c>
      <c r="F33" s="17">
        <f>IF($C33&lt;=DateToChangeLag,VLOOKUP($C33,'Result-lag'!$C$4:$I$100,3,0),VLOOKUP($C33,CurrentMtgRatesDataTable8[],3,0))</f>
        <v>23904875687.350002</v>
      </c>
      <c r="G33" s="17">
        <f>IF($C33&lt;=DateToChangeLag,VLOOKUP($C33,'Result-lag'!$C$4:$I$100,4,0),VLOOKUP($C33,CurrentMtgRatesDataTable8[],4,0))</f>
        <v>19628010871.970001</v>
      </c>
      <c r="H33" s="43">
        <f>IF($C33&lt;=DateToChangeLag,VLOOKUP($C33,'Result-lag'!$C$4:$I$100,5,0),VLOOKUP($C33,CurrentMtgRatesDataTable8[],5,0))</f>
        <v>12333810135.870001</v>
      </c>
      <c r="I33" s="43">
        <f>IF($C33&lt;=DateToChangeLag,VLOOKUP($C33,'Result-lag'!$C$4:$I$100,6,0),VLOOKUP($C33,CurrentMtgRatesDataTable8[],6,0))</f>
        <v>2068229.63</v>
      </c>
      <c r="J33" s="44">
        <f>CurrentMtgRatesDataTable934[[#This Row],[Top 10 Amount]]/CurrentMtgRatesDataTable934[[#This Row],[Total Amount]]</f>
        <v>0.63782662317903804</v>
      </c>
      <c r="K33" s="44">
        <f>CurrentMtgRatesDataTable934[[#This Row],[Top 5 Amount]]/CurrentMtgRatesDataTable934[[#This Row],[Total Amount]]</f>
        <v>0.52371190120076749</v>
      </c>
      <c r="L33" s="44">
        <f>CurrentMtgRatesDataTable934[[#This Row],[Top 1 Amount]]/CurrentMtgRatesDataTable934[[#This Row],[Total Amount]]</f>
        <v>0.32908903492254221</v>
      </c>
      <c r="M33" s="44">
        <f>CurrentMtgRatesDataTable934[[#This Row],[N/A Amount]]/CurrentMtgRatesDataTable934[[#This Row],[Total Amount]]</f>
        <v>5.5184220077739688E-5</v>
      </c>
      <c r="N33" s="48">
        <f t="shared" si="0"/>
        <v>0</v>
      </c>
    </row>
    <row r="34" spans="3:14">
      <c r="C34" s="37">
        <v>41244</v>
      </c>
      <c r="D34" s="16">
        <v>40588469160.410004</v>
      </c>
      <c r="E34" s="17">
        <f>IF(C34&lt;=DateToChangeLag,VLOOKUP(C34,'Result-lag'!$C$4:$H$100,2,0),VLOOKUP(C34,CurrentMtgRatesDataTable8[],2,0))</f>
        <v>40588469160.410004</v>
      </c>
      <c r="F34" s="17">
        <f>IF($C34&lt;=DateToChangeLag,VLOOKUP($C34,'Result-lag'!$C$4:$I$100,3,0),VLOOKUP($C34,CurrentMtgRatesDataTable8[],3,0))</f>
        <v>25121900776.220001</v>
      </c>
      <c r="G34" s="17">
        <f>IF($C34&lt;=DateToChangeLag,VLOOKUP($C34,'Result-lag'!$C$4:$I$100,4,0),VLOOKUP($C34,CurrentMtgRatesDataTable8[],4,0))</f>
        <v>20340532413.459999</v>
      </c>
      <c r="H34" s="43">
        <f>IF($C34&lt;=DateToChangeLag,VLOOKUP($C34,'Result-lag'!$C$4:$I$100,5,0),VLOOKUP($C34,CurrentMtgRatesDataTable8[],5,0))</f>
        <v>11715803235.52</v>
      </c>
      <c r="I34" s="43">
        <f>IF($C34&lt;=DateToChangeLag,VLOOKUP($C34,'Result-lag'!$C$4:$I$100,6,0),VLOOKUP($C34,CurrentMtgRatesDataTable8[],6,0))</f>
        <v>4723627.7300000004</v>
      </c>
      <c r="J34" s="44">
        <f>CurrentMtgRatesDataTable934[[#This Row],[Top 10 Amount]]/CurrentMtgRatesDataTable934[[#This Row],[Total Amount]]</f>
        <v>0.61894181514793134</v>
      </c>
      <c r="K34" s="44">
        <f>CurrentMtgRatesDataTable934[[#This Row],[Top 5 Amount]]/CurrentMtgRatesDataTable934[[#This Row],[Total Amount]]</f>
        <v>0.50114066468168639</v>
      </c>
      <c r="L34" s="44">
        <f>CurrentMtgRatesDataTable934[[#This Row],[Top 1 Amount]]/CurrentMtgRatesDataTable934[[#This Row],[Total Amount]]</f>
        <v>0.28864856147241924</v>
      </c>
      <c r="M34" s="44">
        <f>CurrentMtgRatesDataTable934[[#This Row],[N/A Amount]]/CurrentMtgRatesDataTable934[[#This Row],[Total Amount]]</f>
        <v>1.1637856336319842E-4</v>
      </c>
      <c r="N34" s="48">
        <f t="shared" si="0"/>
        <v>0</v>
      </c>
    </row>
    <row r="35" spans="3:14">
      <c r="C35" s="37">
        <v>41214</v>
      </c>
      <c r="D35" s="16">
        <v>40377783920.790001</v>
      </c>
      <c r="E35" s="17">
        <f>IF(C35&lt;=DateToChangeLag,VLOOKUP(C35,'Result-lag'!$C$4:$H$100,2,0),VLOOKUP(C35,CurrentMtgRatesDataTable8[],2,0))</f>
        <v>40377783920.790001</v>
      </c>
      <c r="F35" s="17">
        <f>IF($C35&lt;=DateToChangeLag,VLOOKUP($C35,'Result-lag'!$C$4:$I$100,3,0),VLOOKUP($C35,CurrentMtgRatesDataTable8[],3,0))</f>
        <v>27101432390.41</v>
      </c>
      <c r="G35" s="17">
        <f>IF($C35&lt;=DateToChangeLag,VLOOKUP($C35,'Result-lag'!$C$4:$I$100,4,0),VLOOKUP($C35,CurrentMtgRatesDataTable8[],4,0))</f>
        <v>22292069694.239998</v>
      </c>
      <c r="H35" s="43">
        <f>IF($C35&lt;=DateToChangeLag,VLOOKUP($C35,'Result-lag'!$C$4:$I$100,5,0),VLOOKUP($C35,CurrentMtgRatesDataTable8[],5,0))</f>
        <v>14279880239.870001</v>
      </c>
      <c r="I35" s="43">
        <f>IF($C35&lt;=DateToChangeLag,VLOOKUP($C35,'Result-lag'!$C$4:$I$100,6,0),VLOOKUP($C35,CurrentMtgRatesDataTable8[],6,0))</f>
        <v>265983.75</v>
      </c>
      <c r="J35" s="44">
        <f>CurrentMtgRatesDataTable934[[#This Row],[Top 10 Amount]]/CurrentMtgRatesDataTable934[[#This Row],[Total Amount]]</f>
        <v>0.6711966274220369</v>
      </c>
      <c r="K35" s="44">
        <f>CurrentMtgRatesDataTable934[[#This Row],[Top 5 Amount]]/CurrentMtgRatesDataTable934[[#This Row],[Total Amount]]</f>
        <v>0.55208749786691735</v>
      </c>
      <c r="L35" s="44">
        <f>CurrentMtgRatesDataTable934[[#This Row],[Top 1 Amount]]/CurrentMtgRatesDataTable934[[#This Row],[Total Amount]]</f>
        <v>0.35365685912538342</v>
      </c>
      <c r="M35" s="44">
        <f>CurrentMtgRatesDataTable934[[#This Row],[N/A Amount]]/CurrentMtgRatesDataTable934[[#This Row],[Total Amount]]</f>
        <v>6.5873786070524888E-6</v>
      </c>
      <c r="N35" s="48">
        <f t="shared" si="0"/>
        <v>0</v>
      </c>
    </row>
    <row r="36" spans="3:14">
      <c r="C36" s="37">
        <v>41183</v>
      </c>
      <c r="D36" s="16">
        <v>35764476169.269997</v>
      </c>
      <c r="E36" s="17">
        <f>IF(C36&lt;=DateToChangeLag,VLOOKUP(C36,'Result-lag'!$C$4:$H$100,2,0),VLOOKUP(C36,CurrentMtgRatesDataTable8[],2,0))</f>
        <v>35764476169.269997</v>
      </c>
      <c r="F36" s="17">
        <f>IF($C36&lt;=DateToChangeLag,VLOOKUP($C36,'Result-lag'!$C$4:$I$100,3,0),VLOOKUP($C36,CurrentMtgRatesDataTable8[],3,0))</f>
        <v>23869927709.499996</v>
      </c>
      <c r="G36" s="17">
        <f>IF($C36&lt;=DateToChangeLag,VLOOKUP($C36,'Result-lag'!$C$4:$I$100,4,0),VLOOKUP($C36,CurrentMtgRatesDataTable8[],4,0))</f>
        <v>19510637406.490002</v>
      </c>
      <c r="H36" s="43">
        <f>IF($C36&lt;=DateToChangeLag,VLOOKUP($C36,'Result-lag'!$C$4:$I$100,5,0),VLOOKUP($C36,CurrentMtgRatesDataTable8[],5,0))</f>
        <v>12119713533.76</v>
      </c>
      <c r="I36" s="43">
        <f>IF($C36&lt;=DateToChangeLag,VLOOKUP($C36,'Result-lag'!$C$4:$I$100,6,0),VLOOKUP($C36,CurrentMtgRatesDataTable8[],6,0))</f>
        <v>1260220.6499999999</v>
      </c>
      <c r="J36" s="44">
        <f>CurrentMtgRatesDataTable934[[#This Row],[Top 10 Amount]]/CurrentMtgRatesDataTable934[[#This Row],[Total Amount]]</f>
        <v>0.66742002864870187</v>
      </c>
      <c r="K36" s="44">
        <f>CurrentMtgRatesDataTable934[[#This Row],[Top 5 Amount]]/CurrentMtgRatesDataTable934[[#This Row],[Total Amount]]</f>
        <v>0.54553119453359078</v>
      </c>
      <c r="L36" s="44">
        <f>CurrentMtgRatesDataTable934[[#This Row],[Top 1 Amount]]/CurrentMtgRatesDataTable934[[#This Row],[Total Amount]]</f>
        <v>0.33887574576511353</v>
      </c>
      <c r="M36" s="44">
        <f>CurrentMtgRatesDataTable934[[#This Row],[N/A Amount]]/CurrentMtgRatesDataTable934[[#This Row],[Total Amount]]</f>
        <v>3.5236658969517428E-5</v>
      </c>
      <c r="N36" s="48">
        <f t="shared" ref="N36:N67" si="1">IF(C36&lt;=DateToChangeLag,1,0)</f>
        <v>0</v>
      </c>
    </row>
    <row r="37" spans="3:14">
      <c r="C37" s="37">
        <v>41153</v>
      </c>
      <c r="D37" s="16">
        <v>37945487987.889999</v>
      </c>
      <c r="E37" s="17">
        <f>IF(C37&lt;=DateToChangeLag,VLOOKUP(C37,'Result-lag'!$C$4:$H$100,2,0),VLOOKUP(C37,CurrentMtgRatesDataTable8[],2,0))</f>
        <v>37945487987.889999</v>
      </c>
      <c r="F37" s="17">
        <f>IF($C37&lt;=DateToChangeLag,VLOOKUP($C37,'Result-lag'!$C$4:$I$100,3,0),VLOOKUP($C37,CurrentMtgRatesDataTable8[],3,0))</f>
        <v>25979772278.559998</v>
      </c>
      <c r="G37" s="17">
        <f>IF($C37&lt;=DateToChangeLag,VLOOKUP($C37,'Result-lag'!$C$4:$I$100,4,0),VLOOKUP($C37,CurrentMtgRatesDataTable8[],4,0))</f>
        <v>21727048883.23</v>
      </c>
      <c r="H37" s="43">
        <f>IF($C37&lt;=DateToChangeLag,VLOOKUP($C37,'Result-lag'!$C$4:$I$100,5,0),VLOOKUP($C37,CurrentMtgRatesDataTable8[],5,0))</f>
        <v>14243174523.99</v>
      </c>
      <c r="I37" s="43">
        <f>IF($C37&lt;=DateToChangeLag,VLOOKUP($C37,'Result-lag'!$C$4:$I$100,6,0),VLOOKUP($C37,CurrentMtgRatesDataTable8[],6,0))</f>
        <v>4946.2299999999996</v>
      </c>
      <c r="J37" s="44">
        <f>CurrentMtgRatesDataTable934[[#This Row],[Top 10 Amount]]/CurrentMtgRatesDataTable934[[#This Row],[Total Amount]]</f>
        <v>0.684660381409543</v>
      </c>
      <c r="K37" s="44">
        <f>CurrentMtgRatesDataTable934[[#This Row],[Top 5 Amount]]/CurrentMtgRatesDataTable934[[#This Row],[Total Amount]]</f>
        <v>0.57258583392481377</v>
      </c>
      <c r="L37" s="44">
        <f>CurrentMtgRatesDataTable934[[#This Row],[Top 1 Amount]]/CurrentMtgRatesDataTable934[[#This Row],[Total Amount]]</f>
        <v>0.37535884447014084</v>
      </c>
      <c r="M37" s="44">
        <f>CurrentMtgRatesDataTable934[[#This Row],[N/A Amount]]/CurrentMtgRatesDataTable934[[#This Row],[Total Amount]]</f>
        <v>1.3035093926262195E-7</v>
      </c>
      <c r="N37" s="48">
        <f t="shared" si="1"/>
        <v>0</v>
      </c>
    </row>
    <row r="38" spans="3:14">
      <c r="C38" s="37">
        <v>41122</v>
      </c>
      <c r="D38" s="16">
        <v>38079955996.330002</v>
      </c>
      <c r="E38" s="17">
        <f>IF(C38&lt;=DateToChangeLag,VLOOKUP(C38,'Result-lag'!$C$4:$H$100,2,0),VLOOKUP(C38,CurrentMtgRatesDataTable8[],2,0))</f>
        <v>38079955996.330002</v>
      </c>
      <c r="F38" s="17">
        <f>IF($C38&lt;=DateToChangeLag,VLOOKUP($C38,'Result-lag'!$C$4:$I$100,3,0),VLOOKUP($C38,CurrentMtgRatesDataTable8[],3,0))</f>
        <v>27220146041.560001</v>
      </c>
      <c r="G38" s="17">
        <f>IF($C38&lt;=DateToChangeLag,VLOOKUP($C38,'Result-lag'!$C$4:$I$100,4,0),VLOOKUP($C38,CurrentMtgRatesDataTable8[],4,0))</f>
        <v>22870113391.25</v>
      </c>
      <c r="H38" s="43">
        <f>IF($C38&lt;=DateToChangeLag,VLOOKUP($C38,'Result-lag'!$C$4:$I$100,5,0),VLOOKUP($C38,CurrentMtgRatesDataTable8[],5,0))</f>
        <v>15536484394.24</v>
      </c>
      <c r="I38" s="43">
        <f>IF($C38&lt;=DateToChangeLag,VLOOKUP($C38,'Result-lag'!$C$4:$I$100,6,0),VLOOKUP($C38,CurrentMtgRatesDataTable8[],6,0))</f>
        <v>479742.95</v>
      </c>
      <c r="J38" s="44">
        <f>CurrentMtgRatesDataTable934[[#This Row],[Top 10 Amount]]/CurrentMtgRatesDataTable934[[#This Row],[Total Amount]]</f>
        <v>0.7148155855060172</v>
      </c>
      <c r="K38" s="44">
        <f>CurrentMtgRatesDataTable934[[#This Row],[Top 5 Amount]]/CurrentMtgRatesDataTable934[[#This Row],[Total Amount]]</f>
        <v>0.60058140281081551</v>
      </c>
      <c r="L38" s="44">
        <f>CurrentMtgRatesDataTable934[[#This Row],[Top 1 Amount]]/CurrentMtgRatesDataTable934[[#This Row],[Total Amount]]</f>
        <v>0.40799638517800141</v>
      </c>
      <c r="M38" s="44">
        <f>CurrentMtgRatesDataTable934[[#This Row],[N/A Amount]]/CurrentMtgRatesDataTable934[[#This Row],[Total Amount]]</f>
        <v>1.2598306312282393E-5</v>
      </c>
      <c r="N38" s="48">
        <f t="shared" si="1"/>
        <v>0</v>
      </c>
    </row>
    <row r="39" spans="3:14">
      <c r="C39" s="37">
        <v>41091</v>
      </c>
      <c r="D39" s="16">
        <v>30326222816.41</v>
      </c>
      <c r="E39" s="17">
        <f>IF(C39&lt;=DateToChangeLag,VLOOKUP(C39,'Result-lag'!$C$4:$H$100,2,0),VLOOKUP(C39,CurrentMtgRatesDataTable8[],2,0))</f>
        <v>30326222816.41</v>
      </c>
      <c r="F39" s="17">
        <f>IF($C39&lt;=DateToChangeLag,VLOOKUP($C39,'Result-lag'!$C$4:$I$100,3,0),VLOOKUP($C39,CurrentMtgRatesDataTable8[],3,0))</f>
        <v>21220884873.25</v>
      </c>
      <c r="G39" s="17">
        <f>IF($C39&lt;=DateToChangeLag,VLOOKUP($C39,'Result-lag'!$C$4:$I$100,4,0),VLOOKUP($C39,CurrentMtgRatesDataTable8[],4,0))</f>
        <v>18023596767.029999</v>
      </c>
      <c r="H39" s="43">
        <f>IF($C39&lt;=DateToChangeLag,VLOOKUP($C39,'Result-lag'!$C$4:$I$100,5,0),VLOOKUP($C39,CurrentMtgRatesDataTable8[],5,0))</f>
        <v>12115594759.610001</v>
      </c>
      <c r="I39" s="43">
        <f>IF($C39&lt;=DateToChangeLag,VLOOKUP($C39,'Result-lag'!$C$4:$I$100,6,0),VLOOKUP($C39,CurrentMtgRatesDataTable8[],6,0))</f>
        <v>2007537.55</v>
      </c>
      <c r="J39" s="44">
        <f>CurrentMtgRatesDataTable934[[#This Row],[Top 10 Amount]]/CurrentMtgRatesDataTable934[[#This Row],[Total Amount]]</f>
        <v>0.69975364230876269</v>
      </c>
      <c r="K39" s="44">
        <f>CurrentMtgRatesDataTable934[[#This Row],[Top 5 Amount]]/CurrentMtgRatesDataTable934[[#This Row],[Total Amount]]</f>
        <v>0.59432382582367449</v>
      </c>
      <c r="L39" s="44">
        <f>CurrentMtgRatesDataTable934[[#This Row],[Top 1 Amount]]/CurrentMtgRatesDataTable934[[#This Row],[Total Amount]]</f>
        <v>0.39950886178459588</v>
      </c>
      <c r="M39" s="44">
        <f>CurrentMtgRatesDataTable934[[#This Row],[N/A Amount]]/CurrentMtgRatesDataTable934[[#This Row],[Total Amount]]</f>
        <v>6.6198074259142149E-5</v>
      </c>
      <c r="N39" s="48">
        <f t="shared" si="1"/>
        <v>0</v>
      </c>
    </row>
    <row r="40" spans="3:14">
      <c r="C40" s="37">
        <v>41061</v>
      </c>
      <c r="D40" s="16">
        <v>32958680494.32</v>
      </c>
      <c r="E40" s="17">
        <f>IF(C40&lt;=DateToChangeLag,VLOOKUP(C40,'Result-lag'!$C$4:$H$100,2,0),VLOOKUP(C40,CurrentMtgRatesDataTable8[],2,0))</f>
        <v>32958680494.32</v>
      </c>
      <c r="F40" s="17">
        <f>IF($C40&lt;=DateToChangeLag,VLOOKUP($C40,'Result-lag'!$C$4:$I$100,3,0),VLOOKUP($C40,CurrentMtgRatesDataTable8[],3,0))</f>
        <v>23318814679.160004</v>
      </c>
      <c r="G40" s="17">
        <f>IF($C40&lt;=DateToChangeLag,VLOOKUP($C40,'Result-lag'!$C$4:$I$100,4,0),VLOOKUP($C40,CurrentMtgRatesDataTable8[],4,0))</f>
        <v>20254241442.190002</v>
      </c>
      <c r="H40" s="43">
        <f>IF($C40&lt;=DateToChangeLag,VLOOKUP($C40,'Result-lag'!$C$4:$I$100,5,0),VLOOKUP($C40,CurrentMtgRatesDataTable8[],5,0))</f>
        <v>12472666977.870001</v>
      </c>
      <c r="I40" s="43">
        <f>IF($C40&lt;=DateToChangeLag,VLOOKUP($C40,'Result-lag'!$C$4:$I$100,6,0),VLOOKUP($C40,CurrentMtgRatesDataTable8[],6,0))</f>
        <v>1841580.28</v>
      </c>
      <c r="J40" s="44">
        <f>CurrentMtgRatesDataTable934[[#This Row],[Top 10 Amount]]/CurrentMtgRatesDataTable934[[#This Row],[Total Amount]]</f>
        <v>0.70751663384032315</v>
      </c>
      <c r="K40" s="44">
        <f>CurrentMtgRatesDataTable934[[#This Row],[Top 5 Amount]]/CurrentMtgRatesDataTable934[[#This Row],[Total Amount]]</f>
        <v>0.61453435448304905</v>
      </c>
      <c r="L40" s="44">
        <f>CurrentMtgRatesDataTable934[[#This Row],[Top 1 Amount]]/CurrentMtgRatesDataTable934[[#This Row],[Total Amount]]</f>
        <v>0.37843344426423575</v>
      </c>
      <c r="M40" s="44">
        <f>CurrentMtgRatesDataTable934[[#This Row],[N/A Amount]]/CurrentMtgRatesDataTable934[[#This Row],[Total Amount]]</f>
        <v>5.5875424998199566E-5</v>
      </c>
      <c r="N40" s="48">
        <f t="shared" si="1"/>
        <v>0</v>
      </c>
    </row>
    <row r="41" spans="3:14">
      <c r="C41" s="37">
        <v>41030</v>
      </c>
      <c r="D41" s="16">
        <v>34838750444.559998</v>
      </c>
      <c r="E41" s="17">
        <f>IF(C41&lt;=DateToChangeLag,VLOOKUP(C41,'Result-lag'!$C$4:$H$100,2,0),VLOOKUP(C41,CurrentMtgRatesDataTable8[],2,0))</f>
        <v>34838750444.559998</v>
      </c>
      <c r="F41" s="17">
        <f>IF($C41&lt;=DateToChangeLag,VLOOKUP($C41,'Result-lag'!$C$4:$I$100,3,0),VLOOKUP($C41,CurrentMtgRatesDataTable8[],3,0))</f>
        <v>25839406336.460003</v>
      </c>
      <c r="G41" s="17">
        <f>IF($C41&lt;=DateToChangeLag,VLOOKUP($C41,'Result-lag'!$C$4:$I$100,4,0),VLOOKUP($C41,CurrentMtgRatesDataTable8[],4,0))</f>
        <v>22717138914.080002</v>
      </c>
      <c r="H41" s="43">
        <f>IF($C41&lt;=DateToChangeLag,VLOOKUP($C41,'Result-lag'!$C$4:$I$100,5,0),VLOOKUP($C41,CurrentMtgRatesDataTable8[],5,0))</f>
        <v>14867243244.77</v>
      </c>
      <c r="I41" s="43">
        <f>IF($C41&lt;=DateToChangeLag,VLOOKUP($C41,'Result-lag'!$C$4:$I$100,6,0),VLOOKUP($C41,CurrentMtgRatesDataTable8[],6,0))</f>
        <v>1890124.51</v>
      </c>
      <c r="J41" s="44">
        <f>CurrentMtgRatesDataTable934[[#This Row],[Top 10 Amount]]/CurrentMtgRatesDataTable934[[#This Row],[Total Amount]]</f>
        <v>0.74168579546442304</v>
      </c>
      <c r="K41" s="44">
        <f>CurrentMtgRatesDataTable934[[#This Row],[Top 5 Amount]]/CurrentMtgRatesDataTable934[[#This Row],[Total Amount]]</f>
        <v>0.65206526135977527</v>
      </c>
      <c r="L41" s="44">
        <f>CurrentMtgRatesDataTable934[[#This Row],[Top 1 Amount]]/CurrentMtgRatesDataTable934[[#This Row],[Total Amount]]</f>
        <v>0.4267444456261057</v>
      </c>
      <c r="M41" s="44">
        <f>CurrentMtgRatesDataTable934[[#This Row],[N/A Amount]]/CurrentMtgRatesDataTable934[[#This Row],[Total Amount]]</f>
        <v>5.4253510412430397E-5</v>
      </c>
      <c r="N41" s="48">
        <f t="shared" si="1"/>
        <v>0</v>
      </c>
    </row>
    <row r="42" spans="3:14">
      <c r="C42" s="37">
        <v>41000</v>
      </c>
      <c r="D42" s="16">
        <v>34798488088.949997</v>
      </c>
      <c r="E42" s="17">
        <f>IF(C42&lt;=DateToChangeLag,VLOOKUP(C42,'Result-lag'!$C$4:$H$100,2,0),VLOOKUP(C42,CurrentMtgRatesDataTable8[],2,0))</f>
        <v>34798488088.949997</v>
      </c>
      <c r="F42" s="17">
        <f>IF($C42&lt;=DateToChangeLag,VLOOKUP($C42,'Result-lag'!$C$4:$I$100,3,0),VLOOKUP($C42,CurrentMtgRatesDataTable8[],3,0))</f>
        <v>25506549112.43</v>
      </c>
      <c r="G42" s="17">
        <f>IF($C42&lt;=DateToChangeLag,VLOOKUP($C42,'Result-lag'!$C$4:$I$100,4,0),VLOOKUP($C42,CurrentMtgRatesDataTable8[],4,0))</f>
        <v>22471329505.650002</v>
      </c>
      <c r="H42" s="43">
        <f>IF($C42&lt;=DateToChangeLag,VLOOKUP($C42,'Result-lag'!$C$4:$I$100,5,0),VLOOKUP($C42,CurrentMtgRatesDataTable8[],5,0))</f>
        <v>14678468587.370001</v>
      </c>
      <c r="I42" s="43">
        <f>IF($C42&lt;=DateToChangeLag,VLOOKUP($C42,'Result-lag'!$C$4:$I$100,6,0),VLOOKUP($C42,CurrentMtgRatesDataTable8[],6,0))</f>
        <v>180374.83</v>
      </c>
      <c r="J42" s="44">
        <f>CurrentMtgRatesDataTable934[[#This Row],[Top 10 Amount]]/CurrentMtgRatesDataTable934[[#This Row],[Total Amount]]</f>
        <v>0.73297865836100551</v>
      </c>
      <c r="K42" s="44">
        <f>CurrentMtgRatesDataTable934[[#This Row],[Top 5 Amount]]/CurrentMtgRatesDataTable934[[#This Row],[Total Amount]]</f>
        <v>0.64575591468830529</v>
      </c>
      <c r="L42" s="44">
        <f>CurrentMtgRatesDataTable934[[#This Row],[Top 1 Amount]]/CurrentMtgRatesDataTable934[[#This Row],[Total Amount]]</f>
        <v>0.42181340033652326</v>
      </c>
      <c r="M42" s="44">
        <f>CurrentMtgRatesDataTable934[[#This Row],[N/A Amount]]/CurrentMtgRatesDataTable934[[#This Row],[Total Amount]]</f>
        <v>5.1834099670921246E-6</v>
      </c>
      <c r="N42" s="48">
        <f t="shared" si="1"/>
        <v>0</v>
      </c>
    </row>
    <row r="43" spans="3:14">
      <c r="C43" s="37">
        <v>40969</v>
      </c>
      <c r="D43" s="16">
        <v>27983123127.27</v>
      </c>
      <c r="E43" s="17">
        <f>IF(C43&lt;=DateToChangeLag,VLOOKUP(C43,'Result-lag'!$C$4:$H$100,2,0),VLOOKUP(C43,CurrentMtgRatesDataTable8[],2,0))</f>
        <v>27983123127.27</v>
      </c>
      <c r="F43" s="17">
        <f>IF($C43&lt;=DateToChangeLag,VLOOKUP($C43,'Result-lag'!$C$4:$I$100,3,0),VLOOKUP($C43,CurrentMtgRatesDataTable8[],3,0))</f>
        <v>19975866042.119999</v>
      </c>
      <c r="G43" s="17">
        <f>IF($C43&lt;=DateToChangeLag,VLOOKUP($C43,'Result-lag'!$C$4:$I$100,4,0),VLOOKUP($C43,CurrentMtgRatesDataTable8[],4,0))</f>
        <v>16974489941.450001</v>
      </c>
      <c r="H43" s="43">
        <f>IF($C43&lt;=DateToChangeLag,VLOOKUP($C43,'Result-lag'!$C$4:$I$100,5,0),VLOOKUP($C43,CurrentMtgRatesDataTable8[],5,0))</f>
        <v>10386620664.41</v>
      </c>
      <c r="I43" s="43">
        <f>IF($C43&lt;=DateToChangeLag,VLOOKUP($C43,'Result-lag'!$C$4:$I$100,6,0),VLOOKUP($C43,CurrentMtgRatesDataTable8[],6,0))</f>
        <v>1785490.34</v>
      </c>
      <c r="J43" s="44">
        <f>CurrentMtgRatesDataTable934[[#This Row],[Top 10 Amount]]/CurrentMtgRatesDataTable934[[#This Row],[Total Amount]]</f>
        <v>0.71385405950821834</v>
      </c>
      <c r="K43" s="44">
        <f>CurrentMtgRatesDataTable934[[#This Row],[Top 5 Amount]]/CurrentMtgRatesDataTable934[[#This Row],[Total Amount]]</f>
        <v>0.606597407453355</v>
      </c>
      <c r="L43" s="44">
        <f>CurrentMtgRatesDataTable934[[#This Row],[Top 1 Amount]]/CurrentMtgRatesDataTable934[[#This Row],[Total Amount]]</f>
        <v>0.37117446173433272</v>
      </c>
      <c r="M43" s="44">
        <f>CurrentMtgRatesDataTable934[[#This Row],[N/A Amount]]/CurrentMtgRatesDataTable934[[#This Row],[Total Amount]]</f>
        <v>6.3805970901797276E-5</v>
      </c>
      <c r="N43" s="48">
        <f t="shared" si="1"/>
        <v>0</v>
      </c>
    </row>
    <row r="44" spans="3:14">
      <c r="C44" s="37">
        <v>40940</v>
      </c>
      <c r="D44" s="16">
        <v>26640859908.990002</v>
      </c>
      <c r="E44" s="17">
        <f>IF(C44&lt;=DateToChangeLag,VLOOKUP(C44,'Result-lag'!$C$4:$H$100,2,0),VLOOKUP(C44,CurrentMtgRatesDataTable8[],2,0))</f>
        <v>26640859908.990002</v>
      </c>
      <c r="F44" s="17">
        <f>IF($C44&lt;=DateToChangeLag,VLOOKUP($C44,'Result-lag'!$C$4:$I$100,3,0),VLOOKUP($C44,CurrentMtgRatesDataTable8[],3,0))</f>
        <v>19045138902.970001</v>
      </c>
      <c r="G44" s="17">
        <f>IF($C44&lt;=DateToChangeLag,VLOOKUP($C44,'Result-lag'!$C$4:$I$100,4,0),VLOOKUP($C44,CurrentMtgRatesDataTable8[],4,0))</f>
        <v>16037593041.09</v>
      </c>
      <c r="H44" s="43">
        <f>IF($C44&lt;=DateToChangeLag,VLOOKUP($C44,'Result-lag'!$C$4:$I$100,5,0),VLOOKUP($C44,CurrentMtgRatesDataTable8[],5,0))</f>
        <v>10212781061.02</v>
      </c>
      <c r="I44" s="43">
        <f>IF($C44&lt;=DateToChangeLag,VLOOKUP($C44,'Result-lag'!$C$4:$I$100,6,0),VLOOKUP($C44,CurrentMtgRatesDataTable8[],6,0))</f>
        <v>1010830.25</v>
      </c>
      <c r="J44" s="44">
        <f>CurrentMtgRatesDataTable934[[#This Row],[Top 10 Amount]]/CurrentMtgRatesDataTable934[[#This Row],[Total Amount]]</f>
        <v>0.71488454081556085</v>
      </c>
      <c r="K44" s="44">
        <f>CurrentMtgRatesDataTable934[[#This Row],[Top 5 Amount]]/CurrentMtgRatesDataTable934[[#This Row],[Total Amount]]</f>
        <v>0.60199231916226881</v>
      </c>
      <c r="L44" s="44">
        <f>CurrentMtgRatesDataTable934[[#This Row],[Top 1 Amount]]/CurrentMtgRatesDataTable934[[#This Row],[Total Amount]]</f>
        <v>0.38335027832842888</v>
      </c>
      <c r="M44" s="44">
        <f>CurrentMtgRatesDataTable934[[#This Row],[N/A Amount]]/CurrentMtgRatesDataTable934[[#This Row],[Total Amount]]</f>
        <v>3.7942853701163517E-5</v>
      </c>
      <c r="N44" s="48">
        <f t="shared" si="1"/>
        <v>0</v>
      </c>
    </row>
    <row r="45" spans="3:14">
      <c r="C45" s="37">
        <v>40909</v>
      </c>
      <c r="D45" s="16">
        <v>28523030041.060001</v>
      </c>
      <c r="E45" s="17">
        <f>IF(C45&lt;=DateToChangeLag,VLOOKUP(C45,'Result-lag'!$C$4:$H$100,2,0),VLOOKUP(C45,CurrentMtgRatesDataTable8[],2,0))</f>
        <v>28523030041.060001</v>
      </c>
      <c r="F45" s="17">
        <f>IF($C45&lt;=DateToChangeLag,VLOOKUP($C45,'Result-lag'!$C$4:$I$100,3,0),VLOOKUP($C45,CurrentMtgRatesDataTable8[],3,0))</f>
        <v>20719728556.670006</v>
      </c>
      <c r="G45" s="17">
        <f>IF($C45&lt;=DateToChangeLag,VLOOKUP($C45,'Result-lag'!$C$4:$I$100,4,0),VLOOKUP($C45,CurrentMtgRatesDataTable8[],4,0))</f>
        <v>17458754360.880001</v>
      </c>
      <c r="H45" s="43">
        <f>IF($C45&lt;=DateToChangeLag,VLOOKUP($C45,'Result-lag'!$C$4:$I$100,5,0),VLOOKUP($C45,CurrentMtgRatesDataTable8[],5,0))</f>
        <v>11283566053.34</v>
      </c>
      <c r="I45" s="43">
        <f>IF($C45&lt;=DateToChangeLag,VLOOKUP($C45,'Result-lag'!$C$4:$I$100,6,0),VLOOKUP($C45,CurrentMtgRatesDataTable8[],6,0))</f>
        <v>1010.6</v>
      </c>
      <c r="J45" s="44">
        <f>CurrentMtgRatesDataTable934[[#This Row],[Top 10 Amount]]/CurrentMtgRatesDataTable934[[#This Row],[Total Amount]]</f>
        <v>0.72642101932519643</v>
      </c>
      <c r="K45" s="44">
        <f>CurrentMtgRatesDataTable934[[#This Row],[Top 5 Amount]]/CurrentMtgRatesDataTable934[[#This Row],[Total Amount]]</f>
        <v>0.61209325712406615</v>
      </c>
      <c r="L45" s="44">
        <f>CurrentMtgRatesDataTable934[[#This Row],[Top 1 Amount]]/CurrentMtgRatesDataTable934[[#This Row],[Total Amount]]</f>
        <v>0.39559492932892726</v>
      </c>
      <c r="M45" s="44">
        <f>CurrentMtgRatesDataTable934[[#This Row],[N/A Amount]]/CurrentMtgRatesDataTable934[[#This Row],[Total Amount]]</f>
        <v>3.5431018322569602E-8</v>
      </c>
      <c r="N45" s="48">
        <f t="shared" si="1"/>
        <v>0</v>
      </c>
    </row>
    <row r="46" spans="3:14">
      <c r="C46" s="37">
        <v>40878</v>
      </c>
      <c r="D46" s="16">
        <v>26358158006.09</v>
      </c>
      <c r="E46" s="17">
        <f>IF(C46&lt;=DateToChangeLag,VLOOKUP(C46,'Result-lag'!$C$4:$H$100,2,0),VLOOKUP(C46,CurrentMtgRatesDataTable8[],2,0))</f>
        <v>26358158006.09</v>
      </c>
      <c r="F46" s="17">
        <f>IF($C46&lt;=DateToChangeLag,VLOOKUP($C46,'Result-lag'!$C$4:$I$100,3,0),VLOOKUP($C46,CurrentMtgRatesDataTable8[],3,0))</f>
        <v>19032070115.290001</v>
      </c>
      <c r="G46" s="17">
        <f>IF($C46&lt;=DateToChangeLag,VLOOKUP($C46,'Result-lag'!$C$4:$I$100,4,0),VLOOKUP($C46,CurrentMtgRatesDataTable8[],4,0))</f>
        <v>15779641668.220001</v>
      </c>
      <c r="H46" s="43">
        <f>IF($C46&lt;=DateToChangeLag,VLOOKUP($C46,'Result-lag'!$C$4:$I$100,5,0),VLOOKUP($C46,CurrentMtgRatesDataTable8[],5,0))</f>
        <v>9732604193.7800007</v>
      </c>
      <c r="I46" s="43">
        <f>IF($C46&lt;=DateToChangeLag,VLOOKUP($C46,'Result-lag'!$C$4:$I$100,6,0),VLOOKUP($C46,CurrentMtgRatesDataTable8[],6,0))</f>
        <v>61470.51</v>
      </c>
      <c r="J46" s="44">
        <f>CurrentMtgRatesDataTable934[[#This Row],[Top 10 Amount]]/CurrentMtgRatesDataTable934[[#This Row],[Total Amount]]</f>
        <v>0.72205615092271158</v>
      </c>
      <c r="K46" s="44">
        <f>CurrentMtgRatesDataTable934[[#This Row],[Top 5 Amount]]/CurrentMtgRatesDataTable934[[#This Row],[Total Amount]]</f>
        <v>0.59866253417913906</v>
      </c>
      <c r="L46" s="44">
        <f>CurrentMtgRatesDataTable934[[#This Row],[Top 1 Amount]]/CurrentMtgRatesDataTable934[[#This Row],[Total Amount]]</f>
        <v>0.36924447419775319</v>
      </c>
      <c r="M46" s="44">
        <f>CurrentMtgRatesDataTable934[[#This Row],[N/A Amount]]/CurrentMtgRatesDataTable934[[#This Row],[Total Amount]]</f>
        <v>2.3321246494461928E-6</v>
      </c>
      <c r="N46" s="48">
        <f t="shared" si="1"/>
        <v>0</v>
      </c>
    </row>
    <row r="47" spans="3:14">
      <c r="C47" s="37">
        <v>40848</v>
      </c>
      <c r="D47" s="16">
        <v>26639873770.48</v>
      </c>
      <c r="E47" s="17">
        <f>IF(C47&lt;=DateToChangeLag,VLOOKUP(C47,'Result-lag'!$C$4:$H$100,2,0),VLOOKUP(C47,CurrentMtgRatesDataTable8[],2,0))</f>
        <v>26639873770.48</v>
      </c>
      <c r="F47" s="17">
        <f>IF($C47&lt;=DateToChangeLag,VLOOKUP($C47,'Result-lag'!$C$4:$I$100,3,0),VLOOKUP($C47,CurrentMtgRatesDataTable8[],3,0))</f>
        <v>19896533379.880001</v>
      </c>
      <c r="G47" s="17">
        <f>IF($C47&lt;=DateToChangeLag,VLOOKUP($C47,'Result-lag'!$C$4:$I$100,4,0),VLOOKUP($C47,CurrentMtgRatesDataTable8[],4,0))</f>
        <v>17051025581.610001</v>
      </c>
      <c r="H47" s="43">
        <f>IF($C47&lt;=DateToChangeLag,VLOOKUP($C47,'Result-lag'!$C$4:$I$100,5,0),VLOOKUP($C47,CurrentMtgRatesDataTable8[],5,0))</f>
        <v>9573021089.2900009</v>
      </c>
      <c r="I47" s="43">
        <f>IF($C47&lt;=DateToChangeLag,VLOOKUP($C47,'Result-lag'!$C$4:$I$100,6,0),VLOOKUP($C47,CurrentMtgRatesDataTable8[],6,0))</f>
        <v>620304.76</v>
      </c>
      <c r="J47" s="44">
        <f>CurrentMtgRatesDataTable934[[#This Row],[Top 10 Amount]]/CurrentMtgRatesDataTable934[[#This Row],[Total Amount]]</f>
        <v>0.74687040754403333</v>
      </c>
      <c r="K47" s="44">
        <f>CurrentMtgRatesDataTable934[[#This Row],[Top 5 Amount]]/CurrentMtgRatesDataTable934[[#This Row],[Total Amount]]</f>
        <v>0.64005654563215197</v>
      </c>
      <c r="L47" s="44">
        <f>CurrentMtgRatesDataTable934[[#This Row],[Top 1 Amount]]/CurrentMtgRatesDataTable934[[#This Row],[Total Amount]]</f>
        <v>0.35934934120814016</v>
      </c>
      <c r="M47" s="44">
        <f>CurrentMtgRatesDataTable934[[#This Row],[N/A Amount]]/CurrentMtgRatesDataTable934[[#This Row],[Total Amount]]</f>
        <v>2.3284823544748475E-5</v>
      </c>
      <c r="N47" s="48">
        <f t="shared" si="1"/>
        <v>0</v>
      </c>
    </row>
    <row r="48" spans="3:14">
      <c r="C48" s="37">
        <v>40817</v>
      </c>
      <c r="D48" s="16">
        <v>24221879848.880001</v>
      </c>
      <c r="E48" s="17">
        <f>IF(C48&lt;=DateToChangeLag,VLOOKUP(C48,'Result-lag'!$C$4:$H$100,2,0),VLOOKUP(C48,CurrentMtgRatesDataTable8[],2,0))</f>
        <v>24221879848.880001</v>
      </c>
      <c r="F48" s="17">
        <f>IF($C48&lt;=DateToChangeLag,VLOOKUP($C48,'Result-lag'!$C$4:$I$100,3,0),VLOOKUP($C48,CurrentMtgRatesDataTable8[],3,0))</f>
        <v>18278308881.059998</v>
      </c>
      <c r="G48" s="17">
        <f>IF($C48&lt;=DateToChangeLag,VLOOKUP($C48,'Result-lag'!$C$4:$I$100,4,0),VLOOKUP($C48,CurrentMtgRatesDataTable8[],4,0))</f>
        <v>15363523312.85</v>
      </c>
      <c r="H48" s="43">
        <f>IF($C48&lt;=DateToChangeLag,VLOOKUP($C48,'Result-lag'!$C$4:$I$100,5,0),VLOOKUP($C48,CurrentMtgRatesDataTable8[],5,0))</f>
        <v>8581649843.8400002</v>
      </c>
      <c r="I48" s="43">
        <f>IF($C48&lt;=DateToChangeLag,VLOOKUP($C48,'Result-lag'!$C$4:$I$100,6,0),VLOOKUP($C48,CurrentMtgRatesDataTable8[],6,0))</f>
        <v>245030.48</v>
      </c>
      <c r="J48" s="44">
        <f>CurrentMtgRatesDataTable934[[#This Row],[Top 10 Amount]]/CurrentMtgRatesDataTable934[[#This Row],[Total Amount]]</f>
        <v>0.75461974855370983</v>
      </c>
      <c r="K48" s="44">
        <f>CurrentMtgRatesDataTable934[[#This Row],[Top 5 Amount]]/CurrentMtgRatesDataTable934[[#This Row],[Total Amount]]</f>
        <v>0.63428286362176789</v>
      </c>
      <c r="L48" s="44">
        <f>CurrentMtgRatesDataTable934[[#This Row],[Top 1 Amount]]/CurrentMtgRatesDataTable934[[#This Row],[Total Amount]]</f>
        <v>0.35429330412754106</v>
      </c>
      <c r="M48" s="44">
        <f>CurrentMtgRatesDataTable934[[#This Row],[N/A Amount]]/CurrentMtgRatesDataTable934[[#This Row],[Total Amount]]</f>
        <v>1.0116080235255978E-5</v>
      </c>
      <c r="N48" s="48">
        <f t="shared" si="1"/>
        <v>0</v>
      </c>
    </row>
    <row r="49" spans="3:14">
      <c r="C49" s="37">
        <v>40787</v>
      </c>
      <c r="D49" s="16">
        <v>26226574830.610001</v>
      </c>
      <c r="E49" s="17">
        <f>IF(C49&lt;=DateToChangeLag,VLOOKUP(C49,'Result-lag'!$C$4:$H$100,2,0),VLOOKUP(C49,CurrentMtgRatesDataTable8[],2,0))</f>
        <v>26226574830.610001</v>
      </c>
      <c r="F49" s="17">
        <f>IF($C49&lt;=DateToChangeLag,VLOOKUP($C49,'Result-lag'!$C$4:$I$100,3,0),VLOOKUP($C49,CurrentMtgRatesDataTable8[],3,0))</f>
        <v>20485229215.440002</v>
      </c>
      <c r="G49" s="17">
        <f>IF($C49&lt;=DateToChangeLag,VLOOKUP($C49,'Result-lag'!$C$4:$I$100,4,0),VLOOKUP($C49,CurrentMtgRatesDataTable8[],4,0))</f>
        <v>17394668684.389999</v>
      </c>
      <c r="H49" s="43">
        <f>IF($C49&lt;=DateToChangeLag,VLOOKUP($C49,'Result-lag'!$C$4:$I$100,5,0),VLOOKUP($C49,CurrentMtgRatesDataTable8[],5,0))</f>
        <v>9495614488.8299999</v>
      </c>
      <c r="I49" s="43">
        <f>IF($C49&lt;=DateToChangeLag,VLOOKUP($C49,'Result-lag'!$C$4:$I$100,6,0),VLOOKUP($C49,CurrentMtgRatesDataTable8[],6,0))</f>
        <v>20432.740000000002</v>
      </c>
      <c r="J49" s="44">
        <f>CurrentMtgRatesDataTable934[[#This Row],[Top 10 Amount]]/CurrentMtgRatesDataTable934[[#This Row],[Total Amount]]</f>
        <v>0.78108671634585458</v>
      </c>
      <c r="K49" s="44">
        <f>CurrentMtgRatesDataTable934[[#This Row],[Top 5 Amount]]/CurrentMtgRatesDataTable934[[#This Row],[Total Amount]]</f>
        <v>0.66324591742296601</v>
      </c>
      <c r="L49" s="44">
        <f>CurrentMtgRatesDataTable934[[#This Row],[Top 1 Amount]]/CurrentMtgRatesDataTable934[[#This Row],[Total Amount]]</f>
        <v>0.36206079330448132</v>
      </c>
      <c r="M49" s="44">
        <f>CurrentMtgRatesDataTable934[[#This Row],[N/A Amount]]/CurrentMtgRatesDataTable934[[#This Row],[Total Amount]]</f>
        <v>7.7908534118424794E-7</v>
      </c>
      <c r="N49" s="48">
        <f t="shared" si="1"/>
        <v>0</v>
      </c>
    </row>
    <row r="50" spans="3:14">
      <c r="C50" s="37">
        <v>40756</v>
      </c>
      <c r="D50" s="16">
        <v>25591163515.669998</v>
      </c>
      <c r="E50" s="17">
        <f>IF(C50&lt;=DateToChangeLag,VLOOKUP(C50,'Result-lag'!$C$4:$H$100,2,0),VLOOKUP(C50,CurrentMtgRatesDataTable8[],2,0))</f>
        <v>25591163515.669998</v>
      </c>
      <c r="F50" s="17">
        <f>IF($C50&lt;=DateToChangeLag,VLOOKUP($C50,'Result-lag'!$C$4:$I$100,3,0),VLOOKUP($C50,CurrentMtgRatesDataTable8[],3,0))</f>
        <v>20304823559.120003</v>
      </c>
      <c r="G50" s="17">
        <f>IF($C50&lt;=DateToChangeLag,VLOOKUP($C50,'Result-lag'!$C$4:$I$100,4,0),VLOOKUP($C50,CurrentMtgRatesDataTable8[],4,0))</f>
        <v>18285913390.110001</v>
      </c>
      <c r="H50" s="43">
        <f>IF($C50&lt;=DateToChangeLag,VLOOKUP($C50,'Result-lag'!$C$4:$I$100,5,0),VLOOKUP($C50,CurrentMtgRatesDataTable8[],5,0))</f>
        <v>9235841028.9400005</v>
      </c>
      <c r="I50" s="43">
        <f>IF($C50&lt;=DateToChangeLag,VLOOKUP($C50,'Result-lag'!$C$4:$I$100,6,0),VLOOKUP($C50,CurrentMtgRatesDataTable8[],6,0))</f>
        <v>745255.01</v>
      </c>
      <c r="J50" s="44">
        <f>CurrentMtgRatesDataTable934[[#This Row],[Top 10 Amount]]/CurrentMtgRatesDataTable934[[#This Row],[Total Amount]]</f>
        <v>0.7934310429725846</v>
      </c>
      <c r="K50" s="44">
        <f>CurrentMtgRatesDataTable934[[#This Row],[Top 5 Amount]]/CurrentMtgRatesDataTable934[[#This Row],[Total Amount]]</f>
        <v>0.71454013331254584</v>
      </c>
      <c r="L50" s="44">
        <f>CurrentMtgRatesDataTable934[[#This Row],[Top 1 Amount]]/CurrentMtgRatesDataTable934[[#This Row],[Total Amount]]</f>
        <v>0.36089961377819746</v>
      </c>
      <c r="M50" s="44">
        <f>CurrentMtgRatesDataTable934[[#This Row],[N/A Amount]]/CurrentMtgRatesDataTable934[[#This Row],[Total Amount]]</f>
        <v>2.9121575873002609E-5</v>
      </c>
      <c r="N50" s="48">
        <f t="shared" si="1"/>
        <v>0</v>
      </c>
    </row>
    <row r="51" spans="3:14">
      <c r="C51" s="37">
        <v>40725</v>
      </c>
      <c r="D51" s="17">
        <v>25330543474.389999</v>
      </c>
      <c r="E51" s="17">
        <f>IF(C51&lt;=DateToChangeLag,VLOOKUP(C51,'Result-lag'!$C$4:$H$100,2,0),VLOOKUP(C51,CurrentMtgRatesDataTable8[],2,0))</f>
        <v>25330543474.389999</v>
      </c>
      <c r="F51" s="17">
        <f>IF($C51&lt;=DateToChangeLag,VLOOKUP($C51,'Result-lag'!$C$4:$I$100,3,0),VLOOKUP($C51,CurrentMtgRatesDataTable8[],3,0))</f>
        <v>20105755941.52</v>
      </c>
      <c r="G51" s="17">
        <f>IF($C51&lt;=DateToChangeLag,VLOOKUP($C51,'Result-lag'!$C$4:$I$100,4,0),VLOOKUP($C51,CurrentMtgRatesDataTable8[],4,0))</f>
        <v>18027575682.260002</v>
      </c>
      <c r="H51" s="43">
        <f>IF($C51&lt;=DateToChangeLag,VLOOKUP($C51,'Result-lag'!$C$4:$I$100,5,0),VLOOKUP($C51,CurrentMtgRatesDataTable8[],5,0))</f>
        <v>8290598483.0799999</v>
      </c>
      <c r="I51" s="43">
        <f>IF($C51&lt;=DateToChangeLag,VLOOKUP($C51,'Result-lag'!$C$4:$I$100,6,0),VLOOKUP($C51,CurrentMtgRatesDataTable8[],6,0))</f>
        <v>56257.17</v>
      </c>
      <c r="J51" s="44">
        <f>CurrentMtgRatesDataTable934[[#This Row],[Top 10 Amount]]/CurrentMtgRatesDataTable934[[#This Row],[Total Amount]]</f>
        <v>0.79373567179273397</v>
      </c>
      <c r="K51" s="44">
        <f>CurrentMtgRatesDataTable934[[#This Row],[Top 5 Amount]]/CurrentMtgRatesDataTable934[[#This Row],[Total Amount]]</f>
        <v>0.71169320549661574</v>
      </c>
      <c r="L51" s="44">
        <f>CurrentMtgRatesDataTable934[[#This Row],[Top 1 Amount]]/CurrentMtgRatesDataTable934[[#This Row],[Total Amount]]</f>
        <v>0.32729651029643575</v>
      </c>
      <c r="M51" s="44">
        <f>CurrentMtgRatesDataTable934[[#This Row],[N/A Amount]]/CurrentMtgRatesDataTable934[[#This Row],[Total Amount]]</f>
        <v>2.2209223444762573E-6</v>
      </c>
      <c r="N51" s="48">
        <f t="shared" si="1"/>
        <v>0</v>
      </c>
    </row>
    <row r="52" spans="3:14">
      <c r="C52" s="37">
        <v>40695</v>
      </c>
      <c r="D52" s="17">
        <v>24713045702.759998</v>
      </c>
      <c r="E52" s="17">
        <f>IF(C52&lt;=DateToChangeLag,VLOOKUP(C52,'Result-lag'!$C$4:$H$100,2,0),VLOOKUP(C52,CurrentMtgRatesDataTable8[],2,0))</f>
        <v>24713045702.759998</v>
      </c>
      <c r="F52" s="17">
        <f>IF($C52&lt;=DateToChangeLag,VLOOKUP($C52,'Result-lag'!$C$4:$I$100,3,0),VLOOKUP($C52,CurrentMtgRatesDataTable8[],3,0))</f>
        <v>19837089412.07</v>
      </c>
      <c r="G52" s="17">
        <f>IF($C52&lt;=DateToChangeLag,VLOOKUP($C52,'Result-lag'!$C$4:$I$100,4,0),VLOOKUP($C52,CurrentMtgRatesDataTable8[],4,0))</f>
        <v>17662844612.689999</v>
      </c>
      <c r="H52" s="43">
        <f>IF($C52&lt;=DateToChangeLag,VLOOKUP($C52,'Result-lag'!$C$4:$I$100,5,0),VLOOKUP($C52,CurrentMtgRatesDataTable8[],5,0))</f>
        <v>8037102017.3699999</v>
      </c>
      <c r="I52" s="43">
        <f>IF($C52&lt;=DateToChangeLag,VLOOKUP($C52,'Result-lag'!$C$4:$I$100,6,0),VLOOKUP($C52,CurrentMtgRatesDataTable8[],6,0))</f>
        <v>109420.35</v>
      </c>
      <c r="J52" s="44">
        <f>CurrentMtgRatesDataTable934[[#This Row],[Top 10 Amount]]/CurrentMtgRatesDataTable934[[#This Row],[Total Amount]]</f>
        <v>0.80269707144411406</v>
      </c>
      <c r="K52" s="44">
        <f>CurrentMtgRatesDataTable934[[#This Row],[Top 5 Amount]]/CurrentMtgRatesDataTable934[[#This Row],[Total Amount]]</f>
        <v>0.7147174340683301</v>
      </c>
      <c r="L52" s="44">
        <f>CurrentMtgRatesDataTable934[[#This Row],[Top 1 Amount]]/CurrentMtgRatesDataTable934[[#This Row],[Total Amount]]</f>
        <v>0.32521697705889813</v>
      </c>
      <c r="M52" s="44">
        <f>CurrentMtgRatesDataTable934[[#This Row],[N/A Amount]]/CurrentMtgRatesDataTable934[[#This Row],[Total Amount]]</f>
        <v>4.4276351574010863E-6</v>
      </c>
      <c r="N52" s="48">
        <f t="shared" si="1"/>
        <v>0</v>
      </c>
    </row>
    <row r="53" spans="3:14">
      <c r="C53" s="37">
        <v>40664</v>
      </c>
      <c r="D53" s="17">
        <v>23342277364.419998</v>
      </c>
      <c r="E53" s="17">
        <f>IF(C53&lt;=DateToChangeLag,VLOOKUP(C53,'Result-lag'!$C$4:$H$100,2,0),VLOOKUP(C53,CurrentMtgRatesDataTable8[],2,0))</f>
        <v>23342277364.419998</v>
      </c>
      <c r="F53" s="17">
        <f>IF($C53&lt;=DateToChangeLag,VLOOKUP($C53,'Result-lag'!$C$4:$I$100,3,0),VLOOKUP($C53,CurrentMtgRatesDataTable8[],3,0))</f>
        <v>18442308639.66</v>
      </c>
      <c r="G53" s="17">
        <f>IF($C53&lt;=DateToChangeLag,VLOOKUP($C53,'Result-lag'!$C$4:$I$100,4,0),VLOOKUP($C53,CurrentMtgRatesDataTable8[],4,0))</f>
        <v>16633347989.009998</v>
      </c>
      <c r="H53" s="43">
        <f>IF($C53&lt;=DateToChangeLag,VLOOKUP($C53,'Result-lag'!$C$4:$I$100,5,0),VLOOKUP($C53,CurrentMtgRatesDataTable8[],5,0))</f>
        <v>7485893519.21</v>
      </c>
      <c r="I53" s="43">
        <f>IF($C53&lt;=DateToChangeLag,VLOOKUP($C53,'Result-lag'!$C$4:$I$100,6,0),VLOOKUP($C53,CurrentMtgRatesDataTable8[],6,0))</f>
        <v>237947.17</v>
      </c>
      <c r="J53" s="44">
        <f>CurrentMtgRatesDataTable934[[#This Row],[Top 10 Amount]]/CurrentMtgRatesDataTable934[[#This Row],[Total Amount]]</f>
        <v>0.7900818052899633</v>
      </c>
      <c r="K53" s="44">
        <f>CurrentMtgRatesDataTable934[[#This Row],[Top 5 Amount]]/CurrentMtgRatesDataTable934[[#This Row],[Total Amount]]</f>
        <v>0.71258462614122475</v>
      </c>
      <c r="L53" s="44">
        <f>CurrentMtgRatesDataTable934[[#This Row],[Top 1 Amount]]/CurrentMtgRatesDataTable934[[#This Row],[Total Amount]]</f>
        <v>0.32070107823414629</v>
      </c>
      <c r="M53" s="44">
        <f>CurrentMtgRatesDataTable934[[#This Row],[N/A Amount]]/CurrentMtgRatesDataTable934[[#This Row],[Total Amount]]</f>
        <v>1.0193828403508582E-5</v>
      </c>
      <c r="N53" s="48">
        <f t="shared" si="1"/>
        <v>0</v>
      </c>
    </row>
    <row r="54" spans="3:14">
      <c r="C54" s="37">
        <v>40634</v>
      </c>
      <c r="D54" s="17">
        <v>23651545297.040001</v>
      </c>
      <c r="E54" s="17">
        <f>IF(C54&lt;=DateToChangeLag,VLOOKUP(C54,'Result-lag'!$C$4:$H$100,2,0),VLOOKUP(C54,CurrentMtgRatesDataTable8[],2,0))</f>
        <v>23651545297.040001</v>
      </c>
      <c r="F54" s="17">
        <f>IF($C54&lt;=DateToChangeLag,VLOOKUP($C54,'Result-lag'!$C$4:$I$100,3,0),VLOOKUP($C54,CurrentMtgRatesDataTable8[],3,0))</f>
        <v>18733585716.43</v>
      </c>
      <c r="G54" s="17">
        <f>IF($C54&lt;=DateToChangeLag,VLOOKUP($C54,'Result-lag'!$C$4:$I$100,4,0),VLOOKUP($C54,CurrentMtgRatesDataTable8[],4,0))</f>
        <v>16944679060.639999</v>
      </c>
      <c r="H54" s="43">
        <f>IF($C54&lt;=DateToChangeLag,VLOOKUP($C54,'Result-lag'!$C$4:$I$100,5,0),VLOOKUP($C54,CurrentMtgRatesDataTable8[],5,0))</f>
        <v>7487569923.4700003</v>
      </c>
      <c r="I54" s="43">
        <f>IF($C54&lt;=DateToChangeLag,VLOOKUP($C54,'Result-lag'!$C$4:$I$100,6,0),VLOOKUP($C54,CurrentMtgRatesDataTable8[],6,0))</f>
        <v>1510218.57</v>
      </c>
      <c r="J54" s="44">
        <f>CurrentMtgRatesDataTable934[[#This Row],[Top 10 Amount]]/CurrentMtgRatesDataTable934[[#This Row],[Total Amount]]</f>
        <v>0.79206603548117915</v>
      </c>
      <c r="K54" s="44">
        <f>CurrentMtgRatesDataTable934[[#This Row],[Top 5 Amount]]/CurrentMtgRatesDataTable934[[#This Row],[Total Amount]]</f>
        <v>0.71643010415732256</v>
      </c>
      <c r="L54" s="44">
        <f>CurrentMtgRatesDataTable934[[#This Row],[Top 1 Amount]]/CurrentMtgRatesDataTable934[[#This Row],[Total Amount]]</f>
        <v>0.31657846578029186</v>
      </c>
      <c r="M54" s="44">
        <f>CurrentMtgRatesDataTable934[[#This Row],[N/A Amount]]/CurrentMtgRatesDataTable934[[#This Row],[Total Amount]]</f>
        <v>6.3852849825799939E-5</v>
      </c>
      <c r="N54" s="48">
        <f t="shared" si="1"/>
        <v>0</v>
      </c>
    </row>
    <row r="55" spans="3:14">
      <c r="C55" s="37">
        <v>40603</v>
      </c>
      <c r="D55" s="17">
        <v>22391126216.799999</v>
      </c>
      <c r="E55" s="17">
        <f>IF(C55&lt;=DateToChangeLag,VLOOKUP(C55,'Result-lag'!$C$4:$H$100,2,0),VLOOKUP(C55,CurrentMtgRatesDataTable8[],2,0))</f>
        <v>22391126216.799999</v>
      </c>
      <c r="F55" s="17">
        <f>IF($C55&lt;=DateToChangeLag,VLOOKUP($C55,'Result-lag'!$C$4:$I$100,3,0),VLOOKUP($C55,CurrentMtgRatesDataTable8[],3,0))</f>
        <v>18079427243.530003</v>
      </c>
      <c r="G55" s="17">
        <f>IF($C55&lt;=DateToChangeLag,VLOOKUP($C55,'Result-lag'!$C$4:$I$100,4,0),VLOOKUP($C55,CurrentMtgRatesDataTable8[],4,0))</f>
        <v>16255693778.460003</v>
      </c>
      <c r="H55" s="43">
        <f>IF($C55&lt;=DateToChangeLag,VLOOKUP($C55,'Result-lag'!$C$4:$I$100,5,0),VLOOKUP($C55,CurrentMtgRatesDataTable8[],5,0))</f>
        <v>7142348227.9899998</v>
      </c>
      <c r="I55" s="43">
        <f>IF($C55&lt;=DateToChangeLag,VLOOKUP($C55,'Result-lag'!$C$4:$I$100,6,0),VLOOKUP($C55,CurrentMtgRatesDataTable8[],6,0))</f>
        <v>17081.54</v>
      </c>
      <c r="J55" s="44">
        <f>CurrentMtgRatesDataTable934[[#This Row],[Top 10 Amount]]/CurrentMtgRatesDataTable934[[#This Row],[Total Amount]]</f>
        <v>0.80743715472270705</v>
      </c>
      <c r="K55" s="44">
        <f>CurrentMtgRatesDataTable934[[#This Row],[Top 5 Amount]]/CurrentMtgRatesDataTable934[[#This Row],[Total Amount]]</f>
        <v>0.72598821609354336</v>
      </c>
      <c r="L55" s="44">
        <f>CurrentMtgRatesDataTable934[[#This Row],[Top 1 Amount]]/CurrentMtgRatesDataTable934[[#This Row],[Total Amount]]</f>
        <v>0.3189811963379991</v>
      </c>
      <c r="M55" s="44">
        <f>CurrentMtgRatesDataTable934[[#This Row],[N/A Amount]]/CurrentMtgRatesDataTable934[[#This Row],[Total Amount]]</f>
        <v>7.6287096212176093E-7</v>
      </c>
      <c r="N55" s="48">
        <f t="shared" si="1"/>
        <v>0</v>
      </c>
    </row>
    <row r="56" spans="3:14">
      <c r="C56" s="37">
        <v>40575</v>
      </c>
      <c r="D56" s="17">
        <v>24115689304.939999</v>
      </c>
      <c r="E56" s="17">
        <f>IF(C56&lt;=DateToChangeLag,VLOOKUP(C56,'Result-lag'!$C$4:$H$100,2,0),VLOOKUP(C56,CurrentMtgRatesDataTable8[],2,0))</f>
        <v>24115689304.939999</v>
      </c>
      <c r="F56" s="17">
        <f>IF($C56&lt;=DateToChangeLag,VLOOKUP($C56,'Result-lag'!$C$4:$I$100,3,0),VLOOKUP($C56,CurrentMtgRatesDataTable8[],3,0))</f>
        <v>19885081535.800003</v>
      </c>
      <c r="G56" s="17">
        <f>IF($C56&lt;=DateToChangeLag,VLOOKUP($C56,'Result-lag'!$C$4:$I$100,4,0),VLOOKUP($C56,CurrentMtgRatesDataTable8[],4,0))</f>
        <v>18049691867.450001</v>
      </c>
      <c r="H56" s="43">
        <f>IF($C56&lt;=DateToChangeLag,VLOOKUP($C56,'Result-lag'!$C$4:$I$100,5,0),VLOOKUP($C56,CurrentMtgRatesDataTable8[],5,0))</f>
        <v>8086549745.5299997</v>
      </c>
      <c r="I56" s="43">
        <f>IF($C56&lt;=DateToChangeLag,VLOOKUP($C56,'Result-lag'!$C$4:$I$100,6,0),VLOOKUP($C56,CurrentMtgRatesDataTable8[],6,0))</f>
        <v>619340.61</v>
      </c>
      <c r="J56" s="44">
        <f>CurrentMtgRatesDataTable934[[#This Row],[Top 10 Amount]]/CurrentMtgRatesDataTable934[[#This Row],[Total Amount]]</f>
        <v>0.82457031538081005</v>
      </c>
      <c r="K56" s="44">
        <f>CurrentMtgRatesDataTable934[[#This Row],[Top 5 Amount]]/CurrentMtgRatesDataTable934[[#This Row],[Total Amount]]</f>
        <v>0.74846261449191076</v>
      </c>
      <c r="L56" s="44">
        <f>CurrentMtgRatesDataTable934[[#This Row],[Top 1 Amount]]/CurrentMtgRatesDataTable934[[#This Row],[Total Amount]]</f>
        <v>0.33532318497209629</v>
      </c>
      <c r="M56" s="44">
        <f>CurrentMtgRatesDataTable934[[#This Row],[N/A Amount]]/CurrentMtgRatesDataTable934[[#This Row],[Total Amount]]</f>
        <v>2.5682061257653151E-5</v>
      </c>
      <c r="N56" s="48">
        <f t="shared" si="1"/>
        <v>0</v>
      </c>
    </row>
    <row r="57" spans="3:14">
      <c r="C57" s="37">
        <v>40544</v>
      </c>
      <c r="D57" s="17">
        <v>32407281630.84</v>
      </c>
      <c r="E57" s="17">
        <f>IF(C57&lt;=DateToChangeLag,VLOOKUP(C57,'Result-lag'!$C$4:$H$100,2,0),VLOOKUP(C57,CurrentMtgRatesDataTable8[],2,0))</f>
        <v>32407281630.84</v>
      </c>
      <c r="F57" s="17">
        <f>IF($C57&lt;=DateToChangeLag,VLOOKUP($C57,'Result-lag'!$C$4:$I$100,3,0),VLOOKUP($C57,CurrentMtgRatesDataTable8[],3,0))</f>
        <v>27626694683.829998</v>
      </c>
      <c r="G57" s="17">
        <f>IF($C57&lt;=DateToChangeLag,VLOOKUP($C57,'Result-lag'!$C$4:$I$100,4,0),VLOOKUP($C57,CurrentMtgRatesDataTable8[],4,0))</f>
        <v>24825250754.84</v>
      </c>
      <c r="H57" s="43">
        <f>IF($C57&lt;=DateToChangeLag,VLOOKUP($C57,'Result-lag'!$C$4:$I$100,5,0),VLOOKUP($C57,CurrentMtgRatesDataTable8[],5,0))</f>
        <v>11191306140.16</v>
      </c>
      <c r="I57" s="43">
        <f>IF($C57&lt;=DateToChangeLag,VLOOKUP($C57,'Result-lag'!$C$4:$I$100,6,0),VLOOKUP($C57,CurrentMtgRatesDataTable8[],6,0))</f>
        <v>1160580.1499999999</v>
      </c>
      <c r="J57" s="44">
        <f>CurrentMtgRatesDataTable934[[#This Row],[Top 10 Amount]]/CurrentMtgRatesDataTable934[[#This Row],[Total Amount]]</f>
        <v>0.85248417311063163</v>
      </c>
      <c r="K57" s="44">
        <f>CurrentMtgRatesDataTable934[[#This Row],[Top 5 Amount]]/CurrentMtgRatesDataTable934[[#This Row],[Total Amount]]</f>
        <v>0.76603928208576888</v>
      </c>
      <c r="L57" s="44">
        <f>CurrentMtgRatesDataTable934[[#This Row],[Top 1 Amount]]/CurrentMtgRatesDataTable934[[#This Row],[Total Amount]]</f>
        <v>0.34533307259902751</v>
      </c>
      <c r="M57" s="44">
        <f>CurrentMtgRatesDataTable934[[#This Row],[N/A Amount]]/CurrentMtgRatesDataTable934[[#This Row],[Total Amount]]</f>
        <v>3.581232647713185E-5</v>
      </c>
      <c r="N57" s="48">
        <f t="shared" si="1"/>
        <v>0</v>
      </c>
    </row>
    <row r="58" spans="3:14">
      <c r="C58" s="37">
        <v>40513</v>
      </c>
      <c r="D58" s="17">
        <v>31794172427.73</v>
      </c>
      <c r="E58" s="17">
        <f>IF(C58&lt;=DateToChangeLag,VLOOKUP(C58,'Result-lag'!$C$4:$H$100,2,0),VLOOKUP(C58,CurrentMtgRatesDataTable8[],2,0))</f>
        <v>31794172427.73</v>
      </c>
      <c r="F58" s="17">
        <f>IF($C58&lt;=DateToChangeLag,VLOOKUP($C58,'Result-lag'!$C$4:$I$100,3,0),VLOOKUP($C58,CurrentMtgRatesDataTable8[],3,0))</f>
        <v>26329184574.32</v>
      </c>
      <c r="G58" s="17">
        <f>IF($C58&lt;=DateToChangeLag,VLOOKUP($C58,'Result-lag'!$C$4:$I$100,4,0),VLOOKUP($C58,CurrentMtgRatesDataTable8[],4,0))</f>
        <v>23277080462.27</v>
      </c>
      <c r="H58" s="43">
        <f>IF($C58&lt;=DateToChangeLag,VLOOKUP($C58,'Result-lag'!$C$4:$I$100,5,0),VLOOKUP($C58,CurrentMtgRatesDataTable8[],5,0))</f>
        <v>11196638571.49</v>
      </c>
      <c r="I58" s="43">
        <f>IF($C58&lt;=DateToChangeLag,VLOOKUP($C58,'Result-lag'!$C$4:$I$100,6,0),VLOOKUP($C58,CurrentMtgRatesDataTable8[],6,0))</f>
        <v>92294.87</v>
      </c>
      <c r="J58" s="44">
        <f>CurrentMtgRatesDataTable934[[#This Row],[Top 10 Amount]]/CurrentMtgRatesDataTable934[[#This Row],[Total Amount]]</f>
        <v>0.82811353666046084</v>
      </c>
      <c r="K58" s="44">
        <f>CurrentMtgRatesDataTable934[[#This Row],[Top 5 Amount]]/CurrentMtgRatesDataTable934[[#This Row],[Total Amount]]</f>
        <v>0.73211782804475112</v>
      </c>
      <c r="L58" s="44">
        <f>CurrentMtgRatesDataTable934[[#This Row],[Top 1 Amount]]/CurrentMtgRatesDataTable934[[#This Row],[Total Amount]]</f>
        <v>0.35216008836023677</v>
      </c>
      <c r="M58" s="44">
        <f>CurrentMtgRatesDataTable934[[#This Row],[N/A Amount]]/CurrentMtgRatesDataTable934[[#This Row],[Total Amount]]</f>
        <v>2.9028863767343402E-6</v>
      </c>
      <c r="N58" s="48">
        <f t="shared" si="1"/>
        <v>0</v>
      </c>
    </row>
    <row r="59" spans="3:14">
      <c r="C59" s="37">
        <v>40483</v>
      </c>
      <c r="D59" s="17">
        <v>32277101439.200001</v>
      </c>
      <c r="E59" s="17">
        <f>IF(C59&lt;=DateToChangeLag,VLOOKUP(C59,'Result-lag'!$C$4:$H$100,2,0),VLOOKUP(C59,CurrentMtgRatesDataTable8[],2,0))</f>
        <v>32277101439.200001</v>
      </c>
      <c r="F59" s="17">
        <f>IF($C59&lt;=DateToChangeLag,VLOOKUP($C59,'Result-lag'!$C$4:$I$100,3,0),VLOOKUP($C59,CurrentMtgRatesDataTable8[],3,0))</f>
        <v>26784117519.900002</v>
      </c>
      <c r="G59" s="17">
        <f>IF($C59&lt;=DateToChangeLag,VLOOKUP($C59,'Result-lag'!$C$4:$I$100,4,0),VLOOKUP($C59,CurrentMtgRatesDataTable8[],4,0))</f>
        <v>23635234930.169998</v>
      </c>
      <c r="H59" s="43">
        <f>IF($C59&lt;=DateToChangeLag,VLOOKUP($C59,'Result-lag'!$C$4:$I$100,5,0),VLOOKUP($C59,CurrentMtgRatesDataTable8[],5,0))</f>
        <v>9449755251.1200008</v>
      </c>
      <c r="I59" s="43">
        <f>IF($C59&lt;=DateToChangeLag,VLOOKUP($C59,'Result-lag'!$C$4:$I$100,6,0),VLOOKUP($C59,CurrentMtgRatesDataTable8[],6,0))</f>
        <v>1017090.08</v>
      </c>
      <c r="J59" s="44">
        <f>CurrentMtgRatesDataTable934[[#This Row],[Top 10 Amount]]/CurrentMtgRatesDataTable934[[#This Row],[Total Amount]]</f>
        <v>0.8298179305335992</v>
      </c>
      <c r="K59" s="44">
        <f>CurrentMtgRatesDataTable934[[#This Row],[Top 5 Amount]]/CurrentMtgRatesDataTable934[[#This Row],[Total Amount]]</f>
        <v>0.7322601434546846</v>
      </c>
      <c r="L59" s="44">
        <f>CurrentMtgRatesDataTable934[[#This Row],[Top 1 Amount]]/CurrentMtgRatesDataTable934[[#This Row],[Total Amount]]</f>
        <v>0.29276963636032793</v>
      </c>
      <c r="M59" s="44">
        <f>CurrentMtgRatesDataTable934[[#This Row],[N/A Amount]]/CurrentMtgRatesDataTable934[[#This Row],[Total Amount]]</f>
        <v>3.1511196317174909E-5</v>
      </c>
      <c r="N59" s="48">
        <f t="shared" si="1"/>
        <v>0</v>
      </c>
    </row>
    <row r="60" spans="3:14">
      <c r="C60" s="37">
        <v>40452</v>
      </c>
      <c r="D60" s="17">
        <v>33311732208.549999</v>
      </c>
      <c r="E60" s="17">
        <f>IF(C60&lt;=DateToChangeLag,VLOOKUP(C60,'Result-lag'!$C$4:$H$100,2,0),VLOOKUP(C60,CurrentMtgRatesDataTable8[],2,0))</f>
        <v>33311732208.549999</v>
      </c>
      <c r="F60" s="17">
        <f>IF($C60&lt;=DateToChangeLag,VLOOKUP($C60,'Result-lag'!$C$4:$I$100,3,0),VLOOKUP($C60,CurrentMtgRatesDataTable8[],3,0))</f>
        <v>27726552763.619995</v>
      </c>
      <c r="G60" s="17">
        <f>IF($C60&lt;=DateToChangeLag,VLOOKUP($C60,'Result-lag'!$C$4:$I$100,4,0),VLOOKUP($C60,CurrentMtgRatesDataTable8[],4,0))</f>
        <v>24390881083.309998</v>
      </c>
      <c r="H60" s="43">
        <f>IF($C60&lt;=DateToChangeLag,VLOOKUP($C60,'Result-lag'!$C$4:$I$100,5,0),VLOOKUP($C60,CurrentMtgRatesDataTable8[],5,0))</f>
        <v>9784331441.9799995</v>
      </c>
      <c r="I60" s="43">
        <f>IF($C60&lt;=DateToChangeLag,VLOOKUP($C60,'Result-lag'!$C$4:$I$100,6,0),VLOOKUP($C60,CurrentMtgRatesDataTable8[],6,0))</f>
        <v>761809.16</v>
      </c>
      <c r="J60" s="44">
        <f>CurrentMtgRatesDataTable934[[#This Row],[Top 10 Amount]]/CurrentMtgRatesDataTable934[[#This Row],[Total Amount]]</f>
        <v>0.83233596469965387</v>
      </c>
      <c r="K60" s="44">
        <f>CurrentMtgRatesDataTable934[[#This Row],[Top 5 Amount]]/CurrentMtgRatesDataTable934[[#This Row],[Total Amount]]</f>
        <v>0.73220092340468801</v>
      </c>
      <c r="L60" s="44">
        <f>CurrentMtgRatesDataTable934[[#This Row],[Top 1 Amount]]/CurrentMtgRatesDataTable934[[#This Row],[Total Amount]]</f>
        <v>0.29372028391452698</v>
      </c>
      <c r="M60" s="44">
        <f>CurrentMtgRatesDataTable934[[#This Row],[N/A Amount]]/CurrentMtgRatesDataTable934[[#This Row],[Total Amount]]</f>
        <v>2.286909474507811E-5</v>
      </c>
      <c r="N60" s="48">
        <f t="shared" si="1"/>
        <v>0</v>
      </c>
    </row>
    <row r="61" spans="3:14">
      <c r="C61" s="37">
        <v>40422</v>
      </c>
      <c r="D61" s="17">
        <v>32890725671.939999</v>
      </c>
      <c r="E61" s="17">
        <f>IF(C61&lt;=DateToChangeLag,VLOOKUP(C61,'Result-lag'!$C$4:$H$100,2,0),VLOOKUP(C61,CurrentMtgRatesDataTable8[],2,0))</f>
        <v>32890725671.939999</v>
      </c>
      <c r="F61" s="17">
        <f>IF($C61&lt;=DateToChangeLag,VLOOKUP($C61,'Result-lag'!$C$4:$I$100,3,0),VLOOKUP($C61,CurrentMtgRatesDataTable8[],3,0))</f>
        <v>27643255244.669998</v>
      </c>
      <c r="G61" s="17">
        <f>IF($C61&lt;=DateToChangeLag,VLOOKUP($C61,'Result-lag'!$C$4:$I$100,4,0),VLOOKUP($C61,CurrentMtgRatesDataTable8[],4,0))</f>
        <v>24861882404.239998</v>
      </c>
      <c r="H61" s="43">
        <f>IF($C61&lt;=DateToChangeLag,VLOOKUP($C61,'Result-lag'!$C$4:$I$100,5,0),VLOOKUP($C61,CurrentMtgRatesDataTable8[],5,0))</f>
        <v>10352868746.57</v>
      </c>
      <c r="I61" s="43">
        <f>IF($C61&lt;=DateToChangeLag,VLOOKUP($C61,'Result-lag'!$C$4:$I$100,6,0),VLOOKUP($C61,CurrentMtgRatesDataTable8[],6,0))</f>
        <v>64560.480000000003</v>
      </c>
      <c r="J61" s="44">
        <f>CurrentMtgRatesDataTable934[[#This Row],[Top 10 Amount]]/CurrentMtgRatesDataTable934[[#This Row],[Total Amount]]</f>
        <v>0.84045744445989023</v>
      </c>
      <c r="K61" s="44">
        <f>CurrentMtgRatesDataTable934[[#This Row],[Top 5 Amount]]/CurrentMtgRatesDataTable934[[#This Row],[Total Amount]]</f>
        <v>0.75589339840714942</v>
      </c>
      <c r="L61" s="44">
        <f>CurrentMtgRatesDataTable934[[#This Row],[Top 1 Amount]]/CurrentMtgRatesDataTable934[[#This Row],[Total Amount]]</f>
        <v>0.31476559227765299</v>
      </c>
      <c r="M61" s="44">
        <f>CurrentMtgRatesDataTable934[[#This Row],[N/A Amount]]/CurrentMtgRatesDataTable934[[#This Row],[Total Amount]]</f>
        <v>1.9628779444984504E-6</v>
      </c>
      <c r="N61" s="48">
        <f t="shared" si="1"/>
        <v>0</v>
      </c>
    </row>
    <row r="62" spans="3:14">
      <c r="C62" s="37">
        <v>40391</v>
      </c>
      <c r="D62" s="17">
        <v>32321115494.889999</v>
      </c>
      <c r="E62" s="17">
        <f>IF(C62&lt;=DateToChangeLag,VLOOKUP(C62,'Result-lag'!$C$4:$H$100,2,0),VLOOKUP(C62,CurrentMtgRatesDataTable8[],2,0))</f>
        <v>32321115494.889999</v>
      </c>
      <c r="F62" s="17">
        <f>IF($C62&lt;=DateToChangeLag,VLOOKUP($C62,'Result-lag'!$C$4:$I$100,3,0),VLOOKUP($C62,CurrentMtgRatesDataTable8[],3,0))</f>
        <v>27387295350.240002</v>
      </c>
      <c r="G62" s="17">
        <f>IF($C62&lt;=DateToChangeLag,VLOOKUP($C62,'Result-lag'!$C$4:$I$100,4,0),VLOOKUP($C62,CurrentMtgRatesDataTable8[],4,0))</f>
        <v>25097205409.360004</v>
      </c>
      <c r="H62" s="43">
        <f>IF($C62&lt;=DateToChangeLag,VLOOKUP($C62,'Result-lag'!$C$4:$I$100,5,0),VLOOKUP($C62,CurrentMtgRatesDataTable8[],5,0))</f>
        <v>10171561922.290001</v>
      </c>
      <c r="I62" s="43">
        <f>IF($C62&lt;=DateToChangeLag,VLOOKUP($C62,'Result-lag'!$C$4:$I$100,6,0),VLOOKUP($C62,CurrentMtgRatesDataTable8[],6,0))</f>
        <v>944263.32</v>
      </c>
      <c r="J62" s="44">
        <f>CurrentMtgRatesDataTable934[[#This Row],[Top 10 Amount]]/CurrentMtgRatesDataTable934[[#This Row],[Total Amount]]</f>
        <v>0.84734994231773841</v>
      </c>
      <c r="K62" s="44">
        <f>CurrentMtgRatesDataTable934[[#This Row],[Top 5 Amount]]/CurrentMtgRatesDataTable934[[#This Row],[Total Amount]]</f>
        <v>0.77649564456795739</v>
      </c>
      <c r="L62" s="44">
        <f>CurrentMtgRatesDataTable934[[#This Row],[Top 1 Amount]]/CurrentMtgRatesDataTable934[[#This Row],[Total Amount]]</f>
        <v>0.31470330669429203</v>
      </c>
      <c r="M62" s="44">
        <f>CurrentMtgRatesDataTable934[[#This Row],[N/A Amount]]/CurrentMtgRatesDataTable934[[#This Row],[Total Amount]]</f>
        <v>2.9215059738556638E-5</v>
      </c>
      <c r="N62" s="48">
        <f t="shared" si="1"/>
        <v>0</v>
      </c>
    </row>
    <row r="63" spans="3:14">
      <c r="C63" s="37">
        <v>40360</v>
      </c>
      <c r="D63" s="17">
        <v>34861046615.690002</v>
      </c>
      <c r="E63" s="17">
        <f>IF(C63&lt;=DateToChangeLag,VLOOKUP(C63,'Result-lag'!$C$4:$H$100,2,0),VLOOKUP(C63,CurrentMtgRatesDataTable8[],2,0))</f>
        <v>34861046615.690002</v>
      </c>
      <c r="F63" s="17">
        <f>IF($C63&lt;=DateToChangeLag,VLOOKUP($C63,'Result-lag'!$C$4:$I$100,3,0),VLOOKUP($C63,CurrentMtgRatesDataTable8[],3,0))</f>
        <v>29449474088.269997</v>
      </c>
      <c r="G63" s="17">
        <f>IF($C63&lt;=DateToChangeLag,VLOOKUP($C63,'Result-lag'!$C$4:$I$100,4,0),VLOOKUP($C63,CurrentMtgRatesDataTable8[],4,0))</f>
        <v>27264833278.610001</v>
      </c>
      <c r="H63" s="43">
        <f>IF($C63&lt;=DateToChangeLag,VLOOKUP($C63,'Result-lag'!$C$4:$I$100,5,0),VLOOKUP($C63,CurrentMtgRatesDataTable8[],5,0))</f>
        <v>11078139845.860001</v>
      </c>
      <c r="I63" s="43">
        <f>IF($C63&lt;=DateToChangeLag,VLOOKUP($C63,'Result-lag'!$C$4:$I$100,6,0),VLOOKUP($C63,CurrentMtgRatesDataTable8[],6,0))</f>
        <v>1908556.37</v>
      </c>
      <c r="J63" s="44">
        <f>CurrentMtgRatesDataTable934[[#This Row],[Top 10 Amount]]/CurrentMtgRatesDataTable934[[#This Row],[Total Amount]]</f>
        <v>0.84476735345678333</v>
      </c>
      <c r="K63" s="44">
        <f>CurrentMtgRatesDataTable934[[#This Row],[Top 5 Amount]]/CurrentMtgRatesDataTable934[[#This Row],[Total Amount]]</f>
        <v>0.78210025014965689</v>
      </c>
      <c r="L63" s="44">
        <f>CurrentMtgRatesDataTable934[[#This Row],[Top 1 Amount]]/CurrentMtgRatesDataTable934[[#This Row],[Total Amount]]</f>
        <v>0.31777989823386521</v>
      </c>
      <c r="M63" s="44">
        <f>CurrentMtgRatesDataTable934[[#This Row],[N/A Amount]]/CurrentMtgRatesDataTable934[[#This Row],[Total Amount]]</f>
        <v>5.474753500777028E-5</v>
      </c>
      <c r="N63" s="48">
        <f t="shared" si="1"/>
        <v>0</v>
      </c>
    </row>
    <row r="64" spans="3:14">
      <c r="C64" s="37">
        <v>40330</v>
      </c>
      <c r="D64" s="17">
        <v>32712631431.27</v>
      </c>
      <c r="E64" s="17">
        <f>IF(C64&lt;=DateToChangeLag,VLOOKUP(C64,'Result-lag'!$C$4:$H$100,2,0),VLOOKUP(C64,CurrentMtgRatesDataTable8[],2,0))</f>
        <v>32712631431.27</v>
      </c>
      <c r="F64" s="17">
        <f>IF($C64&lt;=DateToChangeLag,VLOOKUP($C64,'Result-lag'!$C$4:$I$100,3,0),VLOOKUP($C64,CurrentMtgRatesDataTable8[],3,0))</f>
        <v>27998790604.990002</v>
      </c>
      <c r="G64" s="17">
        <f>IF($C64&lt;=DateToChangeLag,VLOOKUP($C64,'Result-lag'!$C$4:$I$100,4,0),VLOOKUP($C64,CurrentMtgRatesDataTable8[],4,0))</f>
        <v>25726928354.880001</v>
      </c>
      <c r="H64" s="43">
        <f>IF($C64&lt;=DateToChangeLag,VLOOKUP($C64,'Result-lag'!$C$4:$I$100,5,0),VLOOKUP($C64,CurrentMtgRatesDataTable8[],5,0))</f>
        <v>10245994592.219999</v>
      </c>
      <c r="I64" s="43">
        <f>IF($C64&lt;=DateToChangeLag,VLOOKUP($C64,'Result-lag'!$C$4:$I$100,6,0),VLOOKUP($C64,CurrentMtgRatesDataTable8[],6,0))</f>
        <v>24328.89</v>
      </c>
      <c r="J64" s="44">
        <f>CurrentMtgRatesDataTable934[[#This Row],[Top 10 Amount]]/CurrentMtgRatesDataTable934[[#This Row],[Total Amount]]</f>
        <v>0.8559015089879306</v>
      </c>
      <c r="K64" s="44">
        <f>CurrentMtgRatesDataTable934[[#This Row],[Top 5 Amount]]/CurrentMtgRatesDataTable934[[#This Row],[Total Amount]]</f>
        <v>0.78645242615021282</v>
      </c>
      <c r="L64" s="44">
        <f>CurrentMtgRatesDataTable934[[#This Row],[Top 1 Amount]]/CurrentMtgRatesDataTable934[[#This Row],[Total Amount]]</f>
        <v>0.31321217963608561</v>
      </c>
      <c r="M64" s="44">
        <f>CurrentMtgRatesDataTable934[[#This Row],[N/A Amount]]/CurrentMtgRatesDataTable934[[#This Row],[Total Amount]]</f>
        <v>7.4371546817062279E-7</v>
      </c>
      <c r="N64" s="48">
        <f t="shared" si="1"/>
        <v>0</v>
      </c>
    </row>
    <row r="65" spans="3:14">
      <c r="C65" s="37">
        <v>40299</v>
      </c>
      <c r="D65" s="17">
        <v>32543181394.959999</v>
      </c>
      <c r="E65" s="17">
        <f>IF(C65&lt;=DateToChangeLag,VLOOKUP(C65,'Result-lag'!$C$4:$H$100,2,0),VLOOKUP(C65,CurrentMtgRatesDataTable8[],2,0))</f>
        <v>32543181394.959999</v>
      </c>
      <c r="F65" s="17">
        <f>IF($C65&lt;=DateToChangeLag,VLOOKUP($C65,'Result-lag'!$C$4:$I$100,3,0),VLOOKUP($C65,CurrentMtgRatesDataTable8[],3,0))</f>
        <v>27986292397.510002</v>
      </c>
      <c r="G65" s="17">
        <f>IF($C65&lt;=DateToChangeLag,VLOOKUP($C65,'Result-lag'!$C$4:$I$100,4,0),VLOOKUP($C65,CurrentMtgRatesDataTable8[],4,0))</f>
        <v>25758615652.040001</v>
      </c>
      <c r="H65" s="43">
        <f>IF($C65&lt;=DateToChangeLag,VLOOKUP($C65,'Result-lag'!$C$4:$I$100,5,0),VLOOKUP($C65,CurrentMtgRatesDataTable8[],5,0))</f>
        <v>11166499668.83</v>
      </c>
      <c r="I65" s="43">
        <f>IF($C65&lt;=DateToChangeLag,VLOOKUP($C65,'Result-lag'!$C$4:$I$100,6,0),VLOOKUP($C65,CurrentMtgRatesDataTable8[],6,0))</f>
        <v>1210043145.7</v>
      </c>
      <c r="J65" s="44">
        <f>CurrentMtgRatesDataTable934[[#This Row],[Top 10 Amount]]/CurrentMtgRatesDataTable934[[#This Row],[Total Amount]]</f>
        <v>0.85997407745280463</v>
      </c>
      <c r="K65" s="44">
        <f>CurrentMtgRatesDataTable934[[#This Row],[Top 5 Amount]]/CurrentMtgRatesDataTable934[[#This Row],[Total Amount]]</f>
        <v>0.79152112817185316</v>
      </c>
      <c r="L65" s="44">
        <f>CurrentMtgRatesDataTable934[[#This Row],[Top 1 Amount]]/CurrentMtgRatesDataTable934[[#This Row],[Total Amount]]</f>
        <v>0.34312870439149407</v>
      </c>
      <c r="M65" s="44">
        <f>CurrentMtgRatesDataTable934[[#This Row],[N/A Amount]]/CurrentMtgRatesDataTable934[[#This Row],[Total Amount]]</f>
        <v>3.7182693695933515E-2</v>
      </c>
      <c r="N65" s="48">
        <f t="shared" si="1"/>
        <v>0</v>
      </c>
    </row>
    <row r="66" spans="3:14">
      <c r="C66" s="37">
        <v>40269</v>
      </c>
      <c r="D66" s="17">
        <v>31107880094.700001</v>
      </c>
      <c r="E66" s="17">
        <f>IF(C66&lt;=DateToChangeLag,VLOOKUP(C66,'Result-lag'!$C$4:$H$100,2,0),VLOOKUP(C66,CurrentMtgRatesDataTable8[],2,0))</f>
        <v>31107880094.700001</v>
      </c>
      <c r="F66" s="17">
        <f>IF($C66&lt;=DateToChangeLag,VLOOKUP($C66,'Result-lag'!$C$4:$I$100,3,0),VLOOKUP($C66,CurrentMtgRatesDataTable8[],3,0))</f>
        <v>26850360161.200005</v>
      </c>
      <c r="G66" s="17">
        <f>IF($C66&lt;=DateToChangeLag,VLOOKUP($C66,'Result-lag'!$C$4:$I$100,4,0),VLOOKUP($C66,CurrentMtgRatesDataTable8[],4,0))</f>
        <v>24765902790.620003</v>
      </c>
      <c r="H66" s="43">
        <f>IF($C66&lt;=DateToChangeLag,VLOOKUP($C66,'Result-lag'!$C$4:$I$100,5,0),VLOOKUP($C66,CurrentMtgRatesDataTable8[],5,0))</f>
        <v>11766642358.6</v>
      </c>
      <c r="I66" s="43">
        <f>IF($C66&lt;=DateToChangeLag,VLOOKUP($C66,'Result-lag'!$C$4:$I$100,6,0),VLOOKUP($C66,CurrentMtgRatesDataTable8[],6,0))</f>
        <v>1073596404.6799999</v>
      </c>
      <c r="J66" s="44">
        <f>CurrentMtgRatesDataTable934[[#This Row],[Top 10 Amount]]/CurrentMtgRatesDataTable934[[#This Row],[Total Amount]]</f>
        <v>0.86313693120395663</v>
      </c>
      <c r="K66" s="44">
        <f>CurrentMtgRatesDataTable934[[#This Row],[Top 5 Amount]]/CurrentMtgRatesDataTable934[[#This Row],[Total Amount]]</f>
        <v>0.79612955673053043</v>
      </c>
      <c r="L66" s="44">
        <f>CurrentMtgRatesDataTable934[[#This Row],[Top 1 Amount]]/CurrentMtgRatesDataTable934[[#This Row],[Total Amount]]</f>
        <v>0.37825278748598301</v>
      </c>
      <c r="M66" s="44">
        <f>CurrentMtgRatesDataTable934[[#This Row],[N/A Amount]]/CurrentMtgRatesDataTable934[[#This Row],[Total Amount]]</f>
        <v>3.4512040081539137E-2</v>
      </c>
      <c r="N66" s="48">
        <f t="shared" si="1"/>
        <v>0</v>
      </c>
    </row>
    <row r="67" spans="3:14">
      <c r="C67" s="37">
        <v>40238</v>
      </c>
      <c r="D67" s="17">
        <v>22158381362.720001</v>
      </c>
      <c r="E67" s="17">
        <f>IF(C67&lt;=DateToChangeLag,VLOOKUP(C67,'Result-lag'!$C$4:$H$100,2,0),VLOOKUP(C67,CurrentMtgRatesDataTable8[],2,0))</f>
        <v>22158381362.720001</v>
      </c>
      <c r="F67" s="17">
        <f>IF($C67&lt;=DateToChangeLag,VLOOKUP($C67,'Result-lag'!$C$4:$I$100,3,0),VLOOKUP($C67,CurrentMtgRatesDataTable8[],3,0))</f>
        <v>18536432575.27</v>
      </c>
      <c r="G67" s="17">
        <f>IF($C67&lt;=DateToChangeLag,VLOOKUP($C67,'Result-lag'!$C$4:$I$100,4,0),VLOOKUP($C67,CurrentMtgRatesDataTable8[],4,0))</f>
        <v>16719112110.120003</v>
      </c>
      <c r="H67" s="43">
        <f>IF($C67&lt;=DateToChangeLag,VLOOKUP($C67,'Result-lag'!$C$4:$I$100,5,0),VLOOKUP($C67,CurrentMtgRatesDataTable8[],5,0))</f>
        <v>6596684007.1000004</v>
      </c>
      <c r="I67" s="43">
        <f>IF($C67&lt;=DateToChangeLag,VLOOKUP($C67,'Result-lag'!$C$4:$I$100,6,0),VLOOKUP($C67,CurrentMtgRatesDataTable8[],6,0))</f>
        <v>775320177.90999997</v>
      </c>
      <c r="J67" s="44">
        <f>CurrentMtgRatesDataTable934[[#This Row],[Top 10 Amount]]/CurrentMtgRatesDataTable934[[#This Row],[Total Amount]]</f>
        <v>0.83654271816335435</v>
      </c>
      <c r="K67" s="44">
        <f>CurrentMtgRatesDataTable934[[#This Row],[Top 5 Amount]]/CurrentMtgRatesDataTable934[[#This Row],[Total Amount]]</f>
        <v>0.75452768126144787</v>
      </c>
      <c r="L67" s="44">
        <f>CurrentMtgRatesDataTable934[[#This Row],[Top 1 Amount]]/CurrentMtgRatesDataTable934[[#This Row],[Total Amount]]</f>
        <v>0.2977060417507969</v>
      </c>
      <c r="M67" s="44">
        <f>CurrentMtgRatesDataTable934[[#This Row],[N/A Amount]]/CurrentMtgRatesDataTable934[[#This Row],[Total Amount]]</f>
        <v>3.4989928425657679E-2</v>
      </c>
      <c r="N67" s="48">
        <f t="shared" si="1"/>
        <v>0</v>
      </c>
    </row>
    <row r="68" spans="3:14">
      <c r="C68" s="37">
        <v>40210</v>
      </c>
      <c r="D68" s="17">
        <v>27524482427.09</v>
      </c>
      <c r="E68" s="17">
        <f>IF(C68&lt;=DateToChangeLag,VLOOKUP(C68,'Result-lag'!$C$4:$H$100,2,0),VLOOKUP(C68,CurrentMtgRatesDataTable8[],2,0))</f>
        <v>27524482427.09</v>
      </c>
      <c r="F68" s="17">
        <f>IF($C68&lt;=DateToChangeLag,VLOOKUP($C68,'Result-lag'!$C$4:$I$100,3,0),VLOOKUP($C68,CurrentMtgRatesDataTable8[],3,0))</f>
        <v>23697861082.779999</v>
      </c>
      <c r="G68" s="17">
        <f>IF($C68&lt;=DateToChangeLag,VLOOKUP($C68,'Result-lag'!$C$4:$I$100,4,0),VLOOKUP($C68,CurrentMtgRatesDataTable8[],4,0))</f>
        <v>21554168003.59</v>
      </c>
      <c r="H68" s="43">
        <f>IF($C68&lt;=DateToChangeLag,VLOOKUP($C68,'Result-lag'!$C$4:$I$100,5,0),VLOOKUP($C68,CurrentMtgRatesDataTable8[],5,0))</f>
        <v>9571877686.3199997</v>
      </c>
      <c r="I68" s="43">
        <f>IF($C68&lt;=DateToChangeLag,VLOOKUP($C68,'Result-lag'!$C$4:$I$100,6,0),VLOOKUP($C68,CurrentMtgRatesDataTable8[],6,0))</f>
        <v>1049114718.89</v>
      </c>
      <c r="J68" s="44">
        <f>CurrentMtgRatesDataTable934[[#This Row],[Top 10 Amount]]/CurrentMtgRatesDataTable934[[#This Row],[Total Amount]]</f>
        <v>0.86097390370749405</v>
      </c>
      <c r="K68" s="44">
        <f>CurrentMtgRatesDataTable934[[#This Row],[Top 5 Amount]]/CurrentMtgRatesDataTable934[[#This Row],[Total Amount]]</f>
        <v>0.78309076512828713</v>
      </c>
      <c r="L68" s="44">
        <f>CurrentMtgRatesDataTable934[[#This Row],[Top 1 Amount]]/CurrentMtgRatesDataTable934[[#This Row],[Total Amount]]</f>
        <v>0.34775868035575547</v>
      </c>
      <c r="M68" s="44">
        <f>CurrentMtgRatesDataTable934[[#This Row],[N/A Amount]]/CurrentMtgRatesDataTable934[[#This Row],[Total Amount]]</f>
        <v>3.8115692880656887E-2</v>
      </c>
      <c r="N68" s="48">
        <f t="shared" ref="N68:N100" si="2">IF(C68&lt;=DateToChangeLag,1,0)</f>
        <v>0</v>
      </c>
    </row>
    <row r="69" spans="3:14">
      <c r="C69" s="37">
        <v>40179</v>
      </c>
      <c r="D69" s="17">
        <v>35986611903.889999</v>
      </c>
      <c r="E69" s="17">
        <f>IF(C69&lt;=DateToChangeLag,VLOOKUP(C69,'Result-lag'!$C$4:$H$100,2,0),VLOOKUP(C69,CurrentMtgRatesDataTable8[],2,0))</f>
        <v>35986611903.889999</v>
      </c>
      <c r="F69" s="17">
        <f>IF($C69&lt;=DateToChangeLag,VLOOKUP($C69,'Result-lag'!$C$4:$I$100,3,0),VLOOKUP($C69,CurrentMtgRatesDataTable8[],3,0))</f>
        <v>31352105196.579998</v>
      </c>
      <c r="G69" s="17">
        <f>IF($C69&lt;=DateToChangeLag,VLOOKUP($C69,'Result-lag'!$C$4:$I$100,4,0),VLOOKUP($C69,CurrentMtgRatesDataTable8[],4,0))</f>
        <v>28809588837.969997</v>
      </c>
      <c r="H69" s="43">
        <f>IF($C69&lt;=DateToChangeLag,VLOOKUP($C69,'Result-lag'!$C$4:$I$100,5,0),VLOOKUP($C69,CurrentMtgRatesDataTable8[],5,0))</f>
        <v>13534574647.27</v>
      </c>
      <c r="I69" s="43">
        <f>IF($C69&lt;=DateToChangeLag,VLOOKUP($C69,'Result-lag'!$C$4:$I$100,6,0),VLOOKUP($C69,CurrentMtgRatesDataTable8[],6,0))</f>
        <v>1051543121.48</v>
      </c>
      <c r="J69" s="44">
        <f>CurrentMtgRatesDataTable934[[#This Row],[Top 10 Amount]]/CurrentMtgRatesDataTable934[[#This Row],[Total Amount]]</f>
        <v>0.87121580882114025</v>
      </c>
      <c r="K69" s="44">
        <f>CurrentMtgRatesDataTable934[[#This Row],[Top 5 Amount]]/CurrentMtgRatesDataTable934[[#This Row],[Total Amount]]</f>
        <v>0.80056407963362075</v>
      </c>
      <c r="L69" s="44">
        <f>CurrentMtgRatesDataTable934[[#This Row],[Top 1 Amount]]/CurrentMtgRatesDataTable934[[#This Row],[Total Amount]]</f>
        <v>0.3761002753862186</v>
      </c>
      <c r="M69" s="44">
        <f>CurrentMtgRatesDataTable934[[#This Row],[N/A Amount]]/CurrentMtgRatesDataTable934[[#This Row],[Total Amount]]</f>
        <v>2.9220397971567107E-2</v>
      </c>
      <c r="N69" s="48">
        <f t="shared" si="2"/>
        <v>0</v>
      </c>
    </row>
    <row r="70" spans="3:14">
      <c r="C70" s="37">
        <v>40148</v>
      </c>
      <c r="D70" s="17">
        <v>40973315070.910004</v>
      </c>
      <c r="E70" s="17">
        <f>IF(C70&lt;=DateToChangeLag,VLOOKUP(C70,'Result-lag'!$C$4:$H$100,2,0),VLOOKUP(C70,CurrentMtgRatesDataTable8[],2,0))</f>
        <v>40973315070.910004</v>
      </c>
      <c r="F70" s="17">
        <f>IF($C70&lt;=DateToChangeLag,VLOOKUP($C70,'Result-lag'!$C$4:$I$100,3,0),VLOOKUP($C70,CurrentMtgRatesDataTable8[],3,0))</f>
        <v>34524145521.199997</v>
      </c>
      <c r="G70" s="17">
        <f>IF($C70&lt;=DateToChangeLag,VLOOKUP($C70,'Result-lag'!$C$4:$I$100,4,0),VLOOKUP($C70,CurrentMtgRatesDataTable8[],4,0))</f>
        <v>30839093752.029999</v>
      </c>
      <c r="H70" s="43">
        <f>IF($C70&lt;=DateToChangeLag,VLOOKUP($C70,'Result-lag'!$C$4:$I$100,5,0),VLOOKUP($C70,CurrentMtgRatesDataTable8[],5,0))</f>
        <v>11821319577.99</v>
      </c>
      <c r="I70" s="43">
        <f>IF($C70&lt;=DateToChangeLag,VLOOKUP($C70,'Result-lag'!$C$4:$I$100,6,0),VLOOKUP($C70,CurrentMtgRatesDataTable8[],6,0))</f>
        <v>1196536315.22</v>
      </c>
      <c r="J70" s="44">
        <f>CurrentMtgRatesDataTable934[[#This Row],[Top 10 Amount]]/CurrentMtgRatesDataTable934[[#This Row],[Total Amount]]</f>
        <v>0.84260073810115621</v>
      </c>
      <c r="K70" s="44">
        <f>CurrentMtgRatesDataTable934[[#This Row],[Top 5 Amount]]/CurrentMtgRatesDataTable934[[#This Row],[Total Amount]]</f>
        <v>0.7526628904363406</v>
      </c>
      <c r="L70" s="44">
        <f>CurrentMtgRatesDataTable934[[#This Row],[Top 1 Amount]]/CurrentMtgRatesDataTable934[[#This Row],[Total Amount]]</f>
        <v>0.28851264676855087</v>
      </c>
      <c r="M70" s="44">
        <f>CurrentMtgRatesDataTable934[[#This Row],[N/A Amount]]/CurrentMtgRatesDataTable934[[#This Row],[Total Amount]]</f>
        <v>2.9202819277601239E-2</v>
      </c>
      <c r="N70" s="48">
        <f t="shared" si="2"/>
        <v>0</v>
      </c>
    </row>
    <row r="71" spans="3:14">
      <c r="C71" s="37">
        <v>40118</v>
      </c>
      <c r="D71" s="17">
        <v>34146479465.68</v>
      </c>
      <c r="E71" s="17">
        <f>IF(C71&lt;=DateToChangeLag,VLOOKUP(C71,'Result-lag'!$C$4:$H$100,2,0),VLOOKUP(C71,CurrentMtgRatesDataTable8[],2,0))</f>
        <v>34146479465.68</v>
      </c>
      <c r="F71" s="17">
        <f>IF($C71&lt;=DateToChangeLag,VLOOKUP($C71,'Result-lag'!$C$4:$I$100,3,0),VLOOKUP($C71,CurrentMtgRatesDataTable8[],3,0))</f>
        <v>28779506693.819996</v>
      </c>
      <c r="G71" s="17">
        <f>IF($C71&lt;=DateToChangeLag,VLOOKUP($C71,'Result-lag'!$C$4:$I$100,4,0),VLOOKUP($C71,CurrentMtgRatesDataTable8[],4,0))</f>
        <v>25228895915.689999</v>
      </c>
      <c r="H71" s="43">
        <f>IF($C71&lt;=DateToChangeLag,VLOOKUP($C71,'Result-lag'!$C$4:$I$100,5,0),VLOOKUP($C71,CurrentMtgRatesDataTable8[],5,0))</f>
        <v>10156126817.549999</v>
      </c>
      <c r="I71" s="43">
        <f>IF($C71&lt;=DateToChangeLag,VLOOKUP($C71,'Result-lag'!$C$4:$I$100,6,0),VLOOKUP($C71,CurrentMtgRatesDataTable8[],6,0))</f>
        <v>891369745.05999994</v>
      </c>
      <c r="J71" s="44">
        <f>CurrentMtgRatesDataTable934[[#This Row],[Top 10 Amount]]/CurrentMtgRatesDataTable934[[#This Row],[Total Amount]]</f>
        <v>0.84282500404604666</v>
      </c>
      <c r="K71" s="44">
        <f>CurrentMtgRatesDataTable934[[#This Row],[Top 5 Amount]]/CurrentMtgRatesDataTable934[[#This Row],[Total Amount]]</f>
        <v>0.738843251499678</v>
      </c>
      <c r="L71" s="44">
        <f>CurrentMtgRatesDataTable934[[#This Row],[Top 1 Amount]]/CurrentMtgRatesDataTable934[[#This Row],[Total Amount]]</f>
        <v>0.29742822617358655</v>
      </c>
      <c r="M71" s="44">
        <f>CurrentMtgRatesDataTable934[[#This Row],[N/A Amount]]/CurrentMtgRatesDataTable934[[#This Row],[Total Amount]]</f>
        <v>2.6104294176384987E-2</v>
      </c>
      <c r="N71" s="48">
        <f t="shared" si="2"/>
        <v>0</v>
      </c>
    </row>
    <row r="72" spans="3:14">
      <c r="C72" s="37">
        <v>40087</v>
      </c>
      <c r="D72" s="17">
        <v>36816079871.599998</v>
      </c>
      <c r="E72" s="17">
        <f>IF(C72&lt;=DateToChangeLag,VLOOKUP(C72,'Result-lag'!$C$4:$H$100,2,0),VLOOKUP(C72,CurrentMtgRatesDataTable8[],2,0))</f>
        <v>36816079871.599998</v>
      </c>
      <c r="F72" s="17">
        <f>IF($C72&lt;=DateToChangeLag,VLOOKUP($C72,'Result-lag'!$C$4:$I$100,3,0),VLOOKUP($C72,CurrentMtgRatesDataTable8[],3,0))</f>
        <v>31511593820.119995</v>
      </c>
      <c r="G72" s="17">
        <f>IF($C72&lt;=DateToChangeLag,VLOOKUP($C72,'Result-lag'!$C$4:$I$100,4,0),VLOOKUP($C72,CurrentMtgRatesDataTable8[],4,0))</f>
        <v>28210005654.139996</v>
      </c>
      <c r="H72" s="43">
        <f>IF($C72&lt;=DateToChangeLag,VLOOKUP($C72,'Result-lag'!$C$4:$I$100,5,0),VLOOKUP($C72,CurrentMtgRatesDataTable8[],5,0))</f>
        <v>11250233115.889999</v>
      </c>
      <c r="I72" s="43">
        <f>IF($C72&lt;=DateToChangeLag,VLOOKUP($C72,'Result-lag'!$C$4:$I$100,6,0),VLOOKUP($C72,CurrentMtgRatesDataTable8[],6,0))</f>
        <v>794961940.45000005</v>
      </c>
      <c r="J72" s="44">
        <f>CurrentMtgRatesDataTable934[[#This Row],[Top 10 Amount]]/CurrentMtgRatesDataTable934[[#This Row],[Total Amount]]</f>
        <v>0.85591931378951902</v>
      </c>
      <c r="K72" s="44">
        <f>CurrentMtgRatesDataTable934[[#This Row],[Top 5 Amount]]/CurrentMtgRatesDataTable934[[#This Row],[Total Amount]]</f>
        <v>0.76624142908548099</v>
      </c>
      <c r="L72" s="44">
        <f>CurrentMtgRatesDataTable934[[#This Row],[Top 1 Amount]]/CurrentMtgRatesDataTable934[[#This Row],[Total Amount]]</f>
        <v>0.30557933259397485</v>
      </c>
      <c r="M72" s="44">
        <f>CurrentMtgRatesDataTable934[[#This Row],[N/A Amount]]/CurrentMtgRatesDataTable934[[#This Row],[Total Amount]]</f>
        <v>2.1592791606887929E-2</v>
      </c>
      <c r="N72" s="48">
        <f t="shared" si="2"/>
        <v>0</v>
      </c>
    </row>
    <row r="73" spans="3:14">
      <c r="C73" s="37">
        <v>40057</v>
      </c>
      <c r="D73" s="17">
        <v>38844969127.540001</v>
      </c>
      <c r="E73" s="17">
        <f>IF(C73&lt;=DateToChangeLag,VLOOKUP(C73,'Result-lag'!$C$4:$H$100,2,0),VLOOKUP(C73,CurrentMtgRatesDataTable8[],2,0))</f>
        <v>38844969127.540001</v>
      </c>
      <c r="F73" s="17">
        <f>IF($C73&lt;=DateToChangeLag,VLOOKUP($C73,'Result-lag'!$C$4:$I$100,3,0),VLOOKUP($C73,CurrentMtgRatesDataTable8[],3,0))</f>
        <v>33968250061.269997</v>
      </c>
      <c r="G73" s="17">
        <f>IF($C73&lt;=DateToChangeLag,VLOOKUP($C73,'Result-lag'!$C$4:$I$100,4,0),VLOOKUP($C73,CurrentMtgRatesDataTable8[],4,0))</f>
        <v>29406120687.719997</v>
      </c>
      <c r="H73" s="43">
        <f>IF($C73&lt;=DateToChangeLag,VLOOKUP($C73,'Result-lag'!$C$4:$I$100,5,0),VLOOKUP($C73,CurrentMtgRatesDataTable8[],5,0))</f>
        <v>10548837061.57</v>
      </c>
      <c r="I73" s="43">
        <f>IF($C73&lt;=DateToChangeLag,VLOOKUP($C73,'Result-lag'!$C$4:$I$100,6,0),VLOOKUP($C73,CurrentMtgRatesDataTable8[],6,0))</f>
        <v>609967240.65999997</v>
      </c>
      <c r="J73" s="44">
        <f>CurrentMtgRatesDataTable934[[#This Row],[Top 10 Amount]]/CurrentMtgRatesDataTable934[[#This Row],[Total Amount]]</f>
        <v>0.87445686852631466</v>
      </c>
      <c r="K73" s="44">
        <f>CurrentMtgRatesDataTable934[[#This Row],[Top 5 Amount]]/CurrentMtgRatesDataTable934[[#This Row],[Total Amount]]</f>
        <v>0.75701233256668687</v>
      </c>
      <c r="L73" s="44">
        <f>CurrentMtgRatesDataTable934[[#This Row],[Top 1 Amount]]/CurrentMtgRatesDataTable934[[#This Row],[Total Amount]]</f>
        <v>0.27156250342058241</v>
      </c>
      <c r="M73" s="44">
        <f>CurrentMtgRatesDataTable934[[#This Row],[N/A Amount]]/CurrentMtgRatesDataTable934[[#This Row],[Total Amount]]</f>
        <v>1.5702605880758704E-2</v>
      </c>
      <c r="N73" s="48">
        <f t="shared" si="2"/>
        <v>0</v>
      </c>
    </row>
    <row r="74" spans="3:14">
      <c r="C74" s="37">
        <v>40026</v>
      </c>
      <c r="D74" s="17">
        <v>43301220344.230003</v>
      </c>
      <c r="E74" s="17">
        <f>IF(C74&lt;=DateToChangeLag,VLOOKUP(C74,'Result-lag'!$C$4:$H$100,2,0),VLOOKUP(C74,CurrentMtgRatesDataTable8[],2,0))</f>
        <v>43301220344.230003</v>
      </c>
      <c r="F74" s="17">
        <f>IF($C74&lt;=DateToChangeLag,VLOOKUP($C74,'Result-lag'!$C$4:$I$100,3,0),VLOOKUP($C74,CurrentMtgRatesDataTable8[],3,0))</f>
        <v>37366595070.600006</v>
      </c>
      <c r="G74" s="17">
        <f>IF($C74&lt;=DateToChangeLag,VLOOKUP($C74,'Result-lag'!$C$4:$I$100,4,0),VLOOKUP($C74,CurrentMtgRatesDataTable8[],4,0))</f>
        <v>32727942340.760002</v>
      </c>
      <c r="H74" s="43">
        <f>IF($C74&lt;=DateToChangeLag,VLOOKUP($C74,'Result-lag'!$C$4:$I$100,5,0),VLOOKUP($C74,CurrentMtgRatesDataTable8[],5,0))</f>
        <v>11769183271.27</v>
      </c>
      <c r="I74" s="43">
        <f>IF($C74&lt;=DateToChangeLag,VLOOKUP($C74,'Result-lag'!$C$4:$I$100,6,0),VLOOKUP($C74,CurrentMtgRatesDataTable8[],6,0))</f>
        <v>822762971.19000006</v>
      </c>
      <c r="J74" s="44">
        <f>CurrentMtgRatesDataTable934[[#This Row],[Top 10 Amount]]/CurrentMtgRatesDataTable934[[#This Row],[Total Amount]]</f>
        <v>0.86294554226297226</v>
      </c>
      <c r="K74" s="44">
        <f>CurrentMtgRatesDataTable934[[#This Row],[Top 5 Amount]]/CurrentMtgRatesDataTable934[[#This Row],[Total Amount]]</f>
        <v>0.75582032285889333</v>
      </c>
      <c r="L74" s="44">
        <f>CurrentMtgRatesDataTable934[[#This Row],[Top 1 Amount]]/CurrentMtgRatesDataTable934[[#This Row],[Total Amount]]</f>
        <v>0.27179795806466855</v>
      </c>
      <c r="M74" s="44">
        <f>CurrentMtgRatesDataTable934[[#This Row],[N/A Amount]]/CurrentMtgRatesDataTable934[[#This Row],[Total Amount]]</f>
        <v>1.9000918788184575E-2</v>
      </c>
      <c r="N74" s="48">
        <f t="shared" si="2"/>
        <v>0</v>
      </c>
    </row>
    <row r="75" spans="3:14">
      <c r="C75" s="41">
        <v>39904</v>
      </c>
      <c r="D75" s="42">
        <v>35593081340.43</v>
      </c>
      <c r="E75" s="47">
        <f>IF(C75&lt;=DateToChangeLag,VLOOKUP(C75,'Result-lag'!$C$4:$H$100,2,0),VLOOKUP(C75,CurrentMtgRatesDataTable8[],2,0))</f>
        <v>35593081340.43</v>
      </c>
      <c r="F75" s="47">
        <f>IF($C75&lt;=DateToChangeLag,VLOOKUP($C75,'Result-lag'!$C$4:$I$100,3,0),VLOOKUP($C75,CurrentMtgRatesDataTable8[],3,0))</f>
        <v>31092833796.91</v>
      </c>
      <c r="G75" s="47">
        <f>IF($C75&lt;=DateToChangeLag,VLOOKUP($C75,'Result-lag'!$C$4:$I$100,4,0),VLOOKUP($C75,CurrentMtgRatesDataTable8[],4,0))</f>
        <v>26813746824.889999</v>
      </c>
      <c r="H75" s="47">
        <f>IF($C75&lt;=DateToChangeLag,VLOOKUP($C75,'Result-lag'!$C$4:$I$100,5,0),VLOOKUP($C75,CurrentMtgRatesDataTable8[],5,0))</f>
        <v>10904817516.51</v>
      </c>
      <c r="I75" s="47">
        <f>IF($C75&lt;=DateToChangeLag,VLOOKUP($C75,'Result-lag'!$C$4:$I$100,6,0),VLOOKUP($C75,CurrentMtgRatesDataTable8[],6,0))</f>
        <v>395342906.08999997</v>
      </c>
      <c r="J75" s="46">
        <f>CurrentMtgRatesDataTable934[[#This Row],[Top 10 Amount]]/CurrentMtgRatesDataTable934[[#This Row],[Total Amount]]</f>
        <v>0.87356398001967328</v>
      </c>
      <c r="K75" s="46">
        <f>CurrentMtgRatesDataTable934[[#This Row],[Top 5 Amount]]/CurrentMtgRatesDataTable934[[#This Row],[Total Amount]]</f>
        <v>0.75334154321818725</v>
      </c>
      <c r="L75" s="46">
        <f>CurrentMtgRatesDataTable934[[#This Row],[Top 1 Amount]]/CurrentMtgRatesDataTable934[[#This Row],[Total Amount]]</f>
        <v>0.30637464096493588</v>
      </c>
      <c r="M75" s="46">
        <f>CurrentMtgRatesDataTable934[[#This Row],[N/A Amount]]/CurrentMtgRatesDataTable934[[#This Row],[Total Amount]]</f>
        <v>1.1107296452047605E-2</v>
      </c>
      <c r="N75" s="48">
        <f t="shared" si="2"/>
        <v>0</v>
      </c>
    </row>
    <row r="76" spans="3:14">
      <c r="C76" s="41">
        <v>39873</v>
      </c>
      <c r="D76" s="42">
        <v>34505511131.800003</v>
      </c>
      <c r="E76" s="47">
        <f>IF(C76&lt;=DateToChangeLag,VLOOKUP(C76,'Result-lag'!$C$4:$H$100,2,0),VLOOKUP(C76,CurrentMtgRatesDataTable8[],2,0))</f>
        <v>34505511131.800003</v>
      </c>
      <c r="F76" s="47">
        <f>IF($C76&lt;=DateToChangeLag,VLOOKUP($C76,'Result-lag'!$C$4:$I$100,3,0),VLOOKUP($C76,CurrentMtgRatesDataTable8[],3,0))</f>
        <v>31299507089.720001</v>
      </c>
      <c r="G76" s="47">
        <f>IF($C76&lt;=DateToChangeLag,VLOOKUP($C76,'Result-lag'!$C$4:$I$100,4,0),VLOOKUP($C76,CurrentMtgRatesDataTable8[],4,0))</f>
        <v>27212511542</v>
      </c>
      <c r="H76" s="47">
        <f>IF($C76&lt;=DateToChangeLag,VLOOKUP($C76,'Result-lag'!$C$4:$I$100,5,0),VLOOKUP($C76,CurrentMtgRatesDataTable8[],5,0))</f>
        <v>9840119923.4899998</v>
      </c>
      <c r="I76" s="47">
        <f>IF($C76&lt;=DateToChangeLag,VLOOKUP($C76,'Result-lag'!$C$4:$I$100,6,0),VLOOKUP($C76,CurrentMtgRatesDataTable8[],6,0))</f>
        <v>330636214.42000002</v>
      </c>
      <c r="J76" s="46">
        <f>CurrentMtgRatesDataTable934[[#This Row],[Top 10 Amount]]/CurrentMtgRatesDataTable934[[#This Row],[Total Amount]]</f>
        <v>0.90708718877300232</v>
      </c>
      <c r="K76" s="46">
        <f>CurrentMtgRatesDataTable934[[#This Row],[Top 5 Amount]]/CurrentMtgRatesDataTable934[[#This Row],[Total Amount]]</f>
        <v>0.78864247041746227</v>
      </c>
      <c r="L76" s="46">
        <f>CurrentMtgRatesDataTable934[[#This Row],[Top 1 Amount]]/CurrentMtgRatesDataTable934[[#This Row],[Total Amount]]</f>
        <v>0.28517531260162737</v>
      </c>
      <c r="M76" s="46">
        <f>CurrentMtgRatesDataTable934[[#This Row],[N/A Amount]]/CurrentMtgRatesDataTable934[[#This Row],[Total Amount]]</f>
        <v>9.5821277116306305E-3</v>
      </c>
      <c r="N76" s="48">
        <f t="shared" si="2"/>
        <v>0</v>
      </c>
    </row>
    <row r="77" spans="3:14">
      <c r="C77" s="41">
        <v>39845</v>
      </c>
      <c r="D77" s="42">
        <v>28092224611.080002</v>
      </c>
      <c r="E77" s="47">
        <f>IF(C77&lt;=DateToChangeLag,VLOOKUP(C77,'Result-lag'!$C$4:$H$100,2,0),VLOOKUP(C77,CurrentMtgRatesDataTable8[],2,0))</f>
        <v>28092224611.080002</v>
      </c>
      <c r="F77" s="47">
        <f>IF($C77&lt;=DateToChangeLag,VLOOKUP($C77,'Result-lag'!$C$4:$I$100,3,0),VLOOKUP($C77,CurrentMtgRatesDataTable8[],3,0))</f>
        <v>24601026802.229996</v>
      </c>
      <c r="G77" s="47">
        <f>IF($C77&lt;=DateToChangeLag,VLOOKUP($C77,'Result-lag'!$C$4:$I$100,4,0),VLOOKUP($C77,CurrentMtgRatesDataTable8[],4,0))</f>
        <v>20299507560.999996</v>
      </c>
      <c r="H77" s="47">
        <f>IF($C77&lt;=DateToChangeLag,VLOOKUP($C77,'Result-lag'!$C$4:$I$100,5,0),VLOOKUP($C77,CurrentMtgRatesDataTable8[],5,0))</f>
        <v>7456714182.4200001</v>
      </c>
      <c r="I77" s="47">
        <f>IF($C77&lt;=DateToChangeLag,VLOOKUP($C77,'Result-lag'!$C$4:$I$100,6,0),VLOOKUP($C77,CurrentMtgRatesDataTable8[],6,0))</f>
        <v>334388412.06</v>
      </c>
      <c r="J77" s="46">
        <f>CurrentMtgRatesDataTable934[[#This Row],[Top 10 Amount]]/CurrentMtgRatesDataTable934[[#This Row],[Total Amount]]</f>
        <v>0.87572369731541222</v>
      </c>
      <c r="K77" s="46">
        <f>CurrentMtgRatesDataTable934[[#This Row],[Top 5 Amount]]/CurrentMtgRatesDataTable934[[#This Row],[Total Amount]]</f>
        <v>0.72260235143476537</v>
      </c>
      <c r="L77" s="46">
        <f>CurrentMtgRatesDataTable934[[#This Row],[Top 1 Amount]]/CurrentMtgRatesDataTable934[[#This Row],[Total Amount]]</f>
        <v>0.26543694156136566</v>
      </c>
      <c r="M77" s="46">
        <f>CurrentMtgRatesDataTable934[[#This Row],[N/A Amount]]/CurrentMtgRatesDataTable934[[#This Row],[Total Amount]]</f>
        <v>1.1903237165778324E-2</v>
      </c>
      <c r="N77" s="48">
        <f t="shared" si="2"/>
        <v>0</v>
      </c>
    </row>
    <row r="78" spans="3:14">
      <c r="C78" s="41">
        <v>39814</v>
      </c>
      <c r="D78" s="42">
        <v>29879289402.48</v>
      </c>
      <c r="E78" s="47">
        <f>IF(C78&lt;=DateToChangeLag,VLOOKUP(C78,'Result-lag'!$C$4:$H$100,2,0),VLOOKUP(C78,CurrentMtgRatesDataTable8[],2,0))</f>
        <v>29879289402.48</v>
      </c>
      <c r="F78" s="47">
        <f>IF($C78&lt;=DateToChangeLag,VLOOKUP($C78,'Result-lag'!$C$4:$I$100,3,0),VLOOKUP($C78,CurrentMtgRatesDataTable8[],3,0))</f>
        <v>25014444927.390003</v>
      </c>
      <c r="G78" s="47">
        <f>IF($C78&lt;=DateToChangeLag,VLOOKUP($C78,'Result-lag'!$C$4:$I$100,4,0),VLOOKUP($C78,CurrentMtgRatesDataTable8[],4,0))</f>
        <v>20747600705.23</v>
      </c>
      <c r="H78" s="47">
        <f>IF($C78&lt;=DateToChangeLag,VLOOKUP($C78,'Result-lag'!$C$4:$I$100,5,0),VLOOKUP($C78,CurrentMtgRatesDataTable8[],5,0))</f>
        <v>7661923102.8999996</v>
      </c>
      <c r="I78" s="47">
        <f>IF($C78&lt;=DateToChangeLag,VLOOKUP($C78,'Result-lag'!$C$4:$I$100,6,0),VLOOKUP($C78,CurrentMtgRatesDataTable8[],6,0))</f>
        <v>339796295.97000003</v>
      </c>
      <c r="J78" s="46">
        <f>CurrentMtgRatesDataTable934[[#This Row],[Top 10 Amount]]/CurrentMtgRatesDataTable934[[#This Row],[Total Amount]]</f>
        <v>0.8371833945058208</v>
      </c>
      <c r="K78" s="46">
        <f>CurrentMtgRatesDataTable934[[#This Row],[Top 5 Amount]]/CurrentMtgRatesDataTable934[[#This Row],[Total Amount]]</f>
        <v>0.69438066032145784</v>
      </c>
      <c r="L78" s="46">
        <f>CurrentMtgRatesDataTable934[[#This Row],[Top 1 Amount]]/CurrentMtgRatesDataTable934[[#This Row],[Total Amount]]</f>
        <v>0.25642922760619785</v>
      </c>
      <c r="M78" s="46">
        <f>CurrentMtgRatesDataTable934[[#This Row],[N/A Amount]]/CurrentMtgRatesDataTable934[[#This Row],[Total Amount]]</f>
        <v>1.1372301777089677E-2</v>
      </c>
      <c r="N78" s="48">
        <f t="shared" si="2"/>
        <v>0</v>
      </c>
    </row>
    <row r="79" spans="3:14">
      <c r="C79" s="41">
        <v>39783</v>
      </c>
      <c r="D79" s="42">
        <v>25259384716.610001</v>
      </c>
      <c r="E79" s="47">
        <f>IF(C79&lt;=DateToChangeLag,VLOOKUP(C79,'Result-lag'!$C$4:$H$100,2,0),VLOOKUP(C79,CurrentMtgRatesDataTable8[],2,0))</f>
        <v>25259384716.610001</v>
      </c>
      <c r="F79" s="47">
        <f>IF($C79&lt;=DateToChangeLag,VLOOKUP($C79,'Result-lag'!$C$4:$I$100,3,0),VLOOKUP($C79,CurrentMtgRatesDataTable8[],3,0))</f>
        <v>20966060078.980003</v>
      </c>
      <c r="G79" s="47">
        <f>IF($C79&lt;=DateToChangeLag,VLOOKUP($C79,'Result-lag'!$C$4:$I$100,4,0),VLOOKUP($C79,CurrentMtgRatesDataTable8[],4,0))</f>
        <v>17026231655.48</v>
      </c>
      <c r="H79" s="47">
        <f>IF($C79&lt;=DateToChangeLag,VLOOKUP($C79,'Result-lag'!$C$4:$I$100,5,0),VLOOKUP($C79,CurrentMtgRatesDataTable8[],5,0))</f>
        <v>6077494849.25</v>
      </c>
      <c r="I79" s="47">
        <f>IF($C79&lt;=DateToChangeLag,VLOOKUP($C79,'Result-lag'!$C$4:$I$100,6,0),VLOOKUP($C79,CurrentMtgRatesDataTable8[],6,0))</f>
        <v>509985699.69999999</v>
      </c>
      <c r="J79" s="46">
        <f>CurrentMtgRatesDataTable934[[#This Row],[Top 10 Amount]]/CurrentMtgRatesDataTable934[[#This Row],[Total Amount]]</f>
        <v>0.83003051397341421</v>
      </c>
      <c r="K79" s="46">
        <f>CurrentMtgRatesDataTable934[[#This Row],[Top 5 Amount]]/CurrentMtgRatesDataTable934[[#This Row],[Total Amount]]</f>
        <v>0.67405567659310139</v>
      </c>
      <c r="L79" s="46">
        <f>CurrentMtgRatesDataTable934[[#This Row],[Top 1 Amount]]/CurrentMtgRatesDataTable934[[#This Row],[Total Amount]]</f>
        <v>0.24060343976841117</v>
      </c>
      <c r="M79" s="46">
        <f>CurrentMtgRatesDataTable934[[#This Row],[N/A Amount]]/CurrentMtgRatesDataTable934[[#This Row],[Total Amount]]</f>
        <v>2.0189949415697562E-2</v>
      </c>
      <c r="N79" s="48">
        <f t="shared" si="2"/>
        <v>0</v>
      </c>
    </row>
    <row r="80" spans="3:14">
      <c r="C80" s="41">
        <v>39753</v>
      </c>
      <c r="D80" s="42">
        <v>28783371110.040001</v>
      </c>
      <c r="E80" s="47">
        <f>IF(C80&lt;=DateToChangeLag,VLOOKUP(C80,'Result-lag'!$C$4:$H$100,2,0),VLOOKUP(C80,CurrentMtgRatesDataTable8[],2,0))</f>
        <v>28783371110.040001</v>
      </c>
      <c r="F80" s="47">
        <f>IF($C80&lt;=DateToChangeLag,VLOOKUP($C80,'Result-lag'!$C$4:$I$100,3,0),VLOOKUP($C80,CurrentMtgRatesDataTable8[],3,0))</f>
        <v>24497335155.529999</v>
      </c>
      <c r="G80" s="47">
        <f>IF($C80&lt;=DateToChangeLag,VLOOKUP($C80,'Result-lag'!$C$4:$I$100,4,0),VLOOKUP($C80,CurrentMtgRatesDataTable8[],4,0))</f>
        <v>19939874282.739998</v>
      </c>
      <c r="H80" s="47">
        <f>IF($C80&lt;=DateToChangeLag,VLOOKUP($C80,'Result-lag'!$C$4:$I$100,5,0),VLOOKUP($C80,CurrentMtgRatesDataTable8[],5,0))</f>
        <v>6885955341.3299999</v>
      </c>
      <c r="I80" s="47">
        <f>IF($C80&lt;=DateToChangeLag,VLOOKUP($C80,'Result-lag'!$C$4:$I$100,6,0),VLOOKUP($C80,CurrentMtgRatesDataTable8[],6,0))</f>
        <v>483957096.69999999</v>
      </c>
      <c r="J80" s="46">
        <f>CurrentMtgRatesDataTable934[[#This Row],[Top 10 Amount]]/CurrentMtgRatesDataTable934[[#This Row],[Total Amount]]</f>
        <v>0.8510933296129799</v>
      </c>
      <c r="K80" s="46">
        <f>CurrentMtgRatesDataTable934[[#This Row],[Top 5 Amount]]/CurrentMtgRatesDataTable934[[#This Row],[Total Amount]]</f>
        <v>0.69275673813567717</v>
      </c>
      <c r="L80" s="46">
        <f>CurrentMtgRatesDataTable934[[#This Row],[Top 1 Amount]]/CurrentMtgRatesDataTable934[[#This Row],[Total Amount]]</f>
        <v>0.23923380326108126</v>
      </c>
      <c r="M80" s="46">
        <f>CurrentMtgRatesDataTable934[[#This Row],[N/A Amount]]/CurrentMtgRatesDataTable934[[#This Row],[Total Amount]]</f>
        <v>1.6813773996444414E-2</v>
      </c>
      <c r="N80" s="48">
        <f t="shared" si="2"/>
        <v>0</v>
      </c>
    </row>
    <row r="81" spans="3:14">
      <c r="C81" s="41">
        <v>39722</v>
      </c>
      <c r="D81" s="42">
        <v>32031899669.07</v>
      </c>
      <c r="E81" s="47">
        <f>IF(C81&lt;=DateToChangeLag,VLOOKUP(C81,'Result-lag'!$C$4:$H$100,2,0),VLOOKUP(C81,CurrentMtgRatesDataTable8[],2,0))</f>
        <v>32031899669.07</v>
      </c>
      <c r="F81" s="47">
        <f>IF($C81&lt;=DateToChangeLag,VLOOKUP($C81,'Result-lag'!$C$4:$I$100,3,0),VLOOKUP($C81,CurrentMtgRatesDataTable8[],3,0))</f>
        <v>27080952679.310001</v>
      </c>
      <c r="G81" s="47">
        <f>IF($C81&lt;=DateToChangeLag,VLOOKUP($C81,'Result-lag'!$C$4:$I$100,4,0),VLOOKUP($C81,CurrentMtgRatesDataTable8[],4,0))</f>
        <v>21462799846.620003</v>
      </c>
      <c r="H81" s="47">
        <f>IF($C81&lt;=DateToChangeLag,VLOOKUP($C81,'Result-lag'!$C$4:$I$100,5,0),VLOOKUP($C81,CurrentMtgRatesDataTable8[],5,0))</f>
        <v>7764734798.4499998</v>
      </c>
      <c r="I81" s="47">
        <f>IF($C81&lt;=DateToChangeLag,VLOOKUP($C81,'Result-lag'!$C$4:$I$100,6,0),VLOOKUP($C81,CurrentMtgRatesDataTable8[],6,0))</f>
        <v>601637100.75999999</v>
      </c>
      <c r="J81" s="46">
        <f>CurrentMtgRatesDataTable934[[#This Row],[Top 10 Amount]]/CurrentMtgRatesDataTable934[[#This Row],[Total Amount]]</f>
        <v>0.8454369849771779</v>
      </c>
      <c r="K81" s="46">
        <f>CurrentMtgRatesDataTable934[[#This Row],[Top 5 Amount]]/CurrentMtgRatesDataTable934[[#This Row],[Total Amount]]</f>
        <v>0.67004455147393216</v>
      </c>
      <c r="L81" s="46">
        <f>CurrentMtgRatesDataTable934[[#This Row],[Top 1 Amount]]/CurrentMtgRatesDataTable934[[#This Row],[Total Amount]]</f>
        <v>0.24240631616199856</v>
      </c>
      <c r="M81" s="46">
        <f>CurrentMtgRatesDataTable934[[#This Row],[N/A Amount]]/CurrentMtgRatesDataTable934[[#This Row],[Total Amount]]</f>
        <v>1.8782435852249525E-2</v>
      </c>
      <c r="N81" s="48">
        <f t="shared" si="2"/>
        <v>0</v>
      </c>
    </row>
    <row r="82" spans="3:14">
      <c r="C82" s="41">
        <v>39692</v>
      </c>
      <c r="D82" s="42">
        <v>29840076180.630001</v>
      </c>
      <c r="E82" s="47">
        <f>IF(C82&lt;=DateToChangeLag,VLOOKUP(C82,'Result-lag'!$C$4:$H$100,2,0),VLOOKUP(C82,CurrentMtgRatesDataTable8[],2,0))</f>
        <v>29840076180.630001</v>
      </c>
      <c r="F82" s="47">
        <f>IF($C82&lt;=DateToChangeLag,VLOOKUP($C82,'Result-lag'!$C$4:$I$100,3,0),VLOOKUP($C82,CurrentMtgRatesDataTable8[],3,0))</f>
        <v>25240719264.77</v>
      </c>
      <c r="G82" s="47">
        <f>IF($C82&lt;=DateToChangeLag,VLOOKUP($C82,'Result-lag'!$C$4:$I$100,4,0),VLOOKUP($C82,CurrentMtgRatesDataTable8[],4,0))</f>
        <v>20580692484.290001</v>
      </c>
      <c r="H82" s="47">
        <f>IF($C82&lt;=DateToChangeLag,VLOOKUP($C82,'Result-lag'!$C$4:$I$100,5,0),VLOOKUP($C82,CurrentMtgRatesDataTable8[],5,0))</f>
        <v>6775744846.46</v>
      </c>
      <c r="I82" s="47">
        <f>IF($C82&lt;=DateToChangeLag,VLOOKUP($C82,'Result-lag'!$C$4:$I$100,6,0),VLOOKUP($C82,CurrentMtgRatesDataTable8[],6,0))</f>
        <v>590388828.64999998</v>
      </c>
      <c r="J82" s="46">
        <f>CurrentMtgRatesDataTable934[[#This Row],[Top 10 Amount]]/CurrentMtgRatesDataTable934[[#This Row],[Total Amount]]</f>
        <v>0.84586644859688509</v>
      </c>
      <c r="K82" s="46">
        <f>CurrentMtgRatesDataTable934[[#This Row],[Top 5 Amount]]/CurrentMtgRatesDataTable934[[#This Row],[Total Amount]]</f>
        <v>0.68969972997754891</v>
      </c>
      <c r="L82" s="46">
        <f>CurrentMtgRatesDataTable934[[#This Row],[Top 1 Amount]]/CurrentMtgRatesDataTable934[[#This Row],[Total Amount]]</f>
        <v>0.22706861756801811</v>
      </c>
      <c r="M82" s="46">
        <f>CurrentMtgRatesDataTable934[[#This Row],[N/A Amount]]/CurrentMtgRatesDataTable934[[#This Row],[Total Amount]]</f>
        <v>1.9785097902438913E-2</v>
      </c>
      <c r="N82" s="48">
        <f t="shared" si="2"/>
        <v>0</v>
      </c>
    </row>
    <row r="83" spans="3:14">
      <c r="C83" s="41">
        <v>39661</v>
      </c>
      <c r="D83" s="42">
        <v>31543550642.98</v>
      </c>
      <c r="E83" s="47">
        <f>IF(C83&lt;=DateToChangeLag,VLOOKUP(C83,'Result-lag'!$C$4:$H$100,2,0),VLOOKUP(C83,CurrentMtgRatesDataTable8[],2,0))</f>
        <v>31543550642.98</v>
      </c>
      <c r="F83" s="47">
        <f>IF($C83&lt;=DateToChangeLag,VLOOKUP($C83,'Result-lag'!$C$4:$I$100,3,0),VLOOKUP($C83,CurrentMtgRatesDataTable8[],3,0))</f>
        <v>26556813481.310001</v>
      </c>
      <c r="G83" s="47">
        <f>IF($C83&lt;=DateToChangeLag,VLOOKUP($C83,'Result-lag'!$C$4:$I$100,4,0),VLOOKUP($C83,CurrentMtgRatesDataTable8[],4,0))</f>
        <v>21796330771.130001</v>
      </c>
      <c r="H83" s="47">
        <f>IF($C83&lt;=DateToChangeLag,VLOOKUP($C83,'Result-lag'!$C$4:$I$100,5,0),VLOOKUP($C83,CurrentMtgRatesDataTable8[],5,0))</f>
        <v>6371064207.1199999</v>
      </c>
      <c r="I83" s="47">
        <f>IF($C83&lt;=DateToChangeLag,VLOOKUP($C83,'Result-lag'!$C$4:$I$100,6,0),VLOOKUP($C83,CurrentMtgRatesDataTable8[],6,0))</f>
        <v>692738671.13</v>
      </c>
      <c r="J83" s="46">
        <f>CurrentMtgRatesDataTable934[[#This Row],[Top 10 Amount]]/CurrentMtgRatesDataTable934[[#This Row],[Total Amount]]</f>
        <v>0.84190945343751933</v>
      </c>
      <c r="K83" s="46">
        <f>CurrentMtgRatesDataTable934[[#This Row],[Top 5 Amount]]/CurrentMtgRatesDataTable934[[#This Row],[Total Amount]]</f>
        <v>0.69099167109713955</v>
      </c>
      <c r="L83" s="46">
        <f>CurrentMtgRatesDataTable934[[#This Row],[Top 1 Amount]]/CurrentMtgRatesDataTable934[[#This Row],[Total Amount]]</f>
        <v>0.2019767615646616</v>
      </c>
      <c r="M83" s="46">
        <f>CurrentMtgRatesDataTable934[[#This Row],[N/A Amount]]/CurrentMtgRatesDataTable934[[#This Row],[Total Amount]]</f>
        <v>2.1961340971745315E-2</v>
      </c>
      <c r="N83" s="48">
        <f t="shared" si="2"/>
        <v>0</v>
      </c>
    </row>
    <row r="84" spans="3:14">
      <c r="C84" s="41">
        <v>39630</v>
      </c>
      <c r="D84" s="42">
        <v>29055254325.32</v>
      </c>
      <c r="E84" s="47">
        <f>IF(C84&lt;=DateToChangeLag,VLOOKUP(C84,'Result-lag'!$C$4:$H$100,2,0),VLOOKUP(C84,CurrentMtgRatesDataTable8[],2,0))</f>
        <v>29055254325.32</v>
      </c>
      <c r="F84" s="47">
        <f>IF($C84&lt;=DateToChangeLag,VLOOKUP($C84,'Result-lag'!$C$4:$I$100,3,0),VLOOKUP($C84,CurrentMtgRatesDataTable8[],3,0))</f>
        <v>24579644788.880005</v>
      </c>
      <c r="G84" s="47">
        <f>IF($C84&lt;=DateToChangeLag,VLOOKUP($C84,'Result-lag'!$C$4:$I$100,4,0),VLOOKUP($C84,CurrentMtgRatesDataTable8[],4,0))</f>
        <v>20600904938.459999</v>
      </c>
      <c r="H84" s="47">
        <f>IF($C84&lt;=DateToChangeLag,VLOOKUP($C84,'Result-lag'!$C$4:$I$100,5,0),VLOOKUP($C84,CurrentMtgRatesDataTable8[],5,0))</f>
        <v>6822327712.9200001</v>
      </c>
      <c r="I84" s="47">
        <f>IF($C84&lt;=DateToChangeLag,VLOOKUP($C84,'Result-lag'!$C$4:$I$100,6,0),VLOOKUP($C84,CurrentMtgRatesDataTable8[],6,0))</f>
        <v>705566089.94000006</v>
      </c>
      <c r="J84" s="46">
        <f>CurrentMtgRatesDataTable934[[#This Row],[Top 10 Amount]]/CurrentMtgRatesDataTable934[[#This Row],[Total Amount]]</f>
        <v>0.84596212835281381</v>
      </c>
      <c r="K84" s="46">
        <f>CurrentMtgRatesDataTable934[[#This Row],[Top 5 Amount]]/CurrentMtgRatesDataTable934[[#This Row],[Total Amount]]</f>
        <v>0.70902511152715963</v>
      </c>
      <c r="L84" s="46">
        <f>CurrentMtgRatesDataTable934[[#This Row],[Top 1 Amount]]/CurrentMtgRatesDataTable934[[#This Row],[Total Amount]]</f>
        <v>0.23480530015442783</v>
      </c>
      <c r="M84" s="46">
        <f>CurrentMtgRatesDataTable934[[#This Row],[N/A Amount]]/CurrentMtgRatesDataTable934[[#This Row],[Total Amount]]</f>
        <v>2.4283597109151421E-2</v>
      </c>
      <c r="N84" s="48">
        <f t="shared" si="2"/>
        <v>0</v>
      </c>
    </row>
    <row r="85" spans="3:14">
      <c r="C85" s="41">
        <v>39600</v>
      </c>
      <c r="D85" s="42">
        <v>30154595836.880001</v>
      </c>
      <c r="E85" s="47">
        <f>IF(C85&lt;=DateToChangeLag,VLOOKUP(C85,'Result-lag'!$C$4:$H$100,2,0),VLOOKUP(C85,CurrentMtgRatesDataTable8[],2,0))</f>
        <v>30154595836.880001</v>
      </c>
      <c r="F85" s="47">
        <f>IF($C85&lt;=DateToChangeLag,VLOOKUP($C85,'Result-lag'!$C$4:$I$100,3,0),VLOOKUP($C85,CurrentMtgRatesDataTable8[],3,0))</f>
        <v>25833038129.700005</v>
      </c>
      <c r="G85" s="47">
        <f>IF($C85&lt;=DateToChangeLag,VLOOKUP($C85,'Result-lag'!$C$4:$I$100,4,0),VLOOKUP($C85,CurrentMtgRatesDataTable8[],4,0))</f>
        <v>21188136959.960003</v>
      </c>
      <c r="H85" s="47">
        <f>IF($C85&lt;=DateToChangeLag,VLOOKUP($C85,'Result-lag'!$C$4:$I$100,5,0),VLOOKUP($C85,CurrentMtgRatesDataTable8[],5,0))</f>
        <v>6834874504.6000004</v>
      </c>
      <c r="I85" s="47">
        <f>IF($C85&lt;=DateToChangeLag,VLOOKUP($C85,'Result-lag'!$C$4:$I$100,6,0),VLOOKUP($C85,CurrentMtgRatesDataTable8[],6,0))</f>
        <v>759909181</v>
      </c>
      <c r="J85" s="46">
        <f>CurrentMtgRatesDataTable934[[#This Row],[Top 10 Amount]]/CurrentMtgRatesDataTable934[[#This Row],[Total Amount]]</f>
        <v>0.85668659826988636</v>
      </c>
      <c r="K85" s="46">
        <f>CurrentMtgRatesDataTable934[[#This Row],[Top 5 Amount]]/CurrentMtgRatesDataTable934[[#This Row],[Total Amount]]</f>
        <v>0.70265033809692978</v>
      </c>
      <c r="L85" s="46">
        <f>CurrentMtgRatesDataTable934[[#This Row],[Top 1 Amount]]/CurrentMtgRatesDataTable934[[#This Row],[Total Amount]]</f>
        <v>0.22666112129550542</v>
      </c>
      <c r="M85" s="46">
        <f>CurrentMtgRatesDataTable934[[#This Row],[N/A Amount]]/CurrentMtgRatesDataTable934[[#This Row],[Total Amount]]</f>
        <v>2.520044324622012E-2</v>
      </c>
      <c r="N85" s="48">
        <f t="shared" si="2"/>
        <v>0</v>
      </c>
    </row>
    <row r="86" spans="3:14">
      <c r="C86" s="37">
        <v>39569</v>
      </c>
      <c r="D86" s="17">
        <v>23353487150.25</v>
      </c>
      <c r="E86" s="43">
        <f>IF(C86&lt;=DateToChangeLag,VLOOKUP(C86,'Result-lag'!$C$4:$H$100,2,0),VLOOKUP(C86,CurrentMtgRatesDataTable8[],2,0))</f>
        <v>23353487150.25</v>
      </c>
      <c r="F86" s="43">
        <f>IF($C86&lt;=DateToChangeLag,VLOOKUP($C86,'Result-lag'!$C$4:$I$100,3,0),VLOOKUP($C86,CurrentMtgRatesDataTable8[],3,0))</f>
        <v>19741794646.82</v>
      </c>
      <c r="G86" s="43">
        <f>IF($C86&lt;=DateToChangeLag,VLOOKUP($C86,'Result-lag'!$C$4:$I$100,4,0),VLOOKUP($C86,CurrentMtgRatesDataTable8[],4,0))</f>
        <v>15812654388.58</v>
      </c>
      <c r="H86" s="43">
        <f>IF($C86&lt;=DateToChangeLag,VLOOKUP($C86,'Result-lag'!$C$4:$I$100,5,0),VLOOKUP($C86,CurrentMtgRatesDataTable8[],5,0))</f>
        <v>4941795296.04</v>
      </c>
      <c r="I86" s="43">
        <f>IF($C86&lt;=DateToChangeLag,VLOOKUP($C86,'Result-lag'!$C$4:$I$100,6,0),VLOOKUP($C86,CurrentMtgRatesDataTable8[],6,0))</f>
        <v>520442090.99000001</v>
      </c>
      <c r="J86" s="44">
        <f>CurrentMtgRatesDataTable934[[#This Row],[Top 10 Amount]]/CurrentMtgRatesDataTable934[[#This Row],[Total Amount]]</f>
        <v>0.84534675784419899</v>
      </c>
      <c r="K86" s="44">
        <f>CurrentMtgRatesDataTable934[[#This Row],[Top 5 Amount]]/CurrentMtgRatesDataTable934[[#This Row],[Total Amount]]</f>
        <v>0.67710035280151837</v>
      </c>
      <c r="L86" s="44">
        <f>CurrentMtgRatesDataTable934[[#This Row],[Top 1 Amount]]/CurrentMtgRatesDataTable934[[#This Row],[Total Amount]]</f>
        <v>0.21160845334342704</v>
      </c>
      <c r="M86" s="44">
        <f>CurrentMtgRatesDataTable934[[#This Row],[N/A Amount]]/CurrentMtgRatesDataTable934[[#This Row],[Total Amount]]</f>
        <v>2.228541235155233E-2</v>
      </c>
      <c r="N86" s="49">
        <f t="shared" si="2"/>
        <v>0</v>
      </c>
    </row>
    <row r="87" spans="3:14">
      <c r="C87" s="37">
        <v>39539</v>
      </c>
      <c r="D87" s="17">
        <v>20540122319.009998</v>
      </c>
      <c r="E87" s="43">
        <f>IF(C87&lt;=DateToChangeLag,VLOOKUP(C87,'Result-lag'!$C$4:$H$100,2,0),VLOOKUP(C87,CurrentMtgRatesDataTable8[],2,0))</f>
        <v>20540122319.009998</v>
      </c>
      <c r="F87" s="43">
        <f>IF($C87&lt;=DateToChangeLag,VLOOKUP($C87,'Result-lag'!$C$4:$I$100,3,0),VLOOKUP($C87,CurrentMtgRatesDataTable8[],3,0))</f>
        <v>17836824698.27</v>
      </c>
      <c r="G87" s="43">
        <f>IF($C87&lt;=DateToChangeLag,VLOOKUP($C87,'Result-lag'!$C$4:$I$100,4,0),VLOOKUP($C87,CurrentMtgRatesDataTable8[],4,0))</f>
        <v>14516045890.940002</v>
      </c>
      <c r="H87" s="43">
        <f>IF($C87&lt;=DateToChangeLag,VLOOKUP($C87,'Result-lag'!$C$4:$I$100,5,0),VLOOKUP($C87,CurrentMtgRatesDataTable8[],5,0))</f>
        <v>4623451382.9700003</v>
      </c>
      <c r="I87" s="43">
        <f>IF($C87&lt;=DateToChangeLag,VLOOKUP($C87,'Result-lag'!$C$4:$I$100,6,0),VLOOKUP($C87,CurrentMtgRatesDataTable8[],6,0))</f>
        <v>440480295.93000001</v>
      </c>
      <c r="J87" s="44">
        <f>CurrentMtgRatesDataTable934[[#This Row],[Top 10 Amount]]/CurrentMtgRatesDataTable934[[#This Row],[Total Amount]]</f>
        <v>0.86838940982166979</v>
      </c>
      <c r="K87" s="44">
        <f>CurrentMtgRatesDataTable934[[#This Row],[Top 5 Amount]]/CurrentMtgRatesDataTable934[[#This Row],[Total Amount]]</f>
        <v>0.70671662346943864</v>
      </c>
      <c r="L87" s="44">
        <f>CurrentMtgRatesDataTable934[[#This Row],[Top 1 Amount]]/CurrentMtgRatesDataTable934[[#This Row],[Total Amount]]</f>
        <v>0.22509366357039509</v>
      </c>
      <c r="M87" s="44">
        <f>CurrentMtgRatesDataTable934[[#This Row],[N/A Amount]]/CurrentMtgRatesDataTable934[[#This Row],[Total Amount]]</f>
        <v>2.144487209418091E-2</v>
      </c>
      <c r="N87" s="49">
        <f t="shared" si="2"/>
        <v>0</v>
      </c>
    </row>
    <row r="88" spans="3:14">
      <c r="C88" s="37">
        <v>39508</v>
      </c>
      <c r="D88" s="17">
        <v>16282064822.610001</v>
      </c>
      <c r="E88" s="43">
        <f>IF(C88&lt;=DateToChangeLag,VLOOKUP(C88,'Result-lag'!$C$4:$H$100,2,0),VLOOKUP(C88,CurrentMtgRatesDataTable8[],2,0))</f>
        <v>16282064822.610001</v>
      </c>
      <c r="F88" s="43">
        <f>IF($C88&lt;=DateToChangeLag,VLOOKUP($C88,'Result-lag'!$C$4:$I$100,3,0),VLOOKUP($C88,CurrentMtgRatesDataTable8[],3,0))</f>
        <v>13798702266.43</v>
      </c>
      <c r="G88" s="43">
        <f>IF($C88&lt;=DateToChangeLag,VLOOKUP($C88,'Result-lag'!$C$4:$I$100,4,0),VLOOKUP($C88,CurrentMtgRatesDataTable8[],4,0))</f>
        <v>11303577377.16</v>
      </c>
      <c r="H88" s="43">
        <f>IF($C88&lt;=DateToChangeLag,VLOOKUP($C88,'Result-lag'!$C$4:$I$100,5,0),VLOOKUP($C88,CurrentMtgRatesDataTable8[],5,0))</f>
        <v>3560147160.0799999</v>
      </c>
      <c r="I88" s="43">
        <f>IF($C88&lt;=DateToChangeLag,VLOOKUP($C88,'Result-lag'!$C$4:$I$100,6,0),VLOOKUP($C88,CurrentMtgRatesDataTable8[],6,0))</f>
        <v>395765908.26999998</v>
      </c>
      <c r="J88" s="44">
        <f>CurrentMtgRatesDataTable934[[#This Row],[Top 10 Amount]]/CurrentMtgRatesDataTable934[[#This Row],[Total Amount]]</f>
        <v>0.84747864701217179</v>
      </c>
      <c r="K88" s="44">
        <f>CurrentMtgRatesDataTable934[[#This Row],[Top 5 Amount]]/CurrentMtgRatesDataTable934[[#This Row],[Total Amount]]</f>
        <v>0.69423488361644092</v>
      </c>
      <c r="L88" s="44">
        <f>CurrentMtgRatesDataTable934[[#This Row],[Top 1 Amount]]/CurrentMtgRatesDataTable934[[#This Row],[Total Amount]]</f>
        <v>0.21865452563093971</v>
      </c>
      <c r="M88" s="44">
        <f>CurrentMtgRatesDataTable934[[#This Row],[N/A Amount]]/CurrentMtgRatesDataTable934[[#This Row],[Total Amount]]</f>
        <v>2.4306862340974213E-2</v>
      </c>
      <c r="N88" s="49">
        <f t="shared" si="2"/>
        <v>0</v>
      </c>
    </row>
    <row r="89" spans="3:14">
      <c r="C89" s="37">
        <v>39479</v>
      </c>
      <c r="D89" s="17">
        <v>12940973043.82</v>
      </c>
      <c r="E89" s="43">
        <f>IF(C89&lt;=DateToChangeLag,VLOOKUP(C89,'Result-lag'!$C$4:$H$100,2,0),VLOOKUP(C89,CurrentMtgRatesDataTable8[],2,0))</f>
        <v>12940973043.82</v>
      </c>
      <c r="F89" s="43">
        <f>IF($C89&lt;=DateToChangeLag,VLOOKUP($C89,'Result-lag'!$C$4:$I$100,3,0),VLOOKUP($C89,CurrentMtgRatesDataTable8[],3,0))</f>
        <v>10960147633.5</v>
      </c>
      <c r="G89" s="43">
        <f>IF($C89&lt;=DateToChangeLag,VLOOKUP($C89,'Result-lag'!$C$4:$I$100,4,0),VLOOKUP($C89,CurrentMtgRatesDataTable8[],4,0))</f>
        <v>8866585818.8600006</v>
      </c>
      <c r="H89" s="43">
        <f>IF($C89&lt;=DateToChangeLag,VLOOKUP($C89,'Result-lag'!$C$4:$I$100,5,0),VLOOKUP($C89,CurrentMtgRatesDataTable8[],5,0))</f>
        <v>2482933120.71</v>
      </c>
      <c r="I89" s="43">
        <f>IF($C89&lt;=DateToChangeLag,VLOOKUP($C89,'Result-lag'!$C$4:$I$100,6,0),VLOOKUP($C89,CurrentMtgRatesDataTable8[],6,0))</f>
        <v>208243955.68000001</v>
      </c>
      <c r="J89" s="44">
        <f>CurrentMtgRatesDataTable934[[#This Row],[Top 10 Amount]]/CurrentMtgRatesDataTable934[[#This Row],[Total Amount]]</f>
        <v>0.84693381219382502</v>
      </c>
      <c r="K89" s="44">
        <f>CurrentMtgRatesDataTable934[[#This Row],[Top 5 Amount]]/CurrentMtgRatesDataTable934[[#This Row],[Total Amount]]</f>
        <v>0.68515603802252456</v>
      </c>
      <c r="L89" s="44">
        <f>CurrentMtgRatesDataTable934[[#This Row],[Top 1 Amount]]/CurrentMtgRatesDataTable934[[#This Row],[Total Amount]]</f>
        <v>0.19186602988063037</v>
      </c>
      <c r="M89" s="44">
        <f>CurrentMtgRatesDataTable934[[#This Row],[N/A Amount]]/CurrentMtgRatesDataTable934[[#This Row],[Total Amount]]</f>
        <v>1.609183134644172E-2</v>
      </c>
      <c r="N89" s="49">
        <f t="shared" si="2"/>
        <v>0</v>
      </c>
    </row>
    <row r="90" spans="3:14">
      <c r="C90" s="37">
        <v>39448</v>
      </c>
      <c r="D90" s="17">
        <v>13369802473.17</v>
      </c>
      <c r="E90" s="43">
        <f>IF(C90&lt;=DateToChangeLag,VLOOKUP(C90,'Result-lag'!$C$4:$H$100,2,0),VLOOKUP(C90,CurrentMtgRatesDataTable8[],2,0))</f>
        <v>13369802473.17</v>
      </c>
      <c r="F90" s="43">
        <f>IF($C90&lt;=DateToChangeLag,VLOOKUP($C90,'Result-lag'!$C$4:$I$100,3,0),VLOOKUP($C90,CurrentMtgRatesDataTable8[],3,0))</f>
        <v>11576202368.27</v>
      </c>
      <c r="G90" s="43">
        <f>IF($C90&lt;=DateToChangeLag,VLOOKUP($C90,'Result-lag'!$C$4:$I$100,4,0),VLOOKUP($C90,CurrentMtgRatesDataTable8[],4,0))</f>
        <v>9595662918.3299999</v>
      </c>
      <c r="H90" s="43">
        <f>IF($C90&lt;=DateToChangeLag,VLOOKUP($C90,'Result-lag'!$C$4:$I$100,5,0),VLOOKUP($C90,CurrentMtgRatesDataTable8[],5,0))</f>
        <v>2683651040.4299998</v>
      </c>
      <c r="I90" s="43">
        <f>IF($C90&lt;=DateToChangeLag,VLOOKUP($C90,'Result-lag'!$C$4:$I$100,6,0),VLOOKUP($C90,CurrentMtgRatesDataTable8[],6,0))</f>
        <v>298768104.70999998</v>
      </c>
      <c r="J90" s="44">
        <f>CurrentMtgRatesDataTable934[[#This Row],[Top 10 Amount]]/CurrentMtgRatesDataTable934[[#This Row],[Total Amount]]</f>
        <v>0.86584692567453214</v>
      </c>
      <c r="K90" s="44">
        <f>CurrentMtgRatesDataTable934[[#This Row],[Top 5 Amount]]/CurrentMtgRatesDataTable934[[#This Row],[Total Amount]]</f>
        <v>0.71771164440059632</v>
      </c>
      <c r="L90" s="44">
        <f>CurrentMtgRatesDataTable934[[#This Row],[Top 1 Amount]]/CurrentMtgRatesDataTable934[[#This Row],[Total Amount]]</f>
        <v>0.20072480844914847</v>
      </c>
      <c r="M90" s="44">
        <f>CurrentMtgRatesDataTable934[[#This Row],[N/A Amount]]/CurrentMtgRatesDataTable934[[#This Row],[Total Amount]]</f>
        <v>2.2346486068852266E-2</v>
      </c>
      <c r="N90" s="49">
        <f t="shared" si="2"/>
        <v>0</v>
      </c>
    </row>
    <row r="91" spans="3:14">
      <c r="C91" s="37">
        <v>39417</v>
      </c>
      <c r="D91" s="17">
        <v>12894178971.040001</v>
      </c>
      <c r="E91" s="43">
        <f>IF(C91&lt;=DateToChangeLag,VLOOKUP(C91,'Result-lag'!$C$4:$H$100,2,0),VLOOKUP(C91,CurrentMtgRatesDataTable8[],2,0))</f>
        <v>12894178971.040001</v>
      </c>
      <c r="F91" s="43">
        <f>IF($C91&lt;=DateToChangeLag,VLOOKUP($C91,'Result-lag'!$C$4:$I$100,3,0),VLOOKUP($C91,CurrentMtgRatesDataTable8[],3,0))</f>
        <v>10973397940.699999</v>
      </c>
      <c r="G91" s="43">
        <f>IF($C91&lt;=DateToChangeLag,VLOOKUP($C91,'Result-lag'!$C$4:$I$100,4,0),VLOOKUP($C91,CurrentMtgRatesDataTable8[],4,0))</f>
        <v>8596153165.3600006</v>
      </c>
      <c r="H91" s="43">
        <f>IF($C91&lt;=DateToChangeLag,VLOOKUP($C91,'Result-lag'!$C$4:$I$100,5,0),VLOOKUP($C91,CurrentMtgRatesDataTable8[],5,0))</f>
        <v>2610711823.8800001</v>
      </c>
      <c r="I91" s="43">
        <f>IF($C91&lt;=DateToChangeLag,VLOOKUP($C91,'Result-lag'!$C$4:$I$100,6,0),VLOOKUP($C91,CurrentMtgRatesDataTable8[],6,0))</f>
        <v>319362257.64999998</v>
      </c>
      <c r="J91" s="44">
        <f>CurrentMtgRatesDataTable934[[#This Row],[Top 10 Amount]]/CurrentMtgRatesDataTable934[[#This Row],[Total Amount]]</f>
        <v>0.85103502637476747</v>
      </c>
      <c r="K91" s="44">
        <f>CurrentMtgRatesDataTable934[[#This Row],[Top 5 Amount]]/CurrentMtgRatesDataTable934[[#This Row],[Total Amount]]</f>
        <v>0.66666929198568925</v>
      </c>
      <c r="L91" s="44">
        <f>CurrentMtgRatesDataTable934[[#This Row],[Top 1 Amount]]/CurrentMtgRatesDataTable934[[#This Row],[Total Amount]]</f>
        <v>0.20247212558035627</v>
      </c>
      <c r="M91" s="44">
        <f>CurrentMtgRatesDataTable934[[#This Row],[N/A Amount]]/CurrentMtgRatesDataTable934[[#This Row],[Total Amount]]</f>
        <v>2.4767940507672455E-2</v>
      </c>
      <c r="N91" s="49">
        <f t="shared" si="2"/>
        <v>0</v>
      </c>
    </row>
    <row r="92" spans="3:14">
      <c r="C92" s="37">
        <v>39387</v>
      </c>
      <c r="D92" s="17">
        <v>11306432081.23</v>
      </c>
      <c r="E92" s="43">
        <f>IF(C92&lt;=DateToChangeLag,VLOOKUP(C92,'Result-lag'!$C$4:$H$100,2,0),VLOOKUP(C92,CurrentMtgRatesDataTable8[],2,0))</f>
        <v>11306432081.23</v>
      </c>
      <c r="F92" s="43">
        <f>IF($C92&lt;=DateToChangeLag,VLOOKUP($C92,'Result-lag'!$C$4:$I$100,3,0),VLOOKUP($C92,CurrentMtgRatesDataTable8[],3,0))</f>
        <v>9448859486.9599991</v>
      </c>
      <c r="G92" s="43">
        <f>IF($C92&lt;=DateToChangeLag,VLOOKUP($C92,'Result-lag'!$C$4:$I$100,4,0),VLOOKUP($C92,CurrentMtgRatesDataTable8[],4,0))</f>
        <v>7178740230.6700001</v>
      </c>
      <c r="H92" s="43">
        <f>IF($C92&lt;=DateToChangeLag,VLOOKUP($C92,'Result-lag'!$C$4:$I$100,5,0),VLOOKUP($C92,CurrentMtgRatesDataTable8[],5,0))</f>
        <v>2053183704.1099999</v>
      </c>
      <c r="I92" s="43">
        <f>IF($C92&lt;=DateToChangeLag,VLOOKUP($C92,'Result-lag'!$C$4:$I$100,6,0),VLOOKUP($C92,CurrentMtgRatesDataTable8[],6,0))</f>
        <v>290528812.44</v>
      </c>
      <c r="J92" s="44">
        <f>CurrentMtgRatesDataTable934[[#This Row],[Top 10 Amount]]/CurrentMtgRatesDataTable934[[#This Row],[Total Amount]]</f>
        <v>0.83570656234217433</v>
      </c>
      <c r="K92" s="44">
        <f>CurrentMtgRatesDataTable934[[#This Row],[Top 5 Amount]]/CurrentMtgRatesDataTable934[[#This Row],[Total Amount]]</f>
        <v>0.63492533976191734</v>
      </c>
      <c r="L92" s="44">
        <f>CurrentMtgRatesDataTable934[[#This Row],[Top 1 Amount]]/CurrentMtgRatesDataTable934[[#This Row],[Total Amount]]</f>
        <v>0.18159430750205674</v>
      </c>
      <c r="M92" s="44">
        <f>CurrentMtgRatesDataTable934[[#This Row],[N/A Amount]]/CurrentMtgRatesDataTable934[[#This Row],[Total Amount]]</f>
        <v>2.5695888000097911E-2</v>
      </c>
      <c r="N92" s="49">
        <f t="shared" si="2"/>
        <v>0</v>
      </c>
    </row>
    <row r="93" spans="3:14">
      <c r="C93" s="37">
        <v>39356</v>
      </c>
      <c r="D93" s="17">
        <v>11035046591.9</v>
      </c>
      <c r="E93" s="43">
        <f>IF(C93&lt;=DateToChangeLag,VLOOKUP(C93,'Result-lag'!$C$4:$H$100,2,0),VLOOKUP(C93,CurrentMtgRatesDataTable8[],2,0))</f>
        <v>11035046591.9</v>
      </c>
      <c r="F93" s="43">
        <f>IF($C93&lt;=DateToChangeLag,VLOOKUP($C93,'Result-lag'!$C$4:$I$100,3,0),VLOOKUP($C93,CurrentMtgRatesDataTable8[],3,0))</f>
        <v>9326868083.7999992</v>
      </c>
      <c r="G93" s="43">
        <f>IF($C93&lt;=DateToChangeLag,VLOOKUP($C93,'Result-lag'!$C$4:$I$100,4,0),VLOOKUP($C93,CurrentMtgRatesDataTable8[],4,0))</f>
        <v>7162808102.2799997</v>
      </c>
      <c r="H93" s="43">
        <f>IF($C93&lt;=DateToChangeLag,VLOOKUP($C93,'Result-lag'!$C$4:$I$100,5,0),VLOOKUP($C93,CurrentMtgRatesDataTable8[],5,0))</f>
        <v>1942871547.53</v>
      </c>
      <c r="I93" s="43">
        <f>IF($C93&lt;=DateToChangeLag,VLOOKUP($C93,'Result-lag'!$C$4:$I$100,6,0),VLOOKUP($C93,CurrentMtgRatesDataTable8[],6,0))</f>
        <v>229923792.88999999</v>
      </c>
      <c r="J93" s="44">
        <f>CurrentMtgRatesDataTable934[[#This Row],[Top 10 Amount]]/CurrentMtgRatesDataTable934[[#This Row],[Total Amount]]</f>
        <v>0.8452042323632919</v>
      </c>
      <c r="K93" s="44">
        <f>CurrentMtgRatesDataTable934[[#This Row],[Top 5 Amount]]/CurrentMtgRatesDataTable934[[#This Row],[Total Amount]]</f>
        <v>0.64909631714085192</v>
      </c>
      <c r="L93" s="44">
        <f>CurrentMtgRatesDataTable934[[#This Row],[Top 1 Amount]]/CurrentMtgRatesDataTable934[[#This Row],[Total Amount]]</f>
        <v>0.17606373759727634</v>
      </c>
      <c r="M93" s="44">
        <f>CurrentMtgRatesDataTable934[[#This Row],[N/A Amount]]/CurrentMtgRatesDataTable934[[#This Row],[Total Amount]]</f>
        <v>2.0835779076707278E-2</v>
      </c>
      <c r="N93" s="49">
        <f t="shared" si="2"/>
        <v>0</v>
      </c>
    </row>
    <row r="94" spans="3:14">
      <c r="C94" s="37">
        <v>39326</v>
      </c>
      <c r="D94" s="17">
        <v>9677077155.4500008</v>
      </c>
      <c r="E94" s="43">
        <f>IF(C94&lt;=DateToChangeLag,VLOOKUP(C94,'Result-lag'!$C$4:$H$100,2,0),VLOOKUP(C94,CurrentMtgRatesDataTable8[],2,0))</f>
        <v>9677077155.4500008</v>
      </c>
      <c r="F94" s="43">
        <f>IF($C94&lt;=DateToChangeLag,VLOOKUP($C94,'Result-lag'!$C$4:$I$100,3,0),VLOOKUP($C94,CurrentMtgRatesDataTable8[],3,0))</f>
        <v>8170390845.2800007</v>
      </c>
      <c r="G94" s="43">
        <f>IF($C94&lt;=DateToChangeLag,VLOOKUP($C94,'Result-lag'!$C$4:$I$100,4,0),VLOOKUP($C94,CurrentMtgRatesDataTable8[],4,0))</f>
        <v>6529052107.9900007</v>
      </c>
      <c r="H94" s="43">
        <f>IF($C94&lt;=DateToChangeLag,VLOOKUP($C94,'Result-lag'!$C$4:$I$100,5,0),VLOOKUP($C94,CurrentMtgRatesDataTable8[],5,0))</f>
        <v>2100244827.6099999</v>
      </c>
      <c r="I94" s="43">
        <f>IF($C94&lt;=DateToChangeLag,VLOOKUP($C94,'Result-lag'!$C$4:$I$100,6,0),VLOOKUP($C94,CurrentMtgRatesDataTable8[],6,0))</f>
        <v>239972714.16</v>
      </c>
      <c r="J94" s="44">
        <f>CurrentMtgRatesDataTable934[[#This Row],[Top 10 Amount]]/CurrentMtgRatesDataTable934[[#This Row],[Total Amount]]</f>
        <v>0.84430357576290949</v>
      </c>
      <c r="K94" s="44">
        <f>CurrentMtgRatesDataTable934[[#This Row],[Top 5 Amount]]/CurrentMtgRatesDataTable934[[#This Row],[Total Amount]]</f>
        <v>0.67469257536227512</v>
      </c>
      <c r="L94" s="44">
        <f>CurrentMtgRatesDataTable934[[#This Row],[Top 1 Amount]]/CurrentMtgRatesDataTable934[[#This Row],[Total Amount]]</f>
        <v>0.21703297326994753</v>
      </c>
      <c r="M94" s="44">
        <f>CurrentMtgRatesDataTable934[[#This Row],[N/A Amount]]/CurrentMtgRatesDataTable934[[#This Row],[Total Amount]]</f>
        <v>2.4798057337473079E-2</v>
      </c>
      <c r="N94" s="49">
        <f t="shared" si="2"/>
        <v>0</v>
      </c>
    </row>
    <row r="95" spans="3:14">
      <c r="C95" s="37">
        <v>39295</v>
      </c>
      <c r="D95" s="17">
        <v>10881683753.610001</v>
      </c>
      <c r="E95" s="43">
        <f>IF(C95&lt;=DateToChangeLag,VLOOKUP(C95,'Result-lag'!$C$4:$H$100,2,0),VLOOKUP(C95,CurrentMtgRatesDataTable8[],2,0))</f>
        <v>10881683753.610001</v>
      </c>
      <c r="F95" s="43">
        <f>IF($C95&lt;=DateToChangeLag,VLOOKUP($C95,'Result-lag'!$C$4:$I$100,3,0),VLOOKUP($C95,CurrentMtgRatesDataTable8[],3,0))</f>
        <v>9249250882.0799999</v>
      </c>
      <c r="G95" s="43">
        <f>IF($C95&lt;=DateToChangeLag,VLOOKUP($C95,'Result-lag'!$C$4:$I$100,4,0),VLOOKUP($C95,CurrentMtgRatesDataTable8[],4,0))</f>
        <v>7040787872.7600002</v>
      </c>
      <c r="H95" s="43">
        <f>IF($C95&lt;=DateToChangeLag,VLOOKUP($C95,'Result-lag'!$C$4:$I$100,5,0),VLOOKUP($C95,CurrentMtgRatesDataTable8[],5,0))</f>
        <v>2199361792.6500001</v>
      </c>
      <c r="I95" s="43">
        <f>IF($C95&lt;=DateToChangeLag,VLOOKUP($C95,'Result-lag'!$C$4:$I$100,6,0),VLOOKUP($C95,CurrentMtgRatesDataTable8[],6,0))</f>
        <v>232657838.61000001</v>
      </c>
      <c r="J95" s="44">
        <f>CurrentMtgRatesDataTable934[[#This Row],[Top 10 Amount]]/CurrentMtgRatesDataTable934[[#This Row],[Total Amount]]</f>
        <v>0.84998343009293564</v>
      </c>
      <c r="K95" s="44">
        <f>CurrentMtgRatesDataTable934[[#This Row],[Top 5 Amount]]/CurrentMtgRatesDataTable934[[#This Row],[Total Amount]]</f>
        <v>0.64703110586394474</v>
      </c>
      <c r="L95" s="44">
        <f>CurrentMtgRatesDataTable934[[#This Row],[Top 1 Amount]]/CurrentMtgRatesDataTable934[[#This Row],[Total Amount]]</f>
        <v>0.20211594477925912</v>
      </c>
      <c r="M95" s="44">
        <f>CurrentMtgRatesDataTable934[[#This Row],[N/A Amount]]/CurrentMtgRatesDataTable934[[#This Row],[Total Amount]]</f>
        <v>2.1380683713843066E-2</v>
      </c>
      <c r="N95" s="49">
        <f t="shared" si="2"/>
        <v>0</v>
      </c>
    </row>
    <row r="96" spans="3:14">
      <c r="C96" s="37">
        <v>39203</v>
      </c>
      <c r="D96" s="17">
        <v>8101112006.8299999</v>
      </c>
      <c r="E96" s="43">
        <f>IF(C96&lt;=DateToChangeLag,VLOOKUP(C96,'Result-lag'!$C$4:$H$100,2,0),VLOOKUP(C96,CurrentMtgRatesDataTable8[],2,0))</f>
        <v>8101112006.8299999</v>
      </c>
      <c r="F96" s="43">
        <f>IF($C96&lt;=DateToChangeLag,VLOOKUP($C96,'Result-lag'!$C$4:$I$100,3,0),VLOOKUP($C96,CurrentMtgRatesDataTable8[],3,0))</f>
        <v>6627094777.0699997</v>
      </c>
      <c r="G96" s="43">
        <f>IF($C96&lt;=DateToChangeLag,VLOOKUP($C96,'Result-lag'!$C$4:$I$100,4,0),VLOOKUP($C96,CurrentMtgRatesDataTable8[],4,0))</f>
        <v>5203595070.6300011</v>
      </c>
      <c r="H96" s="43">
        <f>IF($C96&lt;=DateToChangeLag,VLOOKUP($C96,'Result-lag'!$C$4:$I$100,5,0),VLOOKUP($C96,CurrentMtgRatesDataTable8[],5,0))</f>
        <v>1527666445.4200001</v>
      </c>
      <c r="I96" s="43">
        <f>IF($C96&lt;=DateToChangeLag,VLOOKUP($C96,'Result-lag'!$C$4:$I$100,6,0),VLOOKUP($C96,CurrentMtgRatesDataTable8[],6,0))</f>
        <v>238043993.09</v>
      </c>
      <c r="J96" s="44">
        <f>CurrentMtgRatesDataTable934[[#This Row],[Top 10 Amount]]/CurrentMtgRatesDataTable934[[#This Row],[Total Amount]]</f>
        <v>0.81804754353263298</v>
      </c>
      <c r="K96" s="44">
        <f>CurrentMtgRatesDataTable934[[#This Row],[Top 5 Amount]]/CurrentMtgRatesDataTable934[[#This Row],[Total Amount]]</f>
        <v>0.64233096224850128</v>
      </c>
      <c r="L96" s="44">
        <f>CurrentMtgRatesDataTable934[[#This Row],[Top 1 Amount]]/CurrentMtgRatesDataTable934[[#This Row],[Total Amount]]</f>
        <v>0.18857490726359954</v>
      </c>
      <c r="M96" s="44">
        <f>CurrentMtgRatesDataTable934[[#This Row],[N/A Amount]]/CurrentMtgRatesDataTable934[[#This Row],[Total Amount]]</f>
        <v>2.9384113303125115E-2</v>
      </c>
      <c r="N96" s="49">
        <f t="shared" si="2"/>
        <v>0</v>
      </c>
    </row>
    <row r="97" spans="3:14">
      <c r="C97" s="37">
        <v>39173</v>
      </c>
      <c r="D97" s="17">
        <v>7089655690.1199999</v>
      </c>
      <c r="E97" s="43">
        <f>IF(C97&lt;=DateToChangeLag,VLOOKUP(C97,'Result-lag'!$C$4:$H$100,2,0),VLOOKUP(C97,CurrentMtgRatesDataTable8[],2,0))</f>
        <v>7089655690.1199999</v>
      </c>
      <c r="F97" s="43">
        <f>IF($C97&lt;=DateToChangeLag,VLOOKUP($C97,'Result-lag'!$C$4:$I$100,3,0),VLOOKUP($C97,CurrentMtgRatesDataTable8[],3,0))</f>
        <v>5752688319.5200014</v>
      </c>
      <c r="G97" s="43">
        <f>IF($C97&lt;=DateToChangeLag,VLOOKUP($C97,'Result-lag'!$C$4:$I$100,4,0),VLOOKUP($C97,CurrentMtgRatesDataTable8[],4,0))</f>
        <v>4308137234.5500002</v>
      </c>
      <c r="H97" s="43">
        <f>IF($C97&lt;=DateToChangeLag,VLOOKUP($C97,'Result-lag'!$C$4:$I$100,5,0),VLOOKUP($C97,CurrentMtgRatesDataTable8[],5,0))</f>
        <v>1386094463.95</v>
      </c>
      <c r="I97" s="43">
        <f>IF($C97&lt;=DateToChangeLag,VLOOKUP($C97,'Result-lag'!$C$4:$I$100,6,0),VLOOKUP($C97,CurrentMtgRatesDataTable8[],6,0))</f>
        <v>191776417.93000001</v>
      </c>
      <c r="J97" s="44">
        <f>CurrentMtgRatesDataTable934[[#This Row],[Top 10 Amount]]/CurrentMtgRatesDataTable934[[#This Row],[Total Amount]]</f>
        <v>0.81141998581635366</v>
      </c>
      <c r="K97" s="44">
        <f>CurrentMtgRatesDataTable934[[#This Row],[Top 5 Amount]]/CurrentMtgRatesDataTable934[[#This Row],[Total Amount]]</f>
        <v>0.60766522703686909</v>
      </c>
      <c r="L97" s="44">
        <f>CurrentMtgRatesDataTable934[[#This Row],[Top 1 Amount]]/CurrentMtgRatesDataTable934[[#This Row],[Total Amount]]</f>
        <v>0.19550941886806056</v>
      </c>
      <c r="M97" s="44">
        <f>CurrentMtgRatesDataTable934[[#This Row],[N/A Amount]]/CurrentMtgRatesDataTable934[[#This Row],[Total Amount]]</f>
        <v>2.7050173705509526E-2</v>
      </c>
      <c r="N97" s="49">
        <f t="shared" si="2"/>
        <v>0</v>
      </c>
    </row>
    <row r="98" spans="3:14">
      <c r="C98" s="59">
        <v>39142</v>
      </c>
      <c r="D98" s="60">
        <v>6493191731.1199999</v>
      </c>
      <c r="E98" s="61">
        <f>IF(C98&lt;=DateToChangeLag,VLOOKUP(C98,'Result-lag'!$C$4:$H$100,2,0),VLOOKUP(C98,CurrentMtgRatesDataTable8[],2,0))</f>
        <v>6493191731.1199999</v>
      </c>
      <c r="F98" s="61">
        <f>IF($C98&lt;=DateToChangeLag,VLOOKUP($C98,'Result-lag'!$C$4:$I$100,3,0),VLOOKUP($C98,CurrentMtgRatesDataTable8[],3,0))</f>
        <v>5236806934.5200005</v>
      </c>
      <c r="G98" s="61">
        <f>IF($C98&lt;=DateToChangeLag,VLOOKUP($C98,'Result-lag'!$C$4:$I$100,4,0),VLOOKUP($C98,CurrentMtgRatesDataTable8[],4,0))</f>
        <v>3885155136.0299997</v>
      </c>
      <c r="H98" s="61">
        <f>IF($C98&lt;=DateToChangeLag,VLOOKUP($C98,'Result-lag'!$C$4:$I$100,5,0),VLOOKUP($C98,CurrentMtgRatesDataTable8[],5,0))</f>
        <v>1136163344.1300001</v>
      </c>
      <c r="I98" s="61">
        <f>IF($C98&lt;=DateToChangeLag,VLOOKUP($C98,'Result-lag'!$C$4:$I$100,6,0),VLOOKUP($C98,CurrentMtgRatesDataTable8[],6,0))</f>
        <v>188646991.65000001</v>
      </c>
      <c r="J98" s="62">
        <f>CurrentMtgRatesDataTable934[[#This Row],[Top 10 Amount]]/CurrentMtgRatesDataTable934[[#This Row],[Total Amount]]</f>
        <v>0.80650736207610985</v>
      </c>
      <c r="K98" s="62">
        <f>CurrentMtgRatesDataTable934[[#This Row],[Top 5 Amount]]/CurrentMtgRatesDataTable934[[#This Row],[Total Amount]]</f>
        <v>0.59834289466758994</v>
      </c>
      <c r="L98" s="62">
        <f>CurrentMtgRatesDataTable934[[#This Row],[Top 1 Amount]]/CurrentMtgRatesDataTable934[[#This Row],[Total Amount]]</f>
        <v>0.17497763675831349</v>
      </c>
      <c r="M98" s="62">
        <f>CurrentMtgRatesDataTable934[[#This Row],[N/A Amount]]/CurrentMtgRatesDataTable934[[#This Row],[Total Amount]]</f>
        <v>2.9053045014190673E-2</v>
      </c>
      <c r="N98" s="63">
        <f t="shared" si="2"/>
        <v>0</v>
      </c>
    </row>
    <row r="99" spans="3:14">
      <c r="C99" s="37">
        <v>39114</v>
      </c>
      <c r="D99" s="17">
        <v>5928159958.2299995</v>
      </c>
      <c r="E99" s="43">
        <f>IF(C99&lt;=DateToChangeLag,VLOOKUP(C99,'Result-lag'!$C$4:$H$100,2,0),VLOOKUP(C99,CurrentMtgRatesDataTable8[],2,0))</f>
        <v>5928159958.2299995</v>
      </c>
      <c r="F99" s="43">
        <f>IF($C99&lt;=DateToChangeLag,VLOOKUP($C99,'Result-lag'!$C$4:$I$100,3,0),VLOOKUP($C99,CurrentMtgRatesDataTable8[],3,0))</f>
        <v>4819569329.3100004</v>
      </c>
      <c r="G99" s="43">
        <f>IF($C99&lt;=DateToChangeLag,VLOOKUP($C99,'Result-lag'!$C$4:$I$100,4,0),VLOOKUP($C99,CurrentMtgRatesDataTable8[],4,0))</f>
        <v>3707608545.3900003</v>
      </c>
      <c r="H99" s="43">
        <f>IF($C99&lt;=DateToChangeLag,VLOOKUP($C99,'Result-lag'!$C$4:$I$100,5,0),VLOOKUP($C99,CurrentMtgRatesDataTable8[],5,0))</f>
        <v>1621110935.21</v>
      </c>
      <c r="I99" s="43">
        <f>IF($C99&lt;=DateToChangeLag,VLOOKUP($C99,'Result-lag'!$C$4:$I$100,6,0),VLOOKUP($C99,CurrentMtgRatesDataTable8[],6,0))</f>
        <v>142335784.97</v>
      </c>
      <c r="J99" s="44">
        <f>CurrentMtgRatesDataTable934[[#This Row],[Top 10 Amount]]/CurrentMtgRatesDataTable934[[#This Row],[Total Amount]]</f>
        <v>0.81299583062347114</v>
      </c>
      <c r="K99" s="44">
        <f>CurrentMtgRatesDataTable934[[#This Row],[Top 5 Amount]]/CurrentMtgRatesDataTable934[[#This Row],[Total Amount]]</f>
        <v>0.62542316191093461</v>
      </c>
      <c r="L99" s="44">
        <f>CurrentMtgRatesDataTable934[[#This Row],[Top 1 Amount]]/CurrentMtgRatesDataTable934[[#This Row],[Total Amount]]</f>
        <v>0.27345937805868908</v>
      </c>
      <c r="M99" s="44">
        <f>CurrentMtgRatesDataTable934[[#This Row],[N/A Amount]]/CurrentMtgRatesDataTable934[[#This Row],[Total Amount]]</f>
        <v>2.4010112070676635E-2</v>
      </c>
      <c r="N99" s="49">
        <f t="shared" si="2"/>
        <v>0</v>
      </c>
    </row>
    <row r="100" spans="3:14">
      <c r="C100" s="37">
        <v>39083</v>
      </c>
      <c r="D100" s="17">
        <v>7303999840.6899996</v>
      </c>
      <c r="E100" s="43">
        <f>IF(C100&lt;=DateToChangeLag,VLOOKUP(C100,'Result-lag'!$C$4:$H$100,2,0),VLOOKUP(C100,CurrentMtgRatesDataTable8[],2,0))</f>
        <v>7303999840.6899996</v>
      </c>
      <c r="F100" s="43">
        <f>IF($C100&lt;=DateToChangeLag,VLOOKUP($C100,'Result-lag'!$C$4:$I$100,3,0),VLOOKUP($C100,CurrentMtgRatesDataTable8[],3,0))</f>
        <v>5917837957.0899992</v>
      </c>
      <c r="G100" s="43">
        <f>IF($C100&lt;=DateToChangeLag,VLOOKUP($C100,'Result-lag'!$C$4:$I$100,4,0),VLOOKUP($C100,CurrentMtgRatesDataTable8[],4,0))</f>
        <v>4675271846</v>
      </c>
      <c r="H100" s="43">
        <f>IF($C100&lt;=DateToChangeLag,VLOOKUP($C100,'Result-lag'!$C$4:$I$100,5,0),VLOOKUP($C100,CurrentMtgRatesDataTable8[],5,0))</f>
        <v>1816782123.1800001</v>
      </c>
      <c r="I100" s="43">
        <f>IF($C100&lt;=DateToChangeLag,VLOOKUP($C100,'Result-lag'!$C$4:$I$100,6,0),VLOOKUP($C100,CurrentMtgRatesDataTable8[],6,0))</f>
        <v>208452413.78999999</v>
      </c>
      <c r="J100" s="44">
        <f>CurrentMtgRatesDataTable934[[#This Row],[Top 10 Amount]]/CurrentMtgRatesDataTable934[[#This Row],[Total Amount]]</f>
        <v>0.81021879602491187</v>
      </c>
      <c r="K100" s="44">
        <f>CurrentMtgRatesDataTable934[[#This Row],[Top 5 Amount]]/CurrentMtgRatesDataTable934[[#This Row],[Total Amount]]</f>
        <v>0.64009747370946446</v>
      </c>
      <c r="L100" s="44">
        <f>CurrentMtgRatesDataTable934[[#This Row],[Top 1 Amount]]/CurrentMtgRatesDataTable934[[#This Row],[Total Amount]]</f>
        <v>0.24873797409726819</v>
      </c>
      <c r="M100" s="44">
        <f>CurrentMtgRatesDataTable934[[#This Row],[N/A Amount]]/CurrentMtgRatesDataTable934[[#This Row],[Total Amount]]</f>
        <v>2.8539487724072533E-2</v>
      </c>
      <c r="N100" s="49">
        <f t="shared" si="2"/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topLeftCell="B1" workbookViewId="0">
      <selection activeCell="C49" sqref="C49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43</v>
      </c>
      <c r="E3" s="10" t="s">
        <v>48</v>
      </c>
      <c r="F3" s="10" t="s">
        <v>49</v>
      </c>
      <c r="G3" s="10" t="s">
        <v>50</v>
      </c>
      <c r="H3" s="10" t="s">
        <v>51</v>
      </c>
      <c r="I3" s="10" t="s">
        <v>52</v>
      </c>
      <c r="J3" s="10"/>
      <c r="K3" s="10"/>
      <c r="L3" s="10" t="s">
        <v>48</v>
      </c>
      <c r="M3" s="10" t="s">
        <v>49</v>
      </c>
      <c r="N3" s="10" t="s">
        <v>50</v>
      </c>
      <c r="O3" s="10" t="s">
        <v>51</v>
      </c>
      <c r="P3" s="10" t="s">
        <v>52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40280509023.150002</v>
      </c>
      <c r="F4" s="8">
        <f>VLOOKUP(C4,'Pivot - lag'!$I$4:$J$144,2,0)</f>
        <v>32982461525.719997</v>
      </c>
      <c r="G4" s="8">
        <f>VLOOKUP(C4,'Pivot - lag'!$M$3:$N$144,2,0)</f>
        <v>12068562737.24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0.82226979817186741</v>
      </c>
      <c r="M4" s="7">
        <f>F4/$D4</f>
        <v>0.67329044839970842</v>
      </c>
      <c r="N4" s="7">
        <f>G4/$D4</f>
        <v>0.24636269220112281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44459010974.660011</v>
      </c>
      <c r="F5" s="8">
        <f>VLOOKUP(C5,'Pivot - lag'!$I$4:$J$144,2,0)</f>
        <v>37335367110.779999</v>
      </c>
      <c r="G5" s="8">
        <f>VLOOKUP(C5,'Pivot - lag'!$M$3:$N$144,2,0)</f>
        <v>14906336717.870001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0.84759009584030343</v>
      </c>
      <c r="M5" s="7">
        <f t="shared" ref="M5:M34" si="3">F5/$D5</f>
        <v>0.71178118212515928</v>
      </c>
      <c r="N5" s="7">
        <f t="shared" ref="N5:N34" si="4">G5/$D5</f>
        <v>0.2841822858931442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39699963461.440002</v>
      </c>
      <c r="F6" s="8">
        <f>VLOOKUP(C6,'Pivot - lag'!$I$4:$J$144,2,0)</f>
        <v>31729643578.310001</v>
      </c>
      <c r="G6" s="8">
        <f>VLOOKUP(C6,'Pivot - lag'!$M$3:$N$144,2,0)</f>
        <v>11915399053.1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0.83128848355068297</v>
      </c>
      <c r="M6" s="7">
        <f t="shared" si="3"/>
        <v>0.66439575742773882</v>
      </c>
      <c r="N6" s="7">
        <f t="shared" si="4"/>
        <v>0.24949982685433592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44612018493.380005</v>
      </c>
      <c r="F7" s="8">
        <f>VLOOKUP(C7,'Pivot - lag'!$I$4:$J$144,2,0)</f>
        <v>36456608651.970001</v>
      </c>
      <c r="G7" s="8">
        <f>VLOOKUP(C7,'Pivot - lag'!$M$3:$N$144,2,0)</f>
        <v>13440547910.5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0.84909534807570508</v>
      </c>
      <c r="M7" s="7">
        <f t="shared" si="3"/>
        <v>0.69387438314627425</v>
      </c>
      <c r="N7" s="7">
        <f t="shared" si="4"/>
        <v>0.25581238177079269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45163385837.460007</v>
      </c>
      <c r="F8" s="8">
        <f>VLOOKUP(C8,'Pivot - lag'!$I$4:$J$144,2,0)</f>
        <v>38184312925.010002</v>
      </c>
      <c r="G8" s="8">
        <f>VLOOKUP(C8,'Pivot - lag'!$M$3:$N$144,2,0)</f>
        <v>14589989652.360001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0.82070296342721849</v>
      </c>
      <c r="M8" s="7">
        <f t="shared" si="3"/>
        <v>0.69388019062103157</v>
      </c>
      <c r="N8" s="7">
        <f t="shared" si="4"/>
        <v>0.26512732652857557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51753074291.699997</v>
      </c>
      <c r="F9" s="8">
        <f>VLOOKUP(C9,'Pivot - lag'!$I$4:$J$144,2,0)</f>
        <v>41821075321.049995</v>
      </c>
      <c r="G9" s="8">
        <f>VLOOKUP(C9,'Pivot - lag'!$M$3:$N$144,2,0)</f>
        <v>15230409440.049999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0.81128916874379287</v>
      </c>
      <c r="M9" s="7">
        <f t="shared" si="3"/>
        <v>0.65559362216724637</v>
      </c>
      <c r="N9" s="7">
        <f t="shared" si="4"/>
        <v>0.23875424568212444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54801492236.05999</v>
      </c>
      <c r="F10" s="8">
        <f>VLOOKUP(C10,'Pivot - lag'!$I$4:$J$144,2,0)</f>
        <v>45598191085.659996</v>
      </c>
      <c r="G10" s="8">
        <f>VLOOKUP(C10,'Pivot - lag'!$M$3:$N$144,2,0)</f>
        <v>17586653532.040001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0.82354532083684107</v>
      </c>
      <c r="M10" s="7">
        <f t="shared" si="3"/>
        <v>0.68524004319921961</v>
      </c>
      <c r="N10" s="7">
        <f t="shared" si="4"/>
        <v>0.26428853731030344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54076499065.469986</v>
      </c>
      <c r="F11" s="8">
        <f>VLOOKUP(C11,'Pivot - lag'!$I$4:$J$144,2,0)</f>
        <v>43577028327.099991</v>
      </c>
      <c r="G11" s="8">
        <f>VLOOKUP(C11,'Pivot - lag'!$M$3:$N$144,2,0)</f>
        <v>15188068031.41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0.80902255709518578</v>
      </c>
      <c r="M11" s="7">
        <f t="shared" si="3"/>
        <v>0.65194307133524076</v>
      </c>
      <c r="N11" s="7">
        <f t="shared" si="4"/>
        <v>0.22722420734431414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48436392044.020004</v>
      </c>
      <c r="F12" s="8">
        <f>VLOOKUP(C12,'Pivot - lag'!$I$4:$J$144,2,0)</f>
        <v>38360575429.730003</v>
      </c>
      <c r="G12" s="8">
        <f>VLOOKUP(C12,'Pivot - lag'!$M$3:$N$144,2,0)</f>
        <v>13829268759.76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0.82312204926633037</v>
      </c>
      <c r="M12" s="7">
        <f t="shared" si="3"/>
        <v>0.6518948692557156</v>
      </c>
      <c r="N12" s="7">
        <f t="shared" si="4"/>
        <v>0.23501288103876991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49150688193.139999</v>
      </c>
      <c r="F13" s="8">
        <f>VLOOKUP(C13,'Pivot - lag'!$I$4:$J$144,2,0)</f>
        <v>40189480222.099998</v>
      </c>
      <c r="G13" s="8">
        <f>VLOOKUP(C13,'Pivot - lag'!$M$3:$N$144,2,0)</f>
        <v>16061360740.030001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0.79633927432313689</v>
      </c>
      <c r="M13" s="7">
        <f t="shared" si="3"/>
        <v>0.65114981482513734</v>
      </c>
      <c r="N13" s="7">
        <f t="shared" si="4"/>
        <v>0.26022610926824746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47384230622.669998</v>
      </c>
      <c r="F14" s="8">
        <f>VLOOKUP(C14,'Pivot - lag'!$I$4:$J$144,2,0)</f>
        <v>37132352987.849998</v>
      </c>
      <c r="G14" s="8">
        <f>VLOOKUP(C14,'Pivot - lag'!$M$3:$N$144,2,0)</f>
        <v>13009808173.709999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0.83105304212478759</v>
      </c>
      <c r="M14" s="7">
        <f t="shared" si="3"/>
        <v>0.65124946646364579</v>
      </c>
      <c r="N14" s="7">
        <f t="shared" si="4"/>
        <v>0.22817381475112358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46640588044.619995</v>
      </c>
      <c r="F15" s="8">
        <f>VLOOKUP(C15,'Pivot - lag'!$I$4:$J$144,2,0)</f>
        <v>35423645321.739998</v>
      </c>
      <c r="G15" s="8">
        <f>VLOOKUP(C15,'Pivot - lag'!$M$3:$N$144,2,0)</f>
        <v>12603633651.940001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0.81340974207374728</v>
      </c>
      <c r="M15" s="7">
        <f t="shared" si="3"/>
        <v>0.61778676925991571</v>
      </c>
      <c r="N15" s="7">
        <f t="shared" si="4"/>
        <v>0.21980679978152803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65017340144.210007</v>
      </c>
      <c r="F16" s="8">
        <f>VLOOKUP(C16,'Pivot - lag'!$I$4:$J$144,2,0)</f>
        <v>52356321979.840004</v>
      </c>
      <c r="G16" s="8">
        <f>VLOOKUP(C16,'Pivot - lag'!$M$3:$N$144,2,0)</f>
        <v>19245031368.959999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0.84366917946716147</v>
      </c>
      <c r="M16" s="7">
        <f t="shared" si="3"/>
        <v>0.67937899499851695</v>
      </c>
      <c r="N16" s="7">
        <f t="shared" si="4"/>
        <v>0.24972476246886532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48202780379.819992</v>
      </c>
      <c r="F17" s="8">
        <f>VLOOKUP(C17,'Pivot - lag'!$I$4:$J$144,2,0)</f>
        <v>38429714675.949997</v>
      </c>
      <c r="G17" s="8">
        <f>VLOOKUP(C17,'Pivot - lag'!$M$3:$N$144,2,0)</f>
        <v>14202157043.27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0.81832322247960332</v>
      </c>
      <c r="M17" s="7">
        <f t="shared" si="3"/>
        <v>0.6524090043104801</v>
      </c>
      <c r="N17" s="7">
        <f t="shared" si="4"/>
        <v>0.24110548865093293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71980932056.040009</v>
      </c>
      <c r="F18" s="8">
        <f>VLOOKUP(C18,'Pivot - lag'!$I$4:$J$144,2,0)</f>
        <v>57933017059.870003</v>
      </c>
      <c r="G18" s="8">
        <f>VLOOKUP(C18,'Pivot - lag'!$M$3:$N$144,2,0)</f>
        <v>18869156796.220001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0.87473858884312328</v>
      </c>
      <c r="M18" s="7">
        <f t="shared" si="3"/>
        <v>0.70402319257163559</v>
      </c>
      <c r="N18" s="7">
        <f t="shared" si="4"/>
        <v>0.22930488835202725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47078096575.229996</v>
      </c>
      <c r="F19" s="8">
        <f>VLOOKUP(C19,'Pivot - lag'!$I$4:$J$144,2,0)</f>
        <v>37934628259.07</v>
      </c>
      <c r="G19" s="8">
        <f>VLOOKUP(C19,'Pivot - lag'!$M$3:$N$144,2,0)</f>
        <v>9926586445.7800007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0.82670438751832354</v>
      </c>
      <c r="M19" s="7">
        <f t="shared" si="3"/>
        <v>0.66614255677342116</v>
      </c>
      <c r="N19" s="7">
        <f t="shared" si="4"/>
        <v>0.17431360154276068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52635172551.659988</v>
      </c>
      <c r="F20" s="8">
        <f>VLOOKUP(C20,'Pivot - lag'!$I$4:$J$144,2,0)</f>
        <v>42014894318.319992</v>
      </c>
      <c r="G20" s="8">
        <f>VLOOKUP(C20,'Pivot - lag'!$M$3:$N$144,2,0)</f>
        <v>13677637389.280001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0.83333097378651533</v>
      </c>
      <c r="M20" s="7">
        <f t="shared" si="3"/>
        <v>0.6651885250582108</v>
      </c>
      <c r="N20" s="7">
        <f t="shared" si="4"/>
        <v>0.21654719329590358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61635508716.530006</v>
      </c>
      <c r="F21" s="8">
        <f>VLOOKUP(C21,'Pivot - lag'!$I$4:$J$144,2,0)</f>
        <v>50039968636.970001</v>
      </c>
      <c r="G21" s="8">
        <f>VLOOKUP(C21,'Pivot - lag'!$M$3:$N$144,2,0)</f>
        <v>16065557997.07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0.84894578515123986</v>
      </c>
      <c r="M21" s="7">
        <f t="shared" si="3"/>
        <v>0.68923290077531063</v>
      </c>
      <c r="N21" s="7">
        <f t="shared" si="4"/>
        <v>0.22128133654971505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45591009988.510002</v>
      </c>
      <c r="F22" s="8">
        <f>VLOOKUP(C22,'Pivot - lag'!$I$4:$J$144,2,0)</f>
        <v>38759941326.599998</v>
      </c>
      <c r="G22" s="8">
        <f>VLOOKUP(C22,'Pivot - lag'!$M$3:$N$144,2,0)</f>
        <v>12448685404.389999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0.81832029671621664</v>
      </c>
      <c r="M22" s="7">
        <f t="shared" si="3"/>
        <v>0.69570835774597106</v>
      </c>
      <c r="N22" s="7">
        <f t="shared" si="4"/>
        <v>0.22344343624794941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31436623958.66</v>
      </c>
      <c r="F23" s="8">
        <f>VLOOKUP(C23,'Pivot - lag'!$I$4:$J$144,2,0)</f>
        <v>25442840100.120003</v>
      </c>
      <c r="G23" s="8">
        <f>VLOOKUP(C23,'Pivot - lag'!$M$3:$N$144,2,0)</f>
        <v>6812598633.46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0.80813697680937824</v>
      </c>
      <c r="M23" s="7">
        <f t="shared" si="3"/>
        <v>0.654055597922794</v>
      </c>
      <c r="N23" s="7">
        <f t="shared" si="4"/>
        <v>0.17513053790699545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26526543059.549999</v>
      </c>
      <c r="F24" s="8">
        <f>VLOOKUP(C24,'Pivot - lag'!$I$4:$J$144,2,0)</f>
        <v>21598906300.810001</v>
      </c>
      <c r="G24" s="8">
        <f>VLOOKUP(C24,'Pivot - lag'!$M$3:$N$144,2,0)</f>
        <v>5479074775.4300003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0.81087076338181574</v>
      </c>
      <c r="M24" s="7">
        <f t="shared" si="3"/>
        <v>0.66024138920147801</v>
      </c>
      <c r="N24" s="7">
        <f t="shared" si="4"/>
        <v>0.16748588520581784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31358693679.060001</v>
      </c>
      <c r="F25" s="8">
        <f>VLOOKUP(C25,'Pivot - lag'!$I$4:$J$144,2,0)</f>
        <v>26005861056.07</v>
      </c>
      <c r="G25" s="8">
        <f>VLOOKUP(C25,'Pivot - lag'!$M$3:$N$144,2,0)</f>
        <v>7947690883.6099997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0.80451915645507011</v>
      </c>
      <c r="M25" s="7">
        <f t="shared" si="3"/>
        <v>0.66719020931947037</v>
      </c>
      <c r="N25" s="7">
        <f t="shared" si="4"/>
        <v>0.20390101803626007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27240025302.790001</v>
      </c>
      <c r="F26" s="8">
        <f>VLOOKUP(C26,'Pivot - lag'!$I$4:$J$144,2,0)</f>
        <v>20986628151.540001</v>
      </c>
      <c r="G26" s="8">
        <f>VLOOKUP(C26,'Pivot - lag'!$M$3:$N$144,2,0)</f>
        <v>6263865667.6599998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0.82973930552847597</v>
      </c>
      <c r="M26" s="7">
        <f t="shared" si="3"/>
        <v>0.63925896082261091</v>
      </c>
      <c r="N26" s="7">
        <f t="shared" si="4"/>
        <v>0.19079921884197154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20841409991.700005</v>
      </c>
      <c r="F27" s="8">
        <f>VLOOKUP(C27,'Pivot - lag'!$I$4:$J$144,2,0)</f>
        <v>16772316931.700003</v>
      </c>
      <c r="G27" s="8">
        <f>VLOOKUP(C27,'Pivot - lag'!$M$3:$N$144,2,0)</f>
        <v>5409841465.3100004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0.79373038543231456</v>
      </c>
      <c r="M27" s="7">
        <f t="shared" si="3"/>
        <v>0.63876184903482536</v>
      </c>
      <c r="N27" s="7">
        <f t="shared" si="4"/>
        <v>0.20602999284109241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32897715325.23</v>
      </c>
      <c r="F28" s="8">
        <f>VLOOKUP(C28,'Pivot - lag'!$I$4:$J$144,2,0)</f>
        <v>24624689128.59</v>
      </c>
      <c r="G28" s="8">
        <f>VLOOKUP(C28,'Pivot - lag'!$M$3:$N$144,2,0)</f>
        <v>8591092469.3799992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0.82061980589110017</v>
      </c>
      <c r="M28" s="7">
        <f t="shared" si="3"/>
        <v>0.61425261338238335</v>
      </c>
      <c r="N28" s="7">
        <f t="shared" si="4"/>
        <v>0.21430122319796135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17164701492.5</v>
      </c>
      <c r="F29" s="8">
        <f>VLOOKUP(C29,'Pivot - lag'!$I$4:$J$144,2,0)</f>
        <v>14158762603.860001</v>
      </c>
      <c r="G29" s="8">
        <f>VLOOKUP(C29,'Pivot - lag'!$M$3:$N$144,2,0)</f>
        <v>4307824965.3000002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0.7038161100840955</v>
      </c>
      <c r="M29" s="7">
        <f t="shared" si="3"/>
        <v>0.58056152178394227</v>
      </c>
      <c r="N29" s="7">
        <f t="shared" si="4"/>
        <v>0.1766367222480027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32646007910.57</v>
      </c>
      <c r="F30" s="8">
        <f>VLOOKUP(C30,'Pivot - lag'!$I$4:$J$144,2,0)</f>
        <v>27275317473.459999</v>
      </c>
      <c r="G30" s="8">
        <f>VLOOKUP(C30,'Pivot - lag'!$M$3:$N$144,2,0)</f>
        <v>9985509207.7099991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0.72946759080252876</v>
      </c>
      <c r="M30" s="7">
        <f t="shared" si="3"/>
        <v>0.60946073958699809</v>
      </c>
      <c r="N30" s="7">
        <f t="shared" si="4"/>
        <v>0.22312392267497616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68408727039.080009</v>
      </c>
      <c r="F31" s="8">
        <f>VLOOKUP(C31,'Pivot - lag'!$I$4:$J$144,2,0)</f>
        <v>59033003601.860008</v>
      </c>
      <c r="G31" s="8">
        <f>VLOOKUP(C31,'Pivot - lag'!$M$3:$N$144,2,0)</f>
        <v>21059327558.889999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0.7677108961387592</v>
      </c>
      <c r="M31" s="7">
        <f t="shared" si="3"/>
        <v>0.66249266809271756</v>
      </c>
      <c r="N31" s="7">
        <f t="shared" si="4"/>
        <v>0.23633644320086647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36074918280.239998</v>
      </c>
      <c r="F32" s="8">
        <f>VLOOKUP(C32,'Pivot - lag'!$I$4:$J$144,2,0)</f>
        <v>29187085765.059998</v>
      </c>
      <c r="G32" s="8">
        <f>VLOOKUP(C32,'Pivot - lag'!$M$3:$N$144,2,0)</f>
        <v>11006090698.6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0.64028607383387015</v>
      </c>
      <c r="M32" s="7">
        <f t="shared" si="3"/>
        <v>0.51803539528457054</v>
      </c>
      <c r="N32" s="7">
        <f t="shared" si="4"/>
        <v>0.19534476965194081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53760589759.599998</v>
      </c>
      <c r="F33" s="8">
        <f>VLOOKUP(C33,'Pivot - lag'!$I$4:$J$144,2,0)</f>
        <v>46530707556.220001</v>
      </c>
      <c r="G33" s="8">
        <f>VLOOKUP(C33,'Pivot - lag'!$M$3:$N$144,2,0)</f>
        <v>17966598426.119999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0.68540251907737237</v>
      </c>
      <c r="M33" s="7">
        <f t="shared" si="3"/>
        <v>0.59322757276468918</v>
      </c>
      <c r="N33" s="7">
        <f t="shared" si="4"/>
        <v>0.22905909097314606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39894122778.360001</v>
      </c>
      <c r="F34" s="8">
        <f>VLOOKUP(C34,'Pivot - lag'!$I$4:$J$144,2,0)</f>
        <v>34767572988.950005</v>
      </c>
      <c r="G34" s="8">
        <f>VLOOKUP(C34,'Pivot - lag'!$M$3:$N$144,2,0)</f>
        <v>14871497530.26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0.66841729368308134</v>
      </c>
      <c r="M34" s="7">
        <f t="shared" si="3"/>
        <v>0.58252307424613325</v>
      </c>
      <c r="N34" s="7">
        <f t="shared" si="4"/>
        <v>0.24916868550830817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39812999208.309998</v>
      </c>
      <c r="F35" s="8">
        <f>VLOOKUP(C35,'Pivot - lag'!$I$4:$J$144,2,0)</f>
        <v>36252925794.540001</v>
      </c>
      <c r="G35" s="8">
        <f>VLOOKUP(C35,'Pivot - lag'!$M$3:$N$144,2,0)</f>
        <v>15019540836.5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0.70607913097161878</v>
      </c>
      <c r="M35" s="7">
        <f t="shared" ref="M35:M66" si="7">F35/$D35</f>
        <v>0.64294162331896221</v>
      </c>
      <c r="N35" s="7">
        <f t="shared" ref="N35:N66" si="8">G35/$D35</f>
        <v>0.26636989305782133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27299803699.289993</v>
      </c>
      <c r="F36" s="8">
        <f>VLOOKUP(C36,'Pivot - lag'!$I$4:$J$144,2,0)</f>
        <v>23964218032.68</v>
      </c>
      <c r="G36" s="8">
        <f>VLOOKUP(C36,'Pivot - lag'!$M$3:$N$144,2,0)</f>
        <v>9801952065.9599991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0.72782691587093595</v>
      </c>
      <c r="M36" s="7">
        <f t="shared" si="7"/>
        <v>0.6388984731944346</v>
      </c>
      <c r="N36" s="7">
        <f t="shared" si="8"/>
        <v>0.26132512234393679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26456405845.639999</v>
      </c>
      <c r="F37" s="8">
        <f>VLOOKUP(C37,'Pivot - lag'!$I$4:$J$144,2,0)</f>
        <v>22409303287.959999</v>
      </c>
      <c r="G37" s="8">
        <f>VLOOKUP(C37,'Pivot - lag'!$M$3:$N$144,2,0)</f>
        <v>7919040750.3400002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0.72465753151748546</v>
      </c>
      <c r="M37" s="7">
        <f t="shared" si="7"/>
        <v>0.61380485688141773</v>
      </c>
      <c r="N37" s="7">
        <f t="shared" si="8"/>
        <v>0.21690748757067005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35319041802.149994</v>
      </c>
      <c r="F38" s="8">
        <f>VLOOKUP(C38,'Pivot - lag'!$I$4:$J$144,2,0)</f>
        <v>30473732956.160004</v>
      </c>
      <c r="G38" s="8">
        <f>VLOOKUP(C38,'Pivot - lag'!$M$3:$N$144,2,0)</f>
        <v>11776429345.26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0.7479507732683085</v>
      </c>
      <c r="M38" s="7">
        <f t="shared" si="7"/>
        <v>0.6453417467159126</v>
      </c>
      <c r="N38" s="7">
        <f t="shared" si="8"/>
        <v>0.24938925253036257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28320981212.270004</v>
      </c>
      <c r="F39" s="8">
        <f>VLOOKUP(C39,'Pivot - lag'!$I$4:$J$144,2,0)</f>
        <v>25122317383.700001</v>
      </c>
      <c r="G39" s="8">
        <f>VLOOKUP(C39,'Pivot - lag'!$M$3:$N$144,2,0)</f>
        <v>10182718045.91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0.7216283163555367</v>
      </c>
      <c r="M39" s="7">
        <f t="shared" si="7"/>
        <v>0.64012526475228637</v>
      </c>
      <c r="N39" s="7">
        <f t="shared" si="8"/>
        <v>0.25945914883095961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31459049797.27</v>
      </c>
      <c r="F40" s="8">
        <f>VLOOKUP(C40,'Pivot - lag'!$I$4:$J$144,2,0)</f>
        <v>28719429399.230003</v>
      </c>
      <c r="G40" s="8">
        <f>VLOOKUP(C40,'Pivot - lag'!$M$3:$N$144,2,0)</f>
        <v>10733753561.620001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0.77198987761874016</v>
      </c>
      <c r="M40" s="7">
        <f t="shared" si="7"/>
        <v>0.70476091713093048</v>
      </c>
      <c r="N40" s="7">
        <f t="shared" si="8"/>
        <v>0.26340112469461252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27234086431.32</v>
      </c>
      <c r="F41" s="8">
        <f>VLOOKUP(C41,'Pivot - lag'!$I$4:$J$144,2,0)</f>
        <v>24936256082.669998</v>
      </c>
      <c r="G41" s="8">
        <f>VLOOKUP(C41,'Pivot - lag'!$M$3:$N$144,2,0)</f>
        <v>8010432484.8699999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0.78950295541143867</v>
      </c>
      <c r="M41" s="7">
        <f t="shared" si="7"/>
        <v>0.72288996819528029</v>
      </c>
      <c r="N41" s="7">
        <f t="shared" si="8"/>
        <v>0.23221855217642162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26609020930.07</v>
      </c>
      <c r="F42" s="8">
        <f>VLOOKUP(C42,'Pivot - lag'!$I$4:$J$144,2,0)</f>
        <v>23855723365.02</v>
      </c>
      <c r="G42" s="8">
        <f>VLOOKUP(C42,'Pivot - lag'!$M$3:$N$144,2,0)</f>
        <v>9793443604.5200005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0.76989769902918825</v>
      </c>
      <c r="M42" s="7">
        <f t="shared" si="7"/>
        <v>0.69023458531878512</v>
      </c>
      <c r="N42" s="7">
        <f t="shared" si="8"/>
        <v>0.28336065864683552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26223578219.900002</v>
      </c>
      <c r="F43" s="8">
        <f>VLOOKUP(C43,'Pivot - lag'!$I$4:$J$144,2,0)</f>
        <v>23124403168.75</v>
      </c>
      <c r="G43" s="8">
        <f>VLOOKUP(C43,'Pivot - lag'!$M$3:$N$144,2,0)</f>
        <v>8799294787.6299992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0.77945106571302991</v>
      </c>
      <c r="M43" s="7">
        <f t="shared" si="7"/>
        <v>0.68733338153608714</v>
      </c>
      <c r="N43" s="7">
        <f t="shared" si="8"/>
        <v>0.26154400601732475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26520322604.389996</v>
      </c>
      <c r="F44" s="8">
        <f>VLOOKUP(C44,'Pivot - lag'!$I$4:$J$144,2,0)</f>
        <v>23335905743.639999</v>
      </c>
      <c r="G44" s="8">
        <f>VLOOKUP(C44,'Pivot - lag'!$M$3:$N$144,2,0)</f>
        <v>7934970468.3800001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0.7156254786099453</v>
      </c>
      <c r="M44" s="7">
        <f t="shared" si="7"/>
        <v>0.62969704274353655</v>
      </c>
      <c r="N44" s="7">
        <f t="shared" si="8"/>
        <v>0.21411757028363768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27609609986.340004</v>
      </c>
      <c r="F45" s="8">
        <f>VLOOKUP(C45,'Pivot - lag'!$I$4:$J$144,2,0)</f>
        <v>24661759514.200001</v>
      </c>
      <c r="G45" s="8">
        <f>VLOOKUP(C45,'Pivot - lag'!$M$3:$N$144,2,0)</f>
        <v>8650842881.4500008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0.70883899100929548</v>
      </c>
      <c r="M45" s="7">
        <f t="shared" si="7"/>
        <v>0.63315696017467626</v>
      </c>
      <c r="N45" s="7">
        <f t="shared" si="8"/>
        <v>0.22209856432238018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29617439853.449997</v>
      </c>
      <c r="F46" s="8">
        <f>VLOOKUP(C46,'Pivot - lag'!$I$4:$J$144,2,0)</f>
        <v>24683867685.949997</v>
      </c>
      <c r="G46" s="8">
        <f>VLOOKUP(C46,'Pivot - lag'!$M$3:$N$144,2,0)</f>
        <v>10264966285.639999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0.66959692627896616</v>
      </c>
      <c r="M46" s="7">
        <f t="shared" si="7"/>
        <v>0.55805775289735315</v>
      </c>
      <c r="N46" s="7">
        <f t="shared" si="8"/>
        <v>0.23207238394783508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48553977687.410004</v>
      </c>
      <c r="F47" s="8">
        <f>VLOOKUP(C47,'Pivot - lag'!$I$4:$J$144,2,0)</f>
        <v>41844668760.610001</v>
      </c>
      <c r="G47" s="8">
        <f>VLOOKUP(C47,'Pivot - lag'!$M$3:$N$144,2,0)</f>
        <v>12567511433.07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0.73036670298927497</v>
      </c>
      <c r="M47" s="7">
        <f t="shared" si="7"/>
        <v>0.62944282252470773</v>
      </c>
      <c r="N47" s="7">
        <f t="shared" si="8"/>
        <v>0.18904510664903632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43379866845</v>
      </c>
      <c r="F48" s="8">
        <f>VLOOKUP(C48,'Pivot - lag'!$I$4:$J$144,2,0)</f>
        <v>37014631071.25</v>
      </c>
      <c r="G48" s="8">
        <f>VLOOKUP(C48,'Pivot - lag'!$M$3:$N$144,2,0)</f>
        <v>13640971298.67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0.65579387630658992</v>
      </c>
      <c r="M48" s="7">
        <f t="shared" si="7"/>
        <v>0.5595676094859019</v>
      </c>
      <c r="N48" s="7">
        <f t="shared" si="8"/>
        <v>0.20621698716838782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43249158270.020004</v>
      </c>
      <c r="F49" s="8">
        <f>VLOOKUP(C49,'Pivot - lag'!$I$4:$J$144,2,0)</f>
        <v>35056160439.300003</v>
      </c>
      <c r="G49" s="8">
        <f>VLOOKUP(C49,'Pivot - lag'!$M$3:$N$144,2,0)</f>
        <v>12770630060.530001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0.62612998295673794</v>
      </c>
      <c r="M49" s="7">
        <f t="shared" si="7"/>
        <v>0.50751769552016823</v>
      </c>
      <c r="N49" s="7">
        <f t="shared" si="8"/>
        <v>0.18488393073974052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53353328128.620003</v>
      </c>
      <c r="F50" s="8">
        <f>VLOOKUP(C50,'Pivot - lag'!$I$4:$J$144,2,0)</f>
        <v>47334757648.860001</v>
      </c>
      <c r="G50" s="8">
        <f>VLOOKUP(C50,'Pivot - lag'!$M$3:$N$144,2,0)</f>
        <v>14069204024.26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0.67404582655922252</v>
      </c>
      <c r="M50" s="7">
        <f t="shared" si="7"/>
        <v>0.59800947688755879</v>
      </c>
      <c r="N50" s="7">
        <f t="shared" si="8"/>
        <v>0.17774501775598905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44854076167.450005</v>
      </c>
      <c r="F51" s="8">
        <f>VLOOKUP(C51,'Pivot - lag'!$I$4:$J$144,2,0)</f>
        <v>37868286535.940002</v>
      </c>
      <c r="G51" s="8">
        <f>VLOOKUP(C51,'Pivot - lag'!$M$3:$N$144,2,0)</f>
        <v>14638512908.190001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0.70343448670880093</v>
      </c>
      <c r="M51" s="7">
        <f t="shared" si="7"/>
        <v>0.59387821527091189</v>
      </c>
      <c r="N51" s="7">
        <f t="shared" si="8"/>
        <v>0.22957188495669772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35830274691.750008</v>
      </c>
      <c r="F52" s="8">
        <f>VLOOKUP(C52,'Pivot - lag'!$I$4:$J$144,2,0)</f>
        <v>30847095003.530003</v>
      </c>
      <c r="G52" s="8">
        <f>VLOOKUP(C52,'Pivot - lag'!$M$3:$N$144,2,0)</f>
        <v>12508600905.84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0.73305556458319487</v>
      </c>
      <c r="M52" s="7">
        <f t="shared" si="7"/>
        <v>0.63110413855606695</v>
      </c>
      <c r="N52" s="7">
        <f t="shared" si="8"/>
        <v>0.25591485351597654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36884767125.040001</v>
      </c>
      <c r="F53" s="8">
        <f>VLOOKUP(C53,'Pivot - lag'!$I$4:$J$144,2,0)</f>
        <v>31995951520.699997</v>
      </c>
      <c r="G53" s="8">
        <f>VLOOKUP(C53,'Pivot - lag'!$M$3:$N$144,2,0)</f>
        <v>9375011832.8899994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0.72670312561160377</v>
      </c>
      <c r="M53" s="7">
        <f t="shared" si="7"/>
        <v>0.63038375430667215</v>
      </c>
      <c r="N53" s="7">
        <f t="shared" si="8"/>
        <v>0.18470634174024339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21690523607.799999</v>
      </c>
      <c r="F54" s="8">
        <f>VLOOKUP(C54,'Pivot - lag'!$I$4:$J$144,2,0)</f>
        <v>18885096162.080002</v>
      </c>
      <c r="G54" s="8">
        <f>VLOOKUP(C54,'Pivot - lag'!$M$3:$N$144,2,0)</f>
        <v>7263200622.4200001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0.70412311819884632</v>
      </c>
      <c r="M54" s="7">
        <f t="shared" si="7"/>
        <v>0.61305264167744788</v>
      </c>
      <c r="N54" s="7">
        <f t="shared" si="8"/>
        <v>0.23577980701780243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20046661700.739998</v>
      </c>
      <c r="F55" s="8">
        <f>VLOOKUP(C55,'Pivot - lag'!$I$4:$J$144,2,0)</f>
        <v>17263633854.200001</v>
      </c>
      <c r="G55" s="8">
        <f>VLOOKUP(C55,'Pivot - lag'!$M$3:$N$144,2,0)</f>
        <v>6560805145.7200003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0.69906734837567486</v>
      </c>
      <c r="M55" s="7">
        <f t="shared" si="7"/>
        <v>0.60201757888390139</v>
      </c>
      <c r="N55" s="7">
        <f t="shared" si="8"/>
        <v>0.22878844991226946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23865091870.369999</v>
      </c>
      <c r="F56" s="8">
        <f>VLOOKUP(C56,'Pivot - lag'!$I$4:$J$144,2,0)</f>
        <v>20775371363.949997</v>
      </c>
      <c r="G56" s="8">
        <f>VLOOKUP(C56,'Pivot - lag'!$M$3:$N$144,2,0)</f>
        <v>7723507087.5699997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0.72803724129952629</v>
      </c>
      <c r="M56" s="7">
        <f t="shared" si="7"/>
        <v>0.63378109487029743</v>
      </c>
      <c r="N56" s="7">
        <f t="shared" si="8"/>
        <v>0.23561613857322325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19227300217.380001</v>
      </c>
      <c r="F57" s="8">
        <f>VLOOKUP(C57,'Pivot - lag'!$I$4:$J$144,2,0)</f>
        <v>16628425568.720001</v>
      </c>
      <c r="G57" s="8">
        <f>VLOOKUP(C57,'Pivot - lag'!$M$3:$N$144,2,0)</f>
        <v>5076597395.6099997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0.68268030583218564</v>
      </c>
      <c r="M57" s="7">
        <f t="shared" si="7"/>
        <v>0.59040523237371945</v>
      </c>
      <c r="N57" s="7">
        <f t="shared" si="8"/>
        <v>0.18024855405800505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24060651555.790005</v>
      </c>
      <c r="F58" s="8">
        <f>VLOOKUP(C58,'Pivot - lag'!$I$4:$J$144,2,0)</f>
        <v>20110317816.27</v>
      </c>
      <c r="G58" s="8">
        <f>VLOOKUP(C58,'Pivot - lag'!$M$3:$N$144,2,0)</f>
        <v>8026484432.2399998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0.67195896023622037</v>
      </c>
      <c r="M58" s="7">
        <f t="shared" si="7"/>
        <v>0.56163517511182515</v>
      </c>
      <c r="N58" s="7">
        <f t="shared" si="8"/>
        <v>0.2241613499507375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31033821212.829994</v>
      </c>
      <c r="F59" s="8">
        <f>VLOOKUP(C59,'Pivot - lag'!$I$4:$J$144,2,0)</f>
        <v>26646989296.510002</v>
      </c>
      <c r="G59" s="8">
        <f>VLOOKUP(C59,'Pivot - lag'!$M$3:$N$144,2,0)</f>
        <v>9630208171.6000004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0.70734096133000712</v>
      </c>
      <c r="M59" s="7">
        <f t="shared" si="7"/>
        <v>0.60735372857505066</v>
      </c>
      <c r="N59" s="7">
        <f t="shared" si="8"/>
        <v>0.21949732387745682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30575938219.929993</v>
      </c>
      <c r="F60" s="8">
        <f>VLOOKUP(C60,'Pivot - lag'!$I$4:$J$144,2,0)</f>
        <v>24414679942.879997</v>
      </c>
      <c r="G60" s="8">
        <f>VLOOKUP(C60,'Pivot - lag'!$M$3:$N$144,2,0)</f>
        <v>11686443131.879999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0.62715853156865475</v>
      </c>
      <c r="M60" s="7">
        <f t="shared" si="7"/>
        <v>0.50078184720149421</v>
      </c>
      <c r="N60" s="7">
        <f t="shared" si="8"/>
        <v>0.23970654509869141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39303489223.970001</v>
      </c>
      <c r="F61" s="8">
        <f>VLOOKUP(C61,'Pivot - lag'!$I$4:$J$144,2,0)</f>
        <v>33026093818.93</v>
      </c>
      <c r="G61" s="8">
        <f>VLOOKUP(C61,'Pivot - lag'!$M$3:$N$144,2,0)</f>
        <v>14402413671.309999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0.65160506996569434</v>
      </c>
      <c r="M61" s="7">
        <f t="shared" si="7"/>
        <v>0.54753332588225001</v>
      </c>
      <c r="N61" s="7">
        <f t="shared" si="8"/>
        <v>0.23877487605465297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48205975760.459999</v>
      </c>
      <c r="F62" s="8">
        <f>VLOOKUP(C62,'Pivot - lag'!$I$4:$J$144,2,0)</f>
        <v>42363665721.82</v>
      </c>
      <c r="G62" s="8">
        <f>VLOOKUP(C62,'Pivot - lag'!$M$3:$N$144,2,0)</f>
        <v>23209079451.07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0.66446746530531131</v>
      </c>
      <c r="M62" s="7">
        <f t="shared" si="7"/>
        <v>0.5839375127078773</v>
      </c>
      <c r="N62" s="7">
        <f t="shared" si="8"/>
        <v>0.31991216756100593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33866907694.779995</v>
      </c>
      <c r="F63" s="8">
        <f>VLOOKUP(C63,'Pivot - lag'!$I$4:$J$144,2,0)</f>
        <v>28594313516.580002</v>
      </c>
      <c r="G63" s="8">
        <f>VLOOKUP(C63,'Pivot - lag'!$M$3:$N$144,2,0)</f>
        <v>15050460727.190001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0.60413048031754624</v>
      </c>
      <c r="M63" s="7">
        <f t="shared" si="7"/>
        <v>0.51007598670676924</v>
      </c>
      <c r="N63" s="7">
        <f t="shared" si="8"/>
        <v>0.2684757093875183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31924805261.230003</v>
      </c>
      <c r="F64" s="8">
        <f>VLOOKUP(C64,'Pivot - lag'!$I$4:$J$144,2,0)</f>
        <v>26813941319.43</v>
      </c>
      <c r="G64" s="8">
        <f>VLOOKUP(C64,'Pivot - lag'!$M$3:$N$144,2,0)</f>
        <v>14049256877.940001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0.59323136576638857</v>
      </c>
      <c r="M64" s="7">
        <f t="shared" si="7"/>
        <v>0.49826055007523629</v>
      </c>
      <c r="N64" s="7">
        <f t="shared" si="8"/>
        <v>0.26106533078291561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56496777570.090012</v>
      </c>
      <c r="F65" s="8">
        <f>VLOOKUP(C65,'Pivot - lag'!$I$4:$J$144,2,0)</f>
        <v>49104945245.930008</v>
      </c>
      <c r="G65" s="8">
        <f>VLOOKUP(C65,'Pivot - lag'!$M$3:$N$144,2,0)</f>
        <v>30547686964.380001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0.66202813793798931</v>
      </c>
      <c r="M65" s="7">
        <f t="shared" si="7"/>
        <v>0.57541079089651459</v>
      </c>
      <c r="N65" s="7">
        <f t="shared" si="8"/>
        <v>0.35795720020052219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23767072920.790001</v>
      </c>
      <c r="F66" s="8">
        <f>VLOOKUP(C66,'Pivot - lag'!$I$4:$J$144,2,0)</f>
        <v>20413263787.060001</v>
      </c>
      <c r="G66" s="8">
        <f>VLOOKUP(C66,'Pivot - lag'!$M$3:$N$144,2,0)</f>
        <v>10497979104.360001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0.51827344247529805</v>
      </c>
      <c r="M66" s="7">
        <f t="shared" si="7"/>
        <v>0.44513905983860069</v>
      </c>
      <c r="N66" s="7">
        <f t="shared" si="8"/>
        <v>0.22892275323862449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38985406125.029999</v>
      </c>
      <c r="F67" s="8">
        <f>VLOOKUP(C67,'Pivot - lag'!$I$4:$J$144,2,0)</f>
        <v>33449699297.739998</v>
      </c>
      <c r="G67" s="8">
        <f>VLOOKUP(C67,'Pivot - lag'!$M$3:$N$144,2,0)</f>
        <v>20085553792.799999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0.60326406321066961</v>
      </c>
      <c r="M67" s="7">
        <f t="shared" ref="M67:M100" si="11">F67/$D67</f>
        <v>0.51760398357307569</v>
      </c>
      <c r="N67" s="7">
        <f t="shared" ref="N67:N100" si="12">G67/$D67</f>
        <v>0.31080586294319845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34051928501.080006</v>
      </c>
      <c r="F68" s="8">
        <f>VLOOKUP(C68,'Pivot - lag'!$I$4:$J$144,2,0)</f>
        <v>26319150770.580002</v>
      </c>
      <c r="G68" s="8">
        <f>VLOOKUP(C68,'Pivot - lag'!$M$3:$N$144,2,0)</f>
        <v>12490413319.5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0.53180208283598618</v>
      </c>
      <c r="M68" s="7">
        <f t="shared" si="11"/>
        <v>0.41103631466349622</v>
      </c>
      <c r="N68" s="7">
        <f t="shared" si="12"/>
        <v>0.19506759561596548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38782592583.130005</v>
      </c>
      <c r="F69" s="8">
        <f>VLOOKUP(C69,'Pivot - lag'!$I$4:$J$144,2,0)</f>
        <v>32382569281.389999</v>
      </c>
      <c r="G69" s="8">
        <f>VLOOKUP(C69,'Pivot - lag'!$M$3:$N$144,2,0)</f>
        <v>17722445723.59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0.55380739694478975</v>
      </c>
      <c r="M69" s="7">
        <f t="shared" si="11"/>
        <v>0.46241638852973094</v>
      </c>
      <c r="N69" s="7">
        <f t="shared" si="12"/>
        <v>0.25307285769095378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41893866412.769997</v>
      </c>
      <c r="F70" s="8">
        <f>VLOOKUP(C70,'Pivot - lag'!$I$4:$J$144,2,0)</f>
        <v>34492756986.080002</v>
      </c>
      <c r="G70" s="8">
        <f>VLOOKUP(C70,'Pivot - lag'!$M$3:$N$144,2,0)</f>
        <v>15450764934.82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0.53640508903739337</v>
      </c>
      <c r="M70" s="7">
        <f t="shared" si="11"/>
        <v>0.44164198644180641</v>
      </c>
      <c r="N70" s="7">
        <f t="shared" si="12"/>
        <v>0.19783012765877508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44179607235.949997</v>
      </c>
      <c r="F71" s="8">
        <f>VLOOKUP(C71,'Pivot - lag'!$I$4:$J$144,2,0)</f>
        <v>36818867903.32</v>
      </c>
      <c r="G71" s="8">
        <f>VLOOKUP(C71,'Pivot - lag'!$M$3:$N$144,2,0)</f>
        <v>15515154908.18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0.53322716624439437</v>
      </c>
      <c r="M71" s="7">
        <f t="shared" si="11"/>
        <v>0.44438649016413884</v>
      </c>
      <c r="N71" s="7">
        <f t="shared" si="12"/>
        <v>0.18726065266600217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34510631710.040001</v>
      </c>
      <c r="F72" s="8">
        <f>VLOOKUP(C72,'Pivot - lag'!$I$4:$J$144,2,0)</f>
        <v>27045561670.25</v>
      </c>
      <c r="G72" s="8">
        <f>VLOOKUP(C72,'Pivot - lag'!$M$3:$N$144,2,0)</f>
        <v>13208748904.610001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0.57656714660342656</v>
      </c>
      <c r="M72" s="7">
        <f t="shared" si="11"/>
        <v>0.45184864917921763</v>
      </c>
      <c r="N72" s="7">
        <f t="shared" si="12"/>
        <v>0.2206778111197692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48158686883.839996</v>
      </c>
      <c r="F73" s="8">
        <f>VLOOKUP(C73,'Pivot - lag'!$I$4:$J$144,2,0)</f>
        <v>38377709156.639999</v>
      </c>
      <c r="G73" s="8">
        <f>VLOOKUP(C73,'Pivot - lag'!$M$3:$N$144,2,0)</f>
        <v>18561639674.389999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0.45809918086386209</v>
      </c>
      <c r="M73" s="7">
        <f t="shared" si="11"/>
        <v>0.36505972786371155</v>
      </c>
      <c r="N73" s="7">
        <f t="shared" si="12"/>
        <v>0.17656361667081691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28061391859.560001</v>
      </c>
      <c r="F74" s="8">
        <f>VLOOKUP(C74,'Pivot - lag'!$I$4:$J$144,2,0)</f>
        <v>22122050363.459999</v>
      </c>
      <c r="G74" s="8">
        <f>VLOOKUP(C74,'Pivot - lag'!$M$3:$N$144,2,0)</f>
        <v>5514998779.8199997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0.42750747566862818</v>
      </c>
      <c r="M74" s="7">
        <f t="shared" si="11"/>
        <v>0.33702326509064801</v>
      </c>
      <c r="N74" s="7">
        <f t="shared" si="12"/>
        <v>8.4019467689846125E-2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39917338888.109993</v>
      </c>
      <c r="F75" s="8">
        <f>VLOOKUP(C75,'Pivot - lag'!$I$4:$J$144,2,0)</f>
        <v>31398215000.349998</v>
      </c>
      <c r="G75" s="8">
        <f>VLOOKUP(C75,'Pivot - lag'!$M$3:$N$144,2,0)</f>
        <v>12330874909.370001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0.47636750931304078</v>
      </c>
      <c r="M75" s="7">
        <f t="shared" si="11"/>
        <v>0.37470156812099736</v>
      </c>
      <c r="N75" s="7">
        <f t="shared" si="12"/>
        <v>0.14715480369802222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40121731507.939995</v>
      </c>
      <c r="F76" s="8">
        <f>VLOOKUP(C76,'Pivot - lag'!$I$4:$J$144,2,0)</f>
        <v>31825324478.059998</v>
      </c>
      <c r="G76" s="8">
        <f>VLOOKUP(C76,'Pivot - lag'!$M$3:$N$144,2,0)</f>
        <v>11762868452.809999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0.53016030023400917</v>
      </c>
      <c r="M76" s="7">
        <f t="shared" si="11"/>
        <v>0.4205332857330451</v>
      </c>
      <c r="N76" s="7">
        <f t="shared" si="12"/>
        <v>0.15543212209873777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32167431009.59</v>
      </c>
      <c r="F77" s="8">
        <f>VLOOKUP(C77,'Pivot - lag'!$I$4:$J$144,2,0)</f>
        <v>26205701340.690002</v>
      </c>
      <c r="G77" s="8">
        <f>VLOOKUP(C77,'Pivot - lag'!$M$3:$N$144,2,0)</f>
        <v>9980934177.1000004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0.49118168131946977</v>
      </c>
      <c r="M77" s="7">
        <f t="shared" si="11"/>
        <v>0.40014884747366275</v>
      </c>
      <c r="N77" s="7">
        <f t="shared" si="12"/>
        <v>0.15240421371496468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36913559190.93</v>
      </c>
      <c r="F78" s="8">
        <f>VLOOKUP(C78,'Pivot - lag'!$I$4:$J$144,2,0)</f>
        <v>29347304016.630001</v>
      </c>
      <c r="G78" s="8">
        <f>VLOOKUP(C78,'Pivot - lag'!$M$3:$N$144,2,0)</f>
        <v>10647976949.73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0.51423689511354909</v>
      </c>
      <c r="M78" s="7">
        <f t="shared" si="11"/>
        <v>0.40883260320162551</v>
      </c>
      <c r="N78" s="7">
        <f t="shared" si="12"/>
        <v>0.148335265574044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38156334831.479996</v>
      </c>
      <c r="F79" s="8">
        <f>VLOOKUP(C79,'Pivot - lag'!$I$4:$J$144,2,0)</f>
        <v>31475187000.610001</v>
      </c>
      <c r="G79" s="8">
        <f>VLOOKUP(C79,'Pivot - lag'!$M$3:$N$144,2,0)</f>
        <v>16378355650.98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0.53022634128906176</v>
      </c>
      <c r="M79" s="7">
        <f t="shared" si="11"/>
        <v>0.43738407576174293</v>
      </c>
      <c r="N79" s="7">
        <f t="shared" si="12"/>
        <v>0.22759616801521063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35041617202.470001</v>
      </c>
      <c r="F80" s="8">
        <f>VLOOKUP(C80,'Pivot - lag'!$I$4:$J$144,2,0)</f>
        <v>28763554195</v>
      </c>
      <c r="G80" s="8">
        <f>VLOOKUP(C80,'Pivot - lag'!$M$3:$N$144,2,0)</f>
        <v>15177156622.67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0.53611580967658246</v>
      </c>
      <c r="M80" s="7">
        <f t="shared" si="11"/>
        <v>0.44006519611605494</v>
      </c>
      <c r="N80" s="7">
        <f t="shared" si="12"/>
        <v>0.23220142964113813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37107511523.769997</v>
      </c>
      <c r="F81" s="8">
        <f>VLOOKUP(C81,'Pivot - lag'!$I$4:$J$144,2,0)</f>
        <v>29530845936.25</v>
      </c>
      <c r="G81" s="8">
        <f>VLOOKUP(C81,'Pivot - lag'!$M$3:$N$144,2,0)</f>
        <v>16749167656.17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0.5245788025053657</v>
      </c>
      <c r="M81" s="7">
        <f t="shared" si="11"/>
        <v>0.41746954085792631</v>
      </c>
      <c r="N81" s="7">
        <f t="shared" si="12"/>
        <v>0.23677842979061098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35118791554.82</v>
      </c>
      <c r="F82" s="8">
        <f>VLOOKUP(C82,'Pivot - lag'!$I$4:$J$144,2,0)</f>
        <v>27247840920.879997</v>
      </c>
      <c r="G82" s="8">
        <f>VLOOKUP(C82,'Pivot - lag'!$M$3:$N$144,2,0)</f>
        <v>15517116259.82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0.55136166086286253</v>
      </c>
      <c r="M82" s="7">
        <f t="shared" si="11"/>
        <v>0.42778849043288125</v>
      </c>
      <c r="N82" s="7">
        <f t="shared" si="12"/>
        <v>0.24361723778169839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28064540906.029999</v>
      </c>
      <c r="F83" s="8">
        <f>VLOOKUP(C83,'Pivot - lag'!$I$4:$J$144,2,0)</f>
        <v>22898763123.93</v>
      </c>
      <c r="G83" s="8">
        <f>VLOOKUP(C83,'Pivot - lag'!$M$3:$N$144,2,0)</f>
        <v>12736272274.200001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0.54901597302674554</v>
      </c>
      <c r="M83" s="7">
        <f t="shared" si="11"/>
        <v>0.44795982088886382</v>
      </c>
      <c r="N83" s="7">
        <f t="shared" si="12"/>
        <v>0.24915486552110575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21637776229.040005</v>
      </c>
      <c r="F84" s="8">
        <f>VLOOKUP(C84,'Pivot - lag'!$I$4:$J$144,2,0)</f>
        <v>16433902304.59</v>
      </c>
      <c r="G84" s="8">
        <f>VLOOKUP(C84,'Pivot - lag'!$M$3:$N$144,2,0)</f>
        <v>9023886132.7900009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0.4714550045096445</v>
      </c>
      <c r="M84" s="7">
        <f t="shared" si="11"/>
        <v>0.35807032123398946</v>
      </c>
      <c r="N84" s="7">
        <f t="shared" si="12"/>
        <v>0.19661707526669342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18895718293.77</v>
      </c>
      <c r="F85" s="8">
        <f>VLOOKUP(C85,'Pivot - lag'!$I$4:$J$144,2,0)</f>
        <v>14912657625.279999</v>
      </c>
      <c r="G85" s="8">
        <f>VLOOKUP(C85,'Pivot - lag'!$M$3:$N$144,2,0)</f>
        <v>7160448808.71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0.50694565309934003</v>
      </c>
      <c r="M85" s="7">
        <f t="shared" si="11"/>
        <v>0.40008571475088917</v>
      </c>
      <c r="N85" s="7">
        <f t="shared" si="12"/>
        <v>0.19210481133245383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15713305422.409998</v>
      </c>
      <c r="F86" s="8">
        <f>VLOOKUP(C86,'Pivot - lag'!$I$4:$J$144,2,0)</f>
        <v>12219132557.98</v>
      </c>
      <c r="G86" s="8">
        <f>VLOOKUP(C86,'Pivot - lag'!$M$3:$N$144,2,0)</f>
        <v>5970250118.0100002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0.42730908067034029</v>
      </c>
      <c r="M86" s="7">
        <f t="shared" si="11"/>
        <v>0.33228822068798325</v>
      </c>
      <c r="N86" s="7">
        <f t="shared" si="12"/>
        <v>0.16235553377970091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11202490056.259998</v>
      </c>
      <c r="F87" s="8">
        <f>VLOOKUP(C87,'Pivot - lag'!$I$4:$J$144,2,0)</f>
        <v>8621087878.6100006</v>
      </c>
      <c r="G87" s="8">
        <f>VLOOKUP(C87,'Pivot - lag'!$M$3:$N$144,2,0)</f>
        <v>2787339203.8600001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0.41066008757998562</v>
      </c>
      <c r="M87" s="7">
        <f t="shared" si="11"/>
        <v>0.31603122926106775</v>
      </c>
      <c r="N87" s="7">
        <f t="shared" si="12"/>
        <v>0.10217808324968256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12807228407.780001</v>
      </c>
      <c r="F88" s="8">
        <f>VLOOKUP(C88,'Pivot - lag'!$I$4:$J$144,2,0)</f>
        <v>10366757211.17</v>
      </c>
      <c r="G88" s="8">
        <f>VLOOKUP(C88,'Pivot - lag'!$M$3:$N$144,2,0)</f>
        <v>3860179857.6700001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0.48006278568588912</v>
      </c>
      <c r="M88" s="7">
        <f t="shared" si="11"/>
        <v>0.38858480436722431</v>
      </c>
      <c r="N88" s="7">
        <f t="shared" si="12"/>
        <v>0.14469396786863739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9445831116.8299999</v>
      </c>
      <c r="F89" s="8">
        <f>VLOOKUP(C89,'Pivot - lag'!$I$4:$J$144,2,0)</f>
        <v>7480643206.3700008</v>
      </c>
      <c r="G89" s="8">
        <f>VLOOKUP(C89,'Pivot - lag'!$M$3:$N$144,2,0)</f>
        <v>2723269728.27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0.41482990705589201</v>
      </c>
      <c r="M89" s="7">
        <f t="shared" si="11"/>
        <v>0.3285253026054718</v>
      </c>
      <c r="N89" s="7">
        <f t="shared" si="12"/>
        <v>0.11959707031534259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11658021191.040001</v>
      </c>
      <c r="F90" s="8">
        <f>VLOOKUP(C90,'Pivot - lag'!$I$4:$J$144,2,0)</f>
        <v>8875534568.9399986</v>
      </c>
      <c r="G90" s="8">
        <f>VLOOKUP(C90,'Pivot - lag'!$M$3:$N$144,2,0)</f>
        <v>3201052079.1599998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0.44343178569243091</v>
      </c>
      <c r="M90" s="7">
        <f t="shared" si="11"/>
        <v>0.33759538418962715</v>
      </c>
      <c r="N90" s="7">
        <f t="shared" si="12"/>
        <v>0.12175721902507194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10101047864.390001</v>
      </c>
      <c r="F91" s="8">
        <f>VLOOKUP(C91,'Pivot - lag'!$I$4:$J$144,2,0)</f>
        <v>7276873928.4300003</v>
      </c>
      <c r="G91" s="8">
        <f>VLOOKUP(C91,'Pivot - lag'!$M$3:$N$144,2,0)</f>
        <v>3493812279.3000002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0.37696147391733809</v>
      </c>
      <c r="M91" s="7">
        <f t="shared" si="11"/>
        <v>0.27156599576585394</v>
      </c>
      <c r="N91" s="7">
        <f t="shared" si="12"/>
        <v>0.13038574255632018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12260098921.190001</v>
      </c>
      <c r="F92" s="8">
        <f>VLOOKUP(C92,'Pivot - lag'!$I$4:$J$144,2,0)</f>
        <v>9468857132.3899994</v>
      </c>
      <c r="G92" s="8">
        <f>VLOOKUP(C92,'Pivot - lag'!$M$3:$N$144,2,0)</f>
        <v>3922236463.21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0.39686718876134325</v>
      </c>
      <c r="M92" s="7">
        <f t="shared" si="11"/>
        <v>0.30651291927338403</v>
      </c>
      <c r="N92" s="7">
        <f t="shared" si="12"/>
        <v>0.12696528542041305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13393116719.58</v>
      </c>
      <c r="F93" s="8">
        <f>VLOOKUP(C93,'Pivot - lag'!$I$4:$J$144,2,0)</f>
        <v>10030900283.66</v>
      </c>
      <c r="G93" s="8">
        <f>VLOOKUP(C93,'Pivot - lag'!$M$3:$N$144,2,0)</f>
        <v>4211266060.8699999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0.37683083728409794</v>
      </c>
      <c r="M93" s="7">
        <f t="shared" si="11"/>
        <v>0.28223098713675887</v>
      </c>
      <c r="N93" s="7">
        <f t="shared" si="12"/>
        <v>0.11848884385691461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13038351452.110003</v>
      </c>
      <c r="F94" s="8">
        <f>VLOOKUP(C94,'Pivot - lag'!$I$4:$J$144,2,0)</f>
        <v>10020949088.049999</v>
      </c>
      <c r="G94" s="8">
        <f>VLOOKUP(C94,'Pivot - lag'!$M$3:$N$144,2,0)</f>
        <v>4257244054.8600001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0.39088376774196576</v>
      </c>
      <c r="M94" s="7">
        <f t="shared" si="11"/>
        <v>0.30042343545306915</v>
      </c>
      <c r="N94" s="7">
        <f t="shared" si="12"/>
        <v>0.12763021479156866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19365462678.16</v>
      </c>
      <c r="F95" s="8">
        <f>VLOOKUP(C95,'Pivot - lag'!$I$4:$J$144,2,0)</f>
        <v>14710744669.390001</v>
      </c>
      <c r="G95" s="8">
        <f>VLOOKUP(C95,'Pivot - lag'!$M$3:$N$144,2,0)</f>
        <v>3899112245.7399998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0.49117851484051983</v>
      </c>
      <c r="M95" s="7">
        <f t="shared" si="11"/>
        <v>0.37311794915481006</v>
      </c>
      <c r="N95" s="7">
        <f t="shared" si="12"/>
        <v>9.889565738178506E-2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14716925675.34</v>
      </c>
      <c r="F96" s="8">
        <f>VLOOKUP(C96,'Pivot - lag'!$I$4:$J$144,2,0)</f>
        <v>11245780454.17</v>
      </c>
      <c r="G96" s="8">
        <f>VLOOKUP(C96,'Pivot - lag'!$M$3:$N$144,2,0)</f>
        <v>3926294145.04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0.37920193602628349</v>
      </c>
      <c r="M96" s="7">
        <f t="shared" si="11"/>
        <v>0.28976308057961853</v>
      </c>
      <c r="N96" s="7">
        <f t="shared" si="12"/>
        <v>0.10116639670896706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18525436829.699997</v>
      </c>
      <c r="F97" s="8">
        <f>VLOOKUP(C97,'Pivot - lag'!$I$4:$J$144,2,0)</f>
        <v>14945343134.59</v>
      </c>
      <c r="G97" s="8">
        <f>VLOOKUP(C97,'Pivot - lag'!$M$3:$N$144,2,0)</f>
        <v>4060384889.1599998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0.58766100974565816</v>
      </c>
      <c r="M97" s="7">
        <f t="shared" si="11"/>
        <v>0.47409383747366829</v>
      </c>
      <c r="N97" s="7">
        <f t="shared" si="12"/>
        <v>0.12880289441241849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14235878976.370001</v>
      </c>
      <c r="F98" s="8">
        <f>VLOOKUP(C98,'Pivot - lag'!$I$4:$J$144,2,0)</f>
        <v>10632578652.470001</v>
      </c>
      <c r="G98" s="8">
        <f>VLOOKUP(C98,'Pivot - lag'!$M$3:$N$144,2,0)</f>
        <v>3507360281.3800001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0.32757627754419832</v>
      </c>
      <c r="M98" s="7">
        <f t="shared" si="11"/>
        <v>0.24466213441779025</v>
      </c>
      <c r="N98" s="7">
        <f t="shared" si="12"/>
        <v>8.0706504100514415E-2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15896294717.43</v>
      </c>
      <c r="F99" s="8">
        <f>VLOOKUP(C99,'Pivot - lag'!$I$4:$J$144,2,0)</f>
        <v>12524626705.59</v>
      </c>
      <c r="G99" s="8">
        <f>VLOOKUP(C99,'Pivot - lag'!$M$3:$N$144,2,0)</f>
        <v>5302574418.9099998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0.44169472718951891</v>
      </c>
      <c r="M99" s="7">
        <f t="shared" si="11"/>
        <v>0.34800949996292735</v>
      </c>
      <c r="N99" s="7">
        <f t="shared" si="12"/>
        <v>0.14733742692845792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14377805495.529999</v>
      </c>
      <c r="F100" s="8">
        <f>VLOOKUP(C100,'Pivot - lag'!$I$4:$J$144,2,0)</f>
        <v>10989454105.67</v>
      </c>
      <c r="G100" s="8">
        <f>VLOOKUP(C100,'Pivot - lag'!$M$3:$N$144,2,0)</f>
        <v>4795370179.5500002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0.40230075842482582</v>
      </c>
      <c r="M100" s="7">
        <f t="shared" si="11"/>
        <v>0.30749238628665193</v>
      </c>
      <c r="N100" s="7">
        <f t="shared" si="12"/>
        <v>0.13417771305645587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144"/>
  <sheetViews>
    <sheetView workbookViewId="0">
      <selection activeCell="U19" sqref="U19"/>
    </sheetView>
  </sheetViews>
  <sheetFormatPr defaultRowHeight="15"/>
  <cols>
    <col min="5" max="5" width="13.140625" bestFit="1" customWidth="1"/>
    <col min="6" max="6" width="19.140625" bestFit="1" customWidth="1"/>
    <col min="9" max="9" width="13.140625" customWidth="1"/>
    <col min="10" max="10" width="19.140625" bestFit="1" customWidth="1"/>
    <col min="13" max="13" width="13.140625" bestFit="1" customWidth="1"/>
    <col min="14" max="14" width="19.140625" bestFit="1" customWidth="1"/>
  </cols>
  <sheetData>
    <row r="1" spans="5:14">
      <c r="I1" s="2" t="s">
        <v>3</v>
      </c>
      <c r="J1" t="s">
        <v>45</v>
      </c>
      <c r="M1" s="2" t="s">
        <v>3</v>
      </c>
      <c r="N1" s="5">
        <v>1</v>
      </c>
    </row>
    <row r="2" spans="5:14">
      <c r="E2" t="s">
        <v>44</v>
      </c>
      <c r="I2" t="s">
        <v>46</v>
      </c>
      <c r="M2" t="s">
        <v>47</v>
      </c>
    </row>
    <row r="3" spans="5:14">
      <c r="E3" s="2" t="s">
        <v>40</v>
      </c>
      <c r="F3" t="s">
        <v>42</v>
      </c>
      <c r="I3" s="2" t="s">
        <v>40</v>
      </c>
      <c r="J3" t="s">
        <v>42</v>
      </c>
      <c r="M3" s="2" t="s">
        <v>40</v>
      </c>
      <c r="N3" t="s">
        <v>42</v>
      </c>
    </row>
    <row r="4" spans="5:14">
      <c r="E4" s="3">
        <v>37773</v>
      </c>
      <c r="F4" s="4">
        <v>115261387726.93999</v>
      </c>
      <c r="I4" s="3">
        <v>37773</v>
      </c>
      <c r="J4" s="4">
        <v>101650726785.31</v>
      </c>
      <c r="M4" s="3">
        <v>37773</v>
      </c>
      <c r="N4" s="4">
        <v>29346009324.57</v>
      </c>
    </row>
    <row r="5" spans="5:14">
      <c r="E5" s="3">
        <v>37803</v>
      </c>
      <c r="F5" s="4">
        <v>123060141445.62001</v>
      </c>
      <c r="I5" s="3">
        <v>37803</v>
      </c>
      <c r="J5" s="4">
        <v>108737512858.56001</v>
      </c>
      <c r="M5" s="3">
        <v>37803</v>
      </c>
      <c r="N5" s="4">
        <v>29203480041.400002</v>
      </c>
    </row>
    <row r="6" spans="5:14">
      <c r="E6" s="3">
        <v>37834</v>
      </c>
      <c r="F6" s="4">
        <v>126522100246.59</v>
      </c>
      <c r="I6" s="3">
        <v>37834</v>
      </c>
      <c r="J6" s="4">
        <v>109579193078.28001</v>
      </c>
      <c r="M6" s="3">
        <v>37834</v>
      </c>
      <c r="N6" s="4">
        <v>31589484729.220001</v>
      </c>
    </row>
    <row r="7" spans="5:14">
      <c r="E7" s="3">
        <v>37865</v>
      </c>
      <c r="F7" s="4">
        <v>107980970161.14001</v>
      </c>
      <c r="I7" s="3">
        <v>37865</v>
      </c>
      <c r="J7" s="4">
        <v>88387756825.5</v>
      </c>
      <c r="M7" s="3">
        <v>37865</v>
      </c>
      <c r="N7" s="4">
        <v>23343172196.529999</v>
      </c>
    </row>
    <row r="8" spans="5:14">
      <c r="E8" s="3">
        <v>37895</v>
      </c>
      <c r="F8" s="4">
        <v>115953203482.42003</v>
      </c>
      <c r="I8" s="3">
        <v>37895</v>
      </c>
      <c r="J8" s="4">
        <v>98264652545.570007</v>
      </c>
      <c r="M8" s="3">
        <v>37895</v>
      </c>
      <c r="N8" s="4">
        <v>31820990055.02</v>
      </c>
    </row>
    <row r="9" spans="5:14">
      <c r="E9" s="3">
        <v>37926</v>
      </c>
      <c r="F9" s="4">
        <v>72608285357.429993</v>
      </c>
      <c r="I9" s="3">
        <v>37926</v>
      </c>
      <c r="J9" s="4">
        <v>57457813666.779999</v>
      </c>
      <c r="M9" s="3">
        <v>37926</v>
      </c>
      <c r="N9" s="4">
        <v>14035831776.82</v>
      </c>
    </row>
    <row r="10" spans="5:14">
      <c r="E10" s="3">
        <v>37956</v>
      </c>
      <c r="F10" s="4">
        <v>54863651613.760002</v>
      </c>
      <c r="I10" s="3">
        <v>37956</v>
      </c>
      <c r="J10" s="4">
        <v>44033317109.029999</v>
      </c>
      <c r="M10" s="3">
        <v>37956</v>
      </c>
      <c r="N10" s="4">
        <v>11117075517.34</v>
      </c>
    </row>
    <row r="11" spans="5:14">
      <c r="E11" s="3">
        <v>37987</v>
      </c>
      <c r="F11" s="4">
        <v>53819292215.44001</v>
      </c>
      <c r="I11" s="3">
        <v>37987</v>
      </c>
      <c r="J11" s="4">
        <v>45686681353.330002</v>
      </c>
      <c r="M11" s="3">
        <v>37987</v>
      </c>
      <c r="N11" s="4">
        <v>13196343605.73</v>
      </c>
    </row>
    <row r="12" spans="5:14">
      <c r="E12" s="3">
        <v>38018</v>
      </c>
      <c r="F12" s="4">
        <v>39839014484.800003</v>
      </c>
      <c r="I12" s="3">
        <v>38018</v>
      </c>
      <c r="J12" s="4">
        <v>31999197993.349998</v>
      </c>
      <c r="M12" s="3">
        <v>38018</v>
      </c>
      <c r="N12" s="4">
        <v>11231015625.76</v>
      </c>
    </row>
    <row r="13" spans="5:14">
      <c r="E13" s="3">
        <v>38047</v>
      </c>
      <c r="F13" s="4">
        <v>40059162294.409996</v>
      </c>
      <c r="I13" s="3">
        <v>38047</v>
      </c>
      <c r="J13" s="4">
        <v>33136650518.93</v>
      </c>
      <c r="M13" s="3">
        <v>38047</v>
      </c>
      <c r="N13" s="4">
        <v>12648473634.91</v>
      </c>
    </row>
    <row r="14" spans="5:14">
      <c r="E14" s="3">
        <v>38078</v>
      </c>
      <c r="F14" s="4">
        <v>36386487058.970001</v>
      </c>
      <c r="I14" s="3">
        <v>38078</v>
      </c>
      <c r="J14" s="4">
        <v>31283665800.760002</v>
      </c>
      <c r="M14" s="3">
        <v>38078</v>
      </c>
      <c r="N14" s="4">
        <v>13767718999.52</v>
      </c>
    </row>
    <row r="15" spans="5:14">
      <c r="E15" s="3">
        <v>38108</v>
      </c>
      <c r="F15" s="4">
        <v>55537422002.269997</v>
      </c>
      <c r="I15" s="3">
        <v>38108</v>
      </c>
      <c r="J15" s="4">
        <v>49403474213.259995</v>
      </c>
      <c r="M15" s="3">
        <v>38108</v>
      </c>
      <c r="N15" s="4">
        <v>16189427785.290001</v>
      </c>
    </row>
    <row r="16" spans="5:14">
      <c r="E16" s="3">
        <v>38139</v>
      </c>
      <c r="F16" s="4">
        <v>49442332564.380005</v>
      </c>
      <c r="I16" s="3">
        <v>38139</v>
      </c>
      <c r="J16" s="4">
        <v>41709315715.120003</v>
      </c>
      <c r="M16" s="3">
        <v>38139</v>
      </c>
      <c r="N16" s="4">
        <v>15256199593.17</v>
      </c>
    </row>
    <row r="17" spans="5:14">
      <c r="E17" s="3">
        <v>38169</v>
      </c>
      <c r="F17" s="4">
        <v>45851213635.059998</v>
      </c>
      <c r="I17" s="3">
        <v>38169</v>
      </c>
      <c r="J17" s="4">
        <v>38544505614.349998</v>
      </c>
      <c r="M17" s="3">
        <v>38169</v>
      </c>
      <c r="N17" s="4">
        <v>12407380467.74</v>
      </c>
    </row>
    <row r="18" spans="5:14">
      <c r="E18" s="3">
        <v>38200</v>
      </c>
      <c r="F18" s="4">
        <v>34992147394.459999</v>
      </c>
      <c r="I18" s="3">
        <v>38200</v>
      </c>
      <c r="J18" s="4">
        <v>29443503219.689999</v>
      </c>
      <c r="M18" s="3">
        <v>38200</v>
      </c>
      <c r="N18" s="4">
        <v>9536604948.9400005</v>
      </c>
    </row>
    <row r="19" spans="5:14">
      <c r="E19" s="3">
        <v>38231</v>
      </c>
      <c r="F19" s="4">
        <v>29934416913.950005</v>
      </c>
      <c r="I19" s="3">
        <v>38231</v>
      </c>
      <c r="J19" s="4">
        <v>25396317992.700005</v>
      </c>
      <c r="M19" s="3">
        <v>38231</v>
      </c>
      <c r="N19" s="4">
        <v>9785050909.1900005</v>
      </c>
    </row>
    <row r="20" spans="5:14">
      <c r="E20" s="3">
        <v>38261</v>
      </c>
      <c r="F20" s="4">
        <v>30867872559.879997</v>
      </c>
      <c r="I20" s="3">
        <v>38261</v>
      </c>
      <c r="J20" s="4">
        <v>25575124112.809998</v>
      </c>
      <c r="M20" s="3">
        <v>38261</v>
      </c>
      <c r="N20" s="4">
        <v>9131387615.3299999</v>
      </c>
    </row>
    <row r="21" spans="5:14">
      <c r="E21" s="3">
        <v>38292</v>
      </c>
      <c r="F21" s="4">
        <v>26320435927.430004</v>
      </c>
      <c r="I21" s="3">
        <v>38292</v>
      </c>
      <c r="J21" s="4">
        <v>21553989777.180004</v>
      </c>
      <c r="M21" s="3">
        <v>38292</v>
      </c>
      <c r="N21" s="4">
        <v>8238855635.6999998</v>
      </c>
    </row>
    <row r="22" spans="5:14">
      <c r="E22" s="3">
        <v>38322</v>
      </c>
      <c r="F22" s="4">
        <v>26037864709.359993</v>
      </c>
      <c r="I22" s="3">
        <v>38322</v>
      </c>
      <c r="J22" s="4">
        <v>19806918257.659996</v>
      </c>
      <c r="M22" s="3">
        <v>38322</v>
      </c>
      <c r="N22" s="4">
        <v>7182449750.2799997</v>
      </c>
    </row>
    <row r="23" spans="5:14">
      <c r="E23" s="3">
        <v>38353</v>
      </c>
      <c r="F23" s="4">
        <v>28519931820.98</v>
      </c>
      <c r="I23" s="3">
        <v>38353</v>
      </c>
      <c r="J23" s="4">
        <v>22160480495.099998</v>
      </c>
      <c r="M23" s="3">
        <v>38353</v>
      </c>
      <c r="N23" s="4">
        <v>7728778433.3199997</v>
      </c>
    </row>
    <row r="24" spans="5:14">
      <c r="E24" s="3">
        <v>38384</v>
      </c>
      <c r="F24" s="4">
        <v>27072147752.57</v>
      </c>
      <c r="I24" s="3">
        <v>38384</v>
      </c>
      <c r="J24" s="4">
        <v>20549353743.279999</v>
      </c>
      <c r="M24" s="3">
        <v>38384</v>
      </c>
      <c r="N24" s="4">
        <v>6548421686.8000002</v>
      </c>
    </row>
    <row r="25" spans="5:14">
      <c r="E25" s="3">
        <v>38412</v>
      </c>
      <c r="F25" s="4">
        <v>23429751444.030003</v>
      </c>
      <c r="I25" s="3">
        <v>38412</v>
      </c>
      <c r="J25" s="4">
        <v>17765987671.200001</v>
      </c>
      <c r="M25" s="3">
        <v>38412</v>
      </c>
      <c r="N25" s="4">
        <v>5448667036.9300003</v>
      </c>
    </row>
    <row r="26" spans="5:14">
      <c r="E26" s="3">
        <v>38443</v>
      </c>
      <c r="F26" s="4">
        <v>24805613405.75</v>
      </c>
      <c r="I26" s="3">
        <v>38443</v>
      </c>
      <c r="J26" s="4">
        <v>18634086102.939999</v>
      </c>
      <c r="M26" s="3">
        <v>38443</v>
      </c>
      <c r="N26" s="4">
        <v>6200760652.5699997</v>
      </c>
    </row>
    <row r="27" spans="5:14">
      <c r="E27" s="3">
        <v>38473</v>
      </c>
      <c r="F27" s="4">
        <v>27999446210.920006</v>
      </c>
      <c r="I27" s="3">
        <v>38473</v>
      </c>
      <c r="J27" s="4">
        <v>22356887498.610001</v>
      </c>
      <c r="M27" s="3">
        <v>38473</v>
      </c>
      <c r="N27" s="4">
        <v>8249856689.5500002</v>
      </c>
    </row>
    <row r="28" spans="5:14">
      <c r="E28" s="3">
        <v>38504</v>
      </c>
      <c r="F28" s="4">
        <v>28220898707.010002</v>
      </c>
      <c r="I28" s="3">
        <v>38504</v>
      </c>
      <c r="J28" s="4">
        <v>22395611235.139999</v>
      </c>
      <c r="M28" s="3">
        <v>38504</v>
      </c>
      <c r="N28" s="4">
        <v>8151630322.04</v>
      </c>
    </row>
    <row r="29" spans="5:14">
      <c r="E29" s="3">
        <v>38534</v>
      </c>
      <c r="F29" s="4">
        <v>28019024256.770004</v>
      </c>
      <c r="I29" s="3">
        <v>38534</v>
      </c>
      <c r="J29" s="4">
        <v>22405959627.620003</v>
      </c>
      <c r="M29" s="3">
        <v>38534</v>
      </c>
      <c r="N29" s="4">
        <v>8430888883.8800001</v>
      </c>
    </row>
    <row r="30" spans="5:14">
      <c r="E30" s="3">
        <v>38565</v>
      </c>
      <c r="F30" s="4">
        <v>37645694004.099998</v>
      </c>
      <c r="I30" s="3">
        <v>38565</v>
      </c>
      <c r="J30" s="4">
        <v>30891577692.140003</v>
      </c>
      <c r="M30" s="3">
        <v>38565</v>
      </c>
      <c r="N30" s="4">
        <v>11555724329.280001</v>
      </c>
    </row>
    <row r="31" spans="5:14">
      <c r="E31" s="3">
        <v>38596</v>
      </c>
      <c r="F31" s="4">
        <v>41334020458.619995</v>
      </c>
      <c r="I31" s="3">
        <v>38596</v>
      </c>
      <c r="J31" s="4">
        <v>33710738362.989998</v>
      </c>
      <c r="M31" s="3">
        <v>38596</v>
      </c>
      <c r="N31" s="4">
        <v>12483873401.42</v>
      </c>
    </row>
    <row r="32" spans="5:14">
      <c r="E32" s="3">
        <v>38626</v>
      </c>
      <c r="F32" s="4">
        <v>45877911808.199997</v>
      </c>
      <c r="I32" s="3">
        <v>38626</v>
      </c>
      <c r="J32" s="4">
        <v>37477466816.790001</v>
      </c>
      <c r="M32" s="3">
        <v>38626</v>
      </c>
      <c r="N32" s="4">
        <v>14134133218</v>
      </c>
    </row>
    <row r="33" spans="5:14">
      <c r="E33" s="3">
        <v>38657</v>
      </c>
      <c r="F33" s="4">
        <v>37340460710.949997</v>
      </c>
      <c r="I33" s="3">
        <v>38657</v>
      </c>
      <c r="J33" s="4">
        <v>30938782043.859997</v>
      </c>
      <c r="M33" s="3">
        <v>38657</v>
      </c>
      <c r="N33" s="4">
        <v>12566705288.139999</v>
      </c>
    </row>
    <row r="34" spans="5:14">
      <c r="E34" s="3">
        <v>38687</v>
      </c>
      <c r="F34" s="4">
        <v>6932219536.9999981</v>
      </c>
      <c r="I34" s="3">
        <v>38687</v>
      </c>
      <c r="J34" s="4">
        <v>5792209150.5499992</v>
      </c>
      <c r="M34" s="3">
        <v>38687</v>
      </c>
      <c r="N34" s="4">
        <v>4141302512.48</v>
      </c>
    </row>
    <row r="35" spans="5:14">
      <c r="E35" s="3">
        <v>38718</v>
      </c>
      <c r="F35" s="4">
        <v>33934438338.84</v>
      </c>
      <c r="I35" s="3">
        <v>38718</v>
      </c>
      <c r="J35" s="4">
        <v>28992696376.43</v>
      </c>
      <c r="M35" s="3">
        <v>38718</v>
      </c>
      <c r="N35" s="4">
        <v>10973844334.49</v>
      </c>
    </row>
    <row r="36" spans="5:14">
      <c r="E36" s="3">
        <v>38749</v>
      </c>
      <c r="F36" s="4">
        <v>34556451629.459999</v>
      </c>
      <c r="I36" s="3">
        <v>38749</v>
      </c>
      <c r="J36" s="4">
        <v>27693537738.630001</v>
      </c>
      <c r="M36" s="3">
        <v>38749</v>
      </c>
      <c r="N36" s="4">
        <v>10358305289.91</v>
      </c>
    </row>
    <row r="37" spans="5:14">
      <c r="E37" s="3">
        <v>38777</v>
      </c>
      <c r="F37" s="4">
        <v>27912279340.23</v>
      </c>
      <c r="I37" s="3">
        <v>38777</v>
      </c>
      <c r="J37" s="4">
        <v>20456310081.77</v>
      </c>
      <c r="M37" s="3">
        <v>38777</v>
      </c>
      <c r="N37" s="4">
        <v>6978704255.8400002</v>
      </c>
    </row>
    <row r="38" spans="5:14">
      <c r="E38" s="3">
        <v>38808</v>
      </c>
      <c r="F38" s="4">
        <v>29556218777.250004</v>
      </c>
      <c r="I38" s="3">
        <v>38808</v>
      </c>
      <c r="J38" s="4">
        <v>23370088973.910004</v>
      </c>
      <c r="M38" s="3">
        <v>38808</v>
      </c>
      <c r="N38" s="4">
        <v>8722494308.0400009</v>
      </c>
    </row>
    <row r="39" spans="5:14">
      <c r="E39" s="3">
        <v>38838</v>
      </c>
      <c r="F39" s="4">
        <v>34241868575.949997</v>
      </c>
      <c r="I39" s="3">
        <v>38838</v>
      </c>
      <c r="J39" s="4">
        <v>27304729358.610001</v>
      </c>
      <c r="M39" s="3">
        <v>38838</v>
      </c>
      <c r="N39" s="4">
        <v>9582564990.2199993</v>
      </c>
    </row>
    <row r="40" spans="5:14">
      <c r="E40" s="3">
        <v>38869</v>
      </c>
      <c r="F40" s="4">
        <v>30209991194.459999</v>
      </c>
      <c r="I40" s="3">
        <v>38869</v>
      </c>
      <c r="J40" s="4">
        <v>22694786754.549999</v>
      </c>
      <c r="M40" s="3">
        <v>38869</v>
      </c>
      <c r="N40" s="4">
        <v>6730657877.1899996</v>
      </c>
    </row>
    <row r="41" spans="5:14">
      <c r="E41" s="3">
        <v>38899</v>
      </c>
      <c r="F41" s="4">
        <v>34360715759.759995</v>
      </c>
      <c r="I41" s="3">
        <v>38899</v>
      </c>
      <c r="J41" s="4">
        <v>27129130060.010002</v>
      </c>
      <c r="M41" s="3">
        <v>38899</v>
      </c>
      <c r="N41" s="4">
        <v>8965396007.8700008</v>
      </c>
    </row>
    <row r="42" spans="5:14">
      <c r="E42" s="3">
        <v>38930</v>
      </c>
      <c r="F42" s="4">
        <v>30074332553.720001</v>
      </c>
      <c r="I42" s="3">
        <v>38930</v>
      </c>
      <c r="J42" s="4">
        <v>23813751457.099998</v>
      </c>
      <c r="M42" s="3">
        <v>38930</v>
      </c>
      <c r="N42" s="4">
        <v>7937895190.9099998</v>
      </c>
    </row>
    <row r="43" spans="5:14">
      <c r="E43" s="3">
        <v>39022</v>
      </c>
      <c r="F43" s="4">
        <v>38836175077.209991</v>
      </c>
      <c r="I43" s="3">
        <v>39022</v>
      </c>
      <c r="J43" s="4">
        <v>32297036342.179996</v>
      </c>
      <c r="M43" s="3">
        <v>39022</v>
      </c>
      <c r="N43" s="4">
        <v>12881299848.049999</v>
      </c>
    </row>
    <row r="44" spans="5:14">
      <c r="E44" s="3">
        <v>39052</v>
      </c>
      <c r="F44" s="4">
        <v>36582039954.099998</v>
      </c>
      <c r="I44" s="3">
        <v>39052</v>
      </c>
      <c r="J44" s="4">
        <v>30152205837.760002</v>
      </c>
      <c r="M44" s="3">
        <v>39052</v>
      </c>
      <c r="N44" s="4">
        <v>11369922533.33</v>
      </c>
    </row>
    <row r="45" spans="5:14">
      <c r="E45" s="3">
        <v>39083</v>
      </c>
      <c r="F45" s="4">
        <v>40280509023.150002</v>
      </c>
      <c r="I45" s="3">
        <v>39083</v>
      </c>
      <c r="J45" s="4">
        <v>32982461525.719997</v>
      </c>
      <c r="M45" s="3">
        <v>39083</v>
      </c>
      <c r="N45" s="4">
        <v>12068562737.24</v>
      </c>
    </row>
    <row r="46" spans="5:14">
      <c r="E46" s="3">
        <v>39114</v>
      </c>
      <c r="F46" s="4">
        <v>44459010974.660011</v>
      </c>
      <c r="I46" s="3">
        <v>39114</v>
      </c>
      <c r="J46" s="4">
        <v>37335367110.779999</v>
      </c>
      <c r="M46" s="3">
        <v>39114</v>
      </c>
      <c r="N46" s="4">
        <v>14906336717.870001</v>
      </c>
    </row>
    <row r="47" spans="5:14">
      <c r="E47" s="3">
        <v>39142</v>
      </c>
      <c r="F47" s="4">
        <v>39699963461.440002</v>
      </c>
      <c r="I47" s="3">
        <v>39142</v>
      </c>
      <c r="J47" s="4">
        <v>31729643578.310001</v>
      </c>
      <c r="M47" s="3">
        <v>39142</v>
      </c>
      <c r="N47" s="4">
        <v>11915399053.1</v>
      </c>
    </row>
    <row r="48" spans="5:14">
      <c r="E48" s="3">
        <v>39173</v>
      </c>
      <c r="F48" s="4">
        <v>44612018493.380005</v>
      </c>
      <c r="I48" s="3">
        <v>39173</v>
      </c>
      <c r="J48" s="4">
        <v>36456608651.970001</v>
      </c>
      <c r="M48" s="3">
        <v>39173</v>
      </c>
      <c r="N48" s="4">
        <v>13440547910.5</v>
      </c>
    </row>
    <row r="49" spans="5:14">
      <c r="E49" s="3">
        <v>39203</v>
      </c>
      <c r="F49" s="4">
        <v>45163385837.460007</v>
      </c>
      <c r="I49" s="3">
        <v>39203</v>
      </c>
      <c r="J49" s="4">
        <v>38184312925.010002</v>
      </c>
      <c r="M49" s="3">
        <v>39203</v>
      </c>
      <c r="N49" s="4">
        <v>14589989652.360001</v>
      </c>
    </row>
    <row r="50" spans="5:14">
      <c r="E50" s="3">
        <v>39234</v>
      </c>
      <c r="F50" s="4">
        <v>51753074291.699997</v>
      </c>
      <c r="I50" s="3">
        <v>39234</v>
      </c>
      <c r="J50" s="4">
        <v>41821075321.049995</v>
      </c>
      <c r="M50" s="3">
        <v>39234</v>
      </c>
      <c r="N50" s="4">
        <v>15230409440.049999</v>
      </c>
    </row>
    <row r="51" spans="5:14">
      <c r="E51" s="3">
        <v>39264</v>
      </c>
      <c r="F51" s="4">
        <v>54801492236.05999</v>
      </c>
      <c r="I51" s="3">
        <v>39264</v>
      </c>
      <c r="J51" s="4">
        <v>45598191085.659996</v>
      </c>
      <c r="M51" s="3">
        <v>39264</v>
      </c>
      <c r="N51" s="4">
        <v>17586653532.040001</v>
      </c>
    </row>
    <row r="52" spans="5:14">
      <c r="E52" s="3">
        <v>39295</v>
      </c>
      <c r="F52" s="4">
        <v>54076499065.469986</v>
      </c>
      <c r="I52" s="3">
        <v>39295</v>
      </c>
      <c r="J52" s="4">
        <v>43577028327.099991</v>
      </c>
      <c r="M52" s="3">
        <v>39295</v>
      </c>
      <c r="N52" s="4">
        <v>15188068031.41</v>
      </c>
    </row>
    <row r="53" spans="5:14">
      <c r="E53" s="3">
        <v>39326</v>
      </c>
      <c r="F53" s="4">
        <v>48436392044.020004</v>
      </c>
      <c r="I53" s="3">
        <v>39326</v>
      </c>
      <c r="J53" s="4">
        <v>38360575429.730003</v>
      </c>
      <c r="M53" s="3">
        <v>39326</v>
      </c>
      <c r="N53" s="4">
        <v>13829268759.76</v>
      </c>
    </row>
    <row r="54" spans="5:14">
      <c r="E54" s="3">
        <v>39356</v>
      </c>
      <c r="F54" s="4">
        <v>49150688193.139999</v>
      </c>
      <c r="I54" s="3">
        <v>39356</v>
      </c>
      <c r="J54" s="4">
        <v>40189480222.099998</v>
      </c>
      <c r="M54" s="3">
        <v>39356</v>
      </c>
      <c r="N54" s="4">
        <v>16061360740.030001</v>
      </c>
    </row>
    <row r="55" spans="5:14">
      <c r="E55" s="3">
        <v>39387</v>
      </c>
      <c r="F55" s="4">
        <v>47384230622.669998</v>
      </c>
      <c r="I55" s="3">
        <v>39387</v>
      </c>
      <c r="J55" s="4">
        <v>37132352987.849998</v>
      </c>
      <c r="M55" s="3">
        <v>39387</v>
      </c>
      <c r="N55" s="4">
        <v>13009808173.709999</v>
      </c>
    </row>
    <row r="56" spans="5:14">
      <c r="E56" s="3">
        <v>39417</v>
      </c>
      <c r="F56" s="4">
        <v>46640588044.619995</v>
      </c>
      <c r="I56" s="3">
        <v>39417</v>
      </c>
      <c r="J56" s="4">
        <v>35423645321.739998</v>
      </c>
      <c r="M56" s="3">
        <v>39417</v>
      </c>
      <c r="N56" s="4">
        <v>12603633651.940001</v>
      </c>
    </row>
    <row r="57" spans="5:14">
      <c r="E57" s="3">
        <v>39448</v>
      </c>
      <c r="F57" s="4">
        <v>65017340144.210007</v>
      </c>
      <c r="I57" s="3">
        <v>39448</v>
      </c>
      <c r="J57" s="4">
        <v>52356321979.840004</v>
      </c>
      <c r="M57" s="3">
        <v>39448</v>
      </c>
      <c r="N57" s="4">
        <v>19245031368.959999</v>
      </c>
    </row>
    <row r="58" spans="5:14">
      <c r="E58" s="3">
        <v>39479</v>
      </c>
      <c r="F58" s="4">
        <v>48202780379.819992</v>
      </c>
      <c r="I58" s="3">
        <v>39479</v>
      </c>
      <c r="J58" s="4">
        <v>38429714675.949997</v>
      </c>
      <c r="M58" s="3">
        <v>39479</v>
      </c>
      <c r="N58" s="4">
        <v>14202157043.27</v>
      </c>
    </row>
    <row r="59" spans="5:14">
      <c r="E59" s="3">
        <v>39508</v>
      </c>
      <c r="F59" s="4">
        <v>71980932056.040009</v>
      </c>
      <c r="I59" s="3">
        <v>39508</v>
      </c>
      <c r="J59" s="4">
        <v>57933017059.870003</v>
      </c>
      <c r="M59" s="3">
        <v>39508</v>
      </c>
      <c r="N59" s="4">
        <v>18869156796.220001</v>
      </c>
    </row>
    <row r="60" spans="5:14">
      <c r="E60" s="3">
        <v>39539</v>
      </c>
      <c r="F60" s="4">
        <v>47078096575.229996</v>
      </c>
      <c r="I60" s="3">
        <v>39539</v>
      </c>
      <c r="J60" s="4">
        <v>37934628259.07</v>
      </c>
      <c r="M60" s="3">
        <v>39539</v>
      </c>
      <c r="N60" s="4">
        <v>9926586445.7800007</v>
      </c>
    </row>
    <row r="61" spans="5:14">
      <c r="E61" s="3">
        <v>39569</v>
      </c>
      <c r="F61" s="4">
        <v>52635172551.659988</v>
      </c>
      <c r="I61" s="3">
        <v>39569</v>
      </c>
      <c r="J61" s="4">
        <v>42014894318.319992</v>
      </c>
      <c r="M61" s="3">
        <v>39569</v>
      </c>
      <c r="N61" s="4">
        <v>13677637389.280001</v>
      </c>
    </row>
    <row r="62" spans="5:14">
      <c r="E62" s="3">
        <v>39600</v>
      </c>
      <c r="F62" s="4">
        <v>61635508716.530006</v>
      </c>
      <c r="I62" s="3">
        <v>39600</v>
      </c>
      <c r="J62" s="4">
        <v>50039968636.970001</v>
      </c>
      <c r="M62" s="3">
        <v>39600</v>
      </c>
      <c r="N62" s="4">
        <v>16065557997.07</v>
      </c>
    </row>
    <row r="63" spans="5:14">
      <c r="E63" s="3">
        <v>39630</v>
      </c>
      <c r="F63" s="4">
        <v>45591009988.510002</v>
      </c>
      <c r="I63" s="3">
        <v>39630</v>
      </c>
      <c r="J63" s="4">
        <v>38759941326.599998</v>
      </c>
      <c r="M63" s="3">
        <v>39630</v>
      </c>
      <c r="N63" s="4">
        <v>12448685404.389999</v>
      </c>
    </row>
    <row r="64" spans="5:14">
      <c r="E64" s="3">
        <v>39661</v>
      </c>
      <c r="F64" s="4">
        <v>31436623958.66</v>
      </c>
      <c r="I64" s="3">
        <v>39661</v>
      </c>
      <c r="J64" s="4">
        <v>25442840100.120003</v>
      </c>
      <c r="M64" s="3">
        <v>39661</v>
      </c>
      <c r="N64" s="4">
        <v>6812598633.46</v>
      </c>
    </row>
    <row r="65" spans="5:14">
      <c r="E65" s="3">
        <v>39692</v>
      </c>
      <c r="F65" s="4">
        <v>26526543059.549999</v>
      </c>
      <c r="I65" s="3">
        <v>39692</v>
      </c>
      <c r="J65" s="4">
        <v>21598906300.810001</v>
      </c>
      <c r="M65" s="3">
        <v>39692</v>
      </c>
      <c r="N65" s="4">
        <v>5479074775.4300003</v>
      </c>
    </row>
    <row r="66" spans="5:14">
      <c r="E66" s="3">
        <v>39722</v>
      </c>
      <c r="F66" s="4">
        <v>31358693679.060001</v>
      </c>
      <c r="I66" s="3">
        <v>39722</v>
      </c>
      <c r="J66" s="4">
        <v>26005861056.07</v>
      </c>
      <c r="M66" s="3">
        <v>39722</v>
      </c>
      <c r="N66" s="4">
        <v>7947690883.6099997</v>
      </c>
    </row>
    <row r="67" spans="5:14">
      <c r="E67" s="3">
        <v>39753</v>
      </c>
      <c r="F67" s="4">
        <v>27240025302.790001</v>
      </c>
      <c r="I67" s="3">
        <v>39753</v>
      </c>
      <c r="J67" s="4">
        <v>20986628151.540001</v>
      </c>
      <c r="M67" s="3">
        <v>39753</v>
      </c>
      <c r="N67" s="4">
        <v>6263865667.6599998</v>
      </c>
    </row>
    <row r="68" spans="5:14">
      <c r="E68" s="3">
        <v>39783</v>
      </c>
      <c r="F68" s="4">
        <v>20841409991.700005</v>
      </c>
      <c r="I68" s="3">
        <v>39783</v>
      </c>
      <c r="J68" s="4">
        <v>16772316931.700003</v>
      </c>
      <c r="M68" s="3">
        <v>39783</v>
      </c>
      <c r="N68" s="4">
        <v>5409841465.3100004</v>
      </c>
    </row>
    <row r="69" spans="5:14">
      <c r="E69" s="3">
        <v>39814</v>
      </c>
      <c r="F69" s="4">
        <v>32897715325.23</v>
      </c>
      <c r="I69" s="3">
        <v>39814</v>
      </c>
      <c r="J69" s="4">
        <v>24624689128.59</v>
      </c>
      <c r="M69" s="3">
        <v>39814</v>
      </c>
      <c r="N69" s="4">
        <v>8591092469.3799992</v>
      </c>
    </row>
    <row r="70" spans="5:14">
      <c r="E70" s="3">
        <v>39845</v>
      </c>
      <c r="F70" s="4">
        <v>17164701492.5</v>
      </c>
      <c r="I70" s="3">
        <v>39845</v>
      </c>
      <c r="J70" s="4">
        <v>14158762603.860001</v>
      </c>
      <c r="M70" s="3">
        <v>39845</v>
      </c>
      <c r="N70" s="4">
        <v>4307824965.3000002</v>
      </c>
    </row>
    <row r="71" spans="5:14">
      <c r="E71" s="3">
        <v>39873</v>
      </c>
      <c r="F71" s="4">
        <v>32646007910.57</v>
      </c>
      <c r="I71" s="3">
        <v>39873</v>
      </c>
      <c r="J71" s="4">
        <v>27275317473.459999</v>
      </c>
      <c r="M71" s="3">
        <v>39873</v>
      </c>
      <c r="N71" s="4">
        <v>9985509207.7099991</v>
      </c>
    </row>
    <row r="72" spans="5:14">
      <c r="E72" s="3">
        <v>39904</v>
      </c>
      <c r="F72" s="4">
        <v>68408727039.080009</v>
      </c>
      <c r="I72" s="3">
        <v>39904</v>
      </c>
      <c r="J72" s="4">
        <v>59033003601.860008</v>
      </c>
      <c r="M72" s="3">
        <v>39904</v>
      </c>
      <c r="N72" s="4">
        <v>21059327558.889999</v>
      </c>
    </row>
    <row r="73" spans="5:14">
      <c r="E73" s="3">
        <v>39934</v>
      </c>
      <c r="F73" s="4">
        <v>36074918280.239998</v>
      </c>
      <c r="I73" s="3">
        <v>39934</v>
      </c>
      <c r="J73" s="4">
        <v>29187085765.059998</v>
      </c>
      <c r="M73" s="3">
        <v>39934</v>
      </c>
      <c r="N73" s="4">
        <v>11006090698.6</v>
      </c>
    </row>
    <row r="74" spans="5:14">
      <c r="E74" s="3">
        <v>39965</v>
      </c>
      <c r="F74" s="4">
        <v>47800828048.669998</v>
      </c>
      <c r="I74" s="3">
        <v>39965</v>
      </c>
      <c r="J74" s="4">
        <v>41142110326.32</v>
      </c>
      <c r="M74" s="3">
        <v>39965</v>
      </c>
      <c r="N74" s="4">
        <v>13967560067</v>
      </c>
    </row>
    <row r="75" spans="5:14">
      <c r="E75" s="3">
        <v>39995</v>
      </c>
      <c r="F75" s="4">
        <v>71000461836.590012</v>
      </c>
      <c r="I75" s="3">
        <v>39995</v>
      </c>
      <c r="J75" s="4">
        <v>62469997317.860001</v>
      </c>
      <c r="M75" s="3">
        <v>39995</v>
      </c>
      <c r="N75" s="4">
        <v>22149963934.57</v>
      </c>
    </row>
    <row r="76" spans="5:14">
      <c r="E76" s="3">
        <v>40026</v>
      </c>
      <c r="F76" s="4">
        <v>53760589759.599998</v>
      </c>
      <c r="I76" s="3">
        <v>40026</v>
      </c>
      <c r="J76" s="4">
        <v>46530707556.220001</v>
      </c>
      <c r="M76" s="3">
        <v>40026</v>
      </c>
      <c r="N76" s="4">
        <v>17966598426.119999</v>
      </c>
    </row>
    <row r="77" spans="5:14">
      <c r="E77" s="3">
        <v>40057</v>
      </c>
      <c r="F77" s="4">
        <v>39894122778.360001</v>
      </c>
      <c r="I77" s="3">
        <v>40057</v>
      </c>
      <c r="J77" s="4">
        <v>34767572988.950005</v>
      </c>
      <c r="M77" s="3">
        <v>40057</v>
      </c>
      <c r="N77" s="4">
        <v>14871497530.26</v>
      </c>
    </row>
    <row r="78" spans="5:14">
      <c r="E78" s="3">
        <v>40087</v>
      </c>
      <c r="F78" s="4">
        <v>39812999208.309998</v>
      </c>
      <c r="I78" s="3">
        <v>40087</v>
      </c>
      <c r="J78" s="4">
        <v>36252925794.540001</v>
      </c>
      <c r="M78" s="3">
        <v>40087</v>
      </c>
      <c r="N78" s="4">
        <v>15019540836.5</v>
      </c>
    </row>
    <row r="79" spans="5:14">
      <c r="E79" s="3">
        <v>40118</v>
      </c>
      <c r="F79" s="4">
        <v>27299803699.289993</v>
      </c>
      <c r="I79" s="3">
        <v>40118</v>
      </c>
      <c r="J79" s="4">
        <v>23964218032.68</v>
      </c>
      <c r="M79" s="3">
        <v>40118</v>
      </c>
      <c r="N79" s="4">
        <v>9801952065.9599991</v>
      </c>
    </row>
    <row r="80" spans="5:14">
      <c r="E80" s="3">
        <v>40148</v>
      </c>
      <c r="F80" s="4">
        <v>26456405845.639999</v>
      </c>
      <c r="I80" s="3">
        <v>40148</v>
      </c>
      <c r="J80" s="4">
        <v>22409303287.959999</v>
      </c>
      <c r="M80" s="3">
        <v>40148</v>
      </c>
      <c r="N80" s="4">
        <v>7919040750.3400002</v>
      </c>
    </row>
    <row r="81" spans="5:14">
      <c r="E81" s="3">
        <v>40179</v>
      </c>
      <c r="F81" s="4">
        <v>35319041802.149994</v>
      </c>
      <c r="I81" s="3">
        <v>40179</v>
      </c>
      <c r="J81" s="4">
        <v>30473732956.160004</v>
      </c>
      <c r="M81" s="3">
        <v>40179</v>
      </c>
      <c r="N81" s="4">
        <v>11776429345.26</v>
      </c>
    </row>
    <row r="82" spans="5:14">
      <c r="E82" s="3">
        <v>40210</v>
      </c>
      <c r="F82" s="4">
        <v>28320981212.270004</v>
      </c>
      <c r="I82" s="3">
        <v>40210</v>
      </c>
      <c r="J82" s="4">
        <v>25122317383.700001</v>
      </c>
      <c r="M82" s="3">
        <v>40210</v>
      </c>
      <c r="N82" s="4">
        <v>10182718045.91</v>
      </c>
    </row>
    <row r="83" spans="5:14">
      <c r="E83" s="3">
        <v>40238</v>
      </c>
      <c r="F83" s="4">
        <v>31459049797.27</v>
      </c>
      <c r="I83" s="3">
        <v>40238</v>
      </c>
      <c r="J83" s="4">
        <v>28719429399.230003</v>
      </c>
      <c r="M83" s="3">
        <v>40238</v>
      </c>
      <c r="N83" s="4">
        <v>10733753561.620001</v>
      </c>
    </row>
    <row r="84" spans="5:14">
      <c r="E84" s="3">
        <v>40269</v>
      </c>
      <c r="F84" s="4">
        <v>27234086431.32</v>
      </c>
      <c r="I84" s="3">
        <v>40269</v>
      </c>
      <c r="J84" s="4">
        <v>24936256082.669998</v>
      </c>
      <c r="M84" s="3">
        <v>40269</v>
      </c>
      <c r="N84" s="4">
        <v>8010432484.8699999</v>
      </c>
    </row>
    <row r="85" spans="5:14">
      <c r="E85" s="3">
        <v>40299</v>
      </c>
      <c r="F85" s="4">
        <v>26609020930.07</v>
      </c>
      <c r="I85" s="3">
        <v>40299</v>
      </c>
      <c r="J85" s="4">
        <v>23855723365.02</v>
      </c>
      <c r="M85" s="3">
        <v>40299</v>
      </c>
      <c r="N85" s="4">
        <v>9793443604.5200005</v>
      </c>
    </row>
    <row r="86" spans="5:14">
      <c r="E86" s="3">
        <v>40330</v>
      </c>
      <c r="F86" s="4">
        <v>26223578219.900002</v>
      </c>
      <c r="I86" s="3">
        <v>40330</v>
      </c>
      <c r="J86" s="4">
        <v>23124403168.75</v>
      </c>
      <c r="M86" s="3">
        <v>40330</v>
      </c>
      <c r="N86" s="4">
        <v>8799294787.6299992</v>
      </c>
    </row>
    <row r="87" spans="5:14">
      <c r="E87" s="3">
        <v>40360</v>
      </c>
      <c r="F87" s="4">
        <v>26520322604.389996</v>
      </c>
      <c r="I87" s="3">
        <v>40360</v>
      </c>
      <c r="J87" s="4">
        <v>23335905743.639999</v>
      </c>
      <c r="M87" s="3">
        <v>40360</v>
      </c>
      <c r="N87" s="4">
        <v>7934970468.3800001</v>
      </c>
    </row>
    <row r="88" spans="5:14">
      <c r="E88" s="3">
        <v>40391</v>
      </c>
      <c r="F88" s="4">
        <v>27609609986.340004</v>
      </c>
      <c r="I88" s="3">
        <v>40391</v>
      </c>
      <c r="J88" s="4">
        <v>24661759514.200001</v>
      </c>
      <c r="M88" s="3">
        <v>40391</v>
      </c>
      <c r="N88" s="4">
        <v>8650842881.4500008</v>
      </c>
    </row>
    <row r="89" spans="5:14">
      <c r="E89" s="3">
        <v>40422</v>
      </c>
      <c r="F89" s="4">
        <v>29617439853.449997</v>
      </c>
      <c r="I89" s="3">
        <v>40422</v>
      </c>
      <c r="J89" s="4">
        <v>24683867685.949997</v>
      </c>
      <c r="M89" s="3">
        <v>40422</v>
      </c>
      <c r="N89" s="4">
        <v>10264966285.639999</v>
      </c>
    </row>
    <row r="90" spans="5:14">
      <c r="E90" s="3">
        <v>40452</v>
      </c>
      <c r="F90" s="4">
        <v>48553977687.410004</v>
      </c>
      <c r="I90" s="3">
        <v>40452</v>
      </c>
      <c r="J90" s="4">
        <v>41844668760.610001</v>
      </c>
      <c r="M90" s="3">
        <v>40452</v>
      </c>
      <c r="N90" s="4">
        <v>12567511433.07</v>
      </c>
    </row>
    <row r="91" spans="5:14">
      <c r="E91" s="3">
        <v>40483</v>
      </c>
      <c r="F91" s="4">
        <v>43379866845</v>
      </c>
      <c r="I91" s="3">
        <v>40483</v>
      </c>
      <c r="J91" s="4">
        <v>37014631071.25</v>
      </c>
      <c r="M91" s="3">
        <v>40483</v>
      </c>
      <c r="N91" s="4">
        <v>13640971298.67</v>
      </c>
    </row>
    <row r="92" spans="5:14">
      <c r="E92" s="3">
        <v>40513</v>
      </c>
      <c r="F92" s="4">
        <v>43249158270.020004</v>
      </c>
      <c r="I92" s="3">
        <v>40513</v>
      </c>
      <c r="J92" s="4">
        <v>35056160439.300003</v>
      </c>
      <c r="M92" s="3">
        <v>40513</v>
      </c>
      <c r="N92" s="4">
        <v>12770630060.530001</v>
      </c>
    </row>
    <row r="93" spans="5:14">
      <c r="E93" s="3">
        <v>40544</v>
      </c>
      <c r="F93" s="4">
        <v>53353328128.620003</v>
      </c>
      <c r="I93" s="3">
        <v>40544</v>
      </c>
      <c r="J93" s="4">
        <v>47334757648.860001</v>
      </c>
      <c r="M93" s="3">
        <v>40544</v>
      </c>
      <c r="N93" s="4">
        <v>14069204024.26</v>
      </c>
    </row>
    <row r="94" spans="5:14">
      <c r="E94" s="3">
        <v>40575</v>
      </c>
      <c r="F94" s="4">
        <v>44854076167.450005</v>
      </c>
      <c r="I94" s="3">
        <v>40575</v>
      </c>
      <c r="J94" s="4">
        <v>37868286535.940002</v>
      </c>
      <c r="M94" s="3">
        <v>40575</v>
      </c>
      <c r="N94" s="4">
        <v>14638512908.190001</v>
      </c>
    </row>
    <row r="95" spans="5:14">
      <c r="E95" s="3">
        <v>40603</v>
      </c>
      <c r="F95" s="4">
        <v>35830274691.750008</v>
      </c>
      <c r="I95" s="3">
        <v>40603</v>
      </c>
      <c r="J95" s="4">
        <v>30847095003.530003</v>
      </c>
      <c r="M95" s="3">
        <v>40603</v>
      </c>
      <c r="N95" s="4">
        <v>12508600905.84</v>
      </c>
    </row>
    <row r="96" spans="5:14">
      <c r="E96" s="3">
        <v>40634</v>
      </c>
      <c r="F96" s="4">
        <v>36884767125.040001</v>
      </c>
      <c r="I96" s="3">
        <v>40634</v>
      </c>
      <c r="J96" s="4">
        <v>31995951520.699997</v>
      </c>
      <c r="M96" s="3">
        <v>40634</v>
      </c>
      <c r="N96" s="4">
        <v>9375011832.8899994</v>
      </c>
    </row>
    <row r="97" spans="5:14">
      <c r="E97" s="3">
        <v>40664</v>
      </c>
      <c r="F97" s="4">
        <v>21690523607.799999</v>
      </c>
      <c r="I97" s="3">
        <v>40664</v>
      </c>
      <c r="J97" s="4">
        <v>18885096162.080002</v>
      </c>
      <c r="M97" s="3">
        <v>40664</v>
      </c>
      <c r="N97" s="4">
        <v>7263200622.4200001</v>
      </c>
    </row>
    <row r="98" spans="5:14">
      <c r="E98" s="3">
        <v>40695</v>
      </c>
      <c r="F98" s="4">
        <v>20046661700.739998</v>
      </c>
      <c r="I98" s="3">
        <v>40695</v>
      </c>
      <c r="J98" s="4">
        <v>17263633854.200001</v>
      </c>
      <c r="M98" s="3">
        <v>40695</v>
      </c>
      <c r="N98" s="4">
        <v>6560805145.7200003</v>
      </c>
    </row>
    <row r="99" spans="5:14">
      <c r="E99" s="3">
        <v>40725</v>
      </c>
      <c r="F99" s="4">
        <v>23865091870.369999</v>
      </c>
      <c r="I99" s="3">
        <v>40725</v>
      </c>
      <c r="J99" s="4">
        <v>20775371363.949997</v>
      </c>
      <c r="M99" s="3">
        <v>40725</v>
      </c>
      <c r="N99" s="4">
        <v>7723507087.5699997</v>
      </c>
    </row>
    <row r="100" spans="5:14">
      <c r="E100" s="3">
        <v>40756</v>
      </c>
      <c r="F100" s="4">
        <v>19227300217.380001</v>
      </c>
      <c r="I100" s="3">
        <v>40756</v>
      </c>
      <c r="J100" s="4">
        <v>16628425568.720001</v>
      </c>
      <c r="M100" s="3">
        <v>40756</v>
      </c>
      <c r="N100" s="4">
        <v>5076597395.6099997</v>
      </c>
    </row>
    <row r="101" spans="5:14">
      <c r="E101" s="3">
        <v>40787</v>
      </c>
      <c r="F101" s="4">
        <v>24060651555.790005</v>
      </c>
      <c r="I101" s="3">
        <v>40787</v>
      </c>
      <c r="J101" s="4">
        <v>20110317816.27</v>
      </c>
      <c r="M101" s="3">
        <v>40787</v>
      </c>
      <c r="N101" s="4">
        <v>8026484432.2399998</v>
      </c>
    </row>
    <row r="102" spans="5:14">
      <c r="E102" s="3">
        <v>40817</v>
      </c>
      <c r="F102" s="4">
        <v>31033821212.829994</v>
      </c>
      <c r="I102" s="3">
        <v>40817</v>
      </c>
      <c r="J102" s="4">
        <v>26646989296.510002</v>
      </c>
      <c r="M102" s="3">
        <v>40817</v>
      </c>
      <c r="N102" s="4">
        <v>9630208171.6000004</v>
      </c>
    </row>
    <row r="103" spans="5:14">
      <c r="E103" s="3">
        <v>40848</v>
      </c>
      <c r="F103" s="4">
        <v>30575938219.929993</v>
      </c>
      <c r="I103" s="3">
        <v>40848</v>
      </c>
      <c r="J103" s="4">
        <v>24414679942.879997</v>
      </c>
      <c r="M103" s="3">
        <v>40848</v>
      </c>
      <c r="N103" s="4">
        <v>11686443131.879999</v>
      </c>
    </row>
    <row r="104" spans="5:14">
      <c r="E104" s="3">
        <v>40878</v>
      </c>
      <c r="F104" s="4">
        <v>39303489223.970001</v>
      </c>
      <c r="I104" s="3">
        <v>40878</v>
      </c>
      <c r="J104" s="4">
        <v>33026093818.93</v>
      </c>
      <c r="M104" s="3">
        <v>40878</v>
      </c>
      <c r="N104" s="4">
        <v>14402413671.309999</v>
      </c>
    </row>
    <row r="105" spans="5:14">
      <c r="E105" s="3">
        <v>40909</v>
      </c>
      <c r="F105" s="4">
        <v>48205975760.459999</v>
      </c>
      <c r="I105" s="3">
        <v>40909</v>
      </c>
      <c r="J105" s="4">
        <v>42363665721.82</v>
      </c>
      <c r="M105" s="3">
        <v>40909</v>
      </c>
      <c r="N105" s="4">
        <v>23209079451.07</v>
      </c>
    </row>
    <row r="106" spans="5:14">
      <c r="E106" s="3">
        <v>40940</v>
      </c>
      <c r="F106" s="4">
        <v>33866907694.779995</v>
      </c>
      <c r="I106" s="3">
        <v>40940</v>
      </c>
      <c r="J106" s="4">
        <v>28594313516.580002</v>
      </c>
      <c r="M106" s="3">
        <v>40940</v>
      </c>
      <c r="N106" s="4">
        <v>15050460727.190001</v>
      </c>
    </row>
    <row r="107" spans="5:14">
      <c r="E107" s="3">
        <v>40969</v>
      </c>
      <c r="F107" s="4">
        <v>31924805261.230003</v>
      </c>
      <c r="I107" s="3">
        <v>40969</v>
      </c>
      <c r="J107" s="4">
        <v>26813941319.43</v>
      </c>
      <c r="M107" s="3">
        <v>40969</v>
      </c>
      <c r="N107" s="4">
        <v>14049256877.940001</v>
      </c>
    </row>
    <row r="108" spans="5:14">
      <c r="E108" s="3">
        <v>41000</v>
      </c>
      <c r="F108" s="4">
        <v>56496777570.090012</v>
      </c>
      <c r="I108" s="3">
        <v>41000</v>
      </c>
      <c r="J108" s="4">
        <v>49104945245.930008</v>
      </c>
      <c r="M108" s="3">
        <v>41000</v>
      </c>
      <c r="N108" s="4">
        <v>30547686964.380001</v>
      </c>
    </row>
    <row r="109" spans="5:14">
      <c r="E109" s="3">
        <v>41030</v>
      </c>
      <c r="F109" s="4">
        <v>23767072920.790001</v>
      </c>
      <c r="I109" s="3">
        <v>41030</v>
      </c>
      <c r="J109" s="4">
        <v>20413263787.060001</v>
      </c>
      <c r="M109" s="3">
        <v>41030</v>
      </c>
      <c r="N109" s="4">
        <v>10497979104.360001</v>
      </c>
    </row>
    <row r="110" spans="5:14">
      <c r="E110" s="3">
        <v>41061</v>
      </c>
      <c r="F110" s="4">
        <v>38985406125.029999</v>
      </c>
      <c r="I110" s="3">
        <v>41061</v>
      </c>
      <c r="J110" s="4">
        <v>33449699297.739998</v>
      </c>
      <c r="M110" s="3">
        <v>41061</v>
      </c>
      <c r="N110" s="4">
        <v>20085553792.799999</v>
      </c>
    </row>
    <row r="111" spans="5:14">
      <c r="E111" s="3">
        <v>41091</v>
      </c>
      <c r="F111" s="4">
        <v>34051928501.080006</v>
      </c>
      <c r="I111" s="3">
        <v>41091</v>
      </c>
      <c r="J111" s="4">
        <v>26319150770.580002</v>
      </c>
      <c r="M111" s="3">
        <v>41091</v>
      </c>
      <c r="N111" s="4">
        <v>12490413319.5</v>
      </c>
    </row>
    <row r="112" spans="5:14">
      <c r="E112" s="3">
        <v>41122</v>
      </c>
      <c r="F112" s="4">
        <v>38782592583.130005</v>
      </c>
      <c r="I112" s="3">
        <v>41122</v>
      </c>
      <c r="J112" s="4">
        <v>32382569281.389999</v>
      </c>
      <c r="M112" s="3">
        <v>41122</v>
      </c>
      <c r="N112" s="4">
        <v>17722445723.59</v>
      </c>
    </row>
    <row r="113" spans="5:14">
      <c r="E113" s="3">
        <v>41153</v>
      </c>
      <c r="F113" s="4">
        <v>41893866412.769997</v>
      </c>
      <c r="I113" s="3">
        <v>41153</v>
      </c>
      <c r="J113" s="4">
        <v>34492756986.080002</v>
      </c>
      <c r="M113" s="3">
        <v>41153</v>
      </c>
      <c r="N113" s="4">
        <v>15450764934.82</v>
      </c>
    </row>
    <row r="114" spans="5:14">
      <c r="E114" s="3">
        <v>41183</v>
      </c>
      <c r="F114" s="4">
        <v>44179607235.949997</v>
      </c>
      <c r="I114" s="3">
        <v>41183</v>
      </c>
      <c r="J114" s="4">
        <v>36818867903.32</v>
      </c>
      <c r="M114" s="3">
        <v>41183</v>
      </c>
      <c r="N114" s="4">
        <v>15515154908.18</v>
      </c>
    </row>
    <row r="115" spans="5:14">
      <c r="E115" s="3">
        <v>41214</v>
      </c>
      <c r="F115" s="4">
        <v>34510631710.040001</v>
      </c>
      <c r="I115" s="3">
        <v>41214</v>
      </c>
      <c r="J115" s="4">
        <v>27045561670.25</v>
      </c>
      <c r="M115" s="3">
        <v>41214</v>
      </c>
      <c r="N115" s="4">
        <v>13208748904.610001</v>
      </c>
    </row>
    <row r="116" spans="5:14">
      <c r="E116" s="3">
        <v>41244</v>
      </c>
      <c r="F116" s="4">
        <v>48158686883.839996</v>
      </c>
      <c r="I116" s="3">
        <v>41244</v>
      </c>
      <c r="J116" s="4">
        <v>38377709156.639999</v>
      </c>
      <c r="M116" s="3">
        <v>41244</v>
      </c>
      <c r="N116" s="4">
        <v>18561639674.389999</v>
      </c>
    </row>
    <row r="117" spans="5:14">
      <c r="E117" s="3">
        <v>41275</v>
      </c>
      <c r="F117" s="4">
        <v>28061391859.560001</v>
      </c>
      <c r="I117" s="3">
        <v>41275</v>
      </c>
      <c r="J117" s="4">
        <v>22122050363.459999</v>
      </c>
      <c r="M117" s="3">
        <v>41275</v>
      </c>
      <c r="N117" s="4">
        <v>5514998779.8199997</v>
      </c>
    </row>
    <row r="118" spans="5:14">
      <c r="E118" s="3">
        <v>41306</v>
      </c>
      <c r="F118" s="4">
        <v>39917338888.109993</v>
      </c>
      <c r="I118" s="3">
        <v>41306</v>
      </c>
      <c r="J118" s="4">
        <v>31398215000.349998</v>
      </c>
      <c r="M118" s="3">
        <v>41306</v>
      </c>
      <c r="N118" s="4">
        <v>12330874909.370001</v>
      </c>
    </row>
    <row r="119" spans="5:14">
      <c r="E119" s="3">
        <v>41334</v>
      </c>
      <c r="F119" s="4">
        <v>40121731507.939995</v>
      </c>
      <c r="I119" s="3">
        <v>41334</v>
      </c>
      <c r="J119" s="4">
        <v>31825324478.059998</v>
      </c>
      <c r="M119" s="3">
        <v>41334</v>
      </c>
      <c r="N119" s="4">
        <v>11762868452.809999</v>
      </c>
    </row>
    <row r="120" spans="5:14">
      <c r="E120" s="3">
        <v>41365</v>
      </c>
      <c r="F120" s="4">
        <v>32167431009.59</v>
      </c>
      <c r="I120" s="3">
        <v>41365</v>
      </c>
      <c r="J120" s="4">
        <v>26205701340.690002</v>
      </c>
      <c r="M120" s="3">
        <v>41365</v>
      </c>
      <c r="N120" s="4">
        <v>9980934177.1000004</v>
      </c>
    </row>
    <row r="121" spans="5:14">
      <c r="E121" s="3">
        <v>41395</v>
      </c>
      <c r="F121" s="4">
        <v>36913559190.93</v>
      </c>
      <c r="I121" s="3">
        <v>41395</v>
      </c>
      <c r="J121" s="4">
        <v>29347304016.630001</v>
      </c>
      <c r="M121" s="3">
        <v>41395</v>
      </c>
      <c r="N121" s="4">
        <v>10647976949.73</v>
      </c>
    </row>
    <row r="122" spans="5:14">
      <c r="E122" s="3">
        <v>41426</v>
      </c>
      <c r="F122" s="4">
        <v>38156334831.479996</v>
      </c>
      <c r="I122" s="3">
        <v>41426</v>
      </c>
      <c r="J122" s="4">
        <v>31475187000.610001</v>
      </c>
      <c r="M122" s="3">
        <v>41426</v>
      </c>
      <c r="N122" s="4">
        <v>16378355650.98</v>
      </c>
    </row>
    <row r="123" spans="5:14">
      <c r="E123" s="3">
        <v>41456</v>
      </c>
      <c r="F123" s="4">
        <v>35041617202.470001</v>
      </c>
      <c r="I123" s="3">
        <v>41456</v>
      </c>
      <c r="J123" s="4">
        <v>28763554195</v>
      </c>
      <c r="M123" s="3">
        <v>41456</v>
      </c>
      <c r="N123" s="4">
        <v>15177156622.67</v>
      </c>
    </row>
    <row r="124" spans="5:14">
      <c r="E124" s="3">
        <v>41487</v>
      </c>
      <c r="F124" s="4">
        <v>37107511523.769997</v>
      </c>
      <c r="I124" s="3">
        <v>41487</v>
      </c>
      <c r="J124" s="4">
        <v>29530845936.25</v>
      </c>
      <c r="M124" s="3">
        <v>41487</v>
      </c>
      <c r="N124" s="4">
        <v>16749167656.17</v>
      </c>
    </row>
    <row r="125" spans="5:14">
      <c r="E125" s="3">
        <v>41518</v>
      </c>
      <c r="F125" s="4">
        <v>35118791554.82</v>
      </c>
      <c r="I125" s="3">
        <v>41518</v>
      </c>
      <c r="J125" s="4">
        <v>27247840920.879997</v>
      </c>
      <c r="M125" s="3">
        <v>41518</v>
      </c>
      <c r="N125" s="4">
        <v>15517116259.82</v>
      </c>
    </row>
    <row r="126" spans="5:14">
      <c r="E126" s="3">
        <v>41548</v>
      </c>
      <c r="F126" s="4">
        <v>28064540906.029999</v>
      </c>
      <c r="I126" s="3">
        <v>41548</v>
      </c>
      <c r="J126" s="4">
        <v>22898763123.93</v>
      </c>
      <c r="M126" s="3">
        <v>41548</v>
      </c>
      <c r="N126" s="4">
        <v>12736272274.200001</v>
      </c>
    </row>
    <row r="127" spans="5:14">
      <c r="E127" s="3">
        <v>41579</v>
      </c>
      <c r="F127" s="4">
        <v>21637776229.040005</v>
      </c>
      <c r="I127" s="3">
        <v>41579</v>
      </c>
      <c r="J127" s="4">
        <v>16433902304.59</v>
      </c>
      <c r="M127" s="3">
        <v>41579</v>
      </c>
      <c r="N127" s="4">
        <v>9023886132.7900009</v>
      </c>
    </row>
    <row r="128" spans="5:14">
      <c r="E128" s="3">
        <v>41609</v>
      </c>
      <c r="F128" s="4">
        <v>18895718293.77</v>
      </c>
      <c r="I128" s="3">
        <v>41609</v>
      </c>
      <c r="J128" s="4">
        <v>14912657625.279999</v>
      </c>
      <c r="M128" s="3">
        <v>41609</v>
      </c>
      <c r="N128" s="4">
        <v>7160448808.71</v>
      </c>
    </row>
    <row r="129" spans="5:14">
      <c r="E129" s="3">
        <v>41640</v>
      </c>
      <c r="F129" s="4">
        <v>15713305422.409998</v>
      </c>
      <c r="I129" s="3">
        <v>41640</v>
      </c>
      <c r="J129" s="4">
        <v>12219132557.98</v>
      </c>
      <c r="M129" s="3">
        <v>41640</v>
      </c>
      <c r="N129" s="4">
        <v>5970250118.0100002</v>
      </c>
    </row>
    <row r="130" spans="5:14">
      <c r="E130" s="3">
        <v>41671</v>
      </c>
      <c r="F130" s="4">
        <v>11202490056.259998</v>
      </c>
      <c r="I130" s="3">
        <v>41671</v>
      </c>
      <c r="J130" s="4">
        <v>8621087878.6100006</v>
      </c>
      <c r="M130" s="3">
        <v>41671</v>
      </c>
      <c r="N130" s="4">
        <v>2787339203.8600001</v>
      </c>
    </row>
    <row r="131" spans="5:14">
      <c r="E131" s="3">
        <v>41699</v>
      </c>
      <c r="F131" s="4">
        <v>12807228407.780001</v>
      </c>
      <c r="I131" s="3">
        <v>41699</v>
      </c>
      <c r="J131" s="4">
        <v>10366757211.17</v>
      </c>
      <c r="M131" s="3">
        <v>41699</v>
      </c>
      <c r="N131" s="4">
        <v>3860179857.6700001</v>
      </c>
    </row>
    <row r="132" spans="5:14">
      <c r="E132" s="3">
        <v>41730</v>
      </c>
      <c r="F132" s="4">
        <v>9445831116.8299999</v>
      </c>
      <c r="I132" s="3">
        <v>41730</v>
      </c>
      <c r="J132" s="4">
        <v>7480643206.3700008</v>
      </c>
      <c r="M132" s="3">
        <v>41730</v>
      </c>
      <c r="N132" s="4">
        <v>2723269728.27</v>
      </c>
    </row>
    <row r="133" spans="5:14">
      <c r="E133" s="3">
        <v>41760</v>
      </c>
      <c r="F133" s="4">
        <v>11658021191.040001</v>
      </c>
      <c r="I133" s="3">
        <v>41760</v>
      </c>
      <c r="J133" s="4">
        <v>8875534568.9399986</v>
      </c>
      <c r="M133" s="3">
        <v>41760</v>
      </c>
      <c r="N133" s="4">
        <v>3201052079.1599998</v>
      </c>
    </row>
    <row r="134" spans="5:14">
      <c r="E134" s="3">
        <v>41791</v>
      </c>
      <c r="F134" s="4">
        <v>10101047864.390001</v>
      </c>
      <c r="I134" s="3">
        <v>41791</v>
      </c>
      <c r="J134" s="4">
        <v>7276873928.4300003</v>
      </c>
      <c r="M134" s="3">
        <v>41791</v>
      </c>
      <c r="N134" s="4">
        <v>3493812279.3000002</v>
      </c>
    </row>
    <row r="135" spans="5:14">
      <c r="E135" s="3">
        <v>41821</v>
      </c>
      <c r="F135" s="4">
        <v>12260098921.190001</v>
      </c>
      <c r="I135" s="3">
        <v>41821</v>
      </c>
      <c r="J135" s="4">
        <v>9468857132.3899994</v>
      </c>
      <c r="M135" s="3">
        <v>41821</v>
      </c>
      <c r="N135" s="4">
        <v>3922236463.21</v>
      </c>
    </row>
    <row r="136" spans="5:14">
      <c r="E136" s="3">
        <v>41852</v>
      </c>
      <c r="F136" s="4">
        <v>13393116719.58</v>
      </c>
      <c r="I136" s="3">
        <v>41852</v>
      </c>
      <c r="J136" s="4">
        <v>10030900283.66</v>
      </c>
      <c r="M136" s="3">
        <v>41852</v>
      </c>
      <c r="N136" s="4">
        <v>4211266060.8699999</v>
      </c>
    </row>
    <row r="137" spans="5:14">
      <c r="E137" s="3">
        <v>41883</v>
      </c>
      <c r="F137" s="4">
        <v>13038351452.110003</v>
      </c>
      <c r="I137" s="3">
        <v>41883</v>
      </c>
      <c r="J137" s="4">
        <v>10020949088.049999</v>
      </c>
      <c r="M137" s="3">
        <v>41883</v>
      </c>
      <c r="N137" s="4">
        <v>4257244054.8600001</v>
      </c>
    </row>
    <row r="138" spans="5:14">
      <c r="E138" s="3">
        <v>41913</v>
      </c>
      <c r="F138" s="4">
        <v>19365462678.16</v>
      </c>
      <c r="I138" s="3">
        <v>41913</v>
      </c>
      <c r="J138" s="4">
        <v>14710744669.390001</v>
      </c>
      <c r="M138" s="3">
        <v>41913</v>
      </c>
      <c r="N138" s="4">
        <v>3899112245.7399998</v>
      </c>
    </row>
    <row r="139" spans="5:14">
      <c r="E139" s="3">
        <v>41944</v>
      </c>
      <c r="F139" s="4">
        <v>14716925675.34</v>
      </c>
      <c r="I139" s="3">
        <v>41944</v>
      </c>
      <c r="J139" s="4">
        <v>11245780454.17</v>
      </c>
      <c r="M139" s="3">
        <v>41944</v>
      </c>
      <c r="N139" s="4">
        <v>3926294145.04</v>
      </c>
    </row>
    <row r="140" spans="5:14">
      <c r="E140" s="3">
        <v>41974</v>
      </c>
      <c r="F140" s="4">
        <v>18525436829.699997</v>
      </c>
      <c r="I140" s="3">
        <v>41974</v>
      </c>
      <c r="J140" s="4">
        <v>14945343134.59</v>
      </c>
      <c r="M140" s="3">
        <v>41974</v>
      </c>
      <c r="N140" s="4">
        <v>4060384889.1599998</v>
      </c>
    </row>
    <row r="141" spans="5:14">
      <c r="E141" s="3">
        <v>42005</v>
      </c>
      <c r="F141" s="4">
        <v>14235878976.370001</v>
      </c>
      <c r="I141" s="3">
        <v>42005</v>
      </c>
      <c r="J141" s="4">
        <v>10632578652.470001</v>
      </c>
      <c r="M141" s="3">
        <v>42005</v>
      </c>
      <c r="N141" s="4">
        <v>3507360281.3800001</v>
      </c>
    </row>
    <row r="142" spans="5:14">
      <c r="E142" s="3">
        <v>42036</v>
      </c>
      <c r="F142" s="4">
        <v>15896294717.43</v>
      </c>
      <c r="I142" s="3">
        <v>42036</v>
      </c>
      <c r="J142" s="4">
        <v>12524626705.59</v>
      </c>
      <c r="M142" s="3">
        <v>42036</v>
      </c>
      <c r="N142" s="4">
        <v>5302574418.9099998</v>
      </c>
    </row>
    <row r="143" spans="5:14">
      <c r="E143" s="3">
        <v>42064</v>
      </c>
      <c r="F143" s="4">
        <v>14377805495.529999</v>
      </c>
      <c r="I143" s="3">
        <v>42064</v>
      </c>
      <c r="J143" s="4">
        <v>10989454105.67</v>
      </c>
      <c r="M143" s="3">
        <v>42064</v>
      </c>
      <c r="N143" s="4">
        <v>4795370179.5500002</v>
      </c>
    </row>
    <row r="144" spans="5:14">
      <c r="E144" s="3" t="s">
        <v>41</v>
      </c>
      <c r="F144" s="4">
        <v>5309605657569.8809</v>
      </c>
      <c r="I144" s="3" t="s">
        <v>41</v>
      </c>
      <c r="J144" s="4">
        <v>4395887814663.6616</v>
      </c>
      <c r="M144" s="3" t="s">
        <v>41</v>
      </c>
      <c r="N144" s="4">
        <v>1627966640732.8701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03"/>
  <sheetViews>
    <sheetView workbookViewId="0">
      <selection activeCell="G56" sqref="G56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53</v>
      </c>
      <c r="K2" t="s">
        <v>54</v>
      </c>
      <c r="N2" t="s">
        <v>55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6</v>
      </c>
      <c r="C4" s="1">
        <v>37773</v>
      </c>
      <c r="D4">
        <v>29346009324.57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13</v>
      </c>
      <c r="C5" s="1">
        <v>37773</v>
      </c>
      <c r="D5">
        <v>25594894422.529999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7</v>
      </c>
      <c r="C6" s="1">
        <v>37773</v>
      </c>
      <c r="D6">
        <v>23300241072.73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14</v>
      </c>
      <c r="C7" s="1">
        <v>37773</v>
      </c>
      <c r="D7">
        <v>17817818276.099998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19</v>
      </c>
      <c r="C8" s="1">
        <v>37773</v>
      </c>
      <c r="D8">
        <v>5591763689.3800001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10</v>
      </c>
      <c r="C9" s="1">
        <v>37773</v>
      </c>
      <c r="D9">
        <v>4371995001.1899996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15</v>
      </c>
      <c r="C10" s="1">
        <v>37773</v>
      </c>
      <c r="D10">
        <v>3031001736.98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11</v>
      </c>
      <c r="C11" s="1">
        <v>37773</v>
      </c>
      <c r="D11">
        <v>2386757053.25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26</v>
      </c>
      <c r="C12" s="1">
        <v>37773</v>
      </c>
      <c r="D12">
        <v>2160965900.48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1659941249.73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13</v>
      </c>
      <c r="C14" s="1">
        <v>37803</v>
      </c>
      <c r="D14">
        <v>29203480041.400002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6</v>
      </c>
      <c r="C15" s="1">
        <v>37803</v>
      </c>
      <c r="D15">
        <v>29172965695.619999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7</v>
      </c>
      <c r="C16" s="1">
        <v>37803</v>
      </c>
      <c r="D16">
        <v>23865657170.52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14</v>
      </c>
      <c r="C17" s="1">
        <v>37803</v>
      </c>
      <c r="D17">
        <v>20341432059.669998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19</v>
      </c>
      <c r="C18" s="1">
        <v>37803</v>
      </c>
      <c r="D18">
        <v>6153977891.3500004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10</v>
      </c>
      <c r="C19" s="1">
        <v>37803</v>
      </c>
      <c r="D19">
        <v>3946035702.4200001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18"/>
    </row>
    <row r="20" spans="2:20">
      <c r="B20" s="1" t="s">
        <v>11</v>
      </c>
      <c r="C20" s="1">
        <v>37803</v>
      </c>
      <c r="D20">
        <v>3743886848.1799998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19"/>
    </row>
    <row r="21" spans="2:20">
      <c r="B21" s="1" t="s">
        <v>15</v>
      </c>
      <c r="C21" s="1">
        <v>37803</v>
      </c>
      <c r="D21">
        <v>2415574600.1999998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4</v>
      </c>
      <c r="C22" s="1">
        <v>37803</v>
      </c>
      <c r="D22">
        <v>2259153579.3499999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26</v>
      </c>
      <c r="C23" s="1">
        <v>37803</v>
      </c>
      <c r="D23">
        <v>1957977856.9100001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6</v>
      </c>
      <c r="C24" s="1">
        <v>37834</v>
      </c>
      <c r="D24">
        <v>31589484729.220001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13</v>
      </c>
      <c r="C25" s="1">
        <v>37834</v>
      </c>
      <c r="D25">
        <v>26773551949.470001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7</v>
      </c>
      <c r="C26" s="1">
        <v>37834</v>
      </c>
      <c r="D26">
        <v>25312850976.130001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14</v>
      </c>
      <c r="C27" s="1">
        <v>37834</v>
      </c>
      <c r="D27">
        <v>19350033281.610001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19</v>
      </c>
      <c r="C28" s="1">
        <v>37834</v>
      </c>
      <c r="D28">
        <v>6553272141.8500004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10</v>
      </c>
      <c r="C29" s="1">
        <v>37834</v>
      </c>
      <c r="D29">
        <v>5198344897.3400002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4</v>
      </c>
      <c r="C30" s="1">
        <v>37834</v>
      </c>
      <c r="D30">
        <v>3791741304.1500001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15</v>
      </c>
      <c r="C31" s="1">
        <v>37834</v>
      </c>
      <c r="D31">
        <v>3097950638.54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11</v>
      </c>
      <c r="C32" s="1">
        <v>37834</v>
      </c>
      <c r="D32">
        <v>2957240670.1599998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1897629658.1199999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13</v>
      </c>
      <c r="C34" s="1">
        <v>37865</v>
      </c>
      <c r="D34">
        <v>23343172196.529999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6</v>
      </c>
      <c r="C35" s="1">
        <v>37865</v>
      </c>
      <c r="D35">
        <v>23275697073.029999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7</v>
      </c>
      <c r="C36" s="1">
        <v>37865</v>
      </c>
      <c r="D36">
        <v>19826816440.5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14</v>
      </c>
      <c r="C37" s="1">
        <v>37865</v>
      </c>
      <c r="D37">
        <v>14426975099.549999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19</v>
      </c>
      <c r="C38" s="1">
        <v>37865</v>
      </c>
      <c r="D38">
        <v>7515096015.8900003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10</v>
      </c>
      <c r="C39" s="1">
        <v>37865</v>
      </c>
      <c r="D39">
        <v>5929568065.8800001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15</v>
      </c>
      <c r="C40" s="1">
        <v>37865</v>
      </c>
      <c r="D40">
        <v>4567955305.6700001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4</v>
      </c>
      <c r="C41" s="1">
        <v>37865</v>
      </c>
      <c r="D41">
        <v>4028777568.02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11</v>
      </c>
      <c r="C42" s="1">
        <v>37865</v>
      </c>
      <c r="D42">
        <v>3062034416.1900001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24</v>
      </c>
      <c r="C43" s="1">
        <v>37865</v>
      </c>
      <c r="D43">
        <v>2004877979.8800001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13</v>
      </c>
      <c r="C44" s="1">
        <v>37895</v>
      </c>
      <c r="D44">
        <v>31820990055.02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14</v>
      </c>
      <c r="C45" s="1">
        <v>37895</v>
      </c>
      <c r="D45">
        <v>23304462130.580002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6</v>
      </c>
      <c r="C46" s="1">
        <v>37895</v>
      </c>
      <c r="D46">
        <v>19607994570.57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7</v>
      </c>
      <c r="C47" s="1">
        <v>37895</v>
      </c>
      <c r="D47">
        <v>15233136435.33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19</v>
      </c>
      <c r="C48" s="1">
        <v>37895</v>
      </c>
      <c r="D48">
        <v>8298069354.0699997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4</v>
      </c>
      <c r="C49" s="1">
        <v>37895</v>
      </c>
      <c r="D49">
        <v>5956711121.5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10</v>
      </c>
      <c r="C50" s="1">
        <v>37895</v>
      </c>
      <c r="D50">
        <v>3618514005.9400001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11</v>
      </c>
      <c r="C51" s="1">
        <v>37895</v>
      </c>
      <c r="D51">
        <v>3106236145.0700002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15</v>
      </c>
      <c r="C52" s="1">
        <v>37895</v>
      </c>
      <c r="D52">
        <v>2584077491.52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26</v>
      </c>
      <c r="C53" s="1">
        <v>37895</v>
      </c>
      <c r="D53">
        <v>2423012172.8200002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6</v>
      </c>
      <c r="C54" s="1">
        <v>37926</v>
      </c>
      <c r="D54">
        <v>14035831776.82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13</v>
      </c>
      <c r="C55" s="1">
        <v>37926</v>
      </c>
      <c r="D55">
        <v>13967974843.139999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14</v>
      </c>
      <c r="C56" s="1">
        <v>37926</v>
      </c>
      <c r="D56">
        <v>11162561398.85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11145599480.370001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19</v>
      </c>
      <c r="C58" s="1">
        <v>37926</v>
      </c>
      <c r="D58">
        <v>7145846167.6000004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4</v>
      </c>
      <c r="C59" s="1">
        <v>37926</v>
      </c>
      <c r="D59">
        <v>5672773548.6700001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11</v>
      </c>
      <c r="C60" s="1">
        <v>37926</v>
      </c>
      <c r="D60">
        <v>4312143095.29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9</v>
      </c>
      <c r="C61" s="1">
        <v>37926</v>
      </c>
      <c r="D61">
        <v>1885440241.96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10</v>
      </c>
      <c r="C62" s="1">
        <v>37926</v>
      </c>
      <c r="D62">
        <v>1663051773.1099999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26</v>
      </c>
      <c r="C63" s="1">
        <v>37926</v>
      </c>
      <c r="D63">
        <v>1617063031.6199999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13</v>
      </c>
      <c r="C64" s="1">
        <v>37956</v>
      </c>
      <c r="D64">
        <v>11117075517.34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6</v>
      </c>
      <c r="C65" s="1">
        <v>37956</v>
      </c>
      <c r="D65">
        <v>10254546587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14</v>
      </c>
      <c r="C66" s="1">
        <v>37956</v>
      </c>
      <c r="D66">
        <v>9589883533.4500008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7</v>
      </c>
      <c r="C67" s="1">
        <v>37956</v>
      </c>
      <c r="D67">
        <v>8284866996.75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4</v>
      </c>
      <c r="C68" s="1">
        <v>37956</v>
      </c>
      <c r="D68">
        <v>4786944474.4899998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19</v>
      </c>
      <c r="C69" s="1">
        <v>37956</v>
      </c>
      <c r="D69">
        <v>4320462524.4099998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26</v>
      </c>
      <c r="C70" s="1">
        <v>37956</v>
      </c>
      <c r="D70">
        <v>1782826073.9200001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10</v>
      </c>
      <c r="C71" s="1">
        <v>37956</v>
      </c>
      <c r="D71">
        <v>1667103888.1500001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11</v>
      </c>
      <c r="C72" s="1">
        <v>37956</v>
      </c>
      <c r="D72">
        <v>1531991100.9300001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9</v>
      </c>
      <c r="C73" s="1">
        <v>37956</v>
      </c>
      <c r="D73">
        <v>1527950917.3199999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6</v>
      </c>
      <c r="C74" s="1">
        <v>37987</v>
      </c>
      <c r="D74">
        <v>13196343605.73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7</v>
      </c>
      <c r="C75" s="1">
        <v>37987</v>
      </c>
      <c r="D75">
        <v>11409757594.76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13</v>
      </c>
      <c r="C76" s="1">
        <v>37987</v>
      </c>
      <c r="D76">
        <v>9311164762.7999992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14</v>
      </c>
      <c r="C77" s="1">
        <v>37987</v>
      </c>
      <c r="D77">
        <v>8617995788.6800003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19</v>
      </c>
      <c r="C78" s="1">
        <v>37987</v>
      </c>
      <c r="D78">
        <v>3151419601.3600001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11</v>
      </c>
      <c r="C79" s="1">
        <v>37987</v>
      </c>
      <c r="D79">
        <v>2478144609.0799999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4</v>
      </c>
      <c r="C80" s="1">
        <v>37987</v>
      </c>
      <c r="D80">
        <v>2334610514.6199999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10</v>
      </c>
      <c r="C81" s="1">
        <v>37987</v>
      </c>
      <c r="D81">
        <v>1254293674.6300001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56</v>
      </c>
      <c r="C82" s="1">
        <v>37987</v>
      </c>
      <c r="D82">
        <v>1084814450.73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9</v>
      </c>
      <c r="C83" s="1">
        <v>37987</v>
      </c>
      <c r="D83">
        <v>980747613.04999995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6</v>
      </c>
      <c r="C84" s="1">
        <v>38018</v>
      </c>
      <c r="D84">
        <v>11231015625.76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7</v>
      </c>
      <c r="C85" s="1">
        <v>38018</v>
      </c>
      <c r="D85">
        <v>9452100315.2600002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13</v>
      </c>
      <c r="C86" s="1">
        <v>38018</v>
      </c>
      <c r="D86">
        <v>4530064544.6499996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14</v>
      </c>
      <c r="C87" s="1">
        <v>38018</v>
      </c>
      <c r="D87">
        <v>4417879288.3599997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4</v>
      </c>
      <c r="C88" s="1">
        <v>38018</v>
      </c>
      <c r="D88">
        <v>2368138219.3200002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19</v>
      </c>
      <c r="C89" s="1">
        <v>38018</v>
      </c>
      <c r="D89">
        <v>2100740735.3499999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11</v>
      </c>
      <c r="C90" s="1">
        <v>38018</v>
      </c>
      <c r="D90">
        <v>1872089561.9200001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10</v>
      </c>
      <c r="C91" s="1">
        <v>38018</v>
      </c>
      <c r="D91">
        <v>1616933411.3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21</v>
      </c>
      <c r="C92" s="1">
        <v>38018</v>
      </c>
      <c r="D92">
        <v>1147507516.5799999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26</v>
      </c>
      <c r="C93" s="1">
        <v>38018</v>
      </c>
      <c r="D93">
        <v>1102545266.3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6</v>
      </c>
      <c r="C94" s="1">
        <v>38047</v>
      </c>
      <c r="D94">
        <v>12648473634.91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7</v>
      </c>
      <c r="C95" s="1">
        <v>38047</v>
      </c>
      <c r="D95">
        <v>11307603614.940001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13</v>
      </c>
      <c r="C96" s="1">
        <v>38047</v>
      </c>
      <c r="D96">
        <v>3475012158.8600001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14</v>
      </c>
      <c r="C97" s="1">
        <v>38047</v>
      </c>
      <c r="D97">
        <v>3105251049.5100002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11</v>
      </c>
      <c r="C98" s="1">
        <v>38047</v>
      </c>
      <c r="D98">
        <v>2600310060.71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4</v>
      </c>
      <c r="C99" s="1">
        <v>38047</v>
      </c>
      <c r="D99">
        <v>2487358580.54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19</v>
      </c>
      <c r="C100" s="1">
        <v>38047</v>
      </c>
      <c r="D100">
        <v>1435016521.97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10</v>
      </c>
      <c r="C101" s="1">
        <v>38047</v>
      </c>
      <c r="D101">
        <v>1294632427.0599999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26</v>
      </c>
      <c r="C102" s="1">
        <v>38047</v>
      </c>
      <c r="D102">
        <v>979260156.20000005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726244089.71000004</v>
      </c>
      <c r="E103">
        <v>10</v>
      </c>
      <c r="H103" s="1"/>
    </row>
    <row r="104" spans="2:15">
      <c r="B104" s="1" t="s">
        <v>6</v>
      </c>
      <c r="C104" s="1">
        <v>38078</v>
      </c>
      <c r="D104">
        <v>13767718999.52</v>
      </c>
      <c r="E104">
        <v>1</v>
      </c>
      <c r="H104" s="1"/>
    </row>
    <row r="105" spans="2:15">
      <c r="B105" s="1" t="s">
        <v>7</v>
      </c>
      <c r="C105" s="1">
        <v>38078</v>
      </c>
      <c r="D105">
        <v>11373820582.950001</v>
      </c>
      <c r="E105">
        <v>2</v>
      </c>
      <c r="H105" s="1"/>
    </row>
    <row r="106" spans="2:15">
      <c r="B106" s="1" t="s">
        <v>4</v>
      </c>
      <c r="C106" s="1">
        <v>38078</v>
      </c>
      <c r="D106">
        <v>2284894619.5900002</v>
      </c>
      <c r="E106">
        <v>3</v>
      </c>
      <c r="H106" s="1"/>
    </row>
    <row r="107" spans="2:15">
      <c r="B107" s="1" t="s">
        <v>19</v>
      </c>
      <c r="C107" s="1">
        <v>38078</v>
      </c>
      <c r="D107">
        <v>2008197969.97</v>
      </c>
      <c r="E107">
        <v>4</v>
      </c>
      <c r="H107" s="1"/>
    </row>
    <row r="108" spans="2:15">
      <c r="B108" s="1" t="s">
        <v>13</v>
      </c>
      <c r="C108" s="1">
        <v>38078</v>
      </c>
      <c r="D108">
        <v>1849033628.73</v>
      </c>
      <c r="E108">
        <v>5</v>
      </c>
      <c r="H108" s="1"/>
    </row>
    <row r="109" spans="2:15">
      <c r="B109" s="1" t="s">
        <v>10</v>
      </c>
      <c r="C109" s="1">
        <v>38078</v>
      </c>
      <c r="D109">
        <v>1302384256.4400001</v>
      </c>
      <c r="E109">
        <v>6</v>
      </c>
      <c r="H109" s="1"/>
    </row>
    <row r="110" spans="2:15">
      <c r="B110" s="1" t="s">
        <v>11</v>
      </c>
      <c r="C110" s="1">
        <v>38078</v>
      </c>
      <c r="D110">
        <v>1154919820.49</v>
      </c>
      <c r="E110">
        <v>7</v>
      </c>
      <c r="H110" s="1"/>
    </row>
    <row r="111" spans="2:15">
      <c r="B111" s="1" t="s">
        <v>14</v>
      </c>
      <c r="C111" s="1">
        <v>38078</v>
      </c>
      <c r="D111">
        <v>1116001703.6800001</v>
      </c>
      <c r="E111">
        <v>8</v>
      </c>
      <c r="H111" s="1"/>
    </row>
    <row r="112" spans="2:15">
      <c r="B112" s="1" t="s">
        <v>9</v>
      </c>
      <c r="C112" s="1">
        <v>38078</v>
      </c>
      <c r="D112">
        <v>771109081.96000004</v>
      </c>
      <c r="E112">
        <v>9</v>
      </c>
      <c r="H112" s="1"/>
    </row>
    <row r="113" spans="2:8">
      <c r="B113" s="1" t="s">
        <v>15</v>
      </c>
      <c r="C113" s="1">
        <v>38078</v>
      </c>
      <c r="D113">
        <v>758406395.63999999</v>
      </c>
      <c r="E113">
        <v>10</v>
      </c>
      <c r="H113" s="1"/>
    </row>
    <row r="114" spans="2:8">
      <c r="B114" s="1" t="s">
        <v>6</v>
      </c>
      <c r="C114" s="1">
        <v>38108</v>
      </c>
      <c r="D114">
        <v>16189427785.290001</v>
      </c>
      <c r="E114">
        <v>1</v>
      </c>
      <c r="H114" s="1"/>
    </row>
    <row r="115" spans="2:8">
      <c r="B115" s="1" t="s">
        <v>7</v>
      </c>
      <c r="C115" s="1">
        <v>38108</v>
      </c>
      <c r="D115">
        <v>11452206892.49</v>
      </c>
      <c r="E115">
        <v>2</v>
      </c>
      <c r="H115" s="1"/>
    </row>
    <row r="116" spans="2:8">
      <c r="B116" s="1" t="s">
        <v>13</v>
      </c>
      <c r="C116" s="1">
        <v>38108</v>
      </c>
      <c r="D116">
        <v>9504942509.5300007</v>
      </c>
      <c r="E116">
        <v>3</v>
      </c>
      <c r="H116" s="1"/>
    </row>
    <row r="117" spans="2:8">
      <c r="B117" s="1" t="s">
        <v>14</v>
      </c>
      <c r="C117" s="1">
        <v>38108</v>
      </c>
      <c r="D117">
        <v>8971864064.2900009</v>
      </c>
      <c r="E117">
        <v>4</v>
      </c>
      <c r="H117" s="1"/>
    </row>
    <row r="118" spans="2:8">
      <c r="B118" s="1" t="s">
        <v>4</v>
      </c>
      <c r="C118" s="1">
        <v>38108</v>
      </c>
      <c r="D118">
        <v>3285032961.6599998</v>
      </c>
      <c r="E118">
        <v>5</v>
      </c>
      <c r="H118" s="1"/>
    </row>
    <row r="119" spans="2:8">
      <c r="B119" s="1" t="s">
        <v>10</v>
      </c>
      <c r="C119" s="1">
        <v>38108</v>
      </c>
      <c r="D119">
        <v>1595357433.5999999</v>
      </c>
      <c r="E119">
        <v>6</v>
      </c>
      <c r="H119" s="1"/>
    </row>
    <row r="120" spans="2:8">
      <c r="B120" s="1" t="s">
        <v>19</v>
      </c>
      <c r="C120" s="1">
        <v>38108</v>
      </c>
      <c r="D120">
        <v>1453780757.1600001</v>
      </c>
      <c r="E120">
        <v>7</v>
      </c>
      <c r="H120" s="1"/>
    </row>
    <row r="121" spans="2:8">
      <c r="B121" s="1" t="s">
        <v>15</v>
      </c>
      <c r="C121" s="1">
        <v>38108</v>
      </c>
      <c r="D121">
        <v>1051966876.52</v>
      </c>
      <c r="E121">
        <v>8</v>
      </c>
      <c r="H121" s="1"/>
    </row>
    <row r="122" spans="2:8">
      <c r="B122" s="1" t="s">
        <v>26</v>
      </c>
      <c r="C122" s="1">
        <v>38108</v>
      </c>
      <c r="D122">
        <v>1041533333.22</v>
      </c>
      <c r="E122">
        <v>9</v>
      </c>
    </row>
    <row r="123" spans="2:8">
      <c r="B123" s="1" t="s">
        <v>9</v>
      </c>
      <c r="C123" s="1">
        <v>38108</v>
      </c>
      <c r="D123">
        <v>991309388.50999999</v>
      </c>
      <c r="E123">
        <v>10</v>
      </c>
    </row>
    <row r="124" spans="2:8">
      <c r="B124" s="1" t="s">
        <v>6</v>
      </c>
      <c r="C124" s="1">
        <v>38139</v>
      </c>
      <c r="D124">
        <v>15256199593.17</v>
      </c>
      <c r="E124">
        <v>1</v>
      </c>
    </row>
    <row r="125" spans="2:8">
      <c r="B125" s="1" t="s">
        <v>7</v>
      </c>
      <c r="C125" s="1">
        <v>38139</v>
      </c>
      <c r="D125">
        <v>10261824878.860001</v>
      </c>
      <c r="E125">
        <v>2</v>
      </c>
    </row>
    <row r="126" spans="2:8">
      <c r="B126" s="1" t="s">
        <v>13</v>
      </c>
      <c r="C126" s="1">
        <v>38139</v>
      </c>
      <c r="D126">
        <v>6706818586.9700003</v>
      </c>
      <c r="E126">
        <v>3</v>
      </c>
    </row>
    <row r="127" spans="2:8">
      <c r="B127" s="1" t="s">
        <v>14</v>
      </c>
      <c r="C127" s="1">
        <v>38139</v>
      </c>
      <c r="D127">
        <v>5955115177.5200005</v>
      </c>
      <c r="E127">
        <v>4</v>
      </c>
    </row>
    <row r="128" spans="2:8">
      <c r="B128" s="1" t="s">
        <v>4</v>
      </c>
      <c r="C128" s="1">
        <v>38139</v>
      </c>
      <c r="D128">
        <v>3529357478.5999999</v>
      </c>
      <c r="E128">
        <v>5</v>
      </c>
    </row>
    <row r="129" spans="2:5">
      <c r="B129" s="1" t="s">
        <v>19</v>
      </c>
      <c r="C129" s="1">
        <v>38139</v>
      </c>
      <c r="D129">
        <v>2787328884.0300002</v>
      </c>
      <c r="E129">
        <v>6</v>
      </c>
    </row>
    <row r="130" spans="2:5">
      <c r="B130" s="1" t="s">
        <v>10</v>
      </c>
      <c r="C130" s="1">
        <v>38139</v>
      </c>
      <c r="D130">
        <v>1965057030.0799999</v>
      </c>
      <c r="E130">
        <v>7</v>
      </c>
    </row>
    <row r="131" spans="2:5">
      <c r="B131" s="1" t="s">
        <v>15</v>
      </c>
      <c r="C131" s="1">
        <v>38139</v>
      </c>
      <c r="D131">
        <v>1240838109.6500001</v>
      </c>
      <c r="E131">
        <v>8</v>
      </c>
    </row>
    <row r="132" spans="2:5">
      <c r="B132" s="1" t="s">
        <v>9</v>
      </c>
      <c r="C132" s="1">
        <v>38139</v>
      </c>
      <c r="D132">
        <v>896114085.15999997</v>
      </c>
      <c r="E132">
        <v>9</v>
      </c>
    </row>
    <row r="133" spans="2:5">
      <c r="B133" s="1" t="s">
        <v>26</v>
      </c>
      <c r="C133" s="1">
        <v>38139</v>
      </c>
      <c r="D133">
        <v>843678740.34000003</v>
      </c>
      <c r="E133">
        <v>10</v>
      </c>
    </row>
    <row r="134" spans="2:5">
      <c r="B134" s="1" t="s">
        <v>6</v>
      </c>
      <c r="C134" s="1">
        <v>38169</v>
      </c>
      <c r="D134">
        <v>12407380467.74</v>
      </c>
      <c r="E134">
        <v>1</v>
      </c>
    </row>
    <row r="135" spans="2:5">
      <c r="B135" s="1" t="s">
        <v>7</v>
      </c>
      <c r="C135" s="1">
        <v>38169</v>
      </c>
      <c r="D135">
        <v>9249527769.5100002</v>
      </c>
      <c r="E135">
        <v>2</v>
      </c>
    </row>
    <row r="136" spans="2:5">
      <c r="B136" s="1" t="s">
        <v>13</v>
      </c>
      <c r="C136" s="1">
        <v>38169</v>
      </c>
      <c r="D136">
        <v>7396016245.1400003</v>
      </c>
      <c r="E136">
        <v>3</v>
      </c>
    </row>
    <row r="137" spans="2:5">
      <c r="B137" s="1" t="s">
        <v>14</v>
      </c>
      <c r="C137" s="1">
        <v>38169</v>
      </c>
      <c r="D137">
        <v>5987766742.6999998</v>
      </c>
      <c r="E137">
        <v>4</v>
      </c>
    </row>
    <row r="138" spans="2:5">
      <c r="B138" s="1" t="s">
        <v>4</v>
      </c>
      <c r="C138" s="1">
        <v>38169</v>
      </c>
      <c r="D138">
        <v>3503814389.2600002</v>
      </c>
      <c r="E138">
        <v>5</v>
      </c>
    </row>
    <row r="139" spans="2:5">
      <c r="B139" s="1" t="s">
        <v>19</v>
      </c>
      <c r="C139" s="1">
        <v>38169</v>
      </c>
      <c r="D139">
        <v>2115295841.5</v>
      </c>
      <c r="E139">
        <v>6</v>
      </c>
    </row>
    <row r="140" spans="2:5">
      <c r="B140" s="1" t="s">
        <v>11</v>
      </c>
      <c r="C140" s="1">
        <v>38169</v>
      </c>
      <c r="D140">
        <v>1597395760.1099999</v>
      </c>
      <c r="E140">
        <v>7</v>
      </c>
    </row>
    <row r="141" spans="2:5">
      <c r="B141" s="1" t="s">
        <v>10</v>
      </c>
      <c r="C141" s="1">
        <v>38169</v>
      </c>
      <c r="D141">
        <v>1433903943.5799999</v>
      </c>
      <c r="E141">
        <v>8</v>
      </c>
    </row>
    <row r="142" spans="2:5">
      <c r="B142" s="1" t="s">
        <v>9</v>
      </c>
      <c r="C142" s="1">
        <v>38169</v>
      </c>
      <c r="D142">
        <v>1210792209.96</v>
      </c>
      <c r="E142">
        <v>9</v>
      </c>
    </row>
    <row r="143" spans="2:5">
      <c r="B143" s="1" t="s">
        <v>15</v>
      </c>
      <c r="C143" s="1">
        <v>38169</v>
      </c>
      <c r="D143">
        <v>949320265.55999994</v>
      </c>
      <c r="E143">
        <v>10</v>
      </c>
    </row>
    <row r="144" spans="2:5">
      <c r="B144" s="1" t="s">
        <v>6</v>
      </c>
      <c r="C144" s="1">
        <v>38200</v>
      </c>
      <c r="D144">
        <v>9536604948.9400005</v>
      </c>
      <c r="E144">
        <v>1</v>
      </c>
    </row>
    <row r="145" spans="2:5">
      <c r="B145" s="1" t="s">
        <v>7</v>
      </c>
      <c r="C145" s="1">
        <v>38200</v>
      </c>
      <c r="D145">
        <v>7770091037.8599997</v>
      </c>
      <c r="E145">
        <v>2</v>
      </c>
    </row>
    <row r="146" spans="2:5">
      <c r="B146" s="1" t="s">
        <v>13</v>
      </c>
      <c r="C146" s="1">
        <v>38200</v>
      </c>
      <c r="D146">
        <v>5574591540.25</v>
      </c>
      <c r="E146">
        <v>3</v>
      </c>
    </row>
    <row r="147" spans="2:5">
      <c r="B147" s="1" t="s">
        <v>14</v>
      </c>
      <c r="C147" s="1">
        <v>38200</v>
      </c>
      <c r="D147">
        <v>4380249369.75</v>
      </c>
      <c r="E147">
        <v>4</v>
      </c>
    </row>
    <row r="148" spans="2:5">
      <c r="B148" s="1" t="s">
        <v>4</v>
      </c>
      <c r="C148" s="1">
        <v>38200</v>
      </c>
      <c r="D148">
        <v>2181966322.8899999</v>
      </c>
      <c r="E148">
        <v>5</v>
      </c>
    </row>
    <row r="149" spans="2:5">
      <c r="B149" s="1" t="s">
        <v>19</v>
      </c>
      <c r="C149" s="1">
        <v>38200</v>
      </c>
      <c r="D149">
        <v>1946508724.6099999</v>
      </c>
      <c r="E149">
        <v>6</v>
      </c>
    </row>
    <row r="150" spans="2:5">
      <c r="B150" s="1" t="s">
        <v>26</v>
      </c>
      <c r="C150" s="1">
        <v>38200</v>
      </c>
      <c r="D150">
        <v>979790921.73000002</v>
      </c>
      <c r="E150">
        <v>7</v>
      </c>
    </row>
    <row r="151" spans="2:5">
      <c r="B151" s="1" t="s">
        <v>10</v>
      </c>
      <c r="C151" s="1">
        <v>38200</v>
      </c>
      <c r="D151">
        <v>969465042.34000003</v>
      </c>
      <c r="E151">
        <v>8</v>
      </c>
    </row>
    <row r="152" spans="2:5">
      <c r="B152" s="1" t="s">
        <v>9</v>
      </c>
      <c r="C152" s="1">
        <v>38200</v>
      </c>
      <c r="D152">
        <v>905512217.89999998</v>
      </c>
      <c r="E152">
        <v>9</v>
      </c>
    </row>
    <row r="153" spans="2:5">
      <c r="B153" s="1" t="s">
        <v>15</v>
      </c>
      <c r="C153" s="1">
        <v>38200</v>
      </c>
      <c r="D153">
        <v>747367268.19000006</v>
      </c>
      <c r="E153">
        <v>10</v>
      </c>
    </row>
    <row r="154" spans="2:5">
      <c r="B154" s="1" t="s">
        <v>6</v>
      </c>
      <c r="C154" s="1">
        <v>38231</v>
      </c>
      <c r="D154">
        <v>9785050909.1900005</v>
      </c>
      <c r="E154">
        <v>1</v>
      </c>
    </row>
    <row r="155" spans="2:5">
      <c r="B155" s="1" t="s">
        <v>7</v>
      </c>
      <c r="C155" s="1">
        <v>38231</v>
      </c>
      <c r="D155">
        <v>8096770488.9700003</v>
      </c>
      <c r="E155">
        <v>2</v>
      </c>
    </row>
    <row r="156" spans="2:5">
      <c r="B156" s="1" t="s">
        <v>13</v>
      </c>
      <c r="C156" s="1">
        <v>38231</v>
      </c>
      <c r="D156">
        <v>3141483417.9899998</v>
      </c>
      <c r="E156">
        <v>3</v>
      </c>
    </row>
    <row r="157" spans="2:5">
      <c r="B157" s="1" t="s">
        <v>14</v>
      </c>
      <c r="C157" s="1">
        <v>38231</v>
      </c>
      <c r="D157">
        <v>2189526792.29</v>
      </c>
      <c r="E157">
        <v>4</v>
      </c>
    </row>
    <row r="158" spans="2:5">
      <c r="B158" s="1" t="s">
        <v>4</v>
      </c>
      <c r="C158" s="1">
        <v>38231</v>
      </c>
      <c r="D158">
        <v>2183486384.2600002</v>
      </c>
      <c r="E158">
        <v>5</v>
      </c>
    </row>
    <row r="159" spans="2:5">
      <c r="B159" s="1" t="s">
        <v>19</v>
      </c>
      <c r="C159" s="1">
        <v>38231</v>
      </c>
      <c r="D159">
        <v>1314841883.22</v>
      </c>
      <c r="E159">
        <v>6</v>
      </c>
    </row>
    <row r="160" spans="2:5">
      <c r="B160" s="1" t="s">
        <v>10</v>
      </c>
      <c r="C160" s="1">
        <v>38231</v>
      </c>
      <c r="D160">
        <v>977772680.30999994</v>
      </c>
      <c r="E160">
        <v>7</v>
      </c>
    </row>
    <row r="161" spans="2:5">
      <c r="B161" s="1" t="s">
        <v>26</v>
      </c>
      <c r="C161" s="1">
        <v>38231</v>
      </c>
      <c r="D161">
        <v>902065292.52999997</v>
      </c>
      <c r="E161">
        <v>8</v>
      </c>
    </row>
    <row r="162" spans="2:5">
      <c r="B162" s="1" t="s">
        <v>9</v>
      </c>
      <c r="C162" s="1">
        <v>38231</v>
      </c>
      <c r="D162">
        <v>761655238.01999998</v>
      </c>
      <c r="E162">
        <v>9</v>
      </c>
    </row>
    <row r="163" spans="2:5">
      <c r="B163" s="1" t="s">
        <v>15</v>
      </c>
      <c r="C163" s="1">
        <v>38231</v>
      </c>
      <c r="D163">
        <v>581763827.16999996</v>
      </c>
      <c r="E163">
        <v>10</v>
      </c>
    </row>
    <row r="164" spans="2:5">
      <c r="B164" s="1" t="s">
        <v>6</v>
      </c>
      <c r="C164" s="1">
        <v>38261</v>
      </c>
      <c r="D164">
        <v>9131387615.3299999</v>
      </c>
      <c r="E164">
        <v>1</v>
      </c>
    </row>
    <row r="165" spans="2:5">
      <c r="B165" s="1" t="s">
        <v>7</v>
      </c>
      <c r="C165" s="1">
        <v>38261</v>
      </c>
      <c r="D165">
        <v>7344628182.6999998</v>
      </c>
      <c r="E165">
        <v>2</v>
      </c>
    </row>
    <row r="166" spans="2:5">
      <c r="B166" s="1" t="s">
        <v>13</v>
      </c>
      <c r="C166" s="1">
        <v>38261</v>
      </c>
      <c r="D166">
        <v>3643512500.7800002</v>
      </c>
      <c r="E166">
        <v>3</v>
      </c>
    </row>
    <row r="167" spans="2:5">
      <c r="B167" s="1" t="s">
        <v>14</v>
      </c>
      <c r="C167" s="1">
        <v>38261</v>
      </c>
      <c r="D167">
        <v>2846023471.5300002</v>
      </c>
      <c r="E167">
        <v>4</v>
      </c>
    </row>
    <row r="168" spans="2:5">
      <c r="B168" s="1" t="s">
        <v>4</v>
      </c>
      <c r="C168" s="1">
        <v>38261</v>
      </c>
      <c r="D168">
        <v>2609572342.4699998</v>
      </c>
      <c r="E168">
        <v>5</v>
      </c>
    </row>
    <row r="169" spans="2:5">
      <c r="B169" s="1" t="s">
        <v>19</v>
      </c>
      <c r="C169" s="1">
        <v>38261</v>
      </c>
      <c r="D169">
        <v>1530308531.2</v>
      </c>
      <c r="E169">
        <v>6</v>
      </c>
    </row>
    <row r="170" spans="2:5">
      <c r="B170" s="1" t="s">
        <v>10</v>
      </c>
      <c r="C170" s="1">
        <v>38261</v>
      </c>
      <c r="D170">
        <v>1119369329.79</v>
      </c>
      <c r="E170">
        <v>7</v>
      </c>
    </row>
    <row r="171" spans="2:5">
      <c r="B171" s="1" t="s">
        <v>11</v>
      </c>
      <c r="C171" s="1">
        <v>38261</v>
      </c>
      <c r="D171">
        <v>1086448833.99</v>
      </c>
      <c r="E171">
        <v>8</v>
      </c>
    </row>
    <row r="172" spans="2:5">
      <c r="B172" s="1" t="s">
        <v>9</v>
      </c>
      <c r="C172" s="1">
        <v>38261</v>
      </c>
      <c r="D172">
        <v>835517781.16999996</v>
      </c>
      <c r="E172">
        <v>9</v>
      </c>
    </row>
    <row r="173" spans="2:5">
      <c r="B173" s="1" t="s">
        <v>15</v>
      </c>
      <c r="C173" s="1">
        <v>38261</v>
      </c>
      <c r="D173">
        <v>721103970.91999996</v>
      </c>
      <c r="E173">
        <v>10</v>
      </c>
    </row>
    <row r="174" spans="2:5">
      <c r="B174" s="1" t="s">
        <v>6</v>
      </c>
      <c r="C174" s="1">
        <v>38292</v>
      </c>
      <c r="D174">
        <v>8238855635.6999998</v>
      </c>
      <c r="E174">
        <v>1</v>
      </c>
    </row>
    <row r="175" spans="2:5">
      <c r="B175" s="1" t="s">
        <v>7</v>
      </c>
      <c r="C175" s="1">
        <v>38292</v>
      </c>
      <c r="D175">
        <v>6206174286.2700005</v>
      </c>
      <c r="E175">
        <v>2</v>
      </c>
    </row>
    <row r="176" spans="2:5">
      <c r="B176" s="1" t="s">
        <v>13</v>
      </c>
      <c r="C176" s="1">
        <v>38292</v>
      </c>
      <c r="D176">
        <v>2867262552.0799999</v>
      </c>
      <c r="E176">
        <v>3</v>
      </c>
    </row>
    <row r="177" spans="2:5">
      <c r="B177" s="1" t="s">
        <v>14</v>
      </c>
      <c r="C177" s="1">
        <v>38292</v>
      </c>
      <c r="D177">
        <v>2141612616.1400001</v>
      </c>
      <c r="E177">
        <v>4</v>
      </c>
    </row>
    <row r="178" spans="2:5">
      <c r="B178" s="1" t="s">
        <v>19</v>
      </c>
      <c r="C178" s="1">
        <v>38292</v>
      </c>
      <c r="D178">
        <v>2100084686.99</v>
      </c>
      <c r="E178">
        <v>5</v>
      </c>
    </row>
    <row r="179" spans="2:5">
      <c r="B179" s="1" t="s">
        <v>4</v>
      </c>
      <c r="C179" s="1">
        <v>38292</v>
      </c>
      <c r="D179">
        <v>1273064147.8699999</v>
      </c>
      <c r="E179">
        <v>6</v>
      </c>
    </row>
    <row r="180" spans="2:5">
      <c r="B180" s="1" t="s">
        <v>11</v>
      </c>
      <c r="C180" s="1">
        <v>38292</v>
      </c>
      <c r="D180">
        <v>1204020887.5699999</v>
      </c>
      <c r="E180">
        <v>7</v>
      </c>
    </row>
    <row r="181" spans="2:5">
      <c r="B181" s="1" t="s">
        <v>10</v>
      </c>
      <c r="C181" s="1">
        <v>38292</v>
      </c>
      <c r="D181">
        <v>1038774031.25</v>
      </c>
      <c r="E181">
        <v>8</v>
      </c>
    </row>
    <row r="182" spans="2:5">
      <c r="B182" s="1" t="s">
        <v>9</v>
      </c>
      <c r="C182" s="1">
        <v>38292</v>
      </c>
      <c r="D182">
        <v>669807736.55999994</v>
      </c>
      <c r="E182">
        <v>9</v>
      </c>
    </row>
    <row r="183" spans="2:5">
      <c r="B183" s="1" t="s">
        <v>26</v>
      </c>
      <c r="C183" s="1">
        <v>38292</v>
      </c>
      <c r="D183">
        <v>580779347</v>
      </c>
      <c r="E183">
        <v>10</v>
      </c>
    </row>
    <row r="184" spans="2:5">
      <c r="B184" s="1" t="s">
        <v>6</v>
      </c>
      <c r="C184" s="1">
        <v>38322</v>
      </c>
      <c r="D184">
        <v>7182449750.2799997</v>
      </c>
      <c r="E184">
        <v>1</v>
      </c>
    </row>
    <row r="185" spans="2:5">
      <c r="B185" s="1" t="s">
        <v>7</v>
      </c>
      <c r="C185" s="1">
        <v>38322</v>
      </c>
      <c r="D185">
        <v>5221389376.7700005</v>
      </c>
      <c r="E185">
        <v>2</v>
      </c>
    </row>
    <row r="186" spans="2:5">
      <c r="B186" s="1" t="s">
        <v>13</v>
      </c>
      <c r="C186" s="1">
        <v>38322</v>
      </c>
      <c r="D186">
        <v>3111033356.3099999</v>
      </c>
      <c r="E186">
        <v>3</v>
      </c>
    </row>
    <row r="187" spans="2:5">
      <c r="B187" s="1" t="s">
        <v>14</v>
      </c>
      <c r="C187" s="1">
        <v>38322</v>
      </c>
      <c r="D187">
        <v>2296991670.52</v>
      </c>
      <c r="E187">
        <v>4</v>
      </c>
    </row>
    <row r="188" spans="2:5">
      <c r="B188" s="1" t="s">
        <v>4</v>
      </c>
      <c r="C188" s="1">
        <v>38322</v>
      </c>
      <c r="D188">
        <v>1995054103.78</v>
      </c>
      <c r="E188">
        <v>5</v>
      </c>
    </row>
    <row r="189" spans="2:5">
      <c r="B189" s="1" t="s">
        <v>19</v>
      </c>
      <c r="C189" s="1">
        <v>38322</v>
      </c>
      <c r="D189">
        <v>1933615871.8099999</v>
      </c>
      <c r="E189">
        <v>6</v>
      </c>
    </row>
    <row r="190" spans="2:5">
      <c r="B190" s="1" t="s">
        <v>11</v>
      </c>
      <c r="C190" s="1">
        <v>38322</v>
      </c>
      <c r="D190">
        <v>1783657058.3</v>
      </c>
      <c r="E190">
        <v>7</v>
      </c>
    </row>
    <row r="191" spans="2:5">
      <c r="B191" s="1" t="s">
        <v>10</v>
      </c>
      <c r="C191" s="1">
        <v>38322</v>
      </c>
      <c r="D191">
        <v>1111679216.8499999</v>
      </c>
      <c r="E191">
        <v>8</v>
      </c>
    </row>
    <row r="192" spans="2:5">
      <c r="B192" s="1" t="s">
        <v>9</v>
      </c>
      <c r="C192" s="1">
        <v>38322</v>
      </c>
      <c r="D192">
        <v>782734237.75999999</v>
      </c>
      <c r="E192">
        <v>9</v>
      </c>
    </row>
    <row r="193" spans="2:5">
      <c r="B193" s="1" t="s">
        <v>15</v>
      </c>
      <c r="C193" s="1">
        <v>38322</v>
      </c>
      <c r="D193">
        <v>619260066.98000002</v>
      </c>
      <c r="E193">
        <v>10</v>
      </c>
    </row>
    <row r="194" spans="2:5">
      <c r="B194" s="1" t="s">
        <v>6</v>
      </c>
      <c r="C194" s="1">
        <v>38353</v>
      </c>
      <c r="D194">
        <v>7728778433.3199997</v>
      </c>
      <c r="E194">
        <v>1</v>
      </c>
    </row>
    <row r="195" spans="2:5">
      <c r="B195" s="1" t="s">
        <v>7</v>
      </c>
      <c r="C195" s="1">
        <v>38353</v>
      </c>
      <c r="D195">
        <v>6335052438.8400002</v>
      </c>
      <c r="E195">
        <v>2</v>
      </c>
    </row>
    <row r="196" spans="2:5">
      <c r="B196" s="1" t="s">
        <v>13</v>
      </c>
      <c r="C196" s="1">
        <v>38353</v>
      </c>
      <c r="D196">
        <v>3252992728.7199998</v>
      </c>
      <c r="E196">
        <v>3</v>
      </c>
    </row>
    <row r="197" spans="2:5">
      <c r="B197" s="1" t="s">
        <v>4</v>
      </c>
      <c r="C197" s="1">
        <v>38353</v>
      </c>
      <c r="D197">
        <v>2515865062.46</v>
      </c>
      <c r="E197">
        <v>4</v>
      </c>
    </row>
    <row r="198" spans="2:5">
      <c r="B198" s="1" t="s">
        <v>19</v>
      </c>
      <c r="C198" s="1">
        <v>38353</v>
      </c>
      <c r="D198">
        <v>2327791831.7600002</v>
      </c>
      <c r="E198">
        <v>5</v>
      </c>
    </row>
    <row r="199" spans="2:5">
      <c r="B199" s="1" t="s">
        <v>14</v>
      </c>
      <c r="C199" s="1">
        <v>38353</v>
      </c>
      <c r="D199">
        <v>2301561192.1199999</v>
      </c>
      <c r="E199">
        <v>6</v>
      </c>
    </row>
    <row r="200" spans="2:5">
      <c r="B200" s="1" t="s">
        <v>11</v>
      </c>
      <c r="C200" s="1">
        <v>38353</v>
      </c>
      <c r="D200">
        <v>1446986653.54</v>
      </c>
      <c r="E200">
        <v>7</v>
      </c>
    </row>
    <row r="201" spans="2:5">
      <c r="B201" s="1" t="s">
        <v>56</v>
      </c>
      <c r="C201" s="1">
        <v>38353</v>
      </c>
      <c r="D201">
        <v>1044130065.28</v>
      </c>
      <c r="E201">
        <v>8</v>
      </c>
    </row>
    <row r="202" spans="2:5">
      <c r="B202" s="1" t="s">
        <v>10</v>
      </c>
      <c r="C202" s="1">
        <v>38353</v>
      </c>
      <c r="D202">
        <v>893087634.78999996</v>
      </c>
      <c r="E202">
        <v>9</v>
      </c>
    </row>
    <row r="203" spans="2:5">
      <c r="B203" s="1" t="s">
        <v>9</v>
      </c>
      <c r="C203" s="1">
        <v>38353</v>
      </c>
      <c r="D203">
        <v>673685780.14999998</v>
      </c>
      <c r="E203">
        <v>10</v>
      </c>
    </row>
    <row r="204" spans="2:5">
      <c r="B204" s="1" t="s">
        <v>6</v>
      </c>
      <c r="C204" s="1">
        <v>38384</v>
      </c>
      <c r="D204">
        <v>6548421686.8000002</v>
      </c>
      <c r="E204">
        <v>1</v>
      </c>
    </row>
    <row r="205" spans="2:5">
      <c r="B205" s="1" t="s">
        <v>7</v>
      </c>
      <c r="C205" s="1">
        <v>38384</v>
      </c>
      <c r="D205">
        <v>4899040406.6099997</v>
      </c>
      <c r="E205">
        <v>2</v>
      </c>
    </row>
    <row r="206" spans="2:5">
      <c r="B206" s="1" t="s">
        <v>13</v>
      </c>
      <c r="C206" s="1">
        <v>38384</v>
      </c>
      <c r="D206">
        <v>3820090499.29</v>
      </c>
      <c r="E206">
        <v>3</v>
      </c>
    </row>
    <row r="207" spans="2:5">
      <c r="B207" s="1" t="s">
        <v>14</v>
      </c>
      <c r="C207" s="1">
        <v>38384</v>
      </c>
      <c r="D207">
        <v>2940366449.5</v>
      </c>
      <c r="E207">
        <v>4</v>
      </c>
    </row>
    <row r="208" spans="2:5">
      <c r="B208" s="1" t="s">
        <v>19</v>
      </c>
      <c r="C208" s="1">
        <v>38384</v>
      </c>
      <c r="D208">
        <v>2341434701.0799999</v>
      </c>
      <c r="E208">
        <v>5</v>
      </c>
    </row>
    <row r="209" spans="2:5">
      <c r="B209" s="1" t="s">
        <v>4</v>
      </c>
      <c r="C209" s="1">
        <v>38384</v>
      </c>
      <c r="D209">
        <v>2186951567.29</v>
      </c>
      <c r="E209">
        <v>6</v>
      </c>
    </row>
    <row r="210" spans="2:5">
      <c r="B210" s="1" t="s">
        <v>10</v>
      </c>
      <c r="C210" s="1">
        <v>38384</v>
      </c>
      <c r="D210">
        <v>1584384715.02</v>
      </c>
      <c r="E210">
        <v>7</v>
      </c>
    </row>
    <row r="211" spans="2:5">
      <c r="B211" s="1" t="s">
        <v>11</v>
      </c>
      <c r="C211" s="1">
        <v>38384</v>
      </c>
      <c r="D211">
        <v>1193168889.51</v>
      </c>
      <c r="E211">
        <v>8</v>
      </c>
    </row>
    <row r="212" spans="2:5">
      <c r="B212" s="1" t="s">
        <v>26</v>
      </c>
      <c r="C212" s="1">
        <v>38384</v>
      </c>
      <c r="D212">
        <v>878150368.83000004</v>
      </c>
      <c r="E212">
        <v>9</v>
      </c>
    </row>
    <row r="213" spans="2:5">
      <c r="B213" s="1" t="s">
        <v>9</v>
      </c>
      <c r="C213" s="1">
        <v>38384</v>
      </c>
      <c r="D213">
        <v>680138468.63999999</v>
      </c>
      <c r="E213">
        <v>10</v>
      </c>
    </row>
    <row r="214" spans="2:5">
      <c r="B214" s="1" t="s">
        <v>6</v>
      </c>
      <c r="C214" s="1">
        <v>38412</v>
      </c>
      <c r="D214">
        <v>5448667036.9300003</v>
      </c>
      <c r="E214">
        <v>1</v>
      </c>
    </row>
    <row r="215" spans="2:5">
      <c r="B215" s="1" t="s">
        <v>7</v>
      </c>
      <c r="C215" s="1">
        <v>38412</v>
      </c>
      <c r="D215">
        <v>4257395851.2199998</v>
      </c>
      <c r="E215">
        <v>2</v>
      </c>
    </row>
    <row r="216" spans="2:5">
      <c r="B216" s="1" t="s">
        <v>13</v>
      </c>
      <c r="C216" s="1">
        <v>38412</v>
      </c>
      <c r="D216">
        <v>3426361699.8299999</v>
      </c>
      <c r="E216">
        <v>3</v>
      </c>
    </row>
    <row r="217" spans="2:5">
      <c r="B217" s="1" t="s">
        <v>4</v>
      </c>
      <c r="C217" s="1">
        <v>38412</v>
      </c>
      <c r="D217">
        <v>2345087914.6999998</v>
      </c>
      <c r="E217">
        <v>4</v>
      </c>
    </row>
    <row r="218" spans="2:5">
      <c r="B218" s="1" t="s">
        <v>14</v>
      </c>
      <c r="C218" s="1">
        <v>38412</v>
      </c>
      <c r="D218">
        <v>2288475168.52</v>
      </c>
      <c r="E218">
        <v>5</v>
      </c>
    </row>
    <row r="219" spans="2:5">
      <c r="B219" s="1" t="s">
        <v>19</v>
      </c>
      <c r="C219" s="1">
        <v>38412</v>
      </c>
      <c r="D219">
        <v>1607330806.52</v>
      </c>
      <c r="E219">
        <v>6</v>
      </c>
    </row>
    <row r="220" spans="2:5">
      <c r="B220" s="1" t="s">
        <v>11</v>
      </c>
      <c r="C220" s="1">
        <v>38412</v>
      </c>
      <c r="D220">
        <v>1346533603.22</v>
      </c>
      <c r="E220">
        <v>7</v>
      </c>
    </row>
    <row r="221" spans="2:5">
      <c r="B221" s="1" t="s">
        <v>10</v>
      </c>
      <c r="C221" s="1">
        <v>38412</v>
      </c>
      <c r="D221">
        <v>1156931085.5699999</v>
      </c>
      <c r="E221">
        <v>8</v>
      </c>
    </row>
    <row r="222" spans="2:5">
      <c r="B222" s="1" t="s">
        <v>9</v>
      </c>
      <c r="C222" s="1">
        <v>38412</v>
      </c>
      <c r="D222">
        <v>887176881.39999998</v>
      </c>
      <c r="E222">
        <v>9</v>
      </c>
    </row>
    <row r="223" spans="2:5">
      <c r="B223" s="1" t="s">
        <v>26</v>
      </c>
      <c r="C223" s="1">
        <v>38412</v>
      </c>
      <c r="D223">
        <v>665791396.12</v>
      </c>
      <c r="E223">
        <v>10</v>
      </c>
    </row>
    <row r="224" spans="2:5">
      <c r="B224" s="1" t="s">
        <v>6</v>
      </c>
      <c r="C224" s="1">
        <v>38443</v>
      </c>
      <c r="D224">
        <v>6200760652.5699997</v>
      </c>
      <c r="E224">
        <v>1</v>
      </c>
    </row>
    <row r="225" spans="2:5">
      <c r="B225" s="1" t="s">
        <v>7</v>
      </c>
      <c r="C225" s="1">
        <v>38443</v>
      </c>
      <c r="D225">
        <v>4545288580.9300003</v>
      </c>
      <c r="E225">
        <v>2</v>
      </c>
    </row>
    <row r="226" spans="2:5">
      <c r="B226" s="1" t="s">
        <v>13</v>
      </c>
      <c r="C226" s="1">
        <v>38443</v>
      </c>
      <c r="D226">
        <v>3290452093.5100002</v>
      </c>
      <c r="E226">
        <v>3</v>
      </c>
    </row>
    <row r="227" spans="2:5">
      <c r="B227" s="1" t="s">
        <v>4</v>
      </c>
      <c r="C227" s="1">
        <v>38443</v>
      </c>
      <c r="D227">
        <v>2356943759.25</v>
      </c>
      <c r="E227">
        <v>4</v>
      </c>
    </row>
    <row r="228" spans="2:5">
      <c r="B228" s="1" t="s">
        <v>14</v>
      </c>
      <c r="C228" s="1">
        <v>38443</v>
      </c>
      <c r="D228">
        <v>2240641016.6799998</v>
      </c>
      <c r="E228">
        <v>5</v>
      </c>
    </row>
    <row r="229" spans="2:5">
      <c r="B229" s="1" t="s">
        <v>19</v>
      </c>
      <c r="C229" s="1">
        <v>38443</v>
      </c>
      <c r="D229">
        <v>2162657746.1500001</v>
      </c>
      <c r="E229">
        <v>6</v>
      </c>
    </row>
    <row r="230" spans="2:5">
      <c r="B230" s="1" t="s">
        <v>10</v>
      </c>
      <c r="C230" s="1">
        <v>38443</v>
      </c>
      <c r="D230">
        <v>1240894459.51</v>
      </c>
      <c r="E230">
        <v>7</v>
      </c>
    </row>
    <row r="231" spans="2:5">
      <c r="B231" s="1" t="s">
        <v>26</v>
      </c>
      <c r="C231" s="1">
        <v>38443</v>
      </c>
      <c r="D231">
        <v>1030204361.03</v>
      </c>
      <c r="E231">
        <v>8</v>
      </c>
    </row>
    <row r="232" spans="2:5">
      <c r="B232" s="1" t="s">
        <v>11</v>
      </c>
      <c r="C232" s="1">
        <v>38443</v>
      </c>
      <c r="D232">
        <v>981874479.55999994</v>
      </c>
      <c r="E232">
        <v>9</v>
      </c>
    </row>
    <row r="233" spans="2:5">
      <c r="B233" s="1" t="s">
        <v>9</v>
      </c>
      <c r="C233" s="1">
        <v>38443</v>
      </c>
      <c r="D233">
        <v>755896256.55999994</v>
      </c>
      <c r="E233">
        <v>10</v>
      </c>
    </row>
    <row r="234" spans="2:5">
      <c r="B234" s="1" t="s">
        <v>6</v>
      </c>
      <c r="C234" s="1">
        <v>38473</v>
      </c>
      <c r="D234">
        <v>8249856689.5500002</v>
      </c>
      <c r="E234">
        <v>1</v>
      </c>
    </row>
    <row r="235" spans="2:5">
      <c r="B235" s="1" t="s">
        <v>7</v>
      </c>
      <c r="C235" s="1">
        <v>38473</v>
      </c>
      <c r="D235">
        <v>5978111138.7600002</v>
      </c>
      <c r="E235">
        <v>2</v>
      </c>
    </row>
    <row r="236" spans="2:5">
      <c r="B236" s="1" t="s">
        <v>4</v>
      </c>
      <c r="C236" s="1">
        <v>38473</v>
      </c>
      <c r="D236">
        <v>2749158412.5700002</v>
      </c>
      <c r="E236">
        <v>3</v>
      </c>
    </row>
    <row r="237" spans="2:5">
      <c r="B237" s="1" t="s">
        <v>11</v>
      </c>
      <c r="C237" s="1">
        <v>38473</v>
      </c>
      <c r="D237">
        <v>2698667569.0799999</v>
      </c>
      <c r="E237">
        <v>4</v>
      </c>
    </row>
    <row r="238" spans="2:5">
      <c r="B238" s="1" t="s">
        <v>19</v>
      </c>
      <c r="C238" s="1">
        <v>38473</v>
      </c>
      <c r="D238">
        <v>2681093688.6500001</v>
      </c>
      <c r="E238">
        <v>5</v>
      </c>
    </row>
    <row r="239" spans="2:5">
      <c r="B239" s="1" t="s">
        <v>10</v>
      </c>
      <c r="C239" s="1">
        <v>38473</v>
      </c>
      <c r="D239">
        <v>1533778537.5599999</v>
      </c>
      <c r="E239">
        <v>6</v>
      </c>
    </row>
    <row r="240" spans="2:5">
      <c r="B240" s="1" t="s">
        <v>13</v>
      </c>
      <c r="C240" s="1">
        <v>38473</v>
      </c>
      <c r="D240">
        <v>1423590125.0899999</v>
      </c>
      <c r="E240">
        <v>7</v>
      </c>
    </row>
    <row r="241" spans="2:5">
      <c r="B241" s="1" t="s">
        <v>26</v>
      </c>
      <c r="C241" s="1">
        <v>38473</v>
      </c>
      <c r="D241">
        <v>1259546433.72</v>
      </c>
      <c r="E241">
        <v>8</v>
      </c>
    </row>
    <row r="242" spans="2:5">
      <c r="B242" s="1" t="s">
        <v>9</v>
      </c>
      <c r="C242" s="1">
        <v>38473</v>
      </c>
      <c r="D242">
        <v>730140954.38</v>
      </c>
      <c r="E242">
        <v>9</v>
      </c>
    </row>
    <row r="243" spans="2:5">
      <c r="B243" s="1" t="s">
        <v>15</v>
      </c>
      <c r="C243" s="1">
        <v>38473</v>
      </c>
      <c r="D243">
        <v>695502661.55999994</v>
      </c>
      <c r="E243">
        <v>10</v>
      </c>
    </row>
    <row r="244" spans="2:5">
      <c r="B244" s="1" t="s">
        <v>6</v>
      </c>
      <c r="C244" s="1">
        <v>38504</v>
      </c>
      <c r="D244">
        <v>8151630322.04</v>
      </c>
      <c r="E244">
        <v>1</v>
      </c>
    </row>
    <row r="245" spans="2:5">
      <c r="B245" s="1" t="s">
        <v>7</v>
      </c>
      <c r="C245" s="1">
        <v>38504</v>
      </c>
      <c r="D245">
        <v>6496219206.3999996</v>
      </c>
      <c r="E245">
        <v>2</v>
      </c>
    </row>
    <row r="246" spans="2:5">
      <c r="B246" s="1" t="s">
        <v>4</v>
      </c>
      <c r="C246" s="1">
        <v>38504</v>
      </c>
      <c r="D246">
        <v>3150126026.8400002</v>
      </c>
      <c r="E246">
        <v>3</v>
      </c>
    </row>
    <row r="247" spans="2:5">
      <c r="B247" s="1" t="s">
        <v>11</v>
      </c>
      <c r="C247" s="1">
        <v>38504</v>
      </c>
      <c r="D247">
        <v>2489603680.48</v>
      </c>
      <c r="E247">
        <v>4</v>
      </c>
    </row>
    <row r="248" spans="2:5">
      <c r="B248" s="1" t="s">
        <v>13</v>
      </c>
      <c r="C248" s="1">
        <v>38504</v>
      </c>
      <c r="D248">
        <v>2108031999.3800001</v>
      </c>
      <c r="E248">
        <v>5</v>
      </c>
    </row>
    <row r="249" spans="2:5">
      <c r="B249" s="1" t="s">
        <v>19</v>
      </c>
      <c r="C249" s="1">
        <v>38504</v>
      </c>
      <c r="D249">
        <v>1560042290.1199999</v>
      </c>
      <c r="E249">
        <v>6</v>
      </c>
    </row>
    <row r="250" spans="2:5">
      <c r="B250" s="1" t="s">
        <v>26</v>
      </c>
      <c r="C250" s="1">
        <v>38504</v>
      </c>
      <c r="D250">
        <v>1394421152.3599999</v>
      </c>
      <c r="E250">
        <v>7</v>
      </c>
    </row>
    <row r="251" spans="2:5">
      <c r="B251" s="1" t="s">
        <v>10</v>
      </c>
      <c r="C251" s="1">
        <v>38504</v>
      </c>
      <c r="D251">
        <v>1153524647.54</v>
      </c>
      <c r="E251">
        <v>8</v>
      </c>
    </row>
    <row r="252" spans="2:5">
      <c r="B252" s="1" t="s">
        <v>12</v>
      </c>
      <c r="C252" s="1">
        <v>38504</v>
      </c>
      <c r="D252">
        <v>861824321.49000001</v>
      </c>
      <c r="E252">
        <v>9</v>
      </c>
    </row>
    <row r="253" spans="2:5">
      <c r="B253" s="1" t="s">
        <v>14</v>
      </c>
      <c r="C253" s="1">
        <v>38504</v>
      </c>
      <c r="D253">
        <v>855475060.36000001</v>
      </c>
      <c r="E253">
        <v>10</v>
      </c>
    </row>
    <row r="254" spans="2:5">
      <c r="B254" s="1" t="s">
        <v>6</v>
      </c>
      <c r="C254" s="1">
        <v>38534</v>
      </c>
      <c r="D254">
        <v>8430888883.8800001</v>
      </c>
      <c r="E254">
        <v>1</v>
      </c>
    </row>
    <row r="255" spans="2:5">
      <c r="B255" s="1" t="s">
        <v>7</v>
      </c>
      <c r="C255" s="1">
        <v>38534</v>
      </c>
      <c r="D255">
        <v>6969425037.3100004</v>
      </c>
      <c r="E255">
        <v>2</v>
      </c>
    </row>
    <row r="256" spans="2:5">
      <c r="B256" s="1" t="s">
        <v>4</v>
      </c>
      <c r="C256" s="1">
        <v>38534</v>
      </c>
      <c r="D256">
        <v>3004249409.73</v>
      </c>
      <c r="E256">
        <v>3</v>
      </c>
    </row>
    <row r="257" spans="2:5">
      <c r="B257" s="1" t="s">
        <v>11</v>
      </c>
      <c r="C257" s="1">
        <v>38534</v>
      </c>
      <c r="D257">
        <v>2018954754.2</v>
      </c>
      <c r="E257">
        <v>4</v>
      </c>
    </row>
    <row r="258" spans="2:5">
      <c r="B258" s="1" t="s">
        <v>13</v>
      </c>
      <c r="C258" s="1">
        <v>38534</v>
      </c>
      <c r="D258">
        <v>1982441542.5</v>
      </c>
      <c r="E258">
        <v>5</v>
      </c>
    </row>
    <row r="259" spans="2:5">
      <c r="B259" s="1" t="s">
        <v>19</v>
      </c>
      <c r="C259" s="1">
        <v>38534</v>
      </c>
      <c r="D259">
        <v>1723209508.3699999</v>
      </c>
      <c r="E259">
        <v>6</v>
      </c>
    </row>
    <row r="260" spans="2:5">
      <c r="B260" s="1" t="s">
        <v>26</v>
      </c>
      <c r="C260" s="1">
        <v>38534</v>
      </c>
      <c r="D260">
        <v>1275430461.9200001</v>
      </c>
      <c r="E260">
        <v>7</v>
      </c>
    </row>
    <row r="261" spans="2:5">
      <c r="B261" s="1" t="s">
        <v>10</v>
      </c>
      <c r="C261" s="1">
        <v>38534</v>
      </c>
      <c r="D261">
        <v>977044639.59000003</v>
      </c>
      <c r="E261">
        <v>8</v>
      </c>
    </row>
    <row r="262" spans="2:5">
      <c r="B262" s="1" t="s">
        <v>9</v>
      </c>
      <c r="C262" s="1">
        <v>38534</v>
      </c>
      <c r="D262">
        <v>849576275.61000001</v>
      </c>
      <c r="E262">
        <v>9</v>
      </c>
    </row>
    <row r="263" spans="2:5">
      <c r="B263" s="1" t="s">
        <v>15</v>
      </c>
      <c r="C263" s="1">
        <v>38534</v>
      </c>
      <c r="D263">
        <v>787803743.65999997</v>
      </c>
      <c r="E263">
        <v>10</v>
      </c>
    </row>
    <row r="264" spans="2:5">
      <c r="B264" s="1" t="s">
        <v>6</v>
      </c>
      <c r="C264" s="1">
        <v>38565</v>
      </c>
      <c r="D264">
        <v>11555724329.280001</v>
      </c>
      <c r="E264">
        <v>1</v>
      </c>
    </row>
    <row r="265" spans="2:5">
      <c r="B265" s="1" t="s">
        <v>7</v>
      </c>
      <c r="C265" s="1">
        <v>38565</v>
      </c>
      <c r="D265">
        <v>10109655227.870001</v>
      </c>
      <c r="E265">
        <v>2</v>
      </c>
    </row>
    <row r="266" spans="2:5">
      <c r="B266" s="1" t="s">
        <v>11</v>
      </c>
      <c r="C266" s="1">
        <v>38565</v>
      </c>
      <c r="D266">
        <v>3487218958.5599999</v>
      </c>
      <c r="E266">
        <v>3</v>
      </c>
    </row>
    <row r="267" spans="2:5">
      <c r="B267" s="1" t="s">
        <v>4</v>
      </c>
      <c r="C267" s="1">
        <v>38565</v>
      </c>
      <c r="D267">
        <v>3050278249.8699999</v>
      </c>
      <c r="E267">
        <v>4</v>
      </c>
    </row>
    <row r="268" spans="2:5">
      <c r="B268" s="1" t="s">
        <v>13</v>
      </c>
      <c r="C268" s="1">
        <v>38565</v>
      </c>
      <c r="D268">
        <v>2688700926.5599999</v>
      </c>
      <c r="E268">
        <v>5</v>
      </c>
    </row>
    <row r="269" spans="2:5">
      <c r="B269" s="1" t="s">
        <v>19</v>
      </c>
      <c r="C269" s="1">
        <v>38565</v>
      </c>
      <c r="D269">
        <v>1927742772.05</v>
      </c>
      <c r="E269">
        <v>6</v>
      </c>
    </row>
    <row r="270" spans="2:5">
      <c r="B270" s="1" t="s">
        <v>10</v>
      </c>
      <c r="C270" s="1">
        <v>38565</v>
      </c>
      <c r="D270">
        <v>1437691276.5</v>
      </c>
      <c r="E270">
        <v>7</v>
      </c>
    </row>
    <row r="271" spans="2:5">
      <c r="B271" s="1" t="s">
        <v>26</v>
      </c>
      <c r="C271" s="1">
        <v>38565</v>
      </c>
      <c r="D271">
        <v>1201400093.04</v>
      </c>
      <c r="E271">
        <v>8</v>
      </c>
    </row>
    <row r="272" spans="2:5">
      <c r="B272" s="1" t="s">
        <v>14</v>
      </c>
      <c r="C272" s="1">
        <v>38565</v>
      </c>
      <c r="D272">
        <v>1113176333.8399999</v>
      </c>
      <c r="E272">
        <v>9</v>
      </c>
    </row>
    <row r="273" spans="2:5">
      <c r="B273" s="1" t="s">
        <v>15</v>
      </c>
      <c r="C273" s="1">
        <v>38565</v>
      </c>
      <c r="D273">
        <v>1074105836.53</v>
      </c>
      <c r="E273">
        <v>10</v>
      </c>
    </row>
    <row r="274" spans="2:5">
      <c r="B274" s="1" t="s">
        <v>6</v>
      </c>
      <c r="C274" s="1">
        <v>38596</v>
      </c>
      <c r="D274">
        <v>12483873401.42</v>
      </c>
      <c r="E274">
        <v>1</v>
      </c>
    </row>
    <row r="275" spans="2:5">
      <c r="B275" s="1" t="s">
        <v>7</v>
      </c>
      <c r="C275" s="1">
        <v>38596</v>
      </c>
      <c r="D275">
        <v>10660200646.540001</v>
      </c>
      <c r="E275">
        <v>2</v>
      </c>
    </row>
    <row r="276" spans="2:5">
      <c r="B276" s="1" t="s">
        <v>11</v>
      </c>
      <c r="C276" s="1">
        <v>38596</v>
      </c>
      <c r="D276">
        <v>3665390255.1300001</v>
      </c>
      <c r="E276">
        <v>3</v>
      </c>
    </row>
    <row r="277" spans="2:5">
      <c r="B277" s="1" t="s">
        <v>4</v>
      </c>
      <c r="C277" s="1">
        <v>38596</v>
      </c>
      <c r="D277">
        <v>3625468599.8899999</v>
      </c>
      <c r="E277">
        <v>4</v>
      </c>
    </row>
    <row r="278" spans="2:5">
      <c r="B278" s="1" t="s">
        <v>13</v>
      </c>
      <c r="C278" s="1">
        <v>38596</v>
      </c>
      <c r="D278">
        <v>3275805460.0100002</v>
      </c>
      <c r="E278">
        <v>5</v>
      </c>
    </row>
    <row r="279" spans="2:5">
      <c r="B279" s="1" t="s">
        <v>19</v>
      </c>
      <c r="C279" s="1">
        <v>38596</v>
      </c>
      <c r="D279">
        <v>2905608116.7800002</v>
      </c>
      <c r="E279">
        <v>6</v>
      </c>
    </row>
    <row r="280" spans="2:5">
      <c r="B280" s="1" t="s">
        <v>14</v>
      </c>
      <c r="C280" s="1">
        <v>38596</v>
      </c>
      <c r="D280">
        <v>1284343140.3699999</v>
      </c>
      <c r="E280">
        <v>7</v>
      </c>
    </row>
    <row r="281" spans="2:5">
      <c r="B281" s="1" t="s">
        <v>10</v>
      </c>
      <c r="C281" s="1">
        <v>38596</v>
      </c>
      <c r="D281">
        <v>1164280047.74</v>
      </c>
      <c r="E281">
        <v>8</v>
      </c>
    </row>
    <row r="282" spans="2:5">
      <c r="B282" s="1" t="s">
        <v>26</v>
      </c>
      <c r="C282" s="1">
        <v>38596</v>
      </c>
      <c r="D282">
        <v>1156528305.9200001</v>
      </c>
      <c r="E282">
        <v>9</v>
      </c>
    </row>
    <row r="283" spans="2:5">
      <c r="B283" s="1" t="s">
        <v>15</v>
      </c>
      <c r="C283" s="1">
        <v>38596</v>
      </c>
      <c r="D283">
        <v>1112522484.8199999</v>
      </c>
      <c r="E283">
        <v>10</v>
      </c>
    </row>
    <row r="284" spans="2:5">
      <c r="B284" s="1" t="s">
        <v>6</v>
      </c>
      <c r="C284" s="1">
        <v>38626</v>
      </c>
      <c r="D284">
        <v>14134133218</v>
      </c>
      <c r="E284">
        <v>1</v>
      </c>
    </row>
    <row r="285" spans="2:5">
      <c r="B285" s="1" t="s">
        <v>7</v>
      </c>
      <c r="C285" s="1">
        <v>38626</v>
      </c>
      <c r="D285">
        <v>11843596722.15</v>
      </c>
      <c r="E285">
        <v>2</v>
      </c>
    </row>
    <row r="286" spans="2:5">
      <c r="B286" s="1" t="s">
        <v>4</v>
      </c>
      <c r="C286" s="1">
        <v>38626</v>
      </c>
      <c r="D286">
        <v>4600153330.3000002</v>
      </c>
      <c r="E286">
        <v>3</v>
      </c>
    </row>
    <row r="287" spans="2:5">
      <c r="B287" s="1" t="s">
        <v>13</v>
      </c>
      <c r="C287" s="1">
        <v>38626</v>
      </c>
      <c r="D287">
        <v>4126653580.0100002</v>
      </c>
      <c r="E287">
        <v>4</v>
      </c>
    </row>
    <row r="288" spans="2:5">
      <c r="B288" s="1" t="s">
        <v>11</v>
      </c>
      <c r="C288" s="1">
        <v>38626</v>
      </c>
      <c r="D288">
        <v>2772929966.3299999</v>
      </c>
      <c r="E288">
        <v>5</v>
      </c>
    </row>
    <row r="289" spans="2:5">
      <c r="B289" s="1" t="s">
        <v>19</v>
      </c>
      <c r="C289" s="1">
        <v>38626</v>
      </c>
      <c r="D289">
        <v>1975709975.3199999</v>
      </c>
      <c r="E289">
        <v>6</v>
      </c>
    </row>
    <row r="290" spans="2:5">
      <c r="B290" s="1" t="s">
        <v>14</v>
      </c>
      <c r="C290" s="1">
        <v>38626</v>
      </c>
      <c r="D290">
        <v>1945707796.5999999</v>
      </c>
      <c r="E290">
        <v>7</v>
      </c>
    </row>
    <row r="291" spans="2:5">
      <c r="B291" s="1" t="s">
        <v>9</v>
      </c>
      <c r="C291" s="1">
        <v>38626</v>
      </c>
      <c r="D291">
        <v>1688999836.3399999</v>
      </c>
      <c r="E291">
        <v>8</v>
      </c>
    </row>
    <row r="292" spans="2:5">
      <c r="B292" s="1" t="s">
        <v>10</v>
      </c>
      <c r="C292" s="1">
        <v>38626</v>
      </c>
      <c r="D292">
        <v>1409329134.6700001</v>
      </c>
      <c r="E292">
        <v>9</v>
      </c>
    </row>
    <row r="293" spans="2:5">
      <c r="B293" s="1" t="s">
        <v>26</v>
      </c>
      <c r="C293" s="1">
        <v>38626</v>
      </c>
      <c r="D293">
        <v>1380698248.48</v>
      </c>
      <c r="E293">
        <v>10</v>
      </c>
    </row>
    <row r="294" spans="2:5">
      <c r="B294" s="1" t="s">
        <v>6</v>
      </c>
      <c r="C294" s="1">
        <v>38657</v>
      </c>
      <c r="D294">
        <v>12566705288.139999</v>
      </c>
      <c r="E294">
        <v>1</v>
      </c>
    </row>
    <row r="295" spans="2:5">
      <c r="B295" s="1" t="s">
        <v>7</v>
      </c>
      <c r="C295" s="1">
        <v>38657</v>
      </c>
      <c r="D295">
        <v>10651056537.49</v>
      </c>
      <c r="E295">
        <v>2</v>
      </c>
    </row>
    <row r="296" spans="2:5">
      <c r="B296" s="1" t="s">
        <v>4</v>
      </c>
      <c r="C296" s="1">
        <v>38657</v>
      </c>
      <c r="D296">
        <v>2821211812.6599998</v>
      </c>
      <c r="E296">
        <v>3</v>
      </c>
    </row>
    <row r="297" spans="2:5">
      <c r="B297" s="1" t="s">
        <v>11</v>
      </c>
      <c r="C297" s="1">
        <v>38657</v>
      </c>
      <c r="D297">
        <v>2457582090.1799998</v>
      </c>
      <c r="E297">
        <v>4</v>
      </c>
    </row>
    <row r="298" spans="2:5">
      <c r="B298" s="1" t="s">
        <v>13</v>
      </c>
      <c r="C298" s="1">
        <v>38657</v>
      </c>
      <c r="D298">
        <v>2442226315.3899999</v>
      </c>
      <c r="E298">
        <v>5</v>
      </c>
    </row>
    <row r="299" spans="2:5">
      <c r="B299" s="1" t="s">
        <v>19</v>
      </c>
      <c r="C299" s="1">
        <v>38657</v>
      </c>
      <c r="D299">
        <v>1727565585.48</v>
      </c>
      <c r="E299">
        <v>6</v>
      </c>
    </row>
    <row r="300" spans="2:5">
      <c r="B300" s="1" t="s">
        <v>10</v>
      </c>
      <c r="C300" s="1">
        <v>38657</v>
      </c>
      <c r="D300">
        <v>1318196737.45</v>
      </c>
      <c r="E300">
        <v>7</v>
      </c>
    </row>
    <row r="301" spans="2:5">
      <c r="B301" s="1" t="s">
        <v>9</v>
      </c>
      <c r="C301" s="1">
        <v>38657</v>
      </c>
      <c r="D301">
        <v>1280788007.3599999</v>
      </c>
      <c r="E301">
        <v>8</v>
      </c>
    </row>
    <row r="302" spans="2:5">
      <c r="B302" s="1" t="s">
        <v>26</v>
      </c>
      <c r="C302" s="1">
        <v>38657</v>
      </c>
      <c r="D302">
        <v>1269296283.4100001</v>
      </c>
      <c r="E302">
        <v>9</v>
      </c>
    </row>
    <row r="303" spans="2:5">
      <c r="B303" s="1" t="s">
        <v>15</v>
      </c>
      <c r="C303" s="1">
        <v>38657</v>
      </c>
      <c r="D303">
        <v>805832053.38999999</v>
      </c>
      <c r="E303">
        <v>10</v>
      </c>
    </row>
    <row r="304" spans="2:5">
      <c r="B304" s="1" t="s">
        <v>7</v>
      </c>
      <c r="C304" s="1">
        <v>38687</v>
      </c>
      <c r="D304">
        <v>2070651256.24</v>
      </c>
      <c r="E304">
        <v>1</v>
      </c>
    </row>
    <row r="305" spans="2:5">
      <c r="B305" s="1" t="s">
        <v>6</v>
      </c>
      <c r="C305" s="1">
        <v>38687</v>
      </c>
      <c r="D305">
        <v>2070651256.24</v>
      </c>
      <c r="E305">
        <v>1</v>
      </c>
    </row>
    <row r="306" spans="2:5">
      <c r="B306" s="1" t="s">
        <v>19</v>
      </c>
      <c r="C306" s="1">
        <v>38687</v>
      </c>
      <c r="D306">
        <v>725327641.04999995</v>
      </c>
      <c r="E306">
        <v>3</v>
      </c>
    </row>
    <row r="307" spans="2:5">
      <c r="B307" s="1" t="s">
        <v>9</v>
      </c>
      <c r="C307" s="1">
        <v>38687</v>
      </c>
      <c r="D307">
        <v>538393225.62</v>
      </c>
      <c r="E307">
        <v>4</v>
      </c>
    </row>
    <row r="308" spans="2:5">
      <c r="B308" s="1" t="s">
        <v>5</v>
      </c>
      <c r="C308" s="1">
        <v>38687</v>
      </c>
      <c r="D308">
        <v>387185771.39999998</v>
      </c>
      <c r="E308">
        <v>5</v>
      </c>
    </row>
    <row r="309" spans="2:5">
      <c r="B309" s="1" t="s">
        <v>10</v>
      </c>
      <c r="C309" s="1">
        <v>38687</v>
      </c>
      <c r="D309">
        <v>364911443</v>
      </c>
      <c r="E309">
        <v>6</v>
      </c>
    </row>
    <row r="310" spans="2:5">
      <c r="B310" s="1" t="s">
        <v>17</v>
      </c>
      <c r="C310" s="1">
        <v>38687</v>
      </c>
      <c r="D310">
        <v>270607282.56999999</v>
      </c>
      <c r="E310">
        <v>7</v>
      </c>
    </row>
    <row r="311" spans="2:5">
      <c r="B311" s="1" t="s">
        <v>26</v>
      </c>
      <c r="C311" s="1">
        <v>38687</v>
      </c>
      <c r="D311">
        <v>233071797.31999999</v>
      </c>
      <c r="E311">
        <v>8</v>
      </c>
    </row>
    <row r="312" spans="2:5">
      <c r="B312" s="1" t="s">
        <v>24</v>
      </c>
      <c r="C312" s="1">
        <v>38687</v>
      </c>
      <c r="D312">
        <v>205137323.12</v>
      </c>
      <c r="E312">
        <v>9</v>
      </c>
    </row>
    <row r="313" spans="2:5">
      <c r="B313" s="1" t="s">
        <v>13</v>
      </c>
      <c r="C313" s="1">
        <v>38687</v>
      </c>
      <c r="D313">
        <v>66282540.439999998</v>
      </c>
      <c r="E313">
        <v>10</v>
      </c>
    </row>
    <row r="314" spans="2:5">
      <c r="B314" s="1" t="s">
        <v>6</v>
      </c>
      <c r="C314" s="1">
        <v>38718</v>
      </c>
      <c r="D314">
        <v>10973844334.49</v>
      </c>
      <c r="E314">
        <v>1</v>
      </c>
    </row>
    <row r="315" spans="2:5">
      <c r="B315" s="1" t="s">
        <v>7</v>
      </c>
      <c r="C315" s="1">
        <v>38718</v>
      </c>
      <c r="D315">
        <v>8758732482.6900005</v>
      </c>
      <c r="E315">
        <v>2</v>
      </c>
    </row>
    <row r="316" spans="2:5">
      <c r="B316" s="1" t="s">
        <v>11</v>
      </c>
      <c r="C316" s="1">
        <v>38718</v>
      </c>
      <c r="D316">
        <v>3453825775.5799999</v>
      </c>
      <c r="E316">
        <v>3</v>
      </c>
    </row>
    <row r="317" spans="2:5">
      <c r="B317" s="1" t="s">
        <v>13</v>
      </c>
      <c r="C317" s="1">
        <v>38718</v>
      </c>
      <c r="D317">
        <v>3000853088.4299998</v>
      </c>
      <c r="E317">
        <v>4</v>
      </c>
    </row>
    <row r="318" spans="2:5">
      <c r="B318" s="1" t="s">
        <v>4</v>
      </c>
      <c r="C318" s="1">
        <v>38718</v>
      </c>
      <c r="D318">
        <v>2805440695.2399998</v>
      </c>
      <c r="E318">
        <v>5</v>
      </c>
    </row>
    <row r="319" spans="2:5">
      <c r="B319" s="1" t="s">
        <v>19</v>
      </c>
      <c r="C319" s="1">
        <v>38718</v>
      </c>
      <c r="D319">
        <v>1589051101.3399999</v>
      </c>
      <c r="E319">
        <v>6</v>
      </c>
    </row>
    <row r="320" spans="2:5">
      <c r="B320" s="1" t="s">
        <v>9</v>
      </c>
      <c r="C320" s="1">
        <v>38718</v>
      </c>
      <c r="D320">
        <v>1190759562.4300001</v>
      </c>
      <c r="E320">
        <v>7</v>
      </c>
    </row>
    <row r="321" spans="2:5">
      <c r="B321" s="1" t="s">
        <v>10</v>
      </c>
      <c r="C321" s="1">
        <v>38718</v>
      </c>
      <c r="D321">
        <v>759528959.26999998</v>
      </c>
      <c r="E321">
        <v>8</v>
      </c>
    </row>
    <row r="322" spans="2:5">
      <c r="B322" s="1" t="s">
        <v>14</v>
      </c>
      <c r="C322" s="1">
        <v>38718</v>
      </c>
      <c r="D322">
        <v>705864383.04999995</v>
      </c>
      <c r="E322">
        <v>9</v>
      </c>
    </row>
    <row r="323" spans="2:5">
      <c r="B323" s="1" t="s">
        <v>15</v>
      </c>
      <c r="C323" s="1">
        <v>38718</v>
      </c>
      <c r="D323">
        <v>696537956.32000005</v>
      </c>
      <c r="E323">
        <v>10</v>
      </c>
    </row>
    <row r="324" spans="2:5">
      <c r="B324" s="1" t="s">
        <v>6</v>
      </c>
      <c r="C324" s="1">
        <v>38749</v>
      </c>
      <c r="D324">
        <v>10358305289.91</v>
      </c>
      <c r="E324">
        <v>1</v>
      </c>
    </row>
    <row r="325" spans="2:5">
      <c r="B325" s="1" t="s">
        <v>7</v>
      </c>
      <c r="C325" s="1">
        <v>38749</v>
      </c>
      <c r="D325">
        <v>9032989047.8700008</v>
      </c>
      <c r="E325">
        <v>2</v>
      </c>
    </row>
    <row r="326" spans="2:5">
      <c r="B326" s="1" t="s">
        <v>4</v>
      </c>
      <c r="C326" s="1">
        <v>38749</v>
      </c>
      <c r="D326">
        <v>3027644368.0700002</v>
      </c>
      <c r="E326">
        <v>3</v>
      </c>
    </row>
    <row r="327" spans="2:5">
      <c r="B327" s="1" t="s">
        <v>13</v>
      </c>
      <c r="C327" s="1">
        <v>38749</v>
      </c>
      <c r="D327">
        <v>2639469374.9000001</v>
      </c>
      <c r="E327">
        <v>4</v>
      </c>
    </row>
    <row r="328" spans="2:5">
      <c r="B328" s="1" t="s">
        <v>11</v>
      </c>
      <c r="C328" s="1">
        <v>38749</v>
      </c>
      <c r="D328">
        <v>2635129657.8800001</v>
      </c>
      <c r="E328">
        <v>5</v>
      </c>
    </row>
    <row r="329" spans="2:5">
      <c r="B329" s="1" t="s">
        <v>26</v>
      </c>
      <c r="C329" s="1">
        <v>38749</v>
      </c>
      <c r="D329">
        <v>2338045896.1799998</v>
      </c>
      <c r="E329">
        <v>6</v>
      </c>
    </row>
    <row r="330" spans="2:5">
      <c r="B330" s="1" t="s">
        <v>19</v>
      </c>
      <c r="C330" s="1">
        <v>38749</v>
      </c>
      <c r="D330">
        <v>1915009538.51</v>
      </c>
      <c r="E330">
        <v>7</v>
      </c>
    </row>
    <row r="331" spans="2:5">
      <c r="B331" s="1" t="s">
        <v>9</v>
      </c>
      <c r="C331" s="1">
        <v>38749</v>
      </c>
      <c r="D331">
        <v>990721792.80999994</v>
      </c>
      <c r="E331">
        <v>8</v>
      </c>
    </row>
    <row r="332" spans="2:5">
      <c r="B332" s="1" t="s">
        <v>14</v>
      </c>
      <c r="C332" s="1">
        <v>38749</v>
      </c>
      <c r="D332">
        <v>810137866.02999997</v>
      </c>
      <c r="E332">
        <v>9</v>
      </c>
    </row>
    <row r="333" spans="2:5">
      <c r="B333" s="1" t="s">
        <v>15</v>
      </c>
      <c r="C333" s="1">
        <v>38749</v>
      </c>
      <c r="D333">
        <v>808998797.29999995</v>
      </c>
      <c r="E333">
        <v>10</v>
      </c>
    </row>
    <row r="334" spans="2:5">
      <c r="B334" s="1" t="s">
        <v>6</v>
      </c>
      <c r="C334" s="1">
        <v>38777</v>
      </c>
      <c r="D334">
        <v>6978704255.8400002</v>
      </c>
      <c r="E334">
        <v>1</v>
      </c>
    </row>
    <row r="335" spans="2:5">
      <c r="B335" s="1" t="s">
        <v>7</v>
      </c>
      <c r="C335" s="1">
        <v>38777</v>
      </c>
      <c r="D335">
        <v>5495137439.1999998</v>
      </c>
      <c r="E335">
        <v>2</v>
      </c>
    </row>
    <row r="336" spans="2:5">
      <c r="B336" s="1" t="s">
        <v>13</v>
      </c>
      <c r="C336" s="1">
        <v>38777</v>
      </c>
      <c r="D336">
        <v>3042261494.9299998</v>
      </c>
      <c r="E336">
        <v>3</v>
      </c>
    </row>
    <row r="337" spans="2:5">
      <c r="B337" s="1" t="s">
        <v>11</v>
      </c>
      <c r="C337" s="1">
        <v>38777</v>
      </c>
      <c r="D337">
        <v>2631894145.25</v>
      </c>
      <c r="E337">
        <v>4</v>
      </c>
    </row>
    <row r="338" spans="2:5">
      <c r="B338" s="1" t="s">
        <v>4</v>
      </c>
      <c r="C338" s="1">
        <v>38777</v>
      </c>
      <c r="D338">
        <v>2308312746.5500002</v>
      </c>
      <c r="E338">
        <v>5</v>
      </c>
    </row>
    <row r="339" spans="2:5">
      <c r="B339" s="1" t="s">
        <v>26</v>
      </c>
      <c r="C339" s="1">
        <v>38777</v>
      </c>
      <c r="D339">
        <v>1883780544.9400001</v>
      </c>
      <c r="E339">
        <v>6</v>
      </c>
    </row>
    <row r="340" spans="2:5">
      <c r="B340" s="1" t="s">
        <v>19</v>
      </c>
      <c r="C340" s="1">
        <v>38777</v>
      </c>
      <c r="D340">
        <v>1740811595.75</v>
      </c>
      <c r="E340">
        <v>7</v>
      </c>
    </row>
    <row r="341" spans="2:5">
      <c r="B341" s="1" t="s">
        <v>14</v>
      </c>
      <c r="C341" s="1">
        <v>38777</v>
      </c>
      <c r="D341">
        <v>1589118989.3299999</v>
      </c>
      <c r="E341">
        <v>8</v>
      </c>
    </row>
    <row r="342" spans="2:5">
      <c r="B342" s="1" t="s">
        <v>20</v>
      </c>
      <c r="C342" s="1">
        <v>38777</v>
      </c>
      <c r="D342">
        <v>1121784551.25</v>
      </c>
      <c r="E342">
        <v>9</v>
      </c>
    </row>
    <row r="343" spans="2:5">
      <c r="B343" s="1" t="s">
        <v>9</v>
      </c>
      <c r="C343" s="1">
        <v>38777</v>
      </c>
      <c r="D343">
        <v>1120473577.1900001</v>
      </c>
      <c r="E343">
        <v>10</v>
      </c>
    </row>
    <row r="344" spans="2:5">
      <c r="B344" s="1" t="s">
        <v>6</v>
      </c>
      <c r="C344" s="1">
        <v>38808</v>
      </c>
      <c r="D344">
        <v>8722494308.0400009</v>
      </c>
      <c r="E344">
        <v>1</v>
      </c>
    </row>
    <row r="345" spans="2:5">
      <c r="B345" s="1" t="s">
        <v>7</v>
      </c>
      <c r="C345" s="1">
        <v>38808</v>
      </c>
      <c r="D345">
        <v>7674012077.6199999</v>
      </c>
      <c r="E345">
        <v>2</v>
      </c>
    </row>
    <row r="346" spans="2:5">
      <c r="B346" s="1" t="s">
        <v>13</v>
      </c>
      <c r="C346" s="1">
        <v>38808</v>
      </c>
      <c r="D346">
        <v>2565179780.52</v>
      </c>
      <c r="E346">
        <v>3</v>
      </c>
    </row>
    <row r="347" spans="2:5">
      <c r="B347" s="1" t="s">
        <v>26</v>
      </c>
      <c r="C347" s="1">
        <v>38808</v>
      </c>
      <c r="D347">
        <v>2287379973.8099999</v>
      </c>
      <c r="E347">
        <v>4</v>
      </c>
    </row>
    <row r="348" spans="2:5">
      <c r="B348" s="1" t="s">
        <v>4</v>
      </c>
      <c r="C348" s="1">
        <v>38808</v>
      </c>
      <c r="D348">
        <v>2121022833.9200001</v>
      </c>
      <c r="E348">
        <v>5</v>
      </c>
    </row>
    <row r="349" spans="2:5">
      <c r="B349" s="1" t="s">
        <v>11</v>
      </c>
      <c r="C349" s="1">
        <v>38808</v>
      </c>
      <c r="D349">
        <v>1808443576.4000001</v>
      </c>
      <c r="E349">
        <v>6</v>
      </c>
    </row>
    <row r="350" spans="2:5">
      <c r="B350" s="1" t="s">
        <v>19</v>
      </c>
      <c r="C350" s="1">
        <v>38808</v>
      </c>
      <c r="D350">
        <v>1318407636.3199999</v>
      </c>
      <c r="E350">
        <v>7</v>
      </c>
    </row>
    <row r="351" spans="2:5">
      <c r="B351" s="1" t="s">
        <v>14</v>
      </c>
      <c r="C351" s="1">
        <v>38808</v>
      </c>
      <c r="D351">
        <v>1253851453.8900001</v>
      </c>
      <c r="E351">
        <v>8</v>
      </c>
    </row>
    <row r="352" spans="2:5">
      <c r="B352" s="1" t="s">
        <v>9</v>
      </c>
      <c r="C352" s="1">
        <v>38808</v>
      </c>
      <c r="D352">
        <v>994577512.00999999</v>
      </c>
      <c r="E352">
        <v>9</v>
      </c>
    </row>
    <row r="353" spans="2:5">
      <c r="B353" s="1" t="s">
        <v>20</v>
      </c>
      <c r="C353" s="1">
        <v>38808</v>
      </c>
      <c r="D353">
        <v>810849624.72000003</v>
      </c>
      <c r="E353">
        <v>10</v>
      </c>
    </row>
    <row r="354" spans="2:5">
      <c r="B354" s="1" t="s">
        <v>6</v>
      </c>
      <c r="C354" s="1">
        <v>38838</v>
      </c>
      <c r="D354">
        <v>9582564990.2199993</v>
      </c>
      <c r="E354">
        <v>1</v>
      </c>
    </row>
    <row r="355" spans="2:5">
      <c r="B355" s="1" t="s">
        <v>7</v>
      </c>
      <c r="C355" s="1">
        <v>38838</v>
      </c>
      <c r="D355">
        <v>8585208581.6700001</v>
      </c>
      <c r="E355">
        <v>2</v>
      </c>
    </row>
    <row r="356" spans="2:5">
      <c r="B356" s="1" t="s">
        <v>4</v>
      </c>
      <c r="C356" s="1">
        <v>38838</v>
      </c>
      <c r="D356">
        <v>3190920607.3299999</v>
      </c>
      <c r="E356">
        <v>3</v>
      </c>
    </row>
    <row r="357" spans="2:5">
      <c r="B357" s="1" t="s">
        <v>11</v>
      </c>
      <c r="C357" s="1">
        <v>38838</v>
      </c>
      <c r="D357">
        <v>3088788943.8800001</v>
      </c>
      <c r="E357">
        <v>4</v>
      </c>
    </row>
    <row r="358" spans="2:5">
      <c r="B358" s="1" t="s">
        <v>13</v>
      </c>
      <c r="C358" s="1">
        <v>38838</v>
      </c>
      <c r="D358">
        <v>2857246235.5100002</v>
      </c>
      <c r="E358">
        <v>5</v>
      </c>
    </row>
    <row r="359" spans="2:5">
      <c r="B359" s="1" t="s">
        <v>26</v>
      </c>
      <c r="C359" s="1">
        <v>38838</v>
      </c>
      <c r="D359">
        <v>1855245672.23</v>
      </c>
      <c r="E359">
        <v>6</v>
      </c>
    </row>
    <row r="360" spans="2:5">
      <c r="B360" s="1" t="s">
        <v>19</v>
      </c>
      <c r="C360" s="1">
        <v>38838</v>
      </c>
      <c r="D360">
        <v>1682540462.5999999</v>
      </c>
      <c r="E360">
        <v>7</v>
      </c>
    </row>
    <row r="361" spans="2:5">
      <c r="B361" s="1" t="s">
        <v>16</v>
      </c>
      <c r="C361" s="1">
        <v>38838</v>
      </c>
      <c r="D361">
        <v>1208592361.22</v>
      </c>
      <c r="E361">
        <v>8</v>
      </c>
    </row>
    <row r="362" spans="2:5">
      <c r="B362" s="1" t="s">
        <v>9</v>
      </c>
      <c r="C362" s="1">
        <v>38838</v>
      </c>
      <c r="D362">
        <v>1106072232.51</v>
      </c>
      <c r="E362">
        <v>9</v>
      </c>
    </row>
    <row r="363" spans="2:5">
      <c r="B363" s="1" t="s">
        <v>10</v>
      </c>
      <c r="C363" s="1">
        <v>38838</v>
      </c>
      <c r="D363">
        <v>1084688488.78</v>
      </c>
      <c r="E363">
        <v>10</v>
      </c>
    </row>
    <row r="364" spans="2:5">
      <c r="B364" s="1" t="s">
        <v>6</v>
      </c>
      <c r="C364" s="1">
        <v>38869</v>
      </c>
      <c r="D364">
        <v>6730657877.1899996</v>
      </c>
      <c r="E364">
        <v>1</v>
      </c>
    </row>
    <row r="365" spans="2:5">
      <c r="B365" s="1" t="s">
        <v>7</v>
      </c>
      <c r="C365" s="1">
        <v>38869</v>
      </c>
      <c r="D365">
        <v>5813663933.3800001</v>
      </c>
      <c r="E365">
        <v>2</v>
      </c>
    </row>
    <row r="366" spans="2:5">
      <c r="B366" s="1" t="s">
        <v>4</v>
      </c>
      <c r="C366" s="1">
        <v>38869</v>
      </c>
      <c r="D366">
        <v>4271244319.7399998</v>
      </c>
      <c r="E366">
        <v>3</v>
      </c>
    </row>
    <row r="367" spans="2:5">
      <c r="B367" s="1" t="s">
        <v>19</v>
      </c>
      <c r="C367" s="1">
        <v>38869</v>
      </c>
      <c r="D367">
        <v>2990450428.04</v>
      </c>
      <c r="E367">
        <v>4</v>
      </c>
    </row>
    <row r="368" spans="2:5">
      <c r="B368" s="1" t="s">
        <v>13</v>
      </c>
      <c r="C368" s="1">
        <v>38869</v>
      </c>
      <c r="D368">
        <v>2888770196.1999998</v>
      </c>
      <c r="E368">
        <v>5</v>
      </c>
    </row>
    <row r="369" spans="2:5">
      <c r="B369" s="1" t="s">
        <v>11</v>
      </c>
      <c r="C369" s="1">
        <v>38869</v>
      </c>
      <c r="D369">
        <v>2311888321.9299998</v>
      </c>
      <c r="E369">
        <v>6</v>
      </c>
    </row>
    <row r="370" spans="2:5">
      <c r="B370" s="1" t="s">
        <v>26</v>
      </c>
      <c r="C370" s="1">
        <v>38869</v>
      </c>
      <c r="D370">
        <v>2038759426.5999999</v>
      </c>
      <c r="E370">
        <v>7</v>
      </c>
    </row>
    <row r="371" spans="2:5">
      <c r="B371" s="1" t="s">
        <v>9</v>
      </c>
      <c r="C371" s="1">
        <v>38869</v>
      </c>
      <c r="D371">
        <v>1289293850.24</v>
      </c>
      <c r="E371">
        <v>8</v>
      </c>
    </row>
    <row r="372" spans="2:5">
      <c r="B372" s="1" t="s">
        <v>10</v>
      </c>
      <c r="C372" s="1">
        <v>38869</v>
      </c>
      <c r="D372">
        <v>954021072.17999995</v>
      </c>
      <c r="E372">
        <v>9</v>
      </c>
    </row>
    <row r="373" spans="2:5">
      <c r="B373" s="1" t="s">
        <v>20</v>
      </c>
      <c r="C373" s="1">
        <v>38869</v>
      </c>
      <c r="D373">
        <v>921241768.96000004</v>
      </c>
      <c r="E373">
        <v>10</v>
      </c>
    </row>
    <row r="374" spans="2:5">
      <c r="B374" s="1" t="s">
        <v>6</v>
      </c>
      <c r="C374" s="1">
        <v>38899</v>
      </c>
      <c r="D374">
        <v>8965396007.8700008</v>
      </c>
      <c r="E374">
        <v>1</v>
      </c>
    </row>
    <row r="375" spans="2:5">
      <c r="B375" s="1" t="s">
        <v>7</v>
      </c>
      <c r="C375" s="1">
        <v>38899</v>
      </c>
      <c r="D375">
        <v>8021599510.5100002</v>
      </c>
      <c r="E375">
        <v>2</v>
      </c>
    </row>
    <row r="376" spans="2:5">
      <c r="B376" s="1" t="s">
        <v>4</v>
      </c>
      <c r="C376" s="1">
        <v>38899</v>
      </c>
      <c r="D376">
        <v>4259554318.7399998</v>
      </c>
      <c r="E376">
        <v>3</v>
      </c>
    </row>
    <row r="377" spans="2:5">
      <c r="B377" s="1" t="s">
        <v>19</v>
      </c>
      <c r="C377" s="1">
        <v>38899</v>
      </c>
      <c r="D377">
        <v>3176378793.3400002</v>
      </c>
      <c r="E377">
        <v>4</v>
      </c>
    </row>
    <row r="378" spans="2:5">
      <c r="B378" s="1" t="s">
        <v>13</v>
      </c>
      <c r="C378" s="1">
        <v>38899</v>
      </c>
      <c r="D378">
        <v>2706201429.5500002</v>
      </c>
      <c r="E378">
        <v>5</v>
      </c>
    </row>
    <row r="379" spans="2:5">
      <c r="B379" s="1" t="s">
        <v>11</v>
      </c>
      <c r="C379" s="1">
        <v>38899</v>
      </c>
      <c r="D379">
        <v>2539917398.6199999</v>
      </c>
      <c r="E379">
        <v>6</v>
      </c>
    </row>
    <row r="380" spans="2:5">
      <c r="B380" s="1" t="s">
        <v>9</v>
      </c>
      <c r="C380" s="1">
        <v>38899</v>
      </c>
      <c r="D380">
        <v>1567093191.0799999</v>
      </c>
      <c r="E380">
        <v>7</v>
      </c>
    </row>
    <row r="381" spans="2:5">
      <c r="B381" s="1" t="s">
        <v>26</v>
      </c>
      <c r="C381" s="1">
        <v>38899</v>
      </c>
      <c r="D381">
        <v>1485499260.4200001</v>
      </c>
      <c r="E381">
        <v>8</v>
      </c>
    </row>
    <row r="382" spans="2:5">
      <c r="B382" s="1" t="s">
        <v>10</v>
      </c>
      <c r="C382" s="1">
        <v>38899</v>
      </c>
      <c r="D382">
        <v>839725062.69000006</v>
      </c>
      <c r="E382">
        <v>9</v>
      </c>
    </row>
    <row r="383" spans="2:5">
      <c r="B383" s="1" t="s">
        <v>20</v>
      </c>
      <c r="C383" s="1">
        <v>38899</v>
      </c>
      <c r="D383">
        <v>799350786.94000006</v>
      </c>
      <c r="E383">
        <v>10</v>
      </c>
    </row>
    <row r="384" spans="2:5">
      <c r="B384" s="1" t="s">
        <v>6</v>
      </c>
      <c r="C384" s="1">
        <v>38930</v>
      </c>
      <c r="D384">
        <v>7937895190.9099998</v>
      </c>
      <c r="E384">
        <v>1</v>
      </c>
    </row>
    <row r="385" spans="2:5">
      <c r="B385" s="1" t="s">
        <v>7</v>
      </c>
      <c r="C385" s="1">
        <v>38930</v>
      </c>
      <c r="D385">
        <v>7482650729.9300003</v>
      </c>
      <c r="E385">
        <v>2</v>
      </c>
    </row>
    <row r="386" spans="2:5">
      <c r="B386" s="1" t="s">
        <v>4</v>
      </c>
      <c r="C386" s="1">
        <v>38930</v>
      </c>
      <c r="D386">
        <v>3924938406.6100001</v>
      </c>
      <c r="E386">
        <v>3</v>
      </c>
    </row>
    <row r="387" spans="2:5">
      <c r="B387" s="1" t="s">
        <v>11</v>
      </c>
      <c r="C387" s="1">
        <v>38930</v>
      </c>
      <c r="D387">
        <v>2443448786.8000002</v>
      </c>
      <c r="E387">
        <v>4</v>
      </c>
    </row>
    <row r="388" spans="2:5">
      <c r="B388" s="1" t="s">
        <v>13</v>
      </c>
      <c r="C388" s="1">
        <v>38930</v>
      </c>
      <c r="D388">
        <v>2024818342.8499999</v>
      </c>
      <c r="E388">
        <v>5</v>
      </c>
    </row>
    <row r="389" spans="2:5">
      <c r="B389" s="1" t="s">
        <v>19</v>
      </c>
      <c r="C389" s="1">
        <v>38930</v>
      </c>
      <c r="D389">
        <v>1925461790.45</v>
      </c>
      <c r="E389">
        <v>6</v>
      </c>
    </row>
    <row r="390" spans="2:5">
      <c r="B390" s="1" t="s">
        <v>26</v>
      </c>
      <c r="C390" s="1">
        <v>38930</v>
      </c>
      <c r="D390">
        <v>1752991870.7</v>
      </c>
      <c r="E390">
        <v>7</v>
      </c>
    </row>
    <row r="391" spans="2:5">
      <c r="B391" s="1" t="s">
        <v>15</v>
      </c>
      <c r="C391" s="1">
        <v>38930</v>
      </c>
      <c r="D391">
        <v>914924139.89999998</v>
      </c>
      <c r="E391">
        <v>8</v>
      </c>
    </row>
    <row r="392" spans="2:5">
      <c r="B392" s="1" t="s">
        <v>9</v>
      </c>
      <c r="C392" s="1">
        <v>38930</v>
      </c>
      <c r="D392">
        <v>854038458.64999998</v>
      </c>
      <c r="E392">
        <v>9</v>
      </c>
    </row>
    <row r="393" spans="2:5">
      <c r="B393" s="1" t="s">
        <v>10</v>
      </c>
      <c r="C393" s="1">
        <v>38930</v>
      </c>
      <c r="D393">
        <v>813164836.91999996</v>
      </c>
      <c r="E393">
        <v>10</v>
      </c>
    </row>
    <row r="394" spans="2:5">
      <c r="B394" s="1" t="s">
        <v>6</v>
      </c>
      <c r="C394" s="1">
        <v>39022</v>
      </c>
      <c r="D394">
        <v>12881299848.049999</v>
      </c>
      <c r="E394">
        <v>1</v>
      </c>
    </row>
    <row r="395" spans="2:5">
      <c r="B395" s="1" t="s">
        <v>7</v>
      </c>
      <c r="C395" s="1">
        <v>39022</v>
      </c>
      <c r="D395">
        <v>11793300856.860001</v>
      </c>
      <c r="E395">
        <v>2</v>
      </c>
    </row>
    <row r="396" spans="2:5">
      <c r="B396" s="1" t="s">
        <v>4</v>
      </c>
      <c r="C396" s="1">
        <v>39022</v>
      </c>
      <c r="D396">
        <v>3004026765.3299999</v>
      </c>
      <c r="E396">
        <v>3</v>
      </c>
    </row>
    <row r="397" spans="2:5">
      <c r="B397" s="1" t="s">
        <v>11</v>
      </c>
      <c r="C397" s="1">
        <v>39022</v>
      </c>
      <c r="D397">
        <v>2534609295.7800002</v>
      </c>
      <c r="E397">
        <v>4</v>
      </c>
    </row>
    <row r="398" spans="2:5">
      <c r="B398" s="1" t="s">
        <v>13</v>
      </c>
      <c r="C398" s="1">
        <v>39022</v>
      </c>
      <c r="D398">
        <v>2083799576.1600001</v>
      </c>
      <c r="E398">
        <v>5</v>
      </c>
    </row>
    <row r="399" spans="2:5">
      <c r="B399" s="1" t="s">
        <v>19</v>
      </c>
      <c r="C399" s="1">
        <v>39022</v>
      </c>
      <c r="D399">
        <v>1937299624.6199999</v>
      </c>
      <c r="E399">
        <v>6</v>
      </c>
    </row>
    <row r="400" spans="2:5">
      <c r="B400" s="1" t="s">
        <v>26</v>
      </c>
      <c r="C400" s="1">
        <v>39022</v>
      </c>
      <c r="D400">
        <v>1566716834.5999999</v>
      </c>
      <c r="E400">
        <v>7</v>
      </c>
    </row>
    <row r="401" spans="2:5">
      <c r="B401" s="1" t="s">
        <v>20</v>
      </c>
      <c r="C401" s="1">
        <v>39022</v>
      </c>
      <c r="D401">
        <v>1043534022.4400001</v>
      </c>
      <c r="E401">
        <v>8</v>
      </c>
    </row>
    <row r="402" spans="2:5">
      <c r="B402" s="1" t="s">
        <v>9</v>
      </c>
      <c r="C402" s="1">
        <v>39022</v>
      </c>
      <c r="D402">
        <v>1030972708.28</v>
      </c>
      <c r="E402">
        <v>9</v>
      </c>
    </row>
    <row r="403" spans="2:5">
      <c r="B403" s="1" t="s">
        <v>16</v>
      </c>
      <c r="C403" s="1">
        <v>39022</v>
      </c>
      <c r="D403">
        <v>960615545.09000003</v>
      </c>
      <c r="E403">
        <v>10</v>
      </c>
    </row>
    <row r="404" spans="2:5">
      <c r="B404" s="1" t="s">
        <v>6</v>
      </c>
      <c r="C404" s="1">
        <v>39052</v>
      </c>
      <c r="D404">
        <v>11369922533.33</v>
      </c>
      <c r="E404">
        <v>1</v>
      </c>
    </row>
    <row r="405" spans="2:5">
      <c r="B405" s="1" t="s">
        <v>7</v>
      </c>
      <c r="C405" s="1">
        <v>39052</v>
      </c>
      <c r="D405">
        <v>10270535420.92</v>
      </c>
      <c r="E405">
        <v>2</v>
      </c>
    </row>
    <row r="406" spans="2:5">
      <c r="B406" s="1" t="s">
        <v>4</v>
      </c>
      <c r="C406" s="1">
        <v>39052</v>
      </c>
      <c r="D406">
        <v>3359214384.9000001</v>
      </c>
      <c r="E406">
        <v>3</v>
      </c>
    </row>
    <row r="407" spans="2:5">
      <c r="B407" s="1" t="s">
        <v>11</v>
      </c>
      <c r="C407" s="1">
        <v>39052</v>
      </c>
      <c r="D407">
        <v>2906462369.3699999</v>
      </c>
      <c r="E407">
        <v>4</v>
      </c>
    </row>
    <row r="408" spans="2:5">
      <c r="B408" s="1" t="s">
        <v>19</v>
      </c>
      <c r="C408" s="1">
        <v>39052</v>
      </c>
      <c r="D408">
        <v>2246071129.2399998</v>
      </c>
      <c r="E408">
        <v>5</v>
      </c>
    </row>
    <row r="409" spans="2:5">
      <c r="B409" s="1" t="s">
        <v>13</v>
      </c>
      <c r="C409" s="1">
        <v>39052</v>
      </c>
      <c r="D409">
        <v>2013738300.99</v>
      </c>
      <c r="E409">
        <v>6</v>
      </c>
    </row>
    <row r="410" spans="2:5">
      <c r="B410" s="1" t="s">
        <v>26</v>
      </c>
      <c r="C410" s="1">
        <v>39052</v>
      </c>
      <c r="D410">
        <v>1843249690.05</v>
      </c>
      <c r="E410">
        <v>7</v>
      </c>
    </row>
    <row r="411" spans="2:5">
      <c r="B411" s="1" t="s">
        <v>9</v>
      </c>
      <c r="C411" s="1">
        <v>39052</v>
      </c>
      <c r="D411">
        <v>1040302257.8200001</v>
      </c>
      <c r="E411">
        <v>8</v>
      </c>
    </row>
    <row r="412" spans="2:5">
      <c r="B412" s="1" t="s">
        <v>16</v>
      </c>
      <c r="C412" s="1">
        <v>39052</v>
      </c>
      <c r="D412">
        <v>781372045.30999994</v>
      </c>
      <c r="E412">
        <v>9</v>
      </c>
    </row>
    <row r="413" spans="2:5">
      <c r="B413" s="1" t="s">
        <v>15</v>
      </c>
      <c r="C413" s="1">
        <v>39052</v>
      </c>
      <c r="D413">
        <v>751171822.16999996</v>
      </c>
      <c r="E413">
        <v>10</v>
      </c>
    </row>
    <row r="414" spans="2:5">
      <c r="B414" s="1" t="s">
        <v>6</v>
      </c>
      <c r="C414" s="1">
        <v>39083</v>
      </c>
      <c r="D414">
        <v>12068562737.24</v>
      </c>
      <c r="E414">
        <v>1</v>
      </c>
    </row>
    <row r="415" spans="2:5">
      <c r="B415" s="1" t="s">
        <v>7</v>
      </c>
      <c r="C415" s="1">
        <v>39083</v>
      </c>
      <c r="D415">
        <v>11681700587.98</v>
      </c>
      <c r="E415">
        <v>2</v>
      </c>
    </row>
    <row r="416" spans="2:5">
      <c r="B416" s="1" t="s">
        <v>11</v>
      </c>
      <c r="C416" s="1">
        <v>39083</v>
      </c>
      <c r="D416">
        <v>3297592150.5500002</v>
      </c>
      <c r="E416">
        <v>3</v>
      </c>
    </row>
    <row r="417" spans="2:5">
      <c r="B417" s="1" t="s">
        <v>26</v>
      </c>
      <c r="C417" s="1">
        <v>39083</v>
      </c>
      <c r="D417">
        <v>2997445484.7600002</v>
      </c>
      <c r="E417">
        <v>4</v>
      </c>
    </row>
    <row r="418" spans="2:5">
      <c r="B418" s="1" t="s">
        <v>4</v>
      </c>
      <c r="C418" s="1">
        <v>39083</v>
      </c>
      <c r="D418">
        <v>2937160565.1900001</v>
      </c>
      <c r="E418">
        <v>5</v>
      </c>
    </row>
    <row r="419" spans="2:5">
      <c r="B419" s="1" t="s">
        <v>13</v>
      </c>
      <c r="C419" s="1">
        <v>39083</v>
      </c>
      <c r="D419">
        <v>2688316844.1700001</v>
      </c>
      <c r="E419">
        <v>6</v>
      </c>
    </row>
    <row r="420" spans="2:5">
      <c r="B420" s="1" t="s">
        <v>19</v>
      </c>
      <c r="C420" s="1">
        <v>39083</v>
      </c>
      <c r="D420">
        <v>1624971289.8099999</v>
      </c>
      <c r="E420">
        <v>7</v>
      </c>
    </row>
    <row r="421" spans="2:5">
      <c r="B421" s="1" t="s">
        <v>9</v>
      </c>
      <c r="C421" s="1">
        <v>39083</v>
      </c>
      <c r="D421">
        <v>1126766081.78</v>
      </c>
      <c r="E421">
        <v>8</v>
      </c>
    </row>
    <row r="422" spans="2:5">
      <c r="B422" s="1" t="s">
        <v>12</v>
      </c>
      <c r="C422" s="1">
        <v>39083</v>
      </c>
      <c r="D422">
        <v>964007367.75999999</v>
      </c>
      <c r="E422">
        <v>9</v>
      </c>
    </row>
    <row r="423" spans="2:5">
      <c r="B423" s="1" t="s">
        <v>16</v>
      </c>
      <c r="C423" s="1">
        <v>39083</v>
      </c>
      <c r="D423">
        <v>893985913.90999997</v>
      </c>
      <c r="E423">
        <v>10</v>
      </c>
    </row>
    <row r="424" spans="2:5">
      <c r="B424" s="1" t="s">
        <v>6</v>
      </c>
      <c r="C424" s="1">
        <v>39114</v>
      </c>
      <c r="D424">
        <v>14906336717.870001</v>
      </c>
      <c r="E424">
        <v>1</v>
      </c>
    </row>
    <row r="425" spans="2:5">
      <c r="B425" s="1" t="s">
        <v>7</v>
      </c>
      <c r="C425" s="1">
        <v>39114</v>
      </c>
      <c r="D425">
        <v>14601314801.620001</v>
      </c>
      <c r="E425">
        <v>2</v>
      </c>
    </row>
    <row r="426" spans="2:5">
      <c r="B426" s="1" t="s">
        <v>4</v>
      </c>
      <c r="C426" s="1">
        <v>39114</v>
      </c>
      <c r="D426">
        <v>2925521620.21</v>
      </c>
      <c r="E426">
        <v>3</v>
      </c>
    </row>
    <row r="427" spans="2:5">
      <c r="B427" s="1" t="s">
        <v>19</v>
      </c>
      <c r="C427" s="1">
        <v>39114</v>
      </c>
      <c r="D427">
        <v>2460469083.1599998</v>
      </c>
      <c r="E427">
        <v>4</v>
      </c>
    </row>
    <row r="428" spans="2:5">
      <c r="B428" s="1" t="s">
        <v>11</v>
      </c>
      <c r="C428" s="1">
        <v>39114</v>
      </c>
      <c r="D428">
        <v>2441724887.9200001</v>
      </c>
      <c r="E428">
        <v>5</v>
      </c>
    </row>
    <row r="429" spans="2:5">
      <c r="B429" s="1" t="s">
        <v>13</v>
      </c>
      <c r="C429" s="1">
        <v>39114</v>
      </c>
      <c r="D429">
        <v>2138867218.3299999</v>
      </c>
      <c r="E429">
        <v>6</v>
      </c>
    </row>
    <row r="430" spans="2:5">
      <c r="B430" s="1" t="s">
        <v>26</v>
      </c>
      <c r="C430" s="1">
        <v>39114</v>
      </c>
      <c r="D430">
        <v>1681152905.8</v>
      </c>
      <c r="E430">
        <v>7</v>
      </c>
    </row>
    <row r="431" spans="2:5">
      <c r="B431" s="1" t="s">
        <v>20</v>
      </c>
      <c r="C431" s="1">
        <v>39114</v>
      </c>
      <c r="D431">
        <v>1318374534.23</v>
      </c>
      <c r="E431">
        <v>8</v>
      </c>
    </row>
    <row r="432" spans="2:5">
      <c r="B432" s="1" t="s">
        <v>9</v>
      </c>
      <c r="C432" s="1">
        <v>39114</v>
      </c>
      <c r="D432">
        <v>1083466444.1900001</v>
      </c>
      <c r="E432">
        <v>9</v>
      </c>
    </row>
    <row r="433" spans="2:5">
      <c r="B433" s="1" t="s">
        <v>16</v>
      </c>
      <c r="C433" s="1">
        <v>39114</v>
      </c>
      <c r="D433">
        <v>901782761.33000004</v>
      </c>
      <c r="E433">
        <v>10</v>
      </c>
    </row>
    <row r="434" spans="2:5">
      <c r="B434" s="1" t="s">
        <v>6</v>
      </c>
      <c r="C434" s="1">
        <v>39142</v>
      </c>
      <c r="D434">
        <v>11915399053.1</v>
      </c>
      <c r="E434">
        <v>1</v>
      </c>
    </row>
    <row r="435" spans="2:5">
      <c r="B435" s="1" t="s">
        <v>7</v>
      </c>
      <c r="C435" s="1">
        <v>39142</v>
      </c>
      <c r="D435">
        <v>9206220291.1299992</v>
      </c>
      <c r="E435">
        <v>2</v>
      </c>
    </row>
    <row r="436" spans="2:5">
      <c r="B436" s="1" t="s">
        <v>4</v>
      </c>
      <c r="C436" s="1">
        <v>39142</v>
      </c>
      <c r="D436">
        <v>3890208424.1700001</v>
      </c>
      <c r="E436">
        <v>3</v>
      </c>
    </row>
    <row r="437" spans="2:5">
      <c r="B437" s="1" t="s">
        <v>13</v>
      </c>
      <c r="C437" s="1">
        <v>39142</v>
      </c>
      <c r="D437">
        <v>3732500424.5999999</v>
      </c>
      <c r="E437">
        <v>4</v>
      </c>
    </row>
    <row r="438" spans="2:5">
      <c r="B438" s="1" t="s">
        <v>11</v>
      </c>
      <c r="C438" s="1">
        <v>39142</v>
      </c>
      <c r="D438">
        <v>2985315385.3099999</v>
      </c>
      <c r="E438">
        <v>5</v>
      </c>
    </row>
    <row r="439" spans="2:5">
      <c r="B439" s="1" t="s">
        <v>26</v>
      </c>
      <c r="C439" s="1">
        <v>39142</v>
      </c>
      <c r="D439">
        <v>2779190717.4200001</v>
      </c>
      <c r="E439">
        <v>6</v>
      </c>
    </row>
    <row r="440" spans="2:5">
      <c r="B440" s="1" t="s">
        <v>19</v>
      </c>
      <c r="C440" s="1">
        <v>39142</v>
      </c>
      <c r="D440">
        <v>1783123280.8499999</v>
      </c>
      <c r="E440">
        <v>7</v>
      </c>
    </row>
    <row r="441" spans="2:5">
      <c r="B441" s="1" t="s">
        <v>9</v>
      </c>
      <c r="C441" s="1">
        <v>39142</v>
      </c>
      <c r="D441">
        <v>1400648261.4300001</v>
      </c>
      <c r="E441">
        <v>8</v>
      </c>
    </row>
    <row r="442" spans="2:5">
      <c r="B442" s="1" t="s">
        <v>16</v>
      </c>
      <c r="C442" s="1">
        <v>39142</v>
      </c>
      <c r="D442">
        <v>1076526508.7</v>
      </c>
      <c r="E442">
        <v>9</v>
      </c>
    </row>
    <row r="443" spans="2:5">
      <c r="B443" s="1" t="s">
        <v>10</v>
      </c>
      <c r="C443" s="1">
        <v>39142</v>
      </c>
      <c r="D443">
        <v>930831114.73000002</v>
      </c>
      <c r="E443">
        <v>10</v>
      </c>
    </row>
    <row r="444" spans="2:5">
      <c r="B444" s="1" t="s">
        <v>6</v>
      </c>
      <c r="C444" s="1">
        <v>39173</v>
      </c>
      <c r="D444">
        <v>13440547910.5</v>
      </c>
      <c r="E444">
        <v>1</v>
      </c>
    </row>
    <row r="445" spans="2:5">
      <c r="B445" s="1" t="s">
        <v>7</v>
      </c>
      <c r="C445" s="1">
        <v>39173</v>
      </c>
      <c r="D445">
        <v>12829856145.469999</v>
      </c>
      <c r="E445">
        <v>2</v>
      </c>
    </row>
    <row r="446" spans="2:5">
      <c r="B446" s="1" t="s">
        <v>4</v>
      </c>
      <c r="C446" s="1">
        <v>39173</v>
      </c>
      <c r="D446">
        <v>3851199610.8499999</v>
      </c>
      <c r="E446">
        <v>3</v>
      </c>
    </row>
    <row r="447" spans="2:5">
      <c r="B447" s="1" t="s">
        <v>13</v>
      </c>
      <c r="C447" s="1">
        <v>39173</v>
      </c>
      <c r="D447">
        <v>3377397645.52</v>
      </c>
      <c r="E447">
        <v>4</v>
      </c>
    </row>
    <row r="448" spans="2:5">
      <c r="B448" s="1" t="s">
        <v>11</v>
      </c>
      <c r="C448" s="1">
        <v>39173</v>
      </c>
      <c r="D448">
        <v>2957607339.6300001</v>
      </c>
      <c r="E448">
        <v>5</v>
      </c>
    </row>
    <row r="449" spans="2:5">
      <c r="B449" s="1" t="s">
        <v>20</v>
      </c>
      <c r="C449" s="1">
        <v>39173</v>
      </c>
      <c r="D449">
        <v>2050143179.3699999</v>
      </c>
      <c r="E449">
        <v>6</v>
      </c>
    </row>
    <row r="450" spans="2:5">
      <c r="B450" s="1" t="s">
        <v>26</v>
      </c>
      <c r="C450" s="1">
        <v>39173</v>
      </c>
      <c r="D450">
        <v>1966470786.1099999</v>
      </c>
      <c r="E450">
        <v>7</v>
      </c>
    </row>
    <row r="451" spans="2:5">
      <c r="B451" s="1" t="s">
        <v>19</v>
      </c>
      <c r="C451" s="1">
        <v>39173</v>
      </c>
      <c r="D451">
        <v>1754639598.27</v>
      </c>
      <c r="E451">
        <v>8</v>
      </c>
    </row>
    <row r="452" spans="2:5">
      <c r="B452" s="1" t="s">
        <v>9</v>
      </c>
      <c r="C452" s="1">
        <v>39173</v>
      </c>
      <c r="D452">
        <v>1447487916.3299999</v>
      </c>
      <c r="E452">
        <v>9</v>
      </c>
    </row>
    <row r="453" spans="2:5">
      <c r="B453" s="1" t="s">
        <v>15</v>
      </c>
      <c r="C453" s="1">
        <v>39173</v>
      </c>
      <c r="D453">
        <v>936668361.33000004</v>
      </c>
      <c r="E453">
        <v>10</v>
      </c>
    </row>
    <row r="454" spans="2:5">
      <c r="B454" s="1" t="s">
        <v>6</v>
      </c>
      <c r="C454" s="1">
        <v>39203</v>
      </c>
      <c r="D454">
        <v>14589989652.360001</v>
      </c>
      <c r="E454">
        <v>1</v>
      </c>
    </row>
    <row r="455" spans="2:5">
      <c r="B455" s="1" t="s">
        <v>7</v>
      </c>
      <c r="C455" s="1">
        <v>39203</v>
      </c>
      <c r="D455">
        <v>14193408528.25</v>
      </c>
      <c r="E455">
        <v>2</v>
      </c>
    </row>
    <row r="456" spans="2:5">
      <c r="B456" s="1" t="s">
        <v>4</v>
      </c>
      <c r="C456" s="1">
        <v>39203</v>
      </c>
      <c r="D456">
        <v>3561719799.3400002</v>
      </c>
      <c r="E456">
        <v>3</v>
      </c>
    </row>
    <row r="457" spans="2:5">
      <c r="B457" s="1" t="s">
        <v>13</v>
      </c>
      <c r="C457" s="1">
        <v>39203</v>
      </c>
      <c r="D457">
        <v>3438763278.0799999</v>
      </c>
      <c r="E457">
        <v>4</v>
      </c>
    </row>
    <row r="458" spans="2:5">
      <c r="B458" s="1" t="s">
        <v>11</v>
      </c>
      <c r="C458" s="1">
        <v>39203</v>
      </c>
      <c r="D458">
        <v>2400431666.98</v>
      </c>
      <c r="E458">
        <v>5</v>
      </c>
    </row>
    <row r="459" spans="2:5">
      <c r="B459" s="1" t="s">
        <v>26</v>
      </c>
      <c r="C459" s="1">
        <v>39203</v>
      </c>
      <c r="D459">
        <v>2073037813.0799999</v>
      </c>
      <c r="E459">
        <v>6</v>
      </c>
    </row>
    <row r="460" spans="2:5">
      <c r="B460" s="1" t="s">
        <v>27</v>
      </c>
      <c r="C460" s="1">
        <v>39203</v>
      </c>
      <c r="D460">
        <v>1477365224.1900001</v>
      </c>
      <c r="E460">
        <v>7</v>
      </c>
    </row>
    <row r="461" spans="2:5">
      <c r="B461" s="1" t="s">
        <v>19</v>
      </c>
      <c r="C461" s="1">
        <v>39203</v>
      </c>
      <c r="D461">
        <v>1294136276.6199999</v>
      </c>
      <c r="E461">
        <v>8</v>
      </c>
    </row>
    <row r="462" spans="2:5">
      <c r="B462" s="1" t="s">
        <v>15</v>
      </c>
      <c r="C462" s="1">
        <v>39203</v>
      </c>
      <c r="D462">
        <v>1081593381.96</v>
      </c>
      <c r="E462">
        <v>9</v>
      </c>
    </row>
    <row r="463" spans="2:5">
      <c r="B463" s="1" t="s">
        <v>16</v>
      </c>
      <c r="C463" s="1">
        <v>39203</v>
      </c>
      <c r="D463">
        <v>1052940216.6</v>
      </c>
      <c r="E463">
        <v>10</v>
      </c>
    </row>
    <row r="464" spans="2:5">
      <c r="B464" s="1" t="s">
        <v>6</v>
      </c>
      <c r="C464" s="1">
        <v>39234</v>
      </c>
      <c r="D464">
        <v>15230409440.049999</v>
      </c>
      <c r="E464">
        <v>1</v>
      </c>
    </row>
    <row r="465" spans="2:5">
      <c r="B465" s="1" t="s">
        <v>7</v>
      </c>
      <c r="C465" s="1">
        <v>39234</v>
      </c>
      <c r="D465">
        <v>14703375942.889999</v>
      </c>
      <c r="E465">
        <v>2</v>
      </c>
    </row>
    <row r="466" spans="2:5">
      <c r="B466" s="1" t="s">
        <v>13</v>
      </c>
      <c r="C466" s="1">
        <v>39234</v>
      </c>
      <c r="D466">
        <v>4704588320.8599997</v>
      </c>
      <c r="E466">
        <v>3</v>
      </c>
    </row>
    <row r="467" spans="2:5">
      <c r="B467" s="1" t="s">
        <v>11</v>
      </c>
      <c r="C467" s="1">
        <v>39234</v>
      </c>
      <c r="D467">
        <v>3991515759.6700001</v>
      </c>
      <c r="E467">
        <v>4</v>
      </c>
    </row>
    <row r="468" spans="2:5">
      <c r="B468" s="1" t="s">
        <v>4</v>
      </c>
      <c r="C468" s="1">
        <v>39234</v>
      </c>
      <c r="D468">
        <v>3191185857.5799999</v>
      </c>
      <c r="E468">
        <v>5</v>
      </c>
    </row>
    <row r="469" spans="2:5">
      <c r="B469" s="1" t="s">
        <v>26</v>
      </c>
      <c r="C469" s="1">
        <v>39234</v>
      </c>
      <c r="D469">
        <v>3057896153.2199998</v>
      </c>
      <c r="E469">
        <v>6</v>
      </c>
    </row>
    <row r="470" spans="2:5">
      <c r="B470" s="1" t="s">
        <v>19</v>
      </c>
      <c r="C470" s="1">
        <v>39234</v>
      </c>
      <c r="D470">
        <v>2404088259.6199999</v>
      </c>
      <c r="E470">
        <v>7</v>
      </c>
    </row>
    <row r="471" spans="2:5">
      <c r="B471" s="1" t="s">
        <v>20</v>
      </c>
      <c r="C471" s="1">
        <v>39234</v>
      </c>
      <c r="D471">
        <v>1615440788.0799999</v>
      </c>
      <c r="E471">
        <v>8</v>
      </c>
    </row>
    <row r="472" spans="2:5">
      <c r="B472" s="1" t="s">
        <v>27</v>
      </c>
      <c r="C472" s="1">
        <v>39234</v>
      </c>
      <c r="D472">
        <v>1553581133.7</v>
      </c>
      <c r="E472">
        <v>9</v>
      </c>
    </row>
    <row r="473" spans="2:5">
      <c r="B473" s="1" t="s">
        <v>10</v>
      </c>
      <c r="C473" s="1">
        <v>39234</v>
      </c>
      <c r="D473">
        <v>1300992636.03</v>
      </c>
      <c r="E473">
        <v>10</v>
      </c>
    </row>
    <row r="474" spans="2:5">
      <c r="B474" s="1" t="s">
        <v>6</v>
      </c>
      <c r="C474" s="1">
        <v>39264</v>
      </c>
      <c r="D474">
        <v>17586653532.040001</v>
      </c>
      <c r="E474">
        <v>1</v>
      </c>
    </row>
    <row r="475" spans="2:5">
      <c r="B475" s="1" t="s">
        <v>7</v>
      </c>
      <c r="C475" s="1">
        <v>39264</v>
      </c>
      <c r="D475">
        <v>17142662362.059999</v>
      </c>
      <c r="E475">
        <v>2</v>
      </c>
    </row>
    <row r="476" spans="2:5">
      <c r="B476" s="1" t="s">
        <v>13</v>
      </c>
      <c r="C476" s="1">
        <v>39264</v>
      </c>
      <c r="D476">
        <v>4300836247.1300001</v>
      </c>
      <c r="E476">
        <v>3</v>
      </c>
    </row>
    <row r="477" spans="2:5">
      <c r="B477" s="1" t="s">
        <v>4</v>
      </c>
      <c r="C477" s="1">
        <v>39264</v>
      </c>
      <c r="D477">
        <v>3836560339.73</v>
      </c>
      <c r="E477">
        <v>4</v>
      </c>
    </row>
    <row r="478" spans="2:5">
      <c r="B478" s="1" t="s">
        <v>11</v>
      </c>
      <c r="C478" s="1">
        <v>39264</v>
      </c>
      <c r="D478">
        <v>2731478604.6999998</v>
      </c>
      <c r="E478">
        <v>5</v>
      </c>
    </row>
    <row r="479" spans="2:5">
      <c r="B479" s="1" t="s">
        <v>26</v>
      </c>
      <c r="C479" s="1">
        <v>39264</v>
      </c>
      <c r="D479">
        <v>2307181922.4299998</v>
      </c>
      <c r="E479">
        <v>6</v>
      </c>
    </row>
    <row r="480" spans="2:5">
      <c r="B480" s="1" t="s">
        <v>19</v>
      </c>
      <c r="C480" s="1">
        <v>39264</v>
      </c>
      <c r="D480">
        <v>2278819237.3600001</v>
      </c>
      <c r="E480">
        <v>7</v>
      </c>
    </row>
    <row r="481" spans="2:5">
      <c r="B481" s="1" t="s">
        <v>27</v>
      </c>
      <c r="C481" s="1">
        <v>39264</v>
      </c>
      <c r="D481">
        <v>1906852083.95</v>
      </c>
      <c r="E481">
        <v>8</v>
      </c>
    </row>
    <row r="482" spans="2:5">
      <c r="B482" s="1" t="s">
        <v>16</v>
      </c>
      <c r="C482" s="1">
        <v>39264</v>
      </c>
      <c r="D482">
        <v>1394224530.9200001</v>
      </c>
      <c r="E482">
        <v>9</v>
      </c>
    </row>
    <row r="483" spans="2:5">
      <c r="B483" s="1" t="s">
        <v>20</v>
      </c>
      <c r="C483" s="1">
        <v>39264</v>
      </c>
      <c r="D483">
        <v>1316223375.74</v>
      </c>
      <c r="E483">
        <v>10</v>
      </c>
    </row>
    <row r="484" spans="2:5">
      <c r="B484" s="1" t="s">
        <v>6</v>
      </c>
      <c r="C484" s="1">
        <v>39295</v>
      </c>
      <c r="D484">
        <v>15188068031.41</v>
      </c>
      <c r="E484">
        <v>1</v>
      </c>
    </row>
    <row r="485" spans="2:5">
      <c r="B485" s="1" t="s">
        <v>7</v>
      </c>
      <c r="C485" s="1">
        <v>39295</v>
      </c>
      <c r="D485">
        <v>14698388639.51</v>
      </c>
      <c r="E485">
        <v>2</v>
      </c>
    </row>
    <row r="486" spans="2:5">
      <c r="B486" s="1" t="s">
        <v>11</v>
      </c>
      <c r="C486" s="1">
        <v>39295</v>
      </c>
      <c r="D486">
        <v>6018415234.2799997</v>
      </c>
      <c r="E486">
        <v>3</v>
      </c>
    </row>
    <row r="487" spans="2:5">
      <c r="B487" s="1" t="s">
        <v>13</v>
      </c>
      <c r="C487" s="1">
        <v>39295</v>
      </c>
      <c r="D487">
        <v>4368969208.9799995</v>
      </c>
      <c r="E487">
        <v>4</v>
      </c>
    </row>
    <row r="488" spans="2:5">
      <c r="B488" s="1" t="s">
        <v>4</v>
      </c>
      <c r="C488" s="1">
        <v>39295</v>
      </c>
      <c r="D488">
        <v>3303187212.9200001</v>
      </c>
      <c r="E488">
        <v>5</v>
      </c>
    </row>
    <row r="489" spans="2:5">
      <c r="B489" s="1" t="s">
        <v>26</v>
      </c>
      <c r="C489" s="1">
        <v>39295</v>
      </c>
      <c r="D489">
        <v>2842855885.04</v>
      </c>
      <c r="E489">
        <v>6</v>
      </c>
    </row>
    <row r="490" spans="2:5">
      <c r="B490" s="1" t="s">
        <v>20</v>
      </c>
      <c r="C490" s="1">
        <v>39295</v>
      </c>
      <c r="D490">
        <v>2292513360.1999998</v>
      </c>
      <c r="E490">
        <v>7</v>
      </c>
    </row>
    <row r="491" spans="2:5">
      <c r="B491" s="1" t="s">
        <v>19</v>
      </c>
      <c r="C491" s="1">
        <v>39295</v>
      </c>
      <c r="D491">
        <v>1841737385.8499999</v>
      </c>
      <c r="E491">
        <v>8</v>
      </c>
    </row>
    <row r="492" spans="2:5">
      <c r="B492" s="1" t="s">
        <v>21</v>
      </c>
      <c r="C492" s="1">
        <v>39295</v>
      </c>
      <c r="D492">
        <v>1807624275.1300001</v>
      </c>
      <c r="E492">
        <v>9</v>
      </c>
    </row>
    <row r="493" spans="2:5">
      <c r="B493" s="1" t="s">
        <v>27</v>
      </c>
      <c r="C493" s="1">
        <v>39295</v>
      </c>
      <c r="D493">
        <v>1714739832.1500001</v>
      </c>
      <c r="E493">
        <v>10</v>
      </c>
    </row>
    <row r="494" spans="2:5">
      <c r="B494" s="1" t="s">
        <v>6</v>
      </c>
      <c r="C494" s="1">
        <v>39326</v>
      </c>
      <c r="D494">
        <v>13829268759.76</v>
      </c>
      <c r="E494">
        <v>1</v>
      </c>
    </row>
    <row r="495" spans="2:5">
      <c r="B495" s="1" t="s">
        <v>7</v>
      </c>
      <c r="C495" s="1">
        <v>39326</v>
      </c>
      <c r="D495">
        <v>10643238075.370001</v>
      </c>
      <c r="E495">
        <v>2</v>
      </c>
    </row>
    <row r="496" spans="2:5">
      <c r="B496" s="1" t="s">
        <v>11</v>
      </c>
      <c r="C496" s="1">
        <v>39326</v>
      </c>
      <c r="D496">
        <v>5143069384.9799995</v>
      </c>
      <c r="E496">
        <v>3</v>
      </c>
    </row>
    <row r="497" spans="2:5">
      <c r="B497" s="1" t="s">
        <v>13</v>
      </c>
      <c r="C497" s="1">
        <v>39326</v>
      </c>
      <c r="D497">
        <v>4890121630.1499996</v>
      </c>
      <c r="E497">
        <v>4</v>
      </c>
    </row>
    <row r="498" spans="2:5">
      <c r="B498" s="1" t="s">
        <v>4</v>
      </c>
      <c r="C498" s="1">
        <v>39326</v>
      </c>
      <c r="D498">
        <v>3854877579.4699998</v>
      </c>
      <c r="E498">
        <v>5</v>
      </c>
    </row>
    <row r="499" spans="2:5">
      <c r="B499" s="1" t="s">
        <v>19</v>
      </c>
      <c r="C499" s="1">
        <v>39326</v>
      </c>
      <c r="D499">
        <v>2847267157.4000001</v>
      </c>
      <c r="E499">
        <v>6</v>
      </c>
    </row>
    <row r="500" spans="2:5">
      <c r="B500" s="1" t="s">
        <v>26</v>
      </c>
      <c r="C500" s="1">
        <v>39326</v>
      </c>
      <c r="D500">
        <v>2458473903.25</v>
      </c>
      <c r="E500">
        <v>7</v>
      </c>
    </row>
    <row r="501" spans="2:5">
      <c r="B501" s="1" t="s">
        <v>16</v>
      </c>
      <c r="C501" s="1">
        <v>39326</v>
      </c>
      <c r="D501">
        <v>1994254729.6099999</v>
      </c>
      <c r="E501">
        <v>8</v>
      </c>
    </row>
    <row r="502" spans="2:5">
      <c r="B502" s="1" t="s">
        <v>27</v>
      </c>
      <c r="C502" s="1">
        <v>39326</v>
      </c>
      <c r="D502">
        <v>1388548009.76</v>
      </c>
      <c r="E502">
        <v>9</v>
      </c>
    </row>
    <row r="503" spans="2:5">
      <c r="B503" s="1" t="s">
        <v>21</v>
      </c>
      <c r="C503" s="1">
        <v>39326</v>
      </c>
      <c r="D503">
        <v>1387272814.27</v>
      </c>
      <c r="E503">
        <v>10</v>
      </c>
    </row>
    <row r="504" spans="2:5">
      <c r="B504" s="1" t="s">
        <v>6</v>
      </c>
      <c r="C504" s="1">
        <v>39356</v>
      </c>
      <c r="D504">
        <v>16061360740.030001</v>
      </c>
      <c r="E504">
        <v>1</v>
      </c>
    </row>
    <row r="505" spans="2:5">
      <c r="B505" s="1" t="s">
        <v>7</v>
      </c>
      <c r="C505" s="1">
        <v>39356</v>
      </c>
      <c r="D505">
        <v>12406881529.92</v>
      </c>
      <c r="E505">
        <v>2</v>
      </c>
    </row>
    <row r="506" spans="2:5">
      <c r="B506" s="1" t="s">
        <v>11</v>
      </c>
      <c r="C506" s="1">
        <v>39356</v>
      </c>
      <c r="D506">
        <v>4689720335.75</v>
      </c>
      <c r="E506">
        <v>3</v>
      </c>
    </row>
    <row r="507" spans="2:5">
      <c r="B507" s="1" t="s">
        <v>4</v>
      </c>
      <c r="C507" s="1">
        <v>39356</v>
      </c>
      <c r="D507">
        <v>4057104000.5</v>
      </c>
      <c r="E507">
        <v>4</v>
      </c>
    </row>
    <row r="508" spans="2:5">
      <c r="B508" s="1" t="s">
        <v>13</v>
      </c>
      <c r="C508" s="1">
        <v>39356</v>
      </c>
      <c r="D508">
        <v>2974413615.9000001</v>
      </c>
      <c r="E508">
        <v>5</v>
      </c>
    </row>
    <row r="509" spans="2:5">
      <c r="B509" s="1" t="s">
        <v>26</v>
      </c>
      <c r="C509" s="1">
        <v>39356</v>
      </c>
      <c r="D509">
        <v>2052835599.0899999</v>
      </c>
      <c r="E509">
        <v>6</v>
      </c>
    </row>
    <row r="510" spans="2:5">
      <c r="B510" s="1" t="s">
        <v>19</v>
      </c>
      <c r="C510" s="1">
        <v>39356</v>
      </c>
      <c r="D510">
        <v>1932771583.74</v>
      </c>
      <c r="E510">
        <v>7</v>
      </c>
    </row>
    <row r="511" spans="2:5">
      <c r="B511" s="1" t="s">
        <v>21</v>
      </c>
      <c r="C511" s="1">
        <v>39356</v>
      </c>
      <c r="D511">
        <v>1716047375.54</v>
      </c>
      <c r="E511">
        <v>8</v>
      </c>
    </row>
    <row r="512" spans="2:5">
      <c r="B512" s="1" t="s">
        <v>10</v>
      </c>
      <c r="C512" s="1">
        <v>39356</v>
      </c>
      <c r="D512">
        <v>1632374005.76</v>
      </c>
      <c r="E512">
        <v>9</v>
      </c>
    </row>
    <row r="513" spans="2:5">
      <c r="B513" s="1" t="s">
        <v>20</v>
      </c>
      <c r="C513" s="1">
        <v>39356</v>
      </c>
      <c r="D513">
        <v>1627179406.9100001</v>
      </c>
      <c r="E513">
        <v>10</v>
      </c>
    </row>
    <row r="514" spans="2:5">
      <c r="B514" s="1" t="s">
        <v>6</v>
      </c>
      <c r="C514" s="1">
        <v>39387</v>
      </c>
      <c r="D514">
        <v>13009808173.709999</v>
      </c>
      <c r="E514">
        <v>1</v>
      </c>
    </row>
    <row r="515" spans="2:5">
      <c r="B515" s="1" t="s">
        <v>7</v>
      </c>
      <c r="C515" s="1">
        <v>39387</v>
      </c>
      <c r="D515">
        <v>11532643036.76</v>
      </c>
      <c r="E515">
        <v>2</v>
      </c>
    </row>
    <row r="516" spans="2:5">
      <c r="B516" s="1" t="s">
        <v>11</v>
      </c>
      <c r="C516" s="1">
        <v>39387</v>
      </c>
      <c r="D516">
        <v>5477637374.3699999</v>
      </c>
      <c r="E516">
        <v>3</v>
      </c>
    </row>
    <row r="517" spans="2:5">
      <c r="B517" s="1" t="s">
        <v>13</v>
      </c>
      <c r="C517" s="1">
        <v>39387</v>
      </c>
      <c r="D517">
        <v>4106468626.3499999</v>
      </c>
      <c r="E517">
        <v>4</v>
      </c>
    </row>
    <row r="518" spans="2:5">
      <c r="B518" s="1" t="s">
        <v>20</v>
      </c>
      <c r="C518" s="1">
        <v>39387</v>
      </c>
      <c r="D518">
        <v>3005795776.6599998</v>
      </c>
      <c r="E518">
        <v>5</v>
      </c>
    </row>
    <row r="519" spans="2:5">
      <c r="B519" s="1" t="s">
        <v>4</v>
      </c>
      <c r="C519" s="1">
        <v>39387</v>
      </c>
      <c r="D519">
        <v>2440915374.0100002</v>
      </c>
      <c r="E519">
        <v>6</v>
      </c>
    </row>
    <row r="520" spans="2:5">
      <c r="B520" s="1" t="s">
        <v>26</v>
      </c>
      <c r="C520" s="1">
        <v>39387</v>
      </c>
      <c r="D520">
        <v>2295059599.6599998</v>
      </c>
      <c r="E520">
        <v>7</v>
      </c>
    </row>
    <row r="521" spans="2:5">
      <c r="B521" s="1" t="s">
        <v>19</v>
      </c>
      <c r="C521" s="1">
        <v>39387</v>
      </c>
      <c r="D521">
        <v>1898061596.96</v>
      </c>
      <c r="E521">
        <v>8</v>
      </c>
    </row>
    <row r="522" spans="2:5">
      <c r="B522" s="1" t="s">
        <v>16</v>
      </c>
      <c r="C522" s="1">
        <v>39387</v>
      </c>
      <c r="D522">
        <v>1833683351.3399999</v>
      </c>
      <c r="E522">
        <v>9</v>
      </c>
    </row>
    <row r="523" spans="2:5">
      <c r="B523" s="1" t="s">
        <v>10</v>
      </c>
      <c r="C523" s="1">
        <v>39387</v>
      </c>
      <c r="D523">
        <v>1784157712.8499999</v>
      </c>
      <c r="E523">
        <v>10</v>
      </c>
    </row>
    <row r="524" spans="2:5">
      <c r="B524" s="1" t="s">
        <v>6</v>
      </c>
      <c r="C524" s="1">
        <v>39417</v>
      </c>
      <c r="D524">
        <v>12603633651.940001</v>
      </c>
      <c r="E524">
        <v>1</v>
      </c>
    </row>
    <row r="525" spans="2:5">
      <c r="B525" s="1" t="s">
        <v>7</v>
      </c>
      <c r="C525" s="1">
        <v>39417</v>
      </c>
      <c r="D525">
        <v>8830293939.6599998</v>
      </c>
      <c r="E525">
        <v>2</v>
      </c>
    </row>
    <row r="526" spans="2:5">
      <c r="B526" s="1" t="s">
        <v>11</v>
      </c>
      <c r="C526" s="1">
        <v>39417</v>
      </c>
      <c r="D526">
        <v>6128983567.5500002</v>
      </c>
      <c r="E526">
        <v>3</v>
      </c>
    </row>
    <row r="527" spans="2:5">
      <c r="B527" s="1" t="s">
        <v>13</v>
      </c>
      <c r="C527" s="1">
        <v>39417</v>
      </c>
      <c r="D527">
        <v>4784499832.4499998</v>
      </c>
      <c r="E527">
        <v>4</v>
      </c>
    </row>
    <row r="528" spans="2:5">
      <c r="B528" s="1" t="s">
        <v>4</v>
      </c>
      <c r="C528" s="1">
        <v>39417</v>
      </c>
      <c r="D528">
        <v>3076234330.1399999</v>
      </c>
      <c r="E528">
        <v>5</v>
      </c>
    </row>
    <row r="529" spans="2:5">
      <c r="B529" s="1" t="s">
        <v>16</v>
      </c>
      <c r="C529" s="1">
        <v>39417</v>
      </c>
      <c r="D529">
        <v>2979385823.8600001</v>
      </c>
      <c r="E529">
        <v>6</v>
      </c>
    </row>
    <row r="530" spans="2:5">
      <c r="B530" s="1" t="s">
        <v>26</v>
      </c>
      <c r="C530" s="1">
        <v>39417</v>
      </c>
      <c r="D530">
        <v>2878585849.6500001</v>
      </c>
      <c r="E530">
        <v>7</v>
      </c>
    </row>
    <row r="531" spans="2:5">
      <c r="B531" s="1" t="s">
        <v>19</v>
      </c>
      <c r="C531" s="1">
        <v>39417</v>
      </c>
      <c r="D531">
        <v>2238443049.8499999</v>
      </c>
      <c r="E531">
        <v>8</v>
      </c>
    </row>
    <row r="532" spans="2:5">
      <c r="B532" s="1" t="s">
        <v>27</v>
      </c>
      <c r="C532" s="1">
        <v>39417</v>
      </c>
      <c r="D532">
        <v>1587214030.9300001</v>
      </c>
      <c r="E532">
        <v>9</v>
      </c>
    </row>
    <row r="533" spans="2:5">
      <c r="B533" s="1" t="s">
        <v>10</v>
      </c>
      <c r="C533" s="1">
        <v>39417</v>
      </c>
      <c r="D533">
        <v>1533313968.5899999</v>
      </c>
      <c r="E533">
        <v>10</v>
      </c>
    </row>
    <row r="534" spans="2:5">
      <c r="B534" s="1" t="s">
        <v>6</v>
      </c>
      <c r="C534" s="1">
        <v>39448</v>
      </c>
      <c r="D534">
        <v>19245031368.959999</v>
      </c>
      <c r="E534">
        <v>1</v>
      </c>
    </row>
    <row r="535" spans="2:5">
      <c r="B535" s="1" t="s">
        <v>7</v>
      </c>
      <c r="C535" s="1">
        <v>39448</v>
      </c>
      <c r="D535">
        <v>16764636099.889999</v>
      </c>
      <c r="E535">
        <v>2</v>
      </c>
    </row>
    <row r="536" spans="2:5">
      <c r="B536" s="1" t="s">
        <v>13</v>
      </c>
      <c r="C536" s="1">
        <v>39448</v>
      </c>
      <c r="D536">
        <v>7492129106.8599997</v>
      </c>
      <c r="E536">
        <v>3</v>
      </c>
    </row>
    <row r="537" spans="2:5">
      <c r="B537" s="1" t="s">
        <v>11</v>
      </c>
      <c r="C537" s="1">
        <v>39448</v>
      </c>
      <c r="D537">
        <v>5922081670.7299995</v>
      </c>
      <c r="E537">
        <v>4</v>
      </c>
    </row>
    <row r="538" spans="2:5">
      <c r="B538" s="1" t="s">
        <v>4</v>
      </c>
      <c r="C538" s="1">
        <v>39448</v>
      </c>
      <c r="D538">
        <v>2932443733.4000001</v>
      </c>
      <c r="E538">
        <v>5</v>
      </c>
    </row>
    <row r="539" spans="2:5">
      <c r="B539" s="1" t="s">
        <v>19</v>
      </c>
      <c r="C539" s="1">
        <v>39448</v>
      </c>
      <c r="D539">
        <v>2777009284.9299998</v>
      </c>
      <c r="E539">
        <v>6</v>
      </c>
    </row>
    <row r="540" spans="2:5">
      <c r="B540" s="1" t="s">
        <v>16</v>
      </c>
      <c r="C540" s="1">
        <v>39448</v>
      </c>
      <c r="D540">
        <v>2709598977.0999999</v>
      </c>
      <c r="E540">
        <v>7</v>
      </c>
    </row>
    <row r="541" spans="2:5">
      <c r="B541" s="1" t="s">
        <v>26</v>
      </c>
      <c r="C541" s="1">
        <v>39448</v>
      </c>
      <c r="D541">
        <v>2693818093.54</v>
      </c>
      <c r="E541">
        <v>8</v>
      </c>
    </row>
    <row r="542" spans="2:5">
      <c r="B542" s="1" t="s">
        <v>20</v>
      </c>
      <c r="C542" s="1">
        <v>39448</v>
      </c>
      <c r="D542">
        <v>2331516295</v>
      </c>
      <c r="E542">
        <v>9</v>
      </c>
    </row>
    <row r="543" spans="2:5">
      <c r="B543" s="1" t="s">
        <v>12</v>
      </c>
      <c r="C543" s="1">
        <v>39448</v>
      </c>
      <c r="D543">
        <v>2149075513.8000002</v>
      </c>
      <c r="E543">
        <v>10</v>
      </c>
    </row>
    <row r="544" spans="2:5">
      <c r="B544" s="1" t="s">
        <v>6</v>
      </c>
      <c r="C544" s="1">
        <v>39479</v>
      </c>
      <c r="D544">
        <v>14202157043.27</v>
      </c>
      <c r="E544">
        <v>1</v>
      </c>
    </row>
    <row r="545" spans="2:5">
      <c r="B545" s="1" t="s">
        <v>7</v>
      </c>
      <c r="C545" s="1">
        <v>39479</v>
      </c>
      <c r="D545">
        <v>12621973781.870001</v>
      </c>
      <c r="E545">
        <v>2</v>
      </c>
    </row>
    <row r="546" spans="2:5">
      <c r="B546" s="1" t="s">
        <v>11</v>
      </c>
      <c r="C546" s="1">
        <v>39479</v>
      </c>
      <c r="D546">
        <v>5195462052.75</v>
      </c>
      <c r="E546">
        <v>3</v>
      </c>
    </row>
    <row r="547" spans="2:5">
      <c r="B547" s="1" t="s">
        <v>13</v>
      </c>
      <c r="C547" s="1">
        <v>39479</v>
      </c>
      <c r="D547">
        <v>3462535631.8600001</v>
      </c>
      <c r="E547">
        <v>4</v>
      </c>
    </row>
    <row r="548" spans="2:5">
      <c r="B548" s="1" t="s">
        <v>4</v>
      </c>
      <c r="C548" s="1">
        <v>39479</v>
      </c>
      <c r="D548">
        <v>2947586166.1999998</v>
      </c>
      <c r="E548">
        <v>5</v>
      </c>
    </row>
    <row r="549" spans="2:5">
      <c r="B549" s="1" t="s">
        <v>26</v>
      </c>
      <c r="C549" s="1">
        <v>39479</v>
      </c>
      <c r="D549">
        <v>2827494752.0799999</v>
      </c>
      <c r="E549">
        <v>6</v>
      </c>
    </row>
    <row r="550" spans="2:5">
      <c r="B550" s="1" t="s">
        <v>19</v>
      </c>
      <c r="C550" s="1">
        <v>39479</v>
      </c>
      <c r="D550">
        <v>2775332433.4299998</v>
      </c>
      <c r="E550">
        <v>7</v>
      </c>
    </row>
    <row r="551" spans="2:5">
      <c r="B551" s="1" t="s">
        <v>20</v>
      </c>
      <c r="C551" s="1">
        <v>39479</v>
      </c>
      <c r="D551">
        <v>1603611344.5899999</v>
      </c>
      <c r="E551">
        <v>8</v>
      </c>
    </row>
    <row r="552" spans="2:5">
      <c r="B552" s="1" t="s">
        <v>27</v>
      </c>
      <c r="C552" s="1">
        <v>39479</v>
      </c>
      <c r="D552">
        <v>1429750310.99</v>
      </c>
      <c r="E552">
        <v>9</v>
      </c>
    </row>
    <row r="553" spans="2:5">
      <c r="B553" s="1" t="s">
        <v>16</v>
      </c>
      <c r="C553" s="1">
        <v>39479</v>
      </c>
      <c r="D553">
        <v>1136876862.78</v>
      </c>
      <c r="E553">
        <v>10</v>
      </c>
    </row>
    <row r="554" spans="2:5">
      <c r="B554" s="1" t="s">
        <v>6</v>
      </c>
      <c r="C554" s="1">
        <v>39508</v>
      </c>
      <c r="D554">
        <v>18869156796.220001</v>
      </c>
      <c r="E554">
        <v>1</v>
      </c>
    </row>
    <row r="555" spans="2:5">
      <c r="B555" s="1" t="s">
        <v>7</v>
      </c>
      <c r="C555" s="1">
        <v>39508</v>
      </c>
      <c r="D555">
        <v>15666973862.35</v>
      </c>
      <c r="E555">
        <v>2</v>
      </c>
    </row>
    <row r="556" spans="2:5">
      <c r="B556" s="1" t="s">
        <v>11</v>
      </c>
      <c r="C556" s="1">
        <v>39508</v>
      </c>
      <c r="D556">
        <v>10463321114.809999</v>
      </c>
      <c r="E556">
        <v>3</v>
      </c>
    </row>
    <row r="557" spans="2:5">
      <c r="B557" s="1" t="s">
        <v>13</v>
      </c>
      <c r="C557" s="1">
        <v>39508</v>
      </c>
      <c r="D557">
        <v>8263551375.8699999</v>
      </c>
      <c r="E557">
        <v>4</v>
      </c>
    </row>
    <row r="558" spans="2:5">
      <c r="B558" s="1" t="s">
        <v>26</v>
      </c>
      <c r="C558" s="1">
        <v>39508</v>
      </c>
      <c r="D558">
        <v>4670013910.6199999</v>
      </c>
      <c r="E558">
        <v>5</v>
      </c>
    </row>
    <row r="559" spans="2:5">
      <c r="B559" s="1" t="s">
        <v>4</v>
      </c>
      <c r="C559" s="1">
        <v>39508</v>
      </c>
      <c r="D559">
        <v>4475362907.0500002</v>
      </c>
      <c r="E559">
        <v>6</v>
      </c>
    </row>
    <row r="560" spans="2:5">
      <c r="B560" s="1" t="s">
        <v>20</v>
      </c>
      <c r="C560" s="1">
        <v>39508</v>
      </c>
      <c r="D560">
        <v>3021716833.79</v>
      </c>
      <c r="E560">
        <v>7</v>
      </c>
    </row>
    <row r="561" spans="2:5">
      <c r="B561" s="1" t="s">
        <v>19</v>
      </c>
      <c r="C561" s="1">
        <v>39508</v>
      </c>
      <c r="D561">
        <v>2956410222.3499999</v>
      </c>
      <c r="E561">
        <v>8</v>
      </c>
    </row>
    <row r="562" spans="2:5">
      <c r="B562" s="1" t="s">
        <v>10</v>
      </c>
      <c r="C562" s="1">
        <v>39508</v>
      </c>
      <c r="D562">
        <v>2148417999.02</v>
      </c>
      <c r="E562">
        <v>9</v>
      </c>
    </row>
    <row r="563" spans="2:5">
      <c r="B563" s="1" t="s">
        <v>16</v>
      </c>
      <c r="C563" s="1">
        <v>39508</v>
      </c>
      <c r="D563">
        <v>1446007033.96</v>
      </c>
      <c r="E563">
        <v>10</v>
      </c>
    </row>
    <row r="564" spans="2:5">
      <c r="B564" s="1" t="s">
        <v>6</v>
      </c>
      <c r="C564" s="1">
        <v>39539</v>
      </c>
      <c r="D564">
        <v>9926586445.7800007</v>
      </c>
      <c r="E564">
        <v>1</v>
      </c>
    </row>
    <row r="565" spans="2:5">
      <c r="B565" s="1" t="s">
        <v>7</v>
      </c>
      <c r="C565" s="1">
        <v>39539</v>
      </c>
      <c r="D565">
        <v>9604764183.2199993</v>
      </c>
      <c r="E565">
        <v>2</v>
      </c>
    </row>
    <row r="566" spans="2:5">
      <c r="B566" s="1" t="s">
        <v>11</v>
      </c>
      <c r="C566" s="1">
        <v>39539</v>
      </c>
      <c r="D566">
        <v>8335762574.4099998</v>
      </c>
      <c r="E566">
        <v>3</v>
      </c>
    </row>
    <row r="567" spans="2:5">
      <c r="B567" s="1" t="s">
        <v>4</v>
      </c>
      <c r="C567" s="1">
        <v>39539</v>
      </c>
      <c r="D567">
        <v>7148555769.2600002</v>
      </c>
      <c r="E567">
        <v>4</v>
      </c>
    </row>
    <row r="568" spans="2:5">
      <c r="B568" s="1" t="s">
        <v>13</v>
      </c>
      <c r="C568" s="1">
        <v>39539</v>
      </c>
      <c r="D568">
        <v>2918959286.4000001</v>
      </c>
      <c r="E568">
        <v>5</v>
      </c>
    </row>
    <row r="569" spans="2:5">
      <c r="B569" s="1" t="s">
        <v>19</v>
      </c>
      <c r="C569" s="1">
        <v>39539</v>
      </c>
      <c r="D569">
        <v>2689977192.96</v>
      </c>
      <c r="E569">
        <v>6</v>
      </c>
    </row>
    <row r="570" spans="2:5">
      <c r="B570" s="1" t="s">
        <v>12</v>
      </c>
      <c r="C570" s="1">
        <v>39539</v>
      </c>
      <c r="D570">
        <v>2282514196.4699998</v>
      </c>
      <c r="E570">
        <v>7</v>
      </c>
    </row>
    <row r="571" spans="2:5">
      <c r="B571" s="1" t="s">
        <v>27</v>
      </c>
      <c r="C571" s="1">
        <v>39539</v>
      </c>
      <c r="D571">
        <v>1448382903.7</v>
      </c>
      <c r="E571">
        <v>8</v>
      </c>
    </row>
    <row r="572" spans="2:5">
      <c r="B572" s="1" t="s">
        <v>20</v>
      </c>
      <c r="C572" s="1">
        <v>39539</v>
      </c>
      <c r="D572">
        <v>1435114914.6099999</v>
      </c>
      <c r="E572">
        <v>9</v>
      </c>
    </row>
    <row r="573" spans="2:5">
      <c r="B573" s="1" t="s">
        <v>26</v>
      </c>
      <c r="C573" s="1">
        <v>39539</v>
      </c>
      <c r="D573">
        <v>1287479108.4200001</v>
      </c>
      <c r="E573">
        <v>10</v>
      </c>
    </row>
    <row r="574" spans="2:5">
      <c r="B574" s="1" t="s">
        <v>6</v>
      </c>
      <c r="C574" s="1">
        <v>39569</v>
      </c>
      <c r="D574">
        <v>13677637389.280001</v>
      </c>
      <c r="E574">
        <v>1</v>
      </c>
    </row>
    <row r="575" spans="2:5">
      <c r="B575" s="1" t="s">
        <v>7</v>
      </c>
      <c r="C575" s="1">
        <v>39569</v>
      </c>
      <c r="D575">
        <v>11260841584.469999</v>
      </c>
      <c r="E575">
        <v>2</v>
      </c>
    </row>
    <row r="576" spans="2:5">
      <c r="B576" s="1" t="s">
        <v>11</v>
      </c>
      <c r="C576" s="1">
        <v>39569</v>
      </c>
      <c r="D576">
        <v>7725471901.6400003</v>
      </c>
      <c r="E576">
        <v>3</v>
      </c>
    </row>
    <row r="577" spans="2:5">
      <c r="B577" s="1" t="s">
        <v>4</v>
      </c>
      <c r="C577" s="1">
        <v>39569</v>
      </c>
      <c r="D577">
        <v>5086138597.2299995</v>
      </c>
      <c r="E577">
        <v>4</v>
      </c>
    </row>
    <row r="578" spans="2:5">
      <c r="B578" s="1" t="s">
        <v>13</v>
      </c>
      <c r="C578" s="1">
        <v>39569</v>
      </c>
      <c r="D578">
        <v>4264804845.6999998</v>
      </c>
      <c r="E578">
        <v>5</v>
      </c>
    </row>
    <row r="579" spans="2:5">
      <c r="B579" s="1" t="s">
        <v>19</v>
      </c>
      <c r="C579" s="1">
        <v>39569</v>
      </c>
      <c r="D579">
        <v>3658268824.0300002</v>
      </c>
      <c r="E579">
        <v>6</v>
      </c>
    </row>
    <row r="580" spans="2:5">
      <c r="B580" s="1" t="s">
        <v>26</v>
      </c>
      <c r="C580" s="1">
        <v>39569</v>
      </c>
      <c r="D580">
        <v>2994126799.2199998</v>
      </c>
      <c r="E580">
        <v>7</v>
      </c>
    </row>
    <row r="581" spans="2:5">
      <c r="B581" s="1" t="s">
        <v>27</v>
      </c>
      <c r="C581" s="1">
        <v>39569</v>
      </c>
      <c r="D581">
        <v>1694093260.71</v>
      </c>
      <c r="E581">
        <v>8</v>
      </c>
    </row>
    <row r="582" spans="2:5">
      <c r="B582" s="1" t="s">
        <v>10</v>
      </c>
      <c r="C582" s="1">
        <v>39569</v>
      </c>
      <c r="D582">
        <v>1350233547.8599999</v>
      </c>
      <c r="E582">
        <v>9</v>
      </c>
    </row>
    <row r="583" spans="2:5">
      <c r="B583" s="1" t="s">
        <v>12</v>
      </c>
      <c r="C583" s="1">
        <v>39569</v>
      </c>
      <c r="D583">
        <v>923555801.51999998</v>
      </c>
      <c r="E583">
        <v>10</v>
      </c>
    </row>
    <row r="584" spans="2:5">
      <c r="B584" s="1" t="s">
        <v>6</v>
      </c>
      <c r="C584" s="1">
        <v>39600</v>
      </c>
      <c r="D584">
        <v>16065557997.07</v>
      </c>
      <c r="E584">
        <v>1</v>
      </c>
    </row>
    <row r="585" spans="2:5">
      <c r="B585" s="1" t="s">
        <v>7</v>
      </c>
      <c r="C585" s="1">
        <v>39600</v>
      </c>
      <c r="D585">
        <v>11100913368.030001</v>
      </c>
      <c r="E585">
        <v>2</v>
      </c>
    </row>
    <row r="586" spans="2:5">
      <c r="B586" s="1" t="s">
        <v>13</v>
      </c>
      <c r="C586" s="1">
        <v>39600</v>
      </c>
      <c r="D586">
        <v>9252210769.0799999</v>
      </c>
      <c r="E586">
        <v>3</v>
      </c>
    </row>
    <row r="587" spans="2:5">
      <c r="B587" s="1" t="s">
        <v>11</v>
      </c>
      <c r="C587" s="1">
        <v>39600</v>
      </c>
      <c r="D587">
        <v>9073366756.0400009</v>
      </c>
      <c r="E587">
        <v>4</v>
      </c>
    </row>
    <row r="588" spans="2:5">
      <c r="B588" s="1" t="s">
        <v>4</v>
      </c>
      <c r="C588" s="1">
        <v>39600</v>
      </c>
      <c r="D588">
        <v>4547919746.75</v>
      </c>
      <c r="E588">
        <v>5</v>
      </c>
    </row>
    <row r="589" spans="2:5">
      <c r="B589" s="1" t="s">
        <v>19</v>
      </c>
      <c r="C589" s="1">
        <v>39600</v>
      </c>
      <c r="D589">
        <v>3305671422.6199999</v>
      </c>
      <c r="E589">
        <v>6</v>
      </c>
    </row>
    <row r="590" spans="2:5">
      <c r="B590" s="1" t="s">
        <v>12</v>
      </c>
      <c r="C590" s="1">
        <v>39600</v>
      </c>
      <c r="D590">
        <v>3073082012.29</v>
      </c>
      <c r="E590">
        <v>7</v>
      </c>
    </row>
    <row r="591" spans="2:5">
      <c r="B591" s="1" t="s">
        <v>26</v>
      </c>
      <c r="C591" s="1">
        <v>39600</v>
      </c>
      <c r="D591">
        <v>2181523294.0300002</v>
      </c>
      <c r="E591">
        <v>8</v>
      </c>
    </row>
    <row r="592" spans="2:5">
      <c r="B592" s="1" t="s">
        <v>10</v>
      </c>
      <c r="C592" s="1">
        <v>39600</v>
      </c>
      <c r="D592">
        <v>1971286047.4300001</v>
      </c>
      <c r="E592">
        <v>9</v>
      </c>
    </row>
    <row r="593" spans="2:5">
      <c r="B593" s="1" t="s">
        <v>27</v>
      </c>
      <c r="C593" s="1">
        <v>39600</v>
      </c>
      <c r="D593">
        <v>1063977303.1900001</v>
      </c>
      <c r="E593">
        <v>10</v>
      </c>
    </row>
    <row r="594" spans="2:5">
      <c r="B594" s="1" t="s">
        <v>11</v>
      </c>
      <c r="C594" s="1">
        <v>39630</v>
      </c>
      <c r="D594">
        <v>12448685404.389999</v>
      </c>
      <c r="E594">
        <v>1</v>
      </c>
    </row>
    <row r="595" spans="2:5">
      <c r="B595" s="1" t="s">
        <v>6</v>
      </c>
      <c r="C595" s="1">
        <v>39630</v>
      </c>
      <c r="D595">
        <v>8671992289.8500004</v>
      </c>
      <c r="E595">
        <v>2</v>
      </c>
    </row>
    <row r="596" spans="2:5">
      <c r="B596" s="1" t="s">
        <v>13</v>
      </c>
      <c r="C596" s="1">
        <v>39630</v>
      </c>
      <c r="D596">
        <v>7601730535.4399996</v>
      </c>
      <c r="E596">
        <v>3</v>
      </c>
    </row>
    <row r="597" spans="2:5">
      <c r="B597" s="1" t="s">
        <v>7</v>
      </c>
      <c r="C597" s="1">
        <v>39630</v>
      </c>
      <c r="D597">
        <v>5626585790.7399998</v>
      </c>
      <c r="E597">
        <v>4</v>
      </c>
    </row>
    <row r="598" spans="2:5">
      <c r="B598" s="1" t="s">
        <v>4</v>
      </c>
      <c r="C598" s="1">
        <v>39630</v>
      </c>
      <c r="D598">
        <v>4410947306.1800003</v>
      </c>
      <c r="E598">
        <v>5</v>
      </c>
    </row>
    <row r="599" spans="2:5">
      <c r="B599" s="1" t="s">
        <v>14</v>
      </c>
      <c r="C599" s="1">
        <v>39630</v>
      </c>
      <c r="D599">
        <v>2184280083.5799999</v>
      </c>
      <c r="E599">
        <v>6</v>
      </c>
    </row>
    <row r="600" spans="2:5">
      <c r="B600" s="1" t="s">
        <v>27</v>
      </c>
      <c r="C600" s="1">
        <v>39630</v>
      </c>
      <c r="D600">
        <v>1798969583.0799999</v>
      </c>
      <c r="E600">
        <v>7</v>
      </c>
    </row>
    <row r="601" spans="2:5">
      <c r="B601" s="1" t="s">
        <v>26</v>
      </c>
      <c r="C601" s="1">
        <v>39630</v>
      </c>
      <c r="D601">
        <v>1033094421.8</v>
      </c>
      <c r="E601">
        <v>8</v>
      </c>
    </row>
    <row r="602" spans="2:5">
      <c r="B602" s="1" t="s">
        <v>19</v>
      </c>
      <c r="C602" s="1">
        <v>39630</v>
      </c>
      <c r="D602">
        <v>1030762827.8099999</v>
      </c>
      <c r="E602">
        <v>9</v>
      </c>
    </row>
    <row r="603" spans="2:5">
      <c r="B603" s="1" t="s">
        <v>12</v>
      </c>
      <c r="C603" s="1">
        <v>39630</v>
      </c>
      <c r="D603">
        <v>783961745.63999999</v>
      </c>
      <c r="E603">
        <v>10</v>
      </c>
    </row>
    <row r="604" spans="2:5">
      <c r="B604" s="1" t="s">
        <v>6</v>
      </c>
      <c r="C604" s="1">
        <v>39661</v>
      </c>
      <c r="D604">
        <v>6812598633.46</v>
      </c>
      <c r="E604">
        <v>1</v>
      </c>
    </row>
    <row r="605" spans="2:5">
      <c r="B605" s="1" t="s">
        <v>11</v>
      </c>
      <c r="C605" s="1">
        <v>39661</v>
      </c>
      <c r="D605">
        <v>5651126697.8800001</v>
      </c>
      <c r="E605">
        <v>2</v>
      </c>
    </row>
    <row r="606" spans="2:5">
      <c r="B606" s="1" t="s">
        <v>7</v>
      </c>
      <c r="C606" s="1">
        <v>39661</v>
      </c>
      <c r="D606">
        <v>5186273977.5699997</v>
      </c>
      <c r="E606">
        <v>3</v>
      </c>
    </row>
    <row r="607" spans="2:5">
      <c r="B607" s="1" t="s">
        <v>13</v>
      </c>
      <c r="C607" s="1">
        <v>39661</v>
      </c>
      <c r="D607">
        <v>4660286494.7399998</v>
      </c>
      <c r="E607">
        <v>4</v>
      </c>
    </row>
    <row r="608" spans="2:5">
      <c r="B608" s="1" t="s">
        <v>4</v>
      </c>
      <c r="C608" s="1">
        <v>39661</v>
      </c>
      <c r="D608">
        <v>3132554296.4699998</v>
      </c>
      <c r="E608">
        <v>5</v>
      </c>
    </row>
    <row r="609" spans="2:5">
      <c r="B609" s="1" t="s">
        <v>27</v>
      </c>
      <c r="C609" s="1">
        <v>39661</v>
      </c>
      <c r="D609">
        <v>1499404802.6700001</v>
      </c>
      <c r="E609">
        <v>6</v>
      </c>
    </row>
    <row r="610" spans="2:5">
      <c r="B610" s="1" t="s">
        <v>26</v>
      </c>
      <c r="C610" s="1">
        <v>39661</v>
      </c>
      <c r="D610">
        <v>1386167136.9100001</v>
      </c>
      <c r="E610">
        <v>7</v>
      </c>
    </row>
    <row r="611" spans="2:5">
      <c r="B611" s="1" t="s">
        <v>19</v>
      </c>
      <c r="C611" s="1">
        <v>39661</v>
      </c>
      <c r="D611">
        <v>1268489048.78</v>
      </c>
      <c r="E611">
        <v>8</v>
      </c>
    </row>
    <row r="612" spans="2:5">
      <c r="B612" s="1" t="s">
        <v>10</v>
      </c>
      <c r="C612" s="1">
        <v>39661</v>
      </c>
      <c r="D612">
        <v>1010293780.8</v>
      </c>
      <c r="E612">
        <v>9</v>
      </c>
    </row>
    <row r="613" spans="2:5">
      <c r="B613" s="1" t="s">
        <v>20</v>
      </c>
      <c r="C613" s="1">
        <v>39661</v>
      </c>
      <c r="D613">
        <v>829429089.38</v>
      </c>
      <c r="E613">
        <v>10</v>
      </c>
    </row>
    <row r="614" spans="2:5">
      <c r="B614" s="1" t="s">
        <v>11</v>
      </c>
      <c r="C614" s="1">
        <v>39692</v>
      </c>
      <c r="D614">
        <v>5479074775.4300003</v>
      </c>
      <c r="E614">
        <v>1</v>
      </c>
    </row>
    <row r="615" spans="2:5">
      <c r="B615" s="1" t="s">
        <v>13</v>
      </c>
      <c r="C615" s="1">
        <v>39692</v>
      </c>
      <c r="D615">
        <v>5241802901.2700005</v>
      </c>
      <c r="E615">
        <v>2</v>
      </c>
    </row>
    <row r="616" spans="2:5">
      <c r="B616" s="1" t="s">
        <v>6</v>
      </c>
      <c r="C616" s="1">
        <v>39692</v>
      </c>
      <c r="D616">
        <v>4829389929.1999998</v>
      </c>
      <c r="E616">
        <v>3</v>
      </c>
    </row>
    <row r="617" spans="2:5">
      <c r="B617" s="1" t="s">
        <v>7</v>
      </c>
      <c r="C617" s="1">
        <v>39692</v>
      </c>
      <c r="D617">
        <v>3597810473.3000002</v>
      </c>
      <c r="E617">
        <v>4</v>
      </c>
    </row>
    <row r="618" spans="2:5">
      <c r="B618" s="1" t="s">
        <v>4</v>
      </c>
      <c r="C618" s="1">
        <v>39692</v>
      </c>
      <c r="D618">
        <v>2450828221.6100001</v>
      </c>
      <c r="E618">
        <v>5</v>
      </c>
    </row>
    <row r="619" spans="2:5">
      <c r="B619" s="1" t="s">
        <v>27</v>
      </c>
      <c r="C619" s="1">
        <v>39692</v>
      </c>
      <c r="D619">
        <v>1321486905.6099999</v>
      </c>
      <c r="E619">
        <v>6</v>
      </c>
    </row>
    <row r="620" spans="2:5">
      <c r="B620" s="1" t="s">
        <v>26</v>
      </c>
      <c r="C620" s="1">
        <v>39692</v>
      </c>
      <c r="D620">
        <v>1212867361.9300001</v>
      </c>
      <c r="E620">
        <v>7</v>
      </c>
    </row>
    <row r="621" spans="2:5">
      <c r="B621" s="1" t="s">
        <v>19</v>
      </c>
      <c r="C621" s="1">
        <v>39692</v>
      </c>
      <c r="D621">
        <v>997632890.15999997</v>
      </c>
      <c r="E621">
        <v>8</v>
      </c>
    </row>
    <row r="622" spans="2:5">
      <c r="B622" s="1" t="s">
        <v>10</v>
      </c>
      <c r="C622" s="1">
        <v>39692</v>
      </c>
      <c r="D622">
        <v>823242354.52999997</v>
      </c>
      <c r="E622">
        <v>9</v>
      </c>
    </row>
    <row r="623" spans="2:5">
      <c r="B623" s="1" t="s">
        <v>12</v>
      </c>
      <c r="C623" s="1">
        <v>39692</v>
      </c>
      <c r="D623">
        <v>572407246.50999999</v>
      </c>
      <c r="E623">
        <v>10</v>
      </c>
    </row>
    <row r="624" spans="2:5">
      <c r="B624" s="1" t="s">
        <v>13</v>
      </c>
      <c r="C624" s="1">
        <v>39722</v>
      </c>
      <c r="D624">
        <v>7947690883.6099997</v>
      </c>
      <c r="E624">
        <v>1</v>
      </c>
    </row>
    <row r="625" spans="2:5">
      <c r="B625" s="1" t="s">
        <v>6</v>
      </c>
      <c r="C625" s="1">
        <v>39722</v>
      </c>
      <c r="D625">
        <v>6371042917.5200005</v>
      </c>
      <c r="E625">
        <v>2</v>
      </c>
    </row>
    <row r="626" spans="2:5">
      <c r="B626" s="1" t="s">
        <v>11</v>
      </c>
      <c r="C626" s="1">
        <v>39722</v>
      </c>
      <c r="D626">
        <v>5895526086.3699999</v>
      </c>
      <c r="E626">
        <v>3</v>
      </c>
    </row>
    <row r="627" spans="2:5">
      <c r="B627" s="1" t="s">
        <v>7</v>
      </c>
      <c r="C627" s="1">
        <v>39722</v>
      </c>
      <c r="D627">
        <v>3209041996.9899998</v>
      </c>
      <c r="E627">
        <v>4</v>
      </c>
    </row>
    <row r="628" spans="2:5">
      <c r="B628" s="1" t="s">
        <v>4</v>
      </c>
      <c r="C628" s="1">
        <v>39722</v>
      </c>
      <c r="D628">
        <v>2582559171.5799999</v>
      </c>
      <c r="E628">
        <v>5</v>
      </c>
    </row>
    <row r="629" spans="2:5">
      <c r="B629" s="1" t="s">
        <v>26</v>
      </c>
      <c r="C629" s="1">
        <v>39722</v>
      </c>
      <c r="D629">
        <v>1360853316.3699999</v>
      </c>
      <c r="E629">
        <v>6</v>
      </c>
    </row>
    <row r="630" spans="2:5">
      <c r="B630" s="1" t="s">
        <v>27</v>
      </c>
      <c r="C630" s="1">
        <v>39722</v>
      </c>
      <c r="D630">
        <v>1248096513.3399999</v>
      </c>
      <c r="E630">
        <v>7</v>
      </c>
    </row>
    <row r="631" spans="2:5">
      <c r="B631" s="1" t="s">
        <v>19</v>
      </c>
      <c r="C631" s="1">
        <v>39722</v>
      </c>
      <c r="D631">
        <v>1136669931.97</v>
      </c>
      <c r="E631">
        <v>8</v>
      </c>
    </row>
    <row r="632" spans="2:5">
      <c r="B632" s="1" t="s">
        <v>10</v>
      </c>
      <c r="C632" s="1">
        <v>39722</v>
      </c>
      <c r="D632">
        <v>1002288580.52</v>
      </c>
      <c r="E632">
        <v>9</v>
      </c>
    </row>
    <row r="633" spans="2:5">
      <c r="B633" s="1" t="s">
        <v>12</v>
      </c>
      <c r="C633" s="1">
        <v>39722</v>
      </c>
      <c r="D633">
        <v>604924280.78999996</v>
      </c>
      <c r="E633">
        <v>10</v>
      </c>
    </row>
    <row r="634" spans="2:5">
      <c r="B634" s="1" t="s">
        <v>11</v>
      </c>
      <c r="C634" s="1">
        <v>39753</v>
      </c>
      <c r="D634">
        <v>6263865667.6599998</v>
      </c>
      <c r="E634">
        <v>1</v>
      </c>
    </row>
    <row r="635" spans="2:5">
      <c r="B635" s="1" t="s">
        <v>6</v>
      </c>
      <c r="C635" s="1">
        <v>39753</v>
      </c>
      <c r="D635">
        <v>4738956185.4300003</v>
      </c>
      <c r="E635">
        <v>2</v>
      </c>
    </row>
    <row r="636" spans="2:5">
      <c r="B636" s="1" t="s">
        <v>4</v>
      </c>
      <c r="C636" s="1">
        <v>39753</v>
      </c>
      <c r="D636">
        <v>4205013863.8099999</v>
      </c>
      <c r="E636">
        <v>3</v>
      </c>
    </row>
    <row r="637" spans="2:5">
      <c r="B637" s="1" t="s">
        <v>7</v>
      </c>
      <c r="C637" s="1">
        <v>39753</v>
      </c>
      <c r="D637">
        <v>3683826115.2199998</v>
      </c>
      <c r="E637">
        <v>4</v>
      </c>
    </row>
    <row r="638" spans="2:5">
      <c r="B638" s="1" t="s">
        <v>12</v>
      </c>
      <c r="C638" s="1">
        <v>39753</v>
      </c>
      <c r="D638">
        <v>2094966319.4200001</v>
      </c>
      <c r="E638">
        <v>5</v>
      </c>
    </row>
    <row r="639" spans="2:5">
      <c r="B639" s="1" t="s">
        <v>13</v>
      </c>
      <c r="C639" s="1">
        <v>39753</v>
      </c>
      <c r="D639">
        <v>1912251961.98</v>
      </c>
      <c r="E639">
        <v>6</v>
      </c>
    </row>
    <row r="640" spans="2:5">
      <c r="B640" s="1" t="s">
        <v>19</v>
      </c>
      <c r="C640" s="1">
        <v>39753</v>
      </c>
      <c r="D640">
        <v>1470669632.5</v>
      </c>
      <c r="E640">
        <v>7</v>
      </c>
    </row>
    <row r="641" spans="2:5">
      <c r="B641" s="1" t="s">
        <v>26</v>
      </c>
      <c r="C641" s="1">
        <v>39753</v>
      </c>
      <c r="D641">
        <v>1224686047.46</v>
      </c>
      <c r="E641">
        <v>8</v>
      </c>
    </row>
    <row r="642" spans="2:5">
      <c r="B642" s="1" t="s">
        <v>27</v>
      </c>
      <c r="C642" s="1">
        <v>39753</v>
      </c>
      <c r="D642">
        <v>843395611.76999998</v>
      </c>
      <c r="E642">
        <v>9</v>
      </c>
    </row>
    <row r="643" spans="2:5">
      <c r="B643" s="1" t="s">
        <v>10</v>
      </c>
      <c r="C643" s="1">
        <v>39753</v>
      </c>
      <c r="D643">
        <v>802393897.53999996</v>
      </c>
      <c r="E643">
        <v>10</v>
      </c>
    </row>
    <row r="644" spans="2:5">
      <c r="B644" s="1" t="s">
        <v>11</v>
      </c>
      <c r="C644" s="1">
        <v>39783</v>
      </c>
      <c r="D644">
        <v>5409841465.3100004</v>
      </c>
      <c r="E644">
        <v>1</v>
      </c>
    </row>
    <row r="645" spans="2:5">
      <c r="B645" s="1" t="s">
        <v>6</v>
      </c>
      <c r="C645" s="1">
        <v>39783</v>
      </c>
      <c r="D645">
        <v>4017794117.1599998</v>
      </c>
      <c r="E645">
        <v>2</v>
      </c>
    </row>
    <row r="646" spans="2:5">
      <c r="B646" s="1" t="s">
        <v>13</v>
      </c>
      <c r="C646" s="1">
        <v>39783</v>
      </c>
      <c r="D646">
        <v>2663611458.3400002</v>
      </c>
      <c r="E646">
        <v>3</v>
      </c>
    </row>
    <row r="647" spans="2:5">
      <c r="B647" s="1" t="s">
        <v>4</v>
      </c>
      <c r="C647" s="1">
        <v>39783</v>
      </c>
      <c r="D647">
        <v>2522728386.54</v>
      </c>
      <c r="E647">
        <v>4</v>
      </c>
    </row>
    <row r="648" spans="2:5">
      <c r="B648" s="1" t="s">
        <v>7</v>
      </c>
      <c r="C648" s="1">
        <v>39783</v>
      </c>
      <c r="D648">
        <v>2158341504.3499999</v>
      </c>
      <c r="E648">
        <v>5</v>
      </c>
    </row>
    <row r="649" spans="2:5">
      <c r="B649" s="1" t="s">
        <v>26</v>
      </c>
      <c r="C649" s="1">
        <v>39783</v>
      </c>
      <c r="D649">
        <v>1270133878.5</v>
      </c>
      <c r="E649">
        <v>6</v>
      </c>
    </row>
    <row r="650" spans="2:5">
      <c r="B650" s="1" t="s">
        <v>12</v>
      </c>
      <c r="C650" s="1">
        <v>39783</v>
      </c>
      <c r="D650">
        <v>1047883427.5599999</v>
      </c>
      <c r="E650">
        <v>7</v>
      </c>
    </row>
    <row r="651" spans="2:5">
      <c r="B651" s="1" t="s">
        <v>19</v>
      </c>
      <c r="C651" s="1">
        <v>39783</v>
      </c>
      <c r="D651">
        <v>620839697.44000006</v>
      </c>
      <c r="E651">
        <v>8</v>
      </c>
    </row>
    <row r="652" spans="2:5">
      <c r="B652" s="1" t="s">
        <v>10</v>
      </c>
      <c r="C652" s="1">
        <v>39783</v>
      </c>
      <c r="D652">
        <v>587970707.45000005</v>
      </c>
      <c r="E652">
        <v>9</v>
      </c>
    </row>
    <row r="653" spans="2:5">
      <c r="B653" s="1" t="s">
        <v>27</v>
      </c>
      <c r="C653" s="1">
        <v>39783</v>
      </c>
      <c r="D653">
        <v>542265349.04999995</v>
      </c>
      <c r="E653">
        <v>10</v>
      </c>
    </row>
    <row r="654" spans="2:5">
      <c r="B654" s="1" t="s">
        <v>13</v>
      </c>
      <c r="C654" s="1">
        <v>39814</v>
      </c>
      <c r="D654">
        <v>8591092469.3799992</v>
      </c>
      <c r="E654">
        <v>1</v>
      </c>
    </row>
    <row r="655" spans="2:5">
      <c r="B655" s="1" t="s">
        <v>11</v>
      </c>
      <c r="C655" s="1">
        <v>39814</v>
      </c>
      <c r="D655">
        <v>5863270817.7600002</v>
      </c>
      <c r="E655">
        <v>2</v>
      </c>
    </row>
    <row r="656" spans="2:5">
      <c r="B656" s="1" t="s">
        <v>6</v>
      </c>
      <c r="C656" s="1">
        <v>39814</v>
      </c>
      <c r="D656">
        <v>3978802044.6900001</v>
      </c>
      <c r="E656">
        <v>3</v>
      </c>
    </row>
    <row r="657" spans="2:5">
      <c r="B657" s="1" t="s">
        <v>4</v>
      </c>
      <c r="C657" s="1">
        <v>39814</v>
      </c>
      <c r="D657">
        <v>3221876765.6700001</v>
      </c>
      <c r="E657">
        <v>4</v>
      </c>
    </row>
    <row r="658" spans="2:5">
      <c r="B658" s="1" t="s">
        <v>7</v>
      </c>
      <c r="C658" s="1">
        <v>39814</v>
      </c>
      <c r="D658">
        <v>2969647031.0900002</v>
      </c>
      <c r="E658">
        <v>5</v>
      </c>
    </row>
    <row r="659" spans="2:5">
      <c r="B659" s="1" t="s">
        <v>25</v>
      </c>
      <c r="C659" s="1">
        <v>39814</v>
      </c>
      <c r="D659">
        <v>2255179789.8299999</v>
      </c>
      <c r="E659">
        <v>6</v>
      </c>
    </row>
    <row r="660" spans="2:5">
      <c r="B660" s="1" t="s">
        <v>16</v>
      </c>
      <c r="C660" s="1">
        <v>39814</v>
      </c>
      <c r="D660">
        <v>1726263195.97</v>
      </c>
      <c r="E660">
        <v>7</v>
      </c>
    </row>
    <row r="661" spans="2:5">
      <c r="B661" s="1" t="s">
        <v>29</v>
      </c>
      <c r="C661" s="1">
        <v>39814</v>
      </c>
      <c r="D661">
        <v>1515379715.46</v>
      </c>
      <c r="E661">
        <v>8</v>
      </c>
    </row>
    <row r="662" spans="2:5">
      <c r="B662" s="1" t="s">
        <v>26</v>
      </c>
      <c r="C662" s="1">
        <v>39814</v>
      </c>
      <c r="D662">
        <v>1464856783.98</v>
      </c>
      <c r="E662">
        <v>9</v>
      </c>
    </row>
    <row r="663" spans="2:5">
      <c r="B663" s="1" t="s">
        <v>19</v>
      </c>
      <c r="C663" s="1">
        <v>39814</v>
      </c>
      <c r="D663">
        <v>1311346711.4000001</v>
      </c>
      <c r="E663">
        <v>10</v>
      </c>
    </row>
    <row r="664" spans="2:5">
      <c r="B664" s="1" t="s">
        <v>6</v>
      </c>
      <c r="C664" s="1">
        <v>39845</v>
      </c>
      <c r="D664">
        <v>4307824965.3000002</v>
      </c>
      <c r="E664">
        <v>1</v>
      </c>
    </row>
    <row r="665" spans="2:5">
      <c r="B665" s="1" t="s">
        <v>11</v>
      </c>
      <c r="C665" s="1">
        <v>39845</v>
      </c>
      <c r="D665">
        <v>3776829710.1700001</v>
      </c>
      <c r="E665">
        <v>2</v>
      </c>
    </row>
    <row r="666" spans="2:5">
      <c r="B666" s="1" t="s">
        <v>7</v>
      </c>
      <c r="C666" s="1">
        <v>39845</v>
      </c>
      <c r="D666">
        <v>3317104858.1599998</v>
      </c>
      <c r="E666">
        <v>3</v>
      </c>
    </row>
    <row r="667" spans="2:5">
      <c r="B667" s="1" t="s">
        <v>4</v>
      </c>
      <c r="C667" s="1">
        <v>39845</v>
      </c>
      <c r="D667">
        <v>1793714935.3299999</v>
      </c>
      <c r="E667">
        <v>4</v>
      </c>
    </row>
    <row r="668" spans="2:5">
      <c r="B668" s="1" t="s">
        <v>13</v>
      </c>
      <c r="C668" s="1">
        <v>39845</v>
      </c>
      <c r="D668">
        <v>963288134.89999998</v>
      </c>
      <c r="E668">
        <v>5</v>
      </c>
    </row>
    <row r="669" spans="2:5">
      <c r="B669" s="1" t="s">
        <v>26</v>
      </c>
      <c r="C669" s="1">
        <v>39845</v>
      </c>
      <c r="D669">
        <v>724463965.13</v>
      </c>
      <c r="E669">
        <v>6</v>
      </c>
    </row>
    <row r="670" spans="2:5">
      <c r="B670" s="1" t="s">
        <v>27</v>
      </c>
      <c r="C670" s="1">
        <v>39845</v>
      </c>
      <c r="D670">
        <v>596455268.49000001</v>
      </c>
      <c r="E670">
        <v>7</v>
      </c>
    </row>
    <row r="671" spans="2:5">
      <c r="B671" s="1" t="s">
        <v>57</v>
      </c>
      <c r="C671" s="1">
        <v>39845</v>
      </c>
      <c r="D671">
        <v>583492367.36000001</v>
      </c>
      <c r="E671">
        <v>8</v>
      </c>
    </row>
    <row r="672" spans="2:5">
      <c r="B672" s="1" t="s">
        <v>10</v>
      </c>
      <c r="C672" s="1">
        <v>39845</v>
      </c>
      <c r="D672">
        <v>552621931.66999996</v>
      </c>
      <c r="E672">
        <v>9</v>
      </c>
    </row>
    <row r="673" spans="2:5">
      <c r="B673" s="1" t="s">
        <v>19</v>
      </c>
      <c r="C673" s="1">
        <v>39845</v>
      </c>
      <c r="D673">
        <v>548905355.99000001</v>
      </c>
      <c r="E673">
        <v>10</v>
      </c>
    </row>
    <row r="674" spans="2:5">
      <c r="B674" s="1" t="s">
        <v>6</v>
      </c>
      <c r="C674" s="1">
        <v>39873</v>
      </c>
      <c r="D674">
        <v>9985509207.7099991</v>
      </c>
      <c r="E674">
        <v>1</v>
      </c>
    </row>
    <row r="675" spans="2:5">
      <c r="B675" s="1" t="s">
        <v>11</v>
      </c>
      <c r="C675" s="1">
        <v>39873</v>
      </c>
      <c r="D675">
        <v>9560375140.2900009</v>
      </c>
      <c r="E675">
        <v>2</v>
      </c>
    </row>
    <row r="676" spans="2:5">
      <c r="B676" s="1" t="s">
        <v>13</v>
      </c>
      <c r="C676" s="1">
        <v>39873</v>
      </c>
      <c r="D676">
        <v>2858414927.5</v>
      </c>
      <c r="E676">
        <v>3</v>
      </c>
    </row>
    <row r="677" spans="2:5">
      <c r="B677" s="1" t="s">
        <v>4</v>
      </c>
      <c r="C677" s="1">
        <v>39873</v>
      </c>
      <c r="D677">
        <v>2641345634.0700002</v>
      </c>
      <c r="E677">
        <v>4</v>
      </c>
    </row>
    <row r="678" spans="2:5">
      <c r="B678" s="1" t="s">
        <v>26</v>
      </c>
      <c r="C678" s="1">
        <v>39873</v>
      </c>
      <c r="D678">
        <v>2229672563.8899999</v>
      </c>
      <c r="E678">
        <v>5</v>
      </c>
    </row>
    <row r="679" spans="2:5">
      <c r="B679" s="1" t="s">
        <v>10</v>
      </c>
      <c r="C679" s="1">
        <v>39873</v>
      </c>
      <c r="D679">
        <v>1559389357.8900001</v>
      </c>
      <c r="E679">
        <v>6</v>
      </c>
    </row>
    <row r="680" spans="2:5">
      <c r="B680" s="1" t="s">
        <v>12</v>
      </c>
      <c r="C680" s="1">
        <v>39873</v>
      </c>
      <c r="D680">
        <v>1254259027.49</v>
      </c>
      <c r="E680">
        <v>7</v>
      </c>
    </row>
    <row r="681" spans="2:5">
      <c r="B681" s="1" t="s">
        <v>27</v>
      </c>
      <c r="C681" s="1">
        <v>39873</v>
      </c>
      <c r="D681">
        <v>956909872.99000001</v>
      </c>
      <c r="E681">
        <v>8</v>
      </c>
    </row>
    <row r="682" spans="2:5">
      <c r="B682" s="1" t="s">
        <v>57</v>
      </c>
      <c r="C682" s="1">
        <v>39873</v>
      </c>
      <c r="D682">
        <v>841723160.23000002</v>
      </c>
      <c r="E682">
        <v>9</v>
      </c>
    </row>
    <row r="683" spans="2:5">
      <c r="B683" s="1" t="s">
        <v>16</v>
      </c>
      <c r="C683" s="1">
        <v>39873</v>
      </c>
      <c r="D683">
        <v>758409018.50999999</v>
      </c>
      <c r="E683">
        <v>10</v>
      </c>
    </row>
    <row r="684" spans="2:5">
      <c r="B684" s="1" t="s">
        <v>6</v>
      </c>
      <c r="C684" s="1">
        <v>39904</v>
      </c>
      <c r="D684">
        <v>21059327558.889999</v>
      </c>
      <c r="E684">
        <v>1</v>
      </c>
    </row>
    <row r="685" spans="2:5">
      <c r="B685" s="1" t="s">
        <v>11</v>
      </c>
      <c r="C685" s="1">
        <v>39904</v>
      </c>
      <c r="D685">
        <v>16026314793.370001</v>
      </c>
      <c r="E685">
        <v>2</v>
      </c>
    </row>
    <row r="686" spans="2:5">
      <c r="B686" s="1" t="s">
        <v>13</v>
      </c>
      <c r="C686" s="1">
        <v>39904</v>
      </c>
      <c r="D686">
        <v>13915310789.370001</v>
      </c>
      <c r="E686">
        <v>3</v>
      </c>
    </row>
    <row r="687" spans="2:5">
      <c r="B687" s="1" t="s">
        <v>4</v>
      </c>
      <c r="C687" s="1">
        <v>39904</v>
      </c>
      <c r="D687">
        <v>4624280742.8000002</v>
      </c>
      <c r="E687">
        <v>4</v>
      </c>
    </row>
    <row r="688" spans="2:5">
      <c r="B688" s="1" t="s">
        <v>26</v>
      </c>
      <c r="C688" s="1">
        <v>39904</v>
      </c>
      <c r="D688">
        <v>3407769717.4299998</v>
      </c>
      <c r="E688">
        <v>5</v>
      </c>
    </row>
    <row r="689" spans="2:5">
      <c r="B689" s="1" t="s">
        <v>19</v>
      </c>
      <c r="C689" s="1">
        <v>39904</v>
      </c>
      <c r="D689">
        <v>2441399554.0999999</v>
      </c>
      <c r="E689">
        <v>6</v>
      </c>
    </row>
    <row r="690" spans="2:5">
      <c r="B690" s="1" t="s">
        <v>16</v>
      </c>
      <c r="C690" s="1">
        <v>39904</v>
      </c>
      <c r="D690">
        <v>1922349871.71</v>
      </c>
      <c r="E690">
        <v>7</v>
      </c>
    </row>
    <row r="691" spans="2:5">
      <c r="B691" s="1" t="s">
        <v>12</v>
      </c>
      <c r="C691" s="1">
        <v>39904</v>
      </c>
      <c r="D691">
        <v>1737171982.3699999</v>
      </c>
      <c r="E691">
        <v>8</v>
      </c>
    </row>
    <row r="692" spans="2:5">
      <c r="B692" s="1" t="s">
        <v>10</v>
      </c>
      <c r="C692" s="1">
        <v>39904</v>
      </c>
      <c r="D692">
        <v>1643661737.3099999</v>
      </c>
      <c r="E692">
        <v>9</v>
      </c>
    </row>
    <row r="693" spans="2:5">
      <c r="B693" s="1" t="s">
        <v>27</v>
      </c>
      <c r="C693" s="1">
        <v>39904</v>
      </c>
      <c r="D693">
        <v>1631140291.73</v>
      </c>
      <c r="E693">
        <v>10</v>
      </c>
    </row>
    <row r="694" spans="2:5">
      <c r="B694" s="1" t="s">
        <v>11</v>
      </c>
      <c r="C694" s="1">
        <v>39934</v>
      </c>
      <c r="D694">
        <v>11006090698.6</v>
      </c>
      <c r="E694">
        <v>1</v>
      </c>
    </row>
    <row r="695" spans="2:5">
      <c r="B695" s="1" t="s">
        <v>6</v>
      </c>
      <c r="C695" s="1">
        <v>39934</v>
      </c>
      <c r="D695">
        <v>10133406434.110001</v>
      </c>
      <c r="E695">
        <v>2</v>
      </c>
    </row>
    <row r="696" spans="2:5">
      <c r="B696" s="1" t="s">
        <v>5</v>
      </c>
      <c r="C696" s="1">
        <v>39934</v>
      </c>
      <c r="D696">
        <v>2815227706.5700002</v>
      </c>
      <c r="E696">
        <v>3</v>
      </c>
    </row>
    <row r="697" spans="2:5">
      <c r="B697" s="1" t="s">
        <v>26</v>
      </c>
      <c r="C697" s="1">
        <v>39934</v>
      </c>
      <c r="D697">
        <v>2714587852.3600001</v>
      </c>
      <c r="E697">
        <v>4</v>
      </c>
    </row>
    <row r="698" spans="2:5">
      <c r="B698" s="1" t="s">
        <v>4</v>
      </c>
      <c r="C698" s="1">
        <v>39934</v>
      </c>
      <c r="D698">
        <v>2517773073.4200001</v>
      </c>
      <c r="E698">
        <v>5</v>
      </c>
    </row>
    <row r="699" spans="2:5">
      <c r="B699" s="1" t="s">
        <v>13</v>
      </c>
      <c r="C699" s="1">
        <v>39934</v>
      </c>
      <c r="D699">
        <v>2061482709.0799999</v>
      </c>
      <c r="E699">
        <v>6</v>
      </c>
    </row>
    <row r="700" spans="2:5">
      <c r="B700" s="1" t="s">
        <v>27</v>
      </c>
      <c r="C700" s="1">
        <v>39934</v>
      </c>
      <c r="D700">
        <v>1520805155.21</v>
      </c>
      <c r="E700">
        <v>7</v>
      </c>
    </row>
    <row r="701" spans="2:5">
      <c r="B701" s="1" t="s">
        <v>10</v>
      </c>
      <c r="C701" s="1">
        <v>39934</v>
      </c>
      <c r="D701">
        <v>1193867589.9300001</v>
      </c>
      <c r="E701">
        <v>8</v>
      </c>
    </row>
    <row r="702" spans="2:5">
      <c r="B702" s="1" t="s">
        <v>19</v>
      </c>
      <c r="C702" s="1">
        <v>39934</v>
      </c>
      <c r="D702">
        <v>1082714427.5699999</v>
      </c>
      <c r="E702">
        <v>9</v>
      </c>
    </row>
    <row r="703" spans="2:5">
      <c r="B703" s="1" t="s">
        <v>12</v>
      </c>
      <c r="C703" s="1">
        <v>39934</v>
      </c>
      <c r="D703">
        <v>1028962633.39</v>
      </c>
      <c r="E703">
        <v>10</v>
      </c>
    </row>
    <row r="704" spans="2:5">
      <c r="B704" s="1" t="s">
        <v>6</v>
      </c>
      <c r="C704" s="1">
        <v>39965</v>
      </c>
      <c r="D704">
        <v>13967560067</v>
      </c>
      <c r="E704">
        <v>1</v>
      </c>
    </row>
    <row r="705" spans="2:5">
      <c r="B705" s="1" t="s">
        <v>11</v>
      </c>
      <c r="C705" s="1">
        <v>39965</v>
      </c>
      <c r="D705">
        <v>13334297680.540001</v>
      </c>
      <c r="E705">
        <v>2</v>
      </c>
    </row>
    <row r="706" spans="2:5">
      <c r="B706" s="1" t="s">
        <v>13</v>
      </c>
      <c r="C706" s="1">
        <v>39965</v>
      </c>
      <c r="D706">
        <v>6570942270.1400003</v>
      </c>
      <c r="E706">
        <v>3</v>
      </c>
    </row>
    <row r="707" spans="2:5">
      <c r="B707" s="1" t="s">
        <v>4</v>
      </c>
      <c r="C707" s="1">
        <v>39965</v>
      </c>
      <c r="D707">
        <v>4279745468.29</v>
      </c>
      <c r="E707">
        <v>4</v>
      </c>
    </row>
    <row r="708" spans="2:5">
      <c r="B708" s="1" t="s">
        <v>26</v>
      </c>
      <c r="C708" s="1">
        <v>39965</v>
      </c>
      <c r="D708">
        <v>2989564840.3499999</v>
      </c>
      <c r="E708">
        <v>5</v>
      </c>
    </row>
    <row r="709" spans="2:5">
      <c r="B709" s="1" t="s">
        <v>10</v>
      </c>
      <c r="C709" s="1">
        <v>39965</v>
      </c>
      <c r="D709">
        <v>1665474577.04</v>
      </c>
      <c r="E709">
        <v>6</v>
      </c>
    </row>
    <row r="710" spans="2:5">
      <c r="B710" s="1" t="s">
        <v>19</v>
      </c>
      <c r="C710" s="1">
        <v>39965</v>
      </c>
      <c r="D710">
        <v>1562894759.0899999</v>
      </c>
      <c r="E710">
        <v>7</v>
      </c>
    </row>
    <row r="711" spans="2:5">
      <c r="B711" s="1" t="s">
        <v>5</v>
      </c>
      <c r="C711" s="1">
        <v>39965</v>
      </c>
      <c r="D711">
        <v>1515846536.6400001</v>
      </c>
      <c r="E711">
        <v>8</v>
      </c>
    </row>
    <row r="712" spans="2:5">
      <c r="B712" s="1" t="s">
        <v>29</v>
      </c>
      <c r="C712" s="1">
        <v>39965</v>
      </c>
      <c r="D712">
        <v>978379602</v>
      </c>
      <c r="E712">
        <v>9</v>
      </c>
    </row>
    <row r="713" spans="2:5">
      <c r="B713" s="1" t="s">
        <v>12</v>
      </c>
      <c r="C713" s="1">
        <v>39965</v>
      </c>
      <c r="D713">
        <v>936122247.58000004</v>
      </c>
      <c r="E713">
        <v>10</v>
      </c>
    </row>
    <row r="714" spans="2:5">
      <c r="B714" s="1" t="s">
        <v>6</v>
      </c>
      <c r="C714" s="1">
        <v>39995</v>
      </c>
      <c r="D714">
        <v>22149963934.57</v>
      </c>
      <c r="E714">
        <v>1</v>
      </c>
    </row>
    <row r="715" spans="2:5">
      <c r="B715" s="1" t="s">
        <v>11</v>
      </c>
      <c r="C715" s="1">
        <v>39995</v>
      </c>
      <c r="D715">
        <v>19469168924.950001</v>
      </c>
      <c r="E715">
        <v>2</v>
      </c>
    </row>
    <row r="716" spans="2:5">
      <c r="B716" s="1" t="s">
        <v>13</v>
      </c>
      <c r="C716" s="1">
        <v>39995</v>
      </c>
      <c r="D716">
        <v>12432036389.190001</v>
      </c>
      <c r="E716">
        <v>3</v>
      </c>
    </row>
    <row r="717" spans="2:5">
      <c r="B717" s="1" t="s">
        <v>4</v>
      </c>
      <c r="C717" s="1">
        <v>39995</v>
      </c>
      <c r="D717">
        <v>4725751938.4200001</v>
      </c>
      <c r="E717">
        <v>4</v>
      </c>
    </row>
    <row r="718" spans="2:5">
      <c r="B718" s="1" t="s">
        <v>26</v>
      </c>
      <c r="C718" s="1">
        <v>39995</v>
      </c>
      <c r="D718">
        <v>3693076130.73</v>
      </c>
      <c r="E718">
        <v>5</v>
      </c>
    </row>
    <row r="719" spans="2:5">
      <c r="B719" s="1" t="s">
        <v>19</v>
      </c>
      <c r="C719" s="1">
        <v>39995</v>
      </c>
      <c r="D719">
        <v>2869622330.21</v>
      </c>
      <c r="E719">
        <v>6</v>
      </c>
    </row>
    <row r="720" spans="2:5">
      <c r="B720" s="1" t="s">
        <v>10</v>
      </c>
      <c r="C720" s="1">
        <v>39995</v>
      </c>
      <c r="D720">
        <v>2100851837.9300001</v>
      </c>
      <c r="E720">
        <v>7</v>
      </c>
    </row>
    <row r="721" spans="2:5">
      <c r="B721" s="1" t="s">
        <v>5</v>
      </c>
      <c r="C721" s="1">
        <v>39995</v>
      </c>
      <c r="D721">
        <v>1870162161.0899999</v>
      </c>
      <c r="E721">
        <v>8</v>
      </c>
    </row>
    <row r="722" spans="2:5">
      <c r="B722" s="1" t="s">
        <v>12</v>
      </c>
      <c r="C722" s="1">
        <v>39995</v>
      </c>
      <c r="D722">
        <v>883955249.34000003</v>
      </c>
      <c r="E722">
        <v>9</v>
      </c>
    </row>
    <row r="723" spans="2:5">
      <c r="B723" s="1" t="s">
        <v>16</v>
      </c>
      <c r="C723" s="1">
        <v>39995</v>
      </c>
      <c r="D723">
        <v>805872940.15999997</v>
      </c>
      <c r="E723">
        <v>10</v>
      </c>
    </row>
    <row r="724" spans="2:5">
      <c r="B724" s="1" t="s">
        <v>6</v>
      </c>
      <c r="C724" s="1">
        <v>40026</v>
      </c>
      <c r="D724">
        <v>17966598426.119999</v>
      </c>
      <c r="E724">
        <v>1</v>
      </c>
    </row>
    <row r="725" spans="2:5">
      <c r="B725" s="1" t="s">
        <v>11</v>
      </c>
      <c r="C725" s="1">
        <v>40026</v>
      </c>
      <c r="D725">
        <v>17016611877.120001</v>
      </c>
      <c r="E725">
        <v>2</v>
      </c>
    </row>
    <row r="726" spans="2:5">
      <c r="B726" s="1" t="s">
        <v>26</v>
      </c>
      <c r="C726" s="1">
        <v>40026</v>
      </c>
      <c r="D726">
        <v>4882309364.7299995</v>
      </c>
      <c r="E726">
        <v>3</v>
      </c>
    </row>
    <row r="727" spans="2:5">
      <c r="B727" s="1" t="s">
        <v>4</v>
      </c>
      <c r="C727" s="1">
        <v>40026</v>
      </c>
      <c r="D727">
        <v>4435636881.6199999</v>
      </c>
      <c r="E727">
        <v>4</v>
      </c>
    </row>
    <row r="728" spans="2:5">
      <c r="B728" s="1" t="s">
        <v>19</v>
      </c>
      <c r="C728" s="1">
        <v>40026</v>
      </c>
      <c r="D728">
        <v>2229551006.6300001</v>
      </c>
      <c r="E728">
        <v>5</v>
      </c>
    </row>
    <row r="729" spans="2:5">
      <c r="B729" s="1" t="s">
        <v>13</v>
      </c>
      <c r="C729" s="1">
        <v>40026</v>
      </c>
      <c r="D729">
        <v>2216974394.5</v>
      </c>
      <c r="E729">
        <v>6</v>
      </c>
    </row>
    <row r="730" spans="2:5">
      <c r="B730" s="1" t="s">
        <v>5</v>
      </c>
      <c r="C730" s="1">
        <v>40026</v>
      </c>
      <c r="D730">
        <v>2009262252.27</v>
      </c>
      <c r="E730">
        <v>7</v>
      </c>
    </row>
    <row r="731" spans="2:5">
      <c r="B731" s="1" t="s">
        <v>10</v>
      </c>
      <c r="C731" s="1">
        <v>40026</v>
      </c>
      <c r="D731">
        <v>1257913308.8199999</v>
      </c>
      <c r="E731">
        <v>8</v>
      </c>
    </row>
    <row r="732" spans="2:5">
      <c r="B732" s="1" t="s">
        <v>57</v>
      </c>
      <c r="C732" s="1">
        <v>40026</v>
      </c>
      <c r="D732">
        <v>913654412.88</v>
      </c>
      <c r="E732">
        <v>9</v>
      </c>
    </row>
    <row r="733" spans="2:5">
      <c r="B733" s="1" t="s">
        <v>16</v>
      </c>
      <c r="C733" s="1">
        <v>40026</v>
      </c>
      <c r="D733">
        <v>832077834.90999997</v>
      </c>
      <c r="E733">
        <v>10</v>
      </c>
    </row>
    <row r="734" spans="2:5">
      <c r="B734" s="1" t="s">
        <v>11</v>
      </c>
      <c r="C734" s="1">
        <v>40057</v>
      </c>
      <c r="D734">
        <v>14871497530.26</v>
      </c>
      <c r="E734">
        <v>1</v>
      </c>
    </row>
    <row r="735" spans="2:5">
      <c r="B735" s="1" t="s">
        <v>6</v>
      </c>
      <c r="C735" s="1">
        <v>40057</v>
      </c>
      <c r="D735">
        <v>12633222435.5</v>
      </c>
      <c r="E735">
        <v>2</v>
      </c>
    </row>
    <row r="736" spans="2:5">
      <c r="B736" s="1" t="s">
        <v>13</v>
      </c>
      <c r="C736" s="1">
        <v>40057</v>
      </c>
      <c r="D736">
        <v>3261193412.1100001</v>
      </c>
      <c r="E736">
        <v>3</v>
      </c>
    </row>
    <row r="737" spans="2:5">
      <c r="B737" s="1" t="s">
        <v>4</v>
      </c>
      <c r="C737" s="1">
        <v>40057</v>
      </c>
      <c r="D737">
        <v>2143517990.47</v>
      </c>
      <c r="E737">
        <v>4</v>
      </c>
    </row>
    <row r="738" spans="2:5">
      <c r="B738" s="1" t="s">
        <v>26</v>
      </c>
      <c r="C738" s="1">
        <v>40057</v>
      </c>
      <c r="D738">
        <v>1858141620.6099999</v>
      </c>
      <c r="E738">
        <v>5</v>
      </c>
    </row>
    <row r="739" spans="2:5">
      <c r="B739" s="1" t="s">
        <v>5</v>
      </c>
      <c r="C739" s="1">
        <v>40057</v>
      </c>
      <c r="D739">
        <v>1517335208.99</v>
      </c>
      <c r="E739">
        <v>6</v>
      </c>
    </row>
    <row r="740" spans="2:5">
      <c r="B740" s="1" t="s">
        <v>19</v>
      </c>
      <c r="C740" s="1">
        <v>40057</v>
      </c>
      <c r="D740">
        <v>1462808894.8</v>
      </c>
      <c r="E740">
        <v>7</v>
      </c>
    </row>
    <row r="741" spans="2:5">
      <c r="B741" s="1" t="s">
        <v>10</v>
      </c>
      <c r="C741" s="1">
        <v>40057</v>
      </c>
      <c r="D741">
        <v>1018336962.6</v>
      </c>
      <c r="E741">
        <v>8</v>
      </c>
    </row>
    <row r="742" spans="2:5">
      <c r="B742" s="1" t="s">
        <v>16</v>
      </c>
      <c r="C742" s="1">
        <v>40057</v>
      </c>
      <c r="D742">
        <v>570372803.38999999</v>
      </c>
      <c r="E742">
        <v>9</v>
      </c>
    </row>
    <row r="743" spans="2:5">
      <c r="B743" s="1" t="s">
        <v>57</v>
      </c>
      <c r="C743" s="1">
        <v>40057</v>
      </c>
      <c r="D743">
        <v>557695919.63</v>
      </c>
      <c r="E743">
        <v>10</v>
      </c>
    </row>
    <row r="744" spans="2:5">
      <c r="B744" s="1" t="s">
        <v>6</v>
      </c>
      <c r="C744" s="1">
        <v>40087</v>
      </c>
      <c r="D744">
        <v>15019540836.5</v>
      </c>
      <c r="E744">
        <v>1</v>
      </c>
    </row>
    <row r="745" spans="2:5">
      <c r="B745" s="1" t="s">
        <v>11</v>
      </c>
      <c r="C745" s="1">
        <v>40087</v>
      </c>
      <c r="D745">
        <v>10137828616.16</v>
      </c>
      <c r="E745">
        <v>2</v>
      </c>
    </row>
    <row r="746" spans="2:5">
      <c r="B746" s="1" t="s">
        <v>13</v>
      </c>
      <c r="C746" s="1">
        <v>40087</v>
      </c>
      <c r="D746">
        <v>7619424641.3100004</v>
      </c>
      <c r="E746">
        <v>3</v>
      </c>
    </row>
    <row r="747" spans="2:5">
      <c r="B747" s="1" t="s">
        <v>4</v>
      </c>
      <c r="C747" s="1">
        <v>40087</v>
      </c>
      <c r="D747">
        <v>1856130817.8</v>
      </c>
      <c r="E747">
        <v>4</v>
      </c>
    </row>
    <row r="748" spans="2:5">
      <c r="B748" s="1" t="s">
        <v>26</v>
      </c>
      <c r="C748" s="1">
        <v>40087</v>
      </c>
      <c r="D748">
        <v>1620000882.77</v>
      </c>
      <c r="E748">
        <v>5</v>
      </c>
    </row>
    <row r="749" spans="2:5">
      <c r="B749" s="1" t="s">
        <v>19</v>
      </c>
      <c r="C749" s="1">
        <v>40087</v>
      </c>
      <c r="D749">
        <v>1436034214.4200001</v>
      </c>
      <c r="E749">
        <v>6</v>
      </c>
    </row>
    <row r="750" spans="2:5">
      <c r="B750" s="1" t="s">
        <v>10</v>
      </c>
      <c r="C750" s="1">
        <v>40087</v>
      </c>
      <c r="D750">
        <v>732944580.41999996</v>
      </c>
      <c r="E750">
        <v>7</v>
      </c>
    </row>
    <row r="751" spans="2:5">
      <c r="B751" s="1" t="s">
        <v>5</v>
      </c>
      <c r="C751" s="1">
        <v>40087</v>
      </c>
      <c r="D751">
        <v>619067015.65999997</v>
      </c>
      <c r="E751">
        <v>8</v>
      </c>
    </row>
    <row r="752" spans="2:5">
      <c r="B752" s="1" t="s">
        <v>17</v>
      </c>
      <c r="C752" s="1">
        <v>40087</v>
      </c>
      <c r="D752">
        <v>391522691.43000001</v>
      </c>
      <c r="E752">
        <v>9</v>
      </c>
    </row>
    <row r="753" spans="2:5">
      <c r="B753" s="1" t="s">
        <v>8</v>
      </c>
      <c r="C753" s="1">
        <v>40087</v>
      </c>
      <c r="D753">
        <v>380504911.83999997</v>
      </c>
      <c r="E753">
        <v>10</v>
      </c>
    </row>
    <row r="754" spans="2:5">
      <c r="B754" s="1" t="s">
        <v>11</v>
      </c>
      <c r="C754" s="1">
        <v>40118</v>
      </c>
      <c r="D754">
        <v>9801952065.9599991</v>
      </c>
      <c r="E754">
        <v>1</v>
      </c>
    </row>
    <row r="755" spans="2:5">
      <c r="B755" s="1" t="s">
        <v>6</v>
      </c>
      <c r="C755" s="1">
        <v>40118</v>
      </c>
      <c r="D755">
        <v>8644667946.5900002</v>
      </c>
      <c r="E755">
        <v>2</v>
      </c>
    </row>
    <row r="756" spans="2:5">
      <c r="B756" s="1" t="s">
        <v>13</v>
      </c>
      <c r="C756" s="1">
        <v>40118</v>
      </c>
      <c r="D756">
        <v>2580145583.5</v>
      </c>
      <c r="E756">
        <v>3</v>
      </c>
    </row>
    <row r="757" spans="2:5">
      <c r="B757" s="1" t="s">
        <v>19</v>
      </c>
      <c r="C757" s="1">
        <v>40118</v>
      </c>
      <c r="D757">
        <v>1785454973.51</v>
      </c>
      <c r="E757">
        <v>4</v>
      </c>
    </row>
    <row r="758" spans="2:5">
      <c r="B758" s="1" t="s">
        <v>26</v>
      </c>
      <c r="C758" s="1">
        <v>40118</v>
      </c>
      <c r="D758">
        <v>1151997463.1199999</v>
      </c>
      <c r="E758">
        <v>5</v>
      </c>
    </row>
    <row r="759" spans="2:5">
      <c r="B759" s="1" t="s">
        <v>10</v>
      </c>
      <c r="C759" s="1">
        <v>40118</v>
      </c>
      <c r="D759">
        <v>1021924928.27</v>
      </c>
      <c r="E759">
        <v>6</v>
      </c>
    </row>
    <row r="760" spans="2:5">
      <c r="B760" s="1" t="s">
        <v>4</v>
      </c>
      <c r="C760" s="1">
        <v>40118</v>
      </c>
      <c r="D760">
        <v>993808959.69000006</v>
      </c>
      <c r="E760">
        <v>7</v>
      </c>
    </row>
    <row r="761" spans="2:5">
      <c r="B761" s="1" t="s">
        <v>5</v>
      </c>
      <c r="C761" s="1">
        <v>40118</v>
      </c>
      <c r="D761">
        <v>593395364.09000003</v>
      </c>
      <c r="E761">
        <v>8</v>
      </c>
    </row>
    <row r="762" spans="2:5">
      <c r="B762" s="1" t="s">
        <v>8</v>
      </c>
      <c r="C762" s="1">
        <v>40118</v>
      </c>
      <c r="D762">
        <v>414165881.75999999</v>
      </c>
      <c r="E762">
        <v>9</v>
      </c>
    </row>
    <row r="763" spans="2:5">
      <c r="B763" s="1" t="s">
        <v>17</v>
      </c>
      <c r="C763" s="1">
        <v>40118</v>
      </c>
      <c r="D763">
        <v>312290532.80000001</v>
      </c>
      <c r="E763">
        <v>10</v>
      </c>
    </row>
    <row r="764" spans="2:5">
      <c r="B764" s="1" t="s">
        <v>11</v>
      </c>
      <c r="C764" s="1">
        <v>40148</v>
      </c>
      <c r="D764">
        <v>7919040750.3400002</v>
      </c>
      <c r="E764">
        <v>1</v>
      </c>
    </row>
    <row r="765" spans="2:5">
      <c r="B765" s="1" t="s">
        <v>13</v>
      </c>
      <c r="C765" s="1">
        <v>40148</v>
      </c>
      <c r="D765">
        <v>7118044551.6300001</v>
      </c>
      <c r="E765">
        <v>2</v>
      </c>
    </row>
    <row r="766" spans="2:5">
      <c r="B766" s="1" t="s">
        <v>6</v>
      </c>
      <c r="C766" s="1">
        <v>40148</v>
      </c>
      <c r="D766">
        <v>4214804757.3099999</v>
      </c>
      <c r="E766">
        <v>3</v>
      </c>
    </row>
    <row r="767" spans="2:5">
      <c r="B767" s="1" t="s">
        <v>19</v>
      </c>
      <c r="C767" s="1">
        <v>40148</v>
      </c>
      <c r="D767">
        <v>1884115395.5999999</v>
      </c>
      <c r="E767">
        <v>4</v>
      </c>
    </row>
    <row r="768" spans="2:5">
      <c r="B768" s="1" t="s">
        <v>26</v>
      </c>
      <c r="C768" s="1">
        <v>40148</v>
      </c>
      <c r="D768">
        <v>1273297833.0799999</v>
      </c>
      <c r="E768">
        <v>5</v>
      </c>
    </row>
    <row r="769" spans="2:5">
      <c r="B769" s="1" t="s">
        <v>4</v>
      </c>
      <c r="C769" s="1">
        <v>40148</v>
      </c>
      <c r="D769">
        <v>1162636164.0999999</v>
      </c>
      <c r="E769">
        <v>6</v>
      </c>
    </row>
    <row r="770" spans="2:5">
      <c r="B770" s="1" t="s">
        <v>16</v>
      </c>
      <c r="C770" s="1">
        <v>40148</v>
      </c>
      <c r="D770">
        <v>995351291.99000001</v>
      </c>
      <c r="E770">
        <v>7</v>
      </c>
    </row>
    <row r="771" spans="2:5">
      <c r="B771" s="1" t="s">
        <v>10</v>
      </c>
      <c r="C771" s="1">
        <v>40148</v>
      </c>
      <c r="D771">
        <v>872600518.03999996</v>
      </c>
      <c r="E771">
        <v>8</v>
      </c>
    </row>
    <row r="772" spans="2:5">
      <c r="B772" s="1" t="s">
        <v>5</v>
      </c>
      <c r="C772" s="1">
        <v>40148</v>
      </c>
      <c r="D772">
        <v>667107726.84000003</v>
      </c>
      <c r="E772">
        <v>9</v>
      </c>
    </row>
    <row r="773" spans="2:5">
      <c r="B773" s="1" t="s">
        <v>27</v>
      </c>
      <c r="C773" s="1">
        <v>40148</v>
      </c>
      <c r="D773">
        <v>349406856.70999998</v>
      </c>
      <c r="E773">
        <v>10</v>
      </c>
    </row>
    <row r="774" spans="2:5">
      <c r="B774" s="1" t="s">
        <v>11</v>
      </c>
      <c r="C774" s="1">
        <v>40179</v>
      </c>
      <c r="D774">
        <v>11776429345.26</v>
      </c>
      <c r="E774">
        <v>1</v>
      </c>
    </row>
    <row r="775" spans="2:5">
      <c r="B775" s="1" t="s">
        <v>6</v>
      </c>
      <c r="C775" s="1">
        <v>40179</v>
      </c>
      <c r="D775">
        <v>10974897215.700001</v>
      </c>
      <c r="E775">
        <v>2</v>
      </c>
    </row>
    <row r="776" spans="2:5">
      <c r="B776" s="1" t="s">
        <v>13</v>
      </c>
      <c r="C776" s="1">
        <v>40179</v>
      </c>
      <c r="D776">
        <v>4323523894.3900003</v>
      </c>
      <c r="E776">
        <v>3</v>
      </c>
    </row>
    <row r="777" spans="2:5">
      <c r="B777" s="1" t="s">
        <v>19</v>
      </c>
      <c r="C777" s="1">
        <v>40179</v>
      </c>
      <c r="D777">
        <v>1770204493.27</v>
      </c>
      <c r="E777">
        <v>4</v>
      </c>
    </row>
    <row r="778" spans="2:5">
      <c r="B778" s="1" t="s">
        <v>4</v>
      </c>
      <c r="C778" s="1">
        <v>40179</v>
      </c>
      <c r="D778">
        <v>1628678007.54</v>
      </c>
      <c r="E778">
        <v>5</v>
      </c>
    </row>
    <row r="779" spans="2:5">
      <c r="B779" s="1" t="s">
        <v>26</v>
      </c>
      <c r="C779" s="1">
        <v>40179</v>
      </c>
      <c r="D779">
        <v>1217766175.1800001</v>
      </c>
      <c r="E779">
        <v>6</v>
      </c>
    </row>
    <row r="780" spans="2:5">
      <c r="B780" s="1" t="s">
        <v>5</v>
      </c>
      <c r="C780" s="1">
        <v>40179</v>
      </c>
      <c r="D780">
        <v>1200958066.97</v>
      </c>
      <c r="E780">
        <v>7</v>
      </c>
    </row>
    <row r="781" spans="2:5">
      <c r="B781" s="1" t="s">
        <v>10</v>
      </c>
      <c r="C781" s="1">
        <v>40179</v>
      </c>
      <c r="D781">
        <v>1196133935.4400001</v>
      </c>
      <c r="E781">
        <v>8</v>
      </c>
    </row>
    <row r="782" spans="2:5">
      <c r="B782" s="1" t="s">
        <v>25</v>
      </c>
      <c r="C782" s="1">
        <v>40179</v>
      </c>
      <c r="D782">
        <v>809317697.84000003</v>
      </c>
      <c r="E782">
        <v>9</v>
      </c>
    </row>
    <row r="783" spans="2:5">
      <c r="B783" s="1" t="s">
        <v>17</v>
      </c>
      <c r="C783" s="1">
        <v>40179</v>
      </c>
      <c r="D783">
        <v>421132970.56</v>
      </c>
      <c r="E783">
        <v>10</v>
      </c>
    </row>
    <row r="784" spans="2:5">
      <c r="B784" s="1" t="s">
        <v>11</v>
      </c>
      <c r="C784" s="1">
        <v>40210</v>
      </c>
      <c r="D784">
        <v>10182718045.91</v>
      </c>
      <c r="E784">
        <v>1</v>
      </c>
    </row>
    <row r="785" spans="2:5">
      <c r="B785" s="1" t="s">
        <v>6</v>
      </c>
      <c r="C785" s="1">
        <v>40210</v>
      </c>
      <c r="D785">
        <v>8441306507.9300003</v>
      </c>
      <c r="E785">
        <v>2</v>
      </c>
    </row>
    <row r="786" spans="2:5">
      <c r="B786" s="1" t="s">
        <v>13</v>
      </c>
      <c r="C786" s="1">
        <v>40210</v>
      </c>
      <c r="D786">
        <v>3172118257.73</v>
      </c>
      <c r="E786">
        <v>3</v>
      </c>
    </row>
    <row r="787" spans="2:5">
      <c r="B787" s="1" t="s">
        <v>19</v>
      </c>
      <c r="C787" s="1">
        <v>40210</v>
      </c>
      <c r="D787">
        <v>1937402814.29</v>
      </c>
      <c r="E787">
        <v>4</v>
      </c>
    </row>
    <row r="788" spans="2:5">
      <c r="B788" s="1" t="s">
        <v>4</v>
      </c>
      <c r="C788" s="1">
        <v>40210</v>
      </c>
      <c r="D788">
        <v>1388771757.8399999</v>
      </c>
      <c r="E788">
        <v>5</v>
      </c>
    </row>
    <row r="789" spans="2:5">
      <c r="B789" s="1" t="s">
        <v>10</v>
      </c>
      <c r="C789" s="1">
        <v>40210</v>
      </c>
      <c r="D789">
        <v>925689123.63</v>
      </c>
      <c r="E789">
        <v>6</v>
      </c>
    </row>
    <row r="790" spans="2:5">
      <c r="B790" s="1" t="s">
        <v>26</v>
      </c>
      <c r="C790" s="1">
        <v>40210</v>
      </c>
      <c r="D790">
        <v>903822744.26999998</v>
      </c>
      <c r="E790">
        <v>7</v>
      </c>
    </row>
    <row r="791" spans="2:5">
      <c r="B791" s="1" t="s">
        <v>5</v>
      </c>
      <c r="C791" s="1">
        <v>40210</v>
      </c>
      <c r="D791">
        <v>558505182.92999995</v>
      </c>
      <c r="E791">
        <v>8</v>
      </c>
    </row>
    <row r="792" spans="2:5">
      <c r="B792" s="1" t="s">
        <v>17</v>
      </c>
      <c r="C792" s="1">
        <v>40210</v>
      </c>
      <c r="D792">
        <v>497769158.43000001</v>
      </c>
      <c r="E792">
        <v>9</v>
      </c>
    </row>
    <row r="793" spans="2:5">
      <c r="B793" s="1" t="s">
        <v>28</v>
      </c>
      <c r="C793" s="1">
        <v>40210</v>
      </c>
      <c r="D793">
        <v>312877619.31</v>
      </c>
      <c r="E793">
        <v>10</v>
      </c>
    </row>
    <row r="794" spans="2:5">
      <c r="B794" s="1" t="s">
        <v>11</v>
      </c>
      <c r="C794" s="1">
        <v>40238</v>
      </c>
      <c r="D794">
        <v>10733753561.620001</v>
      </c>
      <c r="E794">
        <v>1</v>
      </c>
    </row>
    <row r="795" spans="2:5">
      <c r="B795" s="1" t="s">
        <v>6</v>
      </c>
      <c r="C795" s="1">
        <v>40238</v>
      </c>
      <c r="D795">
        <v>8684327168.7800007</v>
      </c>
      <c r="E795">
        <v>2</v>
      </c>
    </row>
    <row r="796" spans="2:5">
      <c r="B796" s="1" t="s">
        <v>13</v>
      </c>
      <c r="C796" s="1">
        <v>40238</v>
      </c>
      <c r="D796">
        <v>4898965309.4399996</v>
      </c>
      <c r="E796">
        <v>3</v>
      </c>
    </row>
    <row r="797" spans="2:5">
      <c r="B797" s="1" t="s">
        <v>19</v>
      </c>
      <c r="C797" s="1">
        <v>40238</v>
      </c>
      <c r="D797">
        <v>2201280079.0100002</v>
      </c>
      <c r="E797">
        <v>4</v>
      </c>
    </row>
    <row r="798" spans="2:5">
      <c r="B798" s="1" t="s">
        <v>4</v>
      </c>
      <c r="C798" s="1">
        <v>40238</v>
      </c>
      <c r="D798">
        <v>2201103280.3800001</v>
      </c>
      <c r="E798">
        <v>5</v>
      </c>
    </row>
    <row r="799" spans="2:5">
      <c r="B799" s="1" t="s">
        <v>26</v>
      </c>
      <c r="C799" s="1">
        <v>40238</v>
      </c>
      <c r="D799">
        <v>730114015.47000003</v>
      </c>
      <c r="E799">
        <v>6</v>
      </c>
    </row>
    <row r="800" spans="2:5">
      <c r="B800" s="1" t="s">
        <v>10</v>
      </c>
      <c r="C800" s="1">
        <v>40238</v>
      </c>
      <c r="D800">
        <v>626985782.29999995</v>
      </c>
      <c r="E800">
        <v>7</v>
      </c>
    </row>
    <row r="801" spans="2:5">
      <c r="B801" s="1" t="s">
        <v>5</v>
      </c>
      <c r="C801" s="1">
        <v>40238</v>
      </c>
      <c r="D801">
        <v>612143303.38</v>
      </c>
      <c r="E801">
        <v>8</v>
      </c>
    </row>
    <row r="802" spans="2:5">
      <c r="B802" s="1" t="s">
        <v>17</v>
      </c>
      <c r="C802" s="1">
        <v>40238</v>
      </c>
      <c r="D802">
        <v>447502320.58999997</v>
      </c>
      <c r="E802">
        <v>9</v>
      </c>
    </row>
    <row r="803" spans="2:5">
      <c r="B803" s="1" t="s">
        <v>8</v>
      </c>
      <c r="C803" s="1">
        <v>40238</v>
      </c>
      <c r="D803">
        <v>322874976.30000001</v>
      </c>
      <c r="E803">
        <v>10</v>
      </c>
    </row>
    <row r="804" spans="2:5">
      <c r="B804" s="1" t="s">
        <v>11</v>
      </c>
      <c r="C804" s="1">
        <v>40269</v>
      </c>
      <c r="D804">
        <v>8010432484.8699999</v>
      </c>
      <c r="E804">
        <v>1</v>
      </c>
    </row>
    <row r="805" spans="2:5">
      <c r="B805" s="1" t="s">
        <v>13</v>
      </c>
      <c r="C805" s="1">
        <v>40269</v>
      </c>
      <c r="D805">
        <v>7889927073.7299995</v>
      </c>
      <c r="E805">
        <v>2</v>
      </c>
    </row>
    <row r="806" spans="2:5">
      <c r="B806" s="1" t="s">
        <v>6</v>
      </c>
      <c r="C806" s="1">
        <v>40269</v>
      </c>
      <c r="D806">
        <v>6534294055.0100002</v>
      </c>
      <c r="E806">
        <v>3</v>
      </c>
    </row>
    <row r="807" spans="2:5">
      <c r="B807" s="1" t="s">
        <v>4</v>
      </c>
      <c r="C807" s="1">
        <v>40269</v>
      </c>
      <c r="D807">
        <v>1500451371.27</v>
      </c>
      <c r="E807">
        <v>4</v>
      </c>
    </row>
    <row r="808" spans="2:5">
      <c r="B808" s="1" t="s">
        <v>19</v>
      </c>
      <c r="C808" s="1">
        <v>40269</v>
      </c>
      <c r="D808">
        <v>1001151097.79</v>
      </c>
      <c r="E808">
        <v>5</v>
      </c>
    </row>
    <row r="809" spans="2:5">
      <c r="B809" s="1" t="s">
        <v>5</v>
      </c>
      <c r="C809" s="1">
        <v>40269</v>
      </c>
      <c r="D809">
        <v>642473994.00999999</v>
      </c>
      <c r="E809">
        <v>6</v>
      </c>
    </row>
    <row r="810" spans="2:5">
      <c r="B810" s="1" t="s">
        <v>10</v>
      </c>
      <c r="C810" s="1">
        <v>40269</v>
      </c>
      <c r="D810">
        <v>533160065.02999997</v>
      </c>
      <c r="E810">
        <v>7</v>
      </c>
    </row>
    <row r="811" spans="2:5">
      <c r="B811" s="1" t="s">
        <v>26</v>
      </c>
      <c r="C811" s="1">
        <v>40269</v>
      </c>
      <c r="D811">
        <v>508230714.5</v>
      </c>
      <c r="E811">
        <v>8</v>
      </c>
    </row>
    <row r="812" spans="2:5">
      <c r="B812" s="1" t="s">
        <v>17</v>
      </c>
      <c r="C812" s="1">
        <v>40269</v>
      </c>
      <c r="D812">
        <v>357183770.66000003</v>
      </c>
      <c r="E812">
        <v>9</v>
      </c>
    </row>
    <row r="813" spans="2:5">
      <c r="B813" s="1" t="s">
        <v>8</v>
      </c>
      <c r="C813" s="1">
        <v>40269</v>
      </c>
      <c r="D813">
        <v>256781804.44999999</v>
      </c>
      <c r="E813">
        <v>10</v>
      </c>
    </row>
    <row r="814" spans="2:5">
      <c r="B814" s="1" t="s">
        <v>11</v>
      </c>
      <c r="C814" s="1">
        <v>40299</v>
      </c>
      <c r="D814">
        <v>9793443604.5200005</v>
      </c>
      <c r="E814">
        <v>1</v>
      </c>
    </row>
    <row r="815" spans="2:5">
      <c r="B815" s="1" t="s">
        <v>6</v>
      </c>
      <c r="C815" s="1">
        <v>40299</v>
      </c>
      <c r="D815">
        <v>8650479347.9599991</v>
      </c>
      <c r="E815">
        <v>2</v>
      </c>
    </row>
    <row r="816" spans="2:5">
      <c r="B816" s="1" t="s">
        <v>13</v>
      </c>
      <c r="C816" s="1">
        <v>40299</v>
      </c>
      <c r="D816">
        <v>2776414384.9000001</v>
      </c>
      <c r="E816">
        <v>3</v>
      </c>
    </row>
    <row r="817" spans="2:5">
      <c r="B817" s="1" t="s">
        <v>19</v>
      </c>
      <c r="C817" s="1">
        <v>40299</v>
      </c>
      <c r="D817">
        <v>1373292642.55</v>
      </c>
      <c r="E817">
        <v>4</v>
      </c>
    </row>
    <row r="818" spans="2:5">
      <c r="B818" s="1" t="s">
        <v>4</v>
      </c>
      <c r="C818" s="1">
        <v>40299</v>
      </c>
      <c r="D818">
        <v>1262093385.0899999</v>
      </c>
      <c r="E818">
        <v>5</v>
      </c>
    </row>
    <row r="819" spans="2:5">
      <c r="B819" s="1" t="s">
        <v>26</v>
      </c>
      <c r="C819" s="1">
        <v>40299</v>
      </c>
      <c r="D819">
        <v>799912498.09000003</v>
      </c>
      <c r="E819">
        <v>6</v>
      </c>
    </row>
    <row r="820" spans="2:5">
      <c r="B820" s="1" t="s">
        <v>5</v>
      </c>
      <c r="C820" s="1">
        <v>40299</v>
      </c>
      <c r="D820">
        <v>648973588.63999999</v>
      </c>
      <c r="E820">
        <v>7</v>
      </c>
    </row>
    <row r="821" spans="2:5">
      <c r="B821" s="1" t="s">
        <v>10</v>
      </c>
      <c r="C821" s="1">
        <v>40299</v>
      </c>
      <c r="D821">
        <v>609364105.82000005</v>
      </c>
      <c r="E821">
        <v>8</v>
      </c>
    </row>
    <row r="822" spans="2:5">
      <c r="B822" s="1" t="s">
        <v>17</v>
      </c>
      <c r="C822" s="1">
        <v>40299</v>
      </c>
      <c r="D822">
        <v>374451577.42000002</v>
      </c>
      <c r="E822">
        <v>9</v>
      </c>
    </row>
    <row r="823" spans="2:5">
      <c r="B823" s="1" t="s">
        <v>30</v>
      </c>
      <c r="C823" s="1">
        <v>40299</v>
      </c>
      <c r="D823">
        <v>320595795.07999998</v>
      </c>
      <c r="E823">
        <v>10</v>
      </c>
    </row>
    <row r="824" spans="2:5">
      <c r="B824" s="1" t="s">
        <v>11</v>
      </c>
      <c r="C824" s="1">
        <v>40330</v>
      </c>
      <c r="D824">
        <v>8799294787.6299992</v>
      </c>
      <c r="E824">
        <v>1</v>
      </c>
    </row>
    <row r="825" spans="2:5">
      <c r="B825" s="1" t="s">
        <v>6</v>
      </c>
      <c r="C825" s="1">
        <v>40330</v>
      </c>
      <c r="D825">
        <v>8154661116.96</v>
      </c>
      <c r="E825">
        <v>2</v>
      </c>
    </row>
    <row r="826" spans="2:5">
      <c r="B826" s="1" t="s">
        <v>13</v>
      </c>
      <c r="C826" s="1">
        <v>40330</v>
      </c>
      <c r="D826">
        <v>3622024666.25</v>
      </c>
      <c r="E826">
        <v>3</v>
      </c>
    </row>
    <row r="827" spans="2:5">
      <c r="B827" s="1" t="s">
        <v>19</v>
      </c>
      <c r="C827" s="1">
        <v>40330</v>
      </c>
      <c r="D827">
        <v>1375076321.3399999</v>
      </c>
      <c r="E827">
        <v>4</v>
      </c>
    </row>
    <row r="828" spans="2:5">
      <c r="B828" s="1" t="s">
        <v>4</v>
      </c>
      <c r="C828" s="1">
        <v>40330</v>
      </c>
      <c r="D828">
        <v>1173346276.5699999</v>
      </c>
      <c r="E828">
        <v>5</v>
      </c>
    </row>
    <row r="829" spans="2:5">
      <c r="B829" s="1" t="s">
        <v>5</v>
      </c>
      <c r="C829" s="1">
        <v>40330</v>
      </c>
      <c r="D829">
        <v>917979863.50999999</v>
      </c>
      <c r="E829">
        <v>6</v>
      </c>
    </row>
    <row r="830" spans="2:5">
      <c r="B830" s="1" t="s">
        <v>26</v>
      </c>
      <c r="C830" s="1">
        <v>40330</v>
      </c>
      <c r="D830">
        <v>851895011.08000004</v>
      </c>
      <c r="E830">
        <v>7</v>
      </c>
    </row>
    <row r="831" spans="2:5">
      <c r="B831" s="1" t="s">
        <v>10</v>
      </c>
      <c r="C831" s="1">
        <v>40330</v>
      </c>
      <c r="D831">
        <v>748753735.46000004</v>
      </c>
      <c r="E831">
        <v>8</v>
      </c>
    </row>
    <row r="832" spans="2:5">
      <c r="B832" s="1" t="s">
        <v>30</v>
      </c>
      <c r="C832" s="1">
        <v>40330</v>
      </c>
      <c r="D832">
        <v>326270703.69999999</v>
      </c>
      <c r="E832">
        <v>9</v>
      </c>
    </row>
    <row r="833" spans="2:5">
      <c r="B833" s="1" t="s">
        <v>16</v>
      </c>
      <c r="C833" s="1">
        <v>40330</v>
      </c>
      <c r="D833">
        <v>254275737.40000001</v>
      </c>
      <c r="E833">
        <v>10</v>
      </c>
    </row>
    <row r="834" spans="2:5">
      <c r="B834" s="1" t="s">
        <v>11</v>
      </c>
      <c r="C834" s="1">
        <v>40360</v>
      </c>
      <c r="D834">
        <v>7934970468.3800001</v>
      </c>
      <c r="E834">
        <v>1</v>
      </c>
    </row>
    <row r="835" spans="2:5">
      <c r="B835" s="1" t="s">
        <v>6</v>
      </c>
      <c r="C835" s="1">
        <v>40360</v>
      </c>
      <c r="D835">
        <v>7241081757.5200005</v>
      </c>
      <c r="E835">
        <v>2</v>
      </c>
    </row>
    <row r="836" spans="2:5">
      <c r="B836" s="1" t="s">
        <v>13</v>
      </c>
      <c r="C836" s="1">
        <v>40360</v>
      </c>
      <c r="D836">
        <v>5027427171.6099997</v>
      </c>
      <c r="E836">
        <v>3</v>
      </c>
    </row>
    <row r="837" spans="2:5">
      <c r="B837" s="1" t="s">
        <v>19</v>
      </c>
      <c r="C837" s="1">
        <v>40360</v>
      </c>
      <c r="D837">
        <v>1866229299.05</v>
      </c>
      <c r="E837">
        <v>4</v>
      </c>
    </row>
    <row r="838" spans="2:5">
      <c r="B838" s="1" t="s">
        <v>4</v>
      </c>
      <c r="C838" s="1">
        <v>40360</v>
      </c>
      <c r="D838">
        <v>1266197047.0799999</v>
      </c>
      <c r="E838">
        <v>5</v>
      </c>
    </row>
    <row r="839" spans="2:5">
      <c r="B839" s="1" t="s">
        <v>5</v>
      </c>
      <c r="C839" s="1">
        <v>40360</v>
      </c>
      <c r="D839">
        <v>944390561.76999998</v>
      </c>
      <c r="E839">
        <v>6</v>
      </c>
    </row>
    <row r="840" spans="2:5">
      <c r="B840" s="1" t="s">
        <v>10</v>
      </c>
      <c r="C840" s="1">
        <v>40360</v>
      </c>
      <c r="D840">
        <v>918705846.91999996</v>
      </c>
      <c r="E840">
        <v>7</v>
      </c>
    </row>
    <row r="841" spans="2:5">
      <c r="B841" s="1" t="s">
        <v>26</v>
      </c>
      <c r="C841" s="1">
        <v>40360</v>
      </c>
      <c r="D841">
        <v>775601724.25999999</v>
      </c>
      <c r="E841">
        <v>8</v>
      </c>
    </row>
    <row r="842" spans="2:5">
      <c r="B842" s="1" t="s">
        <v>30</v>
      </c>
      <c r="C842" s="1">
        <v>40360</v>
      </c>
      <c r="D842">
        <v>300443074.45999998</v>
      </c>
      <c r="E842">
        <v>9</v>
      </c>
    </row>
    <row r="843" spans="2:5">
      <c r="B843" s="1" t="s">
        <v>17</v>
      </c>
      <c r="C843" s="1">
        <v>40360</v>
      </c>
      <c r="D843">
        <v>245275653.34</v>
      </c>
      <c r="E843">
        <v>10</v>
      </c>
    </row>
    <row r="844" spans="2:5">
      <c r="B844" s="1" t="s">
        <v>11</v>
      </c>
      <c r="C844" s="1">
        <v>40391</v>
      </c>
      <c r="D844">
        <v>8650842881.4500008</v>
      </c>
      <c r="E844">
        <v>1</v>
      </c>
    </row>
    <row r="845" spans="2:5">
      <c r="B845" s="1" t="s">
        <v>6</v>
      </c>
      <c r="C845" s="1">
        <v>40391</v>
      </c>
      <c r="D845">
        <v>6535117770.4499998</v>
      </c>
      <c r="E845">
        <v>2</v>
      </c>
    </row>
    <row r="846" spans="2:5">
      <c r="B846" s="1" t="s">
        <v>13</v>
      </c>
      <c r="C846" s="1">
        <v>40391</v>
      </c>
      <c r="D846">
        <v>5545327746.9499998</v>
      </c>
      <c r="E846">
        <v>3</v>
      </c>
    </row>
    <row r="847" spans="2:5">
      <c r="B847" s="1" t="s">
        <v>19</v>
      </c>
      <c r="C847" s="1">
        <v>40391</v>
      </c>
      <c r="D847">
        <v>2503047050.4899998</v>
      </c>
      <c r="E847">
        <v>4</v>
      </c>
    </row>
    <row r="848" spans="2:5">
      <c r="B848" s="1" t="s">
        <v>4</v>
      </c>
      <c r="C848" s="1">
        <v>40391</v>
      </c>
      <c r="D848">
        <v>1427424064.8599999</v>
      </c>
      <c r="E848">
        <v>5</v>
      </c>
    </row>
    <row r="849" spans="2:5">
      <c r="B849" s="1" t="s">
        <v>5</v>
      </c>
      <c r="C849" s="1">
        <v>40391</v>
      </c>
      <c r="D849">
        <v>932411839.5</v>
      </c>
      <c r="E849">
        <v>6</v>
      </c>
    </row>
    <row r="850" spans="2:5">
      <c r="B850" s="1" t="s">
        <v>26</v>
      </c>
      <c r="C850" s="1">
        <v>40391</v>
      </c>
      <c r="D850">
        <v>649866638.75999999</v>
      </c>
      <c r="E850">
        <v>7</v>
      </c>
    </row>
    <row r="851" spans="2:5">
      <c r="B851" s="1" t="s">
        <v>10</v>
      </c>
      <c r="C851" s="1">
        <v>40391</v>
      </c>
      <c r="D851">
        <v>619739523.94000006</v>
      </c>
      <c r="E851">
        <v>8</v>
      </c>
    </row>
    <row r="852" spans="2:5">
      <c r="B852" s="1" t="s">
        <v>30</v>
      </c>
      <c r="C852" s="1">
        <v>40391</v>
      </c>
      <c r="D852">
        <v>480853769.99000001</v>
      </c>
      <c r="E852">
        <v>9</v>
      </c>
    </row>
    <row r="853" spans="2:5">
      <c r="B853" s="1" t="s">
        <v>28</v>
      </c>
      <c r="C853" s="1">
        <v>40391</v>
      </c>
      <c r="D853">
        <v>264978699.94999999</v>
      </c>
      <c r="E853">
        <v>10</v>
      </c>
    </row>
    <row r="854" spans="2:5">
      <c r="B854" s="1" t="s">
        <v>11</v>
      </c>
      <c r="C854" s="1">
        <v>40422</v>
      </c>
      <c r="D854">
        <v>10264966285.639999</v>
      </c>
      <c r="E854">
        <v>1</v>
      </c>
    </row>
    <row r="855" spans="2:5">
      <c r="B855" s="1" t="s">
        <v>6</v>
      </c>
      <c r="C855" s="1">
        <v>40422</v>
      </c>
      <c r="D855">
        <v>6666240706.8299999</v>
      </c>
      <c r="E855">
        <v>2</v>
      </c>
    </row>
    <row r="856" spans="2:5">
      <c r="B856" s="1" t="s">
        <v>19</v>
      </c>
      <c r="C856" s="1">
        <v>40422</v>
      </c>
      <c r="D856">
        <v>2676228021.5100002</v>
      </c>
      <c r="E856">
        <v>3</v>
      </c>
    </row>
    <row r="857" spans="2:5">
      <c r="B857" s="1" t="s">
        <v>4</v>
      </c>
      <c r="C857" s="1">
        <v>40422</v>
      </c>
      <c r="D857">
        <v>2621195325.3299999</v>
      </c>
      <c r="E857">
        <v>4</v>
      </c>
    </row>
    <row r="858" spans="2:5">
      <c r="B858" s="1" t="s">
        <v>13</v>
      </c>
      <c r="C858" s="1">
        <v>40422</v>
      </c>
      <c r="D858">
        <v>2455237346.6399999</v>
      </c>
      <c r="E858">
        <v>5</v>
      </c>
    </row>
    <row r="859" spans="2:5">
      <c r="B859" s="1" t="s">
        <v>10</v>
      </c>
      <c r="C859" s="1">
        <v>40422</v>
      </c>
      <c r="D859">
        <v>1433781043.1500001</v>
      </c>
      <c r="E859">
        <v>6</v>
      </c>
    </row>
    <row r="860" spans="2:5">
      <c r="B860" s="1" t="s">
        <v>5</v>
      </c>
      <c r="C860" s="1">
        <v>40422</v>
      </c>
      <c r="D860">
        <v>1342708519.8399999</v>
      </c>
      <c r="E860">
        <v>7</v>
      </c>
    </row>
    <row r="861" spans="2:5">
      <c r="B861" s="1" t="s">
        <v>26</v>
      </c>
      <c r="C861" s="1">
        <v>40422</v>
      </c>
      <c r="D861">
        <v>1023917028.28</v>
      </c>
      <c r="E861">
        <v>8</v>
      </c>
    </row>
    <row r="862" spans="2:5">
      <c r="B862" s="1" t="s">
        <v>31</v>
      </c>
      <c r="C862" s="1">
        <v>40422</v>
      </c>
      <c r="D862">
        <v>593439306.13</v>
      </c>
      <c r="E862">
        <v>9</v>
      </c>
    </row>
    <row r="863" spans="2:5">
      <c r="B863" s="1" t="s">
        <v>30</v>
      </c>
      <c r="C863" s="1">
        <v>40422</v>
      </c>
      <c r="D863">
        <v>539726270.10000002</v>
      </c>
      <c r="E863">
        <v>10</v>
      </c>
    </row>
    <row r="864" spans="2:5">
      <c r="B864" s="1" t="s">
        <v>13</v>
      </c>
      <c r="C864" s="1">
        <v>40452</v>
      </c>
      <c r="D864">
        <v>12567511433.07</v>
      </c>
      <c r="E864">
        <v>1</v>
      </c>
    </row>
    <row r="865" spans="2:5">
      <c r="B865" s="1" t="s">
        <v>11</v>
      </c>
      <c r="C865" s="1">
        <v>40452</v>
      </c>
      <c r="D865">
        <v>12423016925.08</v>
      </c>
      <c r="E865">
        <v>2</v>
      </c>
    </row>
    <row r="866" spans="2:5">
      <c r="B866" s="1" t="s">
        <v>6</v>
      </c>
      <c r="C866" s="1">
        <v>40452</v>
      </c>
      <c r="D866">
        <v>8770914673.4699993</v>
      </c>
      <c r="E866">
        <v>3</v>
      </c>
    </row>
    <row r="867" spans="2:5">
      <c r="B867" s="1" t="s">
        <v>4</v>
      </c>
      <c r="C867" s="1">
        <v>40452</v>
      </c>
      <c r="D867">
        <v>4455208312.8599997</v>
      </c>
      <c r="E867">
        <v>4</v>
      </c>
    </row>
    <row r="868" spans="2:5">
      <c r="B868" s="1" t="s">
        <v>19</v>
      </c>
      <c r="C868" s="1">
        <v>40452</v>
      </c>
      <c r="D868">
        <v>3628017416.1300001</v>
      </c>
      <c r="E868">
        <v>5</v>
      </c>
    </row>
    <row r="869" spans="2:5">
      <c r="B869" s="1" t="s">
        <v>10</v>
      </c>
      <c r="C869" s="1">
        <v>40452</v>
      </c>
      <c r="D869">
        <v>2078576416.8699999</v>
      </c>
      <c r="E869">
        <v>6</v>
      </c>
    </row>
    <row r="870" spans="2:5">
      <c r="B870" s="1" t="s">
        <v>5</v>
      </c>
      <c r="C870" s="1">
        <v>40452</v>
      </c>
      <c r="D870">
        <v>1723198955.49</v>
      </c>
      <c r="E870">
        <v>7</v>
      </c>
    </row>
    <row r="871" spans="2:5">
      <c r="B871" s="1" t="s">
        <v>26</v>
      </c>
      <c r="C871" s="1">
        <v>40452</v>
      </c>
      <c r="D871">
        <v>1111899953.1300001</v>
      </c>
      <c r="E871">
        <v>8</v>
      </c>
    </row>
    <row r="872" spans="2:5">
      <c r="B872" s="1" t="s">
        <v>30</v>
      </c>
      <c r="C872" s="1">
        <v>40452</v>
      </c>
      <c r="D872">
        <v>963061126.65999997</v>
      </c>
      <c r="E872">
        <v>9</v>
      </c>
    </row>
    <row r="873" spans="2:5">
      <c r="B873" s="1" t="s">
        <v>32</v>
      </c>
      <c r="C873" s="1">
        <v>40452</v>
      </c>
      <c r="D873">
        <v>832572474.64999998</v>
      </c>
      <c r="E873">
        <v>10</v>
      </c>
    </row>
    <row r="874" spans="2:5">
      <c r="B874" s="1" t="s">
        <v>11</v>
      </c>
      <c r="C874" s="1">
        <v>40483</v>
      </c>
      <c r="D874">
        <v>13640971298.67</v>
      </c>
      <c r="E874">
        <v>1</v>
      </c>
    </row>
    <row r="875" spans="2:5">
      <c r="B875" s="1" t="s">
        <v>6</v>
      </c>
      <c r="C875" s="1">
        <v>40483</v>
      </c>
      <c r="D875">
        <v>7047136981.0299997</v>
      </c>
      <c r="E875">
        <v>2</v>
      </c>
    </row>
    <row r="876" spans="2:5">
      <c r="B876" s="1" t="s">
        <v>13</v>
      </c>
      <c r="C876" s="1">
        <v>40483</v>
      </c>
      <c r="D876">
        <v>7014707935.25</v>
      </c>
      <c r="E876">
        <v>3</v>
      </c>
    </row>
    <row r="877" spans="2:5">
      <c r="B877" s="1" t="s">
        <v>19</v>
      </c>
      <c r="C877" s="1">
        <v>40483</v>
      </c>
      <c r="D877">
        <v>4793824904.6700001</v>
      </c>
      <c r="E877">
        <v>4</v>
      </c>
    </row>
    <row r="878" spans="2:5">
      <c r="B878" s="1" t="s">
        <v>4</v>
      </c>
      <c r="C878" s="1">
        <v>40483</v>
      </c>
      <c r="D878">
        <v>4517989951.6300001</v>
      </c>
      <c r="E878">
        <v>5</v>
      </c>
    </row>
    <row r="879" spans="2:5">
      <c r="B879" s="1" t="s">
        <v>5</v>
      </c>
      <c r="C879" s="1">
        <v>40483</v>
      </c>
      <c r="D879">
        <v>1750513489.3299999</v>
      </c>
      <c r="E879">
        <v>6</v>
      </c>
    </row>
    <row r="880" spans="2:5">
      <c r="B880" s="1" t="s">
        <v>10</v>
      </c>
      <c r="C880" s="1">
        <v>40483</v>
      </c>
      <c r="D880">
        <v>1581926551.48</v>
      </c>
      <c r="E880">
        <v>7</v>
      </c>
    </row>
    <row r="881" spans="2:5">
      <c r="B881" s="1" t="s">
        <v>26</v>
      </c>
      <c r="C881" s="1">
        <v>40483</v>
      </c>
      <c r="D881">
        <v>1232242691.3499999</v>
      </c>
      <c r="E881">
        <v>8</v>
      </c>
    </row>
    <row r="882" spans="2:5">
      <c r="B882" s="1" t="s">
        <v>32</v>
      </c>
      <c r="C882" s="1">
        <v>40483</v>
      </c>
      <c r="D882">
        <v>982787840.32000005</v>
      </c>
      <c r="E882">
        <v>9</v>
      </c>
    </row>
    <row r="883" spans="2:5">
      <c r="B883" s="1" t="s">
        <v>30</v>
      </c>
      <c r="C883" s="1">
        <v>40483</v>
      </c>
      <c r="D883">
        <v>817765201.26999998</v>
      </c>
      <c r="E883">
        <v>10</v>
      </c>
    </row>
    <row r="884" spans="2:5">
      <c r="B884" s="1" t="s">
        <v>11</v>
      </c>
      <c r="C884" s="1">
        <v>40513</v>
      </c>
      <c r="D884">
        <v>12770630060.530001</v>
      </c>
      <c r="E884">
        <v>1</v>
      </c>
    </row>
    <row r="885" spans="2:5">
      <c r="B885" s="1" t="s">
        <v>6</v>
      </c>
      <c r="C885" s="1">
        <v>40513</v>
      </c>
      <c r="D885">
        <v>8048055292.0600004</v>
      </c>
      <c r="E885">
        <v>2</v>
      </c>
    </row>
    <row r="886" spans="2:5">
      <c r="B886" s="1" t="s">
        <v>13</v>
      </c>
      <c r="C886" s="1">
        <v>40513</v>
      </c>
      <c r="D886">
        <v>5641916957.5299997</v>
      </c>
      <c r="E886">
        <v>3</v>
      </c>
    </row>
    <row r="887" spans="2:5">
      <c r="B887" s="1" t="s">
        <v>19</v>
      </c>
      <c r="C887" s="1">
        <v>40513</v>
      </c>
      <c r="D887">
        <v>4603146722.4499998</v>
      </c>
      <c r="E887">
        <v>4</v>
      </c>
    </row>
    <row r="888" spans="2:5">
      <c r="B888" s="1" t="s">
        <v>4</v>
      </c>
      <c r="C888" s="1">
        <v>40513</v>
      </c>
      <c r="D888">
        <v>3992411406.73</v>
      </c>
      <c r="E888">
        <v>5</v>
      </c>
    </row>
    <row r="889" spans="2:5">
      <c r="B889" s="1" t="s">
        <v>5</v>
      </c>
      <c r="C889" s="1">
        <v>40513</v>
      </c>
      <c r="D889">
        <v>2184526963.1799998</v>
      </c>
      <c r="E889">
        <v>6</v>
      </c>
    </row>
    <row r="890" spans="2:5">
      <c r="B890" s="1" t="s">
        <v>32</v>
      </c>
      <c r="C890" s="1">
        <v>40513</v>
      </c>
      <c r="D890">
        <v>1748243152.5</v>
      </c>
      <c r="E890">
        <v>7</v>
      </c>
    </row>
    <row r="891" spans="2:5">
      <c r="B891" s="1" t="s">
        <v>10</v>
      </c>
      <c r="C891" s="1">
        <v>40513</v>
      </c>
      <c r="D891">
        <v>1648670960.6600001</v>
      </c>
      <c r="E891">
        <v>8</v>
      </c>
    </row>
    <row r="892" spans="2:5">
      <c r="B892" s="1" t="s">
        <v>26</v>
      </c>
      <c r="C892" s="1">
        <v>40513</v>
      </c>
      <c r="D892">
        <v>1577607632.71</v>
      </c>
      <c r="E892">
        <v>9</v>
      </c>
    </row>
    <row r="893" spans="2:5">
      <c r="B893" s="1" t="s">
        <v>36</v>
      </c>
      <c r="C893" s="1">
        <v>40513</v>
      </c>
      <c r="D893">
        <v>1033949121.67</v>
      </c>
      <c r="E893">
        <v>10</v>
      </c>
    </row>
    <row r="894" spans="2:5">
      <c r="B894" s="1" t="s">
        <v>11</v>
      </c>
      <c r="C894" s="1">
        <v>40544</v>
      </c>
      <c r="D894">
        <v>14069204024.26</v>
      </c>
      <c r="E894">
        <v>1</v>
      </c>
    </row>
    <row r="895" spans="2:5">
      <c r="B895" s="1" t="s">
        <v>13</v>
      </c>
      <c r="C895" s="1">
        <v>40544</v>
      </c>
      <c r="D895">
        <v>13133524612.870001</v>
      </c>
      <c r="E895">
        <v>2</v>
      </c>
    </row>
    <row r="896" spans="2:5">
      <c r="B896" s="1" t="s">
        <v>6</v>
      </c>
      <c r="C896" s="1">
        <v>40544</v>
      </c>
      <c r="D896">
        <v>11641848064.200001</v>
      </c>
      <c r="E896">
        <v>3</v>
      </c>
    </row>
    <row r="897" spans="2:5">
      <c r="B897" s="1" t="s">
        <v>4</v>
      </c>
      <c r="C897" s="1">
        <v>40544</v>
      </c>
      <c r="D897">
        <v>4429306561.8699999</v>
      </c>
      <c r="E897">
        <v>4</v>
      </c>
    </row>
    <row r="898" spans="2:5">
      <c r="B898" s="1" t="s">
        <v>19</v>
      </c>
      <c r="C898" s="1">
        <v>40544</v>
      </c>
      <c r="D898">
        <v>4060874385.6599998</v>
      </c>
      <c r="E898">
        <v>5</v>
      </c>
    </row>
    <row r="899" spans="2:5">
      <c r="B899" s="1" t="s">
        <v>26</v>
      </c>
      <c r="C899" s="1">
        <v>40544</v>
      </c>
      <c r="D899">
        <v>1801951078.1099999</v>
      </c>
      <c r="E899">
        <v>6</v>
      </c>
    </row>
    <row r="900" spans="2:5">
      <c r="B900" s="1" t="s">
        <v>10</v>
      </c>
      <c r="C900" s="1">
        <v>40544</v>
      </c>
      <c r="D900">
        <v>1782436481.8499999</v>
      </c>
      <c r="E900">
        <v>7</v>
      </c>
    </row>
    <row r="901" spans="2:5">
      <c r="B901" s="1" t="s">
        <v>5</v>
      </c>
      <c r="C901" s="1">
        <v>40544</v>
      </c>
      <c r="D901">
        <v>1208344418.1800001</v>
      </c>
      <c r="E901">
        <v>8</v>
      </c>
    </row>
    <row r="902" spans="2:5">
      <c r="B902" s="1" t="s">
        <v>32</v>
      </c>
      <c r="C902" s="1">
        <v>40544</v>
      </c>
      <c r="D902">
        <v>653806389.21000004</v>
      </c>
      <c r="E902">
        <v>9</v>
      </c>
    </row>
    <row r="903" spans="2:5">
      <c r="B903" s="1" t="s">
        <v>30</v>
      </c>
      <c r="C903" s="1">
        <v>40544</v>
      </c>
      <c r="D903">
        <v>572032112.40999997</v>
      </c>
      <c r="E903">
        <v>10</v>
      </c>
    </row>
    <row r="904" spans="2:5">
      <c r="B904" s="1" t="s">
        <v>11</v>
      </c>
      <c r="C904" s="1">
        <v>40575</v>
      </c>
      <c r="D904">
        <v>14638512908.190001</v>
      </c>
      <c r="E904">
        <v>1</v>
      </c>
    </row>
    <row r="905" spans="2:5">
      <c r="B905" s="1" t="s">
        <v>6</v>
      </c>
      <c r="C905" s="1">
        <v>40575</v>
      </c>
      <c r="D905">
        <v>10027787623.24</v>
      </c>
      <c r="E905">
        <v>2</v>
      </c>
    </row>
    <row r="906" spans="2:5">
      <c r="B906" s="1" t="s">
        <v>13</v>
      </c>
      <c r="C906" s="1">
        <v>40575</v>
      </c>
      <c r="D906">
        <v>5437253796.8900003</v>
      </c>
      <c r="E906">
        <v>3</v>
      </c>
    </row>
    <row r="907" spans="2:5">
      <c r="B907" s="1" t="s">
        <v>4</v>
      </c>
      <c r="C907" s="1">
        <v>40575</v>
      </c>
      <c r="D907">
        <v>4234558632.6799998</v>
      </c>
      <c r="E907">
        <v>4</v>
      </c>
    </row>
    <row r="908" spans="2:5">
      <c r="B908" s="1" t="s">
        <v>19</v>
      </c>
      <c r="C908" s="1">
        <v>40575</v>
      </c>
      <c r="D908">
        <v>3530173574.9400001</v>
      </c>
      <c r="E908">
        <v>5</v>
      </c>
    </row>
    <row r="909" spans="2:5">
      <c r="B909" s="1" t="s">
        <v>5</v>
      </c>
      <c r="C909" s="1">
        <v>40575</v>
      </c>
      <c r="D909">
        <v>2434118122.3600001</v>
      </c>
      <c r="E909">
        <v>6</v>
      </c>
    </row>
    <row r="910" spans="2:5">
      <c r="B910" s="1" t="s">
        <v>10</v>
      </c>
      <c r="C910" s="1">
        <v>40575</v>
      </c>
      <c r="D910">
        <v>1648672345.8699999</v>
      </c>
      <c r="E910">
        <v>7</v>
      </c>
    </row>
    <row r="911" spans="2:5">
      <c r="B911" s="1" t="s">
        <v>26</v>
      </c>
      <c r="C911" s="1">
        <v>40575</v>
      </c>
      <c r="D911">
        <v>1548157269.8499999</v>
      </c>
      <c r="E911">
        <v>8</v>
      </c>
    </row>
    <row r="912" spans="2:5">
      <c r="B912" s="1" t="s">
        <v>30</v>
      </c>
      <c r="C912" s="1">
        <v>40575</v>
      </c>
      <c r="D912">
        <v>717011195.69000006</v>
      </c>
      <c r="E912">
        <v>9</v>
      </c>
    </row>
    <row r="913" spans="2:5">
      <c r="B913" s="1" t="s">
        <v>16</v>
      </c>
      <c r="C913" s="1">
        <v>40575</v>
      </c>
      <c r="D913">
        <v>637830697.74000001</v>
      </c>
      <c r="E913">
        <v>10</v>
      </c>
    </row>
    <row r="914" spans="2:5">
      <c r="B914" s="1" t="s">
        <v>11</v>
      </c>
      <c r="C914" s="1">
        <v>40603</v>
      </c>
      <c r="D914">
        <v>12508600905.84</v>
      </c>
      <c r="E914">
        <v>1</v>
      </c>
    </row>
    <row r="915" spans="2:5">
      <c r="B915" s="1" t="s">
        <v>6</v>
      </c>
      <c r="C915" s="1">
        <v>40603</v>
      </c>
      <c r="D915">
        <v>9499450974.0100002</v>
      </c>
      <c r="E915">
        <v>2</v>
      </c>
    </row>
    <row r="916" spans="2:5">
      <c r="B916" s="1" t="s">
        <v>13</v>
      </c>
      <c r="C916" s="1">
        <v>40603</v>
      </c>
      <c r="D916">
        <v>4252809613.1300001</v>
      </c>
      <c r="E916">
        <v>3</v>
      </c>
    </row>
    <row r="917" spans="2:5">
      <c r="B917" s="1" t="s">
        <v>4</v>
      </c>
      <c r="C917" s="1">
        <v>40603</v>
      </c>
      <c r="D917">
        <v>2430640972.3499999</v>
      </c>
      <c r="E917">
        <v>4</v>
      </c>
    </row>
    <row r="918" spans="2:5">
      <c r="B918" s="1" t="s">
        <v>5</v>
      </c>
      <c r="C918" s="1">
        <v>40603</v>
      </c>
      <c r="D918">
        <v>2155592538.1999998</v>
      </c>
      <c r="E918">
        <v>5</v>
      </c>
    </row>
    <row r="919" spans="2:5">
      <c r="B919" s="1" t="s">
        <v>19</v>
      </c>
      <c r="C919" s="1">
        <v>40603</v>
      </c>
      <c r="D919">
        <v>1915347141.49</v>
      </c>
      <c r="E919">
        <v>6</v>
      </c>
    </row>
    <row r="920" spans="2:5">
      <c r="B920" s="1" t="s">
        <v>26</v>
      </c>
      <c r="C920" s="1">
        <v>40603</v>
      </c>
      <c r="D920">
        <v>1243211245.6800001</v>
      </c>
      <c r="E920">
        <v>7</v>
      </c>
    </row>
    <row r="921" spans="2:5">
      <c r="B921" s="1" t="s">
        <v>10</v>
      </c>
      <c r="C921" s="1">
        <v>40603</v>
      </c>
      <c r="D921">
        <v>853570632.77999997</v>
      </c>
      <c r="E921">
        <v>8</v>
      </c>
    </row>
    <row r="922" spans="2:5">
      <c r="B922" s="1" t="s">
        <v>16</v>
      </c>
      <c r="C922" s="1">
        <v>40603</v>
      </c>
      <c r="D922">
        <v>531626540.47000003</v>
      </c>
      <c r="E922">
        <v>9</v>
      </c>
    </row>
    <row r="923" spans="2:5">
      <c r="B923" s="1" t="s">
        <v>8</v>
      </c>
      <c r="C923" s="1">
        <v>40603</v>
      </c>
      <c r="D923">
        <v>439424127.80000001</v>
      </c>
      <c r="E923">
        <v>10</v>
      </c>
    </row>
    <row r="924" spans="2:5">
      <c r="B924" s="1" t="s">
        <v>13</v>
      </c>
      <c r="C924" s="1">
        <v>40634</v>
      </c>
      <c r="D924">
        <v>9375011832.8899994</v>
      </c>
      <c r="E924">
        <v>1</v>
      </c>
    </row>
    <row r="925" spans="2:5">
      <c r="B925" s="1" t="s">
        <v>11</v>
      </c>
      <c r="C925" s="1">
        <v>40634</v>
      </c>
      <c r="D925">
        <v>9367773473.6599998</v>
      </c>
      <c r="E925">
        <v>2</v>
      </c>
    </row>
    <row r="926" spans="2:5">
      <c r="B926" s="1" t="s">
        <v>6</v>
      </c>
      <c r="C926" s="1">
        <v>40634</v>
      </c>
      <c r="D926">
        <v>8533421708.3199997</v>
      </c>
      <c r="E926">
        <v>3</v>
      </c>
    </row>
    <row r="927" spans="2:5">
      <c r="B927" s="1" t="s">
        <v>4</v>
      </c>
      <c r="C927" s="1">
        <v>40634</v>
      </c>
      <c r="D927">
        <v>2598991988.1199999</v>
      </c>
      <c r="E927">
        <v>4</v>
      </c>
    </row>
    <row r="928" spans="2:5">
      <c r="B928" s="1" t="s">
        <v>5</v>
      </c>
      <c r="C928" s="1">
        <v>40634</v>
      </c>
      <c r="D928">
        <v>2120752517.71</v>
      </c>
      <c r="E928">
        <v>5</v>
      </c>
    </row>
    <row r="929" spans="2:5">
      <c r="B929" s="1" t="s">
        <v>19</v>
      </c>
      <c r="C929" s="1">
        <v>40634</v>
      </c>
      <c r="D929">
        <v>2106788705.9200001</v>
      </c>
      <c r="E929">
        <v>6</v>
      </c>
    </row>
    <row r="930" spans="2:5">
      <c r="B930" s="1" t="s">
        <v>26</v>
      </c>
      <c r="C930" s="1">
        <v>40634</v>
      </c>
      <c r="D930">
        <v>1176664421.78</v>
      </c>
      <c r="E930">
        <v>7</v>
      </c>
    </row>
    <row r="931" spans="2:5">
      <c r="B931" s="1" t="s">
        <v>10</v>
      </c>
      <c r="C931" s="1">
        <v>40634</v>
      </c>
      <c r="D931">
        <v>734868464.33000004</v>
      </c>
      <c r="E931">
        <v>8</v>
      </c>
    </row>
    <row r="932" spans="2:5">
      <c r="B932" s="1" t="s">
        <v>16</v>
      </c>
      <c r="C932" s="1">
        <v>40634</v>
      </c>
      <c r="D932">
        <v>569714776.50999999</v>
      </c>
      <c r="E932">
        <v>9</v>
      </c>
    </row>
    <row r="933" spans="2:5">
      <c r="B933" s="1" t="s">
        <v>17</v>
      </c>
      <c r="C933" s="1">
        <v>40634</v>
      </c>
      <c r="D933">
        <v>300779235.80000001</v>
      </c>
      <c r="E933">
        <v>10</v>
      </c>
    </row>
    <row r="934" spans="2:5">
      <c r="B934" s="1" t="s">
        <v>11</v>
      </c>
      <c r="C934" s="1">
        <v>40664</v>
      </c>
      <c r="D934">
        <v>7263200622.4200001</v>
      </c>
      <c r="E934">
        <v>1</v>
      </c>
    </row>
    <row r="935" spans="2:5">
      <c r="B935" s="1" t="s">
        <v>6</v>
      </c>
      <c r="C935" s="1">
        <v>40664</v>
      </c>
      <c r="D935">
        <v>4713078509.5699997</v>
      </c>
      <c r="E935">
        <v>2</v>
      </c>
    </row>
    <row r="936" spans="2:5">
      <c r="B936" s="1" t="s">
        <v>13</v>
      </c>
      <c r="C936" s="1">
        <v>40664</v>
      </c>
      <c r="D936">
        <v>3745951222.4499998</v>
      </c>
      <c r="E936">
        <v>3</v>
      </c>
    </row>
    <row r="937" spans="2:5">
      <c r="B937" s="1" t="s">
        <v>4</v>
      </c>
      <c r="C937" s="1">
        <v>40664</v>
      </c>
      <c r="D937">
        <v>2054389741.1600001</v>
      </c>
      <c r="E937">
        <v>4</v>
      </c>
    </row>
    <row r="938" spans="2:5">
      <c r="B938" s="1" t="s">
        <v>19</v>
      </c>
      <c r="C938" s="1">
        <v>40664</v>
      </c>
      <c r="D938">
        <v>1108476066.48</v>
      </c>
      <c r="E938">
        <v>5</v>
      </c>
    </row>
    <row r="939" spans="2:5">
      <c r="B939" s="1" t="s">
        <v>10</v>
      </c>
      <c r="C939" s="1">
        <v>40664</v>
      </c>
      <c r="D939">
        <v>809370651.20000005</v>
      </c>
      <c r="E939">
        <v>6</v>
      </c>
    </row>
    <row r="940" spans="2:5">
      <c r="B940" s="1" t="s">
        <v>26</v>
      </c>
      <c r="C940" s="1">
        <v>40664</v>
      </c>
      <c r="D940">
        <v>670283683.65999997</v>
      </c>
      <c r="E940">
        <v>7</v>
      </c>
    </row>
    <row r="941" spans="2:5">
      <c r="B941" s="1" t="s">
        <v>16</v>
      </c>
      <c r="C941" s="1">
        <v>40664</v>
      </c>
      <c r="D941">
        <v>551538786.36000001</v>
      </c>
      <c r="E941">
        <v>8</v>
      </c>
    </row>
    <row r="942" spans="2:5">
      <c r="B942" s="1" t="s">
        <v>5</v>
      </c>
      <c r="C942" s="1">
        <v>40664</v>
      </c>
      <c r="D942">
        <v>453825981.13999999</v>
      </c>
      <c r="E942">
        <v>9</v>
      </c>
    </row>
    <row r="943" spans="2:5">
      <c r="B943" s="1" t="s">
        <v>23</v>
      </c>
      <c r="C943" s="1">
        <v>40664</v>
      </c>
      <c r="D943">
        <v>320408343.36000001</v>
      </c>
      <c r="E943">
        <v>10</v>
      </c>
    </row>
    <row r="944" spans="2:5">
      <c r="B944" s="1" t="s">
        <v>11</v>
      </c>
      <c r="C944" s="1">
        <v>40695</v>
      </c>
      <c r="D944">
        <v>6560805145.7200003</v>
      </c>
      <c r="E944">
        <v>1</v>
      </c>
    </row>
    <row r="945" spans="2:5">
      <c r="B945" s="1" t="s">
        <v>13</v>
      </c>
      <c r="C945" s="1">
        <v>40695</v>
      </c>
      <c r="D945">
        <v>4397294621.2799997</v>
      </c>
      <c r="E945">
        <v>2</v>
      </c>
    </row>
    <row r="946" spans="2:5">
      <c r="B946" s="1" t="s">
        <v>6</v>
      </c>
      <c r="C946" s="1">
        <v>40695</v>
      </c>
      <c r="D946">
        <v>2883072438.6100001</v>
      </c>
      <c r="E946">
        <v>3</v>
      </c>
    </row>
    <row r="947" spans="2:5">
      <c r="B947" s="1" t="s">
        <v>4</v>
      </c>
      <c r="C947" s="1">
        <v>40695</v>
      </c>
      <c r="D947">
        <v>1717155852.23</v>
      </c>
      <c r="E947">
        <v>4</v>
      </c>
    </row>
    <row r="948" spans="2:5">
      <c r="B948" s="1" t="s">
        <v>19</v>
      </c>
      <c r="C948" s="1">
        <v>40695</v>
      </c>
      <c r="D948">
        <v>1705305796.3599999</v>
      </c>
      <c r="E948">
        <v>5</v>
      </c>
    </row>
    <row r="949" spans="2:5">
      <c r="B949" s="1" t="s">
        <v>10</v>
      </c>
      <c r="C949" s="1">
        <v>40695</v>
      </c>
      <c r="D949">
        <v>839564162.10000002</v>
      </c>
      <c r="E949">
        <v>6</v>
      </c>
    </row>
    <row r="950" spans="2:5">
      <c r="B950" s="1" t="s">
        <v>5</v>
      </c>
      <c r="C950" s="1">
        <v>40695</v>
      </c>
      <c r="D950">
        <v>723728232.77999997</v>
      </c>
      <c r="E950">
        <v>7</v>
      </c>
    </row>
    <row r="951" spans="2:5">
      <c r="B951" s="1" t="s">
        <v>26</v>
      </c>
      <c r="C951" s="1">
        <v>40695</v>
      </c>
      <c r="D951">
        <v>561654246.87</v>
      </c>
      <c r="E951">
        <v>8</v>
      </c>
    </row>
    <row r="952" spans="2:5">
      <c r="B952" s="1" t="s">
        <v>16</v>
      </c>
      <c r="C952" s="1">
        <v>40695</v>
      </c>
      <c r="D952">
        <v>385476927.93000001</v>
      </c>
      <c r="E952">
        <v>9</v>
      </c>
    </row>
    <row r="953" spans="2:5">
      <c r="B953" s="1" t="s">
        <v>23</v>
      </c>
      <c r="C953" s="1">
        <v>40695</v>
      </c>
      <c r="D953">
        <v>272604276.86000001</v>
      </c>
      <c r="E953">
        <v>10</v>
      </c>
    </row>
    <row r="954" spans="2:5">
      <c r="B954" s="1" t="s">
        <v>11</v>
      </c>
      <c r="C954" s="1">
        <v>40725</v>
      </c>
      <c r="D954">
        <v>7723507087.5699997</v>
      </c>
      <c r="E954">
        <v>1</v>
      </c>
    </row>
    <row r="955" spans="2:5">
      <c r="B955" s="1" t="s">
        <v>13</v>
      </c>
      <c r="C955" s="1">
        <v>40725</v>
      </c>
      <c r="D955">
        <v>5521240960.25</v>
      </c>
      <c r="E955">
        <v>2</v>
      </c>
    </row>
    <row r="956" spans="2:5">
      <c r="B956" s="1" t="s">
        <v>19</v>
      </c>
      <c r="C956" s="1">
        <v>40725</v>
      </c>
      <c r="D956">
        <v>3125723742.4400001</v>
      </c>
      <c r="E956">
        <v>3</v>
      </c>
    </row>
    <row r="957" spans="2:5">
      <c r="B957" s="1" t="s">
        <v>6</v>
      </c>
      <c r="C957" s="1">
        <v>40725</v>
      </c>
      <c r="D957">
        <v>2890199494.2199998</v>
      </c>
      <c r="E957">
        <v>4</v>
      </c>
    </row>
    <row r="958" spans="2:5">
      <c r="B958" s="1" t="s">
        <v>4</v>
      </c>
      <c r="C958" s="1">
        <v>40725</v>
      </c>
      <c r="D958">
        <v>1514700079.47</v>
      </c>
      <c r="E958">
        <v>5</v>
      </c>
    </row>
    <row r="959" spans="2:5">
      <c r="B959" s="1" t="s">
        <v>5</v>
      </c>
      <c r="C959" s="1">
        <v>40725</v>
      </c>
      <c r="D959">
        <v>1249270995.0799999</v>
      </c>
      <c r="E959">
        <v>6</v>
      </c>
    </row>
    <row r="960" spans="2:5">
      <c r="B960" s="1" t="s">
        <v>26</v>
      </c>
      <c r="C960" s="1">
        <v>40725</v>
      </c>
      <c r="D960">
        <v>598841873.17999995</v>
      </c>
      <c r="E960">
        <v>7</v>
      </c>
    </row>
    <row r="961" spans="2:5">
      <c r="B961" s="1" t="s">
        <v>10</v>
      </c>
      <c r="C961" s="1">
        <v>40725</v>
      </c>
      <c r="D961">
        <v>536900681</v>
      </c>
      <c r="E961">
        <v>8</v>
      </c>
    </row>
    <row r="962" spans="2:5">
      <c r="B962" s="1" t="s">
        <v>16</v>
      </c>
      <c r="C962" s="1">
        <v>40725</v>
      </c>
      <c r="D962">
        <v>388098543.69999999</v>
      </c>
      <c r="E962">
        <v>9</v>
      </c>
    </row>
    <row r="963" spans="2:5">
      <c r="B963" s="1" t="s">
        <v>17</v>
      </c>
      <c r="C963" s="1">
        <v>40725</v>
      </c>
      <c r="D963">
        <v>316608413.45999998</v>
      </c>
      <c r="E963">
        <v>10</v>
      </c>
    </row>
    <row r="964" spans="2:5">
      <c r="B964" s="1" t="s">
        <v>11</v>
      </c>
      <c r="C964" s="1">
        <v>40756</v>
      </c>
      <c r="D964">
        <v>5076597395.6099997</v>
      </c>
      <c r="E964">
        <v>1</v>
      </c>
    </row>
    <row r="965" spans="2:5">
      <c r="B965" s="1" t="s">
        <v>13</v>
      </c>
      <c r="C965" s="1">
        <v>40756</v>
      </c>
      <c r="D965">
        <v>3400992563.5999999</v>
      </c>
      <c r="E965">
        <v>2</v>
      </c>
    </row>
    <row r="966" spans="2:5">
      <c r="B966" s="1" t="s">
        <v>4</v>
      </c>
      <c r="C966" s="1">
        <v>40756</v>
      </c>
      <c r="D966">
        <v>3392380514.9299998</v>
      </c>
      <c r="E966">
        <v>3</v>
      </c>
    </row>
    <row r="967" spans="2:5">
      <c r="B967" s="1" t="s">
        <v>6</v>
      </c>
      <c r="C967" s="1">
        <v>40756</v>
      </c>
      <c r="D967">
        <v>3145063452.5300002</v>
      </c>
      <c r="E967">
        <v>4</v>
      </c>
    </row>
    <row r="968" spans="2:5">
      <c r="B968" s="1" t="s">
        <v>19</v>
      </c>
      <c r="C968" s="1">
        <v>40756</v>
      </c>
      <c r="D968">
        <v>1613391642.05</v>
      </c>
      <c r="E968">
        <v>5</v>
      </c>
    </row>
    <row r="969" spans="2:5">
      <c r="B969" s="1" t="s">
        <v>10</v>
      </c>
      <c r="C969" s="1">
        <v>40756</v>
      </c>
      <c r="D969">
        <v>846856456.50999999</v>
      </c>
      <c r="E969">
        <v>6</v>
      </c>
    </row>
    <row r="970" spans="2:5">
      <c r="B970" s="1" t="s">
        <v>26</v>
      </c>
      <c r="C970" s="1">
        <v>40756</v>
      </c>
      <c r="D970">
        <v>719443235.38</v>
      </c>
      <c r="E970">
        <v>7</v>
      </c>
    </row>
    <row r="971" spans="2:5">
      <c r="B971" s="1" t="s">
        <v>5</v>
      </c>
      <c r="C971" s="1">
        <v>40756</v>
      </c>
      <c r="D971">
        <v>487930353.06999999</v>
      </c>
      <c r="E971">
        <v>8</v>
      </c>
    </row>
    <row r="972" spans="2:5">
      <c r="B972" s="1" t="s">
        <v>16</v>
      </c>
      <c r="C972" s="1">
        <v>40756</v>
      </c>
      <c r="D972">
        <v>332388827</v>
      </c>
      <c r="E972">
        <v>9</v>
      </c>
    </row>
    <row r="973" spans="2:5">
      <c r="B973" s="1" t="s">
        <v>8</v>
      </c>
      <c r="C973" s="1">
        <v>40756</v>
      </c>
      <c r="D973">
        <v>212255776.69999999</v>
      </c>
      <c r="E973">
        <v>10</v>
      </c>
    </row>
    <row r="974" spans="2:5">
      <c r="B974" s="1" t="s">
        <v>11</v>
      </c>
      <c r="C974" s="1">
        <v>40787</v>
      </c>
      <c r="D974">
        <v>8026484432.2399998</v>
      </c>
      <c r="E974">
        <v>1</v>
      </c>
    </row>
    <row r="975" spans="2:5">
      <c r="B975" s="1" t="s">
        <v>13</v>
      </c>
      <c r="C975" s="1">
        <v>40787</v>
      </c>
      <c r="D975">
        <v>4546578204.5100002</v>
      </c>
      <c r="E975">
        <v>2</v>
      </c>
    </row>
    <row r="976" spans="2:5">
      <c r="B976" s="1" t="s">
        <v>6</v>
      </c>
      <c r="C976" s="1">
        <v>40787</v>
      </c>
      <c r="D976">
        <v>3689413886.0100002</v>
      </c>
      <c r="E976">
        <v>3</v>
      </c>
    </row>
    <row r="977" spans="2:5">
      <c r="B977" s="1" t="s">
        <v>19</v>
      </c>
      <c r="C977" s="1">
        <v>40787</v>
      </c>
      <c r="D977">
        <v>2312378626.5700002</v>
      </c>
      <c r="E977">
        <v>4</v>
      </c>
    </row>
    <row r="978" spans="2:5">
      <c r="B978" s="1" t="s">
        <v>4</v>
      </c>
      <c r="C978" s="1">
        <v>40787</v>
      </c>
      <c r="D978">
        <v>1535462666.9400001</v>
      </c>
      <c r="E978">
        <v>5</v>
      </c>
    </row>
    <row r="979" spans="2:5">
      <c r="B979" s="1" t="s">
        <v>5</v>
      </c>
      <c r="C979" s="1">
        <v>40787</v>
      </c>
      <c r="D979">
        <v>1488442307.6700001</v>
      </c>
      <c r="E979">
        <v>6</v>
      </c>
    </row>
    <row r="980" spans="2:5">
      <c r="B980" s="1" t="s">
        <v>10</v>
      </c>
      <c r="C980" s="1">
        <v>40787</v>
      </c>
      <c r="D980">
        <v>1235686134.8199999</v>
      </c>
      <c r="E980">
        <v>7</v>
      </c>
    </row>
    <row r="981" spans="2:5">
      <c r="B981" s="1" t="s">
        <v>26</v>
      </c>
      <c r="C981" s="1">
        <v>40787</v>
      </c>
      <c r="D981">
        <v>723041247.12</v>
      </c>
      <c r="E981">
        <v>8</v>
      </c>
    </row>
    <row r="982" spans="2:5">
      <c r="B982" s="1" t="s">
        <v>16</v>
      </c>
      <c r="C982" s="1">
        <v>40787</v>
      </c>
      <c r="D982">
        <v>257691149.83000001</v>
      </c>
      <c r="E982">
        <v>9</v>
      </c>
    </row>
    <row r="983" spans="2:5">
      <c r="B983" s="1" t="s">
        <v>17</v>
      </c>
      <c r="C983" s="1">
        <v>40787</v>
      </c>
      <c r="D983">
        <v>245472900.08000001</v>
      </c>
      <c r="E983">
        <v>10</v>
      </c>
    </row>
    <row r="984" spans="2:5">
      <c r="B984" s="1" t="s">
        <v>11</v>
      </c>
      <c r="C984" s="1">
        <v>40817</v>
      </c>
      <c r="D984">
        <v>9630208171.6000004</v>
      </c>
      <c r="E984">
        <v>1</v>
      </c>
    </row>
    <row r="985" spans="2:5">
      <c r="B985" s="1" t="s">
        <v>13</v>
      </c>
      <c r="C985" s="1">
        <v>40817</v>
      </c>
      <c r="D985">
        <v>8148436625.0600004</v>
      </c>
      <c r="E985">
        <v>2</v>
      </c>
    </row>
    <row r="986" spans="2:5">
      <c r="B986" s="1" t="s">
        <v>19</v>
      </c>
      <c r="C986" s="1">
        <v>40817</v>
      </c>
      <c r="D986">
        <v>3379466287.0999999</v>
      </c>
      <c r="E986">
        <v>3</v>
      </c>
    </row>
    <row r="987" spans="2:5">
      <c r="B987" s="1" t="s">
        <v>6</v>
      </c>
      <c r="C987" s="1">
        <v>40817</v>
      </c>
      <c r="D987">
        <v>2834634956.2800002</v>
      </c>
      <c r="E987">
        <v>4</v>
      </c>
    </row>
    <row r="988" spans="2:5">
      <c r="B988" s="1" t="s">
        <v>4</v>
      </c>
      <c r="C988" s="1">
        <v>40817</v>
      </c>
      <c r="D988">
        <v>2654243256.4699998</v>
      </c>
      <c r="E988">
        <v>5</v>
      </c>
    </row>
    <row r="989" spans="2:5">
      <c r="B989" s="1" t="s">
        <v>10</v>
      </c>
      <c r="C989" s="1">
        <v>40817</v>
      </c>
      <c r="D989">
        <v>1477823763.1900001</v>
      </c>
      <c r="E989">
        <v>6</v>
      </c>
    </row>
    <row r="990" spans="2:5">
      <c r="B990" s="1" t="s">
        <v>5</v>
      </c>
      <c r="C990" s="1">
        <v>40817</v>
      </c>
      <c r="D990">
        <v>1064883083.64</v>
      </c>
      <c r="E990">
        <v>7</v>
      </c>
    </row>
    <row r="991" spans="2:5">
      <c r="B991" s="1" t="s">
        <v>32</v>
      </c>
      <c r="C991" s="1">
        <v>40817</v>
      </c>
      <c r="D991">
        <v>818515708.92999995</v>
      </c>
      <c r="E991">
        <v>8</v>
      </c>
    </row>
    <row r="992" spans="2:5">
      <c r="B992" s="1" t="s">
        <v>26</v>
      </c>
      <c r="C992" s="1">
        <v>40817</v>
      </c>
      <c r="D992">
        <v>607535378.60000002</v>
      </c>
      <c r="E992">
        <v>9</v>
      </c>
    </row>
    <row r="993" spans="2:5">
      <c r="B993" s="1" t="s">
        <v>16</v>
      </c>
      <c r="C993" s="1">
        <v>40817</v>
      </c>
      <c r="D993">
        <v>418073981.95999998</v>
      </c>
      <c r="E993">
        <v>10</v>
      </c>
    </row>
    <row r="994" spans="2:5">
      <c r="B994" s="1" t="s">
        <v>11</v>
      </c>
      <c r="C994" s="1">
        <v>40848</v>
      </c>
      <c r="D994">
        <v>11686443131.879999</v>
      </c>
      <c r="E994">
        <v>1</v>
      </c>
    </row>
    <row r="995" spans="2:5">
      <c r="B995" s="1" t="s">
        <v>13</v>
      </c>
      <c r="C995" s="1">
        <v>40848</v>
      </c>
      <c r="D995">
        <v>5088834053.8500004</v>
      </c>
      <c r="E995">
        <v>2</v>
      </c>
    </row>
    <row r="996" spans="2:5">
      <c r="B996" s="1" t="s">
        <v>4</v>
      </c>
      <c r="C996" s="1">
        <v>40848</v>
      </c>
      <c r="D996">
        <v>3332262713.5100002</v>
      </c>
      <c r="E996">
        <v>3</v>
      </c>
    </row>
    <row r="997" spans="2:5">
      <c r="B997" s="1" t="s">
        <v>10</v>
      </c>
      <c r="C997" s="1">
        <v>40848</v>
      </c>
      <c r="D997">
        <v>2184906446.2199998</v>
      </c>
      <c r="E997">
        <v>4</v>
      </c>
    </row>
    <row r="998" spans="2:5">
      <c r="B998" s="1" t="s">
        <v>5</v>
      </c>
      <c r="C998" s="1">
        <v>40848</v>
      </c>
      <c r="D998">
        <v>2122233597.4200001</v>
      </c>
      <c r="E998">
        <v>5</v>
      </c>
    </row>
    <row r="999" spans="2:5">
      <c r="B999" s="1" t="s">
        <v>6</v>
      </c>
      <c r="C999" s="1">
        <v>40848</v>
      </c>
      <c r="D999">
        <v>1990901215.54</v>
      </c>
      <c r="E999">
        <v>6</v>
      </c>
    </row>
    <row r="1000" spans="2:5">
      <c r="B1000" s="1" t="s">
        <v>19</v>
      </c>
      <c r="C1000" s="1">
        <v>40848</v>
      </c>
      <c r="D1000">
        <v>1808551858.1600001</v>
      </c>
      <c r="E1000">
        <v>7</v>
      </c>
    </row>
    <row r="1001" spans="2:5">
      <c r="B1001" s="1" t="s">
        <v>32</v>
      </c>
      <c r="C1001" s="1">
        <v>40848</v>
      </c>
      <c r="D1001">
        <v>1099145883.3299999</v>
      </c>
      <c r="E1001">
        <v>8</v>
      </c>
    </row>
    <row r="1002" spans="2:5">
      <c r="B1002" s="1" t="s">
        <v>26</v>
      </c>
      <c r="C1002" s="1">
        <v>40848</v>
      </c>
      <c r="D1002">
        <v>781955044.85000002</v>
      </c>
      <c r="E1002">
        <v>9</v>
      </c>
    </row>
    <row r="1003" spans="2:5">
      <c r="B1003" s="1" t="s">
        <v>33</v>
      </c>
      <c r="C1003" s="1">
        <v>40848</v>
      </c>
      <c r="D1003">
        <v>480704275.17000002</v>
      </c>
      <c r="E1003">
        <v>10</v>
      </c>
    </row>
    <row r="1004" spans="2:5">
      <c r="B1004" s="1" t="s">
        <v>11</v>
      </c>
      <c r="C1004" s="1">
        <v>40878</v>
      </c>
      <c r="D1004">
        <v>14402413671.309999</v>
      </c>
      <c r="E1004">
        <v>1</v>
      </c>
    </row>
    <row r="1005" spans="2:5">
      <c r="B1005" s="1" t="s">
        <v>13</v>
      </c>
      <c r="C1005" s="1">
        <v>40878</v>
      </c>
      <c r="D1005">
        <v>7892692642.7799997</v>
      </c>
      <c r="E1005">
        <v>2</v>
      </c>
    </row>
    <row r="1006" spans="2:5">
      <c r="B1006" s="1" t="s">
        <v>4</v>
      </c>
      <c r="C1006" s="1">
        <v>40878</v>
      </c>
      <c r="D1006">
        <v>4713649275.1999998</v>
      </c>
      <c r="E1006">
        <v>3</v>
      </c>
    </row>
    <row r="1007" spans="2:5">
      <c r="B1007" s="1" t="s">
        <v>19</v>
      </c>
      <c r="C1007" s="1">
        <v>40878</v>
      </c>
      <c r="D1007">
        <v>3647920798.0700002</v>
      </c>
      <c r="E1007">
        <v>4</v>
      </c>
    </row>
    <row r="1008" spans="2:5">
      <c r="B1008" s="1" t="s">
        <v>10</v>
      </c>
      <c r="C1008" s="1">
        <v>40878</v>
      </c>
      <c r="D1008">
        <v>2369417431.5700002</v>
      </c>
      <c r="E1008">
        <v>5</v>
      </c>
    </row>
    <row r="1009" spans="2:5">
      <c r="B1009" s="1" t="s">
        <v>5</v>
      </c>
      <c r="C1009" s="1">
        <v>40878</v>
      </c>
      <c r="D1009">
        <v>2089241126.1800001</v>
      </c>
      <c r="E1009">
        <v>6</v>
      </c>
    </row>
    <row r="1010" spans="2:5">
      <c r="B1010" s="1" t="s">
        <v>6</v>
      </c>
      <c r="C1010" s="1">
        <v>40878</v>
      </c>
      <c r="D1010">
        <v>1479691577.53</v>
      </c>
      <c r="E1010">
        <v>7</v>
      </c>
    </row>
    <row r="1011" spans="2:5">
      <c r="B1011" s="1" t="s">
        <v>32</v>
      </c>
      <c r="C1011" s="1">
        <v>40878</v>
      </c>
      <c r="D1011">
        <v>1412203171.1800001</v>
      </c>
      <c r="E1011">
        <v>8</v>
      </c>
    </row>
    <row r="1012" spans="2:5">
      <c r="B1012" s="1" t="s">
        <v>33</v>
      </c>
      <c r="C1012" s="1">
        <v>40878</v>
      </c>
      <c r="D1012">
        <v>745106160.72000003</v>
      </c>
      <c r="E1012">
        <v>9</v>
      </c>
    </row>
    <row r="1013" spans="2:5">
      <c r="B1013" s="1" t="s">
        <v>8</v>
      </c>
      <c r="C1013" s="1">
        <v>40878</v>
      </c>
      <c r="D1013">
        <v>551153369.42999995</v>
      </c>
      <c r="E1013">
        <v>10</v>
      </c>
    </row>
    <row r="1014" spans="2:5">
      <c r="B1014" s="1" t="s">
        <v>11</v>
      </c>
      <c r="C1014" s="1">
        <v>40909</v>
      </c>
      <c r="D1014">
        <v>23209079451.07</v>
      </c>
      <c r="E1014">
        <v>1</v>
      </c>
    </row>
    <row r="1015" spans="2:5">
      <c r="B1015" s="1" t="s">
        <v>13</v>
      </c>
      <c r="C1015" s="1">
        <v>40909</v>
      </c>
      <c r="D1015">
        <v>8093581984.6999998</v>
      </c>
      <c r="E1015">
        <v>2</v>
      </c>
    </row>
    <row r="1016" spans="2:5">
      <c r="B1016" s="1" t="s">
        <v>4</v>
      </c>
      <c r="C1016" s="1">
        <v>40909</v>
      </c>
      <c r="D1016">
        <v>4642114946.9700003</v>
      </c>
      <c r="E1016">
        <v>3</v>
      </c>
    </row>
    <row r="1017" spans="2:5">
      <c r="B1017" s="1" t="s">
        <v>19</v>
      </c>
      <c r="C1017" s="1">
        <v>40909</v>
      </c>
      <c r="D1017">
        <v>4059865643.29</v>
      </c>
      <c r="E1017">
        <v>4</v>
      </c>
    </row>
    <row r="1018" spans="2:5">
      <c r="B1018" s="1" t="s">
        <v>10</v>
      </c>
      <c r="C1018" s="1">
        <v>40909</v>
      </c>
      <c r="D1018">
        <v>2359023695.79</v>
      </c>
      <c r="E1018">
        <v>5</v>
      </c>
    </row>
    <row r="1019" spans="2:5">
      <c r="B1019" s="1" t="s">
        <v>5</v>
      </c>
      <c r="C1019" s="1">
        <v>40909</v>
      </c>
      <c r="D1019">
        <v>2314600375.54</v>
      </c>
      <c r="E1019">
        <v>6</v>
      </c>
    </row>
    <row r="1020" spans="2:5">
      <c r="B1020" s="1" t="s">
        <v>32</v>
      </c>
      <c r="C1020" s="1">
        <v>40909</v>
      </c>
      <c r="D1020">
        <v>1120575680.53</v>
      </c>
      <c r="E1020">
        <v>7</v>
      </c>
    </row>
    <row r="1021" spans="2:5">
      <c r="B1021" s="1" t="s">
        <v>6</v>
      </c>
      <c r="C1021" s="1">
        <v>40909</v>
      </c>
      <c r="D1021">
        <v>1111375517.51</v>
      </c>
      <c r="E1021">
        <v>8</v>
      </c>
    </row>
    <row r="1022" spans="2:5">
      <c r="B1022" s="1" t="s">
        <v>33</v>
      </c>
      <c r="C1022" s="1">
        <v>40909</v>
      </c>
      <c r="D1022">
        <v>683743002.97000003</v>
      </c>
      <c r="E1022">
        <v>9</v>
      </c>
    </row>
    <row r="1023" spans="2:5">
      <c r="B1023" s="1" t="s">
        <v>28</v>
      </c>
      <c r="C1023" s="1">
        <v>40909</v>
      </c>
      <c r="D1023">
        <v>612015462.09000003</v>
      </c>
      <c r="E1023">
        <v>10</v>
      </c>
    </row>
    <row r="1024" spans="2:5">
      <c r="B1024" s="1" t="s">
        <v>11</v>
      </c>
      <c r="C1024" s="1">
        <v>40940</v>
      </c>
      <c r="D1024">
        <v>15050460727.190001</v>
      </c>
      <c r="E1024">
        <v>1</v>
      </c>
    </row>
    <row r="1025" spans="2:5">
      <c r="B1025" s="1" t="s">
        <v>4</v>
      </c>
      <c r="C1025" s="1">
        <v>40940</v>
      </c>
      <c r="D1025">
        <v>4853233992.2700005</v>
      </c>
      <c r="E1025">
        <v>2</v>
      </c>
    </row>
    <row r="1026" spans="2:5">
      <c r="B1026" s="1" t="s">
        <v>13</v>
      </c>
      <c r="C1026" s="1">
        <v>40940</v>
      </c>
      <c r="D1026">
        <v>4796151135.9200001</v>
      </c>
      <c r="E1026">
        <v>3</v>
      </c>
    </row>
    <row r="1027" spans="2:5">
      <c r="B1027" s="1" t="s">
        <v>10</v>
      </c>
      <c r="C1027" s="1">
        <v>40940</v>
      </c>
      <c r="D1027">
        <v>2074382019.1199999</v>
      </c>
      <c r="E1027">
        <v>4</v>
      </c>
    </row>
    <row r="1028" spans="2:5">
      <c r="B1028" s="1" t="s">
        <v>19</v>
      </c>
      <c r="C1028" s="1">
        <v>40940</v>
      </c>
      <c r="D1028">
        <v>1820085642.0799999</v>
      </c>
      <c r="E1028">
        <v>5</v>
      </c>
    </row>
    <row r="1029" spans="2:5">
      <c r="B1029" s="1" t="s">
        <v>5</v>
      </c>
      <c r="C1029" s="1">
        <v>40940</v>
      </c>
      <c r="D1029">
        <v>1616843705.9300001</v>
      </c>
      <c r="E1029">
        <v>6</v>
      </c>
    </row>
    <row r="1030" spans="2:5">
      <c r="B1030" s="1" t="s">
        <v>32</v>
      </c>
      <c r="C1030" s="1">
        <v>40940</v>
      </c>
      <c r="D1030">
        <v>1320904264.2</v>
      </c>
      <c r="E1030">
        <v>7</v>
      </c>
    </row>
    <row r="1031" spans="2:5">
      <c r="B1031" s="1" t="s">
        <v>6</v>
      </c>
      <c r="C1031" s="1">
        <v>40940</v>
      </c>
      <c r="D1031">
        <v>896797454.86000001</v>
      </c>
      <c r="E1031">
        <v>8</v>
      </c>
    </row>
    <row r="1032" spans="2:5">
      <c r="B1032" s="1" t="s">
        <v>26</v>
      </c>
      <c r="C1032" s="1">
        <v>40940</v>
      </c>
      <c r="D1032">
        <v>753973852.75999999</v>
      </c>
      <c r="E1032">
        <v>9</v>
      </c>
    </row>
    <row r="1033" spans="2:5">
      <c r="B1033" s="1" t="s">
        <v>28</v>
      </c>
      <c r="C1033" s="1">
        <v>40940</v>
      </c>
      <c r="D1033">
        <v>684074900.45000005</v>
      </c>
      <c r="E1033">
        <v>10</v>
      </c>
    </row>
    <row r="1034" spans="2:5">
      <c r="B1034" s="1" t="s">
        <v>11</v>
      </c>
      <c r="C1034" s="1">
        <v>40969</v>
      </c>
      <c r="D1034">
        <v>14049256877.940001</v>
      </c>
      <c r="E1034">
        <v>1</v>
      </c>
    </row>
    <row r="1035" spans="2:5">
      <c r="B1035" s="1" t="s">
        <v>13</v>
      </c>
      <c r="C1035" s="1">
        <v>40969</v>
      </c>
      <c r="D1035">
        <v>6006376585.1800003</v>
      </c>
      <c r="E1035">
        <v>2</v>
      </c>
    </row>
    <row r="1036" spans="2:5">
      <c r="B1036" s="1" t="s">
        <v>10</v>
      </c>
      <c r="C1036" s="1">
        <v>40969</v>
      </c>
      <c r="D1036">
        <v>2735353783.9699998</v>
      </c>
      <c r="E1036">
        <v>3</v>
      </c>
    </row>
    <row r="1037" spans="2:5">
      <c r="B1037" s="1" t="s">
        <v>4</v>
      </c>
      <c r="C1037" s="1">
        <v>40969</v>
      </c>
      <c r="D1037">
        <v>2175926629.9400001</v>
      </c>
      <c r="E1037">
        <v>4</v>
      </c>
    </row>
    <row r="1038" spans="2:5">
      <c r="B1038" s="1" t="s">
        <v>5</v>
      </c>
      <c r="C1038" s="1">
        <v>40969</v>
      </c>
      <c r="D1038">
        <v>1847027442.4000001</v>
      </c>
      <c r="E1038">
        <v>5</v>
      </c>
    </row>
    <row r="1039" spans="2:5">
      <c r="B1039" s="1" t="s">
        <v>32</v>
      </c>
      <c r="C1039" s="1">
        <v>40969</v>
      </c>
      <c r="D1039">
        <v>1757601309.22</v>
      </c>
      <c r="E1039">
        <v>6</v>
      </c>
    </row>
    <row r="1040" spans="2:5">
      <c r="B1040" s="1" t="s">
        <v>19</v>
      </c>
      <c r="C1040" s="1">
        <v>40969</v>
      </c>
      <c r="D1040">
        <v>1392637011.05</v>
      </c>
      <c r="E1040">
        <v>7</v>
      </c>
    </row>
    <row r="1041" spans="2:5">
      <c r="B1041" s="1" t="s">
        <v>26</v>
      </c>
      <c r="C1041" s="1">
        <v>40969</v>
      </c>
      <c r="D1041">
        <v>955978630.90999997</v>
      </c>
      <c r="E1041">
        <v>8</v>
      </c>
    </row>
    <row r="1042" spans="2:5">
      <c r="B1042" s="1" t="s">
        <v>8</v>
      </c>
      <c r="C1042" s="1">
        <v>40969</v>
      </c>
      <c r="D1042">
        <v>521440662.5</v>
      </c>
      <c r="E1042">
        <v>9</v>
      </c>
    </row>
    <row r="1043" spans="2:5">
      <c r="B1043" s="1" t="s">
        <v>28</v>
      </c>
      <c r="C1043" s="1">
        <v>40969</v>
      </c>
      <c r="D1043">
        <v>483206328.12</v>
      </c>
      <c r="E1043">
        <v>10</v>
      </c>
    </row>
    <row r="1044" spans="2:5">
      <c r="B1044" s="1" t="s">
        <v>11</v>
      </c>
      <c r="C1044" s="1">
        <v>41000</v>
      </c>
      <c r="D1044">
        <v>30547686964.380001</v>
      </c>
      <c r="E1044">
        <v>1</v>
      </c>
    </row>
    <row r="1045" spans="2:5">
      <c r="B1045" s="1" t="s">
        <v>13</v>
      </c>
      <c r="C1045" s="1">
        <v>41000</v>
      </c>
      <c r="D1045">
        <v>9441708451.4200001</v>
      </c>
      <c r="E1045">
        <v>2</v>
      </c>
    </row>
    <row r="1046" spans="2:5">
      <c r="B1046" s="1" t="s">
        <v>4</v>
      </c>
      <c r="C1046" s="1">
        <v>41000</v>
      </c>
      <c r="D1046">
        <v>3322405643.1199999</v>
      </c>
      <c r="E1046">
        <v>3</v>
      </c>
    </row>
    <row r="1047" spans="2:5">
      <c r="B1047" s="1" t="s">
        <v>10</v>
      </c>
      <c r="C1047" s="1">
        <v>41000</v>
      </c>
      <c r="D1047">
        <v>2968862432.2199998</v>
      </c>
      <c r="E1047">
        <v>4</v>
      </c>
    </row>
    <row r="1048" spans="2:5">
      <c r="B1048" s="1" t="s">
        <v>32</v>
      </c>
      <c r="C1048" s="1">
        <v>41000</v>
      </c>
      <c r="D1048">
        <v>2824281754.79</v>
      </c>
      <c r="E1048">
        <v>5</v>
      </c>
    </row>
    <row r="1049" spans="2:5">
      <c r="B1049" s="1" t="s">
        <v>5</v>
      </c>
      <c r="C1049" s="1">
        <v>41000</v>
      </c>
      <c r="D1049">
        <v>1919116424.9100001</v>
      </c>
      <c r="E1049">
        <v>6</v>
      </c>
    </row>
    <row r="1050" spans="2:5">
      <c r="B1050" s="1" t="s">
        <v>19</v>
      </c>
      <c r="C1050" s="1">
        <v>41000</v>
      </c>
      <c r="D1050">
        <v>1497727107.4200001</v>
      </c>
      <c r="E1050">
        <v>7</v>
      </c>
    </row>
    <row r="1051" spans="2:5">
      <c r="B1051" s="1" t="s">
        <v>26</v>
      </c>
      <c r="C1051" s="1">
        <v>41000</v>
      </c>
      <c r="D1051">
        <v>1478766147.8</v>
      </c>
      <c r="E1051">
        <v>8</v>
      </c>
    </row>
    <row r="1052" spans="2:5">
      <c r="B1052" s="1" t="s">
        <v>6</v>
      </c>
      <c r="C1052" s="1">
        <v>41000</v>
      </c>
      <c r="D1052">
        <v>1307576306.0799999</v>
      </c>
      <c r="E1052">
        <v>9</v>
      </c>
    </row>
    <row r="1053" spans="2:5">
      <c r="B1053" s="1" t="s">
        <v>34</v>
      </c>
      <c r="C1053" s="1">
        <v>41000</v>
      </c>
      <c r="D1053">
        <v>1188646337.95</v>
      </c>
      <c r="E1053">
        <v>10</v>
      </c>
    </row>
    <row r="1054" spans="2:5">
      <c r="B1054" s="1" t="s">
        <v>11</v>
      </c>
      <c r="C1054" s="1">
        <v>41030</v>
      </c>
      <c r="D1054">
        <v>10497979104.360001</v>
      </c>
      <c r="E1054">
        <v>1</v>
      </c>
    </row>
    <row r="1055" spans="2:5">
      <c r="B1055" s="1" t="s">
        <v>13</v>
      </c>
      <c r="C1055" s="1">
        <v>41030</v>
      </c>
      <c r="D1055">
        <v>5045445465.96</v>
      </c>
      <c r="E1055">
        <v>2</v>
      </c>
    </row>
    <row r="1056" spans="2:5">
      <c r="B1056" s="1" t="s">
        <v>10</v>
      </c>
      <c r="C1056" s="1">
        <v>41030</v>
      </c>
      <c r="D1056">
        <v>2307288287.8400002</v>
      </c>
      <c r="E1056">
        <v>3</v>
      </c>
    </row>
    <row r="1057" spans="2:5">
      <c r="B1057" s="1" t="s">
        <v>5</v>
      </c>
      <c r="C1057" s="1">
        <v>41030</v>
      </c>
      <c r="D1057">
        <v>1497778473.45</v>
      </c>
      <c r="E1057">
        <v>4</v>
      </c>
    </row>
    <row r="1058" spans="2:5">
      <c r="B1058" s="1" t="s">
        <v>4</v>
      </c>
      <c r="C1058" s="1">
        <v>41030</v>
      </c>
      <c r="D1058">
        <v>1064772455.45</v>
      </c>
      <c r="E1058">
        <v>5</v>
      </c>
    </row>
    <row r="1059" spans="2:5">
      <c r="B1059" s="1" t="s">
        <v>19</v>
      </c>
      <c r="C1059" s="1">
        <v>41030</v>
      </c>
      <c r="D1059">
        <v>975876845.86000001</v>
      </c>
      <c r="E1059">
        <v>6</v>
      </c>
    </row>
    <row r="1060" spans="2:5">
      <c r="B1060" s="1" t="s">
        <v>32</v>
      </c>
      <c r="C1060" s="1">
        <v>41030</v>
      </c>
      <c r="D1060">
        <v>749628632.73000002</v>
      </c>
      <c r="E1060">
        <v>7</v>
      </c>
    </row>
    <row r="1061" spans="2:5">
      <c r="B1061" s="1" t="s">
        <v>26</v>
      </c>
      <c r="C1061" s="1">
        <v>41030</v>
      </c>
      <c r="D1061">
        <v>715750834.32000005</v>
      </c>
      <c r="E1061">
        <v>8</v>
      </c>
    </row>
    <row r="1062" spans="2:5">
      <c r="B1062" s="1" t="s">
        <v>18</v>
      </c>
      <c r="C1062" s="1">
        <v>41030</v>
      </c>
      <c r="D1062">
        <v>473607098.20999998</v>
      </c>
      <c r="E1062">
        <v>9</v>
      </c>
    </row>
    <row r="1063" spans="2:5">
      <c r="B1063" s="1" t="s">
        <v>6</v>
      </c>
      <c r="C1063" s="1">
        <v>41030</v>
      </c>
      <c r="D1063">
        <v>438945722.61000001</v>
      </c>
      <c r="E1063">
        <v>10</v>
      </c>
    </row>
    <row r="1064" spans="2:5">
      <c r="B1064" s="1" t="s">
        <v>11</v>
      </c>
      <c r="C1064" s="1">
        <v>41061</v>
      </c>
      <c r="D1064">
        <v>20085553792.799999</v>
      </c>
      <c r="E1064">
        <v>1</v>
      </c>
    </row>
    <row r="1065" spans="2:5">
      <c r="B1065" s="1" t="s">
        <v>13</v>
      </c>
      <c r="C1065" s="1">
        <v>41061</v>
      </c>
      <c r="D1065">
        <v>5672797241.4200001</v>
      </c>
      <c r="E1065">
        <v>2</v>
      </c>
    </row>
    <row r="1066" spans="2:5">
      <c r="B1066" s="1" t="s">
        <v>10</v>
      </c>
      <c r="C1066" s="1">
        <v>41061</v>
      </c>
      <c r="D1066">
        <v>2837371203.46</v>
      </c>
      <c r="E1066">
        <v>3</v>
      </c>
    </row>
    <row r="1067" spans="2:5">
      <c r="B1067" s="1" t="s">
        <v>32</v>
      </c>
      <c r="C1067" s="1">
        <v>41061</v>
      </c>
      <c r="D1067">
        <v>2688689221.8800001</v>
      </c>
      <c r="E1067">
        <v>4</v>
      </c>
    </row>
    <row r="1068" spans="2:5">
      <c r="B1068" s="1" t="s">
        <v>4</v>
      </c>
      <c r="C1068" s="1">
        <v>41061</v>
      </c>
      <c r="D1068">
        <v>2165287838.1799998</v>
      </c>
      <c r="E1068">
        <v>5</v>
      </c>
    </row>
    <row r="1069" spans="2:5">
      <c r="B1069" s="1" t="s">
        <v>6</v>
      </c>
      <c r="C1069" s="1">
        <v>41061</v>
      </c>
      <c r="D1069">
        <v>1378945570.53</v>
      </c>
      <c r="E1069">
        <v>6</v>
      </c>
    </row>
    <row r="1070" spans="2:5">
      <c r="B1070" s="1" t="s">
        <v>8</v>
      </c>
      <c r="C1070" s="1">
        <v>41061</v>
      </c>
      <c r="D1070">
        <v>1155522324.5799999</v>
      </c>
      <c r="E1070">
        <v>7</v>
      </c>
    </row>
    <row r="1071" spans="2:5">
      <c r="B1071" s="1" t="s">
        <v>26</v>
      </c>
      <c r="C1071" s="1">
        <v>41061</v>
      </c>
      <c r="D1071">
        <v>1115152704.5899999</v>
      </c>
      <c r="E1071">
        <v>8</v>
      </c>
    </row>
    <row r="1072" spans="2:5">
      <c r="B1072" s="1" t="s">
        <v>5</v>
      </c>
      <c r="C1072" s="1">
        <v>41061</v>
      </c>
      <c r="D1072">
        <v>1078652286.0999999</v>
      </c>
      <c r="E1072">
        <v>9</v>
      </c>
    </row>
    <row r="1073" spans="2:5">
      <c r="B1073" s="1" t="s">
        <v>19</v>
      </c>
      <c r="C1073" s="1">
        <v>41061</v>
      </c>
      <c r="D1073">
        <v>807433941.49000001</v>
      </c>
      <c r="E1073">
        <v>10</v>
      </c>
    </row>
    <row r="1074" spans="2:5">
      <c r="B1074" s="1" t="s">
        <v>11</v>
      </c>
      <c r="C1074" s="1">
        <v>41091</v>
      </c>
      <c r="D1074">
        <v>12490413319.5</v>
      </c>
      <c r="E1074">
        <v>1</v>
      </c>
    </row>
    <row r="1075" spans="2:5">
      <c r="B1075" s="1" t="s">
        <v>13</v>
      </c>
      <c r="C1075" s="1">
        <v>41091</v>
      </c>
      <c r="D1075">
        <v>7036329639.4899998</v>
      </c>
      <c r="E1075">
        <v>2</v>
      </c>
    </row>
    <row r="1076" spans="2:5">
      <c r="B1076" s="1" t="s">
        <v>10</v>
      </c>
      <c r="C1076" s="1">
        <v>41091</v>
      </c>
      <c r="D1076">
        <v>2594295416.6100001</v>
      </c>
      <c r="E1076">
        <v>3</v>
      </c>
    </row>
    <row r="1077" spans="2:5">
      <c r="B1077" s="1" t="s">
        <v>4</v>
      </c>
      <c r="C1077" s="1">
        <v>41091</v>
      </c>
      <c r="D1077">
        <v>2114310416.24</v>
      </c>
      <c r="E1077">
        <v>4</v>
      </c>
    </row>
    <row r="1078" spans="2:5">
      <c r="B1078" s="1" t="s">
        <v>32</v>
      </c>
      <c r="C1078" s="1">
        <v>41091</v>
      </c>
      <c r="D1078">
        <v>2083801978.74</v>
      </c>
      <c r="E1078">
        <v>5</v>
      </c>
    </row>
    <row r="1079" spans="2:5">
      <c r="B1079" s="1" t="s">
        <v>6</v>
      </c>
      <c r="C1079" s="1">
        <v>41091</v>
      </c>
      <c r="D1079">
        <v>2018906100.1300001</v>
      </c>
      <c r="E1079">
        <v>6</v>
      </c>
    </row>
    <row r="1080" spans="2:5">
      <c r="B1080" s="1" t="s">
        <v>26</v>
      </c>
      <c r="C1080" s="1">
        <v>41091</v>
      </c>
      <c r="D1080">
        <v>1819644112.4000001</v>
      </c>
      <c r="E1080">
        <v>7</v>
      </c>
    </row>
    <row r="1081" spans="2:5">
      <c r="B1081" s="1" t="s">
        <v>19</v>
      </c>
      <c r="C1081" s="1">
        <v>41091</v>
      </c>
      <c r="D1081">
        <v>1462187564.1500001</v>
      </c>
      <c r="E1081">
        <v>8</v>
      </c>
    </row>
    <row r="1082" spans="2:5">
      <c r="B1082" s="1" t="s">
        <v>5</v>
      </c>
      <c r="C1082" s="1">
        <v>41091</v>
      </c>
      <c r="D1082">
        <v>1354198848.0599999</v>
      </c>
      <c r="E1082">
        <v>9</v>
      </c>
    </row>
    <row r="1083" spans="2:5">
      <c r="B1083" s="1" t="s">
        <v>8</v>
      </c>
      <c r="C1083" s="1">
        <v>41091</v>
      </c>
      <c r="D1083">
        <v>1077841105.76</v>
      </c>
      <c r="E1083">
        <v>10</v>
      </c>
    </row>
    <row r="1084" spans="2:5">
      <c r="B1084" s="1" t="s">
        <v>11</v>
      </c>
      <c r="C1084" s="1">
        <v>41122</v>
      </c>
      <c r="D1084">
        <v>17722445723.59</v>
      </c>
      <c r="E1084">
        <v>1</v>
      </c>
    </row>
    <row r="1085" spans="2:5">
      <c r="B1085" s="1" t="s">
        <v>13</v>
      </c>
      <c r="C1085" s="1">
        <v>41122</v>
      </c>
      <c r="D1085">
        <v>5805711544.7600002</v>
      </c>
      <c r="E1085">
        <v>2</v>
      </c>
    </row>
    <row r="1086" spans="2:5">
      <c r="B1086" s="1" t="s">
        <v>32</v>
      </c>
      <c r="C1086" s="1">
        <v>41122</v>
      </c>
      <c r="D1086">
        <v>3642919334.4899998</v>
      </c>
      <c r="E1086">
        <v>3</v>
      </c>
    </row>
    <row r="1087" spans="2:5">
      <c r="B1087" s="1" t="s">
        <v>10</v>
      </c>
      <c r="C1087" s="1">
        <v>41122</v>
      </c>
      <c r="D1087">
        <v>3200713245.7600002</v>
      </c>
      <c r="E1087">
        <v>4</v>
      </c>
    </row>
    <row r="1088" spans="2:5">
      <c r="B1088" s="1" t="s">
        <v>4</v>
      </c>
      <c r="C1088" s="1">
        <v>41122</v>
      </c>
      <c r="D1088">
        <v>2010779432.79</v>
      </c>
      <c r="E1088">
        <v>5</v>
      </c>
    </row>
    <row r="1089" spans="2:5">
      <c r="B1089" s="1" t="s">
        <v>19</v>
      </c>
      <c r="C1089" s="1">
        <v>41122</v>
      </c>
      <c r="D1089">
        <v>1545512293.75</v>
      </c>
      <c r="E1089">
        <v>6</v>
      </c>
    </row>
    <row r="1090" spans="2:5">
      <c r="B1090" s="1" t="s">
        <v>5</v>
      </c>
      <c r="C1090" s="1">
        <v>41122</v>
      </c>
      <c r="D1090">
        <v>1393815043.55</v>
      </c>
      <c r="E1090">
        <v>7</v>
      </c>
    </row>
    <row r="1091" spans="2:5">
      <c r="B1091" s="1" t="s">
        <v>26</v>
      </c>
      <c r="C1091" s="1">
        <v>41122</v>
      </c>
      <c r="D1091">
        <v>1313834958.79</v>
      </c>
      <c r="E1091">
        <v>8</v>
      </c>
    </row>
    <row r="1092" spans="2:5">
      <c r="B1092" s="1" t="s">
        <v>6</v>
      </c>
      <c r="C1092" s="1">
        <v>41122</v>
      </c>
      <c r="D1092">
        <v>1261050205.1800001</v>
      </c>
      <c r="E1092">
        <v>9</v>
      </c>
    </row>
    <row r="1093" spans="2:5">
      <c r="B1093" s="1" t="s">
        <v>16</v>
      </c>
      <c r="C1093" s="1">
        <v>41122</v>
      </c>
      <c r="D1093">
        <v>885810800.47000003</v>
      </c>
      <c r="E1093">
        <v>10</v>
      </c>
    </row>
    <row r="1094" spans="2:5">
      <c r="B1094" s="1" t="s">
        <v>11</v>
      </c>
      <c r="C1094" s="1">
        <v>41153</v>
      </c>
      <c r="D1094">
        <v>15450764934.82</v>
      </c>
      <c r="E1094">
        <v>1</v>
      </c>
    </row>
    <row r="1095" spans="2:5">
      <c r="B1095" s="1" t="s">
        <v>13</v>
      </c>
      <c r="C1095" s="1">
        <v>41153</v>
      </c>
      <c r="D1095">
        <v>8415301500.0699997</v>
      </c>
      <c r="E1095">
        <v>2</v>
      </c>
    </row>
    <row r="1096" spans="2:5">
      <c r="B1096" s="1" t="s">
        <v>32</v>
      </c>
      <c r="C1096" s="1">
        <v>41153</v>
      </c>
      <c r="D1096">
        <v>4782260991.4399996</v>
      </c>
      <c r="E1096">
        <v>3</v>
      </c>
    </row>
    <row r="1097" spans="2:5">
      <c r="B1097" s="1" t="s">
        <v>10</v>
      </c>
      <c r="C1097" s="1">
        <v>41153</v>
      </c>
      <c r="D1097">
        <v>3581253979.6700001</v>
      </c>
      <c r="E1097">
        <v>4</v>
      </c>
    </row>
    <row r="1098" spans="2:5">
      <c r="B1098" s="1" t="s">
        <v>4</v>
      </c>
      <c r="C1098" s="1">
        <v>41153</v>
      </c>
      <c r="D1098">
        <v>2263175580.0799999</v>
      </c>
      <c r="E1098">
        <v>5</v>
      </c>
    </row>
    <row r="1099" spans="2:5">
      <c r="B1099" s="1" t="s">
        <v>6</v>
      </c>
      <c r="C1099" s="1">
        <v>41153</v>
      </c>
      <c r="D1099">
        <v>2041166208.9200001</v>
      </c>
      <c r="E1099">
        <v>6</v>
      </c>
    </row>
    <row r="1100" spans="2:5">
      <c r="B1100" s="1" t="s">
        <v>19</v>
      </c>
      <c r="C1100" s="1">
        <v>41153</v>
      </c>
      <c r="D1100">
        <v>1681290589.78</v>
      </c>
      <c r="E1100">
        <v>7</v>
      </c>
    </row>
    <row r="1101" spans="2:5">
      <c r="B1101" s="1" t="s">
        <v>26</v>
      </c>
      <c r="C1101" s="1">
        <v>41153</v>
      </c>
      <c r="D1101">
        <v>1443631118.3499999</v>
      </c>
      <c r="E1101">
        <v>8</v>
      </c>
    </row>
    <row r="1102" spans="2:5">
      <c r="B1102" s="1" t="s">
        <v>5</v>
      </c>
      <c r="C1102" s="1">
        <v>41153</v>
      </c>
      <c r="D1102">
        <v>1298624220.6199999</v>
      </c>
      <c r="E1102">
        <v>9</v>
      </c>
    </row>
    <row r="1103" spans="2:5">
      <c r="B1103" s="1" t="s">
        <v>34</v>
      </c>
      <c r="C1103" s="1">
        <v>41153</v>
      </c>
      <c r="D1103">
        <v>936397289.01999998</v>
      </c>
      <c r="E1103">
        <v>10</v>
      </c>
    </row>
    <row r="1104" spans="2:5">
      <c r="B1104" s="1" t="s">
        <v>11</v>
      </c>
      <c r="C1104" s="1">
        <v>41183</v>
      </c>
      <c r="D1104">
        <v>15515154908.18</v>
      </c>
      <c r="E1104">
        <v>1</v>
      </c>
    </row>
    <row r="1105" spans="2:5">
      <c r="B1105" s="1" t="s">
        <v>13</v>
      </c>
      <c r="C1105" s="1">
        <v>41183</v>
      </c>
      <c r="D1105">
        <v>9589348332.7900009</v>
      </c>
      <c r="E1105">
        <v>2</v>
      </c>
    </row>
    <row r="1106" spans="2:5">
      <c r="B1106" s="1" t="s">
        <v>32</v>
      </c>
      <c r="C1106" s="1">
        <v>41183</v>
      </c>
      <c r="D1106">
        <v>4912389510.3100004</v>
      </c>
      <c r="E1106">
        <v>3</v>
      </c>
    </row>
    <row r="1107" spans="2:5">
      <c r="B1107" s="1" t="s">
        <v>4</v>
      </c>
      <c r="C1107" s="1">
        <v>41183</v>
      </c>
      <c r="D1107">
        <v>3442130927.8200002</v>
      </c>
      <c r="E1107">
        <v>4</v>
      </c>
    </row>
    <row r="1108" spans="2:5">
      <c r="B1108" s="1" t="s">
        <v>10</v>
      </c>
      <c r="C1108" s="1">
        <v>41183</v>
      </c>
      <c r="D1108">
        <v>3359844224.2199998</v>
      </c>
      <c r="E1108">
        <v>5</v>
      </c>
    </row>
    <row r="1109" spans="2:5">
      <c r="B1109" s="1" t="s">
        <v>19</v>
      </c>
      <c r="C1109" s="1">
        <v>41183</v>
      </c>
      <c r="D1109">
        <v>1966201200.96</v>
      </c>
      <c r="E1109">
        <v>6</v>
      </c>
    </row>
    <row r="1110" spans="2:5">
      <c r="B1110" s="1" t="s">
        <v>26</v>
      </c>
      <c r="C1110" s="1">
        <v>41183</v>
      </c>
      <c r="D1110">
        <v>1681914929.71</v>
      </c>
      <c r="E1110">
        <v>7</v>
      </c>
    </row>
    <row r="1111" spans="2:5">
      <c r="B1111" s="1" t="s">
        <v>5</v>
      </c>
      <c r="C1111" s="1">
        <v>41183</v>
      </c>
      <c r="D1111">
        <v>1583385329.6199999</v>
      </c>
      <c r="E1111">
        <v>8</v>
      </c>
    </row>
    <row r="1112" spans="2:5">
      <c r="B1112" s="1" t="s">
        <v>6</v>
      </c>
      <c r="C1112" s="1">
        <v>41183</v>
      </c>
      <c r="D1112">
        <v>1184012805.45</v>
      </c>
      <c r="E1112">
        <v>9</v>
      </c>
    </row>
    <row r="1113" spans="2:5">
      <c r="B1113" s="1" t="s">
        <v>35</v>
      </c>
      <c r="C1113" s="1">
        <v>41183</v>
      </c>
      <c r="D1113">
        <v>945225066.88999999</v>
      </c>
      <c r="E1113">
        <v>10</v>
      </c>
    </row>
    <row r="1114" spans="2:5">
      <c r="B1114" s="1" t="s">
        <v>11</v>
      </c>
      <c r="C1114" s="1">
        <v>41214</v>
      </c>
      <c r="D1114">
        <v>13208748904.610001</v>
      </c>
      <c r="E1114">
        <v>1</v>
      </c>
    </row>
    <row r="1115" spans="2:5">
      <c r="B1115" s="1" t="s">
        <v>13</v>
      </c>
      <c r="C1115" s="1">
        <v>41214</v>
      </c>
      <c r="D1115">
        <v>4495620611.7799997</v>
      </c>
      <c r="E1115">
        <v>2</v>
      </c>
    </row>
    <row r="1116" spans="2:5">
      <c r="B1116" s="1" t="s">
        <v>32</v>
      </c>
      <c r="C1116" s="1">
        <v>41214</v>
      </c>
      <c r="D1116">
        <v>4259407226.3299999</v>
      </c>
      <c r="E1116">
        <v>3</v>
      </c>
    </row>
    <row r="1117" spans="2:5">
      <c r="B1117" s="1" t="s">
        <v>10</v>
      </c>
      <c r="C1117" s="1">
        <v>41214</v>
      </c>
      <c r="D1117">
        <v>3094481674.0799999</v>
      </c>
      <c r="E1117">
        <v>4</v>
      </c>
    </row>
    <row r="1118" spans="2:5">
      <c r="B1118" s="1" t="s">
        <v>26</v>
      </c>
      <c r="C1118" s="1">
        <v>41214</v>
      </c>
      <c r="D1118">
        <v>1987303253.45</v>
      </c>
      <c r="E1118">
        <v>5</v>
      </c>
    </row>
    <row r="1119" spans="2:5">
      <c r="B1119" s="1" t="s">
        <v>6</v>
      </c>
      <c r="C1119" s="1">
        <v>41214</v>
      </c>
      <c r="D1119">
        <v>1968182126.6199999</v>
      </c>
      <c r="E1119">
        <v>6</v>
      </c>
    </row>
    <row r="1120" spans="2:5">
      <c r="B1120" s="1" t="s">
        <v>35</v>
      </c>
      <c r="C1120" s="1">
        <v>41214</v>
      </c>
      <c r="D1120">
        <v>1732847138.78</v>
      </c>
      <c r="E1120">
        <v>7</v>
      </c>
    </row>
    <row r="1121" spans="2:5">
      <c r="B1121" s="1" t="s">
        <v>19</v>
      </c>
      <c r="C1121" s="1">
        <v>41214</v>
      </c>
      <c r="D1121">
        <v>1666900687.8199999</v>
      </c>
      <c r="E1121">
        <v>8</v>
      </c>
    </row>
    <row r="1122" spans="2:5">
      <c r="B1122" s="1" t="s">
        <v>5</v>
      </c>
      <c r="C1122" s="1">
        <v>41214</v>
      </c>
      <c r="D1122">
        <v>1072372364.4</v>
      </c>
      <c r="E1122">
        <v>9</v>
      </c>
    </row>
    <row r="1123" spans="2:5">
      <c r="B1123" s="1" t="s">
        <v>4</v>
      </c>
      <c r="C1123" s="1">
        <v>41214</v>
      </c>
      <c r="D1123">
        <v>1024767722.17</v>
      </c>
      <c r="E1123">
        <v>10</v>
      </c>
    </row>
    <row r="1124" spans="2:5">
      <c r="B1124" s="1" t="s">
        <v>11</v>
      </c>
      <c r="C1124" s="1">
        <v>41244</v>
      </c>
      <c r="D1124">
        <v>18561639674.389999</v>
      </c>
      <c r="E1124">
        <v>1</v>
      </c>
    </row>
    <row r="1125" spans="2:5">
      <c r="B1125" s="1" t="s">
        <v>13</v>
      </c>
      <c r="C1125" s="1">
        <v>41244</v>
      </c>
      <c r="D1125">
        <v>7624851409.7200003</v>
      </c>
      <c r="E1125">
        <v>2</v>
      </c>
    </row>
    <row r="1126" spans="2:5">
      <c r="B1126" s="1" t="s">
        <v>32</v>
      </c>
      <c r="C1126" s="1">
        <v>41244</v>
      </c>
      <c r="D1126">
        <v>5306609068.2399998</v>
      </c>
      <c r="E1126">
        <v>3</v>
      </c>
    </row>
    <row r="1127" spans="2:5">
      <c r="B1127" s="1" t="s">
        <v>10</v>
      </c>
      <c r="C1127" s="1">
        <v>41244</v>
      </c>
      <c r="D1127">
        <v>3874518072.98</v>
      </c>
      <c r="E1127">
        <v>4</v>
      </c>
    </row>
    <row r="1128" spans="2:5">
      <c r="B1128" s="1" t="s">
        <v>4</v>
      </c>
      <c r="C1128" s="1">
        <v>41244</v>
      </c>
      <c r="D1128">
        <v>3010090931.3099999</v>
      </c>
      <c r="E1128">
        <v>5</v>
      </c>
    </row>
    <row r="1129" spans="2:5">
      <c r="B1129" s="1" t="s">
        <v>6</v>
      </c>
      <c r="C1129" s="1">
        <v>41244</v>
      </c>
      <c r="D1129">
        <v>2405929122.71</v>
      </c>
      <c r="E1129">
        <v>6</v>
      </c>
    </row>
    <row r="1130" spans="2:5">
      <c r="B1130" s="1" t="s">
        <v>35</v>
      </c>
      <c r="C1130" s="1">
        <v>41244</v>
      </c>
      <c r="D1130">
        <v>2250728428.04</v>
      </c>
      <c r="E1130">
        <v>7</v>
      </c>
    </row>
    <row r="1131" spans="2:5">
      <c r="B1131" s="1" t="s">
        <v>19</v>
      </c>
      <c r="C1131" s="1">
        <v>41244</v>
      </c>
      <c r="D1131">
        <v>1993515527.46</v>
      </c>
      <c r="E1131">
        <v>8</v>
      </c>
    </row>
    <row r="1132" spans="2:5">
      <c r="B1132" s="1" t="s">
        <v>36</v>
      </c>
      <c r="C1132" s="1">
        <v>41244</v>
      </c>
      <c r="D1132">
        <v>1584714943.46</v>
      </c>
      <c r="E1132">
        <v>9</v>
      </c>
    </row>
    <row r="1133" spans="2:5">
      <c r="B1133" s="1" t="s">
        <v>26</v>
      </c>
      <c r="C1133" s="1">
        <v>41244</v>
      </c>
      <c r="D1133">
        <v>1546089705.53</v>
      </c>
      <c r="E1133">
        <v>10</v>
      </c>
    </row>
    <row r="1134" spans="2:5">
      <c r="B1134" s="1" t="s">
        <v>11</v>
      </c>
      <c r="C1134" s="1">
        <v>41275</v>
      </c>
      <c r="D1134">
        <v>5514998779.8199997</v>
      </c>
      <c r="E1134">
        <v>1</v>
      </c>
    </row>
    <row r="1135" spans="2:5">
      <c r="B1135" s="1" t="s">
        <v>13</v>
      </c>
      <c r="C1135" s="1">
        <v>41275</v>
      </c>
      <c r="D1135">
        <v>5430680984.2200003</v>
      </c>
      <c r="E1135">
        <v>2</v>
      </c>
    </row>
    <row r="1136" spans="2:5">
      <c r="B1136" s="1" t="s">
        <v>32</v>
      </c>
      <c r="C1136" s="1">
        <v>41275</v>
      </c>
      <c r="D1136">
        <v>4854996551.6700001</v>
      </c>
      <c r="E1136">
        <v>3</v>
      </c>
    </row>
    <row r="1137" spans="2:5">
      <c r="B1137" s="1" t="s">
        <v>10</v>
      </c>
      <c r="C1137" s="1">
        <v>41275</v>
      </c>
      <c r="D1137">
        <v>3904061336.3899999</v>
      </c>
      <c r="E1137">
        <v>4</v>
      </c>
    </row>
    <row r="1138" spans="2:5">
      <c r="B1138" s="1" t="s">
        <v>19</v>
      </c>
      <c r="C1138" s="1">
        <v>41275</v>
      </c>
      <c r="D1138">
        <v>2417312711.3600001</v>
      </c>
      <c r="E1138">
        <v>5</v>
      </c>
    </row>
    <row r="1139" spans="2:5">
      <c r="B1139" s="1" t="s">
        <v>35</v>
      </c>
      <c r="C1139" s="1">
        <v>41275</v>
      </c>
      <c r="D1139">
        <v>1428718132.8699999</v>
      </c>
      <c r="E1139">
        <v>6</v>
      </c>
    </row>
    <row r="1140" spans="2:5">
      <c r="B1140" s="1" t="s">
        <v>6</v>
      </c>
      <c r="C1140" s="1">
        <v>41275</v>
      </c>
      <c r="D1140">
        <v>1299415806.4100001</v>
      </c>
      <c r="E1140">
        <v>7</v>
      </c>
    </row>
    <row r="1141" spans="2:5">
      <c r="B1141" s="1" t="s">
        <v>8</v>
      </c>
      <c r="C1141" s="1">
        <v>41275</v>
      </c>
      <c r="D1141">
        <v>1174707913.27</v>
      </c>
      <c r="E1141">
        <v>8</v>
      </c>
    </row>
    <row r="1142" spans="2:5">
      <c r="B1142" s="1" t="s">
        <v>4</v>
      </c>
      <c r="C1142" s="1">
        <v>41275</v>
      </c>
      <c r="D1142">
        <v>1056573970.66</v>
      </c>
      <c r="E1142">
        <v>9</v>
      </c>
    </row>
    <row r="1143" spans="2:5">
      <c r="B1143" s="1" t="s">
        <v>26</v>
      </c>
      <c r="C1143" s="1">
        <v>41275</v>
      </c>
      <c r="D1143">
        <v>979925672.88999999</v>
      </c>
      <c r="E1143">
        <v>10</v>
      </c>
    </row>
    <row r="1144" spans="2:5">
      <c r="B1144" s="1" t="s">
        <v>11</v>
      </c>
      <c r="C1144" s="1">
        <v>41306</v>
      </c>
      <c r="D1144">
        <v>12330874909.370001</v>
      </c>
      <c r="E1144">
        <v>1</v>
      </c>
    </row>
    <row r="1145" spans="2:5">
      <c r="B1145" s="1" t="s">
        <v>13</v>
      </c>
      <c r="C1145" s="1">
        <v>41306</v>
      </c>
      <c r="D1145">
        <v>7204104917.6300001</v>
      </c>
      <c r="E1145">
        <v>2</v>
      </c>
    </row>
    <row r="1146" spans="2:5">
      <c r="B1146" s="1" t="s">
        <v>32</v>
      </c>
      <c r="C1146" s="1">
        <v>41306</v>
      </c>
      <c r="D1146">
        <v>5966617258.3500004</v>
      </c>
      <c r="E1146">
        <v>3</v>
      </c>
    </row>
    <row r="1147" spans="2:5">
      <c r="B1147" s="1" t="s">
        <v>10</v>
      </c>
      <c r="C1147" s="1">
        <v>41306</v>
      </c>
      <c r="D1147">
        <v>3547658348.7199998</v>
      </c>
      <c r="E1147">
        <v>4</v>
      </c>
    </row>
    <row r="1148" spans="2:5">
      <c r="B1148" s="1" t="s">
        <v>19</v>
      </c>
      <c r="C1148" s="1">
        <v>41306</v>
      </c>
      <c r="D1148">
        <v>2348959566.2800002</v>
      </c>
      <c r="E1148">
        <v>5</v>
      </c>
    </row>
    <row r="1149" spans="2:5">
      <c r="B1149" s="1" t="s">
        <v>35</v>
      </c>
      <c r="C1149" s="1">
        <v>41306</v>
      </c>
      <c r="D1149">
        <v>1997102160.27</v>
      </c>
      <c r="E1149">
        <v>6</v>
      </c>
    </row>
    <row r="1150" spans="2:5">
      <c r="B1150" s="1" t="s">
        <v>6</v>
      </c>
      <c r="C1150" s="1">
        <v>41306</v>
      </c>
      <c r="D1150">
        <v>1897359310.29</v>
      </c>
      <c r="E1150">
        <v>7</v>
      </c>
    </row>
    <row r="1151" spans="2:5">
      <c r="B1151" s="1" t="s">
        <v>4</v>
      </c>
      <c r="C1151" s="1">
        <v>41306</v>
      </c>
      <c r="D1151">
        <v>1610688422.49</v>
      </c>
      <c r="E1151">
        <v>8</v>
      </c>
    </row>
    <row r="1152" spans="2:5">
      <c r="B1152" s="1" t="s">
        <v>5</v>
      </c>
      <c r="C1152" s="1">
        <v>41306</v>
      </c>
      <c r="D1152">
        <v>1597255113.6800001</v>
      </c>
      <c r="E1152">
        <v>9</v>
      </c>
    </row>
    <row r="1153" spans="2:5">
      <c r="B1153" s="1" t="s">
        <v>26</v>
      </c>
      <c r="C1153" s="1">
        <v>41306</v>
      </c>
      <c r="D1153">
        <v>1416718881.03</v>
      </c>
      <c r="E1153">
        <v>10</v>
      </c>
    </row>
    <row r="1154" spans="2:5">
      <c r="B1154" s="1" t="s">
        <v>11</v>
      </c>
      <c r="C1154" s="1">
        <v>41334</v>
      </c>
      <c r="D1154">
        <v>11762868452.809999</v>
      </c>
      <c r="E1154">
        <v>1</v>
      </c>
    </row>
    <row r="1155" spans="2:5">
      <c r="B1155" s="1" t="s">
        <v>13</v>
      </c>
      <c r="C1155" s="1">
        <v>41334</v>
      </c>
      <c r="D1155">
        <v>7145425651.6099997</v>
      </c>
      <c r="E1155">
        <v>2</v>
      </c>
    </row>
    <row r="1156" spans="2:5">
      <c r="B1156" s="1" t="s">
        <v>32</v>
      </c>
      <c r="C1156" s="1">
        <v>41334</v>
      </c>
      <c r="D1156">
        <v>5058886938.4799995</v>
      </c>
      <c r="E1156">
        <v>3</v>
      </c>
    </row>
    <row r="1157" spans="2:5">
      <c r="B1157" s="1" t="s">
        <v>4</v>
      </c>
      <c r="C1157" s="1">
        <v>41334</v>
      </c>
      <c r="D1157">
        <v>4794489644.7399998</v>
      </c>
      <c r="E1157">
        <v>4</v>
      </c>
    </row>
    <row r="1158" spans="2:5">
      <c r="B1158" s="1" t="s">
        <v>10</v>
      </c>
      <c r="C1158" s="1">
        <v>41334</v>
      </c>
      <c r="D1158">
        <v>3063653790.4200001</v>
      </c>
      <c r="E1158">
        <v>5</v>
      </c>
    </row>
    <row r="1159" spans="2:5">
      <c r="B1159" s="1" t="s">
        <v>6</v>
      </c>
      <c r="C1159" s="1">
        <v>41334</v>
      </c>
      <c r="D1159">
        <v>2016668573.79</v>
      </c>
      <c r="E1159">
        <v>6</v>
      </c>
    </row>
    <row r="1160" spans="2:5">
      <c r="B1160" s="1" t="s">
        <v>19</v>
      </c>
      <c r="C1160" s="1">
        <v>41334</v>
      </c>
      <c r="D1160">
        <v>1926771112.8099999</v>
      </c>
      <c r="E1160">
        <v>7</v>
      </c>
    </row>
    <row r="1161" spans="2:5">
      <c r="B1161" s="1" t="s">
        <v>26</v>
      </c>
      <c r="C1161" s="1">
        <v>41334</v>
      </c>
      <c r="D1161">
        <v>1807672705.3199999</v>
      </c>
      <c r="E1161">
        <v>8</v>
      </c>
    </row>
    <row r="1162" spans="2:5">
      <c r="B1162" s="1" t="s">
        <v>5</v>
      </c>
      <c r="C1162" s="1">
        <v>41334</v>
      </c>
      <c r="D1162">
        <v>1302704294.5799999</v>
      </c>
      <c r="E1162">
        <v>9</v>
      </c>
    </row>
    <row r="1163" spans="2:5">
      <c r="B1163" s="1" t="s">
        <v>8</v>
      </c>
      <c r="C1163" s="1">
        <v>41334</v>
      </c>
      <c r="D1163">
        <v>1242590343.3800001</v>
      </c>
      <c r="E1163">
        <v>10</v>
      </c>
    </row>
    <row r="1164" spans="2:5">
      <c r="B1164" s="1" t="s">
        <v>11</v>
      </c>
      <c r="C1164" s="1">
        <v>41365</v>
      </c>
      <c r="D1164">
        <v>9980934177.1000004</v>
      </c>
      <c r="E1164">
        <v>1</v>
      </c>
    </row>
    <row r="1165" spans="2:5">
      <c r="B1165" s="1" t="s">
        <v>13</v>
      </c>
      <c r="C1165" s="1">
        <v>41365</v>
      </c>
      <c r="D1165">
        <v>6886584084.6800003</v>
      </c>
      <c r="E1165">
        <v>2</v>
      </c>
    </row>
    <row r="1166" spans="2:5">
      <c r="B1166" s="1" t="s">
        <v>32</v>
      </c>
      <c r="C1166" s="1">
        <v>41365</v>
      </c>
      <c r="D1166">
        <v>4559782207.0600004</v>
      </c>
      <c r="E1166">
        <v>3</v>
      </c>
    </row>
    <row r="1167" spans="2:5">
      <c r="B1167" s="1" t="s">
        <v>4</v>
      </c>
      <c r="C1167" s="1">
        <v>41365</v>
      </c>
      <c r="D1167">
        <v>2479680401.48</v>
      </c>
      <c r="E1167">
        <v>4</v>
      </c>
    </row>
    <row r="1168" spans="2:5">
      <c r="B1168" s="1" t="s">
        <v>6</v>
      </c>
      <c r="C1168" s="1">
        <v>41365</v>
      </c>
      <c r="D1168">
        <v>2298720470.3699999</v>
      </c>
      <c r="E1168">
        <v>5</v>
      </c>
    </row>
    <row r="1169" spans="2:5">
      <c r="B1169" s="1" t="s">
        <v>10</v>
      </c>
      <c r="C1169" s="1">
        <v>41365</v>
      </c>
      <c r="D1169">
        <v>1898208233.29</v>
      </c>
      <c r="E1169">
        <v>6</v>
      </c>
    </row>
    <row r="1170" spans="2:5">
      <c r="B1170" s="1" t="s">
        <v>26</v>
      </c>
      <c r="C1170" s="1">
        <v>41365</v>
      </c>
      <c r="D1170">
        <v>1849709012.8599999</v>
      </c>
      <c r="E1170">
        <v>7</v>
      </c>
    </row>
    <row r="1171" spans="2:5">
      <c r="B1171" s="1" t="s">
        <v>5</v>
      </c>
      <c r="C1171" s="1">
        <v>41365</v>
      </c>
      <c r="D1171">
        <v>797265609.63999999</v>
      </c>
      <c r="E1171">
        <v>8</v>
      </c>
    </row>
    <row r="1172" spans="2:5">
      <c r="B1172" s="1" t="s">
        <v>19</v>
      </c>
      <c r="C1172" s="1">
        <v>41365</v>
      </c>
      <c r="D1172">
        <v>714987470.79999995</v>
      </c>
      <c r="E1172">
        <v>9</v>
      </c>
    </row>
    <row r="1173" spans="2:5">
      <c r="B1173" s="1" t="s">
        <v>36</v>
      </c>
      <c r="C1173" s="1">
        <v>41365</v>
      </c>
      <c r="D1173">
        <v>701559342.30999994</v>
      </c>
      <c r="E1173">
        <v>10</v>
      </c>
    </row>
    <row r="1174" spans="2:5">
      <c r="B1174" s="1" t="s">
        <v>11</v>
      </c>
      <c r="C1174" s="1">
        <v>41395</v>
      </c>
      <c r="D1174">
        <v>10647976949.73</v>
      </c>
      <c r="E1174">
        <v>1</v>
      </c>
    </row>
    <row r="1175" spans="2:5">
      <c r="B1175" s="1" t="s">
        <v>13</v>
      </c>
      <c r="C1175" s="1">
        <v>41395</v>
      </c>
      <c r="D1175">
        <v>6492413731.9499998</v>
      </c>
      <c r="E1175">
        <v>2</v>
      </c>
    </row>
    <row r="1176" spans="2:5">
      <c r="B1176" s="1" t="s">
        <v>4</v>
      </c>
      <c r="C1176" s="1">
        <v>41395</v>
      </c>
      <c r="D1176">
        <v>4584046912.8000002</v>
      </c>
      <c r="E1176">
        <v>3</v>
      </c>
    </row>
    <row r="1177" spans="2:5">
      <c r="B1177" s="1" t="s">
        <v>32</v>
      </c>
      <c r="C1177" s="1">
        <v>41395</v>
      </c>
      <c r="D1177">
        <v>4116486836.2199998</v>
      </c>
      <c r="E1177">
        <v>4</v>
      </c>
    </row>
    <row r="1178" spans="2:5">
      <c r="B1178" s="1" t="s">
        <v>6</v>
      </c>
      <c r="C1178" s="1">
        <v>41395</v>
      </c>
      <c r="D1178">
        <v>3506379585.9299998</v>
      </c>
      <c r="E1178">
        <v>5</v>
      </c>
    </row>
    <row r="1179" spans="2:5">
      <c r="B1179" s="1" t="s">
        <v>10</v>
      </c>
      <c r="C1179" s="1">
        <v>41395</v>
      </c>
      <c r="D1179">
        <v>2860219926.48</v>
      </c>
      <c r="E1179">
        <v>6</v>
      </c>
    </row>
    <row r="1180" spans="2:5">
      <c r="B1180" t="s">
        <v>8</v>
      </c>
      <c r="C1180" s="1">
        <v>41395</v>
      </c>
      <c r="D1180">
        <v>1593764921.78</v>
      </c>
      <c r="E1180">
        <v>7</v>
      </c>
    </row>
    <row r="1181" spans="2:5">
      <c r="B1181" t="s">
        <v>5</v>
      </c>
      <c r="C1181" s="1">
        <v>41395</v>
      </c>
      <c r="D1181">
        <v>1048561400.36</v>
      </c>
      <c r="E1181">
        <v>8</v>
      </c>
    </row>
    <row r="1182" spans="2:5">
      <c r="B1182" t="s">
        <v>37</v>
      </c>
      <c r="C1182" s="1">
        <v>41395</v>
      </c>
      <c r="D1182">
        <v>1034194462.79</v>
      </c>
      <c r="E1182">
        <v>9</v>
      </c>
    </row>
    <row r="1183" spans="2:5">
      <c r="B1183" t="s">
        <v>36</v>
      </c>
      <c r="C1183" s="1">
        <v>41395</v>
      </c>
      <c r="D1183">
        <v>1029514462.89</v>
      </c>
      <c r="E1183">
        <v>10</v>
      </c>
    </row>
    <row r="1184" spans="2:5">
      <c r="B1184" t="s">
        <v>11</v>
      </c>
      <c r="C1184" s="1">
        <v>41426</v>
      </c>
      <c r="D1184">
        <v>16378355650.98</v>
      </c>
      <c r="E1184">
        <v>1</v>
      </c>
    </row>
    <row r="1185" spans="2:5">
      <c r="B1185" t="s">
        <v>13</v>
      </c>
      <c r="C1185" s="1">
        <v>41426</v>
      </c>
      <c r="D1185">
        <v>5570903232.0500002</v>
      </c>
      <c r="E1185">
        <v>2</v>
      </c>
    </row>
    <row r="1186" spans="2:5">
      <c r="B1186" t="s">
        <v>4</v>
      </c>
      <c r="C1186" s="1">
        <v>41426</v>
      </c>
      <c r="D1186">
        <v>3906418369.8600001</v>
      </c>
      <c r="E1186">
        <v>3</v>
      </c>
    </row>
    <row r="1187" spans="2:5">
      <c r="B1187" t="s">
        <v>32</v>
      </c>
      <c r="C1187" s="1">
        <v>41426</v>
      </c>
      <c r="D1187">
        <v>3451450904.1700001</v>
      </c>
      <c r="E1187">
        <v>4</v>
      </c>
    </row>
    <row r="1188" spans="2:5">
      <c r="B1188" t="s">
        <v>6</v>
      </c>
      <c r="C1188" s="1">
        <v>41426</v>
      </c>
      <c r="D1188">
        <v>2168058843.5500002</v>
      </c>
      <c r="E1188">
        <v>5</v>
      </c>
    </row>
    <row r="1189" spans="2:5">
      <c r="B1189" t="s">
        <v>26</v>
      </c>
      <c r="C1189" s="1">
        <v>41426</v>
      </c>
      <c r="D1189">
        <v>1871436657.03</v>
      </c>
      <c r="E1189">
        <v>6</v>
      </c>
    </row>
    <row r="1190" spans="2:5">
      <c r="B1190" t="s">
        <v>10</v>
      </c>
      <c r="C1190" s="1">
        <v>41426</v>
      </c>
      <c r="D1190">
        <v>1853026355.25</v>
      </c>
      <c r="E1190">
        <v>7</v>
      </c>
    </row>
    <row r="1191" spans="2:5">
      <c r="B1191" t="s">
        <v>38</v>
      </c>
      <c r="C1191" s="1">
        <v>41426</v>
      </c>
      <c r="D1191">
        <v>1108278332</v>
      </c>
      <c r="E1191">
        <v>8</v>
      </c>
    </row>
    <row r="1192" spans="2:5">
      <c r="B1192" t="s">
        <v>5</v>
      </c>
      <c r="C1192" s="1">
        <v>41426</v>
      </c>
      <c r="D1192">
        <v>975136764.05999994</v>
      </c>
      <c r="E1192">
        <v>9</v>
      </c>
    </row>
    <row r="1193" spans="2:5">
      <c r="B1193" t="s">
        <v>36</v>
      </c>
      <c r="C1193" s="1">
        <v>41426</v>
      </c>
      <c r="D1193">
        <v>873269722.52999997</v>
      </c>
      <c r="E1193">
        <v>10</v>
      </c>
    </row>
    <row r="1194" spans="2:5">
      <c r="B1194" t="s">
        <v>11</v>
      </c>
      <c r="C1194" s="1">
        <v>41456</v>
      </c>
      <c r="D1194">
        <v>15177156622.67</v>
      </c>
      <c r="E1194">
        <v>1</v>
      </c>
    </row>
    <row r="1195" spans="2:5">
      <c r="B1195" t="s">
        <v>13</v>
      </c>
      <c r="C1195" s="1">
        <v>41456</v>
      </c>
      <c r="D1195">
        <v>4532716807.6599998</v>
      </c>
      <c r="E1195">
        <v>2</v>
      </c>
    </row>
    <row r="1196" spans="2:5">
      <c r="B1196" t="s">
        <v>32</v>
      </c>
      <c r="C1196" s="1">
        <v>41456</v>
      </c>
      <c r="D1196">
        <v>4046227360.8000002</v>
      </c>
      <c r="E1196">
        <v>3</v>
      </c>
    </row>
    <row r="1197" spans="2:5">
      <c r="B1197" t="s">
        <v>4</v>
      </c>
      <c r="C1197" s="1">
        <v>41456</v>
      </c>
      <c r="D1197">
        <v>2617912861.6999998</v>
      </c>
      <c r="E1197">
        <v>4</v>
      </c>
    </row>
    <row r="1198" spans="2:5">
      <c r="B1198" t="s">
        <v>6</v>
      </c>
      <c r="C1198" s="1">
        <v>41456</v>
      </c>
      <c r="D1198">
        <v>2389540542.1700001</v>
      </c>
      <c r="E1198">
        <v>5</v>
      </c>
    </row>
    <row r="1199" spans="2:5">
      <c r="B1199" t="s">
        <v>10</v>
      </c>
      <c r="C1199" s="1">
        <v>41456</v>
      </c>
      <c r="D1199">
        <v>1992445611.8499999</v>
      </c>
      <c r="E1199">
        <v>6</v>
      </c>
    </row>
    <row r="1200" spans="2:5">
      <c r="B1200" t="s">
        <v>38</v>
      </c>
      <c r="C1200" s="1">
        <v>41456</v>
      </c>
      <c r="D1200">
        <v>1563390928.6700001</v>
      </c>
      <c r="E1200">
        <v>7</v>
      </c>
    </row>
    <row r="1201" spans="2:5">
      <c r="B1201" t="s">
        <v>36</v>
      </c>
      <c r="C1201" s="1">
        <v>41456</v>
      </c>
      <c r="D1201">
        <v>1165394823.78</v>
      </c>
      <c r="E1201">
        <v>8</v>
      </c>
    </row>
    <row r="1202" spans="2:5">
      <c r="B1202" t="s">
        <v>37</v>
      </c>
      <c r="C1202" s="1">
        <v>41456</v>
      </c>
      <c r="D1202">
        <v>990997193.94000006</v>
      </c>
      <c r="E1202">
        <v>9</v>
      </c>
    </row>
    <row r="1203" spans="2:5">
      <c r="B1203" t="s">
        <v>5</v>
      </c>
      <c r="C1203" s="1">
        <v>41456</v>
      </c>
      <c r="D1203">
        <v>565834449.23000002</v>
      </c>
      <c r="E1203">
        <v>10</v>
      </c>
    </row>
    <row r="1204" spans="2:5">
      <c r="B1204" t="s">
        <v>11</v>
      </c>
      <c r="C1204" s="1">
        <v>41487</v>
      </c>
      <c r="D1204">
        <v>16749167656.17</v>
      </c>
      <c r="E1204">
        <v>1</v>
      </c>
    </row>
    <row r="1205" spans="2:5">
      <c r="B1205" t="s">
        <v>32</v>
      </c>
      <c r="C1205" s="1">
        <v>41487</v>
      </c>
      <c r="D1205">
        <v>4431900841.0100002</v>
      </c>
      <c r="E1205">
        <v>2</v>
      </c>
    </row>
    <row r="1206" spans="2:5">
      <c r="B1206" t="s">
        <v>13</v>
      </c>
      <c r="C1206" s="1">
        <v>41487</v>
      </c>
      <c r="D1206">
        <v>3137222205.3800001</v>
      </c>
      <c r="E1206">
        <v>3</v>
      </c>
    </row>
    <row r="1207" spans="2:5">
      <c r="B1207" t="s">
        <v>4</v>
      </c>
      <c r="C1207" s="1">
        <v>41487</v>
      </c>
      <c r="D1207">
        <v>2930451579.5999999</v>
      </c>
      <c r="E1207">
        <v>4</v>
      </c>
    </row>
    <row r="1208" spans="2:5">
      <c r="B1208" t="s">
        <v>10</v>
      </c>
      <c r="C1208" s="1">
        <v>41487</v>
      </c>
      <c r="D1208">
        <v>2282103654.0900002</v>
      </c>
      <c r="E1208">
        <v>5</v>
      </c>
    </row>
    <row r="1209" spans="2:5">
      <c r="B1209" t="s">
        <v>38</v>
      </c>
      <c r="C1209" s="1">
        <v>41487</v>
      </c>
      <c r="D1209">
        <v>2166674852.6700001</v>
      </c>
      <c r="E1209">
        <v>6</v>
      </c>
    </row>
    <row r="1210" spans="2:5">
      <c r="B1210" t="s">
        <v>6</v>
      </c>
      <c r="C1210" s="1">
        <v>41487</v>
      </c>
      <c r="D1210">
        <v>1994105036.03</v>
      </c>
      <c r="E1210">
        <v>7</v>
      </c>
    </row>
    <row r="1211" spans="2:5">
      <c r="B1211" t="s">
        <v>37</v>
      </c>
      <c r="C1211" s="1">
        <v>41487</v>
      </c>
      <c r="D1211">
        <v>1563932131.55</v>
      </c>
      <c r="E1211">
        <v>8</v>
      </c>
    </row>
    <row r="1212" spans="2:5">
      <c r="B1212" t="s">
        <v>35</v>
      </c>
      <c r="C1212" s="1">
        <v>41487</v>
      </c>
      <c r="D1212">
        <v>1139966393.8199999</v>
      </c>
      <c r="E1212">
        <v>9</v>
      </c>
    </row>
    <row r="1213" spans="2:5">
      <c r="B1213" t="s">
        <v>5</v>
      </c>
      <c r="C1213" s="1">
        <v>41487</v>
      </c>
      <c r="D1213">
        <v>711987173.45000005</v>
      </c>
      <c r="E1213">
        <v>10</v>
      </c>
    </row>
    <row r="1214" spans="2:5">
      <c r="B1214" t="s">
        <v>11</v>
      </c>
      <c r="C1214" s="1">
        <v>41518</v>
      </c>
      <c r="D1214">
        <v>15517116259.82</v>
      </c>
      <c r="E1214">
        <v>1</v>
      </c>
    </row>
    <row r="1215" spans="2:5">
      <c r="B1215" t="s">
        <v>32</v>
      </c>
      <c r="C1215" s="1">
        <v>41518</v>
      </c>
      <c r="D1215">
        <v>4099763945.7399998</v>
      </c>
      <c r="E1215">
        <v>2</v>
      </c>
    </row>
    <row r="1216" spans="2:5">
      <c r="B1216" t="s">
        <v>37</v>
      </c>
      <c r="C1216" s="1">
        <v>41518</v>
      </c>
      <c r="D1216">
        <v>2861460099.5799999</v>
      </c>
      <c r="E1216">
        <v>3</v>
      </c>
    </row>
    <row r="1217" spans="2:5">
      <c r="B1217" t="s">
        <v>13</v>
      </c>
      <c r="C1217" s="1">
        <v>41518</v>
      </c>
      <c r="D1217">
        <v>2535693044.8800001</v>
      </c>
      <c r="E1217">
        <v>4</v>
      </c>
    </row>
    <row r="1218" spans="2:5">
      <c r="B1218" t="s">
        <v>4</v>
      </c>
      <c r="C1218" s="1">
        <v>41518</v>
      </c>
      <c r="D1218">
        <v>2233807570.8600001</v>
      </c>
      <c r="E1218">
        <v>5</v>
      </c>
    </row>
    <row r="1219" spans="2:5">
      <c r="B1219" t="s">
        <v>38</v>
      </c>
      <c r="C1219" s="1">
        <v>41518</v>
      </c>
      <c r="D1219">
        <v>2152825718.3000002</v>
      </c>
      <c r="E1219">
        <v>6</v>
      </c>
    </row>
    <row r="1220" spans="2:5">
      <c r="B1220" t="s">
        <v>10</v>
      </c>
      <c r="C1220" s="1">
        <v>41518</v>
      </c>
      <c r="D1220">
        <v>1790973007.52</v>
      </c>
      <c r="E1220">
        <v>7</v>
      </c>
    </row>
    <row r="1221" spans="2:5">
      <c r="B1221" t="s">
        <v>6</v>
      </c>
      <c r="C1221" s="1">
        <v>41518</v>
      </c>
      <c r="D1221">
        <v>1718538173.28</v>
      </c>
      <c r="E1221">
        <v>8</v>
      </c>
    </row>
    <row r="1222" spans="2:5">
      <c r="B1222" t="s">
        <v>34</v>
      </c>
      <c r="C1222" s="1">
        <v>41518</v>
      </c>
      <c r="D1222">
        <v>1295687786.72</v>
      </c>
      <c r="E1222">
        <v>9</v>
      </c>
    </row>
    <row r="1223" spans="2:5">
      <c r="B1223" t="s">
        <v>26</v>
      </c>
      <c r="C1223" s="1">
        <v>41518</v>
      </c>
      <c r="D1223">
        <v>912925948.12</v>
      </c>
      <c r="E1223">
        <v>10</v>
      </c>
    </row>
    <row r="1224" spans="2:5">
      <c r="B1224" t="s">
        <v>11</v>
      </c>
      <c r="C1224" s="1">
        <v>41548</v>
      </c>
      <c r="D1224">
        <v>12736272274.200001</v>
      </c>
      <c r="E1224">
        <v>1</v>
      </c>
    </row>
    <row r="1225" spans="2:5">
      <c r="B1225" t="s">
        <v>13</v>
      </c>
      <c r="C1225" s="1">
        <v>41548</v>
      </c>
      <c r="D1225">
        <v>3244376454.9099998</v>
      </c>
      <c r="E1225">
        <v>2</v>
      </c>
    </row>
    <row r="1226" spans="2:5">
      <c r="B1226" t="s">
        <v>4</v>
      </c>
      <c r="C1226" s="1">
        <v>41548</v>
      </c>
      <c r="D1226">
        <v>2756386822.5100002</v>
      </c>
      <c r="E1226">
        <v>3</v>
      </c>
    </row>
    <row r="1227" spans="2:5">
      <c r="B1227" t="s">
        <v>32</v>
      </c>
      <c r="C1227" s="1">
        <v>41548</v>
      </c>
      <c r="D1227">
        <v>2353070457.5900002</v>
      </c>
      <c r="E1227">
        <v>4</v>
      </c>
    </row>
    <row r="1228" spans="2:5">
      <c r="B1228" t="s">
        <v>38</v>
      </c>
      <c r="C1228" s="1">
        <v>41548</v>
      </c>
      <c r="D1228">
        <v>1808657114.72</v>
      </c>
      <c r="E1228">
        <v>5</v>
      </c>
    </row>
    <row r="1229" spans="2:5">
      <c r="B1229" t="s">
        <v>37</v>
      </c>
      <c r="C1229" s="1">
        <v>41548</v>
      </c>
      <c r="D1229">
        <v>1339478926.28</v>
      </c>
      <c r="E1229">
        <v>6</v>
      </c>
    </row>
    <row r="1230" spans="2:5">
      <c r="B1230" t="s">
        <v>10</v>
      </c>
      <c r="C1230" s="1">
        <v>41548</v>
      </c>
      <c r="D1230">
        <v>1178857899.45</v>
      </c>
      <c r="E1230">
        <v>7</v>
      </c>
    </row>
    <row r="1231" spans="2:5">
      <c r="B1231" t="s">
        <v>6</v>
      </c>
      <c r="C1231" s="1">
        <v>41548</v>
      </c>
      <c r="D1231">
        <v>1074960568.03</v>
      </c>
      <c r="E1231">
        <v>8</v>
      </c>
    </row>
    <row r="1232" spans="2:5">
      <c r="B1232" t="s">
        <v>34</v>
      </c>
      <c r="C1232" s="1">
        <v>41548</v>
      </c>
      <c r="D1232">
        <v>967298891.16999996</v>
      </c>
      <c r="E1232">
        <v>9</v>
      </c>
    </row>
    <row r="1233" spans="2:5">
      <c r="B1233" t="s">
        <v>5</v>
      </c>
      <c r="C1233" s="1">
        <v>41548</v>
      </c>
      <c r="D1233">
        <v>605181497.16999996</v>
      </c>
      <c r="E1233">
        <v>10</v>
      </c>
    </row>
    <row r="1234" spans="2:5">
      <c r="B1234" t="s">
        <v>11</v>
      </c>
      <c r="C1234" s="1">
        <v>41579</v>
      </c>
      <c r="D1234">
        <v>9023886132.7900009</v>
      </c>
      <c r="E1234">
        <v>1</v>
      </c>
    </row>
    <row r="1235" spans="2:5">
      <c r="B1235" t="s">
        <v>13</v>
      </c>
      <c r="C1235" s="1">
        <v>41579</v>
      </c>
      <c r="D1235">
        <v>2224516923.4400001</v>
      </c>
      <c r="E1235">
        <v>2</v>
      </c>
    </row>
    <row r="1236" spans="2:5">
      <c r="B1236" t="s">
        <v>32</v>
      </c>
      <c r="C1236" s="1">
        <v>41579</v>
      </c>
      <c r="D1236">
        <v>1845973493.28</v>
      </c>
      <c r="E1236">
        <v>3</v>
      </c>
    </row>
    <row r="1237" spans="2:5">
      <c r="B1237" t="s">
        <v>37</v>
      </c>
      <c r="C1237" s="1">
        <v>41579</v>
      </c>
      <c r="D1237">
        <v>1714263954.01</v>
      </c>
      <c r="E1237">
        <v>4</v>
      </c>
    </row>
    <row r="1238" spans="2:5">
      <c r="B1238" t="s">
        <v>38</v>
      </c>
      <c r="C1238" s="1">
        <v>41579</v>
      </c>
      <c r="D1238">
        <v>1625261801.0699999</v>
      </c>
      <c r="E1238">
        <v>5</v>
      </c>
    </row>
    <row r="1239" spans="2:5">
      <c r="B1239" t="s">
        <v>4</v>
      </c>
      <c r="C1239" s="1">
        <v>41579</v>
      </c>
      <c r="D1239">
        <v>1548644985.6900001</v>
      </c>
      <c r="E1239">
        <v>6</v>
      </c>
    </row>
    <row r="1240" spans="2:5">
      <c r="B1240" t="s">
        <v>10</v>
      </c>
      <c r="C1240" s="1">
        <v>41579</v>
      </c>
      <c r="D1240">
        <v>1277248858.6700001</v>
      </c>
      <c r="E1240">
        <v>7</v>
      </c>
    </row>
    <row r="1241" spans="2:5">
      <c r="B1241" t="s">
        <v>6</v>
      </c>
      <c r="C1241" s="1">
        <v>41579</v>
      </c>
      <c r="D1241">
        <v>862988410.10000002</v>
      </c>
      <c r="E1241">
        <v>8</v>
      </c>
    </row>
    <row r="1242" spans="2:5">
      <c r="B1242" t="s">
        <v>34</v>
      </c>
      <c r="C1242" s="1">
        <v>41579</v>
      </c>
      <c r="D1242">
        <v>766705889.39999998</v>
      </c>
      <c r="E1242">
        <v>9</v>
      </c>
    </row>
    <row r="1243" spans="2:5">
      <c r="B1243" t="s">
        <v>5</v>
      </c>
      <c r="C1243" s="1">
        <v>41579</v>
      </c>
      <c r="D1243">
        <v>748285780.59000003</v>
      </c>
      <c r="E1243">
        <v>10</v>
      </c>
    </row>
    <row r="1244" spans="2:5">
      <c r="B1244" t="s">
        <v>11</v>
      </c>
      <c r="C1244" s="1">
        <v>41609</v>
      </c>
      <c r="D1244">
        <v>7160448808.71</v>
      </c>
      <c r="E1244">
        <v>1</v>
      </c>
    </row>
    <row r="1245" spans="2:5">
      <c r="B1245" t="s">
        <v>13</v>
      </c>
      <c r="C1245" s="1">
        <v>41609</v>
      </c>
      <c r="D1245">
        <v>3275629193.4299998</v>
      </c>
      <c r="E1245">
        <v>2</v>
      </c>
    </row>
    <row r="1246" spans="2:5">
      <c r="B1246" t="s">
        <v>32</v>
      </c>
      <c r="C1246" s="1">
        <v>41609</v>
      </c>
      <c r="D1246">
        <v>1689487463.0999999</v>
      </c>
      <c r="E1246">
        <v>3</v>
      </c>
    </row>
    <row r="1247" spans="2:5">
      <c r="B1247" t="s">
        <v>4</v>
      </c>
      <c r="C1247" s="1">
        <v>41609</v>
      </c>
      <c r="D1247">
        <v>1401145120.4400001</v>
      </c>
      <c r="E1247">
        <v>4</v>
      </c>
    </row>
    <row r="1248" spans="2:5">
      <c r="B1248" t="s">
        <v>10</v>
      </c>
      <c r="C1248" s="1">
        <v>41609</v>
      </c>
      <c r="D1248">
        <v>1385947039.5999999</v>
      </c>
      <c r="E1248">
        <v>5</v>
      </c>
    </row>
    <row r="1249" spans="2:5">
      <c r="B1249" t="s">
        <v>38</v>
      </c>
      <c r="C1249" s="1">
        <v>41609</v>
      </c>
      <c r="D1249">
        <v>1234168380.74</v>
      </c>
      <c r="E1249">
        <v>6</v>
      </c>
    </row>
    <row r="1250" spans="2:5">
      <c r="B1250" t="s">
        <v>37</v>
      </c>
      <c r="C1250" s="1">
        <v>41609</v>
      </c>
      <c r="D1250">
        <v>883068620.78999996</v>
      </c>
      <c r="E1250">
        <v>7</v>
      </c>
    </row>
    <row r="1251" spans="2:5">
      <c r="B1251" t="s">
        <v>6</v>
      </c>
      <c r="C1251" s="1">
        <v>41609</v>
      </c>
      <c r="D1251">
        <v>834319839.09000003</v>
      </c>
      <c r="E1251">
        <v>8</v>
      </c>
    </row>
    <row r="1252" spans="2:5">
      <c r="B1252" t="s">
        <v>5</v>
      </c>
      <c r="C1252" s="1">
        <v>41609</v>
      </c>
      <c r="D1252">
        <v>553098374.40999997</v>
      </c>
      <c r="E1252">
        <v>9</v>
      </c>
    </row>
    <row r="1253" spans="2:5">
      <c r="B1253" t="s">
        <v>39</v>
      </c>
      <c r="C1253" s="1">
        <v>41609</v>
      </c>
      <c r="D1253">
        <v>478405453.45999998</v>
      </c>
      <c r="E1253">
        <v>10</v>
      </c>
    </row>
    <row r="1254" spans="2:5">
      <c r="B1254" t="s">
        <v>11</v>
      </c>
      <c r="C1254" s="1">
        <v>41640</v>
      </c>
      <c r="D1254">
        <v>5970250118.0100002</v>
      </c>
      <c r="E1254">
        <v>1</v>
      </c>
    </row>
    <row r="1255" spans="2:5">
      <c r="B1255" t="s">
        <v>13</v>
      </c>
      <c r="C1255" s="1">
        <v>41640</v>
      </c>
      <c r="D1255">
        <v>2207793813.1599998</v>
      </c>
      <c r="E1255">
        <v>2</v>
      </c>
    </row>
    <row r="1256" spans="2:5">
      <c r="B1256" t="s">
        <v>38</v>
      </c>
      <c r="C1256" s="1">
        <v>41640</v>
      </c>
      <c r="D1256">
        <v>1555357392.6700001</v>
      </c>
      <c r="E1256">
        <v>3</v>
      </c>
    </row>
    <row r="1257" spans="2:5">
      <c r="B1257" t="s">
        <v>32</v>
      </c>
      <c r="C1257" s="1">
        <v>41640</v>
      </c>
      <c r="D1257">
        <v>1417769963.4200001</v>
      </c>
      <c r="E1257">
        <v>4</v>
      </c>
    </row>
    <row r="1258" spans="2:5">
      <c r="B1258" t="s">
        <v>37</v>
      </c>
      <c r="C1258" s="1">
        <v>41640</v>
      </c>
      <c r="D1258">
        <v>1067961270.72</v>
      </c>
      <c r="E1258">
        <v>5</v>
      </c>
    </row>
    <row r="1259" spans="2:5">
      <c r="B1259" t="s">
        <v>4</v>
      </c>
      <c r="C1259" s="1">
        <v>41640</v>
      </c>
      <c r="D1259">
        <v>1061697850.64</v>
      </c>
      <c r="E1259">
        <v>6</v>
      </c>
    </row>
    <row r="1260" spans="2:5">
      <c r="B1260" t="s">
        <v>10</v>
      </c>
      <c r="C1260" s="1">
        <v>41640</v>
      </c>
      <c r="D1260">
        <v>966432689.55999994</v>
      </c>
      <c r="E1260">
        <v>7</v>
      </c>
    </row>
    <row r="1261" spans="2:5">
      <c r="B1261" t="s">
        <v>6</v>
      </c>
      <c r="C1261" s="1">
        <v>41640</v>
      </c>
      <c r="D1261">
        <v>646947732.10000002</v>
      </c>
      <c r="E1261">
        <v>8</v>
      </c>
    </row>
    <row r="1262" spans="2:5">
      <c r="B1262" t="s">
        <v>5</v>
      </c>
      <c r="C1262" s="1">
        <v>41640</v>
      </c>
      <c r="D1262">
        <v>423629042.22000003</v>
      </c>
      <c r="E1262">
        <v>9</v>
      </c>
    </row>
    <row r="1263" spans="2:5">
      <c r="B1263" t="s">
        <v>22</v>
      </c>
      <c r="C1263" s="1">
        <v>41640</v>
      </c>
      <c r="D1263">
        <v>395465549.91000003</v>
      </c>
      <c r="E1263">
        <v>10</v>
      </c>
    </row>
    <row r="1264" spans="2:5">
      <c r="B1264" t="s">
        <v>11</v>
      </c>
      <c r="C1264" s="1">
        <v>41671</v>
      </c>
      <c r="D1264">
        <v>2787339203.8600001</v>
      </c>
      <c r="E1264">
        <v>1</v>
      </c>
    </row>
    <row r="1265" spans="2:5">
      <c r="B1265" t="s">
        <v>32</v>
      </c>
      <c r="C1265" s="1">
        <v>41671</v>
      </c>
      <c r="D1265">
        <v>1754359485.8099999</v>
      </c>
      <c r="E1265">
        <v>2</v>
      </c>
    </row>
    <row r="1266" spans="2:5">
      <c r="B1266" t="s">
        <v>13</v>
      </c>
      <c r="C1266" s="1">
        <v>41671</v>
      </c>
      <c r="D1266">
        <v>1687480050.0599999</v>
      </c>
      <c r="E1266">
        <v>3</v>
      </c>
    </row>
    <row r="1267" spans="2:5">
      <c r="B1267" t="s">
        <v>38</v>
      </c>
      <c r="C1267" s="1">
        <v>41671</v>
      </c>
      <c r="D1267">
        <v>1337275043.49</v>
      </c>
      <c r="E1267">
        <v>4</v>
      </c>
    </row>
    <row r="1268" spans="2:5">
      <c r="B1268" t="s">
        <v>37</v>
      </c>
      <c r="C1268" s="1">
        <v>41671</v>
      </c>
      <c r="D1268">
        <v>1054634095.39</v>
      </c>
      <c r="E1268">
        <v>5</v>
      </c>
    </row>
    <row r="1269" spans="2:5">
      <c r="B1269" t="s">
        <v>4</v>
      </c>
      <c r="C1269" s="1">
        <v>41671</v>
      </c>
      <c r="D1269">
        <v>772623567.57000005</v>
      </c>
      <c r="E1269">
        <v>6</v>
      </c>
    </row>
    <row r="1270" spans="2:5">
      <c r="B1270" t="s">
        <v>10</v>
      </c>
      <c r="C1270" s="1">
        <v>41671</v>
      </c>
      <c r="D1270">
        <v>608831623.90999997</v>
      </c>
      <c r="E1270">
        <v>7</v>
      </c>
    </row>
    <row r="1271" spans="2:5">
      <c r="B1271" t="s">
        <v>6</v>
      </c>
      <c r="C1271" s="1">
        <v>41671</v>
      </c>
      <c r="D1271">
        <v>437423782.51999998</v>
      </c>
      <c r="E1271">
        <v>8</v>
      </c>
    </row>
    <row r="1272" spans="2:5">
      <c r="B1272" t="s">
        <v>22</v>
      </c>
      <c r="C1272" s="1">
        <v>41671</v>
      </c>
      <c r="D1272">
        <v>382102212.56</v>
      </c>
      <c r="E1272">
        <v>9</v>
      </c>
    </row>
    <row r="1273" spans="2:5">
      <c r="B1273" t="s">
        <v>5</v>
      </c>
      <c r="C1273" s="1">
        <v>41671</v>
      </c>
      <c r="D1273">
        <v>380420991.08999997</v>
      </c>
      <c r="E1273">
        <v>10</v>
      </c>
    </row>
    <row r="1274" spans="2:5">
      <c r="B1274" t="s">
        <v>11</v>
      </c>
      <c r="C1274" s="1">
        <v>41699</v>
      </c>
      <c r="D1274">
        <v>3860179857.6700001</v>
      </c>
      <c r="E1274">
        <v>1</v>
      </c>
    </row>
    <row r="1275" spans="2:5">
      <c r="B1275" t="s">
        <v>13</v>
      </c>
      <c r="C1275" s="1">
        <v>41699</v>
      </c>
      <c r="D1275">
        <v>2055501949.8099999</v>
      </c>
      <c r="E1275">
        <v>2</v>
      </c>
    </row>
    <row r="1276" spans="2:5">
      <c r="B1276" t="s">
        <v>32</v>
      </c>
      <c r="C1276" s="1">
        <v>41699</v>
      </c>
      <c r="D1276">
        <v>1916682883.5699999</v>
      </c>
      <c r="E1276">
        <v>3</v>
      </c>
    </row>
    <row r="1277" spans="2:5">
      <c r="B1277" t="s">
        <v>38</v>
      </c>
      <c r="C1277" s="1">
        <v>41699</v>
      </c>
      <c r="D1277">
        <v>1267206821.6800001</v>
      </c>
      <c r="E1277">
        <v>4</v>
      </c>
    </row>
    <row r="1278" spans="2:5">
      <c r="B1278" t="s">
        <v>37</v>
      </c>
      <c r="C1278" s="1">
        <v>41699</v>
      </c>
      <c r="D1278">
        <v>1267185698.4400001</v>
      </c>
      <c r="E1278">
        <v>5</v>
      </c>
    </row>
    <row r="1279" spans="2:5">
      <c r="B1279" t="s">
        <v>4</v>
      </c>
      <c r="C1279" s="1">
        <v>41699</v>
      </c>
      <c r="D1279">
        <v>649550606.24000001</v>
      </c>
      <c r="E1279">
        <v>6</v>
      </c>
    </row>
    <row r="1280" spans="2:5">
      <c r="B1280" t="s">
        <v>10</v>
      </c>
      <c r="C1280" s="1">
        <v>41699</v>
      </c>
      <c r="D1280">
        <v>625973165.45000005</v>
      </c>
      <c r="E1280">
        <v>7</v>
      </c>
    </row>
    <row r="1281" spans="2:5">
      <c r="B1281" t="s">
        <v>6</v>
      </c>
      <c r="C1281" s="1">
        <v>41699</v>
      </c>
      <c r="D1281">
        <v>470195699.30000001</v>
      </c>
      <c r="E1281">
        <v>8</v>
      </c>
    </row>
    <row r="1282" spans="2:5">
      <c r="B1282" t="s">
        <v>22</v>
      </c>
      <c r="C1282" s="1">
        <v>41699</v>
      </c>
      <c r="D1282">
        <v>408580255.77999997</v>
      </c>
      <c r="E1282">
        <v>9</v>
      </c>
    </row>
    <row r="1283" spans="2:5">
      <c r="B1283" t="s">
        <v>5</v>
      </c>
      <c r="C1283" s="1">
        <v>41699</v>
      </c>
      <c r="D1283">
        <v>286171469.83999997</v>
      </c>
      <c r="E1283">
        <v>10</v>
      </c>
    </row>
    <row r="1284" spans="2:5">
      <c r="B1284" t="s">
        <v>11</v>
      </c>
      <c r="C1284" s="1">
        <v>41730</v>
      </c>
      <c r="D1284">
        <v>2723269728.27</v>
      </c>
      <c r="E1284">
        <v>1</v>
      </c>
    </row>
    <row r="1285" spans="2:5">
      <c r="B1285" t="s">
        <v>32</v>
      </c>
      <c r="C1285" s="1">
        <v>41730</v>
      </c>
      <c r="D1285">
        <v>1569133883.05</v>
      </c>
      <c r="E1285">
        <v>2</v>
      </c>
    </row>
    <row r="1286" spans="2:5">
      <c r="B1286" t="s">
        <v>13</v>
      </c>
      <c r="C1286" s="1">
        <v>41730</v>
      </c>
      <c r="D1286">
        <v>1372169527.04</v>
      </c>
      <c r="E1286">
        <v>3</v>
      </c>
    </row>
    <row r="1287" spans="2:5">
      <c r="B1287" t="s">
        <v>37</v>
      </c>
      <c r="C1287" s="1">
        <v>41730</v>
      </c>
      <c r="D1287">
        <v>909424536.85000002</v>
      </c>
      <c r="E1287">
        <v>4</v>
      </c>
    </row>
    <row r="1288" spans="2:5">
      <c r="B1288" t="s">
        <v>38</v>
      </c>
      <c r="C1288" s="1">
        <v>41730</v>
      </c>
      <c r="D1288">
        <v>906645531.15999997</v>
      </c>
      <c r="E1288">
        <v>5</v>
      </c>
    </row>
    <row r="1289" spans="2:5">
      <c r="B1289" t="s">
        <v>10</v>
      </c>
      <c r="C1289" s="1">
        <v>41730</v>
      </c>
      <c r="D1289">
        <v>534078279.32999998</v>
      </c>
      <c r="E1289">
        <v>6</v>
      </c>
    </row>
    <row r="1290" spans="2:5">
      <c r="B1290" t="s">
        <v>4</v>
      </c>
      <c r="C1290" s="1">
        <v>41730</v>
      </c>
      <c r="D1290">
        <v>518057060.72000003</v>
      </c>
      <c r="E1290">
        <v>7</v>
      </c>
    </row>
    <row r="1291" spans="2:5">
      <c r="B1291" t="s">
        <v>22</v>
      </c>
      <c r="C1291" s="1">
        <v>41730</v>
      </c>
      <c r="D1291">
        <v>317565010.06999999</v>
      </c>
      <c r="E1291">
        <v>8</v>
      </c>
    </row>
    <row r="1292" spans="2:5">
      <c r="B1292" t="s">
        <v>35</v>
      </c>
      <c r="C1292" s="1">
        <v>41730</v>
      </c>
      <c r="D1292">
        <v>312613978.33999997</v>
      </c>
      <c r="E1292">
        <v>9</v>
      </c>
    </row>
    <row r="1293" spans="2:5">
      <c r="B1293" t="s">
        <v>6</v>
      </c>
      <c r="C1293" s="1">
        <v>41730</v>
      </c>
      <c r="D1293">
        <v>282873582</v>
      </c>
      <c r="E1293">
        <v>10</v>
      </c>
    </row>
    <row r="1294" spans="2:5">
      <c r="B1294" t="s">
        <v>11</v>
      </c>
      <c r="C1294" s="1">
        <v>41760</v>
      </c>
      <c r="D1294">
        <v>3201052079.1599998</v>
      </c>
      <c r="E1294">
        <v>1</v>
      </c>
    </row>
    <row r="1295" spans="2:5">
      <c r="B1295" t="s">
        <v>13</v>
      </c>
      <c r="C1295" s="1">
        <v>41760</v>
      </c>
      <c r="D1295">
        <v>2401374616.25</v>
      </c>
      <c r="E1295">
        <v>2</v>
      </c>
    </row>
    <row r="1296" spans="2:5">
      <c r="B1296" t="s">
        <v>32</v>
      </c>
      <c r="C1296" s="1">
        <v>41760</v>
      </c>
      <c r="D1296">
        <v>1572084510.04</v>
      </c>
      <c r="E1296">
        <v>3</v>
      </c>
    </row>
    <row r="1297" spans="2:5">
      <c r="B1297" t="s">
        <v>38</v>
      </c>
      <c r="C1297" s="1">
        <v>41760</v>
      </c>
      <c r="D1297">
        <v>866292694.84000003</v>
      </c>
      <c r="E1297">
        <v>4</v>
      </c>
    </row>
    <row r="1298" spans="2:5">
      <c r="B1298" t="s">
        <v>10</v>
      </c>
      <c r="C1298" s="1">
        <v>41760</v>
      </c>
      <c r="D1298">
        <v>834730668.64999998</v>
      </c>
      <c r="E1298">
        <v>5</v>
      </c>
    </row>
    <row r="1299" spans="2:5">
      <c r="B1299" t="s">
        <v>37</v>
      </c>
      <c r="C1299" s="1">
        <v>41760</v>
      </c>
      <c r="D1299">
        <v>828909798.36000001</v>
      </c>
      <c r="E1299">
        <v>6</v>
      </c>
    </row>
    <row r="1300" spans="2:5">
      <c r="B1300" t="s">
        <v>4</v>
      </c>
      <c r="C1300" s="1">
        <v>41760</v>
      </c>
      <c r="D1300">
        <v>626546587.73000002</v>
      </c>
      <c r="E1300">
        <v>7</v>
      </c>
    </row>
    <row r="1301" spans="2:5">
      <c r="B1301" t="s">
        <v>22</v>
      </c>
      <c r="C1301" s="1">
        <v>41760</v>
      </c>
      <c r="D1301">
        <v>468001431.88999999</v>
      </c>
      <c r="E1301">
        <v>8</v>
      </c>
    </row>
    <row r="1302" spans="2:5">
      <c r="B1302" t="s">
        <v>39</v>
      </c>
      <c r="C1302" s="1">
        <v>41760</v>
      </c>
      <c r="D1302">
        <v>443325185.75999999</v>
      </c>
      <c r="E1302">
        <v>9</v>
      </c>
    </row>
    <row r="1303" spans="2:5">
      <c r="B1303" t="s">
        <v>6</v>
      </c>
      <c r="C1303" s="1">
        <v>41760</v>
      </c>
      <c r="D1303">
        <v>415703618.36000001</v>
      </c>
      <c r="E1303">
        <v>10</v>
      </c>
    </row>
    <row r="1304" spans="2:5">
      <c r="B1304" t="s">
        <v>11</v>
      </c>
      <c r="C1304" s="1">
        <v>41791</v>
      </c>
      <c r="D1304">
        <v>3493812279.3000002</v>
      </c>
      <c r="E1304">
        <v>1</v>
      </c>
    </row>
    <row r="1305" spans="2:5">
      <c r="B1305" t="s">
        <v>32</v>
      </c>
      <c r="C1305" s="1">
        <v>41791</v>
      </c>
      <c r="D1305">
        <v>1523092086.4300001</v>
      </c>
      <c r="E1305">
        <v>2</v>
      </c>
    </row>
    <row r="1306" spans="2:5">
      <c r="B1306" t="s">
        <v>38</v>
      </c>
      <c r="C1306" s="1">
        <v>41791</v>
      </c>
      <c r="D1306">
        <v>897813612.57000005</v>
      </c>
      <c r="E1306">
        <v>3</v>
      </c>
    </row>
    <row r="1307" spans="2:5">
      <c r="B1307" t="s">
        <v>10</v>
      </c>
      <c r="C1307" s="1">
        <v>41791</v>
      </c>
      <c r="D1307">
        <v>682300544.83000004</v>
      </c>
      <c r="E1307">
        <v>4</v>
      </c>
    </row>
    <row r="1308" spans="2:5">
      <c r="B1308" t="s">
        <v>4</v>
      </c>
      <c r="C1308" s="1">
        <v>41791</v>
      </c>
      <c r="D1308">
        <v>679855405.29999995</v>
      </c>
      <c r="E1308">
        <v>5</v>
      </c>
    </row>
    <row r="1309" spans="2:5">
      <c r="B1309" t="s">
        <v>13</v>
      </c>
      <c r="C1309" s="1">
        <v>41791</v>
      </c>
      <c r="D1309">
        <v>675024826.10000002</v>
      </c>
      <c r="E1309">
        <v>6</v>
      </c>
    </row>
    <row r="1310" spans="2:5">
      <c r="B1310" t="s">
        <v>37</v>
      </c>
      <c r="C1310" s="1">
        <v>41791</v>
      </c>
      <c r="D1310">
        <v>568052778.69000006</v>
      </c>
      <c r="E1310">
        <v>7</v>
      </c>
    </row>
    <row r="1311" spans="2:5">
      <c r="B1311" t="s">
        <v>39</v>
      </c>
      <c r="C1311" s="1">
        <v>41791</v>
      </c>
      <c r="D1311">
        <v>536538819.19999999</v>
      </c>
      <c r="E1311">
        <v>8</v>
      </c>
    </row>
    <row r="1312" spans="2:5">
      <c r="B1312" t="s">
        <v>22</v>
      </c>
      <c r="C1312" s="1">
        <v>41791</v>
      </c>
      <c r="D1312">
        <v>523383504.5</v>
      </c>
      <c r="E1312">
        <v>9</v>
      </c>
    </row>
    <row r="1313" spans="2:5">
      <c r="B1313" t="s">
        <v>34</v>
      </c>
      <c r="C1313" s="1">
        <v>41791</v>
      </c>
      <c r="D1313">
        <v>521174007.47000003</v>
      </c>
      <c r="E1313">
        <v>10</v>
      </c>
    </row>
    <row r="1314" spans="2:5">
      <c r="B1314" t="s">
        <v>11</v>
      </c>
      <c r="C1314" s="1">
        <v>41821</v>
      </c>
      <c r="D1314">
        <v>3922236463.21</v>
      </c>
      <c r="E1314">
        <v>1</v>
      </c>
    </row>
    <row r="1315" spans="2:5">
      <c r="B1315" t="s">
        <v>32</v>
      </c>
      <c r="C1315" s="1">
        <v>41821</v>
      </c>
      <c r="D1315">
        <v>1815521830.9200001</v>
      </c>
      <c r="E1315">
        <v>2</v>
      </c>
    </row>
    <row r="1316" spans="2:5">
      <c r="B1316" t="s">
        <v>13</v>
      </c>
      <c r="C1316" s="1">
        <v>41821</v>
      </c>
      <c r="D1316">
        <v>1578614288.8800001</v>
      </c>
      <c r="E1316">
        <v>3</v>
      </c>
    </row>
    <row r="1317" spans="2:5">
      <c r="B1317" t="s">
        <v>38</v>
      </c>
      <c r="C1317" s="1">
        <v>41821</v>
      </c>
      <c r="D1317">
        <v>1286875630.3800001</v>
      </c>
      <c r="E1317">
        <v>4</v>
      </c>
    </row>
    <row r="1318" spans="2:5">
      <c r="B1318" t="s">
        <v>10</v>
      </c>
      <c r="C1318" s="1">
        <v>41821</v>
      </c>
      <c r="D1318">
        <v>865608919</v>
      </c>
      <c r="E1318">
        <v>5</v>
      </c>
    </row>
    <row r="1319" spans="2:5">
      <c r="B1319" t="s">
        <v>37</v>
      </c>
      <c r="C1319" s="1">
        <v>41821</v>
      </c>
      <c r="D1319">
        <v>732897324.17999995</v>
      </c>
      <c r="E1319">
        <v>6</v>
      </c>
    </row>
    <row r="1320" spans="2:5">
      <c r="B1320" t="s">
        <v>4</v>
      </c>
      <c r="C1320" s="1">
        <v>41821</v>
      </c>
      <c r="D1320">
        <v>613072165.80999994</v>
      </c>
      <c r="E1320">
        <v>7</v>
      </c>
    </row>
    <row r="1321" spans="2:5">
      <c r="B1321" t="s">
        <v>22</v>
      </c>
      <c r="C1321" s="1">
        <v>41821</v>
      </c>
      <c r="D1321">
        <v>594661694.71000004</v>
      </c>
      <c r="E1321">
        <v>8</v>
      </c>
    </row>
    <row r="1322" spans="2:5">
      <c r="B1322" t="s">
        <v>39</v>
      </c>
      <c r="C1322" s="1">
        <v>41821</v>
      </c>
      <c r="D1322">
        <v>471094129.24000001</v>
      </c>
      <c r="E1322">
        <v>9</v>
      </c>
    </row>
    <row r="1323" spans="2:5">
      <c r="B1323" t="s">
        <v>35</v>
      </c>
      <c r="C1323" s="1">
        <v>41821</v>
      </c>
      <c r="D1323">
        <v>379516474.86000001</v>
      </c>
      <c r="E1323">
        <v>10</v>
      </c>
    </row>
    <row r="1324" spans="2:5">
      <c r="B1324" t="s">
        <v>11</v>
      </c>
      <c r="C1324" s="1">
        <v>41852</v>
      </c>
      <c r="D1324">
        <v>4211266060.8699999</v>
      </c>
      <c r="E1324">
        <v>1</v>
      </c>
    </row>
    <row r="1325" spans="2:5">
      <c r="B1325" t="s">
        <v>32</v>
      </c>
      <c r="C1325" s="1">
        <v>41852</v>
      </c>
      <c r="D1325">
        <v>2299190742.25</v>
      </c>
      <c r="E1325">
        <v>2</v>
      </c>
    </row>
    <row r="1326" spans="2:5">
      <c r="B1326" t="s">
        <v>38</v>
      </c>
      <c r="C1326" s="1">
        <v>41852</v>
      </c>
      <c r="D1326">
        <v>1444694113.3900001</v>
      </c>
      <c r="E1326">
        <v>3</v>
      </c>
    </row>
    <row r="1327" spans="2:5">
      <c r="B1327" t="s">
        <v>13</v>
      </c>
      <c r="C1327" s="1">
        <v>41852</v>
      </c>
      <c r="D1327">
        <v>1256009451.99</v>
      </c>
      <c r="E1327">
        <v>4</v>
      </c>
    </row>
    <row r="1328" spans="2:5">
      <c r="B1328" t="s">
        <v>22</v>
      </c>
      <c r="C1328" s="1">
        <v>41852</v>
      </c>
      <c r="D1328">
        <v>819739915.15999997</v>
      </c>
      <c r="E1328">
        <v>5</v>
      </c>
    </row>
    <row r="1329" spans="2:5">
      <c r="B1329" t="s">
        <v>26</v>
      </c>
      <c r="C1329" s="1">
        <v>41852</v>
      </c>
      <c r="D1329">
        <v>765661024.61000001</v>
      </c>
      <c r="E1329">
        <v>6</v>
      </c>
    </row>
    <row r="1330" spans="2:5">
      <c r="B1330" t="s">
        <v>37</v>
      </c>
      <c r="C1330" s="1">
        <v>41852</v>
      </c>
      <c r="D1330">
        <v>764448274.14999998</v>
      </c>
      <c r="E1330">
        <v>7</v>
      </c>
    </row>
    <row r="1331" spans="2:5">
      <c r="B1331" t="s">
        <v>10</v>
      </c>
      <c r="C1331" s="1">
        <v>41852</v>
      </c>
      <c r="D1331">
        <v>729902335.99000001</v>
      </c>
      <c r="E1331">
        <v>8</v>
      </c>
    </row>
    <row r="1332" spans="2:5">
      <c r="B1332" t="s">
        <v>4</v>
      </c>
      <c r="C1332" s="1">
        <v>41852</v>
      </c>
      <c r="D1332">
        <v>576252299.98000002</v>
      </c>
      <c r="E1332">
        <v>9</v>
      </c>
    </row>
    <row r="1333" spans="2:5">
      <c r="B1333" t="s">
        <v>35</v>
      </c>
      <c r="C1333" s="1">
        <v>41852</v>
      </c>
      <c r="D1333">
        <v>525952501.19</v>
      </c>
      <c r="E1333">
        <v>10</v>
      </c>
    </row>
    <row r="1334" spans="2:5">
      <c r="B1334" t="s">
        <v>11</v>
      </c>
      <c r="C1334" s="1">
        <v>41883</v>
      </c>
      <c r="D1334">
        <v>4257244054.8600001</v>
      </c>
      <c r="E1334">
        <v>1</v>
      </c>
    </row>
    <row r="1335" spans="2:5">
      <c r="B1335" t="s">
        <v>32</v>
      </c>
      <c r="C1335" s="1">
        <v>41883</v>
      </c>
      <c r="D1335">
        <v>2188451666.4499998</v>
      </c>
      <c r="E1335">
        <v>2</v>
      </c>
    </row>
    <row r="1336" spans="2:5">
      <c r="B1336" t="s">
        <v>38</v>
      </c>
      <c r="C1336" s="1">
        <v>41883</v>
      </c>
      <c r="D1336">
        <v>1535693081.29</v>
      </c>
      <c r="E1336">
        <v>3</v>
      </c>
    </row>
    <row r="1337" spans="2:5">
      <c r="B1337" t="s">
        <v>13</v>
      </c>
      <c r="C1337" s="1">
        <v>41883</v>
      </c>
      <c r="D1337">
        <v>1162108590.4200001</v>
      </c>
      <c r="E1337">
        <v>4</v>
      </c>
    </row>
    <row r="1338" spans="2:5">
      <c r="B1338" t="s">
        <v>37</v>
      </c>
      <c r="C1338" s="1">
        <v>41883</v>
      </c>
      <c r="D1338">
        <v>877451695.02999997</v>
      </c>
      <c r="E1338">
        <v>5</v>
      </c>
    </row>
    <row r="1339" spans="2:5">
      <c r="B1339" t="s">
        <v>10</v>
      </c>
      <c r="C1339" s="1">
        <v>41883</v>
      </c>
      <c r="D1339">
        <v>785999239.74000001</v>
      </c>
      <c r="E1339">
        <v>6</v>
      </c>
    </row>
    <row r="1340" spans="2:5">
      <c r="B1340" t="s">
        <v>26</v>
      </c>
      <c r="C1340" s="1">
        <v>41883</v>
      </c>
      <c r="D1340">
        <v>742569431.09000003</v>
      </c>
      <c r="E1340">
        <v>7</v>
      </c>
    </row>
    <row r="1341" spans="2:5">
      <c r="B1341" t="s">
        <v>4</v>
      </c>
      <c r="C1341" s="1">
        <v>41883</v>
      </c>
      <c r="D1341">
        <v>590371770.82000005</v>
      </c>
      <c r="E1341">
        <v>8</v>
      </c>
    </row>
    <row r="1342" spans="2:5">
      <c r="B1342" t="s">
        <v>35</v>
      </c>
      <c r="C1342" s="1">
        <v>41883</v>
      </c>
      <c r="D1342">
        <v>460490700.62</v>
      </c>
      <c r="E1342">
        <v>9</v>
      </c>
    </row>
    <row r="1343" spans="2:5">
      <c r="B1343" t="s">
        <v>39</v>
      </c>
      <c r="C1343" s="1">
        <v>41883</v>
      </c>
      <c r="D1343">
        <v>437971221.79000002</v>
      </c>
      <c r="E1343">
        <v>10</v>
      </c>
    </row>
    <row r="1344" spans="2:5">
      <c r="B1344" t="s">
        <v>11</v>
      </c>
      <c r="C1344" s="1">
        <v>41913</v>
      </c>
      <c r="D1344">
        <v>3899112245.7399998</v>
      </c>
      <c r="E1344">
        <v>1</v>
      </c>
    </row>
    <row r="1345" spans="2:5">
      <c r="B1345" t="s">
        <v>6</v>
      </c>
      <c r="C1345" s="1">
        <v>41913</v>
      </c>
      <c r="D1345">
        <v>3552132855.6300001</v>
      </c>
      <c r="E1345">
        <v>2</v>
      </c>
    </row>
    <row r="1346" spans="2:5">
      <c r="B1346" t="s">
        <v>26</v>
      </c>
      <c r="C1346" s="1">
        <v>41913</v>
      </c>
      <c r="D1346">
        <v>2783280665.23</v>
      </c>
      <c r="E1346">
        <v>3</v>
      </c>
    </row>
    <row r="1347" spans="2:5">
      <c r="B1347" t="s">
        <v>32</v>
      </c>
      <c r="C1347" s="1">
        <v>41913</v>
      </c>
      <c r="D1347">
        <v>2389791457.5599999</v>
      </c>
      <c r="E1347">
        <v>4</v>
      </c>
    </row>
    <row r="1348" spans="2:5">
      <c r="B1348" t="s">
        <v>13</v>
      </c>
      <c r="C1348" s="1">
        <v>41913</v>
      </c>
      <c r="D1348">
        <v>2086427445.23</v>
      </c>
      <c r="E1348">
        <v>5</v>
      </c>
    </row>
    <row r="1349" spans="2:5">
      <c r="B1349" t="s">
        <v>38</v>
      </c>
      <c r="C1349" s="1">
        <v>41913</v>
      </c>
      <c r="D1349">
        <v>1535983379.74</v>
      </c>
      <c r="E1349">
        <v>6</v>
      </c>
    </row>
    <row r="1350" spans="2:5">
      <c r="B1350" t="s">
        <v>37</v>
      </c>
      <c r="C1350" s="1">
        <v>41913</v>
      </c>
      <c r="D1350">
        <v>1085804754.1199999</v>
      </c>
      <c r="E1350">
        <v>7</v>
      </c>
    </row>
    <row r="1351" spans="2:5">
      <c r="B1351" t="s">
        <v>10</v>
      </c>
      <c r="C1351" s="1">
        <v>41913</v>
      </c>
      <c r="D1351">
        <v>870888081.38999999</v>
      </c>
      <c r="E1351">
        <v>8</v>
      </c>
    </row>
    <row r="1352" spans="2:5">
      <c r="B1352" t="s">
        <v>22</v>
      </c>
      <c r="C1352" s="1">
        <v>41913</v>
      </c>
      <c r="D1352">
        <v>611874691.96000004</v>
      </c>
      <c r="E1352">
        <v>9</v>
      </c>
    </row>
    <row r="1353" spans="2:5">
      <c r="B1353" t="s">
        <v>4</v>
      </c>
      <c r="C1353" s="1">
        <v>41913</v>
      </c>
      <c r="D1353">
        <v>550167101.55999994</v>
      </c>
      <c r="E1353">
        <v>10</v>
      </c>
    </row>
    <row r="1354" spans="2:5">
      <c r="B1354" t="s">
        <v>11</v>
      </c>
      <c r="C1354" s="1">
        <v>41944</v>
      </c>
      <c r="D1354">
        <v>3926294145.04</v>
      </c>
      <c r="E1354">
        <v>1</v>
      </c>
    </row>
    <row r="1355" spans="2:5">
      <c r="B1355" t="s">
        <v>13</v>
      </c>
      <c r="C1355" s="1">
        <v>41944</v>
      </c>
      <c r="D1355">
        <v>2838560140.8800001</v>
      </c>
      <c r="E1355">
        <v>2</v>
      </c>
    </row>
    <row r="1356" spans="2:5">
      <c r="B1356" t="s">
        <v>32</v>
      </c>
      <c r="C1356" s="1">
        <v>41944</v>
      </c>
      <c r="D1356">
        <v>2036061242.9100001</v>
      </c>
      <c r="E1356">
        <v>3</v>
      </c>
    </row>
    <row r="1357" spans="2:5">
      <c r="B1357" t="s">
        <v>38</v>
      </c>
      <c r="C1357" s="1">
        <v>41944</v>
      </c>
      <c r="D1357">
        <v>1531899596.8499999</v>
      </c>
      <c r="E1357">
        <v>4</v>
      </c>
    </row>
    <row r="1358" spans="2:5">
      <c r="B1358" t="s">
        <v>26</v>
      </c>
      <c r="C1358" s="1">
        <v>41944</v>
      </c>
      <c r="D1358">
        <v>912965328.49000001</v>
      </c>
      <c r="E1358">
        <v>5</v>
      </c>
    </row>
    <row r="1359" spans="2:5">
      <c r="B1359" t="s">
        <v>10</v>
      </c>
      <c r="C1359" s="1">
        <v>41944</v>
      </c>
      <c r="D1359">
        <v>878388058.72000003</v>
      </c>
      <c r="E1359">
        <v>6</v>
      </c>
    </row>
    <row r="1360" spans="2:5">
      <c r="B1360" t="s">
        <v>37</v>
      </c>
      <c r="C1360" s="1">
        <v>41944</v>
      </c>
      <c r="D1360">
        <v>834463365.48000002</v>
      </c>
      <c r="E1360">
        <v>7</v>
      </c>
    </row>
    <row r="1361" spans="2:5">
      <c r="B1361" t="s">
        <v>22</v>
      </c>
      <c r="C1361" s="1">
        <v>41944</v>
      </c>
      <c r="D1361">
        <v>662813498.03999996</v>
      </c>
      <c r="E1361">
        <v>8</v>
      </c>
    </row>
    <row r="1362" spans="2:5">
      <c r="B1362" t="s">
        <v>4</v>
      </c>
      <c r="C1362" s="1">
        <v>41944</v>
      </c>
      <c r="D1362">
        <v>595276050.34000003</v>
      </c>
      <c r="E1362">
        <v>9</v>
      </c>
    </row>
    <row r="1363" spans="2:5">
      <c r="B1363" t="s">
        <v>35</v>
      </c>
      <c r="C1363" s="1">
        <v>41944</v>
      </c>
      <c r="D1363">
        <v>500204248.58999997</v>
      </c>
      <c r="E1363">
        <v>10</v>
      </c>
    </row>
    <row r="1364" spans="2:5">
      <c r="B1364" t="s">
        <v>6</v>
      </c>
      <c r="C1364" s="1">
        <v>41974</v>
      </c>
      <c r="D1364">
        <v>4060384889.1599998</v>
      </c>
      <c r="E1364">
        <v>1</v>
      </c>
    </row>
    <row r="1365" spans="2:5">
      <c r="B1365" t="s">
        <v>11</v>
      </c>
      <c r="C1365" s="1">
        <v>41974</v>
      </c>
      <c r="D1365">
        <v>3731231905.7600002</v>
      </c>
      <c r="E1365">
        <v>2</v>
      </c>
    </row>
    <row r="1366" spans="2:5">
      <c r="B1366" t="s">
        <v>13</v>
      </c>
      <c r="C1366" s="1">
        <v>41974</v>
      </c>
      <c r="D1366">
        <v>3000151952.8899999</v>
      </c>
      <c r="E1366">
        <v>3</v>
      </c>
    </row>
    <row r="1367" spans="2:5">
      <c r="B1367" t="s">
        <v>32</v>
      </c>
      <c r="C1367" s="1">
        <v>41974</v>
      </c>
      <c r="D1367">
        <v>2764147676.1700001</v>
      </c>
      <c r="E1367">
        <v>4</v>
      </c>
    </row>
    <row r="1368" spans="2:5">
      <c r="B1368" t="s">
        <v>38</v>
      </c>
      <c r="C1368" s="1">
        <v>41974</v>
      </c>
      <c r="D1368">
        <v>1389426710.6099999</v>
      </c>
      <c r="E1368">
        <v>5</v>
      </c>
    </row>
    <row r="1369" spans="2:5">
      <c r="B1369" t="s">
        <v>37</v>
      </c>
      <c r="C1369" s="1">
        <v>41974</v>
      </c>
      <c r="D1369">
        <v>805943904.73000002</v>
      </c>
      <c r="E1369">
        <v>6</v>
      </c>
    </row>
    <row r="1370" spans="2:5">
      <c r="B1370" t="s">
        <v>26</v>
      </c>
      <c r="C1370" s="1">
        <v>41974</v>
      </c>
      <c r="D1370">
        <v>770850866.33000004</v>
      </c>
      <c r="E1370">
        <v>7</v>
      </c>
    </row>
    <row r="1371" spans="2:5">
      <c r="B1371" t="s">
        <v>10</v>
      </c>
      <c r="C1371" s="1">
        <v>41974</v>
      </c>
      <c r="D1371">
        <v>717407310.95000005</v>
      </c>
      <c r="E1371">
        <v>8</v>
      </c>
    </row>
    <row r="1372" spans="2:5">
      <c r="B1372" t="s">
        <v>39</v>
      </c>
      <c r="C1372" s="1">
        <v>41974</v>
      </c>
      <c r="D1372">
        <v>710666768.27999997</v>
      </c>
      <c r="E1372">
        <v>9</v>
      </c>
    </row>
    <row r="1373" spans="2:5">
      <c r="B1373" t="s">
        <v>4</v>
      </c>
      <c r="C1373" s="1">
        <v>41974</v>
      </c>
      <c r="D1373">
        <v>575224844.82000005</v>
      </c>
      <c r="E1373">
        <v>10</v>
      </c>
    </row>
    <row r="1374" spans="2:5">
      <c r="B1374" t="s">
        <v>11</v>
      </c>
      <c r="C1374" s="1">
        <v>42005</v>
      </c>
      <c r="D1374">
        <v>3507360281.3800001</v>
      </c>
      <c r="E1374">
        <v>1</v>
      </c>
    </row>
    <row r="1375" spans="2:5">
      <c r="B1375" t="s">
        <v>4</v>
      </c>
      <c r="C1375" s="1">
        <v>42005</v>
      </c>
      <c r="D1375">
        <v>2887876961.9000001</v>
      </c>
      <c r="E1375">
        <v>2</v>
      </c>
    </row>
    <row r="1376" spans="2:5">
      <c r="B1376" t="s">
        <v>32</v>
      </c>
      <c r="C1376" s="1">
        <v>42005</v>
      </c>
      <c r="D1376">
        <v>2059485374.03</v>
      </c>
      <c r="E1376">
        <v>3</v>
      </c>
    </row>
    <row r="1377" spans="2:5">
      <c r="B1377" t="s">
        <v>10</v>
      </c>
      <c r="C1377" s="1">
        <v>42005</v>
      </c>
      <c r="D1377">
        <v>1104439089.96</v>
      </c>
      <c r="E1377">
        <v>4</v>
      </c>
    </row>
    <row r="1378" spans="2:5">
      <c r="B1378" t="s">
        <v>38</v>
      </c>
      <c r="C1378" s="1">
        <v>42005</v>
      </c>
      <c r="D1378">
        <v>1073416945.2</v>
      </c>
      <c r="E1378">
        <v>5</v>
      </c>
    </row>
    <row r="1379" spans="2:5">
      <c r="B1379" t="s">
        <v>13</v>
      </c>
      <c r="C1379" s="1">
        <v>42005</v>
      </c>
      <c r="D1379">
        <v>943487241.74000001</v>
      </c>
      <c r="E1379">
        <v>6</v>
      </c>
    </row>
    <row r="1380" spans="2:5">
      <c r="B1380" t="s">
        <v>37</v>
      </c>
      <c r="C1380" s="1">
        <v>42005</v>
      </c>
      <c r="D1380">
        <v>758991275.28999996</v>
      </c>
      <c r="E1380">
        <v>7</v>
      </c>
    </row>
    <row r="1381" spans="2:5">
      <c r="B1381" t="s">
        <v>39</v>
      </c>
      <c r="C1381" s="1">
        <v>42005</v>
      </c>
      <c r="D1381">
        <v>657873548.25</v>
      </c>
      <c r="E1381">
        <v>8</v>
      </c>
    </row>
    <row r="1382" spans="2:5">
      <c r="B1382" t="s">
        <v>26</v>
      </c>
      <c r="C1382" s="1">
        <v>42005</v>
      </c>
      <c r="D1382">
        <v>645169719.35000002</v>
      </c>
      <c r="E1382">
        <v>9</v>
      </c>
    </row>
    <row r="1383" spans="2:5">
      <c r="B1383" t="s">
        <v>22</v>
      </c>
      <c r="C1383" s="1">
        <v>42005</v>
      </c>
      <c r="D1383">
        <v>597778539.26999998</v>
      </c>
      <c r="E1383">
        <v>10</v>
      </c>
    </row>
    <row r="1384" spans="2:5">
      <c r="B1384" t="s">
        <v>11</v>
      </c>
      <c r="C1384" s="1">
        <v>42036</v>
      </c>
      <c r="D1384">
        <v>5302574418.9099998</v>
      </c>
      <c r="E1384">
        <v>1</v>
      </c>
    </row>
    <row r="1385" spans="2:5">
      <c r="B1385" t="s">
        <v>32</v>
      </c>
      <c r="C1385" s="1">
        <v>42036</v>
      </c>
      <c r="D1385">
        <v>3177985156.9499998</v>
      </c>
      <c r="E1385">
        <v>2</v>
      </c>
    </row>
    <row r="1386" spans="2:5">
      <c r="B1386" t="s">
        <v>13</v>
      </c>
      <c r="C1386" s="1">
        <v>42036</v>
      </c>
      <c r="D1386">
        <v>1841848287.3900001</v>
      </c>
      <c r="E1386">
        <v>3</v>
      </c>
    </row>
    <row r="1387" spans="2:5">
      <c r="B1387" t="s">
        <v>38</v>
      </c>
      <c r="C1387" s="1">
        <v>42036</v>
      </c>
      <c r="D1387">
        <v>1234949707.1900001</v>
      </c>
      <c r="E1387">
        <v>4</v>
      </c>
    </row>
    <row r="1388" spans="2:5">
      <c r="B1388" t="s">
        <v>39</v>
      </c>
      <c r="C1388" s="1">
        <v>42036</v>
      </c>
      <c r="D1388">
        <v>967269135.14999998</v>
      </c>
      <c r="E1388">
        <v>5</v>
      </c>
    </row>
    <row r="1389" spans="2:5">
      <c r="B1389" t="s">
        <v>10</v>
      </c>
      <c r="C1389" s="1">
        <v>42036</v>
      </c>
      <c r="D1389">
        <v>926692781.25</v>
      </c>
      <c r="E1389">
        <v>6</v>
      </c>
    </row>
    <row r="1390" spans="2:5">
      <c r="B1390" t="s">
        <v>26</v>
      </c>
      <c r="C1390" s="1">
        <v>42036</v>
      </c>
      <c r="D1390">
        <v>814842832.97000003</v>
      </c>
      <c r="E1390">
        <v>7</v>
      </c>
    </row>
    <row r="1391" spans="2:5">
      <c r="B1391" t="s">
        <v>4</v>
      </c>
      <c r="C1391" s="1">
        <v>42036</v>
      </c>
      <c r="D1391">
        <v>558788700.02999997</v>
      </c>
      <c r="E1391">
        <v>8</v>
      </c>
    </row>
    <row r="1392" spans="2:5">
      <c r="B1392" t="s">
        <v>37</v>
      </c>
      <c r="C1392" s="1">
        <v>42036</v>
      </c>
      <c r="D1392">
        <v>556166429.88999999</v>
      </c>
      <c r="E1392">
        <v>9</v>
      </c>
    </row>
    <row r="1393" spans="2:5">
      <c r="B1393" t="s">
        <v>22</v>
      </c>
      <c r="C1393" s="1">
        <v>42036</v>
      </c>
      <c r="D1393">
        <v>515177267.69999999</v>
      </c>
      <c r="E1393">
        <v>10</v>
      </c>
    </row>
    <row r="1394" spans="2:5">
      <c r="B1394" t="s">
        <v>11</v>
      </c>
      <c r="C1394" s="1">
        <v>42064</v>
      </c>
      <c r="D1394">
        <v>4795370179.5500002</v>
      </c>
      <c r="E1394">
        <v>1</v>
      </c>
    </row>
    <row r="1395" spans="2:5">
      <c r="B1395" t="s">
        <v>32</v>
      </c>
      <c r="C1395" s="1">
        <v>42064</v>
      </c>
      <c r="D1395">
        <v>2385777676.1799998</v>
      </c>
      <c r="E1395">
        <v>2</v>
      </c>
    </row>
    <row r="1396" spans="2:5">
      <c r="B1396" t="s">
        <v>13</v>
      </c>
      <c r="C1396" s="1">
        <v>42064</v>
      </c>
      <c r="D1396">
        <v>1744880169.5999999</v>
      </c>
      <c r="E1396">
        <v>3</v>
      </c>
    </row>
    <row r="1397" spans="2:5">
      <c r="B1397" t="s">
        <v>38</v>
      </c>
      <c r="C1397" s="1">
        <v>42064</v>
      </c>
      <c r="D1397">
        <v>1093287336.01</v>
      </c>
      <c r="E1397">
        <v>4</v>
      </c>
    </row>
    <row r="1398" spans="2:5">
      <c r="B1398" t="s">
        <v>10</v>
      </c>
      <c r="C1398" s="1">
        <v>42064</v>
      </c>
      <c r="D1398">
        <v>970138744.33000004</v>
      </c>
      <c r="E1398">
        <v>5</v>
      </c>
    </row>
    <row r="1399" spans="2:5">
      <c r="B1399" t="s">
        <v>26</v>
      </c>
      <c r="C1399" s="1">
        <v>42064</v>
      </c>
      <c r="D1399">
        <v>839249502.65999997</v>
      </c>
      <c r="E1399">
        <v>6</v>
      </c>
    </row>
    <row r="1400" spans="2:5">
      <c r="B1400" t="s">
        <v>37</v>
      </c>
      <c r="C1400" s="1">
        <v>42064</v>
      </c>
      <c r="D1400">
        <v>800403329.84000003</v>
      </c>
      <c r="E1400">
        <v>7</v>
      </c>
    </row>
    <row r="1401" spans="2:5">
      <c r="B1401" t="s">
        <v>39</v>
      </c>
      <c r="C1401" s="1">
        <v>42064</v>
      </c>
      <c r="D1401">
        <v>646809552.53999996</v>
      </c>
      <c r="E1401">
        <v>8</v>
      </c>
    </row>
    <row r="1402" spans="2:5">
      <c r="B1402" t="s">
        <v>22</v>
      </c>
      <c r="C1402" s="1">
        <v>42064</v>
      </c>
      <c r="D1402">
        <v>621440129.88</v>
      </c>
      <c r="E1402">
        <v>9</v>
      </c>
    </row>
    <row r="1403" spans="2:5">
      <c r="B1403" t="s">
        <v>4</v>
      </c>
      <c r="C1403" s="1">
        <v>42064</v>
      </c>
      <c r="D1403">
        <v>480448874.94</v>
      </c>
      <c r="E1403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06"/>
  <sheetViews>
    <sheetView workbookViewId="0">
      <selection activeCell="C3" sqref="C3:D3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45</v>
      </c>
      <c r="K1" s="2" t="s">
        <v>3</v>
      </c>
      <c r="L1" s="5">
        <v>1</v>
      </c>
    </row>
    <row r="2" spans="3:12">
      <c r="C2" t="s">
        <v>44</v>
      </c>
      <c r="G2" t="s">
        <v>46</v>
      </c>
      <c r="K2" t="s">
        <v>47</v>
      </c>
    </row>
    <row r="3" spans="3:12">
      <c r="C3" s="2" t="s">
        <v>40</v>
      </c>
      <c r="D3" t="s">
        <v>42</v>
      </c>
      <c r="G3" s="2" t="s">
        <v>40</v>
      </c>
      <c r="H3" t="s">
        <v>42</v>
      </c>
      <c r="K3" s="2" t="s">
        <v>40</v>
      </c>
      <c r="L3" t="s">
        <v>42</v>
      </c>
    </row>
    <row r="4" spans="3:12">
      <c r="C4" s="3">
        <v>39083</v>
      </c>
      <c r="D4" s="4">
        <v>5917837957.0899992</v>
      </c>
      <c r="G4" s="3">
        <v>39083</v>
      </c>
      <c r="H4" s="4">
        <v>4675271846</v>
      </c>
      <c r="K4" s="3">
        <v>39083</v>
      </c>
      <c r="L4" s="4">
        <v>1816782123.1800001</v>
      </c>
    </row>
    <row r="5" spans="3:12">
      <c r="C5" s="3">
        <v>39114</v>
      </c>
      <c r="D5" s="4">
        <v>4819569329.3100004</v>
      </c>
      <c r="G5" s="3">
        <v>39114</v>
      </c>
      <c r="H5" s="4">
        <v>3707608545.3900003</v>
      </c>
      <c r="K5" s="3">
        <v>39114</v>
      </c>
      <c r="L5" s="4">
        <v>1621110935.21</v>
      </c>
    </row>
    <row r="6" spans="3:12">
      <c r="C6" s="3">
        <v>39142</v>
      </c>
      <c r="D6" s="4">
        <v>5236806934.5200005</v>
      </c>
      <c r="G6" s="3">
        <v>39142</v>
      </c>
      <c r="H6" s="4">
        <v>3885155136.0299997</v>
      </c>
      <c r="K6" s="3">
        <v>39142</v>
      </c>
      <c r="L6" s="4">
        <v>1136163344.1300001</v>
      </c>
    </row>
    <row r="7" spans="3:12">
      <c r="C7" s="3">
        <v>39173</v>
      </c>
      <c r="D7" s="4">
        <v>5752688319.5200014</v>
      </c>
      <c r="G7" s="3">
        <v>39173</v>
      </c>
      <c r="H7" s="4">
        <v>4308137234.5500002</v>
      </c>
      <c r="K7" s="3">
        <v>39173</v>
      </c>
      <c r="L7" s="4">
        <v>1386094463.95</v>
      </c>
    </row>
    <row r="8" spans="3:12">
      <c r="C8" s="3">
        <v>39203</v>
      </c>
      <c r="D8" s="4">
        <v>6627094777.0699997</v>
      </c>
      <c r="G8" s="3">
        <v>39203</v>
      </c>
      <c r="H8" s="4">
        <v>5203595070.6300011</v>
      </c>
      <c r="K8" s="3">
        <v>39203</v>
      </c>
      <c r="L8" s="4">
        <v>1527666445.4200001</v>
      </c>
    </row>
    <row r="9" spans="3:12">
      <c r="C9" s="3">
        <v>39234</v>
      </c>
      <c r="D9" s="4">
        <v>7624572480.1800013</v>
      </c>
      <c r="G9" s="3">
        <v>39234</v>
      </c>
      <c r="H9" s="4">
        <v>5902134383.0900011</v>
      </c>
      <c r="K9" s="3">
        <v>39234</v>
      </c>
      <c r="L9" s="4">
        <v>1823409047.55</v>
      </c>
    </row>
    <row r="10" spans="3:12">
      <c r="C10" s="3">
        <v>39264</v>
      </c>
      <c r="D10" s="4">
        <v>8258481569.0299997</v>
      </c>
      <c r="G10" s="3">
        <v>39264</v>
      </c>
      <c r="H10" s="4">
        <v>6436321428.1300001</v>
      </c>
      <c r="K10" s="3">
        <v>39264</v>
      </c>
      <c r="L10" s="4">
        <v>2191372591.8000002</v>
      </c>
    </row>
    <row r="11" spans="3:12">
      <c r="C11" s="3">
        <v>39295</v>
      </c>
      <c r="D11" s="4">
        <v>9249250882.0799999</v>
      </c>
      <c r="G11" s="3">
        <v>39295</v>
      </c>
      <c r="H11" s="4">
        <v>7040787872.7600002</v>
      </c>
      <c r="K11" s="3">
        <v>39295</v>
      </c>
      <c r="L11" s="4">
        <v>2199361792.6500001</v>
      </c>
    </row>
    <row r="12" spans="3:12">
      <c r="C12" s="3">
        <v>39326</v>
      </c>
      <c r="D12" s="4">
        <v>8170390845.2800007</v>
      </c>
      <c r="G12" s="3">
        <v>39326</v>
      </c>
      <c r="H12" s="4">
        <v>6529052107.9900007</v>
      </c>
      <c r="K12" s="3">
        <v>39326</v>
      </c>
      <c r="L12" s="4">
        <v>2100244827.6099999</v>
      </c>
    </row>
    <row r="13" spans="3:12">
      <c r="C13" s="3">
        <v>39356</v>
      </c>
      <c r="D13" s="4">
        <v>9326868083.7999992</v>
      </c>
      <c r="G13" s="3">
        <v>39356</v>
      </c>
      <c r="H13" s="4">
        <v>7162808102.2799997</v>
      </c>
      <c r="K13" s="3">
        <v>39356</v>
      </c>
      <c r="L13" s="4">
        <v>1942871547.53</v>
      </c>
    </row>
    <row r="14" spans="3:12">
      <c r="C14" s="3">
        <v>39387</v>
      </c>
      <c r="D14" s="4">
        <v>9448859486.9599991</v>
      </c>
      <c r="G14" s="3">
        <v>39387</v>
      </c>
      <c r="H14" s="4">
        <v>7178740230.6700001</v>
      </c>
      <c r="K14" s="3">
        <v>39387</v>
      </c>
      <c r="L14" s="4">
        <v>2053183704.1099999</v>
      </c>
    </row>
    <row r="15" spans="3:12">
      <c r="C15" s="3">
        <v>39417</v>
      </c>
      <c r="D15" s="4">
        <v>10973397940.699999</v>
      </c>
      <c r="G15" s="3">
        <v>39417</v>
      </c>
      <c r="H15" s="4">
        <v>8596153165.3600006</v>
      </c>
      <c r="K15" s="3">
        <v>39417</v>
      </c>
      <c r="L15" s="4">
        <v>2610711823.8800001</v>
      </c>
    </row>
    <row r="16" spans="3:12">
      <c r="C16" s="3">
        <v>39448</v>
      </c>
      <c r="D16" s="4">
        <v>11576202368.27</v>
      </c>
      <c r="G16" s="3">
        <v>39448</v>
      </c>
      <c r="H16" s="4">
        <v>9595662918.3299999</v>
      </c>
      <c r="K16" s="3">
        <v>39448</v>
      </c>
      <c r="L16" s="4">
        <v>2683651040.4299998</v>
      </c>
    </row>
    <row r="17" spans="3:12">
      <c r="C17" s="3">
        <v>39479</v>
      </c>
      <c r="D17" s="4">
        <v>10960147633.5</v>
      </c>
      <c r="G17" s="3">
        <v>39479</v>
      </c>
      <c r="H17" s="4">
        <v>8866585818.8600006</v>
      </c>
      <c r="K17" s="3">
        <v>39479</v>
      </c>
      <c r="L17" s="4">
        <v>2482933120.71</v>
      </c>
    </row>
    <row r="18" spans="3:12">
      <c r="C18" s="3">
        <v>39508</v>
      </c>
      <c r="D18" s="4">
        <v>13798702266.43</v>
      </c>
      <c r="G18" s="3">
        <v>39508</v>
      </c>
      <c r="H18" s="4">
        <v>11303577377.16</v>
      </c>
      <c r="K18" s="3">
        <v>39508</v>
      </c>
      <c r="L18" s="4">
        <v>3560147160.0799999</v>
      </c>
    </row>
    <row r="19" spans="3:12">
      <c r="C19" s="3">
        <v>39539</v>
      </c>
      <c r="D19" s="4">
        <v>17836824698.27</v>
      </c>
      <c r="G19" s="3">
        <v>39539</v>
      </c>
      <c r="H19" s="4">
        <v>14516045890.940002</v>
      </c>
      <c r="K19" s="3">
        <v>39539</v>
      </c>
      <c r="L19" s="4">
        <v>4623451382.9700003</v>
      </c>
    </row>
    <row r="20" spans="3:12">
      <c r="C20" s="3">
        <v>39569</v>
      </c>
      <c r="D20" s="4">
        <v>19741794646.82</v>
      </c>
      <c r="G20" s="3">
        <v>39569</v>
      </c>
      <c r="H20" s="4">
        <v>15812654388.58</v>
      </c>
      <c r="K20" s="3">
        <v>39569</v>
      </c>
      <c r="L20" s="4">
        <v>4941795296.04</v>
      </c>
    </row>
    <row r="21" spans="3:12">
      <c r="C21" s="3">
        <v>39600</v>
      </c>
      <c r="D21" s="4">
        <v>25833038129.700005</v>
      </c>
      <c r="G21" s="3">
        <v>39600</v>
      </c>
      <c r="H21" s="4">
        <v>21188136959.960003</v>
      </c>
      <c r="K21" s="3">
        <v>39600</v>
      </c>
      <c r="L21" s="4">
        <v>6834874504.6000004</v>
      </c>
    </row>
    <row r="22" spans="3:12">
      <c r="C22" s="3">
        <v>39630</v>
      </c>
      <c r="D22" s="4">
        <v>24579644788.880005</v>
      </c>
      <c r="G22" s="3">
        <v>39630</v>
      </c>
      <c r="H22" s="4">
        <v>20600904938.459999</v>
      </c>
      <c r="K22" s="3">
        <v>39630</v>
      </c>
      <c r="L22" s="4">
        <v>6822327712.9200001</v>
      </c>
    </row>
    <row r="23" spans="3:12">
      <c r="C23" s="3">
        <v>39661</v>
      </c>
      <c r="D23" s="4">
        <v>26556813481.310001</v>
      </c>
      <c r="G23" s="3">
        <v>39661</v>
      </c>
      <c r="H23" s="4">
        <v>21796330771.130001</v>
      </c>
      <c r="K23" s="3">
        <v>39661</v>
      </c>
      <c r="L23" s="4">
        <v>6371064207.1199999</v>
      </c>
    </row>
    <row r="24" spans="3:12">
      <c r="C24" s="3">
        <v>39692</v>
      </c>
      <c r="D24" s="4">
        <v>25240719264.77</v>
      </c>
      <c r="G24" s="3">
        <v>39692</v>
      </c>
      <c r="H24" s="4">
        <v>20580692484.290001</v>
      </c>
      <c r="K24" s="3">
        <v>39692</v>
      </c>
      <c r="L24" s="4">
        <v>6775744846.46</v>
      </c>
    </row>
    <row r="25" spans="3:12">
      <c r="C25" s="3">
        <v>39722</v>
      </c>
      <c r="D25" s="4">
        <v>27080952679.310001</v>
      </c>
      <c r="G25" s="3">
        <v>39722</v>
      </c>
      <c r="H25" s="4">
        <v>21462799846.620003</v>
      </c>
      <c r="K25" s="3">
        <v>39722</v>
      </c>
      <c r="L25" s="4">
        <v>7764734798.4499998</v>
      </c>
    </row>
    <row r="26" spans="3:12">
      <c r="C26" s="3">
        <v>39753</v>
      </c>
      <c r="D26" s="4">
        <v>24497335155.529999</v>
      </c>
      <c r="G26" s="3">
        <v>39753</v>
      </c>
      <c r="H26" s="4">
        <v>19939874282.739998</v>
      </c>
      <c r="K26" s="3">
        <v>39753</v>
      </c>
      <c r="L26" s="4">
        <v>6885955341.3299999</v>
      </c>
    </row>
    <row r="27" spans="3:12">
      <c r="C27" s="3">
        <v>39783</v>
      </c>
      <c r="D27" s="4">
        <v>20966060078.980003</v>
      </c>
      <c r="G27" s="3">
        <v>39783</v>
      </c>
      <c r="H27" s="4">
        <v>17026231655.48</v>
      </c>
      <c r="K27" s="3">
        <v>39783</v>
      </c>
      <c r="L27" s="4">
        <v>6077494849.25</v>
      </c>
    </row>
    <row r="28" spans="3:12">
      <c r="C28" s="3">
        <v>39814</v>
      </c>
      <c r="D28" s="4">
        <v>25014444927.390003</v>
      </c>
      <c r="G28" s="3">
        <v>39814</v>
      </c>
      <c r="H28" s="4">
        <v>20747600705.23</v>
      </c>
      <c r="K28" s="3">
        <v>39814</v>
      </c>
      <c r="L28" s="4">
        <v>7661923102.8999996</v>
      </c>
    </row>
    <row r="29" spans="3:12">
      <c r="C29" s="3">
        <v>39845</v>
      </c>
      <c r="D29" s="4">
        <v>24601026802.229996</v>
      </c>
      <c r="G29" s="3">
        <v>39845</v>
      </c>
      <c r="H29" s="4">
        <v>20299507560.999996</v>
      </c>
      <c r="K29" s="3">
        <v>39845</v>
      </c>
      <c r="L29" s="4">
        <v>7456714182.4200001</v>
      </c>
    </row>
    <row r="30" spans="3:12">
      <c r="C30" s="3">
        <v>39873</v>
      </c>
      <c r="D30" s="4">
        <v>31299507089.720001</v>
      </c>
      <c r="G30" s="3">
        <v>39873</v>
      </c>
      <c r="H30" s="4">
        <v>27212511542</v>
      </c>
      <c r="K30" s="3">
        <v>39873</v>
      </c>
      <c r="L30" s="4">
        <v>9840119923.4899998</v>
      </c>
    </row>
    <row r="31" spans="3:12">
      <c r="C31" s="3">
        <v>39904</v>
      </c>
      <c r="D31" s="4">
        <v>31092833796.91</v>
      </c>
      <c r="G31" s="3">
        <v>39904</v>
      </c>
      <c r="H31" s="4">
        <v>26813746824.889999</v>
      </c>
      <c r="K31" s="3">
        <v>39904</v>
      </c>
      <c r="L31" s="4">
        <v>10904817516.51</v>
      </c>
    </row>
    <row r="32" spans="3:12">
      <c r="C32" s="3">
        <v>39934</v>
      </c>
      <c r="D32" s="4">
        <v>33154347314.420002</v>
      </c>
      <c r="G32" s="3">
        <v>39934</v>
      </c>
      <c r="H32" s="4">
        <v>28328844921.690002</v>
      </c>
      <c r="K32" s="3">
        <v>39934</v>
      </c>
      <c r="L32" s="4">
        <v>10840958471.42</v>
      </c>
    </row>
    <row r="33" spans="3:12">
      <c r="C33" s="3">
        <v>39965</v>
      </c>
      <c r="D33" s="4">
        <v>37868950862.260002</v>
      </c>
      <c r="G33" s="3">
        <v>39965</v>
      </c>
      <c r="H33" s="4">
        <v>32604155845.400002</v>
      </c>
      <c r="K33" s="3">
        <v>39965</v>
      </c>
      <c r="L33" s="4">
        <v>12232694325.1</v>
      </c>
    </row>
    <row r="34" spans="3:12">
      <c r="C34" s="3">
        <v>39995</v>
      </c>
      <c r="D34" s="4">
        <v>38944650795.19001</v>
      </c>
      <c r="G34" s="3">
        <v>39995</v>
      </c>
      <c r="H34" s="4">
        <v>34043613665.380001</v>
      </c>
      <c r="K34" s="3">
        <v>39995</v>
      </c>
      <c r="L34" s="4">
        <v>14499431718.969999</v>
      </c>
    </row>
    <row r="35" spans="3:12">
      <c r="C35" s="3">
        <v>40026</v>
      </c>
      <c r="D35" s="4">
        <v>37366595070.600006</v>
      </c>
      <c r="G35" s="3">
        <v>40026</v>
      </c>
      <c r="H35" s="4">
        <v>32727942340.760002</v>
      </c>
      <c r="K35" s="3">
        <v>40026</v>
      </c>
      <c r="L35" s="4">
        <v>11769183271.27</v>
      </c>
    </row>
    <row r="36" spans="3:12">
      <c r="C36" s="3">
        <v>40057</v>
      </c>
      <c r="D36" s="4">
        <v>33968250061.269997</v>
      </c>
      <c r="G36" s="3">
        <v>40057</v>
      </c>
      <c r="H36" s="4">
        <v>29406120687.719997</v>
      </c>
      <c r="K36" s="3">
        <v>40057</v>
      </c>
      <c r="L36" s="4">
        <v>10548837061.57</v>
      </c>
    </row>
    <row r="37" spans="3:12">
      <c r="C37" s="3">
        <v>40087</v>
      </c>
      <c r="D37" s="4">
        <v>31511593820.119995</v>
      </c>
      <c r="G37" s="3">
        <v>40087</v>
      </c>
      <c r="H37" s="4">
        <v>28210005654.139996</v>
      </c>
      <c r="K37" s="3">
        <v>40087</v>
      </c>
      <c r="L37" s="4">
        <v>11250233115.889999</v>
      </c>
    </row>
    <row r="38" spans="3:12">
      <c r="C38" s="3">
        <v>40118</v>
      </c>
      <c r="D38" s="4">
        <v>28779506693.819996</v>
      </c>
      <c r="G38" s="3">
        <v>40118</v>
      </c>
      <c r="H38" s="4">
        <v>25228895915.689999</v>
      </c>
      <c r="K38" s="3">
        <v>40118</v>
      </c>
      <c r="L38" s="4">
        <v>10156126817.549999</v>
      </c>
    </row>
    <row r="39" spans="3:12">
      <c r="C39" s="3">
        <v>40148</v>
      </c>
      <c r="D39" s="4">
        <v>34524145521.199997</v>
      </c>
      <c r="G39" s="3">
        <v>40148</v>
      </c>
      <c r="H39" s="4">
        <v>30839093752.029999</v>
      </c>
      <c r="K39" s="3">
        <v>40148</v>
      </c>
      <c r="L39" s="4">
        <v>11821319577.99</v>
      </c>
    </row>
    <row r="40" spans="3:12">
      <c r="C40" s="3">
        <v>40179</v>
      </c>
      <c r="D40" s="4">
        <v>31352105196.579998</v>
      </c>
      <c r="G40" s="3">
        <v>40179</v>
      </c>
      <c r="H40" s="4">
        <v>28809588837.969997</v>
      </c>
      <c r="K40" s="3">
        <v>40179</v>
      </c>
      <c r="L40" s="4">
        <v>13534574647.27</v>
      </c>
    </row>
    <row r="41" spans="3:12">
      <c r="C41" s="3">
        <v>40210</v>
      </c>
      <c r="D41" s="4">
        <v>23697861082.779999</v>
      </c>
      <c r="G41" s="3">
        <v>40210</v>
      </c>
      <c r="H41" s="4">
        <v>21554168003.59</v>
      </c>
      <c r="K41" s="3">
        <v>40210</v>
      </c>
      <c r="L41" s="4">
        <v>9571877686.3199997</v>
      </c>
    </row>
    <row r="42" spans="3:12">
      <c r="C42" s="3">
        <v>40238</v>
      </c>
      <c r="D42" s="4">
        <v>18536432575.27</v>
      </c>
      <c r="G42" s="3">
        <v>40238</v>
      </c>
      <c r="H42" s="4">
        <v>16719112110.120003</v>
      </c>
      <c r="K42" s="3">
        <v>40238</v>
      </c>
      <c r="L42" s="4">
        <v>6596684007.1000004</v>
      </c>
    </row>
    <row r="43" spans="3:12">
      <c r="C43" s="3">
        <v>40269</v>
      </c>
      <c r="D43" s="4">
        <v>26850360161.200005</v>
      </c>
      <c r="G43" s="3">
        <v>40269</v>
      </c>
      <c r="H43" s="4">
        <v>24765902790.620003</v>
      </c>
      <c r="K43" s="3">
        <v>40269</v>
      </c>
      <c r="L43" s="4">
        <v>11766642358.6</v>
      </c>
    </row>
    <row r="44" spans="3:12">
      <c r="C44" s="3">
        <v>40299</v>
      </c>
      <c r="D44" s="4">
        <v>27986292397.510002</v>
      </c>
      <c r="G44" s="3">
        <v>40299</v>
      </c>
      <c r="H44" s="4">
        <v>25758615652.040001</v>
      </c>
      <c r="K44" s="3">
        <v>40299</v>
      </c>
      <c r="L44" s="4">
        <v>11166499668.83</v>
      </c>
    </row>
    <row r="45" spans="3:12">
      <c r="C45" s="3">
        <v>40330</v>
      </c>
      <c r="D45" s="4">
        <v>27998790604.990002</v>
      </c>
      <c r="G45" s="3">
        <v>40330</v>
      </c>
      <c r="H45" s="4">
        <v>25726928354.880001</v>
      </c>
      <c r="K45" s="3">
        <v>40330</v>
      </c>
      <c r="L45" s="4">
        <v>10245994592.219999</v>
      </c>
    </row>
    <row r="46" spans="3:12">
      <c r="C46" s="3">
        <v>40360</v>
      </c>
      <c r="D46" s="4">
        <v>29449474088.269997</v>
      </c>
      <c r="G46" s="3">
        <v>40360</v>
      </c>
      <c r="H46" s="4">
        <v>27264833278.610001</v>
      </c>
      <c r="K46" s="3">
        <v>40360</v>
      </c>
      <c r="L46" s="4">
        <v>11078139845.860001</v>
      </c>
    </row>
    <row r="47" spans="3:12">
      <c r="C47" s="3">
        <v>40391</v>
      </c>
      <c r="D47" s="4">
        <v>27387295350.240002</v>
      </c>
      <c r="G47" s="3">
        <v>40391</v>
      </c>
      <c r="H47" s="4">
        <v>25097205409.360004</v>
      </c>
      <c r="K47" s="3">
        <v>40391</v>
      </c>
      <c r="L47" s="4">
        <v>10171561922.290001</v>
      </c>
    </row>
    <row r="48" spans="3:12">
      <c r="C48" s="3">
        <v>40422</v>
      </c>
      <c r="D48" s="4">
        <v>27643255244.669998</v>
      </c>
      <c r="G48" s="3">
        <v>40422</v>
      </c>
      <c r="H48" s="4">
        <v>24861882404.239998</v>
      </c>
      <c r="K48" s="3">
        <v>40422</v>
      </c>
      <c r="L48" s="4">
        <v>10352868746.57</v>
      </c>
    </row>
    <row r="49" spans="3:12">
      <c r="C49" s="3">
        <v>40452</v>
      </c>
      <c r="D49" s="4">
        <v>27726552763.619995</v>
      </c>
      <c r="G49" s="3">
        <v>40452</v>
      </c>
      <c r="H49" s="4">
        <v>24390881083.309998</v>
      </c>
      <c r="K49" s="3">
        <v>40452</v>
      </c>
      <c r="L49" s="4">
        <v>9784331441.9799995</v>
      </c>
    </row>
    <row r="50" spans="3:12">
      <c r="C50" s="3">
        <v>40483</v>
      </c>
      <c r="D50" s="4">
        <v>26784117519.900002</v>
      </c>
      <c r="G50" s="3">
        <v>40483</v>
      </c>
      <c r="H50" s="4">
        <v>23635234930.169998</v>
      </c>
      <c r="K50" s="3">
        <v>40483</v>
      </c>
      <c r="L50" s="4">
        <v>9449755251.1200008</v>
      </c>
    </row>
    <row r="51" spans="3:12">
      <c r="C51" s="3">
        <v>40513</v>
      </c>
      <c r="D51" s="4">
        <v>26329184574.32</v>
      </c>
      <c r="G51" s="3">
        <v>40513</v>
      </c>
      <c r="H51" s="4">
        <v>23277080462.27</v>
      </c>
      <c r="K51" s="3">
        <v>40513</v>
      </c>
      <c r="L51" s="4">
        <v>11196638571.49</v>
      </c>
    </row>
    <row r="52" spans="3:12">
      <c r="C52" s="3">
        <v>40544</v>
      </c>
      <c r="D52" s="4">
        <v>27626694683.829998</v>
      </c>
      <c r="G52" s="3">
        <v>40544</v>
      </c>
      <c r="H52" s="4">
        <v>24825250754.84</v>
      </c>
      <c r="K52" s="3">
        <v>40544</v>
      </c>
      <c r="L52" s="4">
        <v>11191306140.16</v>
      </c>
    </row>
    <row r="53" spans="3:12">
      <c r="C53" s="3">
        <v>40575</v>
      </c>
      <c r="D53" s="4">
        <v>19885081535.800003</v>
      </c>
      <c r="G53" s="3">
        <v>40575</v>
      </c>
      <c r="H53" s="4">
        <v>18049691867.450001</v>
      </c>
      <c r="K53" s="3">
        <v>40575</v>
      </c>
      <c r="L53" s="4">
        <v>8086549745.5299997</v>
      </c>
    </row>
    <row r="54" spans="3:12">
      <c r="C54" s="3">
        <v>40603</v>
      </c>
      <c r="D54" s="4">
        <v>18079427243.530003</v>
      </c>
      <c r="G54" s="3">
        <v>40603</v>
      </c>
      <c r="H54" s="4">
        <v>16255693778.460003</v>
      </c>
      <c r="K54" s="3">
        <v>40603</v>
      </c>
      <c r="L54" s="4">
        <v>7142348227.9899998</v>
      </c>
    </row>
    <row r="55" spans="3:12">
      <c r="C55" s="3">
        <v>40634</v>
      </c>
      <c r="D55" s="4">
        <v>18733585716.43</v>
      </c>
      <c r="G55" s="3">
        <v>40634</v>
      </c>
      <c r="H55" s="4">
        <v>16944679060.639999</v>
      </c>
      <c r="K55" s="3">
        <v>40634</v>
      </c>
      <c r="L55" s="4">
        <v>7487569923.4700003</v>
      </c>
    </row>
    <row r="56" spans="3:12">
      <c r="C56" s="3">
        <v>40664</v>
      </c>
      <c r="D56" s="4">
        <v>18442308639.66</v>
      </c>
      <c r="G56" s="3">
        <v>40664</v>
      </c>
      <c r="H56" s="4">
        <v>16633347989.009998</v>
      </c>
      <c r="K56" s="3">
        <v>40664</v>
      </c>
      <c r="L56" s="4">
        <v>7485893519.21</v>
      </c>
    </row>
    <row r="57" spans="3:12">
      <c r="C57" s="3">
        <v>40695</v>
      </c>
      <c r="D57" s="4">
        <v>19837089412.07</v>
      </c>
      <c r="G57" s="3">
        <v>40695</v>
      </c>
      <c r="H57" s="4">
        <v>17662844612.689999</v>
      </c>
      <c r="K57" s="3">
        <v>40695</v>
      </c>
      <c r="L57" s="4">
        <v>8037102017.3699999</v>
      </c>
    </row>
    <row r="58" spans="3:12">
      <c r="C58" s="3">
        <v>40725</v>
      </c>
      <c r="D58" s="4">
        <v>20105755941.52</v>
      </c>
      <c r="G58" s="3">
        <v>40725</v>
      </c>
      <c r="H58" s="4">
        <v>18027575682.260002</v>
      </c>
      <c r="K58" s="3">
        <v>40725</v>
      </c>
      <c r="L58" s="4">
        <v>8290598483.0799999</v>
      </c>
    </row>
    <row r="59" spans="3:12">
      <c r="C59" s="3">
        <v>40756</v>
      </c>
      <c r="D59" s="4">
        <v>20304823559.120003</v>
      </c>
      <c r="G59" s="3">
        <v>40756</v>
      </c>
      <c r="H59" s="4">
        <v>18285913390.110001</v>
      </c>
      <c r="K59" s="3">
        <v>40756</v>
      </c>
      <c r="L59" s="4">
        <v>9235841028.9400005</v>
      </c>
    </row>
    <row r="60" spans="3:12">
      <c r="C60" s="3">
        <v>40787</v>
      </c>
      <c r="D60" s="4">
        <v>20485229215.440002</v>
      </c>
      <c r="G60" s="3">
        <v>40787</v>
      </c>
      <c r="H60" s="4">
        <v>17394668684.389999</v>
      </c>
      <c r="K60" s="3">
        <v>40787</v>
      </c>
      <c r="L60" s="4">
        <v>9495614488.8299999</v>
      </c>
    </row>
    <row r="61" spans="3:12">
      <c r="C61" s="3">
        <v>40817</v>
      </c>
      <c r="D61" s="4">
        <v>18278308881.059998</v>
      </c>
      <c r="G61" s="3">
        <v>40817</v>
      </c>
      <c r="H61" s="4">
        <v>15363523312.85</v>
      </c>
      <c r="K61" s="3">
        <v>40817</v>
      </c>
      <c r="L61" s="4">
        <v>8581649843.8400002</v>
      </c>
    </row>
    <row r="62" spans="3:12">
      <c r="C62" s="3">
        <v>40848</v>
      </c>
      <c r="D62" s="4">
        <v>19896533379.880001</v>
      </c>
      <c r="G62" s="3">
        <v>40848</v>
      </c>
      <c r="H62" s="4">
        <v>17051025581.610001</v>
      </c>
      <c r="K62" s="3">
        <v>40848</v>
      </c>
      <c r="L62" s="4">
        <v>9573021089.2900009</v>
      </c>
    </row>
    <row r="63" spans="3:12">
      <c r="C63" s="3">
        <v>40878</v>
      </c>
      <c r="D63" s="4">
        <v>19032070115.290001</v>
      </c>
      <c r="G63" s="3">
        <v>40878</v>
      </c>
      <c r="H63" s="4">
        <v>15779641668.220001</v>
      </c>
      <c r="K63" s="3">
        <v>40878</v>
      </c>
      <c r="L63" s="4">
        <v>9732604193.7800007</v>
      </c>
    </row>
    <row r="64" spans="3:12">
      <c r="C64" s="3">
        <v>40909</v>
      </c>
      <c r="D64" s="4">
        <v>20719728556.670006</v>
      </c>
      <c r="G64" s="3">
        <v>40909</v>
      </c>
      <c r="H64" s="4">
        <v>17458754360.880001</v>
      </c>
      <c r="K64" s="3">
        <v>40909</v>
      </c>
      <c r="L64" s="4">
        <v>11283566053.34</v>
      </c>
    </row>
    <row r="65" spans="3:12">
      <c r="C65" s="3">
        <v>40940</v>
      </c>
      <c r="D65" s="4">
        <v>19045138902.970001</v>
      </c>
      <c r="G65" s="3">
        <v>40940</v>
      </c>
      <c r="H65" s="4">
        <v>16037593041.09</v>
      </c>
      <c r="K65" s="3">
        <v>40940</v>
      </c>
      <c r="L65" s="4">
        <v>10212781061.02</v>
      </c>
    </row>
    <row r="66" spans="3:12">
      <c r="C66" s="3">
        <v>40969</v>
      </c>
      <c r="D66" s="4">
        <v>19975866042.119999</v>
      </c>
      <c r="G66" s="3">
        <v>40969</v>
      </c>
      <c r="H66" s="4">
        <v>16974489941.450001</v>
      </c>
      <c r="K66" s="3">
        <v>40969</v>
      </c>
      <c r="L66" s="4">
        <v>10386620664.41</v>
      </c>
    </row>
    <row r="67" spans="3:12">
      <c r="C67" s="3">
        <v>41000</v>
      </c>
      <c r="D67" s="4">
        <v>25506549112.43</v>
      </c>
      <c r="G67" s="3">
        <v>41000</v>
      </c>
      <c r="H67" s="4">
        <v>22471329505.650002</v>
      </c>
      <c r="K67" s="3">
        <v>41000</v>
      </c>
      <c r="L67" s="4">
        <v>14678468587.370001</v>
      </c>
    </row>
    <row r="68" spans="3:12">
      <c r="C68" s="3">
        <v>41030</v>
      </c>
      <c r="D68" s="4">
        <v>25839406336.460003</v>
      </c>
      <c r="G68" s="3">
        <v>41030</v>
      </c>
      <c r="H68" s="4">
        <v>22717138914.080002</v>
      </c>
      <c r="K68" s="3">
        <v>41030</v>
      </c>
      <c r="L68" s="4">
        <v>14867243244.77</v>
      </c>
    </row>
    <row r="69" spans="3:12">
      <c r="C69" s="3">
        <v>41061</v>
      </c>
      <c r="D69" s="4">
        <v>23318814679.160004</v>
      </c>
      <c r="G69" s="3">
        <v>41061</v>
      </c>
      <c r="H69" s="4">
        <v>20254241442.190002</v>
      </c>
      <c r="K69" s="3">
        <v>41061</v>
      </c>
      <c r="L69" s="4">
        <v>12472666977.870001</v>
      </c>
    </row>
    <row r="70" spans="3:12">
      <c r="C70" s="3">
        <v>41091</v>
      </c>
      <c r="D70" s="4">
        <v>21220884873.25</v>
      </c>
      <c r="G70" s="3">
        <v>41091</v>
      </c>
      <c r="H70" s="4">
        <v>18023596767.029999</v>
      </c>
      <c r="K70" s="3">
        <v>41091</v>
      </c>
      <c r="L70" s="4">
        <v>12115594759.610001</v>
      </c>
    </row>
    <row r="71" spans="3:12">
      <c r="C71" s="3">
        <v>41122</v>
      </c>
      <c r="D71" s="4">
        <v>27220146041.560001</v>
      </c>
      <c r="G71" s="3">
        <v>41122</v>
      </c>
      <c r="H71" s="4">
        <v>22870113391.25</v>
      </c>
      <c r="K71" s="3">
        <v>41122</v>
      </c>
      <c r="L71" s="4">
        <v>15536484394.24</v>
      </c>
    </row>
    <row r="72" spans="3:12">
      <c r="C72" s="3">
        <v>41153</v>
      </c>
      <c r="D72" s="4">
        <v>25979772278.559998</v>
      </c>
      <c r="G72" s="3">
        <v>41153</v>
      </c>
      <c r="H72" s="4">
        <v>21727048883.23</v>
      </c>
      <c r="K72" s="3">
        <v>41153</v>
      </c>
      <c r="L72" s="4">
        <v>14243174523.99</v>
      </c>
    </row>
    <row r="73" spans="3:12">
      <c r="C73" s="3">
        <v>41183</v>
      </c>
      <c r="D73" s="4">
        <v>23869927709.499996</v>
      </c>
      <c r="G73" s="3">
        <v>41183</v>
      </c>
      <c r="H73" s="4">
        <v>19510637406.490002</v>
      </c>
      <c r="K73" s="3">
        <v>41183</v>
      </c>
      <c r="L73" s="4">
        <v>12119713533.76</v>
      </c>
    </row>
    <row r="74" spans="3:12">
      <c r="C74" s="3">
        <v>41214</v>
      </c>
      <c r="D74" s="4">
        <v>27101432390.41</v>
      </c>
      <c r="G74" s="3">
        <v>41214</v>
      </c>
      <c r="H74" s="4">
        <v>22292069694.239998</v>
      </c>
      <c r="K74" s="3">
        <v>41214</v>
      </c>
      <c r="L74" s="4">
        <v>14279880239.870001</v>
      </c>
    </row>
    <row r="75" spans="3:12">
      <c r="C75" s="3">
        <v>41244</v>
      </c>
      <c r="D75" s="4">
        <v>25121900776.220001</v>
      </c>
      <c r="G75" s="3">
        <v>41244</v>
      </c>
      <c r="H75" s="4">
        <v>20340532413.459999</v>
      </c>
      <c r="K75" s="3">
        <v>41244</v>
      </c>
      <c r="L75" s="4">
        <v>11715803235.52</v>
      </c>
    </row>
    <row r="76" spans="3:12">
      <c r="C76" s="3">
        <v>41275</v>
      </c>
      <c r="D76" s="4">
        <v>23904875687.350002</v>
      </c>
      <c r="G76" s="3">
        <v>41275</v>
      </c>
      <c r="H76" s="4">
        <v>19628010871.970001</v>
      </c>
      <c r="K76" s="3">
        <v>41275</v>
      </c>
      <c r="L76" s="4">
        <v>12333810135.870001</v>
      </c>
    </row>
    <row r="77" spans="3:12">
      <c r="C77" s="3">
        <v>41306</v>
      </c>
      <c r="D77" s="4">
        <v>24451409144.98</v>
      </c>
      <c r="G77" s="3">
        <v>41306</v>
      </c>
      <c r="H77" s="4">
        <v>20255842062.120003</v>
      </c>
      <c r="K77" s="3">
        <v>41306</v>
      </c>
      <c r="L77" s="4">
        <v>11492145992.860001</v>
      </c>
    </row>
    <row r="78" spans="3:12">
      <c r="C78" s="3">
        <v>41334</v>
      </c>
      <c r="D78" s="4">
        <v>22346775421.320004</v>
      </c>
      <c r="G78" s="3">
        <v>41334</v>
      </c>
      <c r="H78" s="4">
        <v>18253722161.220001</v>
      </c>
      <c r="K78" s="3">
        <v>41334</v>
      </c>
      <c r="L78" s="4">
        <v>9568034422.0900002</v>
      </c>
    </row>
    <row r="79" spans="3:12">
      <c r="C79" s="3">
        <v>41365</v>
      </c>
      <c r="D79" s="4">
        <v>24970975389.630005</v>
      </c>
      <c r="G79" s="3">
        <v>41365</v>
      </c>
      <c r="H79" s="4">
        <v>20223303671.580002</v>
      </c>
      <c r="K79" s="3">
        <v>41365</v>
      </c>
      <c r="L79" s="4">
        <v>11279857954.74</v>
      </c>
    </row>
    <row r="80" spans="3:12">
      <c r="C80" s="3">
        <v>41395</v>
      </c>
      <c r="D80" s="4">
        <v>25114174999.98</v>
      </c>
      <c r="G80" s="3">
        <v>41395</v>
      </c>
      <c r="H80" s="4">
        <v>20872056371.66</v>
      </c>
      <c r="K80" s="3">
        <v>41395</v>
      </c>
      <c r="L80" s="4">
        <v>11488927028.709999</v>
      </c>
    </row>
    <row r="81" spans="3:12">
      <c r="C81" s="3">
        <v>41426</v>
      </c>
      <c r="D81" s="4">
        <v>24543431615.759995</v>
      </c>
      <c r="G81" s="3">
        <v>41426</v>
      </c>
      <c r="H81" s="4">
        <v>19931806879.980003</v>
      </c>
      <c r="K81" s="3">
        <v>41426</v>
      </c>
      <c r="L81" s="4">
        <v>10901539313.190001</v>
      </c>
    </row>
    <row r="82" spans="3:12">
      <c r="C82" s="3">
        <v>41456</v>
      </c>
      <c r="D82" s="4">
        <v>23698069082.650002</v>
      </c>
      <c r="G82" s="3">
        <v>41456</v>
      </c>
      <c r="H82" s="4">
        <v>18955519140.270004</v>
      </c>
      <c r="K82" s="3">
        <v>41456</v>
      </c>
      <c r="L82" s="4">
        <v>10136035522.35</v>
      </c>
    </row>
    <row r="83" spans="3:12">
      <c r="C83" s="3">
        <v>41487</v>
      </c>
      <c r="D83" s="4">
        <v>20908839908.930004</v>
      </c>
      <c r="G83" s="3">
        <v>41487</v>
      </c>
      <c r="H83" s="4">
        <v>17168607712.619999</v>
      </c>
      <c r="K83" s="3">
        <v>41487</v>
      </c>
      <c r="L83" s="4">
        <v>8870949392.1399994</v>
      </c>
    </row>
    <row r="84" spans="3:12">
      <c r="C84" s="3">
        <v>41518</v>
      </c>
      <c r="D84" s="4">
        <v>17776590882.760002</v>
      </c>
      <c r="G84" s="3">
        <v>41518</v>
      </c>
      <c r="H84" s="4">
        <v>14400270643.16</v>
      </c>
      <c r="K84" s="3">
        <v>41518</v>
      </c>
      <c r="L84" s="4">
        <v>7267875544.7299995</v>
      </c>
    </row>
    <row r="85" spans="3:12">
      <c r="C85" s="3">
        <v>41548</v>
      </c>
      <c r="D85" s="4">
        <v>15685629842.970001</v>
      </c>
      <c r="G85" s="3">
        <v>41548</v>
      </c>
      <c r="H85" s="4">
        <v>12514284008.049999</v>
      </c>
      <c r="K85" s="3">
        <v>41548</v>
      </c>
      <c r="L85" s="4">
        <v>6287281036.2299995</v>
      </c>
    </row>
    <row r="86" spans="3:12">
      <c r="C86" s="3">
        <v>41579</v>
      </c>
      <c r="D86" s="4">
        <v>14315974240.729996</v>
      </c>
      <c r="G86" s="3">
        <v>41579</v>
      </c>
      <c r="H86" s="4">
        <v>11600603853.66</v>
      </c>
      <c r="K86" s="3">
        <v>41579</v>
      </c>
      <c r="L86" s="4">
        <v>6464423980.5</v>
      </c>
    </row>
    <row r="87" spans="3:12">
      <c r="C87" s="3">
        <v>41609</v>
      </c>
      <c r="D87" s="4">
        <v>11595801527.200001</v>
      </c>
      <c r="G87" s="3">
        <v>41609</v>
      </c>
      <c r="H87" s="4">
        <v>9254986706.0799999</v>
      </c>
      <c r="K87" s="3">
        <v>41609</v>
      </c>
      <c r="L87" s="4">
        <v>4731307858.5900002</v>
      </c>
    </row>
    <row r="88" spans="3:12">
      <c r="C88" s="3">
        <v>41640</v>
      </c>
      <c r="D88" s="4">
        <v>11845891136.720001</v>
      </c>
      <c r="G88" s="3">
        <v>41640</v>
      </c>
      <c r="H88" s="4">
        <v>9318703436.4099998</v>
      </c>
      <c r="K88" s="3">
        <v>41640</v>
      </c>
      <c r="L88" s="4">
        <v>4800004095.4399996</v>
      </c>
    </row>
    <row r="89" spans="3:12">
      <c r="C89" s="3">
        <v>41671</v>
      </c>
      <c r="D89" s="4">
        <v>11668939446.919998</v>
      </c>
      <c r="G89" s="3">
        <v>41671</v>
      </c>
      <c r="H89" s="4">
        <v>9075030670.2299995</v>
      </c>
      <c r="K89" s="3">
        <v>41671</v>
      </c>
      <c r="L89" s="4">
        <v>4975614792.9300003</v>
      </c>
    </row>
    <row r="90" spans="3:12">
      <c r="C90" s="3">
        <v>41699</v>
      </c>
      <c r="D90" s="4">
        <v>8940718251.539999</v>
      </c>
      <c r="G90" s="3">
        <v>41699</v>
      </c>
      <c r="H90" s="4">
        <v>6740558305.8000002</v>
      </c>
      <c r="K90" s="3">
        <v>41699</v>
      </c>
      <c r="L90" s="4">
        <v>3220958142.0500002</v>
      </c>
    </row>
    <row r="91" spans="3:12">
      <c r="C91" s="3">
        <v>41730</v>
      </c>
      <c r="D91" s="4">
        <v>11300062333.420002</v>
      </c>
      <c r="G91" s="3">
        <v>41730</v>
      </c>
      <c r="H91" s="4">
        <v>8747604064.2000008</v>
      </c>
      <c r="K91" s="3">
        <v>41730</v>
      </c>
      <c r="L91" s="4">
        <v>4445417365.0100002</v>
      </c>
    </row>
    <row r="92" spans="3:12">
      <c r="C92" s="3">
        <v>41760</v>
      </c>
      <c r="D92" s="4">
        <v>12369353880.969999</v>
      </c>
      <c r="G92" s="3">
        <v>41760</v>
      </c>
      <c r="H92" s="4">
        <v>9517403444.5599995</v>
      </c>
      <c r="K92" s="3">
        <v>41760</v>
      </c>
      <c r="L92" s="4">
        <v>5355107741.7399998</v>
      </c>
    </row>
    <row r="93" spans="3:12">
      <c r="C93" s="3">
        <v>41791</v>
      </c>
      <c r="D93" s="4">
        <v>13204114521.550001</v>
      </c>
      <c r="G93" s="3">
        <v>41791</v>
      </c>
      <c r="H93" s="4">
        <v>10249952263.84</v>
      </c>
      <c r="K93" s="3">
        <v>41791</v>
      </c>
      <c r="L93" s="4">
        <v>6002735545.8500004</v>
      </c>
    </row>
    <row r="94" spans="3:12">
      <c r="C94" s="3">
        <v>41821</v>
      </c>
      <c r="D94" s="4">
        <v>13065510612.74</v>
      </c>
      <c r="G94" s="3">
        <v>41821</v>
      </c>
      <c r="H94" s="4">
        <v>9355114668.75</v>
      </c>
      <c r="K94" s="3">
        <v>41821</v>
      </c>
      <c r="L94" s="4">
        <v>4723917455.1999998</v>
      </c>
    </row>
    <row r="95" spans="3:12">
      <c r="C95" s="3">
        <v>41852</v>
      </c>
      <c r="D95" s="4">
        <v>16166675077.379999</v>
      </c>
      <c r="G95" s="3">
        <v>41852</v>
      </c>
      <c r="H95" s="4">
        <v>12029365994.82</v>
      </c>
      <c r="K95" s="3">
        <v>41852</v>
      </c>
      <c r="L95" s="4">
        <v>6318663594.3699999</v>
      </c>
    </row>
    <row r="96" spans="3:12">
      <c r="C96" s="3">
        <v>41883</v>
      </c>
      <c r="D96" s="4">
        <v>13803767362.509998</v>
      </c>
      <c r="G96" s="3">
        <v>41883</v>
      </c>
      <c r="H96" s="4">
        <v>10000328272.400002</v>
      </c>
      <c r="K96" s="3">
        <v>41883</v>
      </c>
      <c r="L96" s="4">
        <v>4613722824.3800001</v>
      </c>
    </row>
    <row r="97" spans="3:12">
      <c r="C97" s="3">
        <v>41913</v>
      </c>
      <c r="D97" s="4">
        <v>15791185403.65</v>
      </c>
      <c r="G97" s="3">
        <v>41913</v>
      </c>
      <c r="H97" s="4">
        <v>11437466213.700001</v>
      </c>
      <c r="K97" s="3">
        <v>41913</v>
      </c>
      <c r="L97" s="4">
        <v>4905737431.7200003</v>
      </c>
    </row>
    <row r="98" spans="3:12">
      <c r="C98" s="3">
        <v>41944</v>
      </c>
      <c r="D98" s="4">
        <v>13258929185.760004</v>
      </c>
      <c r="G98" s="3">
        <v>41944</v>
      </c>
      <c r="H98" s="4">
        <v>9211020156.4500008</v>
      </c>
      <c r="K98" s="3">
        <v>41944</v>
      </c>
      <c r="L98" s="4">
        <v>4010907765.6100001</v>
      </c>
    </row>
    <row r="99" spans="3:12">
      <c r="C99" s="3">
        <v>41974</v>
      </c>
      <c r="D99" s="4">
        <v>13802109531.619999</v>
      </c>
      <c r="G99" s="3">
        <v>41974</v>
      </c>
      <c r="H99" s="4">
        <v>10288075602.900002</v>
      </c>
      <c r="K99" s="3">
        <v>41974</v>
      </c>
      <c r="L99" s="4">
        <v>4309016116.8000002</v>
      </c>
    </row>
    <row r="100" spans="3:12">
      <c r="C100" s="3">
        <v>42005</v>
      </c>
      <c r="D100" s="4">
        <v>13496712945.599998</v>
      </c>
      <c r="G100" s="3">
        <v>42005</v>
      </c>
      <c r="H100" s="4">
        <v>10195461374.42</v>
      </c>
      <c r="K100" s="3">
        <v>42005</v>
      </c>
      <c r="L100" s="4">
        <v>3904655310.6700001</v>
      </c>
    </row>
    <row r="101" spans="3:12">
      <c r="C101" s="3">
        <v>42036</v>
      </c>
      <c r="D101" s="4">
        <v>12499614875.050001</v>
      </c>
      <c r="G101" s="3">
        <v>42036</v>
      </c>
      <c r="H101" s="4">
        <v>9456184008.25</v>
      </c>
      <c r="K101" s="3">
        <v>42036</v>
      </c>
      <c r="L101" s="4">
        <v>4061400420.8899999</v>
      </c>
    </row>
    <row r="102" spans="3:12">
      <c r="C102" s="3">
        <v>42064</v>
      </c>
      <c r="D102" s="4">
        <v>15672532021.030001</v>
      </c>
      <c r="G102" s="3">
        <v>42064</v>
      </c>
      <c r="H102" s="4">
        <v>11244323555.84</v>
      </c>
      <c r="K102" s="3">
        <v>42064</v>
      </c>
      <c r="L102" s="4">
        <v>4519939214.6099997</v>
      </c>
    </row>
    <row r="103" spans="3:12">
      <c r="C103" s="3">
        <v>42095</v>
      </c>
      <c r="D103" s="4">
        <v>19111612690.759998</v>
      </c>
      <c r="G103" s="3">
        <v>42095</v>
      </c>
      <c r="H103" s="4">
        <v>13933904980.18</v>
      </c>
      <c r="K103" s="3">
        <v>42095</v>
      </c>
      <c r="L103" s="4">
        <v>5345630110.9799995</v>
      </c>
    </row>
    <row r="104" spans="3:12">
      <c r="C104" s="3">
        <v>42125</v>
      </c>
      <c r="D104" s="4">
        <v>19039016423.799999</v>
      </c>
      <c r="G104" s="3">
        <v>42125</v>
      </c>
      <c r="H104" s="4">
        <v>13869436243.699999</v>
      </c>
      <c r="K104" s="3">
        <v>42125</v>
      </c>
      <c r="L104" s="4">
        <v>5284302393.6499996</v>
      </c>
    </row>
    <row r="105" spans="3:12">
      <c r="C105" s="3">
        <v>42156</v>
      </c>
      <c r="D105" s="4">
        <v>19991337221.549995</v>
      </c>
      <c r="G105" s="3">
        <v>42156</v>
      </c>
      <c r="H105" s="4">
        <v>14378094311.630001</v>
      </c>
      <c r="K105" s="3">
        <v>42156</v>
      </c>
      <c r="L105" s="4">
        <v>5481594328.75</v>
      </c>
    </row>
    <row r="106" spans="3:12">
      <c r="C106" s="3" t="s">
        <v>41</v>
      </c>
      <c r="D106" s="4">
        <v>2079908734801.5596</v>
      </c>
      <c r="G106" s="3" t="s">
        <v>41</v>
      </c>
      <c r="H106" s="4">
        <v>1746697178982.5593</v>
      </c>
      <c r="K106" s="3" t="s">
        <v>41</v>
      </c>
      <c r="L106" s="4">
        <v>797484683542.01978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X1023"/>
  <sheetViews>
    <sheetView showGridLines="0" workbookViewId="0">
      <selection activeCell="C5" sqref="C5"/>
    </sheetView>
  </sheetViews>
  <sheetFormatPr defaultRowHeight="15"/>
  <cols>
    <col min="7" max="8" width="12.28515625" customWidth="1"/>
    <col min="10" max="10" width="9.7109375" bestFit="1" customWidth="1"/>
    <col min="11" max="11" width="12.28515625" customWidth="1"/>
    <col min="13" max="14" width="9.7109375" bestFit="1" customWidth="1"/>
    <col min="15" max="16" width="12.28515625" bestFit="1" customWidth="1"/>
    <col min="17" max="17" width="12" bestFit="1" customWidth="1"/>
    <col min="18" max="18" width="11" bestFit="1" customWidth="1"/>
    <col min="19" max="19" width="10" bestFit="1" customWidth="1"/>
    <col min="20" max="20" width="11" bestFit="1" customWidth="1"/>
  </cols>
  <sheetData>
    <row r="2" spans="2:24">
      <c r="H2" t="s">
        <v>59</v>
      </c>
      <c r="K2" t="s">
        <v>60</v>
      </c>
      <c r="N2" t="s">
        <v>58</v>
      </c>
    </row>
    <row r="3" spans="2:24">
      <c r="B3" s="16" t="s">
        <v>1</v>
      </c>
      <c r="C3" s="16" t="s">
        <v>2</v>
      </c>
      <c r="D3" s="16" t="s">
        <v>0</v>
      </c>
      <c r="E3" s="16" t="s">
        <v>3</v>
      </c>
      <c r="H3" s="16" t="s">
        <v>1</v>
      </c>
      <c r="I3" s="16" t="s">
        <v>2</v>
      </c>
      <c r="K3" s="16" t="s">
        <v>1</v>
      </c>
      <c r="L3" s="16" t="s">
        <v>2</v>
      </c>
      <c r="N3" s="16" t="s">
        <v>1</v>
      </c>
      <c r="O3" s="16" t="s">
        <v>2</v>
      </c>
      <c r="P3" s="17" t="s">
        <v>87</v>
      </c>
      <c r="Q3" s="17" t="s">
        <v>88</v>
      </c>
      <c r="R3" s="17" t="s">
        <v>89</v>
      </c>
      <c r="S3" s="17" t="s">
        <v>90</v>
      </c>
      <c r="T3" s="17" t="s">
        <v>91</v>
      </c>
      <c r="U3" s="17" t="s">
        <v>48</v>
      </c>
      <c r="V3" s="17" t="s">
        <v>49</v>
      </c>
      <c r="W3" s="17" t="s">
        <v>50</v>
      </c>
      <c r="X3" s="17" t="s">
        <v>92</v>
      </c>
    </row>
    <row r="4" spans="2:24">
      <c r="B4" s="37">
        <v>39083</v>
      </c>
      <c r="C4" s="16">
        <v>1816782123.1800001</v>
      </c>
      <c r="D4" s="16" t="s">
        <v>11</v>
      </c>
      <c r="E4" s="16">
        <v>1</v>
      </c>
      <c r="H4" s="37">
        <v>42156</v>
      </c>
      <c r="I4" s="16">
        <v>363766.98</v>
      </c>
      <c r="K4" s="37"/>
      <c r="L4" s="16"/>
      <c r="N4" s="37">
        <v>42156</v>
      </c>
      <c r="O4" s="16">
        <v>41476436391.800003</v>
      </c>
      <c r="P4" s="17">
        <f>VLOOKUP($N4,'Pivot equal'!C:D,2,0)</f>
        <v>19991337221.549995</v>
      </c>
      <c r="Q4" s="17">
        <f>VLOOKUP(N4,'Pivot equal'!G:H,2,0)</f>
        <v>14378094311.630001</v>
      </c>
      <c r="R4" s="17">
        <f>VLOOKUP(N4,'Pivot equal'!K:L,2,0)</f>
        <v>5481594328.75</v>
      </c>
      <c r="S4" s="43">
        <f>VLOOKUP(N4,CurrentMtgRatesDataTable9[],2,0)</f>
        <v>363766.98</v>
      </c>
      <c r="T4" s="43" t="e">
        <f>VLOOKUP(N4,CurrentMtgRatesDataTable93[],2,0)</f>
        <v>#N/A</v>
      </c>
      <c r="U4" s="44">
        <f>CurrentMtgRatesDataTable8[[#This Row],[Top 10 Amount]]/CurrentMtgRatesDataTable8[[#This Row],[TotalBalance]]</f>
        <v>0.48199264355079297</v>
      </c>
      <c r="V4" s="44">
        <f>CurrentMtgRatesDataTable8[[#This Row],[Top 5 Amount]]/CurrentMtgRatesDataTable8[[#This Row],[TotalBalance]]</f>
        <v>0.34665693493553335</v>
      </c>
      <c r="W4" s="44">
        <f>CurrentMtgRatesDataTable8[[#This Row],[Top 1 Amount]]/CurrentMtgRatesDataTable8[[#This Row],[TotalBalance]]</f>
        <v>0.13216165142465627</v>
      </c>
      <c r="X4" s="44" t="e">
        <f>CurrentMtgRatesDataTable8[[#This Row],[N/A Amount]]/CurrentMtgRatesDataTable8[[#This Row],[TotalBalance]]</f>
        <v>#N/A</v>
      </c>
    </row>
    <row r="5" spans="2:24">
      <c r="B5" s="37">
        <v>39083</v>
      </c>
      <c r="C5" s="16">
        <v>1336543623.8900001</v>
      </c>
      <c r="D5" s="16" t="s">
        <v>6</v>
      </c>
      <c r="E5" s="16">
        <v>2</v>
      </c>
      <c r="H5" s="37">
        <v>42125</v>
      </c>
      <c r="I5" s="16">
        <v>15591.66</v>
      </c>
      <c r="N5" s="37">
        <v>42125</v>
      </c>
      <c r="O5" s="16">
        <v>40489330126.019997</v>
      </c>
      <c r="P5" s="17">
        <f>VLOOKUP($N5,'Pivot equal'!C:D,2,0)</f>
        <v>19039016423.799999</v>
      </c>
      <c r="Q5" s="17">
        <f>VLOOKUP(N5,'Pivot equal'!G:H,2,0)</f>
        <v>13869436243.699999</v>
      </c>
      <c r="R5" s="17">
        <f>VLOOKUP(N5,'Pivot equal'!K:L,2,0)</f>
        <v>5284302393.6499996</v>
      </c>
      <c r="S5" s="43">
        <f>VLOOKUP(N5,CurrentMtgRatesDataTable9[],2,0)</f>
        <v>15591.66</v>
      </c>
      <c r="T5" s="43" t="e">
        <f>VLOOKUP(N5,CurrentMtgRatesDataTable93[],2,0)</f>
        <v>#N/A</v>
      </c>
      <c r="U5" s="44">
        <f>CurrentMtgRatesDataTable8[[#This Row],[Top 10 Amount]]/CurrentMtgRatesDataTable8[[#This Row],[TotalBalance]]</f>
        <v>0.47022305295104888</v>
      </c>
      <c r="V5" s="44">
        <f>CurrentMtgRatesDataTable8[[#This Row],[Top 5 Amount]]/CurrentMtgRatesDataTable8[[#This Row],[TotalBalance]]</f>
        <v>0.342545460755523</v>
      </c>
      <c r="W5" s="44">
        <f>CurrentMtgRatesDataTable8[[#This Row],[Top 1 Amount]]/CurrentMtgRatesDataTable8[[#This Row],[TotalBalance]]</f>
        <v>0.13051098591167118</v>
      </c>
      <c r="X5" s="44" t="e">
        <f>CurrentMtgRatesDataTable8[[#This Row],[N/A Amount]]/CurrentMtgRatesDataTable8[[#This Row],[TotalBalance]]</f>
        <v>#N/A</v>
      </c>
    </row>
    <row r="6" spans="2:24">
      <c r="B6" s="37">
        <v>39083</v>
      </c>
      <c r="C6" s="16">
        <v>607687193.74000001</v>
      </c>
      <c r="D6" s="16" t="s">
        <v>7</v>
      </c>
      <c r="E6" s="16">
        <v>3</v>
      </c>
      <c r="H6" s="37">
        <v>42095</v>
      </c>
      <c r="I6" s="16">
        <v>5314494.28</v>
      </c>
      <c r="N6" s="37">
        <v>42095</v>
      </c>
      <c r="O6" s="16">
        <v>40527156414.769997</v>
      </c>
      <c r="P6" s="17">
        <f>VLOOKUP($N6,'Pivot equal'!C:D,2,0)</f>
        <v>19111612690.759998</v>
      </c>
      <c r="Q6" s="17">
        <f>VLOOKUP(N6,'Pivot equal'!G:H,2,0)</f>
        <v>13933904980.18</v>
      </c>
      <c r="R6" s="17">
        <f>VLOOKUP(N6,'Pivot equal'!K:L,2,0)</f>
        <v>5345630110.9799995</v>
      </c>
      <c r="S6" s="43">
        <f>VLOOKUP(N6,CurrentMtgRatesDataTable9[],2,0)</f>
        <v>5314494.28</v>
      </c>
      <c r="T6" s="43" t="e">
        <f>VLOOKUP(N6,CurrentMtgRatesDataTable93[],2,0)</f>
        <v>#N/A</v>
      </c>
      <c r="U6" s="44">
        <f>CurrentMtgRatesDataTable8[[#This Row],[Top 10 Amount]]/CurrentMtgRatesDataTable8[[#This Row],[TotalBalance]]</f>
        <v>0.47157546646413195</v>
      </c>
      <c r="V6" s="44">
        <f>CurrentMtgRatesDataTable8[[#This Row],[Top 5 Amount]]/CurrentMtgRatesDataTable8[[#This Row],[TotalBalance]]</f>
        <v>0.34381649769787037</v>
      </c>
      <c r="W6" s="44">
        <f>CurrentMtgRatesDataTable8[[#This Row],[Top 1 Amount]]/CurrentMtgRatesDataTable8[[#This Row],[TotalBalance]]</f>
        <v>0.13190242256996351</v>
      </c>
      <c r="X6" s="44" t="e">
        <f>CurrentMtgRatesDataTable8[[#This Row],[N/A Amount]]/CurrentMtgRatesDataTable8[[#This Row],[TotalBalance]]</f>
        <v>#N/A</v>
      </c>
    </row>
    <row r="7" spans="2:24">
      <c r="B7" s="37">
        <v>39083</v>
      </c>
      <c r="C7" s="16">
        <v>496043083.19</v>
      </c>
      <c r="D7" s="16" t="s">
        <v>13</v>
      </c>
      <c r="E7" s="16">
        <v>4</v>
      </c>
      <c r="H7" s="37">
        <v>42064</v>
      </c>
      <c r="I7" s="16">
        <v>983996.58</v>
      </c>
      <c r="N7" s="37">
        <v>42064</v>
      </c>
      <c r="O7" s="16">
        <v>31578317075.630001</v>
      </c>
      <c r="P7" s="17">
        <f>VLOOKUP($N7,'Pivot equal'!C:D,2,0)</f>
        <v>15672532021.030001</v>
      </c>
      <c r="Q7" s="17">
        <f>VLOOKUP(N7,'Pivot equal'!G:H,2,0)</f>
        <v>11244323555.84</v>
      </c>
      <c r="R7" s="17">
        <f>VLOOKUP(N7,'Pivot equal'!K:L,2,0)</f>
        <v>4519939214.6099997</v>
      </c>
      <c r="S7" s="43">
        <f>VLOOKUP(N7,CurrentMtgRatesDataTable9[],2,0)</f>
        <v>983996.58</v>
      </c>
      <c r="T7" s="43" t="e">
        <f>VLOOKUP(N7,CurrentMtgRatesDataTable93[],2,0)</f>
        <v>#N/A</v>
      </c>
      <c r="U7" s="44">
        <f>CurrentMtgRatesDataTable8[[#This Row],[Top 10 Amount]]/CurrentMtgRatesDataTable8[[#This Row],[TotalBalance]]</f>
        <v>0.49630675325395968</v>
      </c>
      <c r="V7" s="44">
        <f>CurrentMtgRatesDataTable8[[#This Row],[Top 5 Amount]]/CurrentMtgRatesDataTable8[[#This Row],[TotalBalance]]</f>
        <v>0.3560773529795736</v>
      </c>
      <c r="W7" s="44">
        <f>CurrentMtgRatesDataTable8[[#This Row],[Top 1 Amount]]/CurrentMtgRatesDataTable8[[#This Row],[TotalBalance]]</f>
        <v>0.14313426531834345</v>
      </c>
      <c r="X7" s="44" t="e">
        <f>CurrentMtgRatesDataTable8[[#This Row],[N/A Amount]]/CurrentMtgRatesDataTable8[[#This Row],[TotalBalance]]</f>
        <v>#N/A</v>
      </c>
    </row>
    <row r="8" spans="2:24">
      <c r="B8" s="37">
        <v>39083</v>
      </c>
      <c r="C8" s="16">
        <v>418215822</v>
      </c>
      <c r="D8" s="16" t="s">
        <v>100</v>
      </c>
      <c r="E8" s="16">
        <v>5</v>
      </c>
      <c r="H8" s="37">
        <v>42036</v>
      </c>
      <c r="I8" s="16">
        <v>225370.97</v>
      </c>
      <c r="N8" s="37">
        <v>42036</v>
      </c>
      <c r="O8" s="16">
        <v>24217653446.099998</v>
      </c>
      <c r="P8" s="17">
        <f>VLOOKUP($N8,'Pivot equal'!C:D,2,0)</f>
        <v>12499614875.050001</v>
      </c>
      <c r="Q8" s="17">
        <f>VLOOKUP(N8,'Pivot equal'!G:H,2,0)</f>
        <v>9456184008.25</v>
      </c>
      <c r="R8" s="17">
        <f>VLOOKUP(N8,'Pivot equal'!K:L,2,0)</f>
        <v>4061400420.8899999</v>
      </c>
      <c r="S8" s="43">
        <f>VLOOKUP(N8,CurrentMtgRatesDataTable9[],2,0)</f>
        <v>225370.97</v>
      </c>
      <c r="T8" s="43" t="e">
        <f>VLOOKUP(N8,CurrentMtgRatesDataTable93[],2,0)</f>
        <v>#N/A</v>
      </c>
      <c r="U8" s="44">
        <f>CurrentMtgRatesDataTable8[[#This Row],[Top 10 Amount]]/CurrentMtgRatesDataTable8[[#This Row],[TotalBalance]]</f>
        <v>0.51613649947009765</v>
      </c>
      <c r="V8" s="44">
        <f>CurrentMtgRatesDataTable8[[#This Row],[Top 5 Amount]]/CurrentMtgRatesDataTable8[[#This Row],[TotalBalance]]</f>
        <v>0.39046656726243723</v>
      </c>
      <c r="W8" s="44">
        <f>CurrentMtgRatesDataTable8[[#This Row],[Top 1 Amount]]/CurrentMtgRatesDataTable8[[#This Row],[TotalBalance]]</f>
        <v>0.16770412665823517</v>
      </c>
      <c r="X8" s="44" t="e">
        <f>CurrentMtgRatesDataTable8[[#This Row],[N/A Amount]]/CurrentMtgRatesDataTable8[[#This Row],[TotalBalance]]</f>
        <v>#N/A</v>
      </c>
    </row>
    <row r="9" spans="2:24">
      <c r="B9" s="37">
        <v>39083</v>
      </c>
      <c r="C9" s="16">
        <v>366854872.81</v>
      </c>
      <c r="D9" s="16" t="s">
        <v>4</v>
      </c>
      <c r="E9" s="16">
        <v>6</v>
      </c>
      <c r="H9" s="37">
        <v>42005</v>
      </c>
      <c r="I9" s="16">
        <v>2721098.09</v>
      </c>
      <c r="N9" s="37">
        <v>42005</v>
      </c>
      <c r="O9" s="16">
        <v>27262435401.509998</v>
      </c>
      <c r="P9" s="17">
        <f>VLOOKUP($N9,'Pivot equal'!C:D,2,0)</f>
        <v>13496712945.599998</v>
      </c>
      <c r="Q9" s="17">
        <f>VLOOKUP(N9,'Pivot equal'!G:H,2,0)</f>
        <v>10195461374.42</v>
      </c>
      <c r="R9" s="17">
        <f>VLOOKUP(N9,'Pivot equal'!K:L,2,0)</f>
        <v>3904655310.6700001</v>
      </c>
      <c r="S9" s="43">
        <f>VLOOKUP(N9,CurrentMtgRatesDataTable9[],2,0)</f>
        <v>2721098.09</v>
      </c>
      <c r="T9" s="43" t="e">
        <f>VLOOKUP(N9,CurrentMtgRatesDataTable93[],2,0)</f>
        <v>#N/A</v>
      </c>
      <c r="U9" s="44">
        <f>CurrentMtgRatesDataTable8[[#This Row],[Top 10 Amount]]/CurrentMtgRatesDataTable8[[#This Row],[TotalBalance]]</f>
        <v>0.49506629715305805</v>
      </c>
      <c r="V9" s="44">
        <f>CurrentMtgRatesDataTable8[[#This Row],[Top 5 Amount]]/CurrentMtgRatesDataTable8[[#This Row],[TotalBalance]]</f>
        <v>0.37397471004572463</v>
      </c>
      <c r="W9" s="44">
        <f>CurrentMtgRatesDataTable8[[#This Row],[Top 1 Amount]]/CurrentMtgRatesDataTable8[[#This Row],[TotalBalance]]</f>
        <v>0.14322474324702961</v>
      </c>
      <c r="X9" s="44" t="e">
        <f>CurrentMtgRatesDataTable8[[#This Row],[N/A Amount]]/CurrentMtgRatesDataTable8[[#This Row],[TotalBalance]]</f>
        <v>#N/A</v>
      </c>
    </row>
    <row r="10" spans="2:24">
      <c r="B10" s="37">
        <v>39083</v>
      </c>
      <c r="C10" s="16">
        <v>252333072.41999999</v>
      </c>
      <c r="D10" s="16" t="s">
        <v>16</v>
      </c>
      <c r="E10" s="16">
        <v>7</v>
      </c>
      <c r="H10" s="37">
        <v>41974</v>
      </c>
      <c r="I10" s="16">
        <v>2213171.4300000002</v>
      </c>
      <c r="N10" s="37">
        <v>41974</v>
      </c>
      <c r="O10" s="16">
        <v>27829117697.049999</v>
      </c>
      <c r="P10" s="17">
        <f>VLOOKUP($N10,'Pivot equal'!C:D,2,0)</f>
        <v>13802109531.619999</v>
      </c>
      <c r="Q10" s="17">
        <f>VLOOKUP(N10,'Pivot equal'!G:H,2,0)</f>
        <v>10288075602.900002</v>
      </c>
      <c r="R10" s="17">
        <f>VLOOKUP(N10,'Pivot equal'!K:L,2,0)</f>
        <v>4309016116.8000002</v>
      </c>
      <c r="S10" s="43">
        <f>VLOOKUP(N10,CurrentMtgRatesDataTable9[],2,0)</f>
        <v>2213171.4300000002</v>
      </c>
      <c r="T10" s="43" t="e">
        <f>VLOOKUP(N10,CurrentMtgRatesDataTable93[],2,0)</f>
        <v>#N/A</v>
      </c>
      <c r="U10" s="44">
        <f>CurrentMtgRatesDataTable8[[#This Row],[Top 10 Amount]]/CurrentMtgRatesDataTable8[[#This Row],[TotalBalance]]</f>
        <v>0.49595929277639583</v>
      </c>
      <c r="V10" s="44">
        <f>CurrentMtgRatesDataTable8[[#This Row],[Top 5 Amount]]/CurrentMtgRatesDataTable8[[#This Row],[TotalBalance]]</f>
        <v>0.3696874516431608</v>
      </c>
      <c r="W10" s="44">
        <f>CurrentMtgRatesDataTable8[[#This Row],[Top 1 Amount]]/CurrentMtgRatesDataTable8[[#This Row],[TotalBalance]]</f>
        <v>0.1548384021264452</v>
      </c>
      <c r="X10" s="44" t="e">
        <f>CurrentMtgRatesDataTable8[[#This Row],[N/A Amount]]/CurrentMtgRatesDataTable8[[#This Row],[TotalBalance]]</f>
        <v>#N/A</v>
      </c>
    </row>
    <row r="11" spans="2:24">
      <c r="B11" s="37">
        <v>39083</v>
      </c>
      <c r="C11" s="16">
        <v>245840427.65000001</v>
      </c>
      <c r="D11" s="16" t="s">
        <v>8</v>
      </c>
      <c r="E11" s="16">
        <v>8</v>
      </c>
      <c r="H11" s="37">
        <v>41944</v>
      </c>
      <c r="I11" s="16">
        <v>2780416.69</v>
      </c>
      <c r="N11" s="37">
        <v>41944</v>
      </c>
      <c r="O11" s="16">
        <v>26555705393.77</v>
      </c>
      <c r="P11" s="17">
        <f>VLOOKUP($N11,'Pivot equal'!C:D,2,0)</f>
        <v>13258929185.760004</v>
      </c>
      <c r="Q11" s="17">
        <f>VLOOKUP(N11,'Pivot equal'!G:H,2,0)</f>
        <v>9211020156.4500008</v>
      </c>
      <c r="R11" s="17">
        <f>VLOOKUP(N11,'Pivot equal'!K:L,2,0)</f>
        <v>4010907765.6100001</v>
      </c>
      <c r="S11" s="43">
        <f>VLOOKUP(N11,CurrentMtgRatesDataTable9[],2,0)</f>
        <v>2780416.69</v>
      </c>
      <c r="T11" s="43" t="e">
        <f>VLOOKUP(N11,CurrentMtgRatesDataTable93[],2,0)</f>
        <v>#N/A</v>
      </c>
      <c r="U11" s="44">
        <f>CurrentMtgRatesDataTable8[[#This Row],[Top 10 Amount]]/CurrentMtgRatesDataTable8[[#This Row],[TotalBalance]]</f>
        <v>0.49928740318344411</v>
      </c>
      <c r="V11" s="44">
        <f>CurrentMtgRatesDataTable8[[#This Row],[Top 5 Amount]]/CurrentMtgRatesDataTable8[[#This Row],[TotalBalance]]</f>
        <v>0.34685654249692488</v>
      </c>
      <c r="W11" s="44">
        <f>CurrentMtgRatesDataTable8[[#This Row],[Top 1 Amount]]/CurrentMtgRatesDataTable8[[#This Row],[TotalBalance]]</f>
        <v>0.15103751552203029</v>
      </c>
      <c r="X11" s="44" t="e">
        <f>CurrentMtgRatesDataTable8[[#This Row],[N/A Amount]]/CurrentMtgRatesDataTable8[[#This Row],[TotalBalance]]</f>
        <v>#N/A</v>
      </c>
    </row>
    <row r="12" spans="2:24">
      <c r="B12" s="37">
        <v>39083</v>
      </c>
      <c r="C12" s="16">
        <v>221974897.47999999</v>
      </c>
      <c r="D12" s="16" t="s">
        <v>101</v>
      </c>
      <c r="E12" s="16">
        <v>9</v>
      </c>
      <c r="H12" s="37">
        <v>41913</v>
      </c>
      <c r="I12" s="16">
        <v>3777700.79</v>
      </c>
      <c r="N12" s="37">
        <v>41913</v>
      </c>
      <c r="O12" s="16">
        <v>29868572336.75</v>
      </c>
      <c r="P12" s="17">
        <f>VLOOKUP($N12,'Pivot equal'!C:D,2,0)</f>
        <v>15791185403.65</v>
      </c>
      <c r="Q12" s="17">
        <f>VLOOKUP(N12,'Pivot equal'!G:H,2,0)</f>
        <v>11437466213.700001</v>
      </c>
      <c r="R12" s="17">
        <f>VLOOKUP(N12,'Pivot equal'!K:L,2,0)</f>
        <v>4905737431.7200003</v>
      </c>
      <c r="S12" s="43">
        <f>VLOOKUP(N12,CurrentMtgRatesDataTable9[],2,0)</f>
        <v>3777700.79</v>
      </c>
      <c r="T12" s="43" t="e">
        <f>VLOOKUP(N12,CurrentMtgRatesDataTable93[],2,0)</f>
        <v>#N/A</v>
      </c>
      <c r="U12" s="44">
        <f>CurrentMtgRatesDataTable8[[#This Row],[Top 10 Amount]]/CurrentMtgRatesDataTable8[[#This Row],[TotalBalance]]</f>
        <v>0.52868899208217857</v>
      </c>
      <c r="V12" s="44">
        <f>CurrentMtgRatesDataTable8[[#This Row],[Top 5 Amount]]/CurrentMtgRatesDataTable8[[#This Row],[TotalBalance]]</f>
        <v>0.38292644471752851</v>
      </c>
      <c r="W12" s="44">
        <f>CurrentMtgRatesDataTable8[[#This Row],[Top 1 Amount]]/CurrentMtgRatesDataTable8[[#This Row],[TotalBalance]]</f>
        <v>0.1642441217615222</v>
      </c>
      <c r="X12" s="44" t="e">
        <f>CurrentMtgRatesDataTable8[[#This Row],[N/A Amount]]/CurrentMtgRatesDataTable8[[#This Row],[TotalBalance]]</f>
        <v>#N/A</v>
      </c>
    </row>
    <row r="13" spans="2:24">
      <c r="B13" s="37">
        <v>39083</v>
      </c>
      <c r="C13" s="16">
        <v>155562840.72999999</v>
      </c>
      <c r="D13" s="16" t="s">
        <v>26</v>
      </c>
      <c r="E13" s="16">
        <v>10</v>
      </c>
      <c r="H13" s="37">
        <v>41883</v>
      </c>
      <c r="I13" s="16">
        <v>1278264.72</v>
      </c>
      <c r="N13" s="37">
        <v>41883</v>
      </c>
      <c r="O13" s="16">
        <v>27533853996.610001</v>
      </c>
      <c r="P13" s="17">
        <f>VLOOKUP($N13,'Pivot equal'!C:D,2,0)</f>
        <v>13803767362.509998</v>
      </c>
      <c r="Q13" s="17">
        <f>VLOOKUP(N13,'Pivot equal'!G:H,2,0)</f>
        <v>10000328272.400002</v>
      </c>
      <c r="R13" s="17">
        <f>VLOOKUP(N13,'Pivot equal'!K:L,2,0)</f>
        <v>4613722824.3800001</v>
      </c>
      <c r="S13" s="43">
        <f>VLOOKUP(N13,CurrentMtgRatesDataTable9[],2,0)</f>
        <v>1278264.72</v>
      </c>
      <c r="T13" s="43" t="e">
        <f>VLOOKUP(N13,CurrentMtgRatesDataTable93[],2,0)</f>
        <v>#N/A</v>
      </c>
      <c r="U13" s="44">
        <f>CurrentMtgRatesDataTable8[[#This Row],[Top 10 Amount]]/CurrentMtgRatesDataTable8[[#This Row],[TotalBalance]]</f>
        <v>0.50133800245361704</v>
      </c>
      <c r="V13" s="44">
        <f>CurrentMtgRatesDataTable8[[#This Row],[Top 5 Amount]]/CurrentMtgRatesDataTable8[[#This Row],[TotalBalance]]</f>
        <v>0.36320118039527821</v>
      </c>
      <c r="W13" s="44">
        <f>CurrentMtgRatesDataTable8[[#This Row],[Top 1 Amount]]/CurrentMtgRatesDataTable8[[#This Row],[TotalBalance]]</f>
        <v>0.16756545687167684</v>
      </c>
      <c r="X13" s="44" t="e">
        <f>CurrentMtgRatesDataTable8[[#This Row],[N/A Amount]]/CurrentMtgRatesDataTable8[[#This Row],[TotalBalance]]</f>
        <v>#N/A</v>
      </c>
    </row>
    <row r="14" spans="2:24">
      <c r="B14" s="37">
        <v>39114</v>
      </c>
      <c r="C14" s="16">
        <v>1621110935.21</v>
      </c>
      <c r="D14" s="16" t="s">
        <v>11</v>
      </c>
      <c r="E14" s="16">
        <v>1</v>
      </c>
      <c r="H14" s="37">
        <v>41852</v>
      </c>
      <c r="I14" s="16">
        <v>1497479.6</v>
      </c>
      <c r="N14" s="37">
        <v>41852</v>
      </c>
      <c r="O14" s="16">
        <v>30530354411.009998</v>
      </c>
      <c r="P14" s="17">
        <f>VLOOKUP($N14,'Pivot equal'!C:D,2,0)</f>
        <v>16166675077.379999</v>
      </c>
      <c r="Q14" s="17">
        <f>VLOOKUP(N14,'Pivot equal'!G:H,2,0)</f>
        <v>12029365994.82</v>
      </c>
      <c r="R14" s="17">
        <f>VLOOKUP(N14,'Pivot equal'!K:L,2,0)</f>
        <v>6318663594.3699999</v>
      </c>
      <c r="S14" s="43">
        <f>VLOOKUP(N14,CurrentMtgRatesDataTable9[],2,0)</f>
        <v>1497479.6</v>
      </c>
      <c r="T14" s="43" t="e">
        <f>VLOOKUP(N14,CurrentMtgRatesDataTable93[],2,0)</f>
        <v>#N/A</v>
      </c>
      <c r="U14" s="44">
        <f>CurrentMtgRatesDataTable8[[#This Row],[Top 10 Amount]]/CurrentMtgRatesDataTable8[[#This Row],[TotalBalance]]</f>
        <v>0.52952792030314255</v>
      </c>
      <c r="V14" s="44">
        <f>CurrentMtgRatesDataTable8[[#This Row],[Top 5 Amount]]/CurrentMtgRatesDataTable8[[#This Row],[TotalBalance]]</f>
        <v>0.39401330993006467</v>
      </c>
      <c r="W14" s="44">
        <f>CurrentMtgRatesDataTable8[[#This Row],[Top 1 Amount]]/CurrentMtgRatesDataTable8[[#This Row],[TotalBalance]]</f>
        <v>0.20696332277398438</v>
      </c>
      <c r="X14" s="44" t="e">
        <f>CurrentMtgRatesDataTable8[[#This Row],[N/A Amount]]/CurrentMtgRatesDataTable8[[#This Row],[TotalBalance]]</f>
        <v>#N/A</v>
      </c>
    </row>
    <row r="15" spans="2:24">
      <c r="B15" s="37">
        <v>39114</v>
      </c>
      <c r="C15" s="16">
        <v>869974601.39999998</v>
      </c>
      <c r="D15" s="16" t="s">
        <v>6</v>
      </c>
      <c r="E15" s="16">
        <v>2</v>
      </c>
      <c r="H15" s="37">
        <v>41821</v>
      </c>
      <c r="I15" s="16">
        <v>1047984.72</v>
      </c>
      <c r="N15" s="37">
        <v>41821</v>
      </c>
      <c r="O15" s="16">
        <v>27413380042.200001</v>
      </c>
      <c r="P15" s="17">
        <f>VLOOKUP($N15,'Pivot equal'!C:D,2,0)</f>
        <v>13065510612.74</v>
      </c>
      <c r="Q15" s="17">
        <f>VLOOKUP(N15,'Pivot equal'!G:H,2,0)</f>
        <v>9355114668.75</v>
      </c>
      <c r="R15" s="17">
        <f>VLOOKUP(N15,'Pivot equal'!K:L,2,0)</f>
        <v>4723917455.1999998</v>
      </c>
      <c r="S15" s="43">
        <f>VLOOKUP(N15,CurrentMtgRatesDataTable9[],2,0)</f>
        <v>1047984.72</v>
      </c>
      <c r="T15" s="43" t="e">
        <f>VLOOKUP(N15,CurrentMtgRatesDataTable93[],2,0)</f>
        <v>#N/A</v>
      </c>
      <c r="U15" s="44">
        <f>CurrentMtgRatesDataTable8[[#This Row],[Top 10 Amount]]/CurrentMtgRatesDataTable8[[#This Row],[TotalBalance]]</f>
        <v>0.47661071318556952</v>
      </c>
      <c r="V15" s="44">
        <f>CurrentMtgRatesDataTable8[[#This Row],[Top 5 Amount]]/CurrentMtgRatesDataTable8[[#This Row],[TotalBalance]]</f>
        <v>0.34126089720963959</v>
      </c>
      <c r="W15" s="44">
        <f>CurrentMtgRatesDataTable8[[#This Row],[Top 1 Amount]]/CurrentMtgRatesDataTable8[[#This Row],[TotalBalance]]</f>
        <v>0.17232159799076321</v>
      </c>
      <c r="X15" s="44" t="e">
        <f>CurrentMtgRatesDataTable8[[#This Row],[N/A Amount]]/CurrentMtgRatesDataTable8[[#This Row],[TotalBalance]]</f>
        <v>#N/A</v>
      </c>
    </row>
    <row r="16" spans="2:24">
      <c r="B16" s="37">
        <v>39114</v>
      </c>
      <c r="C16" s="16">
        <v>570923079.46000004</v>
      </c>
      <c r="D16" s="16" t="s">
        <v>13</v>
      </c>
      <c r="E16" s="16">
        <v>3</v>
      </c>
      <c r="H16" s="37">
        <v>41791</v>
      </c>
      <c r="I16" s="16">
        <v>82102.63</v>
      </c>
      <c r="N16" s="37">
        <v>41791</v>
      </c>
      <c r="O16" s="16">
        <v>25728881993.799999</v>
      </c>
      <c r="P16" s="17">
        <f>VLOOKUP($N16,'Pivot equal'!C:D,2,0)</f>
        <v>13204114521.550001</v>
      </c>
      <c r="Q16" s="17">
        <f>VLOOKUP(N16,'Pivot equal'!G:H,2,0)</f>
        <v>10249952263.84</v>
      </c>
      <c r="R16" s="17">
        <f>VLOOKUP(N16,'Pivot equal'!K:L,2,0)</f>
        <v>6002735545.8500004</v>
      </c>
      <c r="S16" s="43">
        <f>VLOOKUP(N16,CurrentMtgRatesDataTable9[],2,0)</f>
        <v>82102.63</v>
      </c>
      <c r="T16" s="43" t="e">
        <f>VLOOKUP(N16,CurrentMtgRatesDataTable93[],2,0)</f>
        <v>#N/A</v>
      </c>
      <c r="U16" s="44">
        <f>CurrentMtgRatesDataTable8[[#This Row],[Top 10 Amount]]/CurrentMtgRatesDataTable8[[#This Row],[TotalBalance]]</f>
        <v>0.51320203204833592</v>
      </c>
      <c r="V16" s="44">
        <f>CurrentMtgRatesDataTable8[[#This Row],[Top 5 Amount]]/CurrentMtgRatesDataTable8[[#This Row],[TotalBalance]]</f>
        <v>0.39838311926301251</v>
      </c>
      <c r="W16" s="44">
        <f>CurrentMtgRatesDataTable8[[#This Row],[Top 1 Amount]]/CurrentMtgRatesDataTable8[[#This Row],[TotalBalance]]</f>
        <v>0.23330728273760615</v>
      </c>
      <c r="X16" s="44" t="e">
        <f>CurrentMtgRatesDataTable8[[#This Row],[N/A Amount]]/CurrentMtgRatesDataTable8[[#This Row],[TotalBalance]]</f>
        <v>#N/A</v>
      </c>
    </row>
    <row r="17" spans="2:24">
      <c r="B17" s="37">
        <v>39114</v>
      </c>
      <c r="C17" s="16">
        <v>377190566.31999999</v>
      </c>
      <c r="D17" s="16" t="s">
        <v>7</v>
      </c>
      <c r="E17" s="16">
        <v>4</v>
      </c>
      <c r="H17" s="37">
        <v>41760</v>
      </c>
      <c r="I17" s="16">
        <v>1136383.83</v>
      </c>
      <c r="N17" s="37">
        <v>41760</v>
      </c>
      <c r="O17" s="16">
        <v>24207116913.740002</v>
      </c>
      <c r="P17" s="17">
        <f>VLOOKUP($N17,'Pivot equal'!C:D,2,0)</f>
        <v>12369353880.969999</v>
      </c>
      <c r="Q17" s="17">
        <f>VLOOKUP(N17,'Pivot equal'!G:H,2,0)</f>
        <v>9517403444.5599995</v>
      </c>
      <c r="R17" s="17">
        <f>VLOOKUP(N17,'Pivot equal'!K:L,2,0)</f>
        <v>5355107741.7399998</v>
      </c>
      <c r="S17" s="43">
        <f>VLOOKUP(N17,CurrentMtgRatesDataTable9[],2,0)</f>
        <v>1136383.83</v>
      </c>
      <c r="T17" s="43" t="e">
        <f>VLOOKUP(N17,CurrentMtgRatesDataTable93[],2,0)</f>
        <v>#N/A</v>
      </c>
      <c r="U17" s="44">
        <f>CurrentMtgRatesDataTable8[[#This Row],[Top 10 Amount]]/CurrentMtgRatesDataTable8[[#This Row],[TotalBalance]]</f>
        <v>0.51098005289300408</v>
      </c>
      <c r="V17" s="44">
        <f>CurrentMtgRatesDataTable8[[#This Row],[Top 5 Amount]]/CurrentMtgRatesDataTable8[[#This Row],[TotalBalance]]</f>
        <v>0.39316550907216485</v>
      </c>
      <c r="W17" s="44">
        <f>CurrentMtgRatesDataTable8[[#This Row],[Top 1 Amount]]/CurrentMtgRatesDataTable8[[#This Row],[TotalBalance]]</f>
        <v>0.22122038575772859</v>
      </c>
      <c r="X17" s="44" t="e">
        <f>CurrentMtgRatesDataTable8[[#This Row],[N/A Amount]]/CurrentMtgRatesDataTable8[[#This Row],[TotalBalance]]</f>
        <v>#N/A</v>
      </c>
    </row>
    <row r="18" spans="2:24">
      <c r="B18" s="37">
        <v>39114</v>
      </c>
      <c r="C18" s="16">
        <v>268409363</v>
      </c>
      <c r="D18" s="16" t="s">
        <v>100</v>
      </c>
      <c r="E18" s="16">
        <v>5</v>
      </c>
      <c r="H18" s="37">
        <v>41730</v>
      </c>
      <c r="I18" s="16">
        <v>262231.59000000003</v>
      </c>
      <c r="N18" s="37">
        <v>41730</v>
      </c>
      <c r="O18" s="16">
        <v>21999258156.419998</v>
      </c>
      <c r="P18" s="17">
        <f>VLOOKUP($N18,'Pivot equal'!C:D,2,0)</f>
        <v>11300062333.420002</v>
      </c>
      <c r="Q18" s="17">
        <f>VLOOKUP(N18,'Pivot equal'!G:H,2,0)</f>
        <v>8747604064.2000008</v>
      </c>
      <c r="R18" s="17">
        <f>VLOOKUP(N18,'Pivot equal'!K:L,2,0)</f>
        <v>4445417365.0100002</v>
      </c>
      <c r="S18" s="43">
        <f>VLOOKUP(N18,CurrentMtgRatesDataTable9[],2,0)</f>
        <v>262231.59000000003</v>
      </c>
      <c r="T18" s="43" t="e">
        <f>VLOOKUP(N18,CurrentMtgRatesDataTable93[],2,0)</f>
        <v>#N/A</v>
      </c>
      <c r="U18" s="44">
        <f>CurrentMtgRatesDataTable8[[#This Row],[Top 10 Amount]]/CurrentMtgRatesDataTable8[[#This Row],[TotalBalance]]</f>
        <v>0.51365651755499442</v>
      </c>
      <c r="V18" s="44">
        <f>CurrentMtgRatesDataTable8[[#This Row],[Top 5 Amount]]/CurrentMtgRatesDataTable8[[#This Row],[TotalBalance]]</f>
        <v>0.39763177476269607</v>
      </c>
      <c r="W18" s="44">
        <f>CurrentMtgRatesDataTable8[[#This Row],[Top 1 Amount]]/CurrentMtgRatesDataTable8[[#This Row],[TotalBalance]]</f>
        <v>0.20207123955735312</v>
      </c>
      <c r="X18" s="44" t="e">
        <f>CurrentMtgRatesDataTable8[[#This Row],[N/A Amount]]/CurrentMtgRatesDataTable8[[#This Row],[TotalBalance]]</f>
        <v>#N/A</v>
      </c>
    </row>
    <row r="19" spans="2:24">
      <c r="B19" s="37">
        <v>39114</v>
      </c>
      <c r="C19" s="16">
        <v>265814723.13999999</v>
      </c>
      <c r="D19" s="16" t="s">
        <v>101</v>
      </c>
      <c r="E19" s="16">
        <v>6</v>
      </c>
      <c r="H19" s="37">
        <v>41699</v>
      </c>
      <c r="I19" s="16">
        <v>1145344.71</v>
      </c>
      <c r="N19" s="37">
        <v>41699</v>
      </c>
      <c r="O19" s="16">
        <v>17047395223.98</v>
      </c>
      <c r="P19" s="17">
        <f>VLOOKUP($N19,'Pivot equal'!C:D,2,0)</f>
        <v>8940718251.539999</v>
      </c>
      <c r="Q19" s="17">
        <f>VLOOKUP(N19,'Pivot equal'!G:H,2,0)</f>
        <v>6740558305.8000002</v>
      </c>
      <c r="R19" s="17">
        <f>VLOOKUP(N19,'Pivot equal'!K:L,2,0)</f>
        <v>3220958142.0500002</v>
      </c>
      <c r="S19" s="43">
        <f>VLOOKUP(N19,CurrentMtgRatesDataTable9[],2,0)</f>
        <v>1145344.71</v>
      </c>
      <c r="T19" s="43" t="e">
        <f>VLOOKUP(N19,CurrentMtgRatesDataTable93[],2,0)</f>
        <v>#N/A</v>
      </c>
      <c r="U19" s="44">
        <f>CurrentMtgRatesDataTable8[[#This Row],[Top 10 Amount]]/CurrentMtgRatesDataTable8[[#This Row],[TotalBalance]]</f>
        <v>0.52446242572961466</v>
      </c>
      <c r="V19" s="44">
        <f>CurrentMtgRatesDataTable8[[#This Row],[Top 5 Amount]]/CurrentMtgRatesDataTable8[[#This Row],[TotalBalance]]</f>
        <v>0.39540106962020116</v>
      </c>
      <c r="W19" s="44">
        <f>CurrentMtgRatesDataTable8[[#This Row],[Top 1 Amount]]/CurrentMtgRatesDataTable8[[#This Row],[TotalBalance]]</f>
        <v>0.18894136609909684</v>
      </c>
      <c r="X19" s="44" t="e">
        <f>CurrentMtgRatesDataTable8[[#This Row],[N/A Amount]]/CurrentMtgRatesDataTable8[[#This Row],[TotalBalance]]</f>
        <v>#N/A</v>
      </c>
    </row>
    <row r="20" spans="2:24">
      <c r="B20" s="37">
        <v>39114</v>
      </c>
      <c r="C20" s="16">
        <v>262487581.16</v>
      </c>
      <c r="D20" s="16" t="s">
        <v>8</v>
      </c>
      <c r="E20" s="16">
        <v>7</v>
      </c>
      <c r="H20" s="37">
        <v>41671</v>
      </c>
      <c r="I20" s="16">
        <v>36521.199999999997</v>
      </c>
      <c r="N20" s="37">
        <v>41671</v>
      </c>
      <c r="O20" s="16">
        <v>20222239011.169998</v>
      </c>
      <c r="P20" s="17">
        <f>VLOOKUP($N20,'Pivot equal'!C:D,2,0)</f>
        <v>11668939446.919998</v>
      </c>
      <c r="Q20" s="17">
        <f>VLOOKUP(N20,'Pivot equal'!G:H,2,0)</f>
        <v>9075030670.2299995</v>
      </c>
      <c r="R20" s="17">
        <f>VLOOKUP(N20,'Pivot equal'!K:L,2,0)</f>
        <v>4975614792.9300003</v>
      </c>
      <c r="S20" s="43">
        <f>VLOOKUP(N20,CurrentMtgRatesDataTable9[],2,0)</f>
        <v>36521.199999999997</v>
      </c>
      <c r="T20" s="43" t="e">
        <f>VLOOKUP(N20,CurrentMtgRatesDataTable93[],2,0)</f>
        <v>#N/A</v>
      </c>
      <c r="U20" s="44">
        <f>CurrentMtgRatesDataTable8[[#This Row],[Top 10 Amount]]/CurrentMtgRatesDataTable8[[#This Row],[TotalBalance]]</f>
        <v>0.57703498808784326</v>
      </c>
      <c r="V20" s="44">
        <f>CurrentMtgRatesDataTable8[[#This Row],[Top 5 Amount]]/CurrentMtgRatesDataTable8[[#This Row],[TotalBalance]]</f>
        <v>0.4487648803486744</v>
      </c>
      <c r="W20" s="44">
        <f>CurrentMtgRatesDataTable8[[#This Row],[Top 1 Amount]]/CurrentMtgRatesDataTable8[[#This Row],[TotalBalance]]</f>
        <v>0.24604668109113237</v>
      </c>
      <c r="X20" s="44" t="e">
        <f>CurrentMtgRatesDataTable8[[#This Row],[N/A Amount]]/CurrentMtgRatesDataTable8[[#This Row],[TotalBalance]]</f>
        <v>#N/A</v>
      </c>
    </row>
    <row r="21" spans="2:24">
      <c r="B21" s="37">
        <v>39114</v>
      </c>
      <c r="C21" s="16">
        <v>240883899.58000001</v>
      </c>
      <c r="D21" s="16" t="s">
        <v>16</v>
      </c>
      <c r="E21" s="16">
        <v>8</v>
      </c>
      <c r="H21" s="37">
        <v>41640</v>
      </c>
      <c r="I21" s="16">
        <v>101926.61</v>
      </c>
      <c r="N21" s="37">
        <v>41640</v>
      </c>
      <c r="O21" s="16">
        <v>21920064130.419998</v>
      </c>
      <c r="P21" s="17">
        <f>VLOOKUP($N21,'Pivot equal'!C:D,2,0)</f>
        <v>11845891136.720001</v>
      </c>
      <c r="Q21" s="17">
        <f>VLOOKUP(N21,'Pivot equal'!G:H,2,0)</f>
        <v>9318703436.4099998</v>
      </c>
      <c r="R21" s="17">
        <f>VLOOKUP(N21,'Pivot equal'!K:L,2,0)</f>
        <v>4800004095.4399996</v>
      </c>
      <c r="S21" s="43">
        <f>VLOOKUP(N21,CurrentMtgRatesDataTable9[],2,0)</f>
        <v>101926.61</v>
      </c>
      <c r="T21" s="43" t="e">
        <f>VLOOKUP(N21,CurrentMtgRatesDataTable93[],2,0)</f>
        <v>#N/A</v>
      </c>
      <c r="U21" s="44">
        <f>CurrentMtgRatesDataTable8[[#This Row],[Top 10 Amount]]/CurrentMtgRatesDataTable8[[#This Row],[TotalBalance]]</f>
        <v>0.54041316057468258</v>
      </c>
      <c r="V21" s="44">
        <f>CurrentMtgRatesDataTable8[[#This Row],[Top 5 Amount]]/CurrentMtgRatesDataTable8[[#This Row],[TotalBalance]]</f>
        <v>0.42512208819123787</v>
      </c>
      <c r="W21" s="44">
        <f>CurrentMtgRatesDataTable8[[#This Row],[Top 1 Amount]]/CurrentMtgRatesDataTable8[[#This Row],[TotalBalance]]</f>
        <v>0.21897764837187222</v>
      </c>
      <c r="X21" s="44" t="e">
        <f>CurrentMtgRatesDataTable8[[#This Row],[N/A Amount]]/CurrentMtgRatesDataTable8[[#This Row],[TotalBalance]]</f>
        <v>#N/A</v>
      </c>
    </row>
    <row r="22" spans="2:24">
      <c r="B22" s="37">
        <v>39114</v>
      </c>
      <c r="C22" s="16">
        <v>226406026.94999999</v>
      </c>
      <c r="D22" s="16" t="s">
        <v>4</v>
      </c>
      <c r="E22" s="16">
        <v>9</v>
      </c>
      <c r="H22" s="37">
        <v>41609</v>
      </c>
      <c r="I22" s="16">
        <v>69070.8</v>
      </c>
      <c r="N22" s="37">
        <v>41609</v>
      </c>
      <c r="O22" s="16">
        <v>21441669551.299999</v>
      </c>
      <c r="P22" s="17">
        <f>VLOOKUP($N22,'Pivot equal'!C:D,2,0)</f>
        <v>11595801527.200001</v>
      </c>
      <c r="Q22" s="17">
        <f>VLOOKUP(N22,'Pivot equal'!G:H,2,0)</f>
        <v>9254986706.0799999</v>
      </c>
      <c r="R22" s="17">
        <f>VLOOKUP(N22,'Pivot equal'!K:L,2,0)</f>
        <v>4731307858.5900002</v>
      </c>
      <c r="S22" s="43">
        <f>VLOOKUP(N22,CurrentMtgRatesDataTable9[],2,0)</f>
        <v>69070.8</v>
      </c>
      <c r="T22" s="43" t="e">
        <f>VLOOKUP(N22,CurrentMtgRatesDataTable93[],2,0)</f>
        <v>#N/A</v>
      </c>
      <c r="U22" s="44">
        <f>CurrentMtgRatesDataTable8[[#This Row],[Top 10 Amount]]/CurrentMtgRatesDataTable8[[#This Row],[TotalBalance]]</f>
        <v>0.54080683873317847</v>
      </c>
      <c r="V22" s="44">
        <f>CurrentMtgRatesDataTable8[[#This Row],[Top 5 Amount]]/CurrentMtgRatesDataTable8[[#This Row],[TotalBalance]]</f>
        <v>0.43163554423488792</v>
      </c>
      <c r="W22" s="44">
        <f>CurrentMtgRatesDataTable8[[#This Row],[Top 1 Amount]]/CurrentMtgRatesDataTable8[[#This Row],[TotalBalance]]</f>
        <v>0.22065948956400847</v>
      </c>
      <c r="X22" s="44" t="e">
        <f>CurrentMtgRatesDataTable8[[#This Row],[N/A Amount]]/CurrentMtgRatesDataTable8[[#This Row],[TotalBalance]]</f>
        <v>#N/A</v>
      </c>
    </row>
    <row r="23" spans="2:24">
      <c r="B23" s="37">
        <v>39114</v>
      </c>
      <c r="C23" s="16">
        <v>116368553.09</v>
      </c>
      <c r="D23" s="16" t="s">
        <v>19</v>
      </c>
      <c r="E23" s="16">
        <v>10</v>
      </c>
      <c r="H23" s="37">
        <v>41579</v>
      </c>
      <c r="I23" s="16">
        <v>2558893.7599999998</v>
      </c>
      <c r="N23" s="37">
        <v>41579</v>
      </c>
      <c r="O23" s="16">
        <v>24425721819.209999</v>
      </c>
      <c r="P23" s="17">
        <f>VLOOKUP($N23,'Pivot equal'!C:D,2,0)</f>
        <v>14315974240.729996</v>
      </c>
      <c r="Q23" s="17">
        <f>VLOOKUP(N23,'Pivot equal'!G:H,2,0)</f>
        <v>11600603853.66</v>
      </c>
      <c r="R23" s="17">
        <f>VLOOKUP(N23,'Pivot equal'!K:L,2,0)</f>
        <v>6464423980.5</v>
      </c>
      <c r="S23" s="43">
        <f>VLOOKUP(N23,CurrentMtgRatesDataTable9[],2,0)</f>
        <v>2558893.7599999998</v>
      </c>
      <c r="T23" s="43" t="e">
        <f>VLOOKUP(N23,CurrentMtgRatesDataTable93[],2,0)</f>
        <v>#N/A</v>
      </c>
      <c r="U23" s="44">
        <f>CurrentMtgRatesDataTable8[[#This Row],[Top 10 Amount]]/CurrentMtgRatesDataTable8[[#This Row],[TotalBalance]]</f>
        <v>0.58610240248748635</v>
      </c>
      <c r="V23" s="44">
        <f>CurrentMtgRatesDataTable8[[#This Row],[Top 5 Amount]]/CurrentMtgRatesDataTable8[[#This Row],[TotalBalance]]</f>
        <v>0.47493392168810011</v>
      </c>
      <c r="W23" s="44">
        <f>CurrentMtgRatesDataTable8[[#This Row],[Top 1 Amount]]/CurrentMtgRatesDataTable8[[#This Row],[TotalBalance]]</f>
        <v>0.26465641541106683</v>
      </c>
      <c r="X23" s="44" t="e">
        <f>CurrentMtgRatesDataTable8[[#This Row],[N/A Amount]]/CurrentMtgRatesDataTable8[[#This Row],[TotalBalance]]</f>
        <v>#N/A</v>
      </c>
    </row>
    <row r="24" spans="2:24">
      <c r="B24" s="37">
        <v>39142</v>
      </c>
      <c r="C24" s="16">
        <v>1136163344.1300001</v>
      </c>
      <c r="D24" s="16" t="s">
        <v>11</v>
      </c>
      <c r="E24" s="16">
        <v>1</v>
      </c>
      <c r="H24" s="37">
        <v>41548</v>
      </c>
      <c r="I24" s="16">
        <v>158895.63</v>
      </c>
      <c r="N24" s="37">
        <v>41548</v>
      </c>
      <c r="O24" s="16">
        <v>26884500047.799999</v>
      </c>
      <c r="P24" s="17">
        <f>VLOOKUP($N24,'Pivot equal'!C:D,2,0)</f>
        <v>15685629842.970001</v>
      </c>
      <c r="Q24" s="17">
        <f>VLOOKUP(N24,'Pivot equal'!G:H,2,0)</f>
        <v>12514284008.049999</v>
      </c>
      <c r="R24" s="17">
        <f>VLOOKUP(N24,'Pivot equal'!K:L,2,0)</f>
        <v>6287281036.2299995</v>
      </c>
      <c r="S24" s="43">
        <f>VLOOKUP(N24,CurrentMtgRatesDataTable9[],2,0)</f>
        <v>158895.63</v>
      </c>
      <c r="T24" s="43" t="e">
        <f>VLOOKUP(N24,CurrentMtgRatesDataTable93[],2,0)</f>
        <v>#N/A</v>
      </c>
      <c r="U24" s="44">
        <f>CurrentMtgRatesDataTable8[[#This Row],[Top 10 Amount]]/CurrentMtgRatesDataTable8[[#This Row],[TotalBalance]]</f>
        <v>0.58344510089759249</v>
      </c>
      <c r="V24" s="44">
        <f>CurrentMtgRatesDataTable8[[#This Row],[Top 5 Amount]]/CurrentMtgRatesDataTable8[[#This Row],[TotalBalance]]</f>
        <v>0.46548323330543256</v>
      </c>
      <c r="W24" s="44">
        <f>CurrentMtgRatesDataTable8[[#This Row],[Top 1 Amount]]/CurrentMtgRatesDataTable8[[#This Row],[TotalBalance]]</f>
        <v>0.23386267273155029</v>
      </c>
      <c r="X24" s="44" t="e">
        <f>CurrentMtgRatesDataTable8[[#This Row],[N/A Amount]]/CurrentMtgRatesDataTable8[[#This Row],[TotalBalance]]</f>
        <v>#N/A</v>
      </c>
    </row>
    <row r="25" spans="2:24">
      <c r="B25" s="37">
        <v>39142</v>
      </c>
      <c r="C25" s="16">
        <v>1086310630.5599999</v>
      </c>
      <c r="D25" s="16" t="s">
        <v>6</v>
      </c>
      <c r="E25" s="16">
        <v>2</v>
      </c>
      <c r="H25" s="37">
        <v>41518</v>
      </c>
      <c r="I25" s="16">
        <v>715052.98</v>
      </c>
      <c r="N25" s="37">
        <v>41518</v>
      </c>
      <c r="O25" s="16">
        <v>30246465328.040001</v>
      </c>
      <c r="P25" s="17">
        <f>VLOOKUP($N25,'Pivot equal'!C:D,2,0)</f>
        <v>17776590882.760002</v>
      </c>
      <c r="Q25" s="17">
        <f>VLOOKUP(N25,'Pivot equal'!G:H,2,0)</f>
        <v>14400270643.16</v>
      </c>
      <c r="R25" s="17">
        <f>VLOOKUP(N25,'Pivot equal'!K:L,2,0)</f>
        <v>7267875544.7299995</v>
      </c>
      <c r="S25" s="43">
        <f>VLOOKUP(N25,CurrentMtgRatesDataTable9[],2,0)</f>
        <v>715052.98</v>
      </c>
      <c r="T25" s="43" t="e">
        <f>VLOOKUP(N25,CurrentMtgRatesDataTable93[],2,0)</f>
        <v>#N/A</v>
      </c>
      <c r="U25" s="44">
        <f>CurrentMtgRatesDataTable8[[#This Row],[Top 10 Amount]]/CurrentMtgRatesDataTable8[[#This Row],[TotalBalance]]</f>
        <v>0.58772457177930815</v>
      </c>
      <c r="V25" s="44">
        <f>CurrentMtgRatesDataTable8[[#This Row],[Top 5 Amount]]/CurrentMtgRatesDataTable8[[#This Row],[TotalBalance]]</f>
        <v>0.47609763610329109</v>
      </c>
      <c r="W25" s="44">
        <f>CurrentMtgRatesDataTable8[[#This Row],[Top 1 Amount]]/CurrentMtgRatesDataTable8[[#This Row],[TotalBalance]]</f>
        <v>0.24028842596666367</v>
      </c>
      <c r="X25" s="44" t="e">
        <f>CurrentMtgRatesDataTable8[[#This Row],[N/A Amount]]/CurrentMtgRatesDataTable8[[#This Row],[TotalBalance]]</f>
        <v>#N/A</v>
      </c>
    </row>
    <row r="26" spans="2:24">
      <c r="B26" s="37">
        <v>39142</v>
      </c>
      <c r="C26" s="16">
        <v>616257064</v>
      </c>
      <c r="D26" s="16" t="s">
        <v>100</v>
      </c>
      <c r="E26" s="16">
        <v>3</v>
      </c>
      <c r="H26" s="37">
        <v>41487</v>
      </c>
      <c r="I26" s="16">
        <v>42386.54</v>
      </c>
      <c r="N26" s="37">
        <v>41487</v>
      </c>
      <c r="O26" s="16">
        <v>34072165757.150002</v>
      </c>
      <c r="P26" s="17">
        <f>VLOOKUP($N26,'Pivot equal'!C:D,2,0)</f>
        <v>20908839908.930004</v>
      </c>
      <c r="Q26" s="17">
        <f>VLOOKUP(N26,'Pivot equal'!G:H,2,0)</f>
        <v>17168607712.619999</v>
      </c>
      <c r="R26" s="17">
        <f>VLOOKUP(N26,'Pivot equal'!K:L,2,0)</f>
        <v>8870949392.1399994</v>
      </c>
      <c r="S26" s="43">
        <f>VLOOKUP(N26,CurrentMtgRatesDataTable9[],2,0)</f>
        <v>42386.54</v>
      </c>
      <c r="T26" s="43" t="e">
        <f>VLOOKUP(N26,CurrentMtgRatesDataTable93[],2,0)</f>
        <v>#N/A</v>
      </c>
      <c r="U26" s="44">
        <f>CurrentMtgRatesDataTable8[[#This Row],[Top 10 Amount]]/CurrentMtgRatesDataTable8[[#This Row],[TotalBalance]]</f>
        <v>0.61366336551536382</v>
      </c>
      <c r="V26" s="44">
        <f>CurrentMtgRatesDataTable8[[#This Row],[Top 5 Amount]]/CurrentMtgRatesDataTable8[[#This Row],[TotalBalance]]</f>
        <v>0.50388953361490352</v>
      </c>
      <c r="W26" s="44">
        <f>CurrentMtgRatesDataTable8[[#This Row],[Top 1 Amount]]/CurrentMtgRatesDataTable8[[#This Row],[TotalBalance]]</f>
        <v>0.2603576613053557</v>
      </c>
      <c r="X26" s="44" t="e">
        <f>CurrentMtgRatesDataTable8[[#This Row],[N/A Amount]]/CurrentMtgRatesDataTable8[[#This Row],[TotalBalance]]</f>
        <v>#N/A</v>
      </c>
    </row>
    <row r="27" spans="2:24">
      <c r="B27" s="37">
        <v>39142</v>
      </c>
      <c r="C27" s="16">
        <v>527836553.68000001</v>
      </c>
      <c r="D27" s="16" t="s">
        <v>13</v>
      </c>
      <c r="E27" s="16">
        <v>4</v>
      </c>
      <c r="H27" s="37">
        <v>41456</v>
      </c>
      <c r="I27" s="16">
        <v>98553.86</v>
      </c>
      <c r="N27" s="37">
        <v>41456</v>
      </c>
      <c r="O27" s="16">
        <v>37282597413.379997</v>
      </c>
      <c r="P27" s="17">
        <f>VLOOKUP($N27,'Pivot equal'!C:D,2,0)</f>
        <v>23698069082.650002</v>
      </c>
      <c r="Q27" s="17">
        <f>VLOOKUP(N27,'Pivot equal'!G:H,2,0)</f>
        <v>18955519140.270004</v>
      </c>
      <c r="R27" s="17">
        <f>VLOOKUP(N27,'Pivot equal'!K:L,2,0)</f>
        <v>10136035522.35</v>
      </c>
      <c r="S27" s="43">
        <f>VLOOKUP(N27,CurrentMtgRatesDataTable9[],2,0)</f>
        <v>98553.86</v>
      </c>
      <c r="T27" s="43" t="e">
        <f>VLOOKUP(N27,CurrentMtgRatesDataTable93[],2,0)</f>
        <v>#N/A</v>
      </c>
      <c r="U27" s="44">
        <f>CurrentMtgRatesDataTable8[[#This Row],[Top 10 Amount]]/CurrentMtgRatesDataTable8[[#This Row],[TotalBalance]]</f>
        <v>0.63563353217834617</v>
      </c>
      <c r="V27" s="44">
        <f>CurrentMtgRatesDataTable8[[#This Row],[Top 5 Amount]]/CurrentMtgRatesDataTable8[[#This Row],[TotalBalance]]</f>
        <v>0.5084280724890492</v>
      </c>
      <c r="W27" s="44">
        <f>CurrentMtgRatesDataTable8[[#This Row],[Top 1 Amount]]/CurrentMtgRatesDataTable8[[#This Row],[TotalBalance]]</f>
        <v>0.27187042281320173</v>
      </c>
      <c r="X27" s="44" t="e">
        <f>CurrentMtgRatesDataTable8[[#This Row],[N/A Amount]]/CurrentMtgRatesDataTable8[[#This Row],[TotalBalance]]</f>
        <v>#N/A</v>
      </c>
    </row>
    <row r="28" spans="2:24">
      <c r="B28" s="37">
        <v>39142</v>
      </c>
      <c r="C28" s="16">
        <v>518587543.66000003</v>
      </c>
      <c r="D28" s="16" t="s">
        <v>4</v>
      </c>
      <c r="E28" s="16">
        <v>5</v>
      </c>
      <c r="H28" s="37">
        <v>41426</v>
      </c>
      <c r="I28" s="16">
        <v>41436.800000000003</v>
      </c>
      <c r="N28" s="37">
        <v>41426</v>
      </c>
      <c r="O28" s="16">
        <v>40070305738.699997</v>
      </c>
      <c r="P28" s="17">
        <f>VLOOKUP($N28,'Pivot equal'!C:D,2,0)</f>
        <v>24543431615.759995</v>
      </c>
      <c r="Q28" s="17">
        <f>VLOOKUP(N28,'Pivot equal'!G:H,2,0)</f>
        <v>19931806879.980003</v>
      </c>
      <c r="R28" s="17">
        <f>VLOOKUP(N28,'Pivot equal'!K:L,2,0)</f>
        <v>10901539313.190001</v>
      </c>
      <c r="S28" s="43">
        <f>VLOOKUP(N28,CurrentMtgRatesDataTable9[],2,0)</f>
        <v>41436.800000000003</v>
      </c>
      <c r="T28" s="43" t="e">
        <f>VLOOKUP(N28,CurrentMtgRatesDataTable93[],2,0)</f>
        <v>#N/A</v>
      </c>
      <c r="U28" s="44">
        <f>CurrentMtgRatesDataTable8[[#This Row],[Top 10 Amount]]/CurrentMtgRatesDataTable8[[#This Row],[TotalBalance]]</f>
        <v>0.61250921756895627</v>
      </c>
      <c r="V28" s="44">
        <f>CurrentMtgRatesDataTable8[[#This Row],[Top 5 Amount]]/CurrentMtgRatesDataTable8[[#This Row],[TotalBalance]]</f>
        <v>0.49742088343313579</v>
      </c>
      <c r="W28" s="44">
        <f>CurrentMtgRatesDataTable8[[#This Row],[Top 1 Amount]]/CurrentMtgRatesDataTable8[[#This Row],[TotalBalance]]</f>
        <v>0.27206029782451269</v>
      </c>
      <c r="X28" s="44" t="e">
        <f>CurrentMtgRatesDataTable8[[#This Row],[N/A Amount]]/CurrentMtgRatesDataTable8[[#This Row],[TotalBalance]]</f>
        <v>#N/A</v>
      </c>
    </row>
    <row r="29" spans="2:24">
      <c r="B29" s="37">
        <v>39142</v>
      </c>
      <c r="C29" s="16">
        <v>475430933.06</v>
      </c>
      <c r="D29" s="16" t="s">
        <v>7</v>
      </c>
      <c r="E29" s="16">
        <v>6</v>
      </c>
      <c r="H29" s="37">
        <v>41365</v>
      </c>
      <c r="I29" s="16">
        <v>156145.66</v>
      </c>
      <c r="N29" s="37">
        <v>41395</v>
      </c>
      <c r="O29" s="16">
        <v>40349366950.739998</v>
      </c>
      <c r="P29" s="17">
        <f>VLOOKUP($N29,'Pivot equal'!C:D,2,0)</f>
        <v>25114174999.98</v>
      </c>
      <c r="Q29" s="17">
        <f>VLOOKUP(N29,'Pivot equal'!G:H,2,0)</f>
        <v>20872056371.66</v>
      </c>
      <c r="R29" s="17">
        <f>VLOOKUP(N29,'Pivot equal'!K:L,2,0)</f>
        <v>11488927028.709999</v>
      </c>
      <c r="S29" s="43" t="e">
        <f>VLOOKUP(N29,CurrentMtgRatesDataTable9[],2,0)</f>
        <v>#N/A</v>
      </c>
      <c r="T29" s="43" t="e">
        <f>VLOOKUP(N29,CurrentMtgRatesDataTable93[],2,0)</f>
        <v>#N/A</v>
      </c>
      <c r="U29" s="44">
        <f>CurrentMtgRatesDataTable8[[#This Row],[Top 10 Amount]]/CurrentMtgRatesDataTable8[[#This Row],[TotalBalance]]</f>
        <v>0.62241806744180928</v>
      </c>
      <c r="V29" s="44">
        <f>CurrentMtgRatesDataTable8[[#This Row],[Top 5 Amount]]/CurrentMtgRatesDataTable8[[#This Row],[TotalBalance]]</f>
        <v>0.5172833664810994</v>
      </c>
      <c r="W29" s="44">
        <f>CurrentMtgRatesDataTable8[[#This Row],[Top 1 Amount]]/CurrentMtgRatesDataTable8[[#This Row],[TotalBalance]]</f>
        <v>0.28473623992009855</v>
      </c>
      <c r="X29" s="44" t="e">
        <f>CurrentMtgRatesDataTable8[[#This Row],[N/A Amount]]/CurrentMtgRatesDataTable8[[#This Row],[TotalBalance]]</f>
        <v>#N/A</v>
      </c>
    </row>
    <row r="30" spans="2:24">
      <c r="B30" s="37">
        <v>39142</v>
      </c>
      <c r="C30" s="16">
        <v>328710504.68000001</v>
      </c>
      <c r="D30" s="16" t="s">
        <v>101</v>
      </c>
      <c r="E30" s="16">
        <v>7</v>
      </c>
      <c r="H30" s="37">
        <v>41334</v>
      </c>
      <c r="I30" s="16">
        <v>1097501.01</v>
      </c>
      <c r="N30" s="37">
        <v>41365</v>
      </c>
      <c r="O30" s="16">
        <v>39207819015.68</v>
      </c>
      <c r="P30" s="17">
        <f>VLOOKUP($N30,'Pivot equal'!C:D,2,0)</f>
        <v>24970975389.630005</v>
      </c>
      <c r="Q30" s="17">
        <f>VLOOKUP(N30,'Pivot equal'!G:H,2,0)</f>
        <v>20223303671.580002</v>
      </c>
      <c r="R30" s="17">
        <f>VLOOKUP(N30,'Pivot equal'!K:L,2,0)</f>
        <v>11279857954.74</v>
      </c>
      <c r="S30" s="43">
        <f>VLOOKUP(N30,CurrentMtgRatesDataTable9[],2,0)</f>
        <v>156145.66</v>
      </c>
      <c r="T30" s="43" t="e">
        <f>VLOOKUP(N30,CurrentMtgRatesDataTable93[],2,0)</f>
        <v>#N/A</v>
      </c>
      <c r="U30" s="44">
        <f>CurrentMtgRatesDataTable8[[#This Row],[Top 10 Amount]]/CurrentMtgRatesDataTable8[[#This Row],[TotalBalance]]</f>
        <v>0.63688764171359813</v>
      </c>
      <c r="V30" s="44">
        <f>CurrentMtgRatesDataTable8[[#This Row],[Top 5 Amount]]/CurrentMtgRatesDataTable8[[#This Row],[TotalBalance]]</f>
        <v>0.51579772043663774</v>
      </c>
      <c r="W30" s="44">
        <f>CurrentMtgRatesDataTable8[[#This Row],[Top 1 Amount]]/CurrentMtgRatesDataTable8[[#This Row],[TotalBalance]]</f>
        <v>0.28769409362527809</v>
      </c>
      <c r="X30" s="44" t="e">
        <f>CurrentMtgRatesDataTable8[[#This Row],[N/A Amount]]/CurrentMtgRatesDataTable8[[#This Row],[TotalBalance]]</f>
        <v>#N/A</v>
      </c>
    </row>
    <row r="31" spans="2:24">
      <c r="B31" s="37">
        <v>39142</v>
      </c>
      <c r="C31" s="16">
        <v>220919756.88999999</v>
      </c>
      <c r="D31" s="16" t="s">
        <v>16</v>
      </c>
      <c r="E31" s="16">
        <v>8</v>
      </c>
      <c r="H31" s="37">
        <v>41306</v>
      </c>
      <c r="I31" s="16">
        <v>2766460.86</v>
      </c>
      <c r="N31" s="37">
        <v>41334</v>
      </c>
      <c r="O31" s="16">
        <v>35969757043.540001</v>
      </c>
      <c r="P31" s="17">
        <f>VLOOKUP($N31,'Pivot equal'!C:D,2,0)</f>
        <v>22346775421.320004</v>
      </c>
      <c r="Q31" s="17">
        <f>VLOOKUP(N31,'Pivot equal'!G:H,2,0)</f>
        <v>18253722161.220001</v>
      </c>
      <c r="R31" s="17">
        <f>VLOOKUP(N31,'Pivot equal'!K:L,2,0)</f>
        <v>9568034422.0900002</v>
      </c>
      <c r="S31" s="43">
        <f>VLOOKUP(N31,CurrentMtgRatesDataTable9[],2,0)</f>
        <v>1097501.01</v>
      </c>
      <c r="T31" s="43" t="e">
        <f>VLOOKUP(N31,CurrentMtgRatesDataTable93[],2,0)</f>
        <v>#N/A</v>
      </c>
      <c r="U31" s="44">
        <f>CurrentMtgRatesDataTable8[[#This Row],[Top 10 Amount]]/CurrentMtgRatesDataTable8[[#This Row],[TotalBalance]]</f>
        <v>0.6212656758918359</v>
      </c>
      <c r="V31" s="44">
        <f>CurrentMtgRatesDataTable8[[#This Row],[Top 5 Amount]]/CurrentMtgRatesDataTable8[[#This Row],[TotalBalance]]</f>
        <v>0.50747415777995319</v>
      </c>
      <c r="W31" s="44">
        <f>CurrentMtgRatesDataTable8[[#This Row],[Top 1 Amount]]/CurrentMtgRatesDataTable8[[#This Row],[TotalBalance]]</f>
        <v>0.26600219763809535</v>
      </c>
      <c r="X31" s="44" t="e">
        <f>CurrentMtgRatesDataTable8[[#This Row],[N/A Amount]]/CurrentMtgRatesDataTable8[[#This Row],[TotalBalance]]</f>
        <v>#N/A</v>
      </c>
    </row>
    <row r="32" spans="2:24">
      <c r="B32" s="37">
        <v>39142</v>
      </c>
      <c r="C32" s="16">
        <v>219108241.11000001</v>
      </c>
      <c r="D32" s="16" t="s">
        <v>8</v>
      </c>
      <c r="E32" s="16">
        <v>9</v>
      </c>
      <c r="H32" s="37">
        <v>41275</v>
      </c>
      <c r="I32" s="16">
        <v>2068229.63</v>
      </c>
      <c r="N32" s="37">
        <v>41306</v>
      </c>
      <c r="O32" s="16">
        <v>38063936628.589996</v>
      </c>
      <c r="P32" s="17">
        <f>VLOOKUP($N32,'Pivot equal'!C:D,2,0)</f>
        <v>24451409144.98</v>
      </c>
      <c r="Q32" s="17">
        <f>VLOOKUP(N32,'Pivot equal'!G:H,2,0)</f>
        <v>20255842062.120003</v>
      </c>
      <c r="R32" s="17">
        <f>VLOOKUP(N32,'Pivot equal'!K:L,2,0)</f>
        <v>11492145992.860001</v>
      </c>
      <c r="S32" s="43">
        <f>VLOOKUP(N32,CurrentMtgRatesDataTable9[],2,0)</f>
        <v>2766460.86</v>
      </c>
      <c r="T32" s="43" t="e">
        <f>VLOOKUP(N32,CurrentMtgRatesDataTable93[],2,0)</f>
        <v>#N/A</v>
      </c>
      <c r="U32" s="44">
        <f>CurrentMtgRatesDataTable8[[#This Row],[Top 10 Amount]]/CurrentMtgRatesDataTable8[[#This Row],[TotalBalance]]</f>
        <v>0.6423773080426588</v>
      </c>
      <c r="V32" s="44">
        <f>CurrentMtgRatesDataTable8[[#This Row],[Top 5 Amount]]/CurrentMtgRatesDataTable8[[#This Row],[TotalBalance]]</f>
        <v>0.53215310491310952</v>
      </c>
      <c r="W32" s="44">
        <f>CurrentMtgRatesDataTable8[[#This Row],[Top 1 Amount]]/CurrentMtgRatesDataTable8[[#This Row],[TotalBalance]]</f>
        <v>0.30191690641446156</v>
      </c>
      <c r="X32" s="44" t="e">
        <f>CurrentMtgRatesDataTable8[[#This Row],[N/A Amount]]/CurrentMtgRatesDataTable8[[#This Row],[TotalBalance]]</f>
        <v>#N/A</v>
      </c>
    </row>
    <row r="33" spans="2:24">
      <c r="B33" s="37">
        <v>39142</v>
      </c>
      <c r="C33" s="16">
        <v>107482362.75</v>
      </c>
      <c r="D33" s="16" t="s">
        <v>10</v>
      </c>
      <c r="E33" s="16">
        <v>10</v>
      </c>
      <c r="H33" s="37">
        <v>41244</v>
      </c>
      <c r="I33" s="16">
        <v>4723627.7300000004</v>
      </c>
      <c r="N33" s="37">
        <v>41275</v>
      </c>
      <c r="O33" s="16">
        <v>37478642030.029999</v>
      </c>
      <c r="P33" s="17">
        <f>VLOOKUP($N33,'Pivot equal'!C:D,2,0)</f>
        <v>23904875687.350002</v>
      </c>
      <c r="Q33" s="17">
        <f>VLOOKUP(N33,'Pivot equal'!G:H,2,0)</f>
        <v>19628010871.970001</v>
      </c>
      <c r="R33" s="17">
        <f>VLOOKUP(N33,'Pivot equal'!K:L,2,0)</f>
        <v>12333810135.870001</v>
      </c>
      <c r="S33" s="43">
        <f>VLOOKUP(N33,CurrentMtgRatesDataTable9[],2,0)</f>
        <v>2068229.63</v>
      </c>
      <c r="T33" s="43" t="e">
        <f>VLOOKUP(N33,CurrentMtgRatesDataTable93[],2,0)</f>
        <v>#N/A</v>
      </c>
      <c r="U33" s="44">
        <f>CurrentMtgRatesDataTable8[[#This Row],[Top 10 Amount]]/CurrentMtgRatesDataTable8[[#This Row],[TotalBalance]]</f>
        <v>0.63782662317903804</v>
      </c>
      <c r="V33" s="44">
        <f>CurrentMtgRatesDataTable8[[#This Row],[Top 5 Amount]]/CurrentMtgRatesDataTable8[[#This Row],[TotalBalance]]</f>
        <v>0.52371190120076749</v>
      </c>
      <c r="W33" s="44">
        <f>CurrentMtgRatesDataTable8[[#This Row],[Top 1 Amount]]/CurrentMtgRatesDataTable8[[#This Row],[TotalBalance]]</f>
        <v>0.32908903492254221</v>
      </c>
      <c r="X33" s="44" t="e">
        <f>CurrentMtgRatesDataTable8[[#This Row],[N/A Amount]]/CurrentMtgRatesDataTable8[[#This Row],[TotalBalance]]</f>
        <v>#N/A</v>
      </c>
    </row>
    <row r="34" spans="2:24">
      <c r="B34" s="37">
        <v>39173</v>
      </c>
      <c r="C34" s="16">
        <v>1386094463.95</v>
      </c>
      <c r="D34" s="16" t="s">
        <v>6</v>
      </c>
      <c r="E34" s="16">
        <v>1</v>
      </c>
      <c r="H34" s="37">
        <v>41214</v>
      </c>
      <c r="I34" s="16">
        <v>265983.75</v>
      </c>
      <c r="N34" s="37">
        <v>41244</v>
      </c>
      <c r="O34" s="16">
        <v>40588469160.410004</v>
      </c>
      <c r="P34" s="17">
        <f>VLOOKUP($N34,'Pivot equal'!C:D,2,0)</f>
        <v>25121900776.220001</v>
      </c>
      <c r="Q34" s="17">
        <f>VLOOKUP(N34,'Pivot equal'!G:H,2,0)</f>
        <v>20340532413.459999</v>
      </c>
      <c r="R34" s="17">
        <f>VLOOKUP(N34,'Pivot equal'!K:L,2,0)</f>
        <v>11715803235.52</v>
      </c>
      <c r="S34" s="43">
        <f>VLOOKUP(N34,CurrentMtgRatesDataTable9[],2,0)</f>
        <v>4723627.7300000004</v>
      </c>
      <c r="T34" s="43" t="e">
        <f>VLOOKUP(N34,CurrentMtgRatesDataTable93[],2,0)</f>
        <v>#N/A</v>
      </c>
      <c r="U34" s="44">
        <f>CurrentMtgRatesDataTable8[[#This Row],[Top 10 Amount]]/CurrentMtgRatesDataTable8[[#This Row],[TotalBalance]]</f>
        <v>0.61894181514793134</v>
      </c>
      <c r="V34" s="44">
        <f>CurrentMtgRatesDataTable8[[#This Row],[Top 5 Amount]]/CurrentMtgRatesDataTable8[[#This Row],[TotalBalance]]</f>
        <v>0.50114066468168639</v>
      </c>
      <c r="W34" s="44">
        <f>CurrentMtgRatesDataTable8[[#This Row],[Top 1 Amount]]/CurrentMtgRatesDataTable8[[#This Row],[TotalBalance]]</f>
        <v>0.28864856147241924</v>
      </c>
      <c r="X34" s="44" t="e">
        <f>CurrentMtgRatesDataTable8[[#This Row],[N/A Amount]]/CurrentMtgRatesDataTable8[[#This Row],[TotalBalance]]</f>
        <v>#N/A</v>
      </c>
    </row>
    <row r="35" spans="2:24">
      <c r="B35" s="37">
        <v>39173</v>
      </c>
      <c r="C35" s="16">
        <v>1054161043.52</v>
      </c>
      <c r="D35" s="16" t="s">
        <v>11</v>
      </c>
      <c r="E35" s="16">
        <v>2</v>
      </c>
      <c r="H35" s="37">
        <v>41183</v>
      </c>
      <c r="I35" s="16">
        <v>1260220.6499999999</v>
      </c>
      <c r="N35" s="37">
        <v>41214</v>
      </c>
      <c r="O35" s="16">
        <v>40377783920.790001</v>
      </c>
      <c r="P35" s="17">
        <f>VLOOKUP($N35,'Pivot equal'!C:D,2,0)</f>
        <v>27101432390.41</v>
      </c>
      <c r="Q35" s="17">
        <f>VLOOKUP(N35,'Pivot equal'!G:H,2,0)</f>
        <v>22292069694.239998</v>
      </c>
      <c r="R35" s="17">
        <f>VLOOKUP(N35,'Pivot equal'!K:L,2,0)</f>
        <v>14279880239.870001</v>
      </c>
      <c r="S35" s="43">
        <f>VLOOKUP(N35,CurrentMtgRatesDataTable9[],2,0)</f>
        <v>265983.75</v>
      </c>
      <c r="T35" s="43" t="e">
        <f>VLOOKUP(N35,CurrentMtgRatesDataTable93[],2,0)</f>
        <v>#N/A</v>
      </c>
      <c r="U35" s="44">
        <f>CurrentMtgRatesDataTable8[[#This Row],[Top 10 Amount]]/CurrentMtgRatesDataTable8[[#This Row],[TotalBalance]]</f>
        <v>0.6711966274220369</v>
      </c>
      <c r="V35" s="44">
        <f>CurrentMtgRatesDataTable8[[#This Row],[Top 5 Amount]]/CurrentMtgRatesDataTable8[[#This Row],[TotalBalance]]</f>
        <v>0.55208749786691735</v>
      </c>
      <c r="W35" s="44">
        <f>CurrentMtgRatesDataTable8[[#This Row],[Top 1 Amount]]/CurrentMtgRatesDataTable8[[#This Row],[TotalBalance]]</f>
        <v>0.35365685912538342</v>
      </c>
      <c r="X35" s="44" t="e">
        <f>CurrentMtgRatesDataTable8[[#This Row],[N/A Amount]]/CurrentMtgRatesDataTable8[[#This Row],[TotalBalance]]</f>
        <v>#N/A</v>
      </c>
    </row>
    <row r="36" spans="2:24">
      <c r="B36" s="37">
        <v>39173</v>
      </c>
      <c r="C36" s="16">
        <v>697228581.84000003</v>
      </c>
      <c r="D36" s="16" t="s">
        <v>7</v>
      </c>
      <c r="E36" s="16">
        <v>3</v>
      </c>
      <c r="H36" s="37">
        <v>41153</v>
      </c>
      <c r="I36" s="16">
        <v>4946.2299999999996</v>
      </c>
      <c r="N36" s="37">
        <v>41183</v>
      </c>
      <c r="O36" s="16">
        <v>35764476169.269997</v>
      </c>
      <c r="P36" s="17">
        <f>VLOOKUP($N36,'Pivot equal'!C:D,2,0)</f>
        <v>23869927709.499996</v>
      </c>
      <c r="Q36" s="17">
        <f>VLOOKUP(N36,'Pivot equal'!G:H,2,0)</f>
        <v>19510637406.490002</v>
      </c>
      <c r="R36" s="17">
        <f>VLOOKUP(N36,'Pivot equal'!K:L,2,0)</f>
        <v>12119713533.76</v>
      </c>
      <c r="S36" s="43">
        <f>VLOOKUP(N36,CurrentMtgRatesDataTable9[],2,0)</f>
        <v>1260220.6499999999</v>
      </c>
      <c r="T36" s="43" t="e">
        <f>VLOOKUP(N36,CurrentMtgRatesDataTable93[],2,0)</f>
        <v>#N/A</v>
      </c>
      <c r="U36" s="44">
        <f>CurrentMtgRatesDataTable8[[#This Row],[Top 10 Amount]]/CurrentMtgRatesDataTable8[[#This Row],[TotalBalance]]</f>
        <v>0.66742002864870187</v>
      </c>
      <c r="V36" s="44">
        <f>CurrentMtgRatesDataTable8[[#This Row],[Top 5 Amount]]/CurrentMtgRatesDataTable8[[#This Row],[TotalBalance]]</f>
        <v>0.54553119453359078</v>
      </c>
      <c r="W36" s="44">
        <f>CurrentMtgRatesDataTable8[[#This Row],[Top 1 Amount]]/CurrentMtgRatesDataTable8[[#This Row],[TotalBalance]]</f>
        <v>0.33887574576511353</v>
      </c>
      <c r="X36" s="44" t="e">
        <f>CurrentMtgRatesDataTable8[[#This Row],[N/A Amount]]/CurrentMtgRatesDataTable8[[#This Row],[TotalBalance]]</f>
        <v>#N/A</v>
      </c>
    </row>
    <row r="37" spans="2:24">
      <c r="B37" s="37">
        <v>39173</v>
      </c>
      <c r="C37" s="16">
        <v>610609457.89999998</v>
      </c>
      <c r="D37" s="16" t="s">
        <v>13</v>
      </c>
      <c r="E37" s="16">
        <v>4</v>
      </c>
      <c r="H37" s="37">
        <v>41122</v>
      </c>
      <c r="I37" s="16">
        <v>479742.95</v>
      </c>
      <c r="N37" s="37">
        <v>41153</v>
      </c>
      <c r="O37" s="16">
        <v>37945487987.889999</v>
      </c>
      <c r="P37" s="17">
        <f>VLOOKUP($N37,'Pivot equal'!C:D,2,0)</f>
        <v>25979772278.559998</v>
      </c>
      <c r="Q37" s="17">
        <f>VLOOKUP(N37,'Pivot equal'!G:H,2,0)</f>
        <v>21727048883.23</v>
      </c>
      <c r="R37" s="17">
        <f>VLOOKUP(N37,'Pivot equal'!K:L,2,0)</f>
        <v>14243174523.99</v>
      </c>
      <c r="S37" s="43">
        <f>VLOOKUP(N37,CurrentMtgRatesDataTable9[],2,0)</f>
        <v>4946.2299999999996</v>
      </c>
      <c r="T37" s="43" t="e">
        <f>VLOOKUP(N37,CurrentMtgRatesDataTable93[],2,0)</f>
        <v>#N/A</v>
      </c>
      <c r="U37" s="44">
        <f>CurrentMtgRatesDataTable8[[#This Row],[Top 10 Amount]]/CurrentMtgRatesDataTable8[[#This Row],[TotalBalance]]</f>
        <v>0.684660381409543</v>
      </c>
      <c r="V37" s="44">
        <f>CurrentMtgRatesDataTable8[[#This Row],[Top 5 Amount]]/CurrentMtgRatesDataTable8[[#This Row],[TotalBalance]]</f>
        <v>0.57258583392481377</v>
      </c>
      <c r="W37" s="44">
        <f>CurrentMtgRatesDataTable8[[#This Row],[Top 1 Amount]]/CurrentMtgRatesDataTable8[[#This Row],[TotalBalance]]</f>
        <v>0.37535884447014084</v>
      </c>
      <c r="X37" s="44" t="e">
        <f>CurrentMtgRatesDataTable8[[#This Row],[N/A Amount]]/CurrentMtgRatesDataTable8[[#This Row],[TotalBalance]]</f>
        <v>#N/A</v>
      </c>
    </row>
    <row r="38" spans="2:24">
      <c r="B38" s="37">
        <v>39173</v>
      </c>
      <c r="C38" s="16">
        <v>560043687.34000003</v>
      </c>
      <c r="D38" s="16" t="s">
        <v>4</v>
      </c>
      <c r="E38" s="16">
        <v>5</v>
      </c>
      <c r="H38" s="37">
        <v>41091</v>
      </c>
      <c r="I38" s="16">
        <v>2007537.55</v>
      </c>
      <c r="N38" s="37">
        <v>41122</v>
      </c>
      <c r="O38" s="16">
        <v>38079955996.330002</v>
      </c>
      <c r="P38" s="17">
        <f>VLOOKUP($N38,'Pivot equal'!C:D,2,0)</f>
        <v>27220146041.560001</v>
      </c>
      <c r="Q38" s="17">
        <f>VLOOKUP(N38,'Pivot equal'!G:H,2,0)</f>
        <v>22870113391.25</v>
      </c>
      <c r="R38" s="17">
        <f>VLOOKUP(N38,'Pivot equal'!K:L,2,0)</f>
        <v>15536484394.24</v>
      </c>
      <c r="S38" s="43">
        <f>VLOOKUP(N38,CurrentMtgRatesDataTable9[],2,0)</f>
        <v>479742.95</v>
      </c>
      <c r="T38" s="43" t="e">
        <f>VLOOKUP(N38,CurrentMtgRatesDataTable93[],2,0)</f>
        <v>#N/A</v>
      </c>
      <c r="U38" s="44">
        <f>CurrentMtgRatesDataTable8[[#This Row],[Top 10 Amount]]/CurrentMtgRatesDataTable8[[#This Row],[TotalBalance]]</f>
        <v>0.7148155855060172</v>
      </c>
      <c r="V38" s="44">
        <f>CurrentMtgRatesDataTable8[[#This Row],[Top 5 Amount]]/CurrentMtgRatesDataTable8[[#This Row],[TotalBalance]]</f>
        <v>0.60058140281081551</v>
      </c>
      <c r="W38" s="44">
        <f>CurrentMtgRatesDataTable8[[#This Row],[Top 1 Amount]]/CurrentMtgRatesDataTable8[[#This Row],[TotalBalance]]</f>
        <v>0.40799638517800141</v>
      </c>
      <c r="X38" s="44" t="e">
        <f>CurrentMtgRatesDataTable8[[#This Row],[N/A Amount]]/CurrentMtgRatesDataTable8[[#This Row],[TotalBalance]]</f>
        <v>#N/A</v>
      </c>
    </row>
    <row r="39" spans="2:24">
      <c r="B39" s="37">
        <v>39173</v>
      </c>
      <c r="C39" s="16">
        <v>549494004</v>
      </c>
      <c r="D39" s="16" t="s">
        <v>100</v>
      </c>
      <c r="E39" s="16">
        <v>6</v>
      </c>
      <c r="H39" s="37">
        <v>41061</v>
      </c>
      <c r="I39" s="16">
        <v>1841580.28</v>
      </c>
      <c r="N39" s="37">
        <v>41091</v>
      </c>
      <c r="O39" s="16">
        <v>30326222816.41</v>
      </c>
      <c r="P39" s="17">
        <f>VLOOKUP($N39,'Pivot equal'!C:D,2,0)</f>
        <v>21220884873.25</v>
      </c>
      <c r="Q39" s="17">
        <f>VLOOKUP(N39,'Pivot equal'!G:H,2,0)</f>
        <v>18023596767.029999</v>
      </c>
      <c r="R39" s="17">
        <f>VLOOKUP(N39,'Pivot equal'!K:L,2,0)</f>
        <v>12115594759.610001</v>
      </c>
      <c r="S39" s="43">
        <f>VLOOKUP(N39,CurrentMtgRatesDataTable9[],2,0)</f>
        <v>2007537.55</v>
      </c>
      <c r="T39" s="43" t="e">
        <f>VLOOKUP(N39,CurrentMtgRatesDataTable93[],2,0)</f>
        <v>#N/A</v>
      </c>
      <c r="U39" s="44">
        <f>CurrentMtgRatesDataTable8[[#This Row],[Top 10 Amount]]/CurrentMtgRatesDataTable8[[#This Row],[TotalBalance]]</f>
        <v>0.69975364230876269</v>
      </c>
      <c r="V39" s="44">
        <f>CurrentMtgRatesDataTable8[[#This Row],[Top 5 Amount]]/CurrentMtgRatesDataTable8[[#This Row],[TotalBalance]]</f>
        <v>0.59432382582367449</v>
      </c>
      <c r="W39" s="44">
        <f>CurrentMtgRatesDataTable8[[#This Row],[Top 1 Amount]]/CurrentMtgRatesDataTable8[[#This Row],[TotalBalance]]</f>
        <v>0.39950886178459588</v>
      </c>
      <c r="X39" s="44" t="e">
        <f>CurrentMtgRatesDataTable8[[#This Row],[N/A Amount]]/CurrentMtgRatesDataTable8[[#This Row],[TotalBalance]]</f>
        <v>#N/A</v>
      </c>
    </row>
    <row r="40" spans="2:24">
      <c r="B40" s="37">
        <v>39173</v>
      </c>
      <c r="C40" s="16">
        <v>300885844.23000002</v>
      </c>
      <c r="D40" s="16" t="s">
        <v>101</v>
      </c>
      <c r="E40" s="16">
        <v>7</v>
      </c>
      <c r="H40" s="37">
        <v>41030</v>
      </c>
      <c r="I40" s="16">
        <v>1890124.51</v>
      </c>
      <c r="N40" s="37">
        <v>41061</v>
      </c>
      <c r="O40" s="16">
        <v>32958680494.32</v>
      </c>
      <c r="P40" s="17">
        <f>VLOOKUP($N40,'Pivot equal'!C:D,2,0)</f>
        <v>23318814679.160004</v>
      </c>
      <c r="Q40" s="17">
        <f>VLOOKUP(N40,'Pivot equal'!G:H,2,0)</f>
        <v>20254241442.190002</v>
      </c>
      <c r="R40" s="17">
        <f>VLOOKUP(N40,'Pivot equal'!K:L,2,0)</f>
        <v>12472666977.870001</v>
      </c>
      <c r="S40" s="43">
        <f>VLOOKUP(N40,CurrentMtgRatesDataTable9[],2,0)</f>
        <v>1841580.28</v>
      </c>
      <c r="T40" s="43" t="e">
        <f>VLOOKUP(N40,CurrentMtgRatesDataTable93[],2,0)</f>
        <v>#N/A</v>
      </c>
      <c r="U40" s="44">
        <f>CurrentMtgRatesDataTable8[[#This Row],[Top 10 Amount]]/CurrentMtgRatesDataTable8[[#This Row],[TotalBalance]]</f>
        <v>0.70751663384032315</v>
      </c>
      <c r="V40" s="44">
        <f>CurrentMtgRatesDataTable8[[#This Row],[Top 5 Amount]]/CurrentMtgRatesDataTable8[[#This Row],[TotalBalance]]</f>
        <v>0.61453435448304905</v>
      </c>
      <c r="W40" s="44">
        <f>CurrentMtgRatesDataTable8[[#This Row],[Top 1 Amount]]/CurrentMtgRatesDataTable8[[#This Row],[TotalBalance]]</f>
        <v>0.37843344426423575</v>
      </c>
      <c r="X40" s="44" t="e">
        <f>CurrentMtgRatesDataTable8[[#This Row],[N/A Amount]]/CurrentMtgRatesDataTable8[[#This Row],[TotalBalance]]</f>
        <v>#N/A</v>
      </c>
    </row>
    <row r="41" spans="2:24">
      <c r="B41" s="37">
        <v>39173</v>
      </c>
      <c r="C41" s="16">
        <v>240388245.47</v>
      </c>
      <c r="D41" s="16" t="s">
        <v>16</v>
      </c>
      <c r="E41" s="16">
        <v>8</v>
      </c>
      <c r="H41" s="37">
        <v>41000</v>
      </c>
      <c r="I41" s="16">
        <v>180374.83</v>
      </c>
      <c r="N41" s="37">
        <v>41030</v>
      </c>
      <c r="O41" s="16">
        <v>34838750444.559998</v>
      </c>
      <c r="P41" s="17">
        <f>VLOOKUP($N41,'Pivot equal'!C:D,2,0)</f>
        <v>25839406336.460003</v>
      </c>
      <c r="Q41" s="17">
        <f>VLOOKUP(N41,'Pivot equal'!G:H,2,0)</f>
        <v>22717138914.080002</v>
      </c>
      <c r="R41" s="17">
        <f>VLOOKUP(N41,'Pivot equal'!K:L,2,0)</f>
        <v>14867243244.77</v>
      </c>
      <c r="S41" s="43">
        <f>VLOOKUP(N41,CurrentMtgRatesDataTable9[],2,0)</f>
        <v>1890124.51</v>
      </c>
      <c r="T41" s="43" t="e">
        <f>VLOOKUP(N41,CurrentMtgRatesDataTable93[],2,0)</f>
        <v>#N/A</v>
      </c>
      <c r="U41" s="44">
        <f>CurrentMtgRatesDataTable8[[#This Row],[Top 10 Amount]]/CurrentMtgRatesDataTable8[[#This Row],[TotalBalance]]</f>
        <v>0.74168579546442304</v>
      </c>
      <c r="V41" s="44">
        <f>CurrentMtgRatesDataTable8[[#This Row],[Top 5 Amount]]/CurrentMtgRatesDataTable8[[#This Row],[TotalBalance]]</f>
        <v>0.65206526135977527</v>
      </c>
      <c r="W41" s="44">
        <f>CurrentMtgRatesDataTable8[[#This Row],[Top 1 Amount]]/CurrentMtgRatesDataTable8[[#This Row],[TotalBalance]]</f>
        <v>0.4267444456261057</v>
      </c>
      <c r="X41" s="44" t="e">
        <f>CurrentMtgRatesDataTable8[[#This Row],[N/A Amount]]/CurrentMtgRatesDataTable8[[#This Row],[TotalBalance]]</f>
        <v>#N/A</v>
      </c>
    </row>
    <row r="42" spans="2:24">
      <c r="B42" s="37">
        <v>39173</v>
      </c>
      <c r="C42" s="16">
        <v>235387471.34999999</v>
      </c>
      <c r="D42" s="16" t="s">
        <v>8</v>
      </c>
      <c r="E42" s="16">
        <v>9</v>
      </c>
      <c r="H42" s="37">
        <v>40969</v>
      </c>
      <c r="I42" s="16">
        <v>1785490.34</v>
      </c>
      <c r="N42" s="37">
        <v>41000</v>
      </c>
      <c r="O42" s="16">
        <v>34798488088.949997</v>
      </c>
      <c r="P42" s="17">
        <f>VLOOKUP($N42,'Pivot equal'!C:D,2,0)</f>
        <v>25506549112.43</v>
      </c>
      <c r="Q42" s="17">
        <f>VLOOKUP(N42,'Pivot equal'!G:H,2,0)</f>
        <v>22471329505.650002</v>
      </c>
      <c r="R42" s="17">
        <f>VLOOKUP(N42,'Pivot equal'!K:L,2,0)</f>
        <v>14678468587.370001</v>
      </c>
      <c r="S42" s="43">
        <f>VLOOKUP(N42,CurrentMtgRatesDataTable9[],2,0)</f>
        <v>180374.83</v>
      </c>
      <c r="T42" s="43" t="e">
        <f>VLOOKUP(N42,CurrentMtgRatesDataTable93[],2,0)</f>
        <v>#N/A</v>
      </c>
      <c r="U42" s="44">
        <f>CurrentMtgRatesDataTable8[[#This Row],[Top 10 Amount]]/CurrentMtgRatesDataTable8[[#This Row],[TotalBalance]]</f>
        <v>0.73297865836100551</v>
      </c>
      <c r="V42" s="44">
        <f>CurrentMtgRatesDataTable8[[#This Row],[Top 5 Amount]]/CurrentMtgRatesDataTable8[[#This Row],[TotalBalance]]</f>
        <v>0.64575591468830529</v>
      </c>
      <c r="W42" s="44">
        <f>CurrentMtgRatesDataTable8[[#This Row],[Top 1 Amount]]/CurrentMtgRatesDataTable8[[#This Row],[TotalBalance]]</f>
        <v>0.42181340033652326</v>
      </c>
      <c r="X42" s="44" t="e">
        <f>CurrentMtgRatesDataTable8[[#This Row],[N/A Amount]]/CurrentMtgRatesDataTable8[[#This Row],[TotalBalance]]</f>
        <v>#N/A</v>
      </c>
    </row>
    <row r="43" spans="2:24">
      <c r="B43" s="37">
        <v>39173</v>
      </c>
      <c r="C43" s="16">
        <v>118395519.92</v>
      </c>
      <c r="D43" s="16" t="s">
        <v>19</v>
      </c>
      <c r="E43" s="16">
        <v>10</v>
      </c>
      <c r="H43" s="37">
        <v>40940</v>
      </c>
      <c r="I43" s="16">
        <v>1010830.25</v>
      </c>
      <c r="N43" s="37">
        <v>40969</v>
      </c>
      <c r="O43" s="16">
        <v>27983123127.27</v>
      </c>
      <c r="P43" s="17">
        <f>VLOOKUP($N43,'Pivot equal'!C:D,2,0)</f>
        <v>19975866042.119999</v>
      </c>
      <c r="Q43" s="17">
        <f>VLOOKUP(N43,'Pivot equal'!G:H,2,0)</f>
        <v>16974489941.450001</v>
      </c>
      <c r="R43" s="17">
        <f>VLOOKUP(N43,'Pivot equal'!K:L,2,0)</f>
        <v>10386620664.41</v>
      </c>
      <c r="S43" s="43">
        <f>VLOOKUP(N43,CurrentMtgRatesDataTable9[],2,0)</f>
        <v>1785490.34</v>
      </c>
      <c r="T43" s="43" t="e">
        <f>VLOOKUP(N43,CurrentMtgRatesDataTable93[],2,0)</f>
        <v>#N/A</v>
      </c>
      <c r="U43" s="44">
        <f>CurrentMtgRatesDataTable8[[#This Row],[Top 10 Amount]]/CurrentMtgRatesDataTable8[[#This Row],[TotalBalance]]</f>
        <v>0.71385405950821834</v>
      </c>
      <c r="V43" s="44">
        <f>CurrentMtgRatesDataTable8[[#This Row],[Top 5 Amount]]/CurrentMtgRatesDataTable8[[#This Row],[TotalBalance]]</f>
        <v>0.606597407453355</v>
      </c>
      <c r="W43" s="44">
        <f>CurrentMtgRatesDataTable8[[#This Row],[Top 1 Amount]]/CurrentMtgRatesDataTable8[[#This Row],[TotalBalance]]</f>
        <v>0.37117446173433272</v>
      </c>
      <c r="X43" s="44" t="e">
        <f>CurrentMtgRatesDataTable8[[#This Row],[N/A Amount]]/CurrentMtgRatesDataTable8[[#This Row],[TotalBalance]]</f>
        <v>#N/A</v>
      </c>
    </row>
    <row r="44" spans="2:24">
      <c r="B44" s="37">
        <v>39203</v>
      </c>
      <c r="C44" s="16">
        <v>1527666445.4200001</v>
      </c>
      <c r="D44" s="16" t="s">
        <v>6</v>
      </c>
      <c r="E44" s="16">
        <v>1</v>
      </c>
      <c r="H44" s="37">
        <v>40909</v>
      </c>
      <c r="I44" s="16">
        <v>1010.6</v>
      </c>
      <c r="N44" s="37">
        <v>40940</v>
      </c>
      <c r="O44" s="16">
        <v>26640859908.990002</v>
      </c>
      <c r="P44" s="17">
        <f>VLOOKUP($N44,'Pivot equal'!C:D,2,0)</f>
        <v>19045138902.970001</v>
      </c>
      <c r="Q44" s="17">
        <f>VLOOKUP(N44,'Pivot equal'!G:H,2,0)</f>
        <v>16037593041.09</v>
      </c>
      <c r="R44" s="17">
        <f>VLOOKUP(N44,'Pivot equal'!K:L,2,0)</f>
        <v>10212781061.02</v>
      </c>
      <c r="S44" s="43">
        <f>VLOOKUP(N44,CurrentMtgRatesDataTable9[],2,0)</f>
        <v>1010830.25</v>
      </c>
      <c r="T44" s="43" t="e">
        <f>VLOOKUP(N44,CurrentMtgRatesDataTable93[],2,0)</f>
        <v>#N/A</v>
      </c>
      <c r="U44" s="44">
        <f>CurrentMtgRatesDataTable8[[#This Row],[Top 10 Amount]]/CurrentMtgRatesDataTable8[[#This Row],[TotalBalance]]</f>
        <v>0.71488454081556085</v>
      </c>
      <c r="V44" s="44">
        <f>CurrentMtgRatesDataTable8[[#This Row],[Top 5 Amount]]/CurrentMtgRatesDataTable8[[#This Row],[TotalBalance]]</f>
        <v>0.60199231916226881</v>
      </c>
      <c r="W44" s="44">
        <f>CurrentMtgRatesDataTable8[[#This Row],[Top 1 Amount]]/CurrentMtgRatesDataTable8[[#This Row],[TotalBalance]]</f>
        <v>0.38335027832842888</v>
      </c>
      <c r="X44" s="44" t="e">
        <f>CurrentMtgRatesDataTable8[[#This Row],[N/A Amount]]/CurrentMtgRatesDataTable8[[#This Row],[TotalBalance]]</f>
        <v>#N/A</v>
      </c>
    </row>
    <row r="45" spans="2:24">
      <c r="B45" s="37">
        <v>39203</v>
      </c>
      <c r="C45" s="16">
        <v>1325103193.3800001</v>
      </c>
      <c r="D45" s="16" t="s">
        <v>11</v>
      </c>
      <c r="E45" s="16">
        <v>2</v>
      </c>
      <c r="H45" s="37">
        <v>40878</v>
      </c>
      <c r="I45" s="16">
        <v>61470.51</v>
      </c>
      <c r="N45" s="37">
        <v>40909</v>
      </c>
      <c r="O45" s="16">
        <v>28523030041.060001</v>
      </c>
      <c r="P45" s="17">
        <f>VLOOKUP($N45,'Pivot equal'!C:D,2,0)</f>
        <v>20719728556.670006</v>
      </c>
      <c r="Q45" s="17">
        <f>VLOOKUP(N45,'Pivot equal'!G:H,2,0)</f>
        <v>17458754360.880001</v>
      </c>
      <c r="R45" s="17">
        <f>VLOOKUP(N45,'Pivot equal'!K:L,2,0)</f>
        <v>11283566053.34</v>
      </c>
      <c r="S45" s="43">
        <f>VLOOKUP(N45,CurrentMtgRatesDataTable9[],2,0)</f>
        <v>1010.6</v>
      </c>
      <c r="T45" s="43" t="e">
        <f>VLOOKUP(N45,CurrentMtgRatesDataTable93[],2,0)</f>
        <v>#N/A</v>
      </c>
      <c r="U45" s="44">
        <f>CurrentMtgRatesDataTable8[[#This Row],[Top 10 Amount]]/CurrentMtgRatesDataTable8[[#This Row],[TotalBalance]]</f>
        <v>0.72642101932519643</v>
      </c>
      <c r="V45" s="44">
        <f>CurrentMtgRatesDataTable8[[#This Row],[Top 5 Amount]]/CurrentMtgRatesDataTable8[[#This Row],[TotalBalance]]</f>
        <v>0.61209325712406615</v>
      </c>
      <c r="W45" s="44">
        <f>CurrentMtgRatesDataTable8[[#This Row],[Top 1 Amount]]/CurrentMtgRatesDataTable8[[#This Row],[TotalBalance]]</f>
        <v>0.39559492932892726</v>
      </c>
      <c r="X45" s="44" t="e">
        <f>CurrentMtgRatesDataTable8[[#This Row],[N/A Amount]]/CurrentMtgRatesDataTable8[[#This Row],[TotalBalance]]</f>
        <v>#N/A</v>
      </c>
    </row>
    <row r="46" spans="2:24">
      <c r="B46" s="37">
        <v>39203</v>
      </c>
      <c r="C46" s="16">
        <v>940698389.69000006</v>
      </c>
      <c r="D46" s="16" t="s">
        <v>13</v>
      </c>
      <c r="E46" s="16">
        <v>3</v>
      </c>
      <c r="H46" s="37">
        <v>40848</v>
      </c>
      <c r="I46" s="16">
        <v>620304.76</v>
      </c>
      <c r="N46" s="37">
        <v>40878</v>
      </c>
      <c r="O46" s="16">
        <v>26358158006.09</v>
      </c>
      <c r="P46" s="17">
        <f>VLOOKUP($N46,'Pivot equal'!C:D,2,0)</f>
        <v>19032070115.290001</v>
      </c>
      <c r="Q46" s="17">
        <f>VLOOKUP(N46,'Pivot equal'!G:H,2,0)</f>
        <v>15779641668.220001</v>
      </c>
      <c r="R46" s="17">
        <f>VLOOKUP(N46,'Pivot equal'!K:L,2,0)</f>
        <v>9732604193.7800007</v>
      </c>
      <c r="S46" s="43">
        <f>VLOOKUP(N46,CurrentMtgRatesDataTable9[],2,0)</f>
        <v>61470.51</v>
      </c>
      <c r="T46" s="43" t="e">
        <f>VLOOKUP(N46,CurrentMtgRatesDataTable93[],2,0)</f>
        <v>#N/A</v>
      </c>
      <c r="U46" s="44">
        <f>CurrentMtgRatesDataTable8[[#This Row],[Top 10 Amount]]/CurrentMtgRatesDataTable8[[#This Row],[TotalBalance]]</f>
        <v>0.72205615092271158</v>
      </c>
      <c r="V46" s="44">
        <f>CurrentMtgRatesDataTable8[[#This Row],[Top 5 Amount]]/CurrentMtgRatesDataTable8[[#This Row],[TotalBalance]]</f>
        <v>0.59866253417913906</v>
      </c>
      <c r="W46" s="44">
        <f>CurrentMtgRatesDataTable8[[#This Row],[Top 1 Amount]]/CurrentMtgRatesDataTable8[[#This Row],[TotalBalance]]</f>
        <v>0.36924447419775319</v>
      </c>
      <c r="X46" s="44" t="e">
        <f>CurrentMtgRatesDataTable8[[#This Row],[N/A Amount]]/CurrentMtgRatesDataTable8[[#This Row],[TotalBalance]]</f>
        <v>#N/A</v>
      </c>
    </row>
    <row r="47" spans="2:24">
      <c r="B47" s="37">
        <v>39203</v>
      </c>
      <c r="C47" s="16">
        <v>787882452.95000005</v>
      </c>
      <c r="D47" s="16" t="s">
        <v>7</v>
      </c>
      <c r="E47" s="16">
        <v>4</v>
      </c>
      <c r="H47" s="37">
        <v>40817</v>
      </c>
      <c r="I47" s="16">
        <v>245030.48</v>
      </c>
      <c r="N47" s="37">
        <v>40848</v>
      </c>
      <c r="O47" s="16">
        <v>26639873770.48</v>
      </c>
      <c r="P47" s="17">
        <f>VLOOKUP($N47,'Pivot equal'!C:D,2,0)</f>
        <v>19896533379.880001</v>
      </c>
      <c r="Q47" s="17">
        <f>VLOOKUP(N47,'Pivot equal'!G:H,2,0)</f>
        <v>17051025581.610001</v>
      </c>
      <c r="R47" s="17">
        <f>VLOOKUP(N47,'Pivot equal'!K:L,2,0)</f>
        <v>9573021089.2900009</v>
      </c>
      <c r="S47" s="43">
        <f>VLOOKUP(N47,CurrentMtgRatesDataTable9[],2,0)</f>
        <v>620304.76</v>
      </c>
      <c r="T47" s="43" t="e">
        <f>VLOOKUP(N47,CurrentMtgRatesDataTable93[],2,0)</f>
        <v>#N/A</v>
      </c>
      <c r="U47" s="44">
        <f>CurrentMtgRatesDataTable8[[#This Row],[Top 10 Amount]]/CurrentMtgRatesDataTable8[[#This Row],[TotalBalance]]</f>
        <v>0.74687040754403333</v>
      </c>
      <c r="V47" s="44">
        <f>CurrentMtgRatesDataTable8[[#This Row],[Top 5 Amount]]/CurrentMtgRatesDataTable8[[#This Row],[TotalBalance]]</f>
        <v>0.64005654563215197</v>
      </c>
      <c r="W47" s="44">
        <f>CurrentMtgRatesDataTable8[[#This Row],[Top 1 Amount]]/CurrentMtgRatesDataTable8[[#This Row],[TotalBalance]]</f>
        <v>0.35934934120814016</v>
      </c>
      <c r="X47" s="44" t="e">
        <f>CurrentMtgRatesDataTable8[[#This Row],[N/A Amount]]/CurrentMtgRatesDataTable8[[#This Row],[TotalBalance]]</f>
        <v>#N/A</v>
      </c>
    </row>
    <row r="48" spans="2:24">
      <c r="B48" s="37">
        <v>39203</v>
      </c>
      <c r="C48" s="16">
        <v>622244589.19000006</v>
      </c>
      <c r="D48" s="16" t="s">
        <v>4</v>
      </c>
      <c r="E48" s="16">
        <v>5</v>
      </c>
      <c r="H48" s="37">
        <v>40787</v>
      </c>
      <c r="I48" s="16">
        <v>20432.740000000002</v>
      </c>
      <c r="N48" s="37">
        <v>40817</v>
      </c>
      <c r="O48" s="16">
        <v>24221879848.880001</v>
      </c>
      <c r="P48" s="17">
        <f>VLOOKUP($N48,'Pivot equal'!C:D,2,0)</f>
        <v>18278308881.059998</v>
      </c>
      <c r="Q48" s="17">
        <f>VLOOKUP(N48,'Pivot equal'!G:H,2,0)</f>
        <v>15363523312.85</v>
      </c>
      <c r="R48" s="17">
        <f>VLOOKUP(N48,'Pivot equal'!K:L,2,0)</f>
        <v>8581649843.8400002</v>
      </c>
      <c r="S48" s="43">
        <f>VLOOKUP(N48,CurrentMtgRatesDataTable9[],2,0)</f>
        <v>245030.48</v>
      </c>
      <c r="T48" s="43" t="e">
        <f>VLOOKUP(N48,CurrentMtgRatesDataTable93[],2,0)</f>
        <v>#N/A</v>
      </c>
      <c r="U48" s="44">
        <f>CurrentMtgRatesDataTable8[[#This Row],[Top 10 Amount]]/CurrentMtgRatesDataTable8[[#This Row],[TotalBalance]]</f>
        <v>0.75461974855370983</v>
      </c>
      <c r="V48" s="44">
        <f>CurrentMtgRatesDataTable8[[#This Row],[Top 5 Amount]]/CurrentMtgRatesDataTable8[[#This Row],[TotalBalance]]</f>
        <v>0.63428286362176789</v>
      </c>
      <c r="W48" s="44">
        <f>CurrentMtgRatesDataTable8[[#This Row],[Top 1 Amount]]/CurrentMtgRatesDataTable8[[#This Row],[TotalBalance]]</f>
        <v>0.35429330412754106</v>
      </c>
      <c r="X48" s="44" t="e">
        <f>CurrentMtgRatesDataTable8[[#This Row],[N/A Amount]]/CurrentMtgRatesDataTable8[[#This Row],[TotalBalance]]</f>
        <v>#N/A</v>
      </c>
    </row>
    <row r="49" spans="2:24">
      <c r="B49" s="37">
        <v>39203</v>
      </c>
      <c r="C49" s="16">
        <v>483605043.64999998</v>
      </c>
      <c r="D49" s="16" t="s">
        <v>101</v>
      </c>
      <c r="E49" s="16">
        <v>6</v>
      </c>
      <c r="H49" s="37">
        <v>40756</v>
      </c>
      <c r="I49" s="16">
        <v>745255.01</v>
      </c>
      <c r="N49" s="37">
        <v>40787</v>
      </c>
      <c r="O49" s="16">
        <v>26226574830.610001</v>
      </c>
      <c r="P49" s="17">
        <f>VLOOKUP($N49,'Pivot equal'!C:D,2,0)</f>
        <v>20485229215.440002</v>
      </c>
      <c r="Q49" s="17">
        <f>VLOOKUP(N49,'Pivot equal'!G:H,2,0)</f>
        <v>17394668684.389999</v>
      </c>
      <c r="R49" s="17">
        <f>VLOOKUP(N49,'Pivot equal'!K:L,2,0)</f>
        <v>9495614488.8299999</v>
      </c>
      <c r="S49" s="43">
        <f>VLOOKUP(N49,CurrentMtgRatesDataTable9[],2,0)</f>
        <v>20432.740000000002</v>
      </c>
      <c r="T49" s="43" t="e">
        <f>VLOOKUP(N49,CurrentMtgRatesDataTable93[],2,0)</f>
        <v>#N/A</v>
      </c>
      <c r="U49" s="44">
        <f>CurrentMtgRatesDataTable8[[#This Row],[Top 10 Amount]]/CurrentMtgRatesDataTable8[[#This Row],[TotalBalance]]</f>
        <v>0.78108671634585458</v>
      </c>
      <c r="V49" s="44">
        <f>CurrentMtgRatesDataTable8[[#This Row],[Top 5 Amount]]/CurrentMtgRatesDataTable8[[#This Row],[TotalBalance]]</f>
        <v>0.66324591742296601</v>
      </c>
      <c r="W49" s="44">
        <f>CurrentMtgRatesDataTable8[[#This Row],[Top 1 Amount]]/CurrentMtgRatesDataTable8[[#This Row],[TotalBalance]]</f>
        <v>0.36206079330448132</v>
      </c>
      <c r="X49" s="44" t="e">
        <f>CurrentMtgRatesDataTable8[[#This Row],[N/A Amount]]/CurrentMtgRatesDataTable8[[#This Row],[TotalBalance]]</f>
        <v>#N/A</v>
      </c>
    </row>
    <row r="50" spans="2:24">
      <c r="B50" s="37">
        <v>39203</v>
      </c>
      <c r="C50" s="16">
        <v>323658105</v>
      </c>
      <c r="D50" s="16" t="s">
        <v>100</v>
      </c>
      <c r="E50" s="16">
        <v>7</v>
      </c>
      <c r="H50" s="37">
        <v>40725</v>
      </c>
      <c r="I50" s="16">
        <v>56257.17</v>
      </c>
      <c r="N50" s="37">
        <v>40756</v>
      </c>
      <c r="O50" s="16">
        <v>25591163515.669998</v>
      </c>
      <c r="P50" s="17">
        <f>VLOOKUP($N50,'Pivot equal'!C:D,2,0)</f>
        <v>20304823559.120003</v>
      </c>
      <c r="Q50" s="17">
        <f>VLOOKUP(N50,'Pivot equal'!G:H,2,0)</f>
        <v>18285913390.110001</v>
      </c>
      <c r="R50" s="17">
        <f>VLOOKUP(N50,'Pivot equal'!K:L,2,0)</f>
        <v>9235841028.9400005</v>
      </c>
      <c r="S50" s="43">
        <f>VLOOKUP(N50,CurrentMtgRatesDataTable9[],2,0)</f>
        <v>745255.01</v>
      </c>
      <c r="T50" s="43" t="e">
        <f>VLOOKUP(N50,CurrentMtgRatesDataTable93[],2,0)</f>
        <v>#N/A</v>
      </c>
      <c r="U50" s="44">
        <f>CurrentMtgRatesDataTable8[[#This Row],[Top 10 Amount]]/CurrentMtgRatesDataTable8[[#This Row],[TotalBalance]]</f>
        <v>0.7934310429725846</v>
      </c>
      <c r="V50" s="44">
        <f>CurrentMtgRatesDataTable8[[#This Row],[Top 5 Amount]]/CurrentMtgRatesDataTable8[[#This Row],[TotalBalance]]</f>
        <v>0.71454013331254584</v>
      </c>
      <c r="W50" s="44">
        <f>CurrentMtgRatesDataTable8[[#This Row],[Top 1 Amount]]/CurrentMtgRatesDataTable8[[#This Row],[TotalBalance]]</f>
        <v>0.36089961377819746</v>
      </c>
      <c r="X50" s="44" t="e">
        <f>CurrentMtgRatesDataTable8[[#This Row],[N/A Amount]]/CurrentMtgRatesDataTable8[[#This Row],[TotalBalance]]</f>
        <v>#N/A</v>
      </c>
    </row>
    <row r="51" spans="2:24">
      <c r="B51" s="37">
        <v>39203</v>
      </c>
      <c r="C51" s="17">
        <v>261976006.90000001</v>
      </c>
      <c r="D51" s="17" t="s">
        <v>8</v>
      </c>
      <c r="E51" s="17">
        <v>8</v>
      </c>
      <c r="H51" s="37">
        <v>40695</v>
      </c>
      <c r="I51" s="17">
        <v>109420.35</v>
      </c>
      <c r="N51" s="37">
        <v>40725</v>
      </c>
      <c r="O51" s="17">
        <v>25330543474.389999</v>
      </c>
      <c r="P51" s="17">
        <f>VLOOKUP($N51,'Pivot equal'!C:D,2,0)</f>
        <v>20105755941.52</v>
      </c>
      <c r="Q51" s="17">
        <f>VLOOKUP(N51,'Pivot equal'!G:H,2,0)</f>
        <v>18027575682.260002</v>
      </c>
      <c r="R51" s="17">
        <f>VLOOKUP(N51,'Pivot equal'!K:L,2,0)</f>
        <v>8290598483.0799999</v>
      </c>
      <c r="S51" s="43">
        <f>VLOOKUP(N51,CurrentMtgRatesDataTable9[],2,0)</f>
        <v>56257.17</v>
      </c>
      <c r="T51" s="43" t="e">
        <f>VLOOKUP(N51,CurrentMtgRatesDataTable93[],2,0)</f>
        <v>#N/A</v>
      </c>
      <c r="U51" s="44">
        <f>CurrentMtgRatesDataTable8[[#This Row],[Top 10 Amount]]/CurrentMtgRatesDataTable8[[#This Row],[TotalBalance]]</f>
        <v>0.79373567179273397</v>
      </c>
      <c r="V51" s="44">
        <f>CurrentMtgRatesDataTable8[[#This Row],[Top 5 Amount]]/CurrentMtgRatesDataTable8[[#This Row],[TotalBalance]]</f>
        <v>0.71169320549661574</v>
      </c>
      <c r="W51" s="44">
        <f>CurrentMtgRatesDataTable8[[#This Row],[Top 1 Amount]]/CurrentMtgRatesDataTable8[[#This Row],[TotalBalance]]</f>
        <v>0.32729651029643575</v>
      </c>
      <c r="X51" s="44" t="e">
        <f>CurrentMtgRatesDataTable8[[#This Row],[N/A Amount]]/CurrentMtgRatesDataTable8[[#This Row],[TotalBalance]]</f>
        <v>#N/A</v>
      </c>
    </row>
    <row r="52" spans="2:24">
      <c r="B52" s="37">
        <v>39203</v>
      </c>
      <c r="C52" s="17">
        <v>189718991.81999999</v>
      </c>
      <c r="D52" s="17" t="s">
        <v>16</v>
      </c>
      <c r="E52" s="17">
        <v>9</v>
      </c>
      <c r="H52" s="37">
        <v>40664</v>
      </c>
      <c r="I52" s="17">
        <v>237947.17</v>
      </c>
      <c r="N52" s="37">
        <v>40695</v>
      </c>
      <c r="O52" s="17">
        <v>24713045702.759998</v>
      </c>
      <c r="P52" s="17">
        <f>VLOOKUP($N52,'Pivot equal'!C:D,2,0)</f>
        <v>19837089412.07</v>
      </c>
      <c r="Q52" s="17">
        <f>VLOOKUP(N52,'Pivot equal'!G:H,2,0)</f>
        <v>17662844612.689999</v>
      </c>
      <c r="R52" s="17">
        <f>VLOOKUP(N52,'Pivot equal'!K:L,2,0)</f>
        <v>8037102017.3699999</v>
      </c>
      <c r="S52" s="43">
        <f>VLOOKUP(N52,CurrentMtgRatesDataTable9[],2,0)</f>
        <v>109420.35</v>
      </c>
      <c r="T52" s="43" t="e">
        <f>VLOOKUP(N52,CurrentMtgRatesDataTable93[],2,0)</f>
        <v>#N/A</v>
      </c>
      <c r="U52" s="44">
        <f>CurrentMtgRatesDataTable8[[#This Row],[Top 10 Amount]]/CurrentMtgRatesDataTable8[[#This Row],[TotalBalance]]</f>
        <v>0.80269707144411406</v>
      </c>
      <c r="V52" s="44">
        <f>CurrentMtgRatesDataTable8[[#This Row],[Top 5 Amount]]/CurrentMtgRatesDataTable8[[#This Row],[TotalBalance]]</f>
        <v>0.7147174340683301</v>
      </c>
      <c r="W52" s="44">
        <f>CurrentMtgRatesDataTable8[[#This Row],[Top 1 Amount]]/CurrentMtgRatesDataTable8[[#This Row],[TotalBalance]]</f>
        <v>0.32521697705889813</v>
      </c>
      <c r="X52" s="44" t="e">
        <f>CurrentMtgRatesDataTable8[[#This Row],[N/A Amount]]/CurrentMtgRatesDataTable8[[#This Row],[TotalBalance]]</f>
        <v>#N/A</v>
      </c>
    </row>
    <row r="53" spans="2:24">
      <c r="B53" s="37">
        <v>39203</v>
      </c>
      <c r="C53" s="17">
        <v>164541559.06999999</v>
      </c>
      <c r="D53" s="17" t="s">
        <v>19</v>
      </c>
      <c r="E53" s="17">
        <v>10</v>
      </c>
      <c r="H53" s="37">
        <v>40634</v>
      </c>
      <c r="I53" s="17">
        <v>1510218.57</v>
      </c>
      <c r="N53" s="37">
        <v>40664</v>
      </c>
      <c r="O53" s="17">
        <v>23342277364.419998</v>
      </c>
      <c r="P53" s="17">
        <f>VLOOKUP($N53,'Pivot equal'!C:D,2,0)</f>
        <v>18442308639.66</v>
      </c>
      <c r="Q53" s="17">
        <f>VLOOKUP(N53,'Pivot equal'!G:H,2,0)</f>
        <v>16633347989.009998</v>
      </c>
      <c r="R53" s="17">
        <f>VLOOKUP(N53,'Pivot equal'!K:L,2,0)</f>
        <v>7485893519.21</v>
      </c>
      <c r="S53" s="43">
        <f>VLOOKUP(N53,CurrentMtgRatesDataTable9[],2,0)</f>
        <v>237947.17</v>
      </c>
      <c r="T53" s="43" t="e">
        <f>VLOOKUP(N53,CurrentMtgRatesDataTable93[],2,0)</f>
        <v>#N/A</v>
      </c>
      <c r="U53" s="44">
        <f>CurrentMtgRatesDataTable8[[#This Row],[Top 10 Amount]]/CurrentMtgRatesDataTable8[[#This Row],[TotalBalance]]</f>
        <v>0.7900818052899633</v>
      </c>
      <c r="V53" s="44">
        <f>CurrentMtgRatesDataTable8[[#This Row],[Top 5 Amount]]/CurrentMtgRatesDataTable8[[#This Row],[TotalBalance]]</f>
        <v>0.71258462614122475</v>
      </c>
      <c r="W53" s="44">
        <f>CurrentMtgRatesDataTable8[[#This Row],[Top 1 Amount]]/CurrentMtgRatesDataTable8[[#This Row],[TotalBalance]]</f>
        <v>0.32070107823414629</v>
      </c>
      <c r="X53" s="44" t="e">
        <f>CurrentMtgRatesDataTable8[[#This Row],[N/A Amount]]/CurrentMtgRatesDataTable8[[#This Row],[TotalBalance]]</f>
        <v>#N/A</v>
      </c>
    </row>
    <row r="54" spans="2:24">
      <c r="B54" s="37">
        <v>39234</v>
      </c>
      <c r="C54" s="17">
        <v>1823409047.55</v>
      </c>
      <c r="D54" s="17" t="s">
        <v>6</v>
      </c>
      <c r="E54" s="17">
        <v>1</v>
      </c>
      <c r="H54" s="37">
        <v>40603</v>
      </c>
      <c r="I54" s="17">
        <v>17081.54</v>
      </c>
      <c r="N54" s="37">
        <v>40634</v>
      </c>
      <c r="O54" s="17">
        <v>23651545297.040001</v>
      </c>
      <c r="P54" s="17">
        <f>VLOOKUP($N54,'Pivot equal'!C:D,2,0)</f>
        <v>18733585716.43</v>
      </c>
      <c r="Q54" s="17">
        <f>VLOOKUP(N54,'Pivot equal'!G:H,2,0)</f>
        <v>16944679060.639999</v>
      </c>
      <c r="R54" s="17">
        <f>VLOOKUP(N54,'Pivot equal'!K:L,2,0)</f>
        <v>7487569923.4700003</v>
      </c>
      <c r="S54" s="43">
        <f>VLOOKUP(N54,CurrentMtgRatesDataTable9[],2,0)</f>
        <v>1510218.57</v>
      </c>
      <c r="T54" s="43" t="e">
        <f>VLOOKUP(N54,CurrentMtgRatesDataTable93[],2,0)</f>
        <v>#N/A</v>
      </c>
      <c r="U54" s="44">
        <f>CurrentMtgRatesDataTable8[[#This Row],[Top 10 Amount]]/CurrentMtgRatesDataTable8[[#This Row],[TotalBalance]]</f>
        <v>0.79206603548117915</v>
      </c>
      <c r="V54" s="44">
        <f>CurrentMtgRatesDataTable8[[#This Row],[Top 5 Amount]]/CurrentMtgRatesDataTable8[[#This Row],[TotalBalance]]</f>
        <v>0.71643010415732256</v>
      </c>
      <c r="W54" s="44">
        <f>CurrentMtgRatesDataTable8[[#This Row],[Top 1 Amount]]/CurrentMtgRatesDataTable8[[#This Row],[TotalBalance]]</f>
        <v>0.31657846578029186</v>
      </c>
      <c r="X54" s="44" t="e">
        <f>CurrentMtgRatesDataTable8[[#This Row],[N/A Amount]]/CurrentMtgRatesDataTable8[[#This Row],[TotalBalance]]</f>
        <v>#N/A</v>
      </c>
    </row>
    <row r="55" spans="2:24">
      <c r="B55" s="37">
        <v>39234</v>
      </c>
      <c r="C55" s="17">
        <v>1348539445.8800001</v>
      </c>
      <c r="D55" s="17" t="s">
        <v>11</v>
      </c>
      <c r="E55" s="17">
        <v>2</v>
      </c>
      <c r="H55" s="37">
        <v>40575</v>
      </c>
      <c r="I55" s="17">
        <v>619340.61</v>
      </c>
      <c r="N55" s="37">
        <v>40603</v>
      </c>
      <c r="O55" s="17">
        <v>22391126216.799999</v>
      </c>
      <c r="P55" s="17">
        <f>VLOOKUP($N55,'Pivot equal'!C:D,2,0)</f>
        <v>18079427243.530003</v>
      </c>
      <c r="Q55" s="17">
        <f>VLOOKUP(N55,'Pivot equal'!G:H,2,0)</f>
        <v>16255693778.460003</v>
      </c>
      <c r="R55" s="17">
        <f>VLOOKUP(N55,'Pivot equal'!K:L,2,0)</f>
        <v>7142348227.9899998</v>
      </c>
      <c r="S55" s="43">
        <f>VLOOKUP(N55,CurrentMtgRatesDataTable9[],2,0)</f>
        <v>17081.54</v>
      </c>
      <c r="T55" s="43" t="e">
        <f>VLOOKUP(N55,CurrentMtgRatesDataTable93[],2,0)</f>
        <v>#N/A</v>
      </c>
      <c r="U55" s="44">
        <f>CurrentMtgRatesDataTable8[[#This Row],[Top 10 Amount]]/CurrentMtgRatesDataTable8[[#This Row],[TotalBalance]]</f>
        <v>0.80743715472270705</v>
      </c>
      <c r="V55" s="44">
        <f>CurrentMtgRatesDataTable8[[#This Row],[Top 5 Amount]]/CurrentMtgRatesDataTable8[[#This Row],[TotalBalance]]</f>
        <v>0.72598821609354336</v>
      </c>
      <c r="W55" s="44">
        <f>CurrentMtgRatesDataTable8[[#This Row],[Top 1 Amount]]/CurrentMtgRatesDataTable8[[#This Row],[TotalBalance]]</f>
        <v>0.3189811963379991</v>
      </c>
      <c r="X55" s="44" t="e">
        <f>CurrentMtgRatesDataTable8[[#This Row],[N/A Amount]]/CurrentMtgRatesDataTable8[[#This Row],[TotalBalance]]</f>
        <v>#N/A</v>
      </c>
    </row>
    <row r="56" spans="2:24">
      <c r="B56" s="37">
        <v>39234</v>
      </c>
      <c r="C56" s="17">
        <v>1199564655</v>
      </c>
      <c r="D56" s="17" t="s">
        <v>7</v>
      </c>
      <c r="E56" s="17">
        <v>3</v>
      </c>
      <c r="H56" s="37">
        <v>40544</v>
      </c>
      <c r="I56" s="17">
        <v>1160580.1499999999</v>
      </c>
      <c r="N56" s="37">
        <v>40575</v>
      </c>
      <c r="O56" s="17">
        <v>24115689304.939999</v>
      </c>
      <c r="P56" s="17">
        <f>VLOOKUP($N56,'Pivot equal'!C:D,2,0)</f>
        <v>19885081535.800003</v>
      </c>
      <c r="Q56" s="17">
        <f>VLOOKUP(N56,'Pivot equal'!G:H,2,0)</f>
        <v>18049691867.450001</v>
      </c>
      <c r="R56" s="17">
        <f>VLOOKUP(N56,'Pivot equal'!K:L,2,0)</f>
        <v>8086549745.5299997</v>
      </c>
      <c r="S56" s="43">
        <f>VLOOKUP(N56,CurrentMtgRatesDataTable9[],2,0)</f>
        <v>619340.61</v>
      </c>
      <c r="T56" s="43" t="e">
        <f>VLOOKUP(N56,CurrentMtgRatesDataTable93[],2,0)</f>
        <v>#N/A</v>
      </c>
      <c r="U56" s="44">
        <f>CurrentMtgRatesDataTable8[[#This Row],[Top 10 Amount]]/CurrentMtgRatesDataTable8[[#This Row],[TotalBalance]]</f>
        <v>0.82457031538081005</v>
      </c>
      <c r="V56" s="44">
        <f>CurrentMtgRatesDataTable8[[#This Row],[Top 5 Amount]]/CurrentMtgRatesDataTable8[[#This Row],[TotalBalance]]</f>
        <v>0.74846261449191076</v>
      </c>
      <c r="W56" s="44">
        <f>CurrentMtgRatesDataTable8[[#This Row],[Top 1 Amount]]/CurrentMtgRatesDataTable8[[#This Row],[TotalBalance]]</f>
        <v>0.33532318497209629</v>
      </c>
      <c r="X56" s="44" t="e">
        <f>CurrentMtgRatesDataTable8[[#This Row],[N/A Amount]]/CurrentMtgRatesDataTable8[[#This Row],[TotalBalance]]</f>
        <v>#N/A</v>
      </c>
    </row>
    <row r="57" spans="2:24">
      <c r="B57" s="37">
        <v>39234</v>
      </c>
      <c r="C57" s="17">
        <v>899505175.19000006</v>
      </c>
      <c r="D57" s="17" t="s">
        <v>13</v>
      </c>
      <c r="E57" s="17">
        <v>4</v>
      </c>
      <c r="H57" s="37">
        <v>40513</v>
      </c>
      <c r="I57" s="17">
        <v>92294.87</v>
      </c>
      <c r="N57" s="37">
        <v>40544</v>
      </c>
      <c r="O57" s="17">
        <v>32407281630.84</v>
      </c>
      <c r="P57" s="17">
        <f>VLOOKUP($N57,'Pivot equal'!C:D,2,0)</f>
        <v>27626694683.829998</v>
      </c>
      <c r="Q57" s="17">
        <f>VLOOKUP(N57,'Pivot equal'!G:H,2,0)</f>
        <v>24825250754.84</v>
      </c>
      <c r="R57" s="17">
        <f>VLOOKUP(N57,'Pivot equal'!K:L,2,0)</f>
        <v>11191306140.16</v>
      </c>
      <c r="S57" s="43">
        <f>VLOOKUP(N57,CurrentMtgRatesDataTable9[],2,0)</f>
        <v>1160580.1499999999</v>
      </c>
      <c r="T57" s="43" t="e">
        <f>VLOOKUP(N57,CurrentMtgRatesDataTable93[],2,0)</f>
        <v>#N/A</v>
      </c>
      <c r="U57" s="44">
        <f>CurrentMtgRatesDataTable8[[#This Row],[Top 10 Amount]]/CurrentMtgRatesDataTable8[[#This Row],[TotalBalance]]</f>
        <v>0.85248417311063163</v>
      </c>
      <c r="V57" s="44">
        <f>CurrentMtgRatesDataTable8[[#This Row],[Top 5 Amount]]/CurrentMtgRatesDataTable8[[#This Row],[TotalBalance]]</f>
        <v>0.76603928208576888</v>
      </c>
      <c r="W57" s="44">
        <f>CurrentMtgRatesDataTable8[[#This Row],[Top 1 Amount]]/CurrentMtgRatesDataTable8[[#This Row],[TotalBalance]]</f>
        <v>0.34533307259902751</v>
      </c>
      <c r="X57" s="44" t="e">
        <f>CurrentMtgRatesDataTable8[[#This Row],[N/A Amount]]/CurrentMtgRatesDataTable8[[#This Row],[TotalBalance]]</f>
        <v>#N/A</v>
      </c>
    </row>
    <row r="58" spans="2:24">
      <c r="B58" s="37">
        <v>39234</v>
      </c>
      <c r="C58" s="17">
        <v>631116059.47000003</v>
      </c>
      <c r="D58" s="17" t="s">
        <v>4</v>
      </c>
      <c r="E58" s="17">
        <v>5</v>
      </c>
      <c r="H58" s="37">
        <v>40483</v>
      </c>
      <c r="I58" s="17">
        <v>1017090.08</v>
      </c>
      <c r="N58" s="37">
        <v>40513</v>
      </c>
      <c r="O58" s="17">
        <v>31794172427.73</v>
      </c>
      <c r="P58" s="17">
        <f>VLOOKUP($N58,'Pivot equal'!C:D,2,0)</f>
        <v>26329184574.32</v>
      </c>
      <c r="Q58" s="17">
        <f>VLOOKUP(N58,'Pivot equal'!G:H,2,0)</f>
        <v>23277080462.27</v>
      </c>
      <c r="R58" s="17">
        <f>VLOOKUP(N58,'Pivot equal'!K:L,2,0)</f>
        <v>11196638571.49</v>
      </c>
      <c r="S58" s="43">
        <f>VLOOKUP(N58,CurrentMtgRatesDataTable9[],2,0)</f>
        <v>92294.87</v>
      </c>
      <c r="T58" s="43" t="e">
        <f>VLOOKUP(N58,CurrentMtgRatesDataTable93[],2,0)</f>
        <v>#N/A</v>
      </c>
      <c r="U58" s="44">
        <f>CurrentMtgRatesDataTable8[[#This Row],[Top 10 Amount]]/CurrentMtgRatesDataTable8[[#This Row],[TotalBalance]]</f>
        <v>0.82811353666046084</v>
      </c>
      <c r="V58" s="44">
        <f>CurrentMtgRatesDataTable8[[#This Row],[Top 5 Amount]]/CurrentMtgRatesDataTable8[[#This Row],[TotalBalance]]</f>
        <v>0.73211782804475112</v>
      </c>
      <c r="W58" s="44">
        <f>CurrentMtgRatesDataTable8[[#This Row],[Top 1 Amount]]/CurrentMtgRatesDataTable8[[#This Row],[TotalBalance]]</f>
        <v>0.35216008836023677</v>
      </c>
      <c r="X58" s="44" t="e">
        <f>CurrentMtgRatesDataTable8[[#This Row],[N/A Amount]]/CurrentMtgRatesDataTable8[[#This Row],[TotalBalance]]</f>
        <v>#N/A</v>
      </c>
    </row>
    <row r="59" spans="2:24">
      <c r="B59" s="37">
        <v>39234</v>
      </c>
      <c r="C59" s="17">
        <v>585337435.99000001</v>
      </c>
      <c r="D59" s="17" t="s">
        <v>101</v>
      </c>
      <c r="E59" s="17">
        <v>6</v>
      </c>
      <c r="H59" s="37">
        <v>40452</v>
      </c>
      <c r="I59" s="17">
        <v>761809.16</v>
      </c>
      <c r="N59" s="37">
        <v>40483</v>
      </c>
      <c r="O59" s="17">
        <v>32277101439.200001</v>
      </c>
      <c r="P59" s="17">
        <f>VLOOKUP($N59,'Pivot equal'!C:D,2,0)</f>
        <v>26784117519.900002</v>
      </c>
      <c r="Q59" s="17">
        <f>VLOOKUP(N59,'Pivot equal'!G:H,2,0)</f>
        <v>23635234930.169998</v>
      </c>
      <c r="R59" s="17">
        <f>VLOOKUP(N59,'Pivot equal'!K:L,2,0)</f>
        <v>9449755251.1200008</v>
      </c>
      <c r="S59" s="43">
        <f>VLOOKUP(N59,CurrentMtgRatesDataTable9[],2,0)</f>
        <v>1017090.08</v>
      </c>
      <c r="T59" s="43" t="e">
        <f>VLOOKUP(N59,CurrentMtgRatesDataTable93[],2,0)</f>
        <v>#N/A</v>
      </c>
      <c r="U59" s="44">
        <f>CurrentMtgRatesDataTable8[[#This Row],[Top 10 Amount]]/CurrentMtgRatesDataTable8[[#This Row],[TotalBalance]]</f>
        <v>0.8298179305335992</v>
      </c>
      <c r="V59" s="44">
        <f>CurrentMtgRatesDataTable8[[#This Row],[Top 5 Amount]]/CurrentMtgRatesDataTable8[[#This Row],[TotalBalance]]</f>
        <v>0.7322601434546846</v>
      </c>
      <c r="W59" s="44">
        <f>CurrentMtgRatesDataTable8[[#This Row],[Top 1 Amount]]/CurrentMtgRatesDataTable8[[#This Row],[TotalBalance]]</f>
        <v>0.29276963636032793</v>
      </c>
      <c r="X59" s="44" t="e">
        <f>CurrentMtgRatesDataTable8[[#This Row],[N/A Amount]]/CurrentMtgRatesDataTable8[[#This Row],[TotalBalance]]</f>
        <v>#N/A</v>
      </c>
    </row>
    <row r="60" spans="2:24">
      <c r="B60" s="37">
        <v>39234</v>
      </c>
      <c r="C60" s="17">
        <v>317233120.64999998</v>
      </c>
      <c r="D60" s="17" t="s">
        <v>16</v>
      </c>
      <c r="E60" s="17">
        <v>7</v>
      </c>
      <c r="H60" s="37">
        <v>40422</v>
      </c>
      <c r="I60" s="17">
        <v>64560.480000000003</v>
      </c>
      <c r="N60" s="37">
        <v>40452</v>
      </c>
      <c r="O60" s="17">
        <v>33311732208.549999</v>
      </c>
      <c r="P60" s="17">
        <f>VLOOKUP($N60,'Pivot equal'!C:D,2,0)</f>
        <v>27726552763.619995</v>
      </c>
      <c r="Q60" s="17">
        <f>VLOOKUP(N60,'Pivot equal'!G:H,2,0)</f>
        <v>24390881083.309998</v>
      </c>
      <c r="R60" s="17">
        <f>VLOOKUP(N60,'Pivot equal'!K:L,2,0)</f>
        <v>9784331441.9799995</v>
      </c>
      <c r="S60" s="43">
        <f>VLOOKUP(N60,CurrentMtgRatesDataTable9[],2,0)</f>
        <v>761809.16</v>
      </c>
      <c r="T60" s="43" t="e">
        <f>VLOOKUP(N60,CurrentMtgRatesDataTable93[],2,0)</f>
        <v>#N/A</v>
      </c>
      <c r="U60" s="44">
        <f>CurrentMtgRatesDataTable8[[#This Row],[Top 10 Amount]]/CurrentMtgRatesDataTable8[[#This Row],[TotalBalance]]</f>
        <v>0.83233596469965387</v>
      </c>
      <c r="V60" s="44">
        <f>CurrentMtgRatesDataTable8[[#This Row],[Top 5 Amount]]/CurrentMtgRatesDataTable8[[#This Row],[TotalBalance]]</f>
        <v>0.73220092340468801</v>
      </c>
      <c r="W60" s="44">
        <f>CurrentMtgRatesDataTable8[[#This Row],[Top 1 Amount]]/CurrentMtgRatesDataTable8[[#This Row],[TotalBalance]]</f>
        <v>0.29372028391452698</v>
      </c>
      <c r="X60" s="44" t="e">
        <f>CurrentMtgRatesDataTable8[[#This Row],[N/A Amount]]/CurrentMtgRatesDataTable8[[#This Row],[TotalBalance]]</f>
        <v>#N/A</v>
      </c>
    </row>
    <row r="61" spans="2:24">
      <c r="B61" s="37">
        <v>39234</v>
      </c>
      <c r="C61" s="17">
        <v>311961958</v>
      </c>
      <c r="D61" s="17" t="s">
        <v>100</v>
      </c>
      <c r="E61" s="17">
        <v>8</v>
      </c>
      <c r="H61" s="37">
        <v>40391</v>
      </c>
      <c r="I61" s="17">
        <v>944263.32</v>
      </c>
      <c r="N61" s="37">
        <v>40422</v>
      </c>
      <c r="O61" s="17">
        <v>32890725671.939999</v>
      </c>
      <c r="P61" s="17">
        <f>VLOOKUP($N61,'Pivot equal'!C:D,2,0)</f>
        <v>27643255244.669998</v>
      </c>
      <c r="Q61" s="17">
        <f>VLOOKUP(N61,'Pivot equal'!G:H,2,0)</f>
        <v>24861882404.239998</v>
      </c>
      <c r="R61" s="17">
        <f>VLOOKUP(N61,'Pivot equal'!K:L,2,0)</f>
        <v>10352868746.57</v>
      </c>
      <c r="S61" s="43">
        <f>VLOOKUP(N61,CurrentMtgRatesDataTable9[],2,0)</f>
        <v>64560.480000000003</v>
      </c>
      <c r="T61" s="43" t="e">
        <f>VLOOKUP(N61,CurrentMtgRatesDataTable93[],2,0)</f>
        <v>#N/A</v>
      </c>
      <c r="U61" s="44">
        <f>CurrentMtgRatesDataTable8[[#This Row],[Top 10 Amount]]/CurrentMtgRatesDataTable8[[#This Row],[TotalBalance]]</f>
        <v>0.84045744445989023</v>
      </c>
      <c r="V61" s="44">
        <f>CurrentMtgRatesDataTable8[[#This Row],[Top 5 Amount]]/CurrentMtgRatesDataTable8[[#This Row],[TotalBalance]]</f>
        <v>0.75589339840714942</v>
      </c>
      <c r="W61" s="44">
        <f>CurrentMtgRatesDataTable8[[#This Row],[Top 1 Amount]]/CurrentMtgRatesDataTable8[[#This Row],[TotalBalance]]</f>
        <v>0.31476559227765299</v>
      </c>
      <c r="X61" s="44" t="e">
        <f>CurrentMtgRatesDataTable8[[#This Row],[N/A Amount]]/CurrentMtgRatesDataTable8[[#This Row],[TotalBalance]]</f>
        <v>#N/A</v>
      </c>
    </row>
    <row r="62" spans="2:24">
      <c r="B62" s="37">
        <v>39234</v>
      </c>
      <c r="C62" s="17">
        <v>296721791.93000001</v>
      </c>
      <c r="D62" s="17" t="s">
        <v>8</v>
      </c>
      <c r="E62" s="17">
        <v>9</v>
      </c>
      <c r="H62" s="37">
        <v>40360</v>
      </c>
      <c r="I62" s="17">
        <v>1908556.37</v>
      </c>
      <c r="N62" s="37">
        <v>40391</v>
      </c>
      <c r="O62" s="17">
        <v>32321115494.889999</v>
      </c>
      <c r="P62" s="17">
        <f>VLOOKUP($N62,'Pivot equal'!C:D,2,0)</f>
        <v>27387295350.240002</v>
      </c>
      <c r="Q62" s="17">
        <f>VLOOKUP(N62,'Pivot equal'!G:H,2,0)</f>
        <v>25097205409.360004</v>
      </c>
      <c r="R62" s="17">
        <f>VLOOKUP(N62,'Pivot equal'!K:L,2,0)</f>
        <v>10171561922.290001</v>
      </c>
      <c r="S62" s="43">
        <f>VLOOKUP(N62,CurrentMtgRatesDataTable9[],2,0)</f>
        <v>944263.32</v>
      </c>
      <c r="T62" s="43" t="e">
        <f>VLOOKUP(N62,CurrentMtgRatesDataTable93[],2,0)</f>
        <v>#N/A</v>
      </c>
      <c r="U62" s="44">
        <f>CurrentMtgRatesDataTable8[[#This Row],[Top 10 Amount]]/CurrentMtgRatesDataTable8[[#This Row],[TotalBalance]]</f>
        <v>0.84734994231773841</v>
      </c>
      <c r="V62" s="44">
        <f>CurrentMtgRatesDataTable8[[#This Row],[Top 5 Amount]]/CurrentMtgRatesDataTable8[[#This Row],[TotalBalance]]</f>
        <v>0.77649564456795739</v>
      </c>
      <c r="W62" s="44">
        <f>CurrentMtgRatesDataTable8[[#This Row],[Top 1 Amount]]/CurrentMtgRatesDataTable8[[#This Row],[TotalBalance]]</f>
        <v>0.31470330669429203</v>
      </c>
      <c r="X62" s="44" t="e">
        <f>CurrentMtgRatesDataTable8[[#This Row],[N/A Amount]]/CurrentMtgRatesDataTable8[[#This Row],[TotalBalance]]</f>
        <v>#N/A</v>
      </c>
    </row>
    <row r="63" spans="2:24">
      <c r="B63" s="37">
        <v>39234</v>
      </c>
      <c r="C63" s="17">
        <v>211183790.52000001</v>
      </c>
      <c r="D63" s="17" t="s">
        <v>19</v>
      </c>
      <c r="E63" s="17">
        <v>10</v>
      </c>
      <c r="H63" s="37">
        <v>40330</v>
      </c>
      <c r="I63" s="17">
        <v>24328.89</v>
      </c>
      <c r="N63" s="37">
        <v>40360</v>
      </c>
      <c r="O63" s="17">
        <v>34861046615.690002</v>
      </c>
      <c r="P63" s="17">
        <f>VLOOKUP($N63,'Pivot equal'!C:D,2,0)</f>
        <v>29449474088.269997</v>
      </c>
      <c r="Q63" s="17">
        <f>VLOOKUP(N63,'Pivot equal'!G:H,2,0)</f>
        <v>27264833278.610001</v>
      </c>
      <c r="R63" s="17">
        <f>VLOOKUP(N63,'Pivot equal'!K:L,2,0)</f>
        <v>11078139845.860001</v>
      </c>
      <c r="S63" s="43">
        <f>VLOOKUP(N63,CurrentMtgRatesDataTable9[],2,0)</f>
        <v>1908556.37</v>
      </c>
      <c r="T63" s="43" t="e">
        <f>VLOOKUP(N63,CurrentMtgRatesDataTable93[],2,0)</f>
        <v>#N/A</v>
      </c>
      <c r="U63" s="44">
        <f>CurrentMtgRatesDataTable8[[#This Row],[Top 10 Amount]]/CurrentMtgRatesDataTable8[[#This Row],[TotalBalance]]</f>
        <v>0.84476735345678333</v>
      </c>
      <c r="V63" s="44">
        <f>CurrentMtgRatesDataTable8[[#This Row],[Top 5 Amount]]/CurrentMtgRatesDataTable8[[#This Row],[TotalBalance]]</f>
        <v>0.78210025014965689</v>
      </c>
      <c r="W63" s="44">
        <f>CurrentMtgRatesDataTable8[[#This Row],[Top 1 Amount]]/CurrentMtgRatesDataTable8[[#This Row],[TotalBalance]]</f>
        <v>0.31777989823386521</v>
      </c>
      <c r="X63" s="44" t="e">
        <f>CurrentMtgRatesDataTable8[[#This Row],[N/A Amount]]/CurrentMtgRatesDataTable8[[#This Row],[TotalBalance]]</f>
        <v>#N/A</v>
      </c>
    </row>
    <row r="64" spans="2:24">
      <c r="B64" s="37">
        <v>39264</v>
      </c>
      <c r="C64" s="17">
        <v>2191372591.8000002</v>
      </c>
      <c r="D64" s="17" t="s">
        <v>6</v>
      </c>
      <c r="E64" s="17">
        <v>1</v>
      </c>
      <c r="H64" s="37">
        <v>40299</v>
      </c>
      <c r="I64" s="17">
        <v>1210043145.7</v>
      </c>
      <c r="N64" s="37">
        <v>40330</v>
      </c>
      <c r="O64" s="17">
        <v>32712631431.27</v>
      </c>
      <c r="P64" s="17">
        <f>VLOOKUP($N64,'Pivot equal'!C:D,2,0)</f>
        <v>27998790604.990002</v>
      </c>
      <c r="Q64" s="17">
        <f>VLOOKUP(N64,'Pivot equal'!G:H,2,0)</f>
        <v>25726928354.880001</v>
      </c>
      <c r="R64" s="17">
        <f>VLOOKUP(N64,'Pivot equal'!K:L,2,0)</f>
        <v>10245994592.219999</v>
      </c>
      <c r="S64" s="43">
        <f>VLOOKUP(N64,CurrentMtgRatesDataTable9[],2,0)</f>
        <v>24328.89</v>
      </c>
      <c r="T64" s="43" t="e">
        <f>VLOOKUP(N64,CurrentMtgRatesDataTable93[],2,0)</f>
        <v>#N/A</v>
      </c>
      <c r="U64" s="44">
        <f>CurrentMtgRatesDataTable8[[#This Row],[Top 10 Amount]]/CurrentMtgRatesDataTable8[[#This Row],[TotalBalance]]</f>
        <v>0.8559015089879306</v>
      </c>
      <c r="V64" s="44">
        <f>CurrentMtgRatesDataTable8[[#This Row],[Top 5 Amount]]/CurrentMtgRatesDataTable8[[#This Row],[TotalBalance]]</f>
        <v>0.78645242615021282</v>
      </c>
      <c r="W64" s="44">
        <f>CurrentMtgRatesDataTable8[[#This Row],[Top 1 Amount]]/CurrentMtgRatesDataTable8[[#This Row],[TotalBalance]]</f>
        <v>0.31321217963608561</v>
      </c>
      <c r="X64" s="44" t="e">
        <f>CurrentMtgRatesDataTable8[[#This Row],[N/A Amount]]/CurrentMtgRatesDataTable8[[#This Row],[TotalBalance]]</f>
        <v>#N/A</v>
      </c>
    </row>
    <row r="65" spans="2:24">
      <c r="B65" s="37">
        <v>39264</v>
      </c>
      <c r="C65" s="17">
        <v>1506940443.8699999</v>
      </c>
      <c r="D65" s="17" t="s">
        <v>7</v>
      </c>
      <c r="E65" s="17">
        <v>2</v>
      </c>
      <c r="H65" s="37">
        <v>40269</v>
      </c>
      <c r="I65" s="17">
        <v>1073596404.6799999</v>
      </c>
      <c r="N65" s="37">
        <v>40299</v>
      </c>
      <c r="O65" s="17">
        <v>32543181394.959999</v>
      </c>
      <c r="P65" s="17">
        <f>VLOOKUP($N65,'Pivot equal'!C:D,2,0)</f>
        <v>27986292397.510002</v>
      </c>
      <c r="Q65" s="17">
        <f>VLOOKUP(N65,'Pivot equal'!G:H,2,0)</f>
        <v>25758615652.040001</v>
      </c>
      <c r="R65" s="17">
        <f>VLOOKUP(N65,'Pivot equal'!K:L,2,0)</f>
        <v>11166499668.83</v>
      </c>
      <c r="S65" s="43">
        <f>VLOOKUP(N65,CurrentMtgRatesDataTable9[],2,0)</f>
        <v>1210043145.7</v>
      </c>
      <c r="T65" s="43" t="e">
        <f>VLOOKUP(N65,CurrentMtgRatesDataTable93[],2,0)</f>
        <v>#N/A</v>
      </c>
      <c r="U65" s="44">
        <f>CurrentMtgRatesDataTable8[[#This Row],[Top 10 Amount]]/CurrentMtgRatesDataTable8[[#This Row],[TotalBalance]]</f>
        <v>0.85997407745280463</v>
      </c>
      <c r="V65" s="44">
        <f>CurrentMtgRatesDataTable8[[#This Row],[Top 5 Amount]]/CurrentMtgRatesDataTable8[[#This Row],[TotalBalance]]</f>
        <v>0.79152112817185316</v>
      </c>
      <c r="W65" s="44">
        <f>CurrentMtgRatesDataTable8[[#This Row],[Top 1 Amount]]/CurrentMtgRatesDataTable8[[#This Row],[TotalBalance]]</f>
        <v>0.34312870439149407</v>
      </c>
      <c r="X65" s="44" t="e">
        <f>CurrentMtgRatesDataTable8[[#This Row],[N/A Amount]]/CurrentMtgRatesDataTable8[[#This Row],[TotalBalance]]</f>
        <v>#N/A</v>
      </c>
    </row>
    <row r="66" spans="2:24">
      <c r="B66" s="37">
        <v>39264</v>
      </c>
      <c r="C66" s="17">
        <v>1282290225.9100001</v>
      </c>
      <c r="D66" s="17" t="s">
        <v>11</v>
      </c>
      <c r="E66" s="17">
        <v>3</v>
      </c>
      <c r="H66" s="37">
        <v>40238</v>
      </c>
      <c r="I66" s="17">
        <v>775320177.90999997</v>
      </c>
      <c r="N66" s="37">
        <v>40269</v>
      </c>
      <c r="O66" s="17">
        <v>31107880094.700001</v>
      </c>
      <c r="P66" s="17">
        <f>VLOOKUP($N66,'Pivot equal'!C:D,2,0)</f>
        <v>26850360161.200005</v>
      </c>
      <c r="Q66" s="17">
        <f>VLOOKUP(N66,'Pivot equal'!G:H,2,0)</f>
        <v>24765902790.620003</v>
      </c>
      <c r="R66" s="17">
        <f>VLOOKUP(N66,'Pivot equal'!K:L,2,0)</f>
        <v>11766642358.6</v>
      </c>
      <c r="S66" s="43">
        <f>VLOOKUP(N66,CurrentMtgRatesDataTable9[],2,0)</f>
        <v>1073596404.6799999</v>
      </c>
      <c r="T66" s="43" t="e">
        <f>VLOOKUP(N66,CurrentMtgRatesDataTable93[],2,0)</f>
        <v>#N/A</v>
      </c>
      <c r="U66" s="44">
        <f>CurrentMtgRatesDataTable8[[#This Row],[Top 10 Amount]]/CurrentMtgRatesDataTable8[[#This Row],[TotalBalance]]</f>
        <v>0.86313693120395663</v>
      </c>
      <c r="V66" s="44">
        <f>CurrentMtgRatesDataTable8[[#This Row],[Top 5 Amount]]/CurrentMtgRatesDataTable8[[#This Row],[TotalBalance]]</f>
        <v>0.79612955673053043</v>
      </c>
      <c r="W66" s="44">
        <f>CurrentMtgRatesDataTable8[[#This Row],[Top 1 Amount]]/CurrentMtgRatesDataTable8[[#This Row],[TotalBalance]]</f>
        <v>0.37825278748598301</v>
      </c>
      <c r="X66" s="44" t="e">
        <f>CurrentMtgRatesDataTable8[[#This Row],[N/A Amount]]/CurrentMtgRatesDataTable8[[#This Row],[TotalBalance]]</f>
        <v>#N/A</v>
      </c>
    </row>
    <row r="67" spans="2:24">
      <c r="B67" s="37">
        <v>39264</v>
      </c>
      <c r="C67" s="17">
        <v>894683434.65999997</v>
      </c>
      <c r="D67" s="17" t="s">
        <v>13</v>
      </c>
      <c r="E67" s="17">
        <v>4</v>
      </c>
      <c r="H67" s="37">
        <v>40210</v>
      </c>
      <c r="I67" s="17">
        <v>1049114718.89</v>
      </c>
      <c r="N67" s="37">
        <v>40238</v>
      </c>
      <c r="O67" s="17">
        <v>22158381362.720001</v>
      </c>
      <c r="P67" s="17">
        <f>VLOOKUP($N67,'Pivot equal'!C:D,2,0)</f>
        <v>18536432575.27</v>
      </c>
      <c r="Q67" s="17">
        <f>VLOOKUP(N67,'Pivot equal'!G:H,2,0)</f>
        <v>16719112110.120003</v>
      </c>
      <c r="R67" s="17">
        <f>VLOOKUP(N67,'Pivot equal'!K:L,2,0)</f>
        <v>6596684007.1000004</v>
      </c>
      <c r="S67" s="43">
        <f>VLOOKUP(N67,CurrentMtgRatesDataTable9[],2,0)</f>
        <v>775320177.90999997</v>
      </c>
      <c r="T67" s="43" t="e">
        <f>VLOOKUP(N67,CurrentMtgRatesDataTable93[],2,0)</f>
        <v>#N/A</v>
      </c>
      <c r="U67" s="44">
        <f>CurrentMtgRatesDataTable8[[#This Row],[Top 10 Amount]]/CurrentMtgRatesDataTable8[[#This Row],[TotalBalance]]</f>
        <v>0.83654271816335435</v>
      </c>
      <c r="V67" s="44">
        <f>CurrentMtgRatesDataTable8[[#This Row],[Top 5 Amount]]/CurrentMtgRatesDataTable8[[#This Row],[TotalBalance]]</f>
        <v>0.75452768126144787</v>
      </c>
      <c r="W67" s="44">
        <f>CurrentMtgRatesDataTable8[[#This Row],[Top 1 Amount]]/CurrentMtgRatesDataTable8[[#This Row],[TotalBalance]]</f>
        <v>0.2977060417507969</v>
      </c>
      <c r="X67" s="44" t="e">
        <f>CurrentMtgRatesDataTable8[[#This Row],[N/A Amount]]/CurrentMtgRatesDataTable8[[#This Row],[TotalBalance]]</f>
        <v>#N/A</v>
      </c>
    </row>
    <row r="68" spans="2:24">
      <c r="B68" s="37">
        <v>39264</v>
      </c>
      <c r="C68" s="17">
        <v>561034731.88999999</v>
      </c>
      <c r="D68" s="17" t="s">
        <v>4</v>
      </c>
      <c r="E68" s="17">
        <v>5</v>
      </c>
      <c r="H68" s="37">
        <v>40179</v>
      </c>
      <c r="I68" s="17">
        <v>1051543121.48</v>
      </c>
      <c r="N68" s="37">
        <v>40210</v>
      </c>
      <c r="O68" s="17">
        <v>27524482427.09</v>
      </c>
      <c r="P68" s="17">
        <f>VLOOKUP($N68,'Pivot equal'!C:D,2,0)</f>
        <v>23697861082.779999</v>
      </c>
      <c r="Q68" s="17">
        <f>VLOOKUP(N68,'Pivot equal'!G:H,2,0)</f>
        <v>21554168003.59</v>
      </c>
      <c r="R68" s="17">
        <f>VLOOKUP(N68,'Pivot equal'!K:L,2,0)</f>
        <v>9571877686.3199997</v>
      </c>
      <c r="S68" s="43">
        <f>VLOOKUP(N68,CurrentMtgRatesDataTable9[],2,0)</f>
        <v>1049114718.89</v>
      </c>
      <c r="T68" s="43" t="e">
        <f>VLOOKUP(N68,CurrentMtgRatesDataTable93[],2,0)</f>
        <v>#N/A</v>
      </c>
      <c r="U68" s="44">
        <f>CurrentMtgRatesDataTable8[[#This Row],[Top 10 Amount]]/CurrentMtgRatesDataTable8[[#This Row],[TotalBalance]]</f>
        <v>0.86097390370749405</v>
      </c>
      <c r="V68" s="44">
        <f>CurrentMtgRatesDataTable8[[#This Row],[Top 5 Amount]]/CurrentMtgRatesDataTable8[[#This Row],[TotalBalance]]</f>
        <v>0.78309076512828713</v>
      </c>
      <c r="W68" s="44">
        <f>CurrentMtgRatesDataTable8[[#This Row],[Top 1 Amount]]/CurrentMtgRatesDataTable8[[#This Row],[TotalBalance]]</f>
        <v>0.34775868035575547</v>
      </c>
      <c r="X68" s="44" t="e">
        <f>CurrentMtgRatesDataTable8[[#This Row],[N/A Amount]]/CurrentMtgRatesDataTable8[[#This Row],[TotalBalance]]</f>
        <v>#N/A</v>
      </c>
    </row>
    <row r="69" spans="2:24">
      <c r="B69" s="37">
        <v>39264</v>
      </c>
      <c r="C69" s="17">
        <v>556119596</v>
      </c>
      <c r="D69" s="17" t="s">
        <v>100</v>
      </c>
      <c r="E69" s="17">
        <v>6</v>
      </c>
      <c r="H69" s="37">
        <v>40148</v>
      </c>
      <c r="I69" s="17">
        <v>1196536315.22</v>
      </c>
      <c r="N69" s="37">
        <v>40179</v>
      </c>
      <c r="O69" s="17">
        <v>35986611903.889999</v>
      </c>
      <c r="P69" s="17">
        <f>VLOOKUP($N69,'Pivot equal'!C:D,2,0)</f>
        <v>31352105196.579998</v>
      </c>
      <c r="Q69" s="17">
        <f>VLOOKUP(N69,'Pivot equal'!G:H,2,0)</f>
        <v>28809588837.969997</v>
      </c>
      <c r="R69" s="17">
        <f>VLOOKUP(N69,'Pivot equal'!K:L,2,0)</f>
        <v>13534574647.27</v>
      </c>
      <c r="S69" s="43">
        <f>VLOOKUP(N69,CurrentMtgRatesDataTable9[],2,0)</f>
        <v>1051543121.48</v>
      </c>
      <c r="T69" s="43" t="e">
        <f>VLOOKUP(N69,CurrentMtgRatesDataTable93[],2,0)</f>
        <v>#N/A</v>
      </c>
      <c r="U69" s="44">
        <f>CurrentMtgRatesDataTable8[[#This Row],[Top 10 Amount]]/CurrentMtgRatesDataTable8[[#This Row],[TotalBalance]]</f>
        <v>0.87121580882114025</v>
      </c>
      <c r="V69" s="44">
        <f>CurrentMtgRatesDataTable8[[#This Row],[Top 5 Amount]]/CurrentMtgRatesDataTable8[[#This Row],[TotalBalance]]</f>
        <v>0.80056407963362075</v>
      </c>
      <c r="W69" s="44">
        <f>CurrentMtgRatesDataTable8[[#This Row],[Top 1 Amount]]/CurrentMtgRatesDataTable8[[#This Row],[TotalBalance]]</f>
        <v>0.3761002753862186</v>
      </c>
      <c r="X69" s="44" t="e">
        <f>CurrentMtgRatesDataTable8[[#This Row],[N/A Amount]]/CurrentMtgRatesDataTable8[[#This Row],[TotalBalance]]</f>
        <v>#N/A</v>
      </c>
    </row>
    <row r="70" spans="2:24">
      <c r="B70" s="37">
        <v>39264</v>
      </c>
      <c r="C70" s="17">
        <v>474830478.36000001</v>
      </c>
      <c r="D70" s="17" t="s">
        <v>101</v>
      </c>
      <c r="E70" s="17">
        <v>7</v>
      </c>
      <c r="H70" s="37">
        <v>40118</v>
      </c>
      <c r="I70" s="17">
        <v>891369745.05999994</v>
      </c>
      <c r="N70" s="37">
        <v>40148</v>
      </c>
      <c r="O70" s="17">
        <v>40973315070.910004</v>
      </c>
      <c r="P70" s="17">
        <f>VLOOKUP($N70,'Pivot equal'!C:D,2,0)</f>
        <v>34524145521.199997</v>
      </c>
      <c r="Q70" s="17">
        <f>VLOOKUP(N70,'Pivot equal'!G:H,2,0)</f>
        <v>30839093752.029999</v>
      </c>
      <c r="R70" s="17">
        <f>VLOOKUP(N70,'Pivot equal'!K:L,2,0)</f>
        <v>11821319577.99</v>
      </c>
      <c r="S70" s="43">
        <f>VLOOKUP(N70,CurrentMtgRatesDataTable9[],2,0)</f>
        <v>1196536315.22</v>
      </c>
      <c r="T70" s="43" t="e">
        <f>VLOOKUP(N70,CurrentMtgRatesDataTable93[],2,0)</f>
        <v>#N/A</v>
      </c>
      <c r="U70" s="44">
        <f>CurrentMtgRatesDataTable8[[#This Row],[Top 10 Amount]]/CurrentMtgRatesDataTable8[[#This Row],[TotalBalance]]</f>
        <v>0.84260073810115621</v>
      </c>
      <c r="V70" s="44">
        <f>CurrentMtgRatesDataTable8[[#This Row],[Top 5 Amount]]/CurrentMtgRatesDataTable8[[#This Row],[TotalBalance]]</f>
        <v>0.7526628904363406</v>
      </c>
      <c r="W70" s="44">
        <f>CurrentMtgRatesDataTable8[[#This Row],[Top 1 Amount]]/CurrentMtgRatesDataTable8[[#This Row],[TotalBalance]]</f>
        <v>0.28851264676855087</v>
      </c>
      <c r="X70" s="44" t="e">
        <f>CurrentMtgRatesDataTable8[[#This Row],[N/A Amount]]/CurrentMtgRatesDataTable8[[#This Row],[TotalBalance]]</f>
        <v>#N/A</v>
      </c>
    </row>
    <row r="71" spans="2:24">
      <c r="B71" s="37">
        <v>39264</v>
      </c>
      <c r="C71" s="17">
        <v>291874608.01999998</v>
      </c>
      <c r="D71" s="17" t="s">
        <v>8</v>
      </c>
      <c r="E71" s="17">
        <v>8</v>
      </c>
      <c r="H71" s="37">
        <v>40087</v>
      </c>
      <c r="I71" s="17">
        <v>794961940.45000005</v>
      </c>
      <c r="N71" s="37">
        <v>40118</v>
      </c>
      <c r="O71" s="17">
        <v>34146479465.68</v>
      </c>
      <c r="P71" s="17">
        <f>VLOOKUP($N71,'Pivot equal'!C:D,2,0)</f>
        <v>28779506693.819996</v>
      </c>
      <c r="Q71" s="17">
        <f>VLOOKUP(N71,'Pivot equal'!G:H,2,0)</f>
        <v>25228895915.689999</v>
      </c>
      <c r="R71" s="17">
        <f>VLOOKUP(N71,'Pivot equal'!K:L,2,0)</f>
        <v>10156126817.549999</v>
      </c>
      <c r="S71" s="43">
        <f>VLOOKUP(N71,CurrentMtgRatesDataTable9[],2,0)</f>
        <v>891369745.05999994</v>
      </c>
      <c r="T71" s="43" t="e">
        <f>VLOOKUP(N71,CurrentMtgRatesDataTable93[],2,0)</f>
        <v>#N/A</v>
      </c>
      <c r="U71" s="44">
        <f>CurrentMtgRatesDataTable8[[#This Row],[Top 10 Amount]]/CurrentMtgRatesDataTable8[[#This Row],[TotalBalance]]</f>
        <v>0.84282500404604666</v>
      </c>
      <c r="V71" s="44">
        <f>CurrentMtgRatesDataTable8[[#This Row],[Top 5 Amount]]/CurrentMtgRatesDataTable8[[#This Row],[TotalBalance]]</f>
        <v>0.738843251499678</v>
      </c>
      <c r="W71" s="44">
        <f>CurrentMtgRatesDataTable8[[#This Row],[Top 1 Amount]]/CurrentMtgRatesDataTable8[[#This Row],[TotalBalance]]</f>
        <v>0.29742822617358655</v>
      </c>
      <c r="X71" s="44" t="e">
        <f>CurrentMtgRatesDataTable8[[#This Row],[N/A Amount]]/CurrentMtgRatesDataTable8[[#This Row],[TotalBalance]]</f>
        <v>#N/A</v>
      </c>
    </row>
    <row r="72" spans="2:24">
      <c r="B72" s="37">
        <v>39264</v>
      </c>
      <c r="C72" s="17">
        <v>280538657.69999999</v>
      </c>
      <c r="D72" s="17" t="s">
        <v>16</v>
      </c>
      <c r="E72" s="17">
        <v>9</v>
      </c>
      <c r="H72" s="37">
        <v>40057</v>
      </c>
      <c r="I72" s="17">
        <v>609967240.65999997</v>
      </c>
      <c r="N72" s="37">
        <v>40087</v>
      </c>
      <c r="O72" s="17">
        <v>36816079871.599998</v>
      </c>
      <c r="P72" s="17">
        <f>VLOOKUP($N72,'Pivot equal'!C:D,2,0)</f>
        <v>31511593820.119995</v>
      </c>
      <c r="Q72" s="17">
        <f>VLOOKUP(N72,'Pivot equal'!G:H,2,0)</f>
        <v>28210005654.139996</v>
      </c>
      <c r="R72" s="17">
        <f>VLOOKUP(N72,'Pivot equal'!K:L,2,0)</f>
        <v>11250233115.889999</v>
      </c>
      <c r="S72" s="43">
        <f>VLOOKUP(N72,CurrentMtgRatesDataTable9[],2,0)</f>
        <v>794961940.45000005</v>
      </c>
      <c r="T72" s="43" t="e">
        <f>VLOOKUP(N72,CurrentMtgRatesDataTable93[],2,0)</f>
        <v>#N/A</v>
      </c>
      <c r="U72" s="44">
        <f>CurrentMtgRatesDataTable8[[#This Row],[Top 10 Amount]]/CurrentMtgRatesDataTable8[[#This Row],[TotalBalance]]</f>
        <v>0.85591931378951902</v>
      </c>
      <c r="V72" s="44">
        <f>CurrentMtgRatesDataTable8[[#This Row],[Top 5 Amount]]/CurrentMtgRatesDataTable8[[#This Row],[TotalBalance]]</f>
        <v>0.76624142908548099</v>
      </c>
      <c r="W72" s="44">
        <f>CurrentMtgRatesDataTable8[[#This Row],[Top 1 Amount]]/CurrentMtgRatesDataTable8[[#This Row],[TotalBalance]]</f>
        <v>0.30557933259397485</v>
      </c>
      <c r="X72" s="44" t="e">
        <f>CurrentMtgRatesDataTable8[[#This Row],[N/A Amount]]/CurrentMtgRatesDataTable8[[#This Row],[TotalBalance]]</f>
        <v>#N/A</v>
      </c>
    </row>
    <row r="73" spans="2:24">
      <c r="B73" s="37">
        <v>39264</v>
      </c>
      <c r="C73" s="17">
        <v>218796800.81999999</v>
      </c>
      <c r="D73" s="17" t="s">
        <v>5</v>
      </c>
      <c r="E73" s="17">
        <v>10</v>
      </c>
      <c r="H73" s="37">
        <v>40026</v>
      </c>
      <c r="I73" s="17">
        <v>822762971.19000006</v>
      </c>
      <c r="N73" s="37">
        <v>40057</v>
      </c>
      <c r="O73" s="17">
        <v>38844969127.540001</v>
      </c>
      <c r="P73" s="17">
        <f>VLOOKUP($N73,'Pivot equal'!C:D,2,0)</f>
        <v>33968250061.269997</v>
      </c>
      <c r="Q73" s="17">
        <f>VLOOKUP(N73,'Pivot equal'!G:H,2,0)</f>
        <v>29406120687.719997</v>
      </c>
      <c r="R73" s="17">
        <f>VLOOKUP(N73,'Pivot equal'!K:L,2,0)</f>
        <v>10548837061.57</v>
      </c>
      <c r="S73" s="43">
        <f>VLOOKUP(N73,CurrentMtgRatesDataTable9[],2,0)</f>
        <v>609967240.65999997</v>
      </c>
      <c r="T73" s="43" t="e">
        <f>VLOOKUP(N73,CurrentMtgRatesDataTable93[],2,0)</f>
        <v>#N/A</v>
      </c>
      <c r="U73" s="44">
        <f>CurrentMtgRatesDataTable8[[#This Row],[Top 10 Amount]]/CurrentMtgRatesDataTable8[[#This Row],[TotalBalance]]</f>
        <v>0.87445686852631466</v>
      </c>
      <c r="V73" s="44">
        <f>CurrentMtgRatesDataTable8[[#This Row],[Top 5 Amount]]/CurrentMtgRatesDataTable8[[#This Row],[TotalBalance]]</f>
        <v>0.75701233256668687</v>
      </c>
      <c r="W73" s="44">
        <f>CurrentMtgRatesDataTable8[[#This Row],[Top 1 Amount]]/CurrentMtgRatesDataTable8[[#This Row],[TotalBalance]]</f>
        <v>0.27156250342058241</v>
      </c>
      <c r="X73" s="44" t="e">
        <f>CurrentMtgRatesDataTable8[[#This Row],[N/A Amount]]/CurrentMtgRatesDataTable8[[#This Row],[TotalBalance]]</f>
        <v>#N/A</v>
      </c>
    </row>
    <row r="74" spans="2:24">
      <c r="B74" s="37">
        <v>39295</v>
      </c>
      <c r="C74" s="17">
        <v>2199361792.6500001</v>
      </c>
      <c r="D74" s="17" t="s">
        <v>6</v>
      </c>
      <c r="E74" s="17">
        <v>1</v>
      </c>
      <c r="H74" s="37">
        <v>39934</v>
      </c>
      <c r="I74" s="17">
        <v>715314.04</v>
      </c>
      <c r="N74" s="37">
        <v>40026</v>
      </c>
      <c r="O74" s="17">
        <v>43301220344.230003</v>
      </c>
      <c r="P74" s="17">
        <f>VLOOKUP($N74,'Pivot equal'!C:D,2,0)</f>
        <v>37366595070.600006</v>
      </c>
      <c r="Q74" s="17">
        <f>VLOOKUP(N74,'Pivot equal'!G:H,2,0)</f>
        <v>32727942340.760002</v>
      </c>
      <c r="R74" s="17">
        <f>VLOOKUP(N74,'Pivot equal'!K:L,2,0)</f>
        <v>11769183271.27</v>
      </c>
      <c r="S74" s="43">
        <f>VLOOKUP(N74,CurrentMtgRatesDataTable9[],2,0)</f>
        <v>822762971.19000006</v>
      </c>
      <c r="T74" s="43" t="e">
        <f>VLOOKUP(N74,CurrentMtgRatesDataTable93[],2,0)</f>
        <v>#N/A</v>
      </c>
      <c r="U74" s="44">
        <f>CurrentMtgRatesDataTable8[[#This Row],[Top 10 Amount]]/CurrentMtgRatesDataTable8[[#This Row],[TotalBalance]]</f>
        <v>0.86294554226297226</v>
      </c>
      <c r="V74" s="44">
        <f>CurrentMtgRatesDataTable8[[#This Row],[Top 5 Amount]]/CurrentMtgRatesDataTable8[[#This Row],[TotalBalance]]</f>
        <v>0.75582032285889333</v>
      </c>
      <c r="W74" s="44">
        <f>CurrentMtgRatesDataTable8[[#This Row],[Top 1 Amount]]/CurrentMtgRatesDataTable8[[#This Row],[TotalBalance]]</f>
        <v>0.27179795806466855</v>
      </c>
      <c r="X74" s="44" t="e">
        <f>CurrentMtgRatesDataTable8[[#This Row],[N/A Amount]]/CurrentMtgRatesDataTable8[[#This Row],[TotalBalance]]</f>
        <v>#N/A</v>
      </c>
    </row>
    <row r="75" spans="2:24">
      <c r="B75" s="37">
        <v>39295</v>
      </c>
      <c r="C75" s="17">
        <v>1547835971.8900001</v>
      </c>
      <c r="D75" s="17" t="s">
        <v>11</v>
      </c>
      <c r="E75" s="17">
        <v>2</v>
      </c>
      <c r="H75" s="37">
        <v>39904</v>
      </c>
      <c r="I75" s="17">
        <v>395342906.08999997</v>
      </c>
      <c r="N75" s="41">
        <v>39904</v>
      </c>
      <c r="O75" s="42">
        <v>35593081340.43</v>
      </c>
      <c r="P75" s="47">
        <f>VLOOKUP($N75,'Pivot equal'!C:D,2,0)</f>
        <v>31092833796.91</v>
      </c>
      <c r="Q75" s="47">
        <f>VLOOKUP(N75,'Pivot equal'!G:H,2,0)</f>
        <v>26813746824.889999</v>
      </c>
      <c r="R75" s="47">
        <f>VLOOKUP(N75,'Pivot equal'!K:L,2,0)</f>
        <v>10904817516.51</v>
      </c>
      <c r="S75" s="47">
        <f>VLOOKUP(N75,CurrentMtgRatesDataTable9[],2,0)</f>
        <v>395342906.08999997</v>
      </c>
      <c r="T75" s="47" t="e">
        <f>VLOOKUP(N75,CurrentMtgRatesDataTable93[],2,0)</f>
        <v>#N/A</v>
      </c>
      <c r="U75" s="46">
        <f>CurrentMtgRatesDataTable8[[#This Row],[Top 10 Amount]]/CurrentMtgRatesDataTable8[[#This Row],[TotalBalance]]</f>
        <v>0.87356398001967328</v>
      </c>
      <c r="V75" s="46">
        <f>CurrentMtgRatesDataTable8[[#This Row],[Top 5 Amount]]/CurrentMtgRatesDataTable8[[#This Row],[TotalBalance]]</f>
        <v>0.75334154321818725</v>
      </c>
      <c r="W75" s="46">
        <f>CurrentMtgRatesDataTable8[[#This Row],[Top 1 Amount]]/CurrentMtgRatesDataTable8[[#This Row],[TotalBalance]]</f>
        <v>0.30637464096493588</v>
      </c>
      <c r="X75" s="46" t="e">
        <f>CurrentMtgRatesDataTable8[[#This Row],[N/A Amount]]/CurrentMtgRatesDataTable8[[#This Row],[TotalBalance]]</f>
        <v>#N/A</v>
      </c>
    </row>
    <row r="76" spans="2:24">
      <c r="B76" s="37">
        <v>39295</v>
      </c>
      <c r="C76" s="17">
        <v>1419998549.7</v>
      </c>
      <c r="D76" s="17" t="s">
        <v>7</v>
      </c>
      <c r="E76" s="17">
        <v>3</v>
      </c>
      <c r="H76" s="37">
        <v>39873</v>
      </c>
      <c r="I76" s="17">
        <v>330636214.42000002</v>
      </c>
      <c r="N76" s="41">
        <v>39873</v>
      </c>
      <c r="O76" s="42">
        <v>34505511131.800003</v>
      </c>
      <c r="P76" s="47">
        <f>VLOOKUP($N76,'Pivot equal'!C:D,2,0)</f>
        <v>31299507089.720001</v>
      </c>
      <c r="Q76" s="47">
        <f>VLOOKUP(N76,'Pivot equal'!G:H,2,0)</f>
        <v>27212511542</v>
      </c>
      <c r="R76" s="47">
        <f>VLOOKUP(N76,'Pivot equal'!K:L,2,0)</f>
        <v>9840119923.4899998</v>
      </c>
      <c r="S76" s="47">
        <f>VLOOKUP(N76,CurrentMtgRatesDataTable9[],2,0)</f>
        <v>330636214.42000002</v>
      </c>
      <c r="T76" s="47" t="e">
        <f>VLOOKUP(N76,CurrentMtgRatesDataTable93[],2,0)</f>
        <v>#N/A</v>
      </c>
      <c r="U76" s="46">
        <f>CurrentMtgRatesDataTable8[[#This Row],[Top 10 Amount]]/CurrentMtgRatesDataTable8[[#This Row],[TotalBalance]]</f>
        <v>0.90708718877300232</v>
      </c>
      <c r="V76" s="46">
        <f>CurrentMtgRatesDataTable8[[#This Row],[Top 5 Amount]]/CurrentMtgRatesDataTable8[[#This Row],[TotalBalance]]</f>
        <v>0.78864247041746227</v>
      </c>
      <c r="W76" s="46">
        <f>CurrentMtgRatesDataTable8[[#This Row],[Top 1 Amount]]/CurrentMtgRatesDataTable8[[#This Row],[TotalBalance]]</f>
        <v>0.28517531260162737</v>
      </c>
      <c r="X76" s="46" t="e">
        <f>CurrentMtgRatesDataTable8[[#This Row],[N/A Amount]]/CurrentMtgRatesDataTable8[[#This Row],[TotalBalance]]</f>
        <v>#N/A</v>
      </c>
    </row>
    <row r="77" spans="2:24">
      <c r="B77" s="37">
        <v>39295</v>
      </c>
      <c r="C77" s="17">
        <v>1086376333.4400001</v>
      </c>
      <c r="D77" s="17" t="s">
        <v>13</v>
      </c>
      <c r="E77" s="17">
        <v>4</v>
      </c>
      <c r="H77" s="41">
        <v>39845</v>
      </c>
      <c r="I77" s="42">
        <v>334388412.06</v>
      </c>
      <c r="N77" s="41">
        <v>39845</v>
      </c>
      <c r="O77" s="42">
        <v>28092224611.080002</v>
      </c>
      <c r="P77" s="47">
        <f>VLOOKUP($N77,'Pivot equal'!C:D,2,0)</f>
        <v>24601026802.229996</v>
      </c>
      <c r="Q77" s="47">
        <f>VLOOKUP(N77,'Pivot equal'!G:H,2,0)</f>
        <v>20299507560.999996</v>
      </c>
      <c r="R77" s="47">
        <f>VLOOKUP(N77,'Pivot equal'!K:L,2,0)</f>
        <v>7456714182.4200001</v>
      </c>
      <c r="S77" s="47">
        <f>VLOOKUP(N77,CurrentMtgRatesDataTable9[],2,0)</f>
        <v>334388412.06</v>
      </c>
      <c r="T77" s="47" t="e">
        <f>VLOOKUP(N77,CurrentMtgRatesDataTable93[],2,0)</f>
        <v>#N/A</v>
      </c>
      <c r="U77" s="46">
        <f>CurrentMtgRatesDataTable8[[#This Row],[Top 10 Amount]]/CurrentMtgRatesDataTable8[[#This Row],[TotalBalance]]</f>
        <v>0.87572369731541222</v>
      </c>
      <c r="V77" s="46">
        <f>CurrentMtgRatesDataTable8[[#This Row],[Top 5 Amount]]/CurrentMtgRatesDataTable8[[#This Row],[TotalBalance]]</f>
        <v>0.72260235143476537</v>
      </c>
      <c r="W77" s="46">
        <f>CurrentMtgRatesDataTable8[[#This Row],[Top 1 Amount]]/CurrentMtgRatesDataTable8[[#This Row],[TotalBalance]]</f>
        <v>0.26543694156136566</v>
      </c>
      <c r="X77" s="46" t="e">
        <f>CurrentMtgRatesDataTable8[[#This Row],[N/A Amount]]/CurrentMtgRatesDataTable8[[#This Row],[TotalBalance]]</f>
        <v>#N/A</v>
      </c>
    </row>
    <row r="78" spans="2:24">
      <c r="B78" s="37">
        <v>39295</v>
      </c>
      <c r="C78" s="17">
        <v>787215225.08000004</v>
      </c>
      <c r="D78" s="17" t="s">
        <v>101</v>
      </c>
      <c r="E78" s="17">
        <v>5</v>
      </c>
      <c r="H78" s="41">
        <v>39814</v>
      </c>
      <c r="I78" s="42">
        <v>339796295.97000003</v>
      </c>
      <c r="N78" s="41">
        <v>39814</v>
      </c>
      <c r="O78" s="42">
        <v>29879289402.48</v>
      </c>
      <c r="P78" s="47">
        <f>VLOOKUP($N78,'Pivot equal'!C:D,2,0)</f>
        <v>25014444927.390003</v>
      </c>
      <c r="Q78" s="47">
        <f>VLOOKUP(N78,'Pivot equal'!G:H,2,0)</f>
        <v>20747600705.23</v>
      </c>
      <c r="R78" s="47">
        <f>VLOOKUP(N78,'Pivot equal'!K:L,2,0)</f>
        <v>7661923102.8999996</v>
      </c>
      <c r="S78" s="47">
        <f>VLOOKUP(N78,CurrentMtgRatesDataTable9[],2,0)</f>
        <v>339796295.97000003</v>
      </c>
      <c r="T78" s="47" t="e">
        <f>VLOOKUP(N78,CurrentMtgRatesDataTable93[],2,0)</f>
        <v>#N/A</v>
      </c>
      <c r="U78" s="46">
        <f>CurrentMtgRatesDataTable8[[#This Row],[Top 10 Amount]]/CurrentMtgRatesDataTable8[[#This Row],[TotalBalance]]</f>
        <v>0.8371833945058208</v>
      </c>
      <c r="V78" s="46">
        <f>CurrentMtgRatesDataTable8[[#This Row],[Top 5 Amount]]/CurrentMtgRatesDataTable8[[#This Row],[TotalBalance]]</f>
        <v>0.69438066032145784</v>
      </c>
      <c r="W78" s="46">
        <f>CurrentMtgRatesDataTable8[[#This Row],[Top 1 Amount]]/CurrentMtgRatesDataTable8[[#This Row],[TotalBalance]]</f>
        <v>0.25642922760619785</v>
      </c>
      <c r="X78" s="46" t="e">
        <f>CurrentMtgRatesDataTable8[[#This Row],[N/A Amount]]/CurrentMtgRatesDataTable8[[#This Row],[TotalBalance]]</f>
        <v>#N/A</v>
      </c>
    </row>
    <row r="79" spans="2:24">
      <c r="B79" s="37">
        <v>39295</v>
      </c>
      <c r="C79" s="17">
        <v>672076746.57000005</v>
      </c>
      <c r="D79" s="17" t="s">
        <v>4</v>
      </c>
      <c r="E79" s="17">
        <v>6</v>
      </c>
      <c r="H79" s="41">
        <v>39783</v>
      </c>
      <c r="I79" s="42">
        <v>509985699.69999999</v>
      </c>
      <c r="N79" s="41">
        <v>39783</v>
      </c>
      <c r="O79" s="42">
        <v>25259384716.610001</v>
      </c>
      <c r="P79" s="47">
        <f>VLOOKUP($N79,'Pivot equal'!C:D,2,0)</f>
        <v>20966060078.980003</v>
      </c>
      <c r="Q79" s="47">
        <f>VLOOKUP(N79,'Pivot equal'!G:H,2,0)</f>
        <v>17026231655.48</v>
      </c>
      <c r="R79" s="47">
        <f>VLOOKUP(N79,'Pivot equal'!K:L,2,0)</f>
        <v>6077494849.25</v>
      </c>
      <c r="S79" s="47">
        <f>VLOOKUP(N79,CurrentMtgRatesDataTable9[],2,0)</f>
        <v>509985699.69999999</v>
      </c>
      <c r="T79" s="47" t="e">
        <f>VLOOKUP(N79,CurrentMtgRatesDataTable93[],2,0)</f>
        <v>#N/A</v>
      </c>
      <c r="U79" s="46">
        <f>CurrentMtgRatesDataTable8[[#This Row],[Top 10 Amount]]/CurrentMtgRatesDataTable8[[#This Row],[TotalBalance]]</f>
        <v>0.83003051397341421</v>
      </c>
      <c r="V79" s="46">
        <f>CurrentMtgRatesDataTable8[[#This Row],[Top 5 Amount]]/CurrentMtgRatesDataTable8[[#This Row],[TotalBalance]]</f>
        <v>0.67405567659310139</v>
      </c>
      <c r="W79" s="46">
        <f>CurrentMtgRatesDataTable8[[#This Row],[Top 1 Amount]]/CurrentMtgRatesDataTable8[[#This Row],[TotalBalance]]</f>
        <v>0.24060343976841117</v>
      </c>
      <c r="X79" s="46" t="e">
        <f>CurrentMtgRatesDataTable8[[#This Row],[N/A Amount]]/CurrentMtgRatesDataTable8[[#This Row],[TotalBalance]]</f>
        <v>#N/A</v>
      </c>
    </row>
    <row r="80" spans="2:24">
      <c r="B80" s="37">
        <v>39295</v>
      </c>
      <c r="C80" s="17">
        <v>445623149</v>
      </c>
      <c r="D80" s="17" t="s">
        <v>100</v>
      </c>
      <c r="E80" s="17">
        <v>7</v>
      </c>
      <c r="H80" s="41">
        <v>39753</v>
      </c>
      <c r="I80" s="42">
        <v>483957096.69999999</v>
      </c>
      <c r="N80" s="41">
        <v>39753</v>
      </c>
      <c r="O80" s="42">
        <v>28783371110.040001</v>
      </c>
      <c r="P80" s="47">
        <f>VLOOKUP($N80,'Pivot equal'!C:D,2,0)</f>
        <v>24497335155.529999</v>
      </c>
      <c r="Q80" s="47">
        <f>VLOOKUP(N80,'Pivot equal'!G:H,2,0)</f>
        <v>19939874282.739998</v>
      </c>
      <c r="R80" s="47">
        <f>VLOOKUP(N80,'Pivot equal'!K:L,2,0)</f>
        <v>6885955341.3299999</v>
      </c>
      <c r="S80" s="47">
        <f>VLOOKUP(N80,CurrentMtgRatesDataTable9[],2,0)</f>
        <v>483957096.69999999</v>
      </c>
      <c r="T80" s="47" t="e">
        <f>VLOOKUP(N80,CurrentMtgRatesDataTable93[],2,0)</f>
        <v>#N/A</v>
      </c>
      <c r="U80" s="46">
        <f>CurrentMtgRatesDataTable8[[#This Row],[Top 10 Amount]]/CurrentMtgRatesDataTable8[[#This Row],[TotalBalance]]</f>
        <v>0.8510933296129799</v>
      </c>
      <c r="V80" s="46">
        <f>CurrentMtgRatesDataTable8[[#This Row],[Top 5 Amount]]/CurrentMtgRatesDataTable8[[#This Row],[TotalBalance]]</f>
        <v>0.69275673813567717</v>
      </c>
      <c r="W80" s="46">
        <f>CurrentMtgRatesDataTable8[[#This Row],[Top 1 Amount]]/CurrentMtgRatesDataTable8[[#This Row],[TotalBalance]]</f>
        <v>0.23923380326108126</v>
      </c>
      <c r="X80" s="46" t="e">
        <f>CurrentMtgRatesDataTable8[[#This Row],[N/A Amount]]/CurrentMtgRatesDataTable8[[#This Row],[TotalBalance]]</f>
        <v>#N/A</v>
      </c>
    </row>
    <row r="81" spans="2:24">
      <c r="B81" s="37">
        <v>39295</v>
      </c>
      <c r="C81" s="17">
        <v>421912504.26999998</v>
      </c>
      <c r="D81" s="17" t="s">
        <v>8</v>
      </c>
      <c r="E81" s="17">
        <v>8</v>
      </c>
      <c r="H81" s="41">
        <v>39722</v>
      </c>
      <c r="I81" s="42">
        <v>601637100.75999999</v>
      </c>
      <c r="N81" s="41">
        <v>39722</v>
      </c>
      <c r="O81" s="42">
        <v>32031899669.07</v>
      </c>
      <c r="P81" s="47">
        <f>VLOOKUP($N81,'Pivot equal'!C:D,2,0)</f>
        <v>27080952679.310001</v>
      </c>
      <c r="Q81" s="47">
        <f>VLOOKUP(N81,'Pivot equal'!G:H,2,0)</f>
        <v>21462799846.620003</v>
      </c>
      <c r="R81" s="47">
        <f>VLOOKUP(N81,'Pivot equal'!K:L,2,0)</f>
        <v>7764734798.4499998</v>
      </c>
      <c r="S81" s="47">
        <f>VLOOKUP(N81,CurrentMtgRatesDataTable9[],2,0)</f>
        <v>601637100.75999999</v>
      </c>
      <c r="T81" s="47" t="e">
        <f>VLOOKUP(N81,CurrentMtgRatesDataTable93[],2,0)</f>
        <v>#N/A</v>
      </c>
      <c r="U81" s="46">
        <f>CurrentMtgRatesDataTable8[[#This Row],[Top 10 Amount]]/CurrentMtgRatesDataTable8[[#This Row],[TotalBalance]]</f>
        <v>0.8454369849771779</v>
      </c>
      <c r="V81" s="46">
        <f>CurrentMtgRatesDataTable8[[#This Row],[Top 5 Amount]]/CurrentMtgRatesDataTable8[[#This Row],[TotalBalance]]</f>
        <v>0.67004455147393216</v>
      </c>
      <c r="W81" s="46">
        <f>CurrentMtgRatesDataTable8[[#This Row],[Top 1 Amount]]/CurrentMtgRatesDataTable8[[#This Row],[TotalBalance]]</f>
        <v>0.24240631616199856</v>
      </c>
      <c r="X81" s="46" t="e">
        <f>CurrentMtgRatesDataTable8[[#This Row],[N/A Amount]]/CurrentMtgRatesDataTable8[[#This Row],[TotalBalance]]</f>
        <v>#N/A</v>
      </c>
    </row>
    <row r="82" spans="2:24">
      <c r="B82" s="37">
        <v>39295</v>
      </c>
      <c r="C82" s="17">
        <v>364355555.85000002</v>
      </c>
      <c r="D82" s="17" t="s">
        <v>16</v>
      </c>
      <c r="E82" s="17">
        <v>9</v>
      </c>
      <c r="H82" s="41">
        <v>39692</v>
      </c>
      <c r="I82" s="42">
        <v>590388828.64999998</v>
      </c>
      <c r="N82" s="41">
        <v>39692</v>
      </c>
      <c r="O82" s="42">
        <v>29840076180.630001</v>
      </c>
      <c r="P82" s="47">
        <f>VLOOKUP($N82,'Pivot equal'!C:D,2,0)</f>
        <v>25240719264.77</v>
      </c>
      <c r="Q82" s="47">
        <f>VLOOKUP(N82,'Pivot equal'!G:H,2,0)</f>
        <v>20580692484.290001</v>
      </c>
      <c r="R82" s="47">
        <f>VLOOKUP(N82,'Pivot equal'!K:L,2,0)</f>
        <v>6775744846.46</v>
      </c>
      <c r="S82" s="47">
        <f>VLOOKUP(N82,CurrentMtgRatesDataTable9[],2,0)</f>
        <v>590388828.64999998</v>
      </c>
      <c r="T82" s="47" t="e">
        <f>VLOOKUP(N82,CurrentMtgRatesDataTable93[],2,0)</f>
        <v>#N/A</v>
      </c>
      <c r="U82" s="46">
        <f>CurrentMtgRatesDataTable8[[#This Row],[Top 10 Amount]]/CurrentMtgRatesDataTable8[[#This Row],[TotalBalance]]</f>
        <v>0.84586644859688509</v>
      </c>
      <c r="V82" s="46">
        <f>CurrentMtgRatesDataTable8[[#This Row],[Top 5 Amount]]/CurrentMtgRatesDataTable8[[#This Row],[TotalBalance]]</f>
        <v>0.68969972997754891</v>
      </c>
      <c r="W82" s="46">
        <f>CurrentMtgRatesDataTable8[[#This Row],[Top 1 Amount]]/CurrentMtgRatesDataTable8[[#This Row],[TotalBalance]]</f>
        <v>0.22706861756801811</v>
      </c>
      <c r="X82" s="46" t="e">
        <f>CurrentMtgRatesDataTable8[[#This Row],[N/A Amount]]/CurrentMtgRatesDataTable8[[#This Row],[TotalBalance]]</f>
        <v>#N/A</v>
      </c>
    </row>
    <row r="83" spans="2:24">
      <c r="B83" s="37">
        <v>39295</v>
      </c>
      <c r="C83" s="17">
        <v>304495053.63</v>
      </c>
      <c r="D83" s="17" t="s">
        <v>19</v>
      </c>
      <c r="E83" s="17">
        <v>10</v>
      </c>
      <c r="H83" s="41">
        <v>39661</v>
      </c>
      <c r="I83" s="42">
        <v>692738671.13</v>
      </c>
      <c r="N83" s="41">
        <v>39661</v>
      </c>
      <c r="O83" s="42">
        <v>31543550642.98</v>
      </c>
      <c r="P83" s="47">
        <f>VLOOKUP($N83,'Pivot equal'!C:D,2,0)</f>
        <v>26556813481.310001</v>
      </c>
      <c r="Q83" s="47">
        <f>VLOOKUP(N83,'Pivot equal'!G:H,2,0)</f>
        <v>21796330771.130001</v>
      </c>
      <c r="R83" s="47">
        <f>VLOOKUP(N83,'Pivot equal'!K:L,2,0)</f>
        <v>6371064207.1199999</v>
      </c>
      <c r="S83" s="47">
        <f>VLOOKUP(N83,CurrentMtgRatesDataTable9[],2,0)</f>
        <v>692738671.13</v>
      </c>
      <c r="T83" s="47" t="e">
        <f>VLOOKUP(N83,CurrentMtgRatesDataTable93[],2,0)</f>
        <v>#N/A</v>
      </c>
      <c r="U83" s="46">
        <f>CurrentMtgRatesDataTable8[[#This Row],[Top 10 Amount]]/CurrentMtgRatesDataTable8[[#This Row],[TotalBalance]]</f>
        <v>0.84190945343751933</v>
      </c>
      <c r="V83" s="46">
        <f>CurrentMtgRatesDataTable8[[#This Row],[Top 5 Amount]]/CurrentMtgRatesDataTable8[[#This Row],[TotalBalance]]</f>
        <v>0.69099167109713955</v>
      </c>
      <c r="W83" s="46">
        <f>CurrentMtgRatesDataTable8[[#This Row],[Top 1 Amount]]/CurrentMtgRatesDataTable8[[#This Row],[TotalBalance]]</f>
        <v>0.2019767615646616</v>
      </c>
      <c r="X83" s="46" t="e">
        <f>CurrentMtgRatesDataTable8[[#This Row],[N/A Amount]]/CurrentMtgRatesDataTable8[[#This Row],[TotalBalance]]</f>
        <v>#N/A</v>
      </c>
    </row>
    <row r="84" spans="2:24">
      <c r="B84" s="37">
        <v>39326</v>
      </c>
      <c r="C84" s="17">
        <v>2100244827.6099999</v>
      </c>
      <c r="D84" s="17" t="s">
        <v>6</v>
      </c>
      <c r="E84" s="17">
        <v>1</v>
      </c>
      <c r="H84" s="41">
        <v>39630</v>
      </c>
      <c r="I84" s="42">
        <v>705566089.94000006</v>
      </c>
      <c r="N84" s="41">
        <v>39630</v>
      </c>
      <c r="O84" s="42">
        <v>29055254325.32</v>
      </c>
      <c r="P84" s="47">
        <f>VLOOKUP($N84,'Pivot equal'!C:D,2,0)</f>
        <v>24579644788.880005</v>
      </c>
      <c r="Q84" s="47">
        <f>VLOOKUP(N84,'Pivot equal'!G:H,2,0)</f>
        <v>20600904938.459999</v>
      </c>
      <c r="R84" s="47">
        <f>VLOOKUP(N84,'Pivot equal'!K:L,2,0)</f>
        <v>6822327712.9200001</v>
      </c>
      <c r="S84" s="47">
        <f>VLOOKUP(N84,CurrentMtgRatesDataTable9[],2,0)</f>
        <v>705566089.94000006</v>
      </c>
      <c r="T84" s="47" t="e">
        <f>VLOOKUP(N84,CurrentMtgRatesDataTable93[],2,0)</f>
        <v>#N/A</v>
      </c>
      <c r="U84" s="46">
        <f>CurrentMtgRatesDataTable8[[#This Row],[Top 10 Amount]]/CurrentMtgRatesDataTable8[[#This Row],[TotalBalance]]</f>
        <v>0.84596212835281381</v>
      </c>
      <c r="V84" s="46">
        <f>CurrentMtgRatesDataTable8[[#This Row],[Top 5 Amount]]/CurrentMtgRatesDataTable8[[#This Row],[TotalBalance]]</f>
        <v>0.70902511152715963</v>
      </c>
      <c r="W84" s="46">
        <f>CurrentMtgRatesDataTable8[[#This Row],[Top 1 Amount]]/CurrentMtgRatesDataTable8[[#This Row],[TotalBalance]]</f>
        <v>0.23480530015442783</v>
      </c>
      <c r="X84" s="46" t="e">
        <f>CurrentMtgRatesDataTable8[[#This Row],[N/A Amount]]/CurrentMtgRatesDataTable8[[#This Row],[TotalBalance]]</f>
        <v>#N/A</v>
      </c>
    </row>
    <row r="85" spans="2:24">
      <c r="B85" s="37">
        <v>39326</v>
      </c>
      <c r="C85" s="17">
        <v>1378080317.3099999</v>
      </c>
      <c r="D85" s="17" t="s">
        <v>7</v>
      </c>
      <c r="E85" s="17">
        <v>2</v>
      </c>
      <c r="H85" s="41">
        <v>39600</v>
      </c>
      <c r="I85" s="42">
        <v>759909181</v>
      </c>
      <c r="N85" s="41">
        <v>39600</v>
      </c>
      <c r="O85" s="42">
        <v>30154595836.880001</v>
      </c>
      <c r="P85" s="47">
        <f>VLOOKUP($N85,'Pivot equal'!C:D,2,0)</f>
        <v>25833038129.700005</v>
      </c>
      <c r="Q85" s="47">
        <f>VLOOKUP(N85,'Pivot equal'!G:H,2,0)</f>
        <v>21188136959.960003</v>
      </c>
      <c r="R85" s="47">
        <f>VLOOKUP(N85,'Pivot equal'!K:L,2,0)</f>
        <v>6834874504.6000004</v>
      </c>
      <c r="S85" s="47">
        <f>VLOOKUP(N85,CurrentMtgRatesDataTable9[],2,0)</f>
        <v>759909181</v>
      </c>
      <c r="T85" s="47" t="e">
        <f>VLOOKUP(N85,CurrentMtgRatesDataTable93[],2,0)</f>
        <v>#N/A</v>
      </c>
      <c r="U85" s="46">
        <f>CurrentMtgRatesDataTable8[[#This Row],[Top 10 Amount]]/CurrentMtgRatesDataTable8[[#This Row],[TotalBalance]]</f>
        <v>0.85668659826988636</v>
      </c>
      <c r="V85" s="46">
        <f>CurrentMtgRatesDataTable8[[#This Row],[Top 5 Amount]]/CurrentMtgRatesDataTable8[[#This Row],[TotalBalance]]</f>
        <v>0.70265033809692978</v>
      </c>
      <c r="W85" s="46">
        <f>CurrentMtgRatesDataTable8[[#This Row],[Top 1 Amount]]/CurrentMtgRatesDataTable8[[#This Row],[TotalBalance]]</f>
        <v>0.22666112129550542</v>
      </c>
      <c r="X85" s="46" t="e">
        <f>CurrentMtgRatesDataTable8[[#This Row],[N/A Amount]]/CurrentMtgRatesDataTable8[[#This Row],[TotalBalance]]</f>
        <v>#N/A</v>
      </c>
    </row>
    <row r="86" spans="2:24">
      <c r="B86" s="37">
        <v>39326</v>
      </c>
      <c r="C86" s="17">
        <v>1243355958.8499999</v>
      </c>
      <c r="D86" s="17" t="s">
        <v>13</v>
      </c>
      <c r="E86" s="17">
        <v>3</v>
      </c>
      <c r="H86" s="41">
        <v>39569</v>
      </c>
      <c r="I86" s="42">
        <v>520442090.99000001</v>
      </c>
      <c r="N86" s="37">
        <v>39569</v>
      </c>
      <c r="O86" s="17">
        <v>23353487150.25</v>
      </c>
      <c r="P86" s="43">
        <f>VLOOKUP($N86,'Pivot equal'!C:D,2,0)</f>
        <v>19741794646.82</v>
      </c>
      <c r="Q86" s="43">
        <f>VLOOKUP(N86,'Pivot equal'!G:H,2,0)</f>
        <v>15812654388.58</v>
      </c>
      <c r="R86" s="43">
        <f>VLOOKUP(N86,'Pivot equal'!K:L,2,0)</f>
        <v>4941795296.04</v>
      </c>
      <c r="S86" s="43">
        <f>VLOOKUP(N86,CurrentMtgRatesDataTable9[],2,0)</f>
        <v>520442090.99000001</v>
      </c>
      <c r="T86" s="43" t="e">
        <f>VLOOKUP(N86,CurrentMtgRatesDataTable93[],2,0)</f>
        <v>#N/A</v>
      </c>
      <c r="U86" s="44">
        <f>CurrentMtgRatesDataTable8[[#This Row],[Top 10 Amount]]/CurrentMtgRatesDataTable8[[#This Row],[TotalBalance]]</f>
        <v>0.84534675784419899</v>
      </c>
      <c r="V86" s="44">
        <f>CurrentMtgRatesDataTable8[[#This Row],[Top 5 Amount]]/CurrentMtgRatesDataTable8[[#This Row],[TotalBalance]]</f>
        <v>0.67710035280151837</v>
      </c>
      <c r="W86" s="44">
        <f>CurrentMtgRatesDataTable8[[#This Row],[Top 1 Amount]]/CurrentMtgRatesDataTable8[[#This Row],[TotalBalance]]</f>
        <v>0.21160845334342704</v>
      </c>
      <c r="X86" s="44" t="e">
        <f>CurrentMtgRatesDataTable8[[#This Row],[N/A Amount]]/CurrentMtgRatesDataTable8[[#This Row],[TotalBalance]]</f>
        <v>#N/A</v>
      </c>
    </row>
    <row r="87" spans="2:24">
      <c r="B87" s="37">
        <v>39326</v>
      </c>
      <c r="C87" s="17">
        <v>1175104294.3900001</v>
      </c>
      <c r="D87" s="17" t="s">
        <v>11</v>
      </c>
      <c r="E87" s="17">
        <v>4</v>
      </c>
      <c r="H87" s="41">
        <v>39539</v>
      </c>
      <c r="I87" s="42">
        <v>440480295.93000001</v>
      </c>
      <c r="N87" s="37">
        <v>39539</v>
      </c>
      <c r="O87" s="17">
        <v>20540122319.009998</v>
      </c>
      <c r="P87" s="43">
        <f>VLOOKUP($N87,'Pivot equal'!C:D,2,0)</f>
        <v>17836824698.27</v>
      </c>
      <c r="Q87" s="43">
        <f>VLOOKUP(N87,'Pivot equal'!G:H,2,0)</f>
        <v>14516045890.940002</v>
      </c>
      <c r="R87" s="43">
        <f>VLOOKUP(N87,'Pivot equal'!K:L,2,0)</f>
        <v>4623451382.9700003</v>
      </c>
      <c r="S87" s="43">
        <f>VLOOKUP(N87,CurrentMtgRatesDataTable9[],2,0)</f>
        <v>440480295.93000001</v>
      </c>
      <c r="T87" s="43" t="e">
        <f>VLOOKUP(N87,CurrentMtgRatesDataTable93[],2,0)</f>
        <v>#N/A</v>
      </c>
      <c r="U87" s="44">
        <f>CurrentMtgRatesDataTable8[[#This Row],[Top 10 Amount]]/CurrentMtgRatesDataTable8[[#This Row],[TotalBalance]]</f>
        <v>0.86838940982166979</v>
      </c>
      <c r="V87" s="44">
        <f>CurrentMtgRatesDataTable8[[#This Row],[Top 5 Amount]]/CurrentMtgRatesDataTable8[[#This Row],[TotalBalance]]</f>
        <v>0.70671662346943864</v>
      </c>
      <c r="W87" s="44">
        <f>CurrentMtgRatesDataTable8[[#This Row],[Top 1 Amount]]/CurrentMtgRatesDataTable8[[#This Row],[TotalBalance]]</f>
        <v>0.22509366357039509</v>
      </c>
      <c r="X87" s="44" t="e">
        <f>CurrentMtgRatesDataTable8[[#This Row],[N/A Amount]]/CurrentMtgRatesDataTable8[[#This Row],[TotalBalance]]</f>
        <v>#N/A</v>
      </c>
    </row>
    <row r="88" spans="2:24">
      <c r="B88" s="37">
        <v>39326</v>
      </c>
      <c r="C88" s="17">
        <v>632266709.83000004</v>
      </c>
      <c r="D88" s="17" t="s">
        <v>4</v>
      </c>
      <c r="E88" s="17">
        <v>5</v>
      </c>
      <c r="H88" s="41">
        <v>39508</v>
      </c>
      <c r="I88" s="42">
        <v>395765908.26999998</v>
      </c>
      <c r="N88" s="37">
        <v>39508</v>
      </c>
      <c r="O88" s="17">
        <v>16282064822.610001</v>
      </c>
      <c r="P88" s="43">
        <f>VLOOKUP($N88,'Pivot equal'!C:D,2,0)</f>
        <v>13798702266.43</v>
      </c>
      <c r="Q88" s="43">
        <f>VLOOKUP(N88,'Pivot equal'!G:H,2,0)</f>
        <v>11303577377.16</v>
      </c>
      <c r="R88" s="43">
        <f>VLOOKUP(N88,'Pivot equal'!K:L,2,0)</f>
        <v>3560147160.0799999</v>
      </c>
      <c r="S88" s="43">
        <f>VLOOKUP(N88,CurrentMtgRatesDataTable9[],2,0)</f>
        <v>395765908.26999998</v>
      </c>
      <c r="T88" s="43" t="e">
        <f>VLOOKUP(N88,CurrentMtgRatesDataTable93[],2,0)</f>
        <v>#N/A</v>
      </c>
      <c r="U88" s="44">
        <f>CurrentMtgRatesDataTable8[[#This Row],[Top 10 Amount]]/CurrentMtgRatesDataTable8[[#This Row],[TotalBalance]]</f>
        <v>0.84747864701217179</v>
      </c>
      <c r="V88" s="44">
        <f>CurrentMtgRatesDataTable8[[#This Row],[Top 5 Amount]]/CurrentMtgRatesDataTable8[[#This Row],[TotalBalance]]</f>
        <v>0.69423488361644092</v>
      </c>
      <c r="W88" s="44">
        <f>CurrentMtgRatesDataTable8[[#This Row],[Top 1 Amount]]/CurrentMtgRatesDataTable8[[#This Row],[TotalBalance]]</f>
        <v>0.21865452563093971</v>
      </c>
      <c r="X88" s="44" t="e">
        <f>CurrentMtgRatesDataTable8[[#This Row],[N/A Amount]]/CurrentMtgRatesDataTable8[[#This Row],[TotalBalance]]</f>
        <v>#N/A</v>
      </c>
    </row>
    <row r="89" spans="2:24">
      <c r="B89" s="37">
        <v>39326</v>
      </c>
      <c r="C89" s="17">
        <v>533379577.56</v>
      </c>
      <c r="D89" s="17" t="s">
        <v>101</v>
      </c>
      <c r="E89" s="17">
        <v>6</v>
      </c>
      <c r="H89" s="37">
        <v>39479</v>
      </c>
      <c r="I89" s="17">
        <v>208243955.68000001</v>
      </c>
      <c r="N89" s="37">
        <v>39479</v>
      </c>
      <c r="O89" s="17">
        <v>12940973043.82</v>
      </c>
      <c r="P89" s="43">
        <f>VLOOKUP($N89,'Pivot equal'!C:D,2,0)</f>
        <v>10960147633.5</v>
      </c>
      <c r="Q89" s="43">
        <f>VLOOKUP(N89,'Pivot equal'!G:H,2,0)</f>
        <v>8866585818.8600006</v>
      </c>
      <c r="R89" s="43">
        <f>VLOOKUP(N89,'Pivot equal'!K:L,2,0)</f>
        <v>2482933120.71</v>
      </c>
      <c r="S89" s="43">
        <f>VLOOKUP(N89,CurrentMtgRatesDataTable9[],2,0)</f>
        <v>208243955.68000001</v>
      </c>
      <c r="T89" s="43" t="e">
        <f>VLOOKUP(N89,CurrentMtgRatesDataTable93[],2,0)</f>
        <v>#N/A</v>
      </c>
      <c r="U89" s="44">
        <f>CurrentMtgRatesDataTable8[[#This Row],[Top 10 Amount]]/CurrentMtgRatesDataTable8[[#This Row],[TotalBalance]]</f>
        <v>0.84693381219382502</v>
      </c>
      <c r="V89" s="44">
        <f>CurrentMtgRatesDataTable8[[#This Row],[Top 5 Amount]]/CurrentMtgRatesDataTable8[[#This Row],[TotalBalance]]</f>
        <v>0.68515603802252456</v>
      </c>
      <c r="W89" s="44">
        <f>CurrentMtgRatesDataTable8[[#This Row],[Top 1 Amount]]/CurrentMtgRatesDataTable8[[#This Row],[TotalBalance]]</f>
        <v>0.19186602988063037</v>
      </c>
      <c r="X89" s="44" t="e">
        <f>CurrentMtgRatesDataTable8[[#This Row],[N/A Amount]]/CurrentMtgRatesDataTable8[[#This Row],[TotalBalance]]</f>
        <v>#N/A</v>
      </c>
    </row>
    <row r="90" spans="2:24">
      <c r="B90" s="37">
        <v>39326</v>
      </c>
      <c r="C90" s="17">
        <v>399818823.14999998</v>
      </c>
      <c r="D90" s="17" t="s">
        <v>8</v>
      </c>
      <c r="E90" s="17">
        <v>7</v>
      </c>
      <c r="H90" s="37">
        <v>39448</v>
      </c>
      <c r="I90" s="17">
        <v>298768104.70999998</v>
      </c>
      <c r="N90" s="37">
        <v>39448</v>
      </c>
      <c r="O90" s="17">
        <v>13369802473.17</v>
      </c>
      <c r="P90" s="43">
        <f>VLOOKUP($N90,'Pivot equal'!C:D,2,0)</f>
        <v>11576202368.27</v>
      </c>
      <c r="Q90" s="43">
        <f>VLOOKUP(N90,'Pivot equal'!G:H,2,0)</f>
        <v>9595662918.3299999</v>
      </c>
      <c r="R90" s="43">
        <f>VLOOKUP(N90,'Pivot equal'!K:L,2,0)</f>
        <v>2683651040.4299998</v>
      </c>
      <c r="S90" s="43">
        <f>VLOOKUP(N90,CurrentMtgRatesDataTable9[],2,0)</f>
        <v>298768104.70999998</v>
      </c>
      <c r="T90" s="43" t="e">
        <f>VLOOKUP(N90,CurrentMtgRatesDataTable93[],2,0)</f>
        <v>#N/A</v>
      </c>
      <c r="U90" s="44">
        <f>CurrentMtgRatesDataTable8[[#This Row],[Top 10 Amount]]/CurrentMtgRatesDataTable8[[#This Row],[TotalBalance]]</f>
        <v>0.86584692567453214</v>
      </c>
      <c r="V90" s="44">
        <f>CurrentMtgRatesDataTable8[[#This Row],[Top 5 Amount]]/CurrentMtgRatesDataTable8[[#This Row],[TotalBalance]]</f>
        <v>0.71771164440059632</v>
      </c>
      <c r="W90" s="44">
        <f>CurrentMtgRatesDataTable8[[#This Row],[Top 1 Amount]]/CurrentMtgRatesDataTable8[[#This Row],[TotalBalance]]</f>
        <v>0.20072480844914847</v>
      </c>
      <c r="X90" s="44" t="e">
        <f>CurrentMtgRatesDataTable8[[#This Row],[N/A Amount]]/CurrentMtgRatesDataTable8[[#This Row],[TotalBalance]]</f>
        <v>#N/A</v>
      </c>
    </row>
    <row r="91" spans="2:24">
      <c r="B91" s="37">
        <v>39326</v>
      </c>
      <c r="C91" s="17">
        <v>270795396</v>
      </c>
      <c r="D91" s="17" t="s">
        <v>100</v>
      </c>
      <c r="E91" s="17">
        <v>8</v>
      </c>
      <c r="H91" s="37">
        <v>39417</v>
      </c>
      <c r="I91" s="17">
        <v>319362257.64999998</v>
      </c>
      <c r="N91" s="37">
        <v>39417</v>
      </c>
      <c r="O91" s="17">
        <v>12894178971.040001</v>
      </c>
      <c r="P91" s="43">
        <f>VLOOKUP($N91,'Pivot equal'!C:D,2,0)</f>
        <v>10973397940.699999</v>
      </c>
      <c r="Q91" s="43">
        <f>VLOOKUP(N91,'Pivot equal'!G:H,2,0)</f>
        <v>8596153165.3600006</v>
      </c>
      <c r="R91" s="43">
        <f>VLOOKUP(N91,'Pivot equal'!K:L,2,0)</f>
        <v>2610711823.8800001</v>
      </c>
      <c r="S91" s="43">
        <f>VLOOKUP(N91,CurrentMtgRatesDataTable9[],2,0)</f>
        <v>319362257.64999998</v>
      </c>
      <c r="T91" s="43" t="e">
        <f>VLOOKUP(N91,CurrentMtgRatesDataTable93[],2,0)</f>
        <v>#N/A</v>
      </c>
      <c r="U91" s="44">
        <f>CurrentMtgRatesDataTable8[[#This Row],[Top 10 Amount]]/CurrentMtgRatesDataTable8[[#This Row],[TotalBalance]]</f>
        <v>0.85103502637476747</v>
      </c>
      <c r="V91" s="44">
        <f>CurrentMtgRatesDataTable8[[#This Row],[Top 5 Amount]]/CurrentMtgRatesDataTable8[[#This Row],[TotalBalance]]</f>
        <v>0.66666929198568925</v>
      </c>
      <c r="W91" s="44">
        <f>CurrentMtgRatesDataTable8[[#This Row],[Top 1 Amount]]/CurrentMtgRatesDataTable8[[#This Row],[TotalBalance]]</f>
        <v>0.20247212558035627</v>
      </c>
      <c r="X91" s="44" t="e">
        <f>CurrentMtgRatesDataTable8[[#This Row],[N/A Amount]]/CurrentMtgRatesDataTable8[[#This Row],[TotalBalance]]</f>
        <v>#N/A</v>
      </c>
    </row>
    <row r="92" spans="2:24">
      <c r="B92" s="37">
        <v>39326</v>
      </c>
      <c r="C92" s="17">
        <v>238964204.69</v>
      </c>
      <c r="D92" s="17" t="s">
        <v>16</v>
      </c>
      <c r="E92" s="17">
        <v>9</v>
      </c>
      <c r="H92" s="37">
        <v>39387</v>
      </c>
      <c r="I92" s="17">
        <v>290528812.44</v>
      </c>
      <c r="N92" s="37">
        <v>39387</v>
      </c>
      <c r="O92" s="17">
        <v>11306432081.23</v>
      </c>
      <c r="P92" s="43">
        <f>VLOOKUP($N92,'Pivot equal'!C:D,2,0)</f>
        <v>9448859486.9599991</v>
      </c>
      <c r="Q92" s="43">
        <f>VLOOKUP(N92,'Pivot equal'!G:H,2,0)</f>
        <v>7178740230.6700001</v>
      </c>
      <c r="R92" s="43">
        <f>VLOOKUP(N92,'Pivot equal'!K:L,2,0)</f>
        <v>2053183704.1099999</v>
      </c>
      <c r="S92" s="43">
        <f>VLOOKUP(N92,CurrentMtgRatesDataTable9[],2,0)</f>
        <v>290528812.44</v>
      </c>
      <c r="T92" s="43" t="e">
        <f>VLOOKUP(N92,CurrentMtgRatesDataTable93[],2,0)</f>
        <v>#N/A</v>
      </c>
      <c r="U92" s="44">
        <f>CurrentMtgRatesDataTable8[[#This Row],[Top 10 Amount]]/CurrentMtgRatesDataTable8[[#This Row],[TotalBalance]]</f>
        <v>0.83570656234217433</v>
      </c>
      <c r="V92" s="44">
        <f>CurrentMtgRatesDataTable8[[#This Row],[Top 5 Amount]]/CurrentMtgRatesDataTable8[[#This Row],[TotalBalance]]</f>
        <v>0.63492533976191734</v>
      </c>
      <c r="W92" s="44">
        <f>CurrentMtgRatesDataTable8[[#This Row],[Top 1 Amount]]/CurrentMtgRatesDataTable8[[#This Row],[TotalBalance]]</f>
        <v>0.18159430750205674</v>
      </c>
      <c r="X92" s="44" t="e">
        <f>CurrentMtgRatesDataTable8[[#This Row],[N/A Amount]]/CurrentMtgRatesDataTable8[[#This Row],[TotalBalance]]</f>
        <v>#N/A</v>
      </c>
    </row>
    <row r="93" spans="2:24">
      <c r="B93" s="37">
        <v>39326</v>
      </c>
      <c r="C93" s="17">
        <v>198380735.88999999</v>
      </c>
      <c r="D93" s="17" t="s">
        <v>19</v>
      </c>
      <c r="E93" s="17">
        <v>10</v>
      </c>
      <c r="H93" s="37">
        <v>39356</v>
      </c>
      <c r="I93" s="17">
        <v>229923792.88999999</v>
      </c>
      <c r="N93" s="37">
        <v>39356</v>
      </c>
      <c r="O93" s="17">
        <v>11035046591.9</v>
      </c>
      <c r="P93" s="43">
        <f>VLOOKUP($N93,'Pivot equal'!C:D,2,0)</f>
        <v>9326868083.7999992</v>
      </c>
      <c r="Q93" s="43">
        <f>VLOOKUP(N93,'Pivot equal'!G:H,2,0)</f>
        <v>7162808102.2799997</v>
      </c>
      <c r="R93" s="43">
        <f>VLOOKUP(N93,'Pivot equal'!K:L,2,0)</f>
        <v>1942871547.53</v>
      </c>
      <c r="S93" s="43">
        <f>VLOOKUP(N93,CurrentMtgRatesDataTable9[],2,0)</f>
        <v>229923792.88999999</v>
      </c>
      <c r="T93" s="43" t="e">
        <f>VLOOKUP(N93,CurrentMtgRatesDataTable93[],2,0)</f>
        <v>#N/A</v>
      </c>
      <c r="U93" s="44">
        <f>CurrentMtgRatesDataTable8[[#This Row],[Top 10 Amount]]/CurrentMtgRatesDataTable8[[#This Row],[TotalBalance]]</f>
        <v>0.8452042323632919</v>
      </c>
      <c r="V93" s="44">
        <f>CurrentMtgRatesDataTable8[[#This Row],[Top 5 Amount]]/CurrentMtgRatesDataTable8[[#This Row],[TotalBalance]]</f>
        <v>0.64909631714085192</v>
      </c>
      <c r="W93" s="44">
        <f>CurrentMtgRatesDataTable8[[#This Row],[Top 1 Amount]]/CurrentMtgRatesDataTable8[[#This Row],[TotalBalance]]</f>
        <v>0.17606373759727634</v>
      </c>
      <c r="X93" s="44" t="e">
        <f>CurrentMtgRatesDataTable8[[#This Row],[N/A Amount]]/CurrentMtgRatesDataTable8[[#This Row],[TotalBalance]]</f>
        <v>#N/A</v>
      </c>
    </row>
    <row r="94" spans="2:24">
      <c r="B94" s="37">
        <v>39356</v>
      </c>
      <c r="C94" s="17">
        <v>1942871547.53</v>
      </c>
      <c r="D94" s="17" t="s">
        <v>11</v>
      </c>
      <c r="E94" s="17">
        <v>1</v>
      </c>
      <c r="H94" s="37">
        <v>39326</v>
      </c>
      <c r="I94" s="17">
        <v>239972714.16</v>
      </c>
      <c r="N94" s="37">
        <v>39326</v>
      </c>
      <c r="O94" s="17">
        <v>9677077155.4500008</v>
      </c>
      <c r="P94" s="43">
        <f>VLOOKUP($N94,'Pivot equal'!C:D,2,0)</f>
        <v>8170390845.2800007</v>
      </c>
      <c r="Q94" s="43">
        <f>VLOOKUP(N94,'Pivot equal'!G:H,2,0)</f>
        <v>6529052107.9900007</v>
      </c>
      <c r="R94" s="43">
        <f>VLOOKUP(N94,'Pivot equal'!K:L,2,0)</f>
        <v>2100244827.6099999</v>
      </c>
      <c r="S94" s="43">
        <f>VLOOKUP(N94,CurrentMtgRatesDataTable9[],2,0)</f>
        <v>239972714.16</v>
      </c>
      <c r="T94" s="43" t="e">
        <f>VLOOKUP(N94,CurrentMtgRatesDataTable93[],2,0)</f>
        <v>#N/A</v>
      </c>
      <c r="U94" s="44">
        <f>CurrentMtgRatesDataTable8[[#This Row],[Top 10 Amount]]/CurrentMtgRatesDataTable8[[#This Row],[TotalBalance]]</f>
        <v>0.84430357576290949</v>
      </c>
      <c r="V94" s="44">
        <f>CurrentMtgRatesDataTable8[[#This Row],[Top 5 Amount]]/CurrentMtgRatesDataTable8[[#This Row],[TotalBalance]]</f>
        <v>0.67469257536227512</v>
      </c>
      <c r="W94" s="44">
        <f>CurrentMtgRatesDataTable8[[#This Row],[Top 1 Amount]]/CurrentMtgRatesDataTable8[[#This Row],[TotalBalance]]</f>
        <v>0.21703297326994753</v>
      </c>
      <c r="X94" s="44" t="e">
        <f>CurrentMtgRatesDataTable8[[#This Row],[N/A Amount]]/CurrentMtgRatesDataTable8[[#This Row],[TotalBalance]]</f>
        <v>#N/A</v>
      </c>
    </row>
    <row r="95" spans="2:24">
      <c r="B95" s="37">
        <v>39356</v>
      </c>
      <c r="C95" s="17">
        <v>1934718748.54</v>
      </c>
      <c r="D95" s="17" t="s">
        <v>6</v>
      </c>
      <c r="E95" s="17">
        <v>2</v>
      </c>
      <c r="H95" s="37">
        <v>39295</v>
      </c>
      <c r="I95" s="17">
        <v>232657838.61000001</v>
      </c>
      <c r="N95" s="37">
        <v>39295</v>
      </c>
      <c r="O95" s="17">
        <v>10881683753.610001</v>
      </c>
      <c r="P95" s="43">
        <f>VLOOKUP($N95,'Pivot equal'!C:D,2,0)</f>
        <v>9249250882.0799999</v>
      </c>
      <c r="Q95" s="43">
        <f>VLOOKUP(N95,'Pivot equal'!G:H,2,0)</f>
        <v>7040787872.7600002</v>
      </c>
      <c r="R95" s="43">
        <f>VLOOKUP(N95,'Pivot equal'!K:L,2,0)</f>
        <v>2199361792.6500001</v>
      </c>
      <c r="S95" s="43">
        <f>VLOOKUP(N95,CurrentMtgRatesDataTable9[],2,0)</f>
        <v>232657838.61000001</v>
      </c>
      <c r="T95" s="43" t="e">
        <f>VLOOKUP(N95,CurrentMtgRatesDataTable93[],2,0)</f>
        <v>#N/A</v>
      </c>
      <c r="U95" s="44">
        <f>CurrentMtgRatesDataTable8[[#This Row],[Top 10 Amount]]/CurrentMtgRatesDataTable8[[#This Row],[TotalBalance]]</f>
        <v>0.84998343009293564</v>
      </c>
      <c r="V95" s="44">
        <f>CurrentMtgRatesDataTable8[[#This Row],[Top 5 Amount]]/CurrentMtgRatesDataTable8[[#This Row],[TotalBalance]]</f>
        <v>0.64703110586394474</v>
      </c>
      <c r="W95" s="44">
        <f>CurrentMtgRatesDataTable8[[#This Row],[Top 1 Amount]]/CurrentMtgRatesDataTable8[[#This Row],[TotalBalance]]</f>
        <v>0.20211594477925912</v>
      </c>
      <c r="X95" s="44" t="e">
        <f>CurrentMtgRatesDataTable8[[#This Row],[N/A Amount]]/CurrentMtgRatesDataTable8[[#This Row],[TotalBalance]]</f>
        <v>#N/A</v>
      </c>
    </row>
    <row r="96" spans="2:24">
      <c r="B96" s="37">
        <v>39356</v>
      </c>
      <c r="C96" s="17">
        <v>1370898651.8699999</v>
      </c>
      <c r="D96" s="17" t="s">
        <v>13</v>
      </c>
      <c r="E96" s="17">
        <v>3</v>
      </c>
      <c r="H96" s="37">
        <v>39264</v>
      </c>
      <c r="I96" s="17">
        <v>223483580.81</v>
      </c>
      <c r="N96" s="37">
        <v>39203</v>
      </c>
      <c r="O96" s="17">
        <v>8101112006.8299999</v>
      </c>
      <c r="P96" s="43">
        <f>VLOOKUP($N96,'Pivot equal'!C:D,2,0)</f>
        <v>6627094777.0699997</v>
      </c>
      <c r="Q96" s="43">
        <f>VLOOKUP(N96,'Pivot equal'!G:H,2,0)</f>
        <v>5203595070.6300011</v>
      </c>
      <c r="R96" s="43">
        <f>VLOOKUP(N96,'Pivot equal'!K:L,2,0)</f>
        <v>1527666445.4200001</v>
      </c>
      <c r="S96" s="43">
        <f>VLOOKUP(N96,CurrentMtgRatesDataTable9[],2,0)</f>
        <v>238043993.09</v>
      </c>
      <c r="T96" s="43" t="e">
        <f>VLOOKUP(N96,CurrentMtgRatesDataTable93[],2,0)</f>
        <v>#N/A</v>
      </c>
      <c r="U96" s="44">
        <f>CurrentMtgRatesDataTable8[[#This Row],[Top 10 Amount]]/CurrentMtgRatesDataTable8[[#This Row],[TotalBalance]]</f>
        <v>0.81804754353263298</v>
      </c>
      <c r="V96" s="44">
        <f>CurrentMtgRatesDataTable8[[#This Row],[Top 5 Amount]]/CurrentMtgRatesDataTable8[[#This Row],[TotalBalance]]</f>
        <v>0.64233096224850128</v>
      </c>
      <c r="W96" s="44">
        <f>CurrentMtgRatesDataTable8[[#This Row],[Top 1 Amount]]/CurrentMtgRatesDataTable8[[#This Row],[TotalBalance]]</f>
        <v>0.18857490726359954</v>
      </c>
      <c r="X96" s="44" t="e">
        <f>CurrentMtgRatesDataTable8[[#This Row],[N/A Amount]]/CurrentMtgRatesDataTable8[[#This Row],[TotalBalance]]</f>
        <v>#N/A</v>
      </c>
    </row>
    <row r="97" spans="2:24">
      <c r="B97" s="37">
        <v>39356</v>
      </c>
      <c r="C97" s="17">
        <v>1331945377.22</v>
      </c>
      <c r="D97" s="17" t="s">
        <v>7</v>
      </c>
      <c r="E97" s="17">
        <v>4</v>
      </c>
      <c r="H97" s="37">
        <v>39234</v>
      </c>
      <c r="I97" s="17">
        <v>219240225.28999999</v>
      </c>
      <c r="N97" s="37">
        <v>39173</v>
      </c>
      <c r="O97" s="17">
        <v>7089655690.1199999</v>
      </c>
      <c r="P97" s="43">
        <f>VLOOKUP($N97,'Pivot equal'!C:D,2,0)</f>
        <v>5752688319.5200014</v>
      </c>
      <c r="Q97" s="43">
        <f>VLOOKUP(N97,'Pivot equal'!G:H,2,0)</f>
        <v>4308137234.5500002</v>
      </c>
      <c r="R97" s="43">
        <f>VLOOKUP(N97,'Pivot equal'!K:L,2,0)</f>
        <v>1386094463.95</v>
      </c>
      <c r="S97" s="43">
        <f>VLOOKUP(N97,CurrentMtgRatesDataTable9[],2,0)</f>
        <v>191776417.93000001</v>
      </c>
      <c r="T97" s="43" t="e">
        <f>VLOOKUP(N97,CurrentMtgRatesDataTable93[],2,0)</f>
        <v>#N/A</v>
      </c>
      <c r="U97" s="44">
        <f>CurrentMtgRatesDataTable8[[#This Row],[Top 10 Amount]]/CurrentMtgRatesDataTable8[[#This Row],[TotalBalance]]</f>
        <v>0.81141998581635366</v>
      </c>
      <c r="V97" s="44">
        <f>CurrentMtgRatesDataTable8[[#This Row],[Top 5 Amount]]/CurrentMtgRatesDataTable8[[#This Row],[TotalBalance]]</f>
        <v>0.60766522703686909</v>
      </c>
      <c r="W97" s="44">
        <f>CurrentMtgRatesDataTable8[[#This Row],[Top 1 Amount]]/CurrentMtgRatesDataTable8[[#This Row],[TotalBalance]]</f>
        <v>0.19550941886806056</v>
      </c>
      <c r="X97" s="44" t="e">
        <f>CurrentMtgRatesDataTable8[[#This Row],[N/A Amount]]/CurrentMtgRatesDataTable8[[#This Row],[TotalBalance]]</f>
        <v>#N/A</v>
      </c>
    </row>
    <row r="98" spans="2:24">
      <c r="B98" s="37">
        <v>39356</v>
      </c>
      <c r="C98" s="17">
        <v>582373777.12</v>
      </c>
      <c r="D98" s="17" t="s">
        <v>101</v>
      </c>
      <c r="E98" s="17">
        <v>5</v>
      </c>
      <c r="H98" s="37">
        <v>39203</v>
      </c>
      <c r="I98" s="17">
        <v>238043993.09</v>
      </c>
      <c r="N98" s="59">
        <v>39142</v>
      </c>
      <c r="O98" s="60">
        <v>6493191731.1199999</v>
      </c>
      <c r="P98" s="61">
        <f>VLOOKUP($N98,'Pivot equal'!C:D,2,0)</f>
        <v>5236806934.5200005</v>
      </c>
      <c r="Q98" s="61">
        <f>VLOOKUP(N98,'Pivot equal'!G:H,2,0)</f>
        <v>3885155136.0299997</v>
      </c>
      <c r="R98" s="61">
        <f>VLOOKUP(N98,'Pivot equal'!K:L,2,0)</f>
        <v>1136163344.1300001</v>
      </c>
      <c r="S98" s="61">
        <f>VLOOKUP(N98,CurrentMtgRatesDataTable9[],2,0)</f>
        <v>188646991.65000001</v>
      </c>
      <c r="T98" s="61" t="e">
        <f>VLOOKUP(N98,CurrentMtgRatesDataTable93[],2,0)</f>
        <v>#N/A</v>
      </c>
      <c r="U98" s="62">
        <f>CurrentMtgRatesDataTable8[[#This Row],[Top 10 Amount]]/CurrentMtgRatesDataTable8[[#This Row],[TotalBalance]]</f>
        <v>0.80650736207610985</v>
      </c>
      <c r="V98" s="62">
        <f>CurrentMtgRatesDataTable8[[#This Row],[Top 5 Amount]]/CurrentMtgRatesDataTable8[[#This Row],[TotalBalance]]</f>
        <v>0.59834289466758994</v>
      </c>
      <c r="W98" s="62">
        <f>CurrentMtgRatesDataTable8[[#This Row],[Top 1 Amount]]/CurrentMtgRatesDataTable8[[#This Row],[TotalBalance]]</f>
        <v>0.17497763675831349</v>
      </c>
      <c r="X98" s="62" t="e">
        <f>CurrentMtgRatesDataTable8[[#This Row],[N/A Amount]]/CurrentMtgRatesDataTable8[[#This Row],[TotalBalance]]</f>
        <v>#N/A</v>
      </c>
    </row>
    <row r="99" spans="2:24">
      <c r="B99" s="39">
        <v>39356</v>
      </c>
      <c r="C99" s="38">
        <v>568043753.41999996</v>
      </c>
      <c r="D99" s="17" t="s">
        <v>4</v>
      </c>
      <c r="E99" s="17">
        <v>6</v>
      </c>
      <c r="H99" s="37">
        <v>39173</v>
      </c>
      <c r="I99" s="17">
        <v>191776417.93000001</v>
      </c>
      <c r="N99" s="37">
        <v>39114</v>
      </c>
      <c r="O99" s="17">
        <v>5928159958.2299995</v>
      </c>
      <c r="P99" s="43">
        <f>VLOOKUP($N99,'Pivot equal'!C:D,2,0)</f>
        <v>4819569329.3100004</v>
      </c>
      <c r="Q99" s="43">
        <f>VLOOKUP(N99,'Pivot equal'!G:H,2,0)</f>
        <v>3707608545.3900003</v>
      </c>
      <c r="R99" s="43">
        <f>VLOOKUP(N99,'Pivot equal'!K:L,2,0)</f>
        <v>1621110935.21</v>
      </c>
      <c r="S99" s="43">
        <f>VLOOKUP(N99,CurrentMtgRatesDataTable9[],2,0)</f>
        <v>142335784.97</v>
      </c>
      <c r="T99" s="43" t="e">
        <f>VLOOKUP(N99,CurrentMtgRatesDataTable93[],2,0)</f>
        <v>#N/A</v>
      </c>
      <c r="U99" s="44">
        <f>CurrentMtgRatesDataTable8[[#This Row],[Top 10 Amount]]/CurrentMtgRatesDataTable8[[#This Row],[TotalBalance]]</f>
        <v>0.81299583062347114</v>
      </c>
      <c r="V99" s="44">
        <f>CurrentMtgRatesDataTable8[[#This Row],[Top 5 Amount]]/CurrentMtgRatesDataTable8[[#This Row],[TotalBalance]]</f>
        <v>0.62542316191093461</v>
      </c>
      <c r="W99" s="44">
        <f>CurrentMtgRatesDataTable8[[#This Row],[Top 1 Amount]]/CurrentMtgRatesDataTable8[[#This Row],[TotalBalance]]</f>
        <v>0.27345937805868908</v>
      </c>
      <c r="X99" s="44" t="e">
        <f>CurrentMtgRatesDataTable8[[#This Row],[N/A Amount]]/CurrentMtgRatesDataTable8[[#This Row],[TotalBalance]]</f>
        <v>#N/A</v>
      </c>
    </row>
    <row r="100" spans="2:24">
      <c r="B100" s="39">
        <v>39356</v>
      </c>
      <c r="C100" s="38">
        <v>462361139.27999997</v>
      </c>
      <c r="D100" s="17" t="s">
        <v>16</v>
      </c>
      <c r="E100" s="17">
        <v>7</v>
      </c>
      <c r="H100" s="37">
        <v>39142</v>
      </c>
      <c r="I100" s="17">
        <v>188646991.65000001</v>
      </c>
      <c r="N100" s="37">
        <v>39083</v>
      </c>
      <c r="O100" s="17">
        <v>7303999840.6899996</v>
      </c>
      <c r="P100" s="43">
        <f>VLOOKUP($N100,'Pivot equal'!C:D,2,0)</f>
        <v>5917837957.0899992</v>
      </c>
      <c r="Q100" s="43">
        <f>VLOOKUP(N100,'Pivot equal'!G:H,2,0)</f>
        <v>4675271846</v>
      </c>
      <c r="R100" s="43">
        <f>VLOOKUP(N100,'Pivot equal'!K:L,2,0)</f>
        <v>1816782123.1800001</v>
      </c>
      <c r="S100" s="43">
        <f>VLOOKUP(N100,CurrentMtgRatesDataTable9[],2,0)</f>
        <v>208452413.78999999</v>
      </c>
      <c r="T100" s="43" t="e">
        <f>VLOOKUP(N100,CurrentMtgRatesDataTable93[],2,0)</f>
        <v>#N/A</v>
      </c>
      <c r="U100" s="44">
        <f>CurrentMtgRatesDataTable8[[#This Row],[Top 10 Amount]]/CurrentMtgRatesDataTable8[[#This Row],[TotalBalance]]</f>
        <v>0.81021879602491187</v>
      </c>
      <c r="V100" s="44">
        <f>CurrentMtgRatesDataTable8[[#This Row],[Top 5 Amount]]/CurrentMtgRatesDataTable8[[#This Row],[TotalBalance]]</f>
        <v>0.64009747370946446</v>
      </c>
      <c r="W100" s="44">
        <f>CurrentMtgRatesDataTable8[[#This Row],[Top 1 Amount]]/CurrentMtgRatesDataTable8[[#This Row],[TotalBalance]]</f>
        <v>0.24873797409726819</v>
      </c>
      <c r="X100" s="44" t="e">
        <f>CurrentMtgRatesDataTable8[[#This Row],[N/A Amount]]/CurrentMtgRatesDataTable8[[#This Row],[TotalBalance]]</f>
        <v>#N/A</v>
      </c>
    </row>
    <row r="101" spans="2:24">
      <c r="B101" s="37">
        <v>39356</v>
      </c>
      <c r="C101" s="17">
        <v>420992160</v>
      </c>
      <c r="D101" s="17" t="s">
        <v>100</v>
      </c>
      <c r="E101" s="17">
        <v>8</v>
      </c>
      <c r="H101" s="59">
        <v>39114</v>
      </c>
      <c r="I101" s="60">
        <v>142335784.97</v>
      </c>
    </row>
    <row r="102" spans="2:24">
      <c r="B102" s="37">
        <v>39356</v>
      </c>
      <c r="C102" s="17">
        <v>409658048.44</v>
      </c>
      <c r="D102" s="17" t="s">
        <v>8</v>
      </c>
      <c r="E102" s="17">
        <v>9</v>
      </c>
      <c r="H102" s="37">
        <v>39083</v>
      </c>
      <c r="I102" s="17">
        <v>208452413.78999999</v>
      </c>
    </row>
    <row r="103" spans="2:24">
      <c r="B103" s="37">
        <v>39356</v>
      </c>
      <c r="C103" s="17">
        <v>303004880.38</v>
      </c>
      <c r="D103" s="17" t="s">
        <v>19</v>
      </c>
      <c r="E103" s="17">
        <v>10</v>
      </c>
    </row>
    <row r="104" spans="2:24">
      <c r="B104" s="37">
        <v>39387</v>
      </c>
      <c r="C104" s="17">
        <v>2053183704.1099999</v>
      </c>
      <c r="D104" s="17" t="s">
        <v>11</v>
      </c>
      <c r="E104" s="17">
        <v>1</v>
      </c>
    </row>
    <row r="105" spans="2:24">
      <c r="B105" s="37">
        <v>39387</v>
      </c>
      <c r="C105" s="17">
        <v>1939608135.73</v>
      </c>
      <c r="D105" s="17" t="s">
        <v>6</v>
      </c>
      <c r="E105" s="17">
        <v>2</v>
      </c>
    </row>
    <row r="106" spans="2:24">
      <c r="B106" s="37">
        <v>39387</v>
      </c>
      <c r="C106" s="17">
        <v>1556421780.53</v>
      </c>
      <c r="D106" s="17" t="s">
        <v>13</v>
      </c>
      <c r="E106" s="17">
        <v>3</v>
      </c>
    </row>
    <row r="107" spans="2:24">
      <c r="B107" s="37">
        <v>39387</v>
      </c>
      <c r="C107" s="17">
        <v>1016642708.3</v>
      </c>
      <c r="D107" s="17" t="s">
        <v>7</v>
      </c>
      <c r="E107" s="17">
        <v>4</v>
      </c>
    </row>
    <row r="108" spans="2:24">
      <c r="B108" s="37">
        <v>39387</v>
      </c>
      <c r="C108" s="17">
        <v>612883902</v>
      </c>
      <c r="D108" s="17" t="s">
        <v>100</v>
      </c>
      <c r="E108" s="17">
        <v>5</v>
      </c>
    </row>
    <row r="109" spans="2:24">
      <c r="B109" s="37">
        <v>39387</v>
      </c>
      <c r="C109" s="17">
        <v>578508117.63999999</v>
      </c>
      <c r="D109" s="17" t="s">
        <v>101</v>
      </c>
      <c r="E109" s="17">
        <v>6</v>
      </c>
    </row>
    <row r="110" spans="2:24">
      <c r="B110" s="37">
        <v>39387</v>
      </c>
      <c r="C110" s="17">
        <v>518725321.77999997</v>
      </c>
      <c r="D110" s="17" t="s">
        <v>16</v>
      </c>
      <c r="E110" s="17">
        <v>7</v>
      </c>
    </row>
    <row r="111" spans="2:24">
      <c r="B111" s="37">
        <v>39387</v>
      </c>
      <c r="C111" s="17">
        <v>466556979.43000001</v>
      </c>
      <c r="D111" s="17" t="s">
        <v>8</v>
      </c>
      <c r="E111" s="17">
        <v>8</v>
      </c>
    </row>
    <row r="112" spans="2:24">
      <c r="B112" s="37">
        <v>39387</v>
      </c>
      <c r="C112" s="17">
        <v>413592821.22000003</v>
      </c>
      <c r="D112" s="17" t="s">
        <v>4</v>
      </c>
      <c r="E112" s="17">
        <v>9</v>
      </c>
    </row>
    <row r="113" spans="2:5">
      <c r="B113" s="37">
        <v>39387</v>
      </c>
      <c r="C113" s="17">
        <v>292736016.22000003</v>
      </c>
      <c r="D113" s="17" t="s">
        <v>19</v>
      </c>
      <c r="E113" s="17">
        <v>10</v>
      </c>
    </row>
    <row r="114" spans="2:5">
      <c r="B114" s="37">
        <v>39417</v>
      </c>
      <c r="C114" s="17">
        <v>2610711823.8800001</v>
      </c>
      <c r="D114" s="17" t="s">
        <v>6</v>
      </c>
      <c r="E114" s="17">
        <v>1</v>
      </c>
    </row>
    <row r="115" spans="2:5">
      <c r="B115" s="37">
        <v>39417</v>
      </c>
      <c r="C115" s="17">
        <v>2342574638.27</v>
      </c>
      <c r="D115" s="17" t="s">
        <v>11</v>
      </c>
      <c r="E115" s="17">
        <v>2</v>
      </c>
    </row>
    <row r="116" spans="2:5">
      <c r="B116" s="37">
        <v>39417</v>
      </c>
      <c r="C116" s="17">
        <v>1454465093.1800001</v>
      </c>
      <c r="D116" s="17" t="s">
        <v>13</v>
      </c>
      <c r="E116" s="17">
        <v>3</v>
      </c>
    </row>
    <row r="117" spans="2:5">
      <c r="B117" s="37">
        <v>39417</v>
      </c>
      <c r="C117" s="17">
        <v>1371045833.03</v>
      </c>
      <c r="D117" s="17" t="s">
        <v>7</v>
      </c>
      <c r="E117" s="17">
        <v>4</v>
      </c>
    </row>
    <row r="118" spans="2:5">
      <c r="B118" s="37">
        <v>39417</v>
      </c>
      <c r="C118" s="17">
        <v>817355777</v>
      </c>
      <c r="D118" s="17" t="s">
        <v>100</v>
      </c>
      <c r="E118" s="17">
        <v>5</v>
      </c>
    </row>
    <row r="119" spans="2:5">
      <c r="B119" s="37">
        <v>39417</v>
      </c>
      <c r="C119" s="17">
        <v>743659618.86000001</v>
      </c>
      <c r="D119" s="17" t="s">
        <v>101</v>
      </c>
      <c r="E119" s="17">
        <v>6</v>
      </c>
    </row>
    <row r="120" spans="2:5">
      <c r="B120" s="37">
        <v>39417</v>
      </c>
      <c r="C120" s="17">
        <v>490867676.63</v>
      </c>
      <c r="D120" s="17" t="s">
        <v>16</v>
      </c>
      <c r="E120" s="17">
        <v>7</v>
      </c>
    </row>
    <row r="121" spans="2:5">
      <c r="B121" s="37">
        <v>39417</v>
      </c>
      <c r="C121" s="17">
        <v>431103145.98000002</v>
      </c>
      <c r="D121" s="17" t="s">
        <v>8</v>
      </c>
      <c r="E121" s="17">
        <v>8</v>
      </c>
    </row>
    <row r="122" spans="2:5">
      <c r="B122" s="37">
        <v>39417</v>
      </c>
      <c r="C122" s="17">
        <v>367933545.91000003</v>
      </c>
      <c r="D122" s="17" t="s">
        <v>4</v>
      </c>
      <c r="E122" s="17">
        <v>9</v>
      </c>
    </row>
    <row r="123" spans="2:5">
      <c r="B123" s="37">
        <v>39417</v>
      </c>
      <c r="C123" s="17">
        <v>343680787.95999998</v>
      </c>
      <c r="D123" s="17" t="s">
        <v>10</v>
      </c>
      <c r="E123" s="17">
        <v>10</v>
      </c>
    </row>
    <row r="124" spans="2:5">
      <c r="B124" s="37">
        <v>39448</v>
      </c>
      <c r="C124" s="17">
        <v>2683651040.4299998</v>
      </c>
      <c r="D124" s="17" t="s">
        <v>6</v>
      </c>
      <c r="E124" s="17">
        <v>1</v>
      </c>
    </row>
    <row r="125" spans="2:5">
      <c r="B125" s="37">
        <v>39448</v>
      </c>
      <c r="C125" s="17">
        <v>2649963805.1799998</v>
      </c>
      <c r="D125" s="17" t="s">
        <v>11</v>
      </c>
      <c r="E125" s="17">
        <v>2</v>
      </c>
    </row>
    <row r="126" spans="2:5">
      <c r="B126" s="37">
        <v>39448</v>
      </c>
      <c r="C126" s="17">
        <v>2091632053.6300001</v>
      </c>
      <c r="D126" s="17" t="s">
        <v>13</v>
      </c>
      <c r="E126" s="17">
        <v>3</v>
      </c>
    </row>
    <row r="127" spans="2:5">
      <c r="B127" s="37">
        <v>39448</v>
      </c>
      <c r="C127" s="17">
        <v>1494660889.1199999</v>
      </c>
      <c r="D127" s="17" t="s">
        <v>7</v>
      </c>
      <c r="E127" s="17">
        <v>4</v>
      </c>
    </row>
    <row r="128" spans="2:5">
      <c r="B128" s="37">
        <v>39448</v>
      </c>
      <c r="C128" s="17">
        <v>675755129.97000003</v>
      </c>
      <c r="D128" s="17" t="s">
        <v>101</v>
      </c>
      <c r="E128" s="17">
        <v>5</v>
      </c>
    </row>
    <row r="129" spans="2:5">
      <c r="B129" s="37">
        <v>39448</v>
      </c>
      <c r="C129" s="17">
        <v>480153762.08999997</v>
      </c>
      <c r="D129" s="17" t="s">
        <v>8</v>
      </c>
      <c r="E129" s="17">
        <v>6</v>
      </c>
    </row>
    <row r="130" spans="2:5">
      <c r="B130" s="37">
        <v>39448</v>
      </c>
      <c r="C130" s="17">
        <v>408178424.07999998</v>
      </c>
      <c r="D130" s="17" t="s">
        <v>16</v>
      </c>
      <c r="E130" s="17">
        <v>7</v>
      </c>
    </row>
    <row r="131" spans="2:5">
      <c r="B131" s="37">
        <v>39448</v>
      </c>
      <c r="C131" s="17">
        <v>371098259.77999997</v>
      </c>
      <c r="D131" s="17" t="s">
        <v>19</v>
      </c>
      <c r="E131" s="17">
        <v>8</v>
      </c>
    </row>
    <row r="132" spans="2:5">
      <c r="B132" s="37">
        <v>39448</v>
      </c>
      <c r="C132" s="17">
        <v>369592569.22000003</v>
      </c>
      <c r="D132" s="17" t="s">
        <v>4</v>
      </c>
      <c r="E132" s="17">
        <v>9</v>
      </c>
    </row>
    <row r="133" spans="2:5">
      <c r="B133" s="37">
        <v>39448</v>
      </c>
      <c r="C133" s="17">
        <v>351516434.76999998</v>
      </c>
      <c r="D133" s="17" t="s">
        <v>10</v>
      </c>
      <c r="E133" s="17">
        <v>10</v>
      </c>
    </row>
    <row r="134" spans="2:5">
      <c r="B134" s="37">
        <v>39479</v>
      </c>
      <c r="C134" s="17">
        <v>2482933120.71</v>
      </c>
      <c r="D134" s="17" t="s">
        <v>6</v>
      </c>
      <c r="E134" s="17">
        <v>1</v>
      </c>
    </row>
    <row r="135" spans="2:5">
      <c r="B135" s="37">
        <v>39479</v>
      </c>
      <c r="C135" s="17">
        <v>2342887388.9699998</v>
      </c>
      <c r="D135" s="17" t="s">
        <v>11</v>
      </c>
      <c r="E135" s="17">
        <v>2</v>
      </c>
    </row>
    <row r="136" spans="2:5">
      <c r="B136" s="37">
        <v>39479</v>
      </c>
      <c r="C136" s="17">
        <v>2295374356.52</v>
      </c>
      <c r="D136" s="17" t="s">
        <v>13</v>
      </c>
      <c r="E136" s="17">
        <v>3</v>
      </c>
    </row>
    <row r="137" spans="2:5">
      <c r="B137" s="37">
        <v>39479</v>
      </c>
      <c r="C137" s="17">
        <v>1058053803.87</v>
      </c>
      <c r="D137" s="17" t="s">
        <v>7</v>
      </c>
      <c r="E137" s="17">
        <v>4</v>
      </c>
    </row>
    <row r="138" spans="2:5">
      <c r="B138" s="37">
        <v>39479</v>
      </c>
      <c r="C138" s="17">
        <v>687337148.78999996</v>
      </c>
      <c r="D138" s="17" t="s">
        <v>101</v>
      </c>
      <c r="E138" s="17">
        <v>5</v>
      </c>
    </row>
    <row r="139" spans="2:5">
      <c r="B139" s="37">
        <v>39479</v>
      </c>
      <c r="C139" s="17">
        <v>569022928.28999996</v>
      </c>
      <c r="D139" s="17" t="s">
        <v>8</v>
      </c>
      <c r="E139" s="17">
        <v>6</v>
      </c>
    </row>
    <row r="140" spans="2:5">
      <c r="B140" s="37">
        <v>39479</v>
      </c>
      <c r="C140" s="17">
        <v>440499976.63</v>
      </c>
      <c r="D140" s="17" t="s">
        <v>10</v>
      </c>
      <c r="E140" s="17">
        <v>7</v>
      </c>
    </row>
    <row r="141" spans="2:5">
      <c r="B141" s="37">
        <v>39479</v>
      </c>
      <c r="C141" s="17">
        <v>397705776.72000003</v>
      </c>
      <c r="D141" s="17" t="s">
        <v>16</v>
      </c>
      <c r="E141" s="17">
        <v>8</v>
      </c>
    </row>
    <row r="142" spans="2:5">
      <c r="B142" s="37">
        <v>39479</v>
      </c>
      <c r="C142" s="17">
        <v>365876666</v>
      </c>
      <c r="D142" s="17" t="s">
        <v>19</v>
      </c>
      <c r="E142" s="17">
        <v>9</v>
      </c>
    </row>
    <row r="143" spans="2:5">
      <c r="B143" s="37">
        <v>39479</v>
      </c>
      <c r="C143" s="17">
        <v>320456467</v>
      </c>
      <c r="D143" s="17" t="s">
        <v>100</v>
      </c>
      <c r="E143" s="17">
        <v>10</v>
      </c>
    </row>
    <row r="144" spans="2:5">
      <c r="B144" s="37">
        <v>39508</v>
      </c>
      <c r="C144" s="17">
        <v>3560147160.0799999</v>
      </c>
      <c r="D144" s="17" t="s">
        <v>13</v>
      </c>
      <c r="E144" s="17">
        <v>1</v>
      </c>
    </row>
    <row r="145" spans="2:5">
      <c r="B145" s="37">
        <v>39508</v>
      </c>
      <c r="C145" s="17">
        <v>2946816172.1900001</v>
      </c>
      <c r="D145" s="17" t="s">
        <v>6</v>
      </c>
      <c r="E145" s="17">
        <v>2</v>
      </c>
    </row>
    <row r="146" spans="2:5">
      <c r="B146" s="37">
        <v>39508</v>
      </c>
      <c r="C146" s="17">
        <v>2664076243.4000001</v>
      </c>
      <c r="D146" s="17" t="s">
        <v>11</v>
      </c>
      <c r="E146" s="17">
        <v>3</v>
      </c>
    </row>
    <row r="147" spans="2:5">
      <c r="B147" s="37">
        <v>39508</v>
      </c>
      <c r="C147" s="17">
        <v>1125059373.74</v>
      </c>
      <c r="D147" s="17" t="s">
        <v>7</v>
      </c>
      <c r="E147" s="17">
        <v>4</v>
      </c>
    </row>
    <row r="148" spans="2:5">
      <c r="B148" s="37">
        <v>39508</v>
      </c>
      <c r="C148" s="17">
        <v>1007478427.75</v>
      </c>
      <c r="D148" s="17" t="s">
        <v>101</v>
      </c>
      <c r="E148" s="17">
        <v>5</v>
      </c>
    </row>
    <row r="149" spans="2:5">
      <c r="B149" s="37">
        <v>39508</v>
      </c>
      <c r="C149" s="17">
        <v>576344011.66999996</v>
      </c>
      <c r="D149" s="17" t="s">
        <v>4</v>
      </c>
      <c r="E149" s="17">
        <v>6</v>
      </c>
    </row>
    <row r="150" spans="2:5">
      <c r="B150" s="37">
        <v>39508</v>
      </c>
      <c r="C150" s="17">
        <v>552472426.05999994</v>
      </c>
      <c r="D150" s="17" t="s">
        <v>19</v>
      </c>
      <c r="E150" s="17">
        <v>7</v>
      </c>
    </row>
    <row r="151" spans="2:5">
      <c r="B151" s="37">
        <v>39508</v>
      </c>
      <c r="C151" s="17">
        <v>514261207.12</v>
      </c>
      <c r="D151" s="17" t="s">
        <v>8</v>
      </c>
      <c r="E151" s="17">
        <v>8</v>
      </c>
    </row>
    <row r="152" spans="2:5">
      <c r="B152" s="37">
        <v>39508</v>
      </c>
      <c r="C152" s="17">
        <v>447323590.42000002</v>
      </c>
      <c r="D152" s="17" t="s">
        <v>16</v>
      </c>
      <c r="E152" s="17">
        <v>9</v>
      </c>
    </row>
    <row r="153" spans="2:5">
      <c r="B153" s="37">
        <v>39508</v>
      </c>
      <c r="C153" s="17">
        <v>404723654</v>
      </c>
      <c r="D153" s="17" t="s">
        <v>100</v>
      </c>
      <c r="E153" s="17">
        <v>10</v>
      </c>
    </row>
    <row r="154" spans="2:5">
      <c r="B154" s="37">
        <v>39539</v>
      </c>
      <c r="C154" s="17">
        <v>4623451382.9700003</v>
      </c>
      <c r="D154" s="17" t="s">
        <v>6</v>
      </c>
      <c r="E154" s="17">
        <v>1</v>
      </c>
    </row>
    <row r="155" spans="2:5">
      <c r="B155" s="37">
        <v>39539</v>
      </c>
      <c r="C155" s="17">
        <v>3787928131.5500002</v>
      </c>
      <c r="D155" s="17" t="s">
        <v>11</v>
      </c>
      <c r="E155" s="17">
        <v>2</v>
      </c>
    </row>
    <row r="156" spans="2:5">
      <c r="B156" s="37">
        <v>39539</v>
      </c>
      <c r="C156" s="17">
        <v>2994465303.77</v>
      </c>
      <c r="D156" s="17" t="s">
        <v>13</v>
      </c>
      <c r="E156" s="17">
        <v>3</v>
      </c>
    </row>
    <row r="157" spans="2:5">
      <c r="B157" s="37">
        <v>39539</v>
      </c>
      <c r="C157" s="17">
        <v>1728165057.1099999</v>
      </c>
      <c r="D157" s="17" t="s">
        <v>7</v>
      </c>
      <c r="E157" s="17">
        <v>4</v>
      </c>
    </row>
    <row r="158" spans="2:5">
      <c r="B158" s="37">
        <v>39539</v>
      </c>
      <c r="C158" s="17">
        <v>1382036015.54</v>
      </c>
      <c r="D158" s="17" t="s">
        <v>101</v>
      </c>
      <c r="E158" s="17">
        <v>5</v>
      </c>
    </row>
    <row r="159" spans="2:5">
      <c r="B159" s="37">
        <v>39539</v>
      </c>
      <c r="C159" s="17">
        <v>806015108.05999994</v>
      </c>
      <c r="D159" s="17" t="s">
        <v>19</v>
      </c>
      <c r="E159" s="17">
        <v>6</v>
      </c>
    </row>
    <row r="160" spans="2:5">
      <c r="B160" s="37">
        <v>39539</v>
      </c>
      <c r="C160" s="17">
        <v>736329443.12</v>
      </c>
      <c r="D160" s="17" t="s">
        <v>4</v>
      </c>
      <c r="E160" s="17">
        <v>7</v>
      </c>
    </row>
    <row r="161" spans="2:5">
      <c r="B161" s="37">
        <v>39539</v>
      </c>
      <c r="C161" s="17">
        <v>704745365.10000002</v>
      </c>
      <c r="D161" s="17" t="s">
        <v>16</v>
      </c>
      <c r="E161" s="17">
        <v>8</v>
      </c>
    </row>
    <row r="162" spans="2:5">
      <c r="B162" s="37">
        <v>39539</v>
      </c>
      <c r="C162" s="17">
        <v>701477024.63</v>
      </c>
      <c r="D162" s="17" t="s">
        <v>8</v>
      </c>
      <c r="E162" s="17">
        <v>9</v>
      </c>
    </row>
    <row r="163" spans="2:5">
      <c r="B163" s="37">
        <v>39539</v>
      </c>
      <c r="C163" s="17">
        <v>372211866.42000002</v>
      </c>
      <c r="D163" s="17" t="s">
        <v>26</v>
      </c>
      <c r="E163" s="17">
        <v>10</v>
      </c>
    </row>
    <row r="164" spans="2:5">
      <c r="B164" s="37">
        <v>39569</v>
      </c>
      <c r="C164" s="17">
        <v>4941795296.04</v>
      </c>
      <c r="D164" s="17" t="s">
        <v>6</v>
      </c>
      <c r="E164" s="17">
        <v>1</v>
      </c>
    </row>
    <row r="165" spans="2:5">
      <c r="B165" s="37">
        <v>39569</v>
      </c>
      <c r="C165" s="17">
        <v>4417231196.7200003</v>
      </c>
      <c r="D165" s="17" t="s">
        <v>11</v>
      </c>
      <c r="E165" s="17">
        <v>2</v>
      </c>
    </row>
    <row r="166" spans="2:5">
      <c r="B166" s="37">
        <v>39569</v>
      </c>
      <c r="C166" s="17">
        <v>3285812126.3600001</v>
      </c>
      <c r="D166" s="17" t="s">
        <v>13</v>
      </c>
      <c r="E166" s="17">
        <v>3</v>
      </c>
    </row>
    <row r="167" spans="2:5">
      <c r="B167" s="37">
        <v>39569</v>
      </c>
      <c r="C167" s="17">
        <v>2106155444.54</v>
      </c>
      <c r="D167" s="17" t="s">
        <v>7</v>
      </c>
      <c r="E167" s="17">
        <v>4</v>
      </c>
    </row>
    <row r="168" spans="2:5">
      <c r="B168" s="37">
        <v>39569</v>
      </c>
      <c r="C168" s="17">
        <v>1061660324.92</v>
      </c>
      <c r="D168" s="17" t="s">
        <v>101</v>
      </c>
      <c r="E168" s="17">
        <v>5</v>
      </c>
    </row>
    <row r="169" spans="2:5">
      <c r="B169" s="37">
        <v>39569</v>
      </c>
      <c r="C169" s="17">
        <v>1014106846</v>
      </c>
      <c r="D169" s="17" t="s">
        <v>10</v>
      </c>
      <c r="E169" s="17">
        <v>6</v>
      </c>
    </row>
    <row r="170" spans="2:5">
      <c r="B170" s="37">
        <v>39569</v>
      </c>
      <c r="C170" s="17">
        <v>946553665.57000005</v>
      </c>
      <c r="D170" s="17" t="s">
        <v>19</v>
      </c>
      <c r="E170" s="17">
        <v>7</v>
      </c>
    </row>
    <row r="171" spans="2:5">
      <c r="B171" s="37">
        <v>39569</v>
      </c>
      <c r="C171" s="17">
        <v>761565205</v>
      </c>
      <c r="D171" s="17" t="s">
        <v>37</v>
      </c>
      <c r="E171" s="17">
        <v>8</v>
      </c>
    </row>
    <row r="172" spans="2:5">
      <c r="B172" s="37">
        <v>39569</v>
      </c>
      <c r="C172" s="17">
        <v>614927338.54999995</v>
      </c>
      <c r="D172" s="17" t="s">
        <v>4</v>
      </c>
      <c r="E172" s="17">
        <v>9</v>
      </c>
    </row>
    <row r="173" spans="2:5">
      <c r="B173" s="37">
        <v>39569</v>
      </c>
      <c r="C173" s="17">
        <v>591987203.12</v>
      </c>
      <c r="D173" s="17" t="s">
        <v>8</v>
      </c>
      <c r="E173" s="17">
        <v>10</v>
      </c>
    </row>
    <row r="174" spans="2:5">
      <c r="B174" s="37">
        <v>39600</v>
      </c>
      <c r="C174" s="17">
        <v>6834874504.6000004</v>
      </c>
      <c r="D174" s="17" t="s">
        <v>6</v>
      </c>
      <c r="E174" s="17">
        <v>1</v>
      </c>
    </row>
    <row r="175" spans="2:5">
      <c r="B175" s="37">
        <v>39600</v>
      </c>
      <c r="C175" s="17">
        <v>5428603347.0299997</v>
      </c>
      <c r="D175" s="17" t="s">
        <v>11</v>
      </c>
      <c r="E175" s="17">
        <v>2</v>
      </c>
    </row>
    <row r="176" spans="2:5">
      <c r="B176" s="37">
        <v>39600</v>
      </c>
      <c r="C176" s="17">
        <v>4452423353.6099997</v>
      </c>
      <c r="D176" s="17" t="s">
        <v>13</v>
      </c>
      <c r="E176" s="17">
        <v>3</v>
      </c>
    </row>
    <row r="177" spans="2:5">
      <c r="B177" s="37">
        <v>39600</v>
      </c>
      <c r="C177" s="17">
        <v>3107028470.5599999</v>
      </c>
      <c r="D177" s="17" t="s">
        <v>7</v>
      </c>
      <c r="E177" s="17">
        <v>4</v>
      </c>
    </row>
    <row r="178" spans="2:5">
      <c r="B178" s="37">
        <v>39600</v>
      </c>
      <c r="C178" s="17">
        <v>1365207284.1600001</v>
      </c>
      <c r="D178" s="17" t="s">
        <v>4</v>
      </c>
      <c r="E178" s="17">
        <v>5</v>
      </c>
    </row>
    <row r="179" spans="2:5">
      <c r="B179" s="37">
        <v>39600</v>
      </c>
      <c r="C179" s="17">
        <v>1227959985.3599999</v>
      </c>
      <c r="D179" s="17" t="s">
        <v>101</v>
      </c>
      <c r="E179" s="17">
        <v>6</v>
      </c>
    </row>
    <row r="180" spans="2:5">
      <c r="B180" s="37">
        <v>39600</v>
      </c>
      <c r="C180" s="17">
        <v>1214350468.5899999</v>
      </c>
      <c r="D180" s="17" t="s">
        <v>19</v>
      </c>
      <c r="E180" s="17">
        <v>7</v>
      </c>
    </row>
    <row r="181" spans="2:5">
      <c r="B181" s="37">
        <v>39600</v>
      </c>
      <c r="C181" s="17">
        <v>779603948.83000004</v>
      </c>
      <c r="D181" s="17" t="s">
        <v>10</v>
      </c>
      <c r="E181" s="17">
        <v>8</v>
      </c>
    </row>
    <row r="182" spans="2:5">
      <c r="B182" s="37">
        <v>39600</v>
      </c>
      <c r="C182" s="17">
        <v>752162102.57000005</v>
      </c>
      <c r="D182" s="17" t="s">
        <v>16</v>
      </c>
      <c r="E182" s="17">
        <v>9</v>
      </c>
    </row>
    <row r="183" spans="2:5">
      <c r="B183" s="37">
        <v>39600</v>
      </c>
      <c r="C183" s="17">
        <v>670824664.38999999</v>
      </c>
      <c r="D183" s="17" t="s">
        <v>26</v>
      </c>
      <c r="E183" s="17">
        <v>10</v>
      </c>
    </row>
    <row r="184" spans="2:5">
      <c r="B184" s="37">
        <v>39630</v>
      </c>
      <c r="C184" s="17">
        <v>6822327712.9200001</v>
      </c>
      <c r="D184" s="17" t="s">
        <v>6</v>
      </c>
      <c r="E184" s="17">
        <v>1</v>
      </c>
    </row>
    <row r="185" spans="2:5">
      <c r="B185" s="37">
        <v>39630</v>
      </c>
      <c r="C185" s="17">
        <v>5337927402.8800001</v>
      </c>
      <c r="D185" s="17" t="s">
        <v>11</v>
      </c>
      <c r="E185" s="17">
        <v>2</v>
      </c>
    </row>
    <row r="186" spans="2:5">
      <c r="B186" s="37">
        <v>39630</v>
      </c>
      <c r="C186" s="17">
        <v>3732386096.5500002</v>
      </c>
      <c r="D186" s="17" t="s">
        <v>13</v>
      </c>
      <c r="E186" s="17">
        <v>3</v>
      </c>
    </row>
    <row r="187" spans="2:5">
      <c r="B187" s="37">
        <v>39630</v>
      </c>
      <c r="C187" s="17">
        <v>3481999997.29</v>
      </c>
      <c r="D187" s="17" t="s">
        <v>7</v>
      </c>
      <c r="E187" s="17">
        <v>4</v>
      </c>
    </row>
    <row r="188" spans="2:5">
      <c r="B188" s="37">
        <v>39630</v>
      </c>
      <c r="C188" s="17">
        <v>1226263728.8199999</v>
      </c>
      <c r="D188" s="17" t="s">
        <v>19</v>
      </c>
      <c r="E188" s="17">
        <v>5</v>
      </c>
    </row>
    <row r="189" spans="2:5">
      <c r="B189" s="37">
        <v>39630</v>
      </c>
      <c r="C189" s="17">
        <v>1133337594.4000001</v>
      </c>
      <c r="D189" s="17" t="s">
        <v>101</v>
      </c>
      <c r="E189" s="17">
        <v>6</v>
      </c>
    </row>
    <row r="190" spans="2:5">
      <c r="B190" s="37">
        <v>39630</v>
      </c>
      <c r="C190" s="17">
        <v>834821325.55999994</v>
      </c>
      <c r="D190" s="17" t="s">
        <v>4</v>
      </c>
      <c r="E190" s="17">
        <v>7</v>
      </c>
    </row>
    <row r="191" spans="2:5">
      <c r="B191" s="37">
        <v>39630</v>
      </c>
      <c r="C191" s="17">
        <v>701718957.09000003</v>
      </c>
      <c r="D191" s="17" t="s">
        <v>10</v>
      </c>
      <c r="E191" s="17">
        <v>8</v>
      </c>
    </row>
    <row r="192" spans="2:5">
      <c r="B192" s="37">
        <v>39630</v>
      </c>
      <c r="C192" s="17">
        <v>662250677.78999996</v>
      </c>
      <c r="D192" s="17" t="s">
        <v>8</v>
      </c>
      <c r="E192" s="17">
        <v>9</v>
      </c>
    </row>
    <row r="193" spans="2:5">
      <c r="B193" s="37">
        <v>39630</v>
      </c>
      <c r="C193" s="17">
        <v>646611295.58000004</v>
      </c>
      <c r="D193" s="17" t="s">
        <v>16</v>
      </c>
      <c r="E193" s="17">
        <v>10</v>
      </c>
    </row>
    <row r="194" spans="2:5">
      <c r="B194" s="37">
        <v>39661</v>
      </c>
      <c r="C194" s="17">
        <v>6371064207.1199999</v>
      </c>
      <c r="D194" s="17" t="s">
        <v>11</v>
      </c>
      <c r="E194" s="17">
        <v>1</v>
      </c>
    </row>
    <row r="195" spans="2:5">
      <c r="B195" s="37">
        <v>39661</v>
      </c>
      <c r="C195" s="17">
        <v>6044302161.9200001</v>
      </c>
      <c r="D195" s="17" t="s">
        <v>6</v>
      </c>
      <c r="E195" s="17">
        <v>2</v>
      </c>
    </row>
    <row r="196" spans="2:5">
      <c r="B196" s="37">
        <v>39661</v>
      </c>
      <c r="C196" s="17">
        <v>4575744461.9300003</v>
      </c>
      <c r="D196" s="17" t="s">
        <v>13</v>
      </c>
      <c r="E196" s="17">
        <v>3</v>
      </c>
    </row>
    <row r="197" spans="2:5">
      <c r="B197" s="37">
        <v>39661</v>
      </c>
      <c r="C197" s="17">
        <v>3306271591.9499998</v>
      </c>
      <c r="D197" s="17" t="s">
        <v>7</v>
      </c>
      <c r="E197" s="17">
        <v>4</v>
      </c>
    </row>
    <row r="198" spans="2:5">
      <c r="B198" s="37">
        <v>39661</v>
      </c>
      <c r="C198" s="17">
        <v>1498948348.21</v>
      </c>
      <c r="D198" s="17" t="s">
        <v>19</v>
      </c>
      <c r="E198" s="17">
        <v>5</v>
      </c>
    </row>
    <row r="199" spans="2:5">
      <c r="B199" s="37">
        <v>39661</v>
      </c>
      <c r="C199" s="17">
        <v>1168814499.1400001</v>
      </c>
      <c r="D199" s="17" t="s">
        <v>101</v>
      </c>
      <c r="E199" s="17">
        <v>6</v>
      </c>
    </row>
    <row r="200" spans="2:5">
      <c r="B200" s="37">
        <v>39661</v>
      </c>
      <c r="C200" s="17">
        <v>1163029698.1199999</v>
      </c>
      <c r="D200" s="17" t="s">
        <v>4</v>
      </c>
      <c r="E200" s="17">
        <v>7</v>
      </c>
    </row>
    <row r="201" spans="2:5">
      <c r="B201" s="37">
        <v>39661</v>
      </c>
      <c r="C201" s="17">
        <v>960866535.97000003</v>
      </c>
      <c r="D201" s="17" t="s">
        <v>10</v>
      </c>
      <c r="E201" s="17">
        <v>8</v>
      </c>
    </row>
    <row r="202" spans="2:5">
      <c r="B202" s="37">
        <v>39661</v>
      </c>
      <c r="C202" s="17">
        <v>735477127</v>
      </c>
      <c r="D202" s="17" t="s">
        <v>100</v>
      </c>
      <c r="E202" s="17">
        <v>9</v>
      </c>
    </row>
    <row r="203" spans="2:5">
      <c r="B203" s="37">
        <v>39661</v>
      </c>
      <c r="C203" s="17">
        <v>732294849.95000005</v>
      </c>
      <c r="D203" s="17" t="s">
        <v>102</v>
      </c>
      <c r="E203" s="17">
        <v>10</v>
      </c>
    </row>
    <row r="204" spans="2:5">
      <c r="B204" s="37">
        <v>39692</v>
      </c>
      <c r="C204" s="17">
        <v>6775744846.46</v>
      </c>
      <c r="D204" s="17" t="s">
        <v>6</v>
      </c>
      <c r="E204" s="17">
        <v>1</v>
      </c>
    </row>
    <row r="205" spans="2:5">
      <c r="B205" s="37">
        <v>39692</v>
      </c>
      <c r="C205" s="17">
        <v>5340158620.7799997</v>
      </c>
      <c r="D205" s="17" t="s">
        <v>11</v>
      </c>
      <c r="E205" s="17">
        <v>2</v>
      </c>
    </row>
    <row r="206" spans="2:5">
      <c r="B206" s="37">
        <v>39692</v>
      </c>
      <c r="C206" s="17">
        <v>3726180638.1199999</v>
      </c>
      <c r="D206" s="17" t="s">
        <v>13</v>
      </c>
      <c r="E206" s="17">
        <v>3</v>
      </c>
    </row>
    <row r="207" spans="2:5">
      <c r="B207" s="37">
        <v>39692</v>
      </c>
      <c r="C207" s="17">
        <v>3403868589.4099998</v>
      </c>
      <c r="D207" s="17" t="s">
        <v>7</v>
      </c>
      <c r="E207" s="17">
        <v>4</v>
      </c>
    </row>
    <row r="208" spans="2:5">
      <c r="B208" s="37">
        <v>39692</v>
      </c>
      <c r="C208" s="17">
        <v>1334739789.52</v>
      </c>
      <c r="D208" s="17" t="s">
        <v>101</v>
      </c>
      <c r="E208" s="17">
        <v>5</v>
      </c>
    </row>
    <row r="209" spans="2:5">
      <c r="B209" s="37">
        <v>39692</v>
      </c>
      <c r="C209" s="17">
        <v>1284933326.3</v>
      </c>
      <c r="D209" s="17" t="s">
        <v>19</v>
      </c>
      <c r="E209" s="17">
        <v>6</v>
      </c>
    </row>
    <row r="210" spans="2:5">
      <c r="B210" s="37">
        <v>39692</v>
      </c>
      <c r="C210" s="17">
        <v>1194798308.22</v>
      </c>
      <c r="D210" s="17" t="s">
        <v>4</v>
      </c>
      <c r="E210" s="17">
        <v>7</v>
      </c>
    </row>
    <row r="211" spans="2:5">
      <c r="B211" s="37">
        <v>39692</v>
      </c>
      <c r="C211" s="17">
        <v>752032690.84000003</v>
      </c>
      <c r="D211" s="17" t="s">
        <v>10</v>
      </c>
      <c r="E211" s="17">
        <v>8</v>
      </c>
    </row>
    <row r="212" spans="2:5">
      <c r="B212" s="37">
        <v>39692</v>
      </c>
      <c r="C212" s="17">
        <v>750285787.12</v>
      </c>
      <c r="D212" s="17" t="s">
        <v>8</v>
      </c>
      <c r="E212" s="17">
        <v>9</v>
      </c>
    </row>
    <row r="213" spans="2:5">
      <c r="B213" s="37">
        <v>39692</v>
      </c>
      <c r="C213" s="17">
        <v>677976668</v>
      </c>
      <c r="D213" s="17" t="s">
        <v>100</v>
      </c>
      <c r="E213" s="17">
        <v>10</v>
      </c>
    </row>
    <row r="214" spans="2:5">
      <c r="B214" s="37">
        <v>39722</v>
      </c>
      <c r="C214" s="17">
        <v>7764734798.4499998</v>
      </c>
      <c r="D214" s="17" t="s">
        <v>6</v>
      </c>
      <c r="E214" s="17">
        <v>1</v>
      </c>
    </row>
    <row r="215" spans="2:5">
      <c r="B215" s="37">
        <v>39722</v>
      </c>
      <c r="C215" s="17">
        <v>5446629178.8800001</v>
      </c>
      <c r="D215" s="17" t="s">
        <v>11</v>
      </c>
      <c r="E215" s="17">
        <v>2</v>
      </c>
    </row>
    <row r="216" spans="2:5">
      <c r="B216" s="37">
        <v>39722</v>
      </c>
      <c r="C216" s="17">
        <v>3404917043.8200002</v>
      </c>
      <c r="D216" s="17" t="s">
        <v>7</v>
      </c>
      <c r="E216" s="17">
        <v>3</v>
      </c>
    </row>
    <row r="217" spans="2:5">
      <c r="B217" s="37">
        <v>39722</v>
      </c>
      <c r="C217" s="17">
        <v>3199205806.8899999</v>
      </c>
      <c r="D217" s="17" t="s">
        <v>13</v>
      </c>
      <c r="E217" s="17">
        <v>4</v>
      </c>
    </row>
    <row r="218" spans="2:5">
      <c r="B218" s="37">
        <v>39722</v>
      </c>
      <c r="C218" s="17">
        <v>1647313018.5799999</v>
      </c>
      <c r="D218" s="17" t="s">
        <v>101</v>
      </c>
      <c r="E218" s="17">
        <v>5</v>
      </c>
    </row>
    <row r="219" spans="2:5">
      <c r="B219" s="37">
        <v>39722</v>
      </c>
      <c r="C219" s="17">
        <v>1516420659.4300001</v>
      </c>
      <c r="D219" s="17" t="s">
        <v>4</v>
      </c>
      <c r="E219" s="17">
        <v>6</v>
      </c>
    </row>
    <row r="220" spans="2:5">
      <c r="B220" s="37">
        <v>39722</v>
      </c>
      <c r="C220" s="17">
        <v>1194782493.28</v>
      </c>
      <c r="D220" s="17" t="s">
        <v>19</v>
      </c>
      <c r="E220" s="17">
        <v>7</v>
      </c>
    </row>
    <row r="221" spans="2:5">
      <c r="B221" s="37">
        <v>39722</v>
      </c>
      <c r="C221" s="17">
        <v>1110079535.5699999</v>
      </c>
      <c r="D221" s="17" t="s">
        <v>10</v>
      </c>
      <c r="E221" s="17">
        <v>8</v>
      </c>
    </row>
    <row r="222" spans="2:5">
      <c r="B222" s="37">
        <v>39722</v>
      </c>
      <c r="C222" s="17">
        <v>916913157</v>
      </c>
      <c r="D222" s="17" t="s">
        <v>100</v>
      </c>
      <c r="E222" s="17">
        <v>9</v>
      </c>
    </row>
    <row r="223" spans="2:5">
      <c r="B223" s="37">
        <v>39722</v>
      </c>
      <c r="C223" s="17">
        <v>879956987.40999997</v>
      </c>
      <c r="D223" s="17" t="s">
        <v>8</v>
      </c>
      <c r="E223" s="17">
        <v>10</v>
      </c>
    </row>
    <row r="224" spans="2:5">
      <c r="B224" s="37">
        <v>39753</v>
      </c>
      <c r="C224" s="17">
        <v>6885955341.3299999</v>
      </c>
      <c r="D224" s="17" t="s">
        <v>11</v>
      </c>
      <c r="E224" s="17">
        <v>1</v>
      </c>
    </row>
    <row r="225" spans="2:5">
      <c r="B225" s="37">
        <v>39753</v>
      </c>
      <c r="C225" s="17">
        <v>6054298249.8100004</v>
      </c>
      <c r="D225" s="17" t="s">
        <v>6</v>
      </c>
      <c r="E225" s="17">
        <v>2</v>
      </c>
    </row>
    <row r="226" spans="2:5">
      <c r="B226" s="37">
        <v>39753</v>
      </c>
      <c r="C226" s="17">
        <v>3302691170.6199999</v>
      </c>
      <c r="D226" s="17" t="s">
        <v>13</v>
      </c>
      <c r="E226" s="17">
        <v>3</v>
      </c>
    </row>
    <row r="227" spans="2:5">
      <c r="B227" s="37">
        <v>39753</v>
      </c>
      <c r="C227" s="17">
        <v>2531423978.4400001</v>
      </c>
      <c r="D227" s="17" t="s">
        <v>7</v>
      </c>
      <c r="E227" s="17">
        <v>4</v>
      </c>
    </row>
    <row r="228" spans="2:5">
      <c r="B228" s="37">
        <v>39753</v>
      </c>
      <c r="C228" s="17">
        <v>1165505542.54</v>
      </c>
      <c r="D228" s="17" t="s">
        <v>101</v>
      </c>
      <c r="E228" s="17">
        <v>5</v>
      </c>
    </row>
    <row r="229" spans="2:5">
      <c r="B229" s="37">
        <v>39753</v>
      </c>
      <c r="C229" s="17">
        <v>1076757393.6300001</v>
      </c>
      <c r="D229" s="17" t="s">
        <v>4</v>
      </c>
      <c r="E229" s="17">
        <v>6</v>
      </c>
    </row>
    <row r="230" spans="2:5">
      <c r="B230" s="37">
        <v>39753</v>
      </c>
      <c r="C230" s="17">
        <v>1033438340.9299999</v>
      </c>
      <c r="D230" s="17" t="s">
        <v>19</v>
      </c>
      <c r="E230" s="17">
        <v>7</v>
      </c>
    </row>
    <row r="231" spans="2:5">
      <c r="B231" s="37">
        <v>39753</v>
      </c>
      <c r="C231" s="17">
        <v>895810315.16999996</v>
      </c>
      <c r="D231" s="17" t="s">
        <v>8</v>
      </c>
      <c r="E231" s="17">
        <v>8</v>
      </c>
    </row>
    <row r="232" spans="2:5">
      <c r="B232" s="37">
        <v>39753</v>
      </c>
      <c r="C232" s="17">
        <v>790297152</v>
      </c>
      <c r="D232" s="17" t="s">
        <v>100</v>
      </c>
      <c r="E232" s="17">
        <v>9</v>
      </c>
    </row>
    <row r="233" spans="2:5">
      <c r="B233" s="37">
        <v>39753</v>
      </c>
      <c r="C233" s="17">
        <v>761157671.05999994</v>
      </c>
      <c r="D233" s="17" t="s">
        <v>26</v>
      </c>
      <c r="E233" s="17">
        <v>10</v>
      </c>
    </row>
    <row r="234" spans="2:5">
      <c r="B234" s="37">
        <v>39783</v>
      </c>
      <c r="C234" s="17">
        <v>6077494849.25</v>
      </c>
      <c r="D234" s="17" t="s">
        <v>11</v>
      </c>
      <c r="E234" s="17">
        <v>1</v>
      </c>
    </row>
    <row r="235" spans="2:5">
      <c r="B235" s="37">
        <v>39783</v>
      </c>
      <c r="C235" s="17">
        <v>4515954434.1499996</v>
      </c>
      <c r="D235" s="17" t="s">
        <v>13</v>
      </c>
      <c r="E235" s="17">
        <v>2</v>
      </c>
    </row>
    <row r="236" spans="2:5">
      <c r="B236" s="37">
        <v>39783</v>
      </c>
      <c r="C236" s="17">
        <v>3525985223.3000002</v>
      </c>
      <c r="D236" s="17" t="s">
        <v>6</v>
      </c>
      <c r="E236" s="17">
        <v>3</v>
      </c>
    </row>
    <row r="237" spans="2:5">
      <c r="B237" s="37">
        <v>39783</v>
      </c>
      <c r="C237" s="17">
        <v>1769490401.8699999</v>
      </c>
      <c r="D237" s="17" t="s">
        <v>7</v>
      </c>
      <c r="E237" s="17">
        <v>4</v>
      </c>
    </row>
    <row r="238" spans="2:5">
      <c r="B238" s="37">
        <v>39783</v>
      </c>
      <c r="C238" s="17">
        <v>1137306746.9100001</v>
      </c>
      <c r="D238" s="17" t="s">
        <v>19</v>
      </c>
      <c r="E238" s="17">
        <v>5</v>
      </c>
    </row>
    <row r="239" spans="2:5">
      <c r="B239" s="37">
        <v>39783</v>
      </c>
      <c r="C239" s="17">
        <v>1076432546.29</v>
      </c>
      <c r="D239" s="17" t="s">
        <v>8</v>
      </c>
      <c r="E239" s="17">
        <v>6</v>
      </c>
    </row>
    <row r="240" spans="2:5">
      <c r="B240" s="37">
        <v>39783</v>
      </c>
      <c r="C240" s="17">
        <v>992898883.14999998</v>
      </c>
      <c r="D240" s="17" t="s">
        <v>101</v>
      </c>
      <c r="E240" s="17">
        <v>7</v>
      </c>
    </row>
    <row r="241" spans="2:5">
      <c r="B241" s="37">
        <v>39783</v>
      </c>
      <c r="C241" s="17">
        <v>647947092.61000001</v>
      </c>
      <c r="D241" s="17" t="s">
        <v>4</v>
      </c>
      <c r="E241" s="17">
        <v>8</v>
      </c>
    </row>
    <row r="242" spans="2:5">
      <c r="B242" s="37">
        <v>39783</v>
      </c>
      <c r="C242" s="17">
        <v>628857688.45000005</v>
      </c>
      <c r="D242" s="17" t="s">
        <v>26</v>
      </c>
      <c r="E242" s="17">
        <v>9</v>
      </c>
    </row>
    <row r="243" spans="2:5">
      <c r="B243" s="37">
        <v>39783</v>
      </c>
      <c r="C243" s="17">
        <v>593692213</v>
      </c>
      <c r="D243" s="17" t="s">
        <v>100</v>
      </c>
      <c r="E243" s="17">
        <v>10</v>
      </c>
    </row>
    <row r="244" spans="2:5">
      <c r="B244" s="37">
        <v>39814</v>
      </c>
      <c r="C244" s="17">
        <v>7661923102.8999996</v>
      </c>
      <c r="D244" s="17" t="s">
        <v>6</v>
      </c>
      <c r="E244" s="17">
        <v>1</v>
      </c>
    </row>
    <row r="245" spans="2:5">
      <c r="B245" s="37">
        <v>39814</v>
      </c>
      <c r="C245" s="17">
        <v>5329288411.1099997</v>
      </c>
      <c r="D245" s="17" t="s">
        <v>11</v>
      </c>
      <c r="E245" s="17">
        <v>2</v>
      </c>
    </row>
    <row r="246" spans="2:5">
      <c r="B246" s="37">
        <v>39814</v>
      </c>
      <c r="C246" s="17">
        <v>3559349638.54</v>
      </c>
      <c r="D246" s="17" t="s">
        <v>13</v>
      </c>
      <c r="E246" s="17">
        <v>3</v>
      </c>
    </row>
    <row r="247" spans="2:5">
      <c r="B247" s="37">
        <v>39814</v>
      </c>
      <c r="C247" s="17">
        <v>2926117508.6799998</v>
      </c>
      <c r="D247" s="17" t="s">
        <v>7</v>
      </c>
      <c r="E247" s="17">
        <v>4</v>
      </c>
    </row>
    <row r="248" spans="2:5">
      <c r="B248" s="37">
        <v>39814</v>
      </c>
      <c r="C248" s="17">
        <v>1270922044</v>
      </c>
      <c r="D248" s="17" t="s">
        <v>37</v>
      </c>
      <c r="E248" s="17">
        <v>5</v>
      </c>
    </row>
    <row r="249" spans="2:5">
      <c r="B249" s="37">
        <v>39814</v>
      </c>
      <c r="C249" s="17">
        <v>1250582494.02</v>
      </c>
      <c r="D249" s="17" t="s">
        <v>101</v>
      </c>
      <c r="E249" s="17">
        <v>6</v>
      </c>
    </row>
    <row r="250" spans="2:5">
      <c r="B250" s="37">
        <v>39814</v>
      </c>
      <c r="C250" s="17">
        <v>786228931.70000005</v>
      </c>
      <c r="D250" s="17" t="s">
        <v>10</v>
      </c>
      <c r="E250" s="17">
        <v>7</v>
      </c>
    </row>
    <row r="251" spans="2:5">
      <c r="B251" s="37">
        <v>39814</v>
      </c>
      <c r="C251" s="17">
        <v>785758033.70000005</v>
      </c>
      <c r="D251" s="17" t="s">
        <v>16</v>
      </c>
      <c r="E251" s="17">
        <v>8</v>
      </c>
    </row>
    <row r="252" spans="2:5">
      <c r="B252" s="37">
        <v>39814</v>
      </c>
      <c r="C252" s="17">
        <v>733986679.58000004</v>
      </c>
      <c r="D252" s="17" t="s">
        <v>8</v>
      </c>
      <c r="E252" s="17">
        <v>9</v>
      </c>
    </row>
    <row r="253" spans="2:5">
      <c r="B253" s="37">
        <v>39814</v>
      </c>
      <c r="C253" s="17">
        <v>710288083.15999997</v>
      </c>
      <c r="D253" s="17" t="s">
        <v>19</v>
      </c>
      <c r="E253" s="17">
        <v>10</v>
      </c>
    </row>
    <row r="254" spans="2:5">
      <c r="B254" s="37">
        <v>39845</v>
      </c>
      <c r="C254" s="17">
        <v>7456714182.4200001</v>
      </c>
      <c r="D254" s="17" t="s">
        <v>11</v>
      </c>
      <c r="E254" s="17">
        <v>1</v>
      </c>
    </row>
    <row r="255" spans="2:5">
      <c r="B255" s="37">
        <v>39845</v>
      </c>
      <c r="C255" s="17">
        <v>6945836066.8100004</v>
      </c>
      <c r="D255" s="17" t="s">
        <v>6</v>
      </c>
      <c r="E255" s="17">
        <v>2</v>
      </c>
    </row>
    <row r="256" spans="2:5">
      <c r="B256" s="37">
        <v>39845</v>
      </c>
      <c r="C256" s="17">
        <v>3045112523.0799999</v>
      </c>
      <c r="D256" s="17" t="s">
        <v>13</v>
      </c>
      <c r="E256" s="17">
        <v>3</v>
      </c>
    </row>
    <row r="257" spans="2:5">
      <c r="B257" s="37">
        <v>39845</v>
      </c>
      <c r="C257" s="17">
        <v>1725419126.0899999</v>
      </c>
      <c r="D257" s="17" t="s">
        <v>4</v>
      </c>
      <c r="E257" s="17">
        <v>4</v>
      </c>
    </row>
    <row r="258" spans="2:5">
      <c r="B258" s="37">
        <v>39845</v>
      </c>
      <c r="C258" s="17">
        <v>1126425662.5999999</v>
      </c>
      <c r="D258" s="17" t="s">
        <v>101</v>
      </c>
      <c r="E258" s="17">
        <v>5</v>
      </c>
    </row>
    <row r="259" spans="2:5">
      <c r="B259" s="37">
        <v>39845</v>
      </c>
      <c r="C259" s="17">
        <v>1036033162.27</v>
      </c>
      <c r="D259" s="17" t="s">
        <v>19</v>
      </c>
      <c r="E259" s="17">
        <v>6</v>
      </c>
    </row>
    <row r="260" spans="2:5">
      <c r="B260" s="37">
        <v>39845</v>
      </c>
      <c r="C260" s="17">
        <v>972865493.75</v>
      </c>
      <c r="D260" s="17" t="s">
        <v>8</v>
      </c>
      <c r="E260" s="17">
        <v>7</v>
      </c>
    </row>
    <row r="261" spans="2:5">
      <c r="B261" s="37">
        <v>39845</v>
      </c>
      <c r="C261" s="17">
        <v>952538993.27999997</v>
      </c>
      <c r="D261" s="17" t="s">
        <v>10</v>
      </c>
      <c r="E261" s="17">
        <v>8</v>
      </c>
    </row>
    <row r="262" spans="2:5">
      <c r="B262" s="37">
        <v>39845</v>
      </c>
      <c r="C262" s="17">
        <v>722946586</v>
      </c>
      <c r="D262" s="17" t="s">
        <v>16</v>
      </c>
      <c r="E262" s="17">
        <v>9</v>
      </c>
    </row>
    <row r="263" spans="2:5">
      <c r="B263" s="37">
        <v>39845</v>
      </c>
      <c r="C263" s="17">
        <v>617135005.92999995</v>
      </c>
      <c r="D263" s="17" t="s">
        <v>26</v>
      </c>
      <c r="E263" s="17">
        <v>10</v>
      </c>
    </row>
    <row r="264" spans="2:5">
      <c r="B264" s="37">
        <v>39873</v>
      </c>
      <c r="C264" s="17">
        <v>9840119923.4899998</v>
      </c>
      <c r="D264" s="17" t="s">
        <v>6</v>
      </c>
      <c r="E264" s="17">
        <v>1</v>
      </c>
    </row>
    <row r="265" spans="2:5">
      <c r="B265" s="37">
        <v>39873</v>
      </c>
      <c r="C265" s="17">
        <v>9171903853.8999996</v>
      </c>
      <c r="D265" s="17" t="s">
        <v>11</v>
      </c>
      <c r="E265" s="17">
        <v>2</v>
      </c>
    </row>
    <row r="266" spans="2:5">
      <c r="B266" s="37">
        <v>39873</v>
      </c>
      <c r="C266" s="17">
        <v>4011374777.8200002</v>
      </c>
      <c r="D266" s="17" t="s">
        <v>13</v>
      </c>
      <c r="E266" s="17">
        <v>3</v>
      </c>
    </row>
    <row r="267" spans="2:5">
      <c r="B267" s="37">
        <v>39873</v>
      </c>
      <c r="C267" s="17">
        <v>2753477519.96</v>
      </c>
      <c r="D267" s="17" t="s">
        <v>4</v>
      </c>
      <c r="E267" s="17">
        <v>4</v>
      </c>
    </row>
    <row r="268" spans="2:5">
      <c r="B268" s="37">
        <v>39873</v>
      </c>
      <c r="C268" s="17">
        <v>1435635466.8299999</v>
      </c>
      <c r="D268" s="17" t="s">
        <v>19</v>
      </c>
      <c r="E268" s="17">
        <v>5</v>
      </c>
    </row>
    <row r="269" spans="2:5">
      <c r="B269" s="37">
        <v>39873</v>
      </c>
      <c r="C269" s="17">
        <v>1073284536.02</v>
      </c>
      <c r="D269" s="17" t="s">
        <v>101</v>
      </c>
      <c r="E269" s="17">
        <v>6</v>
      </c>
    </row>
    <row r="270" spans="2:5">
      <c r="B270" s="37">
        <v>39873</v>
      </c>
      <c r="C270" s="17">
        <v>1009418750.71</v>
      </c>
      <c r="D270" s="17" t="s">
        <v>8</v>
      </c>
      <c r="E270" s="17">
        <v>7</v>
      </c>
    </row>
    <row r="271" spans="2:5">
      <c r="B271" s="37">
        <v>39873</v>
      </c>
      <c r="C271" s="17">
        <v>905034160.61000001</v>
      </c>
      <c r="D271" s="17" t="s">
        <v>10</v>
      </c>
      <c r="E271" s="17">
        <v>8</v>
      </c>
    </row>
    <row r="272" spans="2:5">
      <c r="B272" s="37">
        <v>39873</v>
      </c>
      <c r="C272" s="17">
        <v>701533269.99000001</v>
      </c>
      <c r="D272" s="17" t="s">
        <v>16</v>
      </c>
      <c r="E272" s="17">
        <v>9</v>
      </c>
    </row>
    <row r="273" spans="2:5">
      <c r="B273" s="37">
        <v>39873</v>
      </c>
      <c r="C273" s="17">
        <v>397724830.38999999</v>
      </c>
      <c r="D273" s="17" t="s">
        <v>26</v>
      </c>
      <c r="E273" s="17">
        <v>10</v>
      </c>
    </row>
    <row r="274" spans="2:5">
      <c r="B274" s="37">
        <v>39904</v>
      </c>
      <c r="C274" s="17">
        <v>10904817516.51</v>
      </c>
      <c r="D274" s="17" t="s">
        <v>6</v>
      </c>
      <c r="E274" s="17">
        <v>1</v>
      </c>
    </row>
    <row r="275" spans="2:5">
      <c r="B275" s="37">
        <v>39904</v>
      </c>
      <c r="C275" s="17">
        <v>8231869956.6099997</v>
      </c>
      <c r="D275" s="17" t="s">
        <v>11</v>
      </c>
      <c r="E275" s="17">
        <v>2</v>
      </c>
    </row>
    <row r="276" spans="2:5">
      <c r="B276" s="37">
        <v>39904</v>
      </c>
      <c r="C276" s="17">
        <v>3390079181.54</v>
      </c>
      <c r="D276" s="17" t="s">
        <v>13</v>
      </c>
      <c r="E276" s="17">
        <v>3</v>
      </c>
    </row>
    <row r="277" spans="2:5">
      <c r="B277" s="37">
        <v>39904</v>
      </c>
      <c r="C277" s="17">
        <v>2789020064.4099998</v>
      </c>
      <c r="D277" s="17" t="s">
        <v>19</v>
      </c>
      <c r="E277" s="17">
        <v>4</v>
      </c>
    </row>
    <row r="278" spans="2:5">
      <c r="B278" s="37">
        <v>39904</v>
      </c>
      <c r="C278" s="17">
        <v>1497960105.8199999</v>
      </c>
      <c r="D278" s="17" t="s">
        <v>101</v>
      </c>
      <c r="E278" s="17">
        <v>5</v>
      </c>
    </row>
    <row r="279" spans="2:5">
      <c r="B279" s="37">
        <v>39904</v>
      </c>
      <c r="C279" s="17">
        <v>1168438734.6300001</v>
      </c>
      <c r="D279" s="17" t="s">
        <v>4</v>
      </c>
      <c r="E279" s="17">
        <v>6</v>
      </c>
    </row>
    <row r="280" spans="2:5">
      <c r="B280" s="37">
        <v>39904</v>
      </c>
      <c r="C280" s="17">
        <v>1108205576.6400001</v>
      </c>
      <c r="D280" s="17" t="s">
        <v>10</v>
      </c>
      <c r="E280" s="17">
        <v>7</v>
      </c>
    </row>
    <row r="281" spans="2:5">
      <c r="B281" s="37">
        <v>39904</v>
      </c>
      <c r="C281" s="17">
        <v>761589073.5</v>
      </c>
      <c r="D281" s="17" t="s">
        <v>16</v>
      </c>
      <c r="E281" s="17">
        <v>8</v>
      </c>
    </row>
    <row r="282" spans="2:5">
      <c r="B282" s="37">
        <v>39904</v>
      </c>
      <c r="C282" s="17">
        <v>693189857.25</v>
      </c>
      <c r="D282" s="17" t="s">
        <v>8</v>
      </c>
      <c r="E282" s="17">
        <v>9</v>
      </c>
    </row>
    <row r="283" spans="2:5">
      <c r="B283" s="37">
        <v>39904</v>
      </c>
      <c r="C283" s="17">
        <v>547663730</v>
      </c>
      <c r="D283" s="17" t="s">
        <v>103</v>
      </c>
      <c r="E283" s="17">
        <v>10</v>
      </c>
    </row>
    <row r="284" spans="2:5">
      <c r="B284" s="37">
        <v>39934</v>
      </c>
      <c r="C284" s="17">
        <v>10840958471.42</v>
      </c>
      <c r="D284" s="17" t="s">
        <v>6</v>
      </c>
      <c r="E284" s="17">
        <v>1</v>
      </c>
    </row>
    <row r="285" spans="2:5">
      <c r="B285" s="37">
        <v>39934</v>
      </c>
      <c r="C285" s="17">
        <v>10201806008.49</v>
      </c>
      <c r="D285" s="17" t="s">
        <v>11</v>
      </c>
      <c r="E285" s="17">
        <v>2</v>
      </c>
    </row>
    <row r="286" spans="2:5">
      <c r="B286" s="37">
        <v>39934</v>
      </c>
      <c r="C286" s="17">
        <v>3319862124.77</v>
      </c>
      <c r="D286" s="17" t="s">
        <v>13</v>
      </c>
      <c r="E286" s="17">
        <v>3</v>
      </c>
    </row>
    <row r="287" spans="2:5">
      <c r="B287" s="37">
        <v>39934</v>
      </c>
      <c r="C287" s="17">
        <v>2286882416.7199998</v>
      </c>
      <c r="D287" s="17" t="s">
        <v>19</v>
      </c>
      <c r="E287" s="17">
        <v>4</v>
      </c>
    </row>
    <row r="288" spans="2:5">
      <c r="B288" s="37">
        <v>39934</v>
      </c>
      <c r="C288" s="17">
        <v>1679335900.29</v>
      </c>
      <c r="D288" s="17" t="s">
        <v>4</v>
      </c>
      <c r="E288" s="17">
        <v>5</v>
      </c>
    </row>
    <row r="289" spans="2:5">
      <c r="B289" s="37">
        <v>39934</v>
      </c>
      <c r="C289" s="17">
        <v>1379630616.9000001</v>
      </c>
      <c r="D289" s="17" t="s">
        <v>101</v>
      </c>
      <c r="E289" s="17">
        <v>6</v>
      </c>
    </row>
    <row r="290" spans="2:5">
      <c r="B290" s="37">
        <v>39934</v>
      </c>
      <c r="C290" s="17">
        <v>1003560926.35</v>
      </c>
      <c r="D290" s="17" t="s">
        <v>8</v>
      </c>
      <c r="E290" s="17">
        <v>7</v>
      </c>
    </row>
    <row r="291" spans="2:5">
      <c r="B291" s="37">
        <v>39934</v>
      </c>
      <c r="C291" s="17">
        <v>911945310.42999995</v>
      </c>
      <c r="D291" s="17" t="s">
        <v>10</v>
      </c>
      <c r="E291" s="17">
        <v>8</v>
      </c>
    </row>
    <row r="292" spans="2:5">
      <c r="B292" s="37">
        <v>39934</v>
      </c>
      <c r="C292" s="17">
        <v>766537825</v>
      </c>
      <c r="D292" s="17" t="s">
        <v>37</v>
      </c>
      <c r="E292" s="17">
        <v>9</v>
      </c>
    </row>
    <row r="293" spans="2:5">
      <c r="B293" s="37">
        <v>39934</v>
      </c>
      <c r="C293" s="17">
        <v>763827714.04999995</v>
      </c>
      <c r="D293" s="17" t="s">
        <v>16</v>
      </c>
      <c r="E293" s="17">
        <v>10</v>
      </c>
    </row>
    <row r="294" spans="2:5">
      <c r="B294" s="37">
        <v>39965</v>
      </c>
      <c r="C294" s="17">
        <v>12232694325.1</v>
      </c>
      <c r="D294" s="17" t="s">
        <v>6</v>
      </c>
      <c r="E294" s="17">
        <v>1</v>
      </c>
    </row>
    <row r="295" spans="2:5">
      <c r="B295" s="37">
        <v>39965</v>
      </c>
      <c r="C295" s="17">
        <v>11354294966.4</v>
      </c>
      <c r="D295" s="17" t="s">
        <v>11</v>
      </c>
      <c r="E295" s="17">
        <v>2</v>
      </c>
    </row>
    <row r="296" spans="2:5">
      <c r="B296" s="37">
        <v>39965</v>
      </c>
      <c r="C296" s="17">
        <v>3830445787.1700001</v>
      </c>
      <c r="D296" s="17" t="s">
        <v>13</v>
      </c>
      <c r="E296" s="17">
        <v>3</v>
      </c>
    </row>
    <row r="297" spans="2:5">
      <c r="B297" s="37">
        <v>39965</v>
      </c>
      <c r="C297" s="17">
        <v>2783177351.5599999</v>
      </c>
      <c r="D297" s="17" t="s">
        <v>19</v>
      </c>
      <c r="E297" s="17">
        <v>4</v>
      </c>
    </row>
    <row r="298" spans="2:5">
      <c r="B298" s="37">
        <v>39965</v>
      </c>
      <c r="C298" s="17">
        <v>2403543415.1700001</v>
      </c>
      <c r="D298" s="17" t="s">
        <v>4</v>
      </c>
      <c r="E298" s="17">
        <v>5</v>
      </c>
    </row>
    <row r="299" spans="2:5">
      <c r="B299" s="37">
        <v>39965</v>
      </c>
      <c r="C299" s="17">
        <v>1478806984.6600001</v>
      </c>
      <c r="D299" s="17" t="s">
        <v>101</v>
      </c>
      <c r="E299" s="17">
        <v>6</v>
      </c>
    </row>
    <row r="300" spans="2:5">
      <c r="B300" s="37">
        <v>39965</v>
      </c>
      <c r="C300" s="17">
        <v>1235742158.22</v>
      </c>
      <c r="D300" s="17" t="s">
        <v>8</v>
      </c>
      <c r="E300" s="17">
        <v>7</v>
      </c>
    </row>
    <row r="301" spans="2:5">
      <c r="B301" s="37">
        <v>39965</v>
      </c>
      <c r="C301" s="17">
        <v>970165322.98000002</v>
      </c>
      <c r="D301" s="17" t="s">
        <v>10</v>
      </c>
      <c r="E301" s="17">
        <v>8</v>
      </c>
    </row>
    <row r="302" spans="2:5">
      <c r="B302" s="37">
        <v>39965</v>
      </c>
      <c r="C302" s="17">
        <v>924990104.25999999</v>
      </c>
      <c r="D302" s="17" t="s">
        <v>16</v>
      </c>
      <c r="E302" s="17">
        <v>9</v>
      </c>
    </row>
    <row r="303" spans="2:5">
      <c r="B303" s="37">
        <v>39965</v>
      </c>
      <c r="C303" s="17">
        <v>655090446.74000001</v>
      </c>
      <c r="D303" s="17" t="s">
        <v>26</v>
      </c>
      <c r="E303" s="17">
        <v>10</v>
      </c>
    </row>
    <row r="304" spans="2:5">
      <c r="B304" s="37">
        <v>39995</v>
      </c>
      <c r="C304" s="17">
        <v>14499431718.969999</v>
      </c>
      <c r="D304" s="17" t="s">
        <v>6</v>
      </c>
      <c r="E304" s="17">
        <v>1</v>
      </c>
    </row>
    <row r="305" spans="2:5">
      <c r="B305" s="37">
        <v>39995</v>
      </c>
      <c r="C305" s="17">
        <v>11214465320.32</v>
      </c>
      <c r="D305" s="17" t="s">
        <v>11</v>
      </c>
      <c r="E305" s="17">
        <v>2</v>
      </c>
    </row>
    <row r="306" spans="2:5">
      <c r="B306" s="37">
        <v>39995</v>
      </c>
      <c r="C306" s="17">
        <v>4283127941.4499998</v>
      </c>
      <c r="D306" s="17" t="s">
        <v>13</v>
      </c>
      <c r="E306" s="17">
        <v>3</v>
      </c>
    </row>
    <row r="307" spans="2:5">
      <c r="B307" s="37">
        <v>39995</v>
      </c>
      <c r="C307" s="17">
        <v>2359737703.02</v>
      </c>
      <c r="D307" s="17" t="s">
        <v>19</v>
      </c>
      <c r="E307" s="17">
        <v>4</v>
      </c>
    </row>
    <row r="308" spans="2:5">
      <c r="B308" s="37">
        <v>39995</v>
      </c>
      <c r="C308" s="17">
        <v>1686850981.6199999</v>
      </c>
      <c r="D308" s="17" t="s">
        <v>4</v>
      </c>
      <c r="E308" s="17">
        <v>5</v>
      </c>
    </row>
    <row r="309" spans="2:5">
      <c r="B309" s="37">
        <v>39995</v>
      </c>
      <c r="C309" s="17">
        <v>1380151289.53</v>
      </c>
      <c r="D309" s="17" t="s">
        <v>101</v>
      </c>
      <c r="E309" s="17">
        <v>6</v>
      </c>
    </row>
    <row r="310" spans="2:5">
      <c r="B310" s="37">
        <v>39995</v>
      </c>
      <c r="C310" s="17">
        <v>1033649015.61</v>
      </c>
      <c r="D310" s="17" t="s">
        <v>8</v>
      </c>
      <c r="E310" s="17">
        <v>7</v>
      </c>
    </row>
    <row r="311" spans="2:5">
      <c r="B311" s="37">
        <v>39995</v>
      </c>
      <c r="C311" s="17">
        <v>902247705.23000002</v>
      </c>
      <c r="D311" s="17" t="s">
        <v>10</v>
      </c>
      <c r="E311" s="17">
        <v>8</v>
      </c>
    </row>
    <row r="312" spans="2:5">
      <c r="B312" s="37">
        <v>39995</v>
      </c>
      <c r="C312" s="17">
        <v>828096252.44000006</v>
      </c>
      <c r="D312" s="17" t="s">
        <v>16</v>
      </c>
      <c r="E312" s="17">
        <v>9</v>
      </c>
    </row>
    <row r="313" spans="2:5">
      <c r="B313" s="37">
        <v>39995</v>
      </c>
      <c r="C313" s="17">
        <v>756892867</v>
      </c>
      <c r="D313" s="17" t="s">
        <v>37</v>
      </c>
      <c r="E313" s="17">
        <v>10</v>
      </c>
    </row>
    <row r="314" spans="2:5">
      <c r="B314" s="37">
        <v>40026</v>
      </c>
      <c r="C314" s="17">
        <v>11769183271.27</v>
      </c>
      <c r="D314" s="17" t="s">
        <v>6</v>
      </c>
      <c r="E314" s="17">
        <v>1</v>
      </c>
    </row>
    <row r="315" spans="2:5">
      <c r="B315" s="37">
        <v>40026</v>
      </c>
      <c r="C315" s="17">
        <v>11376824458.200001</v>
      </c>
      <c r="D315" s="17" t="s">
        <v>11</v>
      </c>
      <c r="E315" s="17">
        <v>2</v>
      </c>
    </row>
    <row r="316" spans="2:5">
      <c r="B316" s="37">
        <v>40026</v>
      </c>
      <c r="C316" s="17">
        <v>4488136042.5</v>
      </c>
      <c r="D316" s="17" t="s">
        <v>13</v>
      </c>
      <c r="E316" s="17">
        <v>3</v>
      </c>
    </row>
    <row r="317" spans="2:5">
      <c r="B317" s="37">
        <v>40026</v>
      </c>
      <c r="C317" s="17">
        <v>3058613090.6999998</v>
      </c>
      <c r="D317" s="17" t="s">
        <v>37</v>
      </c>
      <c r="E317" s="17">
        <v>4</v>
      </c>
    </row>
    <row r="318" spans="2:5">
      <c r="B318" s="37">
        <v>40026</v>
      </c>
      <c r="C318" s="17">
        <v>2035185478.0899999</v>
      </c>
      <c r="D318" s="17" t="s">
        <v>19</v>
      </c>
      <c r="E318" s="17">
        <v>5</v>
      </c>
    </row>
    <row r="319" spans="2:5">
      <c r="B319" s="37">
        <v>40026</v>
      </c>
      <c r="C319" s="17">
        <v>1254264532.1900001</v>
      </c>
      <c r="D319" s="17" t="s">
        <v>8</v>
      </c>
      <c r="E319" s="17">
        <v>6</v>
      </c>
    </row>
    <row r="320" spans="2:5">
      <c r="B320" s="37">
        <v>40026</v>
      </c>
      <c r="C320" s="17">
        <v>1041546480.64</v>
      </c>
      <c r="D320" s="17" t="s">
        <v>4</v>
      </c>
      <c r="E320" s="17">
        <v>7</v>
      </c>
    </row>
    <row r="321" spans="2:5">
      <c r="B321" s="37">
        <v>40026</v>
      </c>
      <c r="C321" s="17">
        <v>817916670.22000003</v>
      </c>
      <c r="D321" s="17" t="s">
        <v>26</v>
      </c>
      <c r="E321" s="17">
        <v>8</v>
      </c>
    </row>
    <row r="322" spans="2:5">
      <c r="B322" s="37">
        <v>40026</v>
      </c>
      <c r="C322" s="17">
        <v>803887389.88999999</v>
      </c>
      <c r="D322" s="17" t="s">
        <v>10</v>
      </c>
      <c r="E322" s="17">
        <v>9</v>
      </c>
    </row>
    <row r="323" spans="2:5">
      <c r="B323" s="37">
        <v>40026</v>
      </c>
      <c r="C323" s="17">
        <v>721037656.89999998</v>
      </c>
      <c r="D323" s="17" t="s">
        <v>5</v>
      </c>
      <c r="E323" s="17">
        <v>10</v>
      </c>
    </row>
    <row r="324" spans="2:5">
      <c r="B324" s="37">
        <v>40057</v>
      </c>
      <c r="C324" s="17">
        <v>10548837061.57</v>
      </c>
      <c r="D324" s="17" t="s">
        <v>6</v>
      </c>
      <c r="E324" s="17">
        <v>1</v>
      </c>
    </row>
    <row r="325" spans="2:5">
      <c r="B325" s="37">
        <v>40057</v>
      </c>
      <c r="C325" s="17">
        <v>10011305878.389999</v>
      </c>
      <c r="D325" s="17" t="s">
        <v>11</v>
      </c>
      <c r="E325" s="17">
        <v>2</v>
      </c>
    </row>
    <row r="326" spans="2:5">
      <c r="B326" s="37">
        <v>40057</v>
      </c>
      <c r="C326" s="17">
        <v>4333414325.4399996</v>
      </c>
      <c r="D326" s="17" t="s">
        <v>13</v>
      </c>
      <c r="E326" s="17">
        <v>3</v>
      </c>
    </row>
    <row r="327" spans="2:5">
      <c r="B327" s="37">
        <v>40057</v>
      </c>
      <c r="C327" s="17">
        <v>2395749865.0999999</v>
      </c>
      <c r="D327" s="17" t="s">
        <v>37</v>
      </c>
      <c r="E327" s="17">
        <v>4</v>
      </c>
    </row>
    <row r="328" spans="2:5">
      <c r="B328" s="37">
        <v>40057</v>
      </c>
      <c r="C328" s="17">
        <v>2116813557.22</v>
      </c>
      <c r="D328" s="17" t="s">
        <v>19</v>
      </c>
      <c r="E328" s="17">
        <v>5</v>
      </c>
    </row>
    <row r="329" spans="2:5">
      <c r="B329" s="37">
        <v>40057</v>
      </c>
      <c r="C329" s="17">
        <v>1348060871.71</v>
      </c>
      <c r="D329" s="17" t="s">
        <v>8</v>
      </c>
      <c r="E329" s="17">
        <v>6</v>
      </c>
    </row>
    <row r="330" spans="2:5">
      <c r="B330" s="37">
        <v>40057</v>
      </c>
      <c r="C330" s="17">
        <v>874812512.83000004</v>
      </c>
      <c r="D330" s="17" t="s">
        <v>4</v>
      </c>
      <c r="E330" s="17">
        <v>7</v>
      </c>
    </row>
    <row r="331" spans="2:5">
      <c r="B331" s="37">
        <v>40057</v>
      </c>
      <c r="C331" s="17">
        <v>854925690.01999998</v>
      </c>
      <c r="D331" s="17" t="s">
        <v>10</v>
      </c>
      <c r="E331" s="17">
        <v>8</v>
      </c>
    </row>
    <row r="332" spans="2:5">
      <c r="B332" s="37">
        <v>40057</v>
      </c>
      <c r="C332" s="17">
        <v>751260534.66999996</v>
      </c>
      <c r="D332" s="17" t="s">
        <v>26</v>
      </c>
      <c r="E332" s="17">
        <v>9</v>
      </c>
    </row>
    <row r="333" spans="2:5">
      <c r="B333" s="37">
        <v>40057</v>
      </c>
      <c r="C333" s="17">
        <v>733069764.32000005</v>
      </c>
      <c r="D333" s="17" t="s">
        <v>28</v>
      </c>
      <c r="E333" s="17">
        <v>10</v>
      </c>
    </row>
    <row r="334" spans="2:5">
      <c r="B334" s="37">
        <v>40087</v>
      </c>
      <c r="C334" s="17">
        <v>11250233115.889999</v>
      </c>
      <c r="D334" s="17" t="s">
        <v>6</v>
      </c>
      <c r="E334" s="17">
        <v>1</v>
      </c>
    </row>
    <row r="335" spans="2:5">
      <c r="B335" s="37">
        <v>40087</v>
      </c>
      <c r="C335" s="17">
        <v>9900655361.5599995</v>
      </c>
      <c r="D335" s="17" t="s">
        <v>11</v>
      </c>
      <c r="E335" s="17">
        <v>2</v>
      </c>
    </row>
    <row r="336" spans="2:5">
      <c r="B336" s="37">
        <v>40087</v>
      </c>
      <c r="C336" s="17">
        <v>3493083347.9400001</v>
      </c>
      <c r="D336" s="17" t="s">
        <v>13</v>
      </c>
      <c r="E336" s="17">
        <v>3</v>
      </c>
    </row>
    <row r="337" spans="2:5">
      <c r="B337" s="37">
        <v>40087</v>
      </c>
      <c r="C337" s="17">
        <v>1914730168.24</v>
      </c>
      <c r="D337" s="17" t="s">
        <v>19</v>
      </c>
      <c r="E337" s="17">
        <v>4</v>
      </c>
    </row>
    <row r="338" spans="2:5">
      <c r="B338" s="37">
        <v>40087</v>
      </c>
      <c r="C338" s="17">
        <v>1651303660.51</v>
      </c>
      <c r="D338" s="17" t="s">
        <v>8</v>
      </c>
      <c r="E338" s="17">
        <v>5</v>
      </c>
    </row>
    <row r="339" spans="2:5">
      <c r="B339" s="37">
        <v>40087</v>
      </c>
      <c r="C339" s="17">
        <v>1073313561.91</v>
      </c>
      <c r="D339" s="17" t="s">
        <v>37</v>
      </c>
      <c r="E339" s="17">
        <v>6</v>
      </c>
    </row>
    <row r="340" spans="2:5">
      <c r="B340" s="37">
        <v>40087</v>
      </c>
      <c r="C340" s="17">
        <v>649265034.55999994</v>
      </c>
      <c r="D340" s="17" t="s">
        <v>10</v>
      </c>
      <c r="E340" s="17">
        <v>7</v>
      </c>
    </row>
    <row r="341" spans="2:5">
      <c r="B341" s="37">
        <v>40087</v>
      </c>
      <c r="C341" s="17">
        <v>541185999.19000006</v>
      </c>
      <c r="D341" s="17" t="s">
        <v>26</v>
      </c>
      <c r="E341" s="17">
        <v>8</v>
      </c>
    </row>
    <row r="342" spans="2:5">
      <c r="B342" s="37">
        <v>40087</v>
      </c>
      <c r="C342" s="17">
        <v>540630578.84000003</v>
      </c>
      <c r="D342" s="17" t="s">
        <v>5</v>
      </c>
      <c r="E342" s="17">
        <v>9</v>
      </c>
    </row>
    <row r="343" spans="2:5">
      <c r="B343" s="37">
        <v>40087</v>
      </c>
      <c r="C343" s="17">
        <v>497192991.48000002</v>
      </c>
      <c r="D343" s="17" t="s">
        <v>4</v>
      </c>
      <c r="E343" s="17">
        <v>10</v>
      </c>
    </row>
    <row r="344" spans="2:5">
      <c r="B344" s="37">
        <v>40118</v>
      </c>
      <c r="C344" s="17">
        <v>10156126817.549999</v>
      </c>
      <c r="D344" s="17" t="s">
        <v>11</v>
      </c>
      <c r="E344" s="17">
        <v>1</v>
      </c>
    </row>
    <row r="345" spans="2:5">
      <c r="B345" s="37">
        <v>40118</v>
      </c>
      <c r="C345" s="17">
        <v>7903283970.2799997</v>
      </c>
      <c r="D345" s="17" t="s">
        <v>6</v>
      </c>
      <c r="E345" s="17">
        <v>2</v>
      </c>
    </row>
    <row r="346" spans="2:5">
      <c r="B346" s="37">
        <v>40118</v>
      </c>
      <c r="C346" s="17">
        <v>4229127390.04</v>
      </c>
      <c r="D346" s="17" t="s">
        <v>13</v>
      </c>
      <c r="E346" s="17">
        <v>3</v>
      </c>
    </row>
    <row r="347" spans="2:5">
      <c r="B347" s="37">
        <v>40118</v>
      </c>
      <c r="C347" s="17">
        <v>1894766427.04</v>
      </c>
      <c r="D347" s="17" t="s">
        <v>19</v>
      </c>
      <c r="E347" s="17">
        <v>4</v>
      </c>
    </row>
    <row r="348" spans="2:5">
      <c r="B348" s="37">
        <v>40118</v>
      </c>
      <c r="C348" s="17">
        <v>1045591310.78</v>
      </c>
      <c r="D348" s="17" t="s">
        <v>37</v>
      </c>
      <c r="E348" s="17">
        <v>5</v>
      </c>
    </row>
    <row r="349" spans="2:5">
      <c r="B349" s="37">
        <v>40118</v>
      </c>
      <c r="C349" s="17">
        <v>929481277.40999997</v>
      </c>
      <c r="D349" s="17" t="s">
        <v>8</v>
      </c>
      <c r="E349" s="17">
        <v>6</v>
      </c>
    </row>
    <row r="350" spans="2:5">
      <c r="B350" s="37">
        <v>40118</v>
      </c>
      <c r="C350" s="17">
        <v>803071891.69000006</v>
      </c>
      <c r="D350" s="17" t="s">
        <v>10</v>
      </c>
      <c r="E350" s="17">
        <v>7</v>
      </c>
    </row>
    <row r="351" spans="2:5">
      <c r="B351" s="37">
        <v>40118</v>
      </c>
      <c r="C351" s="17">
        <v>666855634.77999997</v>
      </c>
      <c r="D351" s="17" t="s">
        <v>5</v>
      </c>
      <c r="E351" s="17">
        <v>8</v>
      </c>
    </row>
    <row r="352" spans="2:5">
      <c r="B352" s="37">
        <v>40118</v>
      </c>
      <c r="C352" s="17">
        <v>622357981.45000005</v>
      </c>
      <c r="D352" s="17" t="s">
        <v>26</v>
      </c>
      <c r="E352" s="17">
        <v>9</v>
      </c>
    </row>
    <row r="353" spans="2:5">
      <c r="B353" s="37">
        <v>40118</v>
      </c>
      <c r="C353" s="17">
        <v>528843992.80000001</v>
      </c>
      <c r="D353" s="17" t="s">
        <v>28</v>
      </c>
      <c r="E353" s="17">
        <v>10</v>
      </c>
    </row>
    <row r="354" spans="2:5">
      <c r="B354" s="37">
        <v>40148</v>
      </c>
      <c r="C354" s="17">
        <v>11821319577.99</v>
      </c>
      <c r="D354" s="17" t="s">
        <v>6</v>
      </c>
      <c r="E354" s="17">
        <v>1</v>
      </c>
    </row>
    <row r="355" spans="2:5">
      <c r="B355" s="37">
        <v>40148</v>
      </c>
      <c r="C355" s="17">
        <v>11106775406.790001</v>
      </c>
      <c r="D355" s="17" t="s">
        <v>11</v>
      </c>
      <c r="E355" s="17">
        <v>2</v>
      </c>
    </row>
    <row r="356" spans="2:5">
      <c r="B356" s="37">
        <v>40148</v>
      </c>
      <c r="C356" s="17">
        <v>5159207722.5799999</v>
      </c>
      <c r="D356" s="17" t="s">
        <v>13</v>
      </c>
      <c r="E356" s="17">
        <v>3</v>
      </c>
    </row>
    <row r="357" spans="2:5">
      <c r="B357" s="37">
        <v>40148</v>
      </c>
      <c r="C357" s="17">
        <v>1724937315.96</v>
      </c>
      <c r="D357" s="17" t="s">
        <v>19</v>
      </c>
      <c r="E357" s="17">
        <v>4</v>
      </c>
    </row>
    <row r="358" spans="2:5">
      <c r="B358" s="37">
        <v>40148</v>
      </c>
      <c r="C358" s="17">
        <v>1026853728.71</v>
      </c>
      <c r="D358" s="17" t="s">
        <v>8</v>
      </c>
      <c r="E358" s="17">
        <v>5</v>
      </c>
    </row>
    <row r="359" spans="2:5">
      <c r="B359" s="37">
        <v>40148</v>
      </c>
      <c r="C359" s="17">
        <v>950970204</v>
      </c>
      <c r="D359" s="17" t="s">
        <v>37</v>
      </c>
      <c r="E359" s="17">
        <v>6</v>
      </c>
    </row>
    <row r="360" spans="2:5">
      <c r="B360" s="37">
        <v>40148</v>
      </c>
      <c r="C360" s="17">
        <v>945095393.87</v>
      </c>
      <c r="D360" s="17" t="s">
        <v>5</v>
      </c>
      <c r="E360" s="17">
        <v>7</v>
      </c>
    </row>
    <row r="361" spans="2:5">
      <c r="B361" s="37">
        <v>40148</v>
      </c>
      <c r="C361" s="17">
        <v>813656142.58000004</v>
      </c>
      <c r="D361" s="17" t="s">
        <v>10</v>
      </c>
      <c r="E361" s="17">
        <v>8</v>
      </c>
    </row>
    <row r="362" spans="2:5">
      <c r="B362" s="37">
        <v>40148</v>
      </c>
      <c r="C362" s="17">
        <v>492584166.88999999</v>
      </c>
      <c r="D362" s="17" t="s">
        <v>26</v>
      </c>
      <c r="E362" s="17">
        <v>9</v>
      </c>
    </row>
    <row r="363" spans="2:5">
      <c r="B363" s="37">
        <v>40148</v>
      </c>
      <c r="C363" s="17">
        <v>482745861.82999998</v>
      </c>
      <c r="D363" s="17" t="s">
        <v>28</v>
      </c>
      <c r="E363" s="17">
        <v>10</v>
      </c>
    </row>
    <row r="364" spans="2:5">
      <c r="B364" s="37">
        <v>40179</v>
      </c>
      <c r="C364" s="17">
        <v>13534574647.27</v>
      </c>
      <c r="D364" s="17" t="s">
        <v>6</v>
      </c>
      <c r="E364" s="17">
        <v>1</v>
      </c>
    </row>
    <row r="365" spans="2:5">
      <c r="B365" s="37">
        <v>40179</v>
      </c>
      <c r="C365" s="17">
        <v>8891094099.8700008</v>
      </c>
      <c r="D365" s="17" t="s">
        <v>11</v>
      </c>
      <c r="E365" s="17">
        <v>2</v>
      </c>
    </row>
    <row r="366" spans="2:5">
      <c r="B366" s="37">
        <v>40179</v>
      </c>
      <c r="C366" s="17">
        <v>3640382716.3200002</v>
      </c>
      <c r="D366" s="17" t="s">
        <v>13</v>
      </c>
      <c r="E366" s="17">
        <v>3</v>
      </c>
    </row>
    <row r="367" spans="2:5">
      <c r="B367" s="37">
        <v>40179</v>
      </c>
      <c r="C367" s="17">
        <v>1778566471.8900001</v>
      </c>
      <c r="D367" s="17" t="s">
        <v>19</v>
      </c>
      <c r="E367" s="17">
        <v>4</v>
      </c>
    </row>
    <row r="368" spans="2:5">
      <c r="B368" s="37">
        <v>40179</v>
      </c>
      <c r="C368" s="17">
        <v>964970902.62</v>
      </c>
      <c r="D368" s="17" t="s">
        <v>8</v>
      </c>
      <c r="E368" s="17">
        <v>5</v>
      </c>
    </row>
    <row r="369" spans="2:5">
      <c r="B369" s="37">
        <v>40179</v>
      </c>
      <c r="C369" s="17">
        <v>702577792.37</v>
      </c>
      <c r="D369" s="17" t="s">
        <v>5</v>
      </c>
      <c r="E369" s="17">
        <v>6</v>
      </c>
    </row>
    <row r="370" spans="2:5">
      <c r="B370" s="37">
        <v>40179</v>
      </c>
      <c r="C370" s="17">
        <v>588382633.11000001</v>
      </c>
      <c r="D370" s="17" t="s">
        <v>10</v>
      </c>
      <c r="E370" s="17">
        <v>7</v>
      </c>
    </row>
    <row r="371" spans="2:5">
      <c r="B371" s="37">
        <v>40179</v>
      </c>
      <c r="C371" s="17">
        <v>429883284.86000001</v>
      </c>
      <c r="D371" s="17" t="s">
        <v>26</v>
      </c>
      <c r="E371" s="17">
        <v>8</v>
      </c>
    </row>
    <row r="372" spans="2:5">
      <c r="B372" s="37">
        <v>40179</v>
      </c>
      <c r="C372" s="17">
        <v>412856334.39999998</v>
      </c>
      <c r="D372" s="17" t="s">
        <v>22</v>
      </c>
      <c r="E372" s="17">
        <v>9</v>
      </c>
    </row>
    <row r="373" spans="2:5">
      <c r="B373" s="37">
        <v>40179</v>
      </c>
      <c r="C373" s="17">
        <v>408816313.87</v>
      </c>
      <c r="D373" s="17" t="s">
        <v>37</v>
      </c>
      <c r="E373" s="17">
        <v>10</v>
      </c>
    </row>
    <row r="374" spans="2:5">
      <c r="B374" s="37">
        <v>40210</v>
      </c>
      <c r="C374" s="17">
        <v>9571877686.3199997</v>
      </c>
      <c r="D374" s="17" t="s">
        <v>6</v>
      </c>
      <c r="E374" s="17">
        <v>1</v>
      </c>
    </row>
    <row r="375" spans="2:5">
      <c r="B375" s="37">
        <v>40210</v>
      </c>
      <c r="C375" s="17">
        <v>7009957861.2600002</v>
      </c>
      <c r="D375" s="17" t="s">
        <v>11</v>
      </c>
      <c r="E375" s="17">
        <v>2</v>
      </c>
    </row>
    <row r="376" spans="2:5">
      <c r="B376" s="37">
        <v>40210</v>
      </c>
      <c r="C376" s="17">
        <v>2986366988.96</v>
      </c>
      <c r="D376" s="17" t="s">
        <v>13</v>
      </c>
      <c r="E376" s="17">
        <v>3</v>
      </c>
    </row>
    <row r="377" spans="2:5">
      <c r="B377" s="37">
        <v>40210</v>
      </c>
      <c r="C377" s="17">
        <v>1171995949.4100001</v>
      </c>
      <c r="D377" s="17" t="s">
        <v>19</v>
      </c>
      <c r="E377" s="17">
        <v>4</v>
      </c>
    </row>
    <row r="378" spans="2:5">
      <c r="B378" s="37">
        <v>40210</v>
      </c>
      <c r="C378" s="17">
        <v>813969517.63999999</v>
      </c>
      <c r="D378" s="17" t="s">
        <v>8</v>
      </c>
      <c r="E378" s="17">
        <v>5</v>
      </c>
    </row>
    <row r="379" spans="2:5">
      <c r="B379" s="37">
        <v>40210</v>
      </c>
      <c r="C379" s="17">
        <v>575085100.59000003</v>
      </c>
      <c r="D379" s="17" t="s">
        <v>5</v>
      </c>
      <c r="E379" s="17">
        <v>6</v>
      </c>
    </row>
    <row r="380" spans="2:5">
      <c r="B380" s="37">
        <v>40210</v>
      </c>
      <c r="C380" s="17">
        <v>542856482.74000001</v>
      </c>
      <c r="D380" s="17" t="s">
        <v>37</v>
      </c>
      <c r="E380" s="17">
        <v>7</v>
      </c>
    </row>
    <row r="381" spans="2:5">
      <c r="B381" s="37">
        <v>40210</v>
      </c>
      <c r="C381" s="17">
        <v>391151365.38999999</v>
      </c>
      <c r="D381" s="17" t="s">
        <v>10</v>
      </c>
      <c r="E381" s="17">
        <v>8</v>
      </c>
    </row>
    <row r="382" spans="2:5">
      <c r="B382" s="37">
        <v>40210</v>
      </c>
      <c r="C382" s="17">
        <v>360317722.80000001</v>
      </c>
      <c r="D382" s="17" t="s">
        <v>4</v>
      </c>
      <c r="E382" s="17">
        <v>9</v>
      </c>
    </row>
    <row r="383" spans="2:5">
      <c r="B383" s="37">
        <v>40210</v>
      </c>
      <c r="C383" s="17">
        <v>274282407.67000002</v>
      </c>
      <c r="D383" s="17" t="s">
        <v>26</v>
      </c>
      <c r="E383" s="17">
        <v>10</v>
      </c>
    </row>
    <row r="384" spans="2:5">
      <c r="B384" s="37">
        <v>40238</v>
      </c>
      <c r="C384" s="17">
        <v>6596684007.1000004</v>
      </c>
      <c r="D384" s="17" t="s">
        <v>11</v>
      </c>
      <c r="E384" s="17">
        <v>1</v>
      </c>
    </row>
    <row r="385" spans="2:5">
      <c r="B385" s="37">
        <v>40238</v>
      </c>
      <c r="C385" s="17">
        <v>6472069307.6199999</v>
      </c>
      <c r="D385" s="17" t="s">
        <v>6</v>
      </c>
      <c r="E385" s="17">
        <v>2</v>
      </c>
    </row>
    <row r="386" spans="2:5">
      <c r="B386" s="37">
        <v>40238</v>
      </c>
      <c r="C386" s="17">
        <v>2453444911.8800001</v>
      </c>
      <c r="D386" s="17" t="s">
        <v>13</v>
      </c>
      <c r="E386" s="17">
        <v>3</v>
      </c>
    </row>
    <row r="387" spans="2:5">
      <c r="B387" s="37">
        <v>40238</v>
      </c>
      <c r="C387" s="17">
        <v>604639181.76999998</v>
      </c>
      <c r="D387" s="17" t="s">
        <v>19</v>
      </c>
      <c r="E387" s="17">
        <v>4</v>
      </c>
    </row>
    <row r="388" spans="2:5">
      <c r="B388" s="37">
        <v>40238</v>
      </c>
      <c r="C388" s="17">
        <v>592274701.75</v>
      </c>
      <c r="D388" s="17" t="s">
        <v>8</v>
      </c>
      <c r="E388" s="17">
        <v>5</v>
      </c>
    </row>
    <row r="389" spans="2:5">
      <c r="B389" s="37">
        <v>40238</v>
      </c>
      <c r="C389" s="17">
        <v>554730453.46000004</v>
      </c>
      <c r="D389" s="17" t="s">
        <v>5</v>
      </c>
      <c r="E389" s="17">
        <v>6</v>
      </c>
    </row>
    <row r="390" spans="2:5">
      <c r="B390" s="37">
        <v>40238</v>
      </c>
      <c r="C390" s="17">
        <v>365559027.10000002</v>
      </c>
      <c r="D390" s="17" t="s">
        <v>37</v>
      </c>
      <c r="E390" s="17">
        <v>7</v>
      </c>
    </row>
    <row r="391" spans="2:5">
      <c r="B391" s="37">
        <v>40238</v>
      </c>
      <c r="C391" s="17">
        <v>356937103.83999997</v>
      </c>
      <c r="D391" s="17" t="s">
        <v>4</v>
      </c>
      <c r="E391" s="17">
        <v>8</v>
      </c>
    </row>
    <row r="392" spans="2:5">
      <c r="B392" s="37">
        <v>40238</v>
      </c>
      <c r="C392" s="17">
        <v>272498723.47000003</v>
      </c>
      <c r="D392" s="17" t="s">
        <v>104</v>
      </c>
      <c r="E392" s="17">
        <v>9</v>
      </c>
    </row>
    <row r="393" spans="2:5">
      <c r="B393" s="37">
        <v>40238</v>
      </c>
      <c r="C393" s="17">
        <v>267595157.28</v>
      </c>
      <c r="D393" s="17" t="s">
        <v>10</v>
      </c>
      <c r="E393" s="17">
        <v>10</v>
      </c>
    </row>
    <row r="394" spans="2:5">
      <c r="B394" s="37">
        <v>40269</v>
      </c>
      <c r="C394" s="17">
        <v>11766642358.6</v>
      </c>
      <c r="D394" s="17" t="s">
        <v>6</v>
      </c>
      <c r="E394" s="17">
        <v>1</v>
      </c>
    </row>
    <row r="395" spans="2:5">
      <c r="B395" s="37">
        <v>40269</v>
      </c>
      <c r="C395" s="17">
        <v>8290793092.5900002</v>
      </c>
      <c r="D395" s="17" t="s">
        <v>11</v>
      </c>
      <c r="E395" s="17">
        <v>2</v>
      </c>
    </row>
    <row r="396" spans="2:5">
      <c r="B396" s="37">
        <v>40269</v>
      </c>
      <c r="C396" s="17">
        <v>3139007348.25</v>
      </c>
      <c r="D396" s="17" t="s">
        <v>13</v>
      </c>
      <c r="E396" s="17">
        <v>3</v>
      </c>
    </row>
    <row r="397" spans="2:5">
      <c r="B397" s="37">
        <v>40269</v>
      </c>
      <c r="C397" s="17">
        <v>815687726.90999997</v>
      </c>
      <c r="D397" s="17" t="s">
        <v>8</v>
      </c>
      <c r="E397" s="17">
        <v>4</v>
      </c>
    </row>
    <row r="398" spans="2:5">
      <c r="B398" s="37">
        <v>40269</v>
      </c>
      <c r="C398" s="17">
        <v>753772264.26999998</v>
      </c>
      <c r="D398" s="17" t="s">
        <v>5</v>
      </c>
      <c r="E398" s="17">
        <v>5</v>
      </c>
    </row>
    <row r="399" spans="2:5">
      <c r="B399" s="37">
        <v>40269</v>
      </c>
      <c r="C399" s="17">
        <v>748345371.95000005</v>
      </c>
      <c r="D399" s="17" t="s">
        <v>19</v>
      </c>
      <c r="E399" s="17">
        <v>6</v>
      </c>
    </row>
    <row r="400" spans="2:5">
      <c r="B400" s="37">
        <v>40269</v>
      </c>
      <c r="C400" s="17">
        <v>376997317.48000002</v>
      </c>
      <c r="D400" s="17" t="s">
        <v>37</v>
      </c>
      <c r="E400" s="17">
        <v>7</v>
      </c>
    </row>
    <row r="401" spans="2:5">
      <c r="B401" s="37">
        <v>40269</v>
      </c>
      <c r="C401" s="17">
        <v>336742035.24000001</v>
      </c>
      <c r="D401" s="17" t="s">
        <v>26</v>
      </c>
      <c r="E401" s="17">
        <v>8</v>
      </c>
    </row>
    <row r="402" spans="2:5">
      <c r="B402" s="37">
        <v>40269</v>
      </c>
      <c r="C402" s="17">
        <v>323795989.54000002</v>
      </c>
      <c r="D402" s="17" t="s">
        <v>16</v>
      </c>
      <c r="E402" s="17">
        <v>9</v>
      </c>
    </row>
    <row r="403" spans="2:5">
      <c r="B403" s="37">
        <v>40269</v>
      </c>
      <c r="C403" s="17">
        <v>298576656.37</v>
      </c>
      <c r="D403" s="17" t="s">
        <v>104</v>
      </c>
      <c r="E403" s="17">
        <v>10</v>
      </c>
    </row>
    <row r="404" spans="2:5">
      <c r="B404" s="37">
        <v>40299</v>
      </c>
      <c r="C404" s="17">
        <v>11166499668.83</v>
      </c>
      <c r="D404" s="17" t="s">
        <v>6</v>
      </c>
      <c r="E404" s="17">
        <v>1</v>
      </c>
    </row>
    <row r="405" spans="2:5">
      <c r="B405" s="37">
        <v>40299</v>
      </c>
      <c r="C405" s="17">
        <v>9302544959.0599995</v>
      </c>
      <c r="D405" s="17" t="s">
        <v>11</v>
      </c>
      <c r="E405" s="17">
        <v>2</v>
      </c>
    </row>
    <row r="406" spans="2:5">
      <c r="B406" s="37">
        <v>40299</v>
      </c>
      <c r="C406" s="17">
        <v>3428287759.0599999</v>
      </c>
      <c r="D406" s="17" t="s">
        <v>13</v>
      </c>
      <c r="E406" s="17">
        <v>3</v>
      </c>
    </row>
    <row r="407" spans="2:5">
      <c r="B407" s="37">
        <v>40299</v>
      </c>
      <c r="C407" s="17">
        <v>969831152.08000004</v>
      </c>
      <c r="D407" s="17" t="s">
        <v>19</v>
      </c>
      <c r="E407" s="17">
        <v>4</v>
      </c>
    </row>
    <row r="408" spans="2:5">
      <c r="B408" s="37">
        <v>40299</v>
      </c>
      <c r="C408" s="17">
        <v>891452113.00999999</v>
      </c>
      <c r="D408" s="17" t="s">
        <v>8</v>
      </c>
      <c r="E408" s="17">
        <v>5</v>
      </c>
    </row>
    <row r="409" spans="2:5">
      <c r="B409" s="37">
        <v>40299</v>
      </c>
      <c r="C409" s="17">
        <v>882152691.83000004</v>
      </c>
      <c r="D409" s="17" t="s">
        <v>5</v>
      </c>
      <c r="E409" s="17">
        <v>6</v>
      </c>
    </row>
    <row r="410" spans="2:5">
      <c r="B410" s="37">
        <v>40299</v>
      </c>
      <c r="C410" s="17">
        <v>372565627.99000001</v>
      </c>
      <c r="D410" s="17" t="s">
        <v>26</v>
      </c>
      <c r="E410" s="17">
        <v>7</v>
      </c>
    </row>
    <row r="411" spans="2:5">
      <c r="B411" s="37">
        <v>40299</v>
      </c>
      <c r="C411" s="17">
        <v>365974002.43000001</v>
      </c>
      <c r="D411" s="17" t="s">
        <v>104</v>
      </c>
      <c r="E411" s="17">
        <v>8</v>
      </c>
    </row>
    <row r="412" spans="2:5">
      <c r="B412" s="37">
        <v>40299</v>
      </c>
      <c r="C412" s="17">
        <v>310279725.27999997</v>
      </c>
      <c r="D412" s="17" t="s">
        <v>37</v>
      </c>
      <c r="E412" s="17">
        <v>9</v>
      </c>
    </row>
    <row r="413" spans="2:5">
      <c r="B413" s="37">
        <v>40299</v>
      </c>
      <c r="C413" s="17">
        <v>296704697.94</v>
      </c>
      <c r="D413" s="17" t="s">
        <v>16</v>
      </c>
      <c r="E413" s="17">
        <v>10</v>
      </c>
    </row>
    <row r="414" spans="2:5">
      <c r="B414" s="37">
        <v>40330</v>
      </c>
      <c r="C414" s="17">
        <v>10245994592.219999</v>
      </c>
      <c r="D414" s="17" t="s">
        <v>6</v>
      </c>
      <c r="E414" s="17">
        <v>1</v>
      </c>
    </row>
    <row r="415" spans="2:5">
      <c r="B415" s="37">
        <v>40330</v>
      </c>
      <c r="C415" s="17">
        <v>9498319404.9200001</v>
      </c>
      <c r="D415" s="17" t="s">
        <v>11</v>
      </c>
      <c r="E415" s="17">
        <v>2</v>
      </c>
    </row>
    <row r="416" spans="2:5">
      <c r="B416" s="37">
        <v>40330</v>
      </c>
      <c r="C416" s="17">
        <v>3497307421.0799999</v>
      </c>
      <c r="D416" s="17" t="s">
        <v>13</v>
      </c>
      <c r="E416" s="17">
        <v>3</v>
      </c>
    </row>
    <row r="417" spans="2:5">
      <c r="B417" s="37">
        <v>40330</v>
      </c>
      <c r="C417" s="17">
        <v>1347140443.1199999</v>
      </c>
      <c r="D417" s="17" t="s">
        <v>19</v>
      </c>
      <c r="E417" s="17">
        <v>4</v>
      </c>
    </row>
    <row r="418" spans="2:5">
      <c r="B418" s="37">
        <v>40330</v>
      </c>
      <c r="C418" s="17">
        <v>1138166493.54</v>
      </c>
      <c r="D418" s="17" t="s">
        <v>8</v>
      </c>
      <c r="E418" s="17">
        <v>5</v>
      </c>
    </row>
    <row r="419" spans="2:5">
      <c r="B419" s="37">
        <v>40330</v>
      </c>
      <c r="C419" s="17">
        <v>814127661.30999994</v>
      </c>
      <c r="D419" s="17" t="s">
        <v>5</v>
      </c>
      <c r="E419" s="17">
        <v>6</v>
      </c>
    </row>
    <row r="420" spans="2:5">
      <c r="B420" s="37">
        <v>40330</v>
      </c>
      <c r="C420" s="17">
        <v>420459196.05000001</v>
      </c>
      <c r="D420" s="17" t="s">
        <v>37</v>
      </c>
      <c r="E420" s="17">
        <v>7</v>
      </c>
    </row>
    <row r="421" spans="2:5">
      <c r="B421" s="37">
        <v>40330</v>
      </c>
      <c r="C421" s="17">
        <v>371789062.98000002</v>
      </c>
      <c r="D421" s="17" t="s">
        <v>26</v>
      </c>
      <c r="E421" s="17">
        <v>8</v>
      </c>
    </row>
    <row r="422" spans="2:5">
      <c r="B422" s="37">
        <v>40330</v>
      </c>
      <c r="C422" s="17">
        <v>343441962.49000001</v>
      </c>
      <c r="D422" s="17" t="s">
        <v>104</v>
      </c>
      <c r="E422" s="17">
        <v>9</v>
      </c>
    </row>
    <row r="423" spans="2:5">
      <c r="B423" s="37">
        <v>40330</v>
      </c>
      <c r="C423" s="17">
        <v>322044367.27999997</v>
      </c>
      <c r="D423" s="17" t="s">
        <v>16</v>
      </c>
      <c r="E423" s="17">
        <v>10</v>
      </c>
    </row>
    <row r="424" spans="2:5">
      <c r="B424" s="37">
        <v>40360</v>
      </c>
      <c r="C424" s="17">
        <v>11078139845.860001</v>
      </c>
      <c r="D424" s="17" t="s">
        <v>11</v>
      </c>
      <c r="E424" s="17">
        <v>1</v>
      </c>
    </row>
    <row r="425" spans="2:5">
      <c r="B425" s="37">
        <v>40360</v>
      </c>
      <c r="C425" s="17">
        <v>10783429242.02</v>
      </c>
      <c r="D425" s="17" t="s">
        <v>6</v>
      </c>
      <c r="E425" s="17">
        <v>2</v>
      </c>
    </row>
    <row r="426" spans="2:5">
      <c r="B426" s="37">
        <v>40360</v>
      </c>
      <c r="C426" s="17">
        <v>2800939976.8000002</v>
      </c>
      <c r="D426" s="17" t="s">
        <v>13</v>
      </c>
      <c r="E426" s="17">
        <v>3</v>
      </c>
    </row>
    <row r="427" spans="2:5">
      <c r="B427" s="37">
        <v>40360</v>
      </c>
      <c r="C427" s="17">
        <v>1362875318.2</v>
      </c>
      <c r="D427" s="17" t="s">
        <v>19</v>
      </c>
      <c r="E427" s="17">
        <v>4</v>
      </c>
    </row>
    <row r="428" spans="2:5">
      <c r="B428" s="37">
        <v>40360</v>
      </c>
      <c r="C428" s="17">
        <v>1239448895.73</v>
      </c>
      <c r="D428" s="17" t="s">
        <v>8</v>
      </c>
      <c r="E428" s="17">
        <v>5</v>
      </c>
    </row>
    <row r="429" spans="2:5">
      <c r="B429" s="37">
        <v>40360</v>
      </c>
      <c r="C429" s="17">
        <v>752974986.41999996</v>
      </c>
      <c r="D429" s="17" t="s">
        <v>5</v>
      </c>
      <c r="E429" s="17">
        <v>6</v>
      </c>
    </row>
    <row r="430" spans="2:5">
      <c r="B430" s="37">
        <v>40360</v>
      </c>
      <c r="C430" s="17">
        <v>447512787.55000001</v>
      </c>
      <c r="D430" s="17" t="s">
        <v>37</v>
      </c>
      <c r="E430" s="17">
        <v>7</v>
      </c>
    </row>
    <row r="431" spans="2:5">
      <c r="B431" s="37">
        <v>40360</v>
      </c>
      <c r="C431" s="17">
        <v>332101067.66000003</v>
      </c>
      <c r="D431" s="17" t="s">
        <v>10</v>
      </c>
      <c r="E431" s="17">
        <v>8</v>
      </c>
    </row>
    <row r="432" spans="2:5">
      <c r="B432" s="37">
        <v>40360</v>
      </c>
      <c r="C432" s="17">
        <v>329344468.70999998</v>
      </c>
      <c r="D432" s="17" t="s">
        <v>57</v>
      </c>
      <c r="E432" s="17">
        <v>9</v>
      </c>
    </row>
    <row r="433" spans="2:5">
      <c r="B433" s="37">
        <v>40360</v>
      </c>
      <c r="C433" s="17">
        <v>322707499.31999999</v>
      </c>
      <c r="D433" s="17" t="s">
        <v>26</v>
      </c>
      <c r="E433" s="17">
        <v>10</v>
      </c>
    </row>
    <row r="434" spans="2:5">
      <c r="B434" s="37">
        <v>40391</v>
      </c>
      <c r="C434" s="17">
        <v>10171561922.290001</v>
      </c>
      <c r="D434" s="17" t="s">
        <v>6</v>
      </c>
      <c r="E434" s="17">
        <v>1</v>
      </c>
    </row>
    <row r="435" spans="2:5">
      <c r="B435" s="37">
        <v>40391</v>
      </c>
      <c r="C435" s="17">
        <v>9550338694.2700005</v>
      </c>
      <c r="D435" s="17" t="s">
        <v>11</v>
      </c>
      <c r="E435" s="17">
        <v>2</v>
      </c>
    </row>
    <row r="436" spans="2:5">
      <c r="B436" s="37">
        <v>40391</v>
      </c>
      <c r="C436" s="17">
        <v>2570331926.04</v>
      </c>
      <c r="D436" s="17" t="s">
        <v>13</v>
      </c>
      <c r="E436" s="17">
        <v>3</v>
      </c>
    </row>
    <row r="437" spans="2:5">
      <c r="B437" s="37">
        <v>40391</v>
      </c>
      <c r="C437" s="17">
        <v>1455539996.6099999</v>
      </c>
      <c r="D437" s="17" t="s">
        <v>19</v>
      </c>
      <c r="E437" s="17">
        <v>4</v>
      </c>
    </row>
    <row r="438" spans="2:5">
      <c r="B438" s="37">
        <v>40391</v>
      </c>
      <c r="C438" s="17">
        <v>1349432870.1500001</v>
      </c>
      <c r="D438" s="17" t="s">
        <v>8</v>
      </c>
      <c r="E438" s="17">
        <v>5</v>
      </c>
    </row>
    <row r="439" spans="2:5">
      <c r="B439" s="37">
        <v>40391</v>
      </c>
      <c r="C439" s="17">
        <v>655199068.88999999</v>
      </c>
      <c r="D439" s="17" t="s">
        <v>5</v>
      </c>
      <c r="E439" s="17">
        <v>6</v>
      </c>
    </row>
    <row r="440" spans="2:5">
      <c r="B440" s="37">
        <v>40391</v>
      </c>
      <c r="C440" s="17">
        <v>470472734.94</v>
      </c>
      <c r="D440" s="17" t="s">
        <v>10</v>
      </c>
      <c r="E440" s="17">
        <v>7</v>
      </c>
    </row>
    <row r="441" spans="2:5">
      <c r="B441" s="37">
        <v>40391</v>
      </c>
      <c r="C441" s="17">
        <v>439047096.98000002</v>
      </c>
      <c r="D441" s="17" t="s">
        <v>26</v>
      </c>
      <c r="E441" s="17">
        <v>8</v>
      </c>
    </row>
    <row r="442" spans="2:5">
      <c r="B442" s="37">
        <v>40391</v>
      </c>
      <c r="C442" s="17">
        <v>420823599.52999997</v>
      </c>
      <c r="D442" s="17" t="s">
        <v>37</v>
      </c>
      <c r="E442" s="17">
        <v>9</v>
      </c>
    </row>
    <row r="443" spans="2:5">
      <c r="B443" s="37">
        <v>40391</v>
      </c>
      <c r="C443" s="17">
        <v>304547440.54000002</v>
      </c>
      <c r="D443" s="17" t="s">
        <v>4</v>
      </c>
      <c r="E443" s="17">
        <v>10</v>
      </c>
    </row>
    <row r="444" spans="2:5">
      <c r="B444" s="37">
        <v>40422</v>
      </c>
      <c r="C444" s="17">
        <v>10352868746.57</v>
      </c>
      <c r="D444" s="17" t="s">
        <v>11</v>
      </c>
      <c r="E444" s="17">
        <v>1</v>
      </c>
    </row>
    <row r="445" spans="2:5">
      <c r="B445" s="37">
        <v>40422</v>
      </c>
      <c r="C445" s="17">
        <v>8958109334.6299992</v>
      </c>
      <c r="D445" s="17" t="s">
        <v>6</v>
      </c>
      <c r="E445" s="17">
        <v>2</v>
      </c>
    </row>
    <row r="446" spans="2:5">
      <c r="B446" s="37">
        <v>40422</v>
      </c>
      <c r="C446" s="17">
        <v>2647347440.21</v>
      </c>
      <c r="D446" s="17" t="s">
        <v>13</v>
      </c>
      <c r="E446" s="17">
        <v>3</v>
      </c>
    </row>
    <row r="447" spans="2:5">
      <c r="B447" s="37">
        <v>40422</v>
      </c>
      <c r="C447" s="17">
        <v>1637896727.54</v>
      </c>
      <c r="D447" s="17" t="s">
        <v>19</v>
      </c>
      <c r="E447" s="17">
        <v>4</v>
      </c>
    </row>
    <row r="448" spans="2:5">
      <c r="B448" s="37">
        <v>40422</v>
      </c>
      <c r="C448" s="17">
        <v>1265660155.29</v>
      </c>
      <c r="D448" s="17" t="s">
        <v>8</v>
      </c>
      <c r="E448" s="17">
        <v>5</v>
      </c>
    </row>
    <row r="449" spans="2:5">
      <c r="B449" s="37">
        <v>40422</v>
      </c>
      <c r="C449" s="17">
        <v>925920041.42999995</v>
      </c>
      <c r="D449" s="17" t="s">
        <v>5</v>
      </c>
      <c r="E449" s="17">
        <v>6</v>
      </c>
    </row>
    <row r="450" spans="2:5">
      <c r="B450" s="37">
        <v>40422</v>
      </c>
      <c r="C450" s="17">
        <v>866695910.67999995</v>
      </c>
      <c r="D450" s="17" t="s">
        <v>10</v>
      </c>
      <c r="E450" s="17">
        <v>7</v>
      </c>
    </row>
    <row r="451" spans="2:5">
      <c r="B451" s="37">
        <v>40422</v>
      </c>
      <c r="C451" s="17">
        <v>346572111.54000002</v>
      </c>
      <c r="D451" s="17" t="s">
        <v>26</v>
      </c>
      <c r="E451" s="17">
        <v>8</v>
      </c>
    </row>
    <row r="452" spans="2:5">
      <c r="B452" s="37">
        <v>40422</v>
      </c>
      <c r="C452" s="17">
        <v>338350374.83999997</v>
      </c>
      <c r="D452" s="17" t="s">
        <v>4</v>
      </c>
      <c r="E452" s="17">
        <v>9</v>
      </c>
    </row>
    <row r="453" spans="2:5">
      <c r="B453" s="37">
        <v>40422</v>
      </c>
      <c r="C453" s="17">
        <v>303834401.94</v>
      </c>
      <c r="D453" s="17" t="s">
        <v>28</v>
      </c>
      <c r="E453" s="17">
        <v>10</v>
      </c>
    </row>
    <row r="454" spans="2:5">
      <c r="B454" s="37">
        <v>40452</v>
      </c>
      <c r="C454" s="17">
        <v>9784331441.9799995</v>
      </c>
      <c r="D454" s="17" t="s">
        <v>6</v>
      </c>
      <c r="E454" s="17">
        <v>1</v>
      </c>
    </row>
    <row r="455" spans="2:5">
      <c r="B455" s="37">
        <v>40452</v>
      </c>
      <c r="C455" s="17">
        <v>9694766233.9400005</v>
      </c>
      <c r="D455" s="17" t="s">
        <v>11</v>
      </c>
      <c r="E455" s="17">
        <v>2</v>
      </c>
    </row>
    <row r="456" spans="2:5">
      <c r="B456" s="37">
        <v>40452</v>
      </c>
      <c r="C456" s="17">
        <v>1978334271.0999999</v>
      </c>
      <c r="D456" s="17" t="s">
        <v>13</v>
      </c>
      <c r="E456" s="17">
        <v>3</v>
      </c>
    </row>
    <row r="457" spans="2:5">
      <c r="B457" s="37">
        <v>40452</v>
      </c>
      <c r="C457" s="17">
        <v>1500074508.27</v>
      </c>
      <c r="D457" s="17" t="s">
        <v>4</v>
      </c>
      <c r="E457" s="17">
        <v>4</v>
      </c>
    </row>
    <row r="458" spans="2:5">
      <c r="B458" s="37">
        <v>40452</v>
      </c>
      <c r="C458" s="17">
        <v>1433374628.02</v>
      </c>
      <c r="D458" s="17" t="s">
        <v>8</v>
      </c>
      <c r="E458" s="17">
        <v>5</v>
      </c>
    </row>
    <row r="459" spans="2:5">
      <c r="B459" s="37">
        <v>40452</v>
      </c>
      <c r="C459" s="17">
        <v>1294824250.4200001</v>
      </c>
      <c r="D459" s="17" t="s">
        <v>19</v>
      </c>
      <c r="E459" s="17">
        <v>6</v>
      </c>
    </row>
    <row r="460" spans="2:5">
      <c r="B460" s="37">
        <v>40452</v>
      </c>
      <c r="C460" s="17">
        <v>1050556462.1900001</v>
      </c>
      <c r="D460" s="17" t="s">
        <v>5</v>
      </c>
      <c r="E460" s="17">
        <v>7</v>
      </c>
    </row>
    <row r="461" spans="2:5">
      <c r="B461" s="37">
        <v>40452</v>
      </c>
      <c r="C461" s="17">
        <v>335872685.36000001</v>
      </c>
      <c r="D461" s="17" t="s">
        <v>37</v>
      </c>
      <c r="E461" s="17">
        <v>8</v>
      </c>
    </row>
    <row r="462" spans="2:5">
      <c r="B462" s="37">
        <v>40452</v>
      </c>
      <c r="C462" s="17">
        <v>331443465.35000002</v>
      </c>
      <c r="D462" s="17" t="s">
        <v>57</v>
      </c>
      <c r="E462" s="17">
        <v>9</v>
      </c>
    </row>
    <row r="463" spans="2:5">
      <c r="B463" s="37">
        <v>40452</v>
      </c>
      <c r="C463" s="17">
        <v>322974816.99000001</v>
      </c>
      <c r="D463" s="17" t="s">
        <v>105</v>
      </c>
      <c r="E463" s="17">
        <v>10</v>
      </c>
    </row>
    <row r="464" spans="2:5">
      <c r="B464" s="37">
        <v>40483</v>
      </c>
      <c r="C464" s="17">
        <v>9449755251.1200008</v>
      </c>
      <c r="D464" s="17" t="s">
        <v>6</v>
      </c>
      <c r="E464" s="17">
        <v>1</v>
      </c>
    </row>
    <row r="465" spans="2:5">
      <c r="B465" s="37">
        <v>40483</v>
      </c>
      <c r="C465" s="17">
        <v>9426168566.3199997</v>
      </c>
      <c r="D465" s="17" t="s">
        <v>11</v>
      </c>
      <c r="E465" s="17">
        <v>2</v>
      </c>
    </row>
    <row r="466" spans="2:5">
      <c r="B466" s="37">
        <v>40483</v>
      </c>
      <c r="C466" s="17">
        <v>1979944390.26</v>
      </c>
      <c r="D466" s="17" t="s">
        <v>13</v>
      </c>
      <c r="E466" s="17">
        <v>3</v>
      </c>
    </row>
    <row r="467" spans="2:5">
      <c r="B467" s="37">
        <v>40483</v>
      </c>
      <c r="C467" s="17">
        <v>1631053384.3</v>
      </c>
      <c r="D467" s="17" t="s">
        <v>5</v>
      </c>
      <c r="E467" s="17">
        <v>4</v>
      </c>
    </row>
    <row r="468" spans="2:5">
      <c r="B468" s="37">
        <v>40483</v>
      </c>
      <c r="C468" s="17">
        <v>1148313338.1700001</v>
      </c>
      <c r="D468" s="17" t="s">
        <v>8</v>
      </c>
      <c r="E468" s="17">
        <v>5</v>
      </c>
    </row>
    <row r="469" spans="2:5">
      <c r="B469" s="37">
        <v>40483</v>
      </c>
      <c r="C469" s="17">
        <v>983765087.01999998</v>
      </c>
      <c r="D469" s="17" t="s">
        <v>19</v>
      </c>
      <c r="E469" s="17">
        <v>6</v>
      </c>
    </row>
    <row r="470" spans="2:5">
      <c r="B470" s="37">
        <v>40483</v>
      </c>
      <c r="C470" s="17">
        <v>824298715.08000004</v>
      </c>
      <c r="D470" s="17" t="s">
        <v>10</v>
      </c>
      <c r="E470" s="17">
        <v>7</v>
      </c>
    </row>
    <row r="471" spans="2:5">
      <c r="B471" s="37">
        <v>40483</v>
      </c>
      <c r="C471" s="17">
        <v>502715959.76999998</v>
      </c>
      <c r="D471" s="17" t="s">
        <v>57</v>
      </c>
      <c r="E471" s="17">
        <v>8</v>
      </c>
    </row>
    <row r="472" spans="2:5">
      <c r="B472" s="37">
        <v>40483</v>
      </c>
      <c r="C472" s="17">
        <v>477716620.51999998</v>
      </c>
      <c r="D472" s="17" t="s">
        <v>4</v>
      </c>
      <c r="E472" s="17">
        <v>9</v>
      </c>
    </row>
    <row r="473" spans="2:5">
      <c r="B473" s="37">
        <v>40483</v>
      </c>
      <c r="C473" s="17">
        <v>360386207.33999997</v>
      </c>
      <c r="D473" s="17" t="s">
        <v>105</v>
      </c>
      <c r="E473" s="17">
        <v>10</v>
      </c>
    </row>
    <row r="474" spans="2:5">
      <c r="B474" s="37">
        <v>40513</v>
      </c>
      <c r="C474" s="17">
        <v>11196638571.49</v>
      </c>
      <c r="D474" s="17" t="s">
        <v>11</v>
      </c>
      <c r="E474" s="17">
        <v>1</v>
      </c>
    </row>
    <row r="475" spans="2:5">
      <c r="B475" s="37">
        <v>40513</v>
      </c>
      <c r="C475" s="17">
        <v>7361046437.6000004</v>
      </c>
      <c r="D475" s="17" t="s">
        <v>6</v>
      </c>
      <c r="E475" s="17">
        <v>2</v>
      </c>
    </row>
    <row r="476" spans="2:5">
      <c r="B476" s="37">
        <v>40513</v>
      </c>
      <c r="C476" s="17">
        <v>2306715354.8200002</v>
      </c>
      <c r="D476" s="17" t="s">
        <v>13</v>
      </c>
      <c r="E476" s="17">
        <v>3</v>
      </c>
    </row>
    <row r="477" spans="2:5">
      <c r="B477" s="37">
        <v>40513</v>
      </c>
      <c r="C477" s="17">
        <v>1286757113.47</v>
      </c>
      <c r="D477" s="17" t="s">
        <v>8</v>
      </c>
      <c r="E477" s="17">
        <v>4</v>
      </c>
    </row>
    <row r="478" spans="2:5">
      <c r="B478" s="37">
        <v>40513</v>
      </c>
      <c r="C478" s="17">
        <v>1125922984.8900001</v>
      </c>
      <c r="D478" s="17" t="s">
        <v>5</v>
      </c>
      <c r="E478" s="17">
        <v>5</v>
      </c>
    </row>
    <row r="479" spans="2:5">
      <c r="B479" s="37">
        <v>40513</v>
      </c>
      <c r="C479" s="17">
        <v>885410229.37</v>
      </c>
      <c r="D479" s="17" t="s">
        <v>19</v>
      </c>
      <c r="E479" s="17">
        <v>6</v>
      </c>
    </row>
    <row r="480" spans="2:5">
      <c r="B480" s="37">
        <v>40513</v>
      </c>
      <c r="C480" s="17">
        <v>597692283.73000002</v>
      </c>
      <c r="D480" s="17" t="s">
        <v>57</v>
      </c>
      <c r="E480" s="17">
        <v>7</v>
      </c>
    </row>
    <row r="481" spans="2:5">
      <c r="B481" s="37">
        <v>40513</v>
      </c>
      <c r="C481" s="17">
        <v>559653849.83000004</v>
      </c>
      <c r="D481" s="17" t="s">
        <v>4</v>
      </c>
      <c r="E481" s="17">
        <v>8</v>
      </c>
    </row>
    <row r="482" spans="2:5">
      <c r="B482" s="37">
        <v>40513</v>
      </c>
      <c r="C482" s="17">
        <v>544279623.12</v>
      </c>
      <c r="D482" s="17" t="s">
        <v>10</v>
      </c>
      <c r="E482" s="17">
        <v>9</v>
      </c>
    </row>
    <row r="483" spans="2:5">
      <c r="B483" s="37">
        <v>40513</v>
      </c>
      <c r="C483" s="17">
        <v>465068126</v>
      </c>
      <c r="D483" s="17" t="s">
        <v>103</v>
      </c>
      <c r="E483" s="17">
        <v>10</v>
      </c>
    </row>
    <row r="484" spans="2:5">
      <c r="B484" s="37">
        <v>40544</v>
      </c>
      <c r="C484" s="17">
        <v>11191306140.16</v>
      </c>
      <c r="D484" s="17" t="s">
        <v>11</v>
      </c>
      <c r="E484" s="17">
        <v>1</v>
      </c>
    </row>
    <row r="485" spans="2:5">
      <c r="B485" s="37">
        <v>40544</v>
      </c>
      <c r="C485" s="17">
        <v>9319595229.7099991</v>
      </c>
      <c r="D485" s="17" t="s">
        <v>6</v>
      </c>
      <c r="E485" s="17">
        <v>2</v>
      </c>
    </row>
    <row r="486" spans="2:5">
      <c r="B486" s="37">
        <v>40544</v>
      </c>
      <c r="C486" s="17">
        <v>1851001705.04</v>
      </c>
      <c r="D486" s="17" t="s">
        <v>13</v>
      </c>
      <c r="E486" s="17">
        <v>3</v>
      </c>
    </row>
    <row r="487" spans="2:5">
      <c r="B487" s="37">
        <v>40544</v>
      </c>
      <c r="C487" s="17">
        <v>1331286404.53</v>
      </c>
      <c r="D487" s="17" t="s">
        <v>5</v>
      </c>
      <c r="E487" s="17">
        <v>4</v>
      </c>
    </row>
    <row r="488" spans="2:5">
      <c r="B488" s="37">
        <v>40544</v>
      </c>
      <c r="C488" s="17">
        <v>1132061275.4000001</v>
      </c>
      <c r="D488" s="17" t="s">
        <v>8</v>
      </c>
      <c r="E488" s="17">
        <v>5</v>
      </c>
    </row>
    <row r="489" spans="2:5">
      <c r="B489" s="37">
        <v>40544</v>
      </c>
      <c r="C489" s="17">
        <v>850078336.94000006</v>
      </c>
      <c r="D489" s="17" t="s">
        <v>19</v>
      </c>
      <c r="E489" s="17">
        <v>6</v>
      </c>
    </row>
    <row r="490" spans="2:5">
      <c r="B490" s="37">
        <v>40544</v>
      </c>
      <c r="C490" s="17">
        <v>569248880.77999997</v>
      </c>
      <c r="D490" s="17" t="s">
        <v>57</v>
      </c>
      <c r="E490" s="17">
        <v>7</v>
      </c>
    </row>
    <row r="491" spans="2:5">
      <c r="B491" s="37">
        <v>40544</v>
      </c>
      <c r="C491" s="17">
        <v>569094714.59000003</v>
      </c>
      <c r="D491" s="17" t="s">
        <v>10</v>
      </c>
      <c r="E491" s="17">
        <v>8</v>
      </c>
    </row>
    <row r="492" spans="2:5">
      <c r="B492" s="37">
        <v>40544</v>
      </c>
      <c r="C492" s="17">
        <v>478842165.73000002</v>
      </c>
      <c r="D492" s="17" t="s">
        <v>4</v>
      </c>
      <c r="E492" s="17">
        <v>9</v>
      </c>
    </row>
    <row r="493" spans="2:5">
      <c r="B493" s="37">
        <v>40544</v>
      </c>
      <c r="C493" s="17">
        <v>334179830.94999999</v>
      </c>
      <c r="D493" s="17" t="s">
        <v>28</v>
      </c>
      <c r="E493" s="17">
        <v>10</v>
      </c>
    </row>
    <row r="494" spans="2:5">
      <c r="B494" s="37">
        <v>40575</v>
      </c>
      <c r="C494" s="17">
        <v>8086549745.5299997</v>
      </c>
      <c r="D494" s="17" t="s">
        <v>11</v>
      </c>
      <c r="E494" s="17">
        <v>1</v>
      </c>
    </row>
    <row r="495" spans="2:5">
      <c r="B495" s="37">
        <v>40575</v>
      </c>
      <c r="C495" s="17">
        <v>6689822178.4700003</v>
      </c>
      <c r="D495" s="17" t="s">
        <v>6</v>
      </c>
      <c r="E495" s="17">
        <v>2</v>
      </c>
    </row>
    <row r="496" spans="2:5">
      <c r="B496" s="37">
        <v>40575</v>
      </c>
      <c r="C496" s="17">
        <v>1372185497.1700001</v>
      </c>
      <c r="D496" s="17" t="s">
        <v>13</v>
      </c>
      <c r="E496" s="17">
        <v>3</v>
      </c>
    </row>
    <row r="497" spans="2:5">
      <c r="B497" s="37">
        <v>40575</v>
      </c>
      <c r="C497" s="17">
        <v>1023295271.24</v>
      </c>
      <c r="D497" s="17" t="s">
        <v>5</v>
      </c>
      <c r="E497" s="17">
        <v>4</v>
      </c>
    </row>
    <row r="498" spans="2:5">
      <c r="B498" s="37">
        <v>40575</v>
      </c>
      <c r="C498" s="17">
        <v>877839175.03999996</v>
      </c>
      <c r="D498" s="17" t="s">
        <v>8</v>
      </c>
      <c r="E498" s="17">
        <v>5</v>
      </c>
    </row>
    <row r="499" spans="2:5">
      <c r="B499" s="37">
        <v>40575</v>
      </c>
      <c r="C499" s="17">
        <v>586572474.48000002</v>
      </c>
      <c r="D499" s="17" t="s">
        <v>19</v>
      </c>
      <c r="E499" s="17">
        <v>6</v>
      </c>
    </row>
    <row r="500" spans="2:5">
      <c r="B500" s="37">
        <v>40575</v>
      </c>
      <c r="C500" s="17">
        <v>401390903.76999998</v>
      </c>
      <c r="D500" s="17" t="s">
        <v>57</v>
      </c>
      <c r="E500" s="17">
        <v>7</v>
      </c>
    </row>
    <row r="501" spans="2:5">
      <c r="B501" s="37">
        <v>40575</v>
      </c>
      <c r="C501" s="17">
        <v>400450698.25</v>
      </c>
      <c r="D501" s="17" t="s">
        <v>10</v>
      </c>
      <c r="E501" s="17">
        <v>8</v>
      </c>
    </row>
    <row r="502" spans="2:5">
      <c r="B502" s="37">
        <v>40575</v>
      </c>
      <c r="C502" s="17">
        <v>225131348.52000001</v>
      </c>
      <c r="D502" s="17" t="s">
        <v>28</v>
      </c>
      <c r="E502" s="17">
        <v>9</v>
      </c>
    </row>
    <row r="503" spans="2:5">
      <c r="B503" s="37">
        <v>40575</v>
      </c>
      <c r="C503" s="17">
        <v>221844243.33000001</v>
      </c>
      <c r="D503" s="17" t="s">
        <v>16</v>
      </c>
      <c r="E503" s="17">
        <v>10</v>
      </c>
    </row>
    <row r="504" spans="2:5">
      <c r="B504" s="37">
        <v>40603</v>
      </c>
      <c r="C504" s="17">
        <v>7142348227.9899998</v>
      </c>
      <c r="D504" s="17" t="s">
        <v>11</v>
      </c>
      <c r="E504" s="17">
        <v>1</v>
      </c>
    </row>
    <row r="505" spans="2:5">
      <c r="B505" s="37">
        <v>40603</v>
      </c>
      <c r="C505" s="17">
        <v>6007798721.3000002</v>
      </c>
      <c r="D505" s="17" t="s">
        <v>6</v>
      </c>
      <c r="E505" s="17">
        <v>2</v>
      </c>
    </row>
    <row r="506" spans="2:5">
      <c r="B506" s="37">
        <v>40603</v>
      </c>
      <c r="C506" s="17">
        <v>1753403082.3800001</v>
      </c>
      <c r="D506" s="17" t="s">
        <v>13</v>
      </c>
      <c r="E506" s="17">
        <v>3</v>
      </c>
    </row>
    <row r="507" spans="2:5">
      <c r="B507" s="37">
        <v>40603</v>
      </c>
      <c r="C507" s="17">
        <v>734838771.58000004</v>
      </c>
      <c r="D507" s="17" t="s">
        <v>8</v>
      </c>
      <c r="E507" s="17">
        <v>4</v>
      </c>
    </row>
    <row r="508" spans="2:5">
      <c r="B508" s="37">
        <v>40603</v>
      </c>
      <c r="C508" s="17">
        <v>617304975.21000004</v>
      </c>
      <c r="D508" s="17" t="s">
        <v>5</v>
      </c>
      <c r="E508" s="17">
        <v>5</v>
      </c>
    </row>
    <row r="509" spans="2:5">
      <c r="B509" s="37">
        <v>40603</v>
      </c>
      <c r="C509" s="17">
        <v>461329605.54000002</v>
      </c>
      <c r="D509" s="17" t="s">
        <v>19</v>
      </c>
      <c r="E509" s="17">
        <v>6</v>
      </c>
    </row>
    <row r="510" spans="2:5">
      <c r="B510" s="37">
        <v>40603</v>
      </c>
      <c r="C510" s="17">
        <v>361728307.54000002</v>
      </c>
      <c r="D510" s="17" t="s">
        <v>57</v>
      </c>
      <c r="E510" s="17">
        <v>7</v>
      </c>
    </row>
    <row r="511" spans="2:5">
      <c r="B511" s="37">
        <v>40603</v>
      </c>
      <c r="C511" s="17">
        <v>356086663.95999998</v>
      </c>
      <c r="D511" s="17" t="s">
        <v>10</v>
      </c>
      <c r="E511" s="17">
        <v>8</v>
      </c>
    </row>
    <row r="512" spans="2:5">
      <c r="B512" s="37">
        <v>40603</v>
      </c>
      <c r="C512" s="17">
        <v>332945590.33999997</v>
      </c>
      <c r="D512" s="17" t="s">
        <v>4</v>
      </c>
      <c r="E512" s="17">
        <v>9</v>
      </c>
    </row>
    <row r="513" spans="2:5">
      <c r="B513" s="37">
        <v>40603</v>
      </c>
      <c r="C513" s="17">
        <v>311643297.69</v>
      </c>
      <c r="D513" s="17" t="s">
        <v>104</v>
      </c>
      <c r="E513" s="17">
        <v>10</v>
      </c>
    </row>
    <row r="514" spans="2:5">
      <c r="B514" s="37">
        <v>40634</v>
      </c>
      <c r="C514" s="17">
        <v>7487569923.4700003</v>
      </c>
      <c r="D514" s="17" t="s">
        <v>11</v>
      </c>
      <c r="E514" s="17">
        <v>1</v>
      </c>
    </row>
    <row r="515" spans="2:5">
      <c r="B515" s="37">
        <v>40634</v>
      </c>
      <c r="C515" s="17">
        <v>6126395282.5699997</v>
      </c>
      <c r="D515" s="17" t="s">
        <v>6</v>
      </c>
      <c r="E515" s="17">
        <v>2</v>
      </c>
    </row>
    <row r="516" spans="2:5">
      <c r="B516" s="37">
        <v>40634</v>
      </c>
      <c r="C516" s="17">
        <v>1880752425.6500001</v>
      </c>
      <c r="D516" s="17" t="s">
        <v>13</v>
      </c>
      <c r="E516" s="17">
        <v>3</v>
      </c>
    </row>
    <row r="517" spans="2:5">
      <c r="B517" s="37">
        <v>40634</v>
      </c>
      <c r="C517" s="17">
        <v>752376209.79999995</v>
      </c>
      <c r="D517" s="17" t="s">
        <v>8</v>
      </c>
      <c r="E517" s="17">
        <v>4</v>
      </c>
    </row>
    <row r="518" spans="2:5">
      <c r="B518" s="37">
        <v>40634</v>
      </c>
      <c r="C518" s="17">
        <v>697585219.14999998</v>
      </c>
      <c r="D518" s="17" t="s">
        <v>5</v>
      </c>
      <c r="E518" s="17">
        <v>5</v>
      </c>
    </row>
    <row r="519" spans="2:5">
      <c r="B519" s="37">
        <v>40634</v>
      </c>
      <c r="C519" s="17">
        <v>429929592.63</v>
      </c>
      <c r="D519" s="17" t="s">
        <v>57</v>
      </c>
      <c r="E519" s="17">
        <v>6</v>
      </c>
    </row>
    <row r="520" spans="2:5">
      <c r="B520" s="37">
        <v>40634</v>
      </c>
      <c r="C520" s="17">
        <v>428753507.79000002</v>
      </c>
      <c r="D520" s="17" t="s">
        <v>19</v>
      </c>
      <c r="E520" s="17">
        <v>7</v>
      </c>
    </row>
    <row r="521" spans="2:5">
      <c r="B521" s="37">
        <v>40634</v>
      </c>
      <c r="C521" s="17">
        <v>408263075</v>
      </c>
      <c r="D521" s="17" t="s">
        <v>10</v>
      </c>
      <c r="E521" s="17">
        <v>8</v>
      </c>
    </row>
    <row r="522" spans="2:5">
      <c r="B522" s="37">
        <v>40634</v>
      </c>
      <c r="C522" s="17">
        <v>265559087.28</v>
      </c>
      <c r="D522" s="17" t="s">
        <v>16</v>
      </c>
      <c r="E522" s="17">
        <v>9</v>
      </c>
    </row>
    <row r="523" spans="2:5">
      <c r="B523" s="37">
        <v>40634</v>
      </c>
      <c r="C523" s="17">
        <v>256401393.09</v>
      </c>
      <c r="D523" s="17" t="s">
        <v>4</v>
      </c>
      <c r="E523" s="17">
        <v>10</v>
      </c>
    </row>
    <row r="524" spans="2:5">
      <c r="B524" s="37">
        <v>40664</v>
      </c>
      <c r="C524" s="17">
        <v>7485893519.21</v>
      </c>
      <c r="D524" s="17" t="s">
        <v>11</v>
      </c>
      <c r="E524" s="17">
        <v>1</v>
      </c>
    </row>
    <row r="525" spans="2:5">
      <c r="B525" s="37">
        <v>40664</v>
      </c>
      <c r="C525" s="17">
        <v>5762927882.6199999</v>
      </c>
      <c r="D525" s="17" t="s">
        <v>6</v>
      </c>
      <c r="E525" s="17">
        <v>2</v>
      </c>
    </row>
    <row r="526" spans="2:5">
      <c r="B526" s="37">
        <v>40664</v>
      </c>
      <c r="C526" s="17">
        <v>2174406852.29</v>
      </c>
      <c r="D526" s="17" t="s">
        <v>13</v>
      </c>
      <c r="E526" s="17">
        <v>3</v>
      </c>
    </row>
    <row r="527" spans="2:5">
      <c r="B527" s="37">
        <v>40664</v>
      </c>
      <c r="C527" s="17">
        <v>608161197.64999998</v>
      </c>
      <c r="D527" s="17" t="s">
        <v>5</v>
      </c>
      <c r="E527" s="17">
        <v>4</v>
      </c>
    </row>
    <row r="528" spans="2:5">
      <c r="B528" s="37">
        <v>40664</v>
      </c>
      <c r="C528" s="17">
        <v>601958537.24000001</v>
      </c>
      <c r="D528" s="17" t="s">
        <v>8</v>
      </c>
      <c r="E528" s="17">
        <v>5</v>
      </c>
    </row>
    <row r="529" spans="2:5">
      <c r="B529" s="37">
        <v>40664</v>
      </c>
      <c r="C529" s="17">
        <v>459316864.63</v>
      </c>
      <c r="D529" s="17" t="s">
        <v>19</v>
      </c>
      <c r="E529" s="17">
        <v>6</v>
      </c>
    </row>
    <row r="530" spans="2:5">
      <c r="B530" s="37">
        <v>40664</v>
      </c>
      <c r="C530" s="17">
        <v>443605192.85000002</v>
      </c>
      <c r="D530" s="17" t="s">
        <v>57</v>
      </c>
      <c r="E530" s="17">
        <v>7</v>
      </c>
    </row>
    <row r="531" spans="2:5">
      <c r="B531" s="37">
        <v>40664</v>
      </c>
      <c r="C531" s="17">
        <v>408283252.47000003</v>
      </c>
      <c r="D531" s="17" t="s">
        <v>10</v>
      </c>
      <c r="E531" s="17">
        <v>8</v>
      </c>
    </row>
    <row r="532" spans="2:5">
      <c r="B532" s="37">
        <v>40664</v>
      </c>
      <c r="C532" s="17">
        <v>253253246.61000001</v>
      </c>
      <c r="D532" s="17" t="s">
        <v>16</v>
      </c>
      <c r="E532" s="17">
        <v>9</v>
      </c>
    </row>
    <row r="533" spans="2:5">
      <c r="B533" s="37">
        <v>40664</v>
      </c>
      <c r="C533" s="17">
        <v>244502094.09</v>
      </c>
      <c r="D533" s="17" t="s">
        <v>26</v>
      </c>
      <c r="E533" s="17">
        <v>10</v>
      </c>
    </row>
    <row r="534" spans="2:5">
      <c r="B534" s="37">
        <v>40695</v>
      </c>
      <c r="C534" s="17">
        <v>8037102017.3699999</v>
      </c>
      <c r="D534" s="17" t="s">
        <v>11</v>
      </c>
      <c r="E534" s="17">
        <v>1</v>
      </c>
    </row>
    <row r="535" spans="2:5">
      <c r="B535" s="37">
        <v>40695</v>
      </c>
      <c r="C535" s="17">
        <v>5798004838.9200001</v>
      </c>
      <c r="D535" s="17" t="s">
        <v>6</v>
      </c>
      <c r="E535" s="17">
        <v>2</v>
      </c>
    </row>
    <row r="536" spans="2:5">
      <c r="B536" s="37">
        <v>40695</v>
      </c>
      <c r="C536" s="17">
        <v>2263476542.2399998</v>
      </c>
      <c r="D536" s="17" t="s">
        <v>13</v>
      </c>
      <c r="E536" s="17">
        <v>3</v>
      </c>
    </row>
    <row r="537" spans="2:5">
      <c r="B537" s="37">
        <v>40695</v>
      </c>
      <c r="C537" s="17">
        <v>894123593.24000001</v>
      </c>
      <c r="D537" s="17" t="s">
        <v>5</v>
      </c>
      <c r="E537" s="17">
        <v>4</v>
      </c>
    </row>
    <row r="538" spans="2:5">
      <c r="B538" s="37">
        <v>40695</v>
      </c>
      <c r="C538" s="17">
        <v>670137620.91999996</v>
      </c>
      <c r="D538" s="17" t="s">
        <v>8</v>
      </c>
      <c r="E538" s="17">
        <v>5</v>
      </c>
    </row>
    <row r="539" spans="2:5">
      <c r="B539" s="37">
        <v>40695</v>
      </c>
      <c r="C539" s="17">
        <v>643649975.04999995</v>
      </c>
      <c r="D539" s="17" t="s">
        <v>19</v>
      </c>
      <c r="E539" s="17">
        <v>6</v>
      </c>
    </row>
    <row r="540" spans="2:5">
      <c r="B540" s="37">
        <v>40695</v>
      </c>
      <c r="C540" s="17">
        <v>434092831.55000001</v>
      </c>
      <c r="D540" s="17" t="s">
        <v>10</v>
      </c>
      <c r="E540" s="17">
        <v>7</v>
      </c>
    </row>
    <row r="541" spans="2:5">
      <c r="B541" s="37">
        <v>40695</v>
      </c>
      <c r="C541" s="17">
        <v>419168284.22000003</v>
      </c>
      <c r="D541" s="17" t="s">
        <v>57</v>
      </c>
      <c r="E541" s="17">
        <v>8</v>
      </c>
    </row>
    <row r="542" spans="2:5">
      <c r="B542" s="37">
        <v>40695</v>
      </c>
      <c r="C542" s="17">
        <v>395675688.74000001</v>
      </c>
      <c r="D542" s="17" t="s">
        <v>32</v>
      </c>
      <c r="E542" s="17">
        <v>9</v>
      </c>
    </row>
    <row r="543" spans="2:5">
      <c r="B543" s="37">
        <v>40695</v>
      </c>
      <c r="C543" s="17">
        <v>281658019.81999999</v>
      </c>
      <c r="D543" s="17" t="s">
        <v>16</v>
      </c>
      <c r="E543" s="17">
        <v>10</v>
      </c>
    </row>
    <row r="544" spans="2:5">
      <c r="B544" s="37">
        <v>40725</v>
      </c>
      <c r="C544" s="17">
        <v>8290598483.0799999</v>
      </c>
      <c r="D544" s="17" t="s">
        <v>11</v>
      </c>
      <c r="E544" s="17">
        <v>1</v>
      </c>
    </row>
    <row r="545" spans="2:5">
      <c r="B545" s="37">
        <v>40725</v>
      </c>
      <c r="C545" s="17">
        <v>5592657271.3999996</v>
      </c>
      <c r="D545" s="17" t="s">
        <v>6</v>
      </c>
      <c r="E545" s="17">
        <v>2</v>
      </c>
    </row>
    <row r="546" spans="2:5">
      <c r="B546" s="37">
        <v>40725</v>
      </c>
      <c r="C546" s="17">
        <v>2409116702.98</v>
      </c>
      <c r="D546" s="17" t="s">
        <v>13</v>
      </c>
      <c r="E546" s="17">
        <v>3</v>
      </c>
    </row>
    <row r="547" spans="2:5">
      <c r="B547" s="37">
        <v>40725</v>
      </c>
      <c r="C547" s="17">
        <v>982541083.70000005</v>
      </c>
      <c r="D547" s="17" t="s">
        <v>5</v>
      </c>
      <c r="E547" s="17">
        <v>4</v>
      </c>
    </row>
    <row r="548" spans="2:5">
      <c r="B548" s="37">
        <v>40725</v>
      </c>
      <c r="C548" s="17">
        <v>752662141.10000002</v>
      </c>
      <c r="D548" s="17" t="s">
        <v>8</v>
      </c>
      <c r="E548" s="17">
        <v>5</v>
      </c>
    </row>
    <row r="549" spans="2:5">
      <c r="B549" s="37">
        <v>40725</v>
      </c>
      <c r="C549" s="17">
        <v>639291452.46000004</v>
      </c>
      <c r="D549" s="17" t="s">
        <v>10</v>
      </c>
      <c r="E549" s="17">
        <v>6</v>
      </c>
    </row>
    <row r="550" spans="2:5">
      <c r="B550" s="37">
        <v>40725</v>
      </c>
      <c r="C550" s="17">
        <v>429162120.43000001</v>
      </c>
      <c r="D550" s="17" t="s">
        <v>57</v>
      </c>
      <c r="E550" s="17">
        <v>7</v>
      </c>
    </row>
    <row r="551" spans="2:5">
      <c r="B551" s="37">
        <v>40725</v>
      </c>
      <c r="C551" s="17">
        <v>356883684.76999998</v>
      </c>
      <c r="D551" s="17" t="s">
        <v>19</v>
      </c>
      <c r="E551" s="17">
        <v>8</v>
      </c>
    </row>
    <row r="552" spans="2:5">
      <c r="B552" s="37">
        <v>40725</v>
      </c>
      <c r="C552" s="17">
        <v>351568051.57999998</v>
      </c>
      <c r="D552" s="17" t="s">
        <v>32</v>
      </c>
      <c r="E552" s="17">
        <v>9</v>
      </c>
    </row>
    <row r="553" spans="2:5">
      <c r="B553" s="37">
        <v>40725</v>
      </c>
      <c r="C553" s="17">
        <v>301274950.01999998</v>
      </c>
      <c r="D553" s="17" t="s">
        <v>104</v>
      </c>
      <c r="E553" s="17">
        <v>10</v>
      </c>
    </row>
    <row r="554" spans="2:5">
      <c r="B554" s="37">
        <v>40756</v>
      </c>
      <c r="C554" s="17">
        <v>9235841028.9400005</v>
      </c>
      <c r="D554" s="17" t="s">
        <v>11</v>
      </c>
      <c r="E554" s="17">
        <v>1</v>
      </c>
    </row>
    <row r="555" spans="2:5">
      <c r="B555" s="37">
        <v>40756</v>
      </c>
      <c r="C555" s="17">
        <v>4847625834.8699999</v>
      </c>
      <c r="D555" s="17" t="s">
        <v>6</v>
      </c>
      <c r="E555" s="17">
        <v>2</v>
      </c>
    </row>
    <row r="556" spans="2:5">
      <c r="B556" s="37">
        <v>40756</v>
      </c>
      <c r="C556" s="17">
        <v>2608663203.9699998</v>
      </c>
      <c r="D556" s="17" t="s">
        <v>13</v>
      </c>
      <c r="E556" s="17">
        <v>3</v>
      </c>
    </row>
    <row r="557" spans="2:5">
      <c r="B557" s="37">
        <v>40756</v>
      </c>
      <c r="C557" s="17">
        <v>921897702.82000005</v>
      </c>
      <c r="D557" s="17" t="s">
        <v>5</v>
      </c>
      <c r="E557" s="17">
        <v>4</v>
      </c>
    </row>
    <row r="558" spans="2:5">
      <c r="B558" s="37">
        <v>40756</v>
      </c>
      <c r="C558" s="17">
        <v>671885619.50999999</v>
      </c>
      <c r="D558" s="17" t="s">
        <v>8</v>
      </c>
      <c r="E558" s="17">
        <v>5</v>
      </c>
    </row>
    <row r="559" spans="2:5">
      <c r="B559" s="37">
        <v>40756</v>
      </c>
      <c r="C559" s="17">
        <v>550835285.99000001</v>
      </c>
      <c r="D559" s="17" t="s">
        <v>10</v>
      </c>
      <c r="E559" s="17">
        <v>6</v>
      </c>
    </row>
    <row r="560" spans="2:5">
      <c r="B560" s="37">
        <v>40756</v>
      </c>
      <c r="C560" s="17">
        <v>469759629.55000001</v>
      </c>
      <c r="D560" s="17" t="s">
        <v>19</v>
      </c>
      <c r="E560" s="17">
        <v>7</v>
      </c>
    </row>
    <row r="561" spans="2:5">
      <c r="B561" s="37">
        <v>40756</v>
      </c>
      <c r="C561" s="17">
        <v>365122445.68000001</v>
      </c>
      <c r="D561" s="17" t="s">
        <v>57</v>
      </c>
      <c r="E561" s="17">
        <v>8</v>
      </c>
    </row>
    <row r="562" spans="2:5">
      <c r="B562" s="37">
        <v>40756</v>
      </c>
      <c r="C562" s="17">
        <v>345690365.74000001</v>
      </c>
      <c r="D562" s="17" t="s">
        <v>32</v>
      </c>
      <c r="E562" s="17">
        <v>9</v>
      </c>
    </row>
    <row r="563" spans="2:5">
      <c r="B563" s="37">
        <v>40756</v>
      </c>
      <c r="C563" s="17">
        <v>287502442.05000001</v>
      </c>
      <c r="D563" s="17" t="s">
        <v>16</v>
      </c>
      <c r="E563" s="17">
        <v>10</v>
      </c>
    </row>
    <row r="564" spans="2:5">
      <c r="B564" s="37">
        <v>40787</v>
      </c>
      <c r="C564" s="17">
        <v>9495614488.8299999</v>
      </c>
      <c r="D564" s="17" t="s">
        <v>11</v>
      </c>
      <c r="E564" s="17">
        <v>1</v>
      </c>
    </row>
    <row r="565" spans="2:5">
      <c r="B565" s="37">
        <v>40787</v>
      </c>
      <c r="C565" s="17">
        <v>3819074881.2800002</v>
      </c>
      <c r="D565" s="17" t="s">
        <v>6</v>
      </c>
      <c r="E565" s="17">
        <v>2</v>
      </c>
    </row>
    <row r="566" spans="2:5">
      <c r="B566" s="37">
        <v>40787</v>
      </c>
      <c r="C566" s="17">
        <v>2310406503.02</v>
      </c>
      <c r="D566" s="17" t="s">
        <v>13</v>
      </c>
      <c r="E566" s="17">
        <v>3</v>
      </c>
    </row>
    <row r="567" spans="2:5">
      <c r="B567" s="37">
        <v>40787</v>
      </c>
      <c r="C567" s="17">
        <v>909837417.96000004</v>
      </c>
      <c r="D567" s="17" t="s">
        <v>5</v>
      </c>
      <c r="E567" s="17">
        <v>4</v>
      </c>
    </row>
    <row r="568" spans="2:5">
      <c r="B568" s="37">
        <v>40787</v>
      </c>
      <c r="C568" s="17">
        <v>859735393.29999995</v>
      </c>
      <c r="D568" s="17" t="s">
        <v>8</v>
      </c>
      <c r="E568" s="17">
        <v>5</v>
      </c>
    </row>
    <row r="569" spans="2:5">
      <c r="B569" s="37">
        <v>40787</v>
      </c>
      <c r="C569" s="17">
        <v>815209919.17999995</v>
      </c>
      <c r="D569" s="17" t="s">
        <v>10</v>
      </c>
      <c r="E569" s="17">
        <v>6</v>
      </c>
    </row>
    <row r="570" spans="2:5">
      <c r="B570" s="37">
        <v>40787</v>
      </c>
      <c r="C570" s="17">
        <v>745770035.08000004</v>
      </c>
      <c r="D570" s="17" t="s">
        <v>19</v>
      </c>
      <c r="E570" s="17">
        <v>7</v>
      </c>
    </row>
    <row r="571" spans="2:5">
      <c r="B571" s="37">
        <v>40787</v>
      </c>
      <c r="C571" s="17">
        <v>583086867.67999995</v>
      </c>
      <c r="D571" s="17" t="s">
        <v>32</v>
      </c>
      <c r="E571" s="17">
        <v>8</v>
      </c>
    </row>
    <row r="572" spans="2:5">
      <c r="B572" s="37">
        <v>40787</v>
      </c>
      <c r="C572" s="17">
        <v>570242348.27999997</v>
      </c>
      <c r="D572" s="17" t="s">
        <v>57</v>
      </c>
      <c r="E572" s="17">
        <v>9</v>
      </c>
    </row>
    <row r="573" spans="2:5">
      <c r="B573" s="37">
        <v>40787</v>
      </c>
      <c r="C573" s="17">
        <v>376251360.82999998</v>
      </c>
      <c r="D573" s="17" t="s">
        <v>4</v>
      </c>
      <c r="E573" s="17">
        <v>10</v>
      </c>
    </row>
    <row r="574" spans="2:5">
      <c r="B574" s="37">
        <v>40817</v>
      </c>
      <c r="C574" s="17">
        <v>8581649843.8400002</v>
      </c>
      <c r="D574" s="17" t="s">
        <v>11</v>
      </c>
      <c r="E574" s="17">
        <v>1</v>
      </c>
    </row>
    <row r="575" spans="2:5">
      <c r="B575" s="37">
        <v>40817</v>
      </c>
      <c r="C575" s="17">
        <v>2901359176.8800001</v>
      </c>
      <c r="D575" s="17" t="s">
        <v>6</v>
      </c>
      <c r="E575" s="17">
        <v>2</v>
      </c>
    </row>
    <row r="576" spans="2:5">
      <c r="B576" s="37">
        <v>40817</v>
      </c>
      <c r="C576" s="17">
        <v>2340701401.02</v>
      </c>
      <c r="D576" s="17" t="s">
        <v>13</v>
      </c>
      <c r="E576" s="17">
        <v>3</v>
      </c>
    </row>
    <row r="577" spans="2:5">
      <c r="B577" s="37">
        <v>40817</v>
      </c>
      <c r="C577" s="17">
        <v>773678191.63</v>
      </c>
      <c r="D577" s="17" t="s">
        <v>32</v>
      </c>
      <c r="E577" s="17">
        <v>4</v>
      </c>
    </row>
    <row r="578" spans="2:5">
      <c r="B578" s="37">
        <v>40817</v>
      </c>
      <c r="C578" s="17">
        <v>766134699.48000002</v>
      </c>
      <c r="D578" s="17" t="s">
        <v>8</v>
      </c>
      <c r="E578" s="17">
        <v>5</v>
      </c>
    </row>
    <row r="579" spans="2:5">
      <c r="B579" s="37">
        <v>40817</v>
      </c>
      <c r="C579" s="17">
        <v>716608001.79999995</v>
      </c>
      <c r="D579" s="17" t="s">
        <v>5</v>
      </c>
      <c r="E579" s="17">
        <v>6</v>
      </c>
    </row>
    <row r="580" spans="2:5">
      <c r="B580" s="37">
        <v>40817</v>
      </c>
      <c r="C580" s="17">
        <v>665851667.19000006</v>
      </c>
      <c r="D580" s="17" t="s">
        <v>19</v>
      </c>
      <c r="E580" s="17">
        <v>7</v>
      </c>
    </row>
    <row r="581" spans="2:5">
      <c r="B581" s="37">
        <v>40817</v>
      </c>
      <c r="C581" s="17">
        <v>575989274.98000002</v>
      </c>
      <c r="D581" s="17" t="s">
        <v>10</v>
      </c>
      <c r="E581" s="17">
        <v>8</v>
      </c>
    </row>
    <row r="582" spans="2:5">
      <c r="B582" s="37">
        <v>40817</v>
      </c>
      <c r="C582" s="17">
        <v>553888321.10000002</v>
      </c>
      <c r="D582" s="17" t="s">
        <v>57</v>
      </c>
      <c r="E582" s="17">
        <v>9</v>
      </c>
    </row>
    <row r="583" spans="2:5">
      <c r="B583" s="37">
        <v>40817</v>
      </c>
      <c r="C583" s="17">
        <v>402448303.13999999</v>
      </c>
      <c r="D583" s="17" t="s">
        <v>4</v>
      </c>
      <c r="E583" s="17">
        <v>10</v>
      </c>
    </row>
    <row r="584" spans="2:5">
      <c r="B584" s="37">
        <v>40848</v>
      </c>
      <c r="C584" s="17">
        <v>9573021089.2900009</v>
      </c>
      <c r="D584" s="17" t="s">
        <v>11</v>
      </c>
      <c r="E584" s="17">
        <v>1</v>
      </c>
    </row>
    <row r="585" spans="2:5">
      <c r="B585" s="37">
        <v>40848</v>
      </c>
      <c r="C585" s="17">
        <v>2997364955.0799999</v>
      </c>
      <c r="D585" s="17" t="s">
        <v>6</v>
      </c>
      <c r="E585" s="17">
        <v>2</v>
      </c>
    </row>
    <row r="586" spans="2:5">
      <c r="B586" s="37">
        <v>40848</v>
      </c>
      <c r="C586" s="17">
        <v>2561965154.0100002</v>
      </c>
      <c r="D586" s="17" t="s">
        <v>13</v>
      </c>
      <c r="E586" s="17">
        <v>3</v>
      </c>
    </row>
    <row r="587" spans="2:5">
      <c r="B587" s="37">
        <v>40848</v>
      </c>
      <c r="C587" s="17">
        <v>1051028358.3099999</v>
      </c>
      <c r="D587" s="17" t="s">
        <v>32</v>
      </c>
      <c r="E587" s="17">
        <v>4</v>
      </c>
    </row>
    <row r="588" spans="2:5">
      <c r="B588" s="37">
        <v>40848</v>
      </c>
      <c r="C588" s="17">
        <v>867646024.91999996</v>
      </c>
      <c r="D588" s="17" t="s">
        <v>8</v>
      </c>
      <c r="E588" s="17">
        <v>5</v>
      </c>
    </row>
    <row r="589" spans="2:5">
      <c r="B589" s="37">
        <v>40848</v>
      </c>
      <c r="C589" s="17">
        <v>738294116.20000005</v>
      </c>
      <c r="D589" s="17" t="s">
        <v>10</v>
      </c>
      <c r="E589" s="17">
        <v>6</v>
      </c>
    </row>
    <row r="590" spans="2:5">
      <c r="B590" s="37">
        <v>40848</v>
      </c>
      <c r="C590" s="17">
        <v>713339419.13999999</v>
      </c>
      <c r="D590" s="17" t="s">
        <v>5</v>
      </c>
      <c r="E590" s="17">
        <v>7</v>
      </c>
    </row>
    <row r="591" spans="2:5">
      <c r="B591" s="37">
        <v>40848</v>
      </c>
      <c r="C591" s="17">
        <v>574793038.98000002</v>
      </c>
      <c r="D591" s="17" t="s">
        <v>19</v>
      </c>
      <c r="E591" s="17">
        <v>8</v>
      </c>
    </row>
    <row r="592" spans="2:5">
      <c r="B592" s="37">
        <v>40848</v>
      </c>
      <c r="C592" s="17">
        <v>456250769.62</v>
      </c>
      <c r="D592" s="17" t="s">
        <v>57</v>
      </c>
      <c r="E592" s="17">
        <v>9</v>
      </c>
    </row>
    <row r="593" spans="2:5">
      <c r="B593" s="37">
        <v>40848</v>
      </c>
      <c r="C593" s="17">
        <v>362830454.32999998</v>
      </c>
      <c r="D593" s="17" t="s">
        <v>104</v>
      </c>
      <c r="E593" s="17">
        <v>10</v>
      </c>
    </row>
    <row r="594" spans="2:5">
      <c r="B594" s="37">
        <v>40878</v>
      </c>
      <c r="C594" s="17">
        <v>9732604193.7800007</v>
      </c>
      <c r="D594" s="17" t="s">
        <v>11</v>
      </c>
      <c r="E594" s="17">
        <v>1</v>
      </c>
    </row>
    <row r="595" spans="2:5">
      <c r="B595" s="37">
        <v>40878</v>
      </c>
      <c r="C595" s="17">
        <v>2454782079.79</v>
      </c>
      <c r="D595" s="17" t="s">
        <v>13</v>
      </c>
      <c r="E595" s="17">
        <v>2</v>
      </c>
    </row>
    <row r="596" spans="2:5">
      <c r="B596" s="37">
        <v>40878</v>
      </c>
      <c r="C596" s="17">
        <v>1519718894</v>
      </c>
      <c r="D596" s="17" t="s">
        <v>6</v>
      </c>
      <c r="E596" s="17">
        <v>3</v>
      </c>
    </row>
    <row r="597" spans="2:5">
      <c r="B597" s="37">
        <v>40878</v>
      </c>
      <c r="C597" s="17">
        <v>1078410493</v>
      </c>
      <c r="D597" s="17" t="s">
        <v>8</v>
      </c>
      <c r="E597" s="17">
        <v>4</v>
      </c>
    </row>
    <row r="598" spans="2:5">
      <c r="B598" s="37">
        <v>40878</v>
      </c>
      <c r="C598" s="17">
        <v>994126007.64999998</v>
      </c>
      <c r="D598" s="17" t="s">
        <v>32</v>
      </c>
      <c r="E598" s="17">
        <v>5</v>
      </c>
    </row>
    <row r="599" spans="2:5">
      <c r="B599" s="37">
        <v>40878</v>
      </c>
      <c r="C599" s="17">
        <v>840304742.00999999</v>
      </c>
      <c r="D599" s="17" t="s">
        <v>5</v>
      </c>
      <c r="E599" s="17">
        <v>6</v>
      </c>
    </row>
    <row r="600" spans="2:5">
      <c r="B600" s="37">
        <v>40878</v>
      </c>
      <c r="C600" s="17">
        <v>835490170.02999997</v>
      </c>
      <c r="D600" s="17" t="s">
        <v>19</v>
      </c>
      <c r="E600" s="17">
        <v>7</v>
      </c>
    </row>
    <row r="601" spans="2:5">
      <c r="B601" s="37">
        <v>40878</v>
      </c>
      <c r="C601" s="17">
        <v>732189860.03999996</v>
      </c>
      <c r="D601" s="17" t="s">
        <v>10</v>
      </c>
      <c r="E601" s="17">
        <v>8</v>
      </c>
    </row>
    <row r="602" spans="2:5">
      <c r="B602" s="37">
        <v>40878</v>
      </c>
      <c r="C602" s="17">
        <v>500515827.91000003</v>
      </c>
      <c r="D602" s="17" t="s">
        <v>57</v>
      </c>
      <c r="E602" s="17">
        <v>9</v>
      </c>
    </row>
    <row r="603" spans="2:5">
      <c r="B603" s="37">
        <v>40878</v>
      </c>
      <c r="C603" s="17">
        <v>343927847.07999998</v>
      </c>
      <c r="D603" s="17" t="s">
        <v>104</v>
      </c>
      <c r="E603" s="17">
        <v>10</v>
      </c>
    </row>
    <row r="604" spans="2:5">
      <c r="B604" s="37">
        <v>40909</v>
      </c>
      <c r="C604" s="17">
        <v>11283566053.34</v>
      </c>
      <c r="D604" s="17" t="s">
        <v>11</v>
      </c>
      <c r="E604" s="17">
        <v>1</v>
      </c>
    </row>
    <row r="605" spans="2:5">
      <c r="B605" s="37">
        <v>40909</v>
      </c>
      <c r="C605" s="17">
        <v>2561295128.6999998</v>
      </c>
      <c r="D605" s="17" t="s">
        <v>13</v>
      </c>
      <c r="E605" s="17">
        <v>2</v>
      </c>
    </row>
    <row r="606" spans="2:5">
      <c r="B606" s="37">
        <v>40909</v>
      </c>
      <c r="C606" s="17">
        <v>1241687556.9000001</v>
      </c>
      <c r="D606" s="17" t="s">
        <v>8</v>
      </c>
      <c r="E606" s="17">
        <v>3</v>
      </c>
    </row>
    <row r="607" spans="2:5">
      <c r="B607" s="37">
        <v>40909</v>
      </c>
      <c r="C607" s="17">
        <v>1202878437.99</v>
      </c>
      <c r="D607" s="17" t="s">
        <v>6</v>
      </c>
      <c r="E607" s="17">
        <v>4</v>
      </c>
    </row>
    <row r="608" spans="2:5">
      <c r="B608" s="37">
        <v>40909</v>
      </c>
      <c r="C608" s="17">
        <v>1169327183.95</v>
      </c>
      <c r="D608" s="17" t="s">
        <v>32</v>
      </c>
      <c r="E608" s="17">
        <v>5</v>
      </c>
    </row>
    <row r="609" spans="2:5">
      <c r="B609" s="37">
        <v>40909</v>
      </c>
      <c r="C609" s="17">
        <v>825952840.24000001</v>
      </c>
      <c r="D609" s="17" t="s">
        <v>5</v>
      </c>
      <c r="E609" s="17">
        <v>6</v>
      </c>
    </row>
    <row r="610" spans="2:5">
      <c r="B610" s="37">
        <v>40909</v>
      </c>
      <c r="C610" s="17">
        <v>724148026.90999997</v>
      </c>
      <c r="D610" s="17" t="s">
        <v>10</v>
      </c>
      <c r="E610" s="17">
        <v>7</v>
      </c>
    </row>
    <row r="611" spans="2:5">
      <c r="B611" s="37">
        <v>40909</v>
      </c>
      <c r="C611" s="17">
        <v>708192190.95000005</v>
      </c>
      <c r="D611" s="17" t="s">
        <v>19</v>
      </c>
      <c r="E611" s="17">
        <v>8</v>
      </c>
    </row>
    <row r="612" spans="2:5">
      <c r="B612" s="37">
        <v>40909</v>
      </c>
      <c r="C612" s="17">
        <v>505384698.86000001</v>
      </c>
      <c r="D612" s="17" t="s">
        <v>104</v>
      </c>
      <c r="E612" s="17">
        <v>9</v>
      </c>
    </row>
    <row r="613" spans="2:5">
      <c r="B613" s="37">
        <v>40909</v>
      </c>
      <c r="C613" s="17">
        <v>497296438.82999998</v>
      </c>
      <c r="D613" s="17" t="s">
        <v>57</v>
      </c>
      <c r="E613" s="17">
        <v>10</v>
      </c>
    </row>
    <row r="614" spans="2:5">
      <c r="B614" s="37">
        <v>40940</v>
      </c>
      <c r="C614" s="17">
        <v>10212781061.02</v>
      </c>
      <c r="D614" s="17" t="s">
        <v>11</v>
      </c>
      <c r="E614" s="17">
        <v>1</v>
      </c>
    </row>
    <row r="615" spans="2:5">
      <c r="B615" s="37">
        <v>40940</v>
      </c>
      <c r="C615" s="17">
        <v>2386808467.02</v>
      </c>
      <c r="D615" s="17" t="s">
        <v>13</v>
      </c>
      <c r="E615" s="17">
        <v>2</v>
      </c>
    </row>
    <row r="616" spans="2:5">
      <c r="B616" s="37">
        <v>40940</v>
      </c>
      <c r="C616" s="17">
        <v>1495556112.8399999</v>
      </c>
      <c r="D616" s="17" t="s">
        <v>8</v>
      </c>
      <c r="E616" s="17">
        <v>3</v>
      </c>
    </row>
    <row r="617" spans="2:5">
      <c r="B617" s="37">
        <v>40940</v>
      </c>
      <c r="C617" s="17">
        <v>1150669253.3299999</v>
      </c>
      <c r="D617" s="17" t="s">
        <v>32</v>
      </c>
      <c r="E617" s="17">
        <v>4</v>
      </c>
    </row>
    <row r="618" spans="2:5">
      <c r="B618" s="37">
        <v>40940</v>
      </c>
      <c r="C618" s="17">
        <v>791778146.88</v>
      </c>
      <c r="D618" s="17" t="s">
        <v>10</v>
      </c>
      <c r="E618" s="17">
        <v>5</v>
      </c>
    </row>
    <row r="619" spans="2:5">
      <c r="B619" s="37">
        <v>40940</v>
      </c>
      <c r="C619" s="17">
        <v>767796362.38999999</v>
      </c>
      <c r="D619" s="17" t="s">
        <v>5</v>
      </c>
      <c r="E619" s="17">
        <v>6</v>
      </c>
    </row>
    <row r="620" spans="2:5">
      <c r="B620" s="37">
        <v>40940</v>
      </c>
      <c r="C620" s="17">
        <v>746921744.39999998</v>
      </c>
      <c r="D620" s="17" t="s">
        <v>6</v>
      </c>
      <c r="E620" s="17">
        <v>7</v>
      </c>
    </row>
    <row r="621" spans="2:5">
      <c r="B621" s="37">
        <v>40940</v>
      </c>
      <c r="C621" s="17">
        <v>532293545.26999998</v>
      </c>
      <c r="D621" s="17" t="s">
        <v>19</v>
      </c>
      <c r="E621" s="17">
        <v>8</v>
      </c>
    </row>
    <row r="622" spans="2:5">
      <c r="B622" s="37">
        <v>40940</v>
      </c>
      <c r="C622" s="17">
        <v>490426869.00999999</v>
      </c>
      <c r="D622" s="17" t="s">
        <v>104</v>
      </c>
      <c r="E622" s="17">
        <v>9</v>
      </c>
    </row>
    <row r="623" spans="2:5">
      <c r="B623" s="37">
        <v>40940</v>
      </c>
      <c r="C623" s="17">
        <v>470107340.81</v>
      </c>
      <c r="D623" s="17" t="s">
        <v>57</v>
      </c>
      <c r="E623" s="17">
        <v>10</v>
      </c>
    </row>
    <row r="624" spans="2:5">
      <c r="B624" s="37">
        <v>40969</v>
      </c>
      <c r="C624" s="17">
        <v>10386620664.41</v>
      </c>
      <c r="D624" s="17" t="s">
        <v>11</v>
      </c>
      <c r="E624" s="17">
        <v>1</v>
      </c>
    </row>
    <row r="625" spans="2:5">
      <c r="B625" s="37">
        <v>40969</v>
      </c>
      <c r="C625" s="17">
        <v>3025021312.1799998</v>
      </c>
      <c r="D625" s="17" t="s">
        <v>13</v>
      </c>
      <c r="E625" s="17">
        <v>2</v>
      </c>
    </row>
    <row r="626" spans="2:5">
      <c r="B626" s="37">
        <v>40969</v>
      </c>
      <c r="C626" s="17">
        <v>1388444116.9000001</v>
      </c>
      <c r="D626" s="17" t="s">
        <v>8</v>
      </c>
      <c r="E626" s="17">
        <v>3</v>
      </c>
    </row>
    <row r="627" spans="2:5">
      <c r="B627" s="37">
        <v>40969</v>
      </c>
      <c r="C627" s="17">
        <v>1246037232.02</v>
      </c>
      <c r="D627" s="17" t="s">
        <v>32</v>
      </c>
      <c r="E627" s="17">
        <v>4</v>
      </c>
    </row>
    <row r="628" spans="2:5">
      <c r="B628" s="37">
        <v>40969</v>
      </c>
      <c r="C628" s="17">
        <v>928366615.94000006</v>
      </c>
      <c r="D628" s="17" t="s">
        <v>10</v>
      </c>
      <c r="E628" s="17">
        <v>5</v>
      </c>
    </row>
    <row r="629" spans="2:5">
      <c r="B629" s="37">
        <v>40969</v>
      </c>
      <c r="C629" s="17">
        <v>872712001.54999995</v>
      </c>
      <c r="D629" s="17" t="s">
        <v>6</v>
      </c>
      <c r="E629" s="17">
        <v>6</v>
      </c>
    </row>
    <row r="630" spans="2:5">
      <c r="B630" s="37">
        <v>40969</v>
      </c>
      <c r="C630" s="17">
        <v>786087364.27999997</v>
      </c>
      <c r="D630" s="17" t="s">
        <v>5</v>
      </c>
      <c r="E630" s="17">
        <v>7</v>
      </c>
    </row>
    <row r="631" spans="2:5">
      <c r="B631" s="37">
        <v>40969</v>
      </c>
      <c r="C631" s="17">
        <v>497836190.08999997</v>
      </c>
      <c r="D631" s="17" t="s">
        <v>19</v>
      </c>
      <c r="E631" s="17">
        <v>8</v>
      </c>
    </row>
    <row r="632" spans="2:5">
      <c r="B632" s="37">
        <v>40969</v>
      </c>
      <c r="C632" s="17">
        <v>453592101.39999998</v>
      </c>
      <c r="D632" s="17" t="s">
        <v>105</v>
      </c>
      <c r="E632" s="17">
        <v>9</v>
      </c>
    </row>
    <row r="633" spans="2:5">
      <c r="B633" s="37">
        <v>40969</v>
      </c>
      <c r="C633" s="17">
        <v>391148443.35000002</v>
      </c>
      <c r="D633" s="17" t="s">
        <v>104</v>
      </c>
      <c r="E633" s="17">
        <v>10</v>
      </c>
    </row>
    <row r="634" spans="2:5">
      <c r="B634" s="37">
        <v>41000</v>
      </c>
      <c r="C634" s="17">
        <v>14678468587.370001</v>
      </c>
      <c r="D634" s="17" t="s">
        <v>11</v>
      </c>
      <c r="E634" s="17">
        <v>1</v>
      </c>
    </row>
    <row r="635" spans="2:5">
      <c r="B635" s="37">
        <v>41000</v>
      </c>
      <c r="C635" s="17">
        <v>3279782580.3499999</v>
      </c>
      <c r="D635" s="17" t="s">
        <v>13</v>
      </c>
      <c r="E635" s="17">
        <v>2</v>
      </c>
    </row>
    <row r="636" spans="2:5">
      <c r="B636" s="37">
        <v>41000</v>
      </c>
      <c r="C636" s="17">
        <v>1788024057.5599999</v>
      </c>
      <c r="D636" s="17" t="s">
        <v>32</v>
      </c>
      <c r="E636" s="17">
        <v>3</v>
      </c>
    </row>
    <row r="637" spans="2:5">
      <c r="B637" s="37">
        <v>41000</v>
      </c>
      <c r="C637" s="17">
        <v>1623946588.1600001</v>
      </c>
      <c r="D637" s="17" t="s">
        <v>8</v>
      </c>
      <c r="E637" s="17">
        <v>4</v>
      </c>
    </row>
    <row r="638" spans="2:5">
      <c r="B638" s="37">
        <v>41000</v>
      </c>
      <c r="C638" s="17">
        <v>1101107692.21</v>
      </c>
      <c r="D638" s="17" t="s">
        <v>10</v>
      </c>
      <c r="E638" s="17">
        <v>5</v>
      </c>
    </row>
    <row r="639" spans="2:5">
      <c r="B639" s="37">
        <v>41000</v>
      </c>
      <c r="C639" s="17">
        <v>676710285.07000005</v>
      </c>
      <c r="D639" s="17" t="s">
        <v>6</v>
      </c>
      <c r="E639" s="17">
        <v>6</v>
      </c>
    </row>
    <row r="640" spans="2:5">
      <c r="B640" s="37">
        <v>41000</v>
      </c>
      <c r="C640" s="17">
        <v>618156934.75</v>
      </c>
      <c r="D640" s="17" t="s">
        <v>105</v>
      </c>
      <c r="E640" s="17">
        <v>7</v>
      </c>
    </row>
    <row r="641" spans="2:5">
      <c r="B641" s="37">
        <v>41000</v>
      </c>
      <c r="C641" s="17">
        <v>609027301.90999997</v>
      </c>
      <c r="D641" s="17" t="s">
        <v>5</v>
      </c>
      <c r="E641" s="17">
        <v>8</v>
      </c>
    </row>
    <row r="642" spans="2:5">
      <c r="B642" s="37">
        <v>41000</v>
      </c>
      <c r="C642" s="17">
        <v>569748972.45000005</v>
      </c>
      <c r="D642" s="17" t="s">
        <v>17</v>
      </c>
      <c r="E642" s="17">
        <v>9</v>
      </c>
    </row>
    <row r="643" spans="2:5">
      <c r="B643" s="37">
        <v>41000</v>
      </c>
      <c r="C643" s="17">
        <v>561576112.60000002</v>
      </c>
      <c r="D643" s="17" t="s">
        <v>34</v>
      </c>
      <c r="E643" s="17">
        <v>10</v>
      </c>
    </row>
    <row r="644" spans="2:5">
      <c r="B644" s="37">
        <v>41030</v>
      </c>
      <c r="C644" s="17">
        <v>14867243244.77</v>
      </c>
      <c r="D644" s="17" t="s">
        <v>11</v>
      </c>
      <c r="E644" s="17">
        <v>1</v>
      </c>
    </row>
    <row r="645" spans="2:5">
      <c r="B645" s="37">
        <v>41030</v>
      </c>
      <c r="C645" s="17">
        <v>3475990122.7399998</v>
      </c>
      <c r="D645" s="17" t="s">
        <v>13</v>
      </c>
      <c r="E645" s="17">
        <v>2</v>
      </c>
    </row>
    <row r="646" spans="2:5">
      <c r="B646" s="37">
        <v>41030</v>
      </c>
      <c r="C646" s="17">
        <v>1636856120.0699999</v>
      </c>
      <c r="D646" s="17" t="s">
        <v>8</v>
      </c>
      <c r="E646" s="17">
        <v>3</v>
      </c>
    </row>
    <row r="647" spans="2:5">
      <c r="B647" s="37">
        <v>41030</v>
      </c>
      <c r="C647" s="17">
        <v>1533887121.8499999</v>
      </c>
      <c r="D647" s="17" t="s">
        <v>32</v>
      </c>
      <c r="E647" s="17">
        <v>4</v>
      </c>
    </row>
    <row r="648" spans="2:5">
      <c r="B648" s="37">
        <v>41030</v>
      </c>
      <c r="C648" s="17">
        <v>1203162304.6500001</v>
      </c>
      <c r="D648" s="17" t="s">
        <v>10</v>
      </c>
      <c r="E648" s="17">
        <v>5</v>
      </c>
    </row>
    <row r="649" spans="2:5">
      <c r="B649" s="37">
        <v>41030</v>
      </c>
      <c r="C649" s="17">
        <v>797397738.61000001</v>
      </c>
      <c r="D649" s="17" t="s">
        <v>6</v>
      </c>
      <c r="E649" s="17">
        <v>6</v>
      </c>
    </row>
    <row r="650" spans="2:5">
      <c r="B650" s="37">
        <v>41030</v>
      </c>
      <c r="C650" s="17">
        <v>663623792.21000004</v>
      </c>
      <c r="D650" s="17" t="s">
        <v>17</v>
      </c>
      <c r="E650" s="17">
        <v>7</v>
      </c>
    </row>
    <row r="651" spans="2:5">
      <c r="B651" s="37">
        <v>41030</v>
      </c>
      <c r="C651" s="17">
        <v>617874894.47000003</v>
      </c>
      <c r="D651" s="17" t="s">
        <v>105</v>
      </c>
      <c r="E651" s="17">
        <v>8</v>
      </c>
    </row>
    <row r="652" spans="2:5">
      <c r="B652" s="37">
        <v>41030</v>
      </c>
      <c r="C652" s="17">
        <v>557253106.67999995</v>
      </c>
      <c r="D652" s="17" t="s">
        <v>34</v>
      </c>
      <c r="E652" s="17">
        <v>9</v>
      </c>
    </row>
    <row r="653" spans="2:5">
      <c r="B653" s="37">
        <v>41030</v>
      </c>
      <c r="C653" s="17">
        <v>486117890.41000003</v>
      </c>
      <c r="D653" s="17" t="s">
        <v>5</v>
      </c>
      <c r="E653" s="17">
        <v>10</v>
      </c>
    </row>
    <row r="654" spans="2:5">
      <c r="B654" s="37">
        <v>41061</v>
      </c>
      <c r="C654" s="17">
        <v>12472666977.870001</v>
      </c>
      <c r="D654" s="17" t="s">
        <v>11</v>
      </c>
      <c r="E654" s="17">
        <v>1</v>
      </c>
    </row>
    <row r="655" spans="2:5">
      <c r="B655" s="37">
        <v>41061</v>
      </c>
      <c r="C655" s="17">
        <v>4129047027.5900002</v>
      </c>
      <c r="D655" s="17" t="s">
        <v>13</v>
      </c>
      <c r="E655" s="17">
        <v>2</v>
      </c>
    </row>
    <row r="656" spans="2:5">
      <c r="B656" s="37">
        <v>41061</v>
      </c>
      <c r="C656" s="17">
        <v>1654303007.46</v>
      </c>
      <c r="D656" s="17" t="s">
        <v>8</v>
      </c>
      <c r="E656" s="17">
        <v>3</v>
      </c>
    </row>
    <row r="657" spans="2:5">
      <c r="B657" s="37">
        <v>41061</v>
      </c>
      <c r="C657" s="17">
        <v>1032213747.79</v>
      </c>
      <c r="D657" s="17" t="s">
        <v>10</v>
      </c>
      <c r="E657" s="17">
        <v>4</v>
      </c>
    </row>
    <row r="658" spans="2:5">
      <c r="B658" s="37">
        <v>41061</v>
      </c>
      <c r="C658" s="17">
        <v>966010681.48000002</v>
      </c>
      <c r="D658" s="17" t="s">
        <v>32</v>
      </c>
      <c r="E658" s="17">
        <v>5</v>
      </c>
    </row>
    <row r="659" spans="2:5">
      <c r="B659" s="37">
        <v>41061</v>
      </c>
      <c r="C659" s="17">
        <v>723782638.42999995</v>
      </c>
      <c r="D659" s="17" t="s">
        <v>17</v>
      </c>
      <c r="E659" s="17">
        <v>6</v>
      </c>
    </row>
    <row r="660" spans="2:5">
      <c r="B660" s="37">
        <v>41061</v>
      </c>
      <c r="C660" s="17">
        <v>638652801.38</v>
      </c>
      <c r="D660" s="17" t="s">
        <v>6</v>
      </c>
      <c r="E660" s="17">
        <v>7</v>
      </c>
    </row>
    <row r="661" spans="2:5">
      <c r="B661" s="37">
        <v>41061</v>
      </c>
      <c r="C661" s="17">
        <v>612221707.07000005</v>
      </c>
      <c r="D661" s="17" t="s">
        <v>106</v>
      </c>
      <c r="E661" s="17">
        <v>8</v>
      </c>
    </row>
    <row r="662" spans="2:5">
      <c r="B662" s="37">
        <v>41061</v>
      </c>
      <c r="C662" s="17">
        <v>545917402.63999999</v>
      </c>
      <c r="D662" s="17" t="s">
        <v>104</v>
      </c>
      <c r="E662" s="17">
        <v>9</v>
      </c>
    </row>
    <row r="663" spans="2:5">
      <c r="B663" s="37">
        <v>41061</v>
      </c>
      <c r="C663" s="17">
        <v>543998687.45000005</v>
      </c>
      <c r="D663" s="17" t="s">
        <v>105</v>
      </c>
      <c r="E663" s="17">
        <v>10</v>
      </c>
    </row>
    <row r="664" spans="2:5">
      <c r="B664" s="37">
        <v>41091</v>
      </c>
      <c r="C664" s="17">
        <v>12115594759.610001</v>
      </c>
      <c r="D664" s="17" t="s">
        <v>11</v>
      </c>
      <c r="E664" s="17">
        <v>1</v>
      </c>
    </row>
    <row r="665" spans="2:5">
      <c r="B665" s="37">
        <v>41091</v>
      </c>
      <c r="C665" s="17">
        <v>2680981349.2399998</v>
      </c>
      <c r="D665" s="17" t="s">
        <v>13</v>
      </c>
      <c r="E665" s="17">
        <v>2</v>
      </c>
    </row>
    <row r="666" spans="2:5">
      <c r="B666" s="37">
        <v>41091</v>
      </c>
      <c r="C666" s="17">
        <v>1498448140.76</v>
      </c>
      <c r="D666" s="17" t="s">
        <v>8</v>
      </c>
      <c r="E666" s="17">
        <v>3</v>
      </c>
    </row>
    <row r="667" spans="2:5">
      <c r="B667" s="37">
        <v>41091</v>
      </c>
      <c r="C667" s="17">
        <v>867414598.09000003</v>
      </c>
      <c r="D667" s="17" t="s">
        <v>10</v>
      </c>
      <c r="E667" s="17">
        <v>4</v>
      </c>
    </row>
    <row r="668" spans="2:5">
      <c r="B668" s="37">
        <v>41091</v>
      </c>
      <c r="C668" s="17">
        <v>861157919.33000004</v>
      </c>
      <c r="D668" s="17" t="s">
        <v>6</v>
      </c>
      <c r="E668" s="17">
        <v>5</v>
      </c>
    </row>
    <row r="669" spans="2:5">
      <c r="B669" s="37">
        <v>41091</v>
      </c>
      <c r="C669" s="17">
        <v>833624076.48000002</v>
      </c>
      <c r="D669" s="17" t="s">
        <v>32</v>
      </c>
      <c r="E669" s="17">
        <v>6</v>
      </c>
    </row>
    <row r="670" spans="2:5">
      <c r="B670" s="37">
        <v>41091</v>
      </c>
      <c r="C670" s="17">
        <v>648686305.75</v>
      </c>
      <c r="D670" s="17" t="s">
        <v>105</v>
      </c>
      <c r="E670" s="17">
        <v>7</v>
      </c>
    </row>
    <row r="671" spans="2:5">
      <c r="B671" s="37">
        <v>41091</v>
      </c>
      <c r="C671" s="17">
        <v>647523112.40999997</v>
      </c>
      <c r="D671" s="17" t="s">
        <v>106</v>
      </c>
      <c r="E671" s="17">
        <v>8</v>
      </c>
    </row>
    <row r="672" spans="2:5">
      <c r="B672" s="37">
        <v>41091</v>
      </c>
      <c r="C672" s="17">
        <v>596162590.98000002</v>
      </c>
      <c r="D672" s="17" t="s">
        <v>17</v>
      </c>
      <c r="E672" s="17">
        <v>9</v>
      </c>
    </row>
    <row r="673" spans="2:5">
      <c r="B673" s="37">
        <v>41091</v>
      </c>
      <c r="C673" s="17">
        <v>471292020.60000002</v>
      </c>
      <c r="D673" s="17" t="s">
        <v>34</v>
      </c>
      <c r="E673" s="17">
        <v>10</v>
      </c>
    </row>
    <row r="674" spans="2:5">
      <c r="B674" s="37">
        <v>41122</v>
      </c>
      <c r="C674" s="17">
        <v>15536484394.24</v>
      </c>
      <c r="D674" s="17" t="s">
        <v>11</v>
      </c>
      <c r="E674" s="17">
        <v>1</v>
      </c>
    </row>
    <row r="675" spans="2:5">
      <c r="B675" s="37">
        <v>41122</v>
      </c>
      <c r="C675" s="17">
        <v>3610770531.3699999</v>
      </c>
      <c r="D675" s="17" t="s">
        <v>13</v>
      </c>
      <c r="E675" s="17">
        <v>2</v>
      </c>
    </row>
    <row r="676" spans="2:5">
      <c r="B676" s="37">
        <v>41122</v>
      </c>
      <c r="C676" s="17">
        <v>1448198788.1400001</v>
      </c>
      <c r="D676" s="17" t="s">
        <v>8</v>
      </c>
      <c r="E676" s="17">
        <v>3</v>
      </c>
    </row>
    <row r="677" spans="2:5">
      <c r="B677" s="37">
        <v>41122</v>
      </c>
      <c r="C677" s="17">
        <v>1241206979.5</v>
      </c>
      <c r="D677" s="17" t="s">
        <v>10</v>
      </c>
      <c r="E677" s="17">
        <v>4</v>
      </c>
    </row>
    <row r="678" spans="2:5">
      <c r="B678" s="37">
        <v>41122</v>
      </c>
      <c r="C678" s="17">
        <v>1033452698</v>
      </c>
      <c r="D678" s="17" t="s">
        <v>32</v>
      </c>
      <c r="E678" s="17">
        <v>5</v>
      </c>
    </row>
    <row r="679" spans="2:5">
      <c r="B679" s="37">
        <v>41122</v>
      </c>
      <c r="C679" s="17">
        <v>940599642.59000003</v>
      </c>
      <c r="D679" s="17" t="s">
        <v>34</v>
      </c>
      <c r="E679" s="17">
        <v>6</v>
      </c>
    </row>
    <row r="680" spans="2:5">
      <c r="B680" s="37">
        <v>41122</v>
      </c>
      <c r="C680" s="17">
        <v>911244053.24000001</v>
      </c>
      <c r="D680" s="17" t="s">
        <v>106</v>
      </c>
      <c r="E680" s="17">
        <v>7</v>
      </c>
    </row>
    <row r="681" spans="2:5">
      <c r="B681" s="37">
        <v>41122</v>
      </c>
      <c r="C681" s="17">
        <v>883257447.82000005</v>
      </c>
      <c r="D681" s="17" t="s">
        <v>6</v>
      </c>
      <c r="E681" s="17">
        <v>8</v>
      </c>
    </row>
    <row r="682" spans="2:5">
      <c r="B682" s="37">
        <v>41122</v>
      </c>
      <c r="C682" s="17">
        <v>873613684.47000003</v>
      </c>
      <c r="D682" s="17" t="s">
        <v>105</v>
      </c>
      <c r="E682" s="17">
        <v>9</v>
      </c>
    </row>
    <row r="683" spans="2:5">
      <c r="B683" s="37">
        <v>41122</v>
      </c>
      <c r="C683" s="17">
        <v>741317822.19000006</v>
      </c>
      <c r="D683" s="17" t="s">
        <v>17</v>
      </c>
      <c r="E683" s="17">
        <v>10</v>
      </c>
    </row>
    <row r="684" spans="2:5">
      <c r="B684" s="37">
        <v>41153</v>
      </c>
      <c r="C684" s="17">
        <v>14243174523.99</v>
      </c>
      <c r="D684" s="17" t="s">
        <v>11</v>
      </c>
      <c r="E684" s="17">
        <v>1</v>
      </c>
    </row>
    <row r="685" spans="2:5">
      <c r="B685" s="37">
        <v>41153</v>
      </c>
      <c r="C685" s="17">
        <v>3530525371.5100002</v>
      </c>
      <c r="D685" s="17" t="s">
        <v>13</v>
      </c>
      <c r="E685" s="17">
        <v>2</v>
      </c>
    </row>
    <row r="686" spans="2:5">
      <c r="B686" s="37">
        <v>41153</v>
      </c>
      <c r="C686" s="17">
        <v>1626024510.22</v>
      </c>
      <c r="D686" s="17" t="s">
        <v>8</v>
      </c>
      <c r="E686" s="17">
        <v>3</v>
      </c>
    </row>
    <row r="687" spans="2:5">
      <c r="B687" s="37">
        <v>41153</v>
      </c>
      <c r="C687" s="17">
        <v>1318828499.48</v>
      </c>
      <c r="D687" s="17" t="s">
        <v>32</v>
      </c>
      <c r="E687" s="17">
        <v>4</v>
      </c>
    </row>
    <row r="688" spans="2:5">
      <c r="B688" s="37">
        <v>41153</v>
      </c>
      <c r="C688" s="17">
        <v>1008495978.03</v>
      </c>
      <c r="D688" s="17" t="s">
        <v>10</v>
      </c>
      <c r="E688" s="17">
        <v>5</v>
      </c>
    </row>
    <row r="689" spans="2:5">
      <c r="B689" s="37">
        <v>41153</v>
      </c>
      <c r="C689" s="17">
        <v>963210624.91999996</v>
      </c>
      <c r="D689" s="17" t="s">
        <v>6</v>
      </c>
      <c r="E689" s="17">
        <v>6</v>
      </c>
    </row>
    <row r="690" spans="2:5">
      <c r="B690" s="37">
        <v>41153</v>
      </c>
      <c r="C690" s="17">
        <v>954341251.76999998</v>
      </c>
      <c r="D690" s="17" t="s">
        <v>105</v>
      </c>
      <c r="E690" s="17">
        <v>7</v>
      </c>
    </row>
    <row r="691" spans="2:5">
      <c r="B691" s="37">
        <v>41153</v>
      </c>
      <c r="C691" s="17">
        <v>885925502.97000003</v>
      </c>
      <c r="D691" s="17" t="s">
        <v>34</v>
      </c>
      <c r="E691" s="17">
        <v>8</v>
      </c>
    </row>
    <row r="692" spans="2:5">
      <c r="B692" s="37">
        <v>41153</v>
      </c>
      <c r="C692" s="17">
        <v>850069761.46000004</v>
      </c>
      <c r="D692" s="17" t="s">
        <v>106</v>
      </c>
      <c r="E692" s="17">
        <v>9</v>
      </c>
    </row>
    <row r="693" spans="2:5">
      <c r="B693" s="37">
        <v>41153</v>
      </c>
      <c r="C693" s="17">
        <v>599176254.21000004</v>
      </c>
      <c r="D693" s="17" t="s">
        <v>17</v>
      </c>
      <c r="E693" s="17">
        <v>10</v>
      </c>
    </row>
    <row r="694" spans="2:5">
      <c r="B694" s="37">
        <v>41183</v>
      </c>
      <c r="C694" s="17">
        <v>12119713533.76</v>
      </c>
      <c r="D694" s="17" t="s">
        <v>11</v>
      </c>
      <c r="E694" s="17">
        <v>1</v>
      </c>
    </row>
    <row r="695" spans="2:5">
      <c r="B695" s="37">
        <v>41183</v>
      </c>
      <c r="C695" s="17">
        <v>3647960504.6300001</v>
      </c>
      <c r="D695" s="17" t="s">
        <v>13</v>
      </c>
      <c r="E695" s="17">
        <v>2</v>
      </c>
    </row>
    <row r="696" spans="2:5">
      <c r="B696" s="37">
        <v>41183</v>
      </c>
      <c r="C696" s="17">
        <v>1320822642.8</v>
      </c>
      <c r="D696" s="17" t="s">
        <v>8</v>
      </c>
      <c r="E696" s="17">
        <v>3</v>
      </c>
    </row>
    <row r="697" spans="2:5">
      <c r="B697" s="37">
        <v>41183</v>
      </c>
      <c r="C697" s="17">
        <v>1213010804.3299999</v>
      </c>
      <c r="D697" s="17" t="s">
        <v>106</v>
      </c>
      <c r="E697" s="17">
        <v>4</v>
      </c>
    </row>
    <row r="698" spans="2:5">
      <c r="B698" s="37">
        <v>41183</v>
      </c>
      <c r="C698" s="17">
        <v>1209129920.97</v>
      </c>
      <c r="D698" s="17" t="s">
        <v>10</v>
      </c>
      <c r="E698" s="17">
        <v>5</v>
      </c>
    </row>
    <row r="699" spans="2:5">
      <c r="B699" s="37">
        <v>41183</v>
      </c>
      <c r="C699" s="17">
        <v>1147683633.0899999</v>
      </c>
      <c r="D699" s="17" t="s">
        <v>32</v>
      </c>
      <c r="E699" s="17">
        <v>6</v>
      </c>
    </row>
    <row r="700" spans="2:5">
      <c r="B700" s="37">
        <v>41183</v>
      </c>
      <c r="C700" s="17">
        <v>1063797140.58</v>
      </c>
      <c r="D700" s="17" t="s">
        <v>105</v>
      </c>
      <c r="E700" s="17">
        <v>7</v>
      </c>
    </row>
    <row r="701" spans="2:5">
      <c r="B701" s="37">
        <v>41183</v>
      </c>
      <c r="C701" s="17">
        <v>769766685.66999996</v>
      </c>
      <c r="D701" s="17" t="s">
        <v>34</v>
      </c>
      <c r="E701" s="17">
        <v>8</v>
      </c>
    </row>
    <row r="702" spans="2:5">
      <c r="B702" s="37">
        <v>41183</v>
      </c>
      <c r="C702" s="17">
        <v>735677902.50999999</v>
      </c>
      <c r="D702" s="17" t="s">
        <v>6</v>
      </c>
      <c r="E702" s="17">
        <v>9</v>
      </c>
    </row>
    <row r="703" spans="2:5">
      <c r="B703" s="37">
        <v>41183</v>
      </c>
      <c r="C703" s="17">
        <v>642364941.15999997</v>
      </c>
      <c r="D703" s="17" t="s">
        <v>17</v>
      </c>
      <c r="E703" s="17">
        <v>10</v>
      </c>
    </row>
    <row r="704" spans="2:5">
      <c r="B704" s="37">
        <v>41214</v>
      </c>
      <c r="C704" s="17">
        <v>14279880239.870001</v>
      </c>
      <c r="D704" s="17" t="s">
        <v>11</v>
      </c>
      <c r="E704" s="17">
        <v>1</v>
      </c>
    </row>
    <row r="705" spans="2:5">
      <c r="B705" s="37">
        <v>41214</v>
      </c>
      <c r="C705" s="17">
        <v>3867768341.0599999</v>
      </c>
      <c r="D705" s="17" t="s">
        <v>13</v>
      </c>
      <c r="E705" s="17">
        <v>2</v>
      </c>
    </row>
    <row r="706" spans="2:5">
      <c r="B706" s="37">
        <v>41214</v>
      </c>
      <c r="C706" s="17">
        <v>1410120185.45</v>
      </c>
      <c r="D706" s="17" t="s">
        <v>105</v>
      </c>
      <c r="E706" s="17">
        <v>3</v>
      </c>
    </row>
    <row r="707" spans="2:5">
      <c r="B707" s="37">
        <v>41214</v>
      </c>
      <c r="C707" s="17">
        <v>1388371101.05</v>
      </c>
      <c r="D707" s="17" t="s">
        <v>32</v>
      </c>
      <c r="E707" s="17">
        <v>4</v>
      </c>
    </row>
    <row r="708" spans="2:5">
      <c r="B708" s="37">
        <v>41214</v>
      </c>
      <c r="C708" s="17">
        <v>1345929826.8099999</v>
      </c>
      <c r="D708" s="17" t="s">
        <v>8</v>
      </c>
      <c r="E708" s="17">
        <v>5</v>
      </c>
    </row>
    <row r="709" spans="2:5">
      <c r="B709" s="37">
        <v>41214</v>
      </c>
      <c r="C709" s="17">
        <v>1141247243.5699999</v>
      </c>
      <c r="D709" s="17" t="s">
        <v>106</v>
      </c>
      <c r="E709" s="17">
        <v>6</v>
      </c>
    </row>
    <row r="710" spans="2:5">
      <c r="B710" s="37">
        <v>41214</v>
      </c>
      <c r="C710" s="17">
        <v>1122261747.9300001</v>
      </c>
      <c r="D710" s="17" t="s">
        <v>10</v>
      </c>
      <c r="E710" s="17">
        <v>7</v>
      </c>
    </row>
    <row r="711" spans="2:5">
      <c r="B711" s="37">
        <v>41214</v>
      </c>
      <c r="C711" s="17">
        <v>1101156705.0699999</v>
      </c>
      <c r="D711" s="17" t="s">
        <v>6</v>
      </c>
      <c r="E711" s="17">
        <v>8</v>
      </c>
    </row>
    <row r="712" spans="2:5">
      <c r="B712" s="37">
        <v>41214</v>
      </c>
      <c r="C712" s="17">
        <v>756950622.17999995</v>
      </c>
      <c r="D712" s="17" t="s">
        <v>17</v>
      </c>
      <c r="E712" s="17">
        <v>9</v>
      </c>
    </row>
    <row r="713" spans="2:5">
      <c r="B713" s="37">
        <v>41214</v>
      </c>
      <c r="C713" s="17">
        <v>687746377.41999996</v>
      </c>
      <c r="D713" s="17" t="s">
        <v>34</v>
      </c>
      <c r="E713" s="17">
        <v>10</v>
      </c>
    </row>
    <row r="714" spans="2:5">
      <c r="B714" s="37">
        <v>41244</v>
      </c>
      <c r="C714" s="17">
        <v>11715803235.52</v>
      </c>
      <c r="D714" s="17" t="s">
        <v>11</v>
      </c>
      <c r="E714" s="17">
        <v>1</v>
      </c>
    </row>
    <row r="715" spans="2:5">
      <c r="B715" s="37">
        <v>41244</v>
      </c>
      <c r="C715" s="17">
        <v>4603155104.75</v>
      </c>
      <c r="D715" s="17" t="s">
        <v>13</v>
      </c>
      <c r="E715" s="17">
        <v>2</v>
      </c>
    </row>
    <row r="716" spans="2:5">
      <c r="B716" s="37">
        <v>41244</v>
      </c>
      <c r="C716" s="17">
        <v>1426030210.0899999</v>
      </c>
      <c r="D716" s="17" t="s">
        <v>8</v>
      </c>
      <c r="E716" s="17">
        <v>3</v>
      </c>
    </row>
    <row r="717" spans="2:5">
      <c r="B717" s="37">
        <v>41244</v>
      </c>
      <c r="C717" s="17">
        <v>1333008346.5999999</v>
      </c>
      <c r="D717" s="17" t="s">
        <v>32</v>
      </c>
      <c r="E717" s="17">
        <v>4</v>
      </c>
    </row>
    <row r="718" spans="2:5">
      <c r="B718" s="37">
        <v>41244</v>
      </c>
      <c r="C718" s="17">
        <v>1262535516.5</v>
      </c>
      <c r="D718" s="17" t="s">
        <v>106</v>
      </c>
      <c r="E718" s="17">
        <v>5</v>
      </c>
    </row>
    <row r="719" spans="2:5">
      <c r="B719" s="37">
        <v>41244</v>
      </c>
      <c r="C719" s="17">
        <v>1195233760.3199999</v>
      </c>
      <c r="D719" s="17" t="s">
        <v>105</v>
      </c>
      <c r="E719" s="17">
        <v>6</v>
      </c>
    </row>
    <row r="720" spans="2:5">
      <c r="B720" s="37">
        <v>41244</v>
      </c>
      <c r="C720" s="17">
        <v>1060890323.79</v>
      </c>
      <c r="D720" s="17" t="s">
        <v>10</v>
      </c>
      <c r="E720" s="17">
        <v>7</v>
      </c>
    </row>
    <row r="721" spans="2:5">
      <c r="B721" s="37">
        <v>41244</v>
      </c>
      <c r="C721" s="17">
        <v>1050570358.36</v>
      </c>
      <c r="D721" s="17" t="s">
        <v>6</v>
      </c>
      <c r="E721" s="17">
        <v>8</v>
      </c>
    </row>
    <row r="722" spans="2:5">
      <c r="B722" s="37">
        <v>41244</v>
      </c>
      <c r="C722" s="17">
        <v>777947751</v>
      </c>
      <c r="D722" s="17" t="s">
        <v>103</v>
      </c>
      <c r="E722" s="17">
        <v>9</v>
      </c>
    </row>
    <row r="723" spans="2:5">
      <c r="B723" s="37">
        <v>41244</v>
      </c>
      <c r="C723" s="17">
        <v>696726169.28999996</v>
      </c>
      <c r="D723" s="17" t="s">
        <v>28</v>
      </c>
      <c r="E723" s="17">
        <v>10</v>
      </c>
    </row>
    <row r="724" spans="2:5">
      <c r="B724" s="37">
        <v>41275</v>
      </c>
      <c r="C724" s="17">
        <v>12333810135.870001</v>
      </c>
      <c r="D724" s="17" t="s">
        <v>11</v>
      </c>
      <c r="E724" s="17">
        <v>1</v>
      </c>
    </row>
    <row r="725" spans="2:5">
      <c r="B725" s="37">
        <v>41275</v>
      </c>
      <c r="C725" s="17">
        <v>3406595229.4200001</v>
      </c>
      <c r="D725" s="17" t="s">
        <v>13</v>
      </c>
      <c r="E725" s="17">
        <v>2</v>
      </c>
    </row>
    <row r="726" spans="2:5">
      <c r="B726" s="37">
        <v>41275</v>
      </c>
      <c r="C726" s="17">
        <v>1358811877.3299999</v>
      </c>
      <c r="D726" s="17" t="s">
        <v>105</v>
      </c>
      <c r="E726" s="17">
        <v>3</v>
      </c>
    </row>
    <row r="727" spans="2:5">
      <c r="B727" s="37">
        <v>41275</v>
      </c>
      <c r="C727" s="17">
        <v>1278250980.23</v>
      </c>
      <c r="D727" s="17" t="s">
        <v>32</v>
      </c>
      <c r="E727" s="17">
        <v>4</v>
      </c>
    </row>
    <row r="728" spans="2:5">
      <c r="B728" s="37">
        <v>41275</v>
      </c>
      <c r="C728" s="17">
        <v>1250542649.1199999</v>
      </c>
      <c r="D728" s="17" t="s">
        <v>106</v>
      </c>
      <c r="E728" s="17">
        <v>5</v>
      </c>
    </row>
    <row r="729" spans="2:5">
      <c r="B729" s="37">
        <v>41275</v>
      </c>
      <c r="C729" s="17">
        <v>1098609814.0599999</v>
      </c>
      <c r="D729" s="17" t="s">
        <v>8</v>
      </c>
      <c r="E729" s="17">
        <v>6</v>
      </c>
    </row>
    <row r="730" spans="2:5">
      <c r="B730" s="37">
        <v>41275</v>
      </c>
      <c r="C730" s="17">
        <v>1056753409.04</v>
      </c>
      <c r="D730" s="17" t="s">
        <v>10</v>
      </c>
      <c r="E730" s="17">
        <v>7</v>
      </c>
    </row>
    <row r="731" spans="2:5">
      <c r="B731" s="37">
        <v>41275</v>
      </c>
      <c r="C731" s="17">
        <v>905677367.41999996</v>
      </c>
      <c r="D731" s="17" t="s">
        <v>6</v>
      </c>
      <c r="E731" s="17">
        <v>8</v>
      </c>
    </row>
    <row r="732" spans="2:5">
      <c r="B732" s="37">
        <v>41275</v>
      </c>
      <c r="C732" s="17">
        <v>628292826.95000005</v>
      </c>
      <c r="D732" s="17" t="s">
        <v>34</v>
      </c>
      <c r="E732" s="17">
        <v>9</v>
      </c>
    </row>
    <row r="733" spans="2:5">
      <c r="B733" s="37">
        <v>41275</v>
      </c>
      <c r="C733" s="17">
        <v>587531397.90999997</v>
      </c>
      <c r="D733" s="17" t="s">
        <v>28</v>
      </c>
      <c r="E733" s="17">
        <v>10</v>
      </c>
    </row>
    <row r="734" spans="2:5">
      <c r="B734" s="37">
        <v>41306</v>
      </c>
      <c r="C734" s="17">
        <v>11492145992.860001</v>
      </c>
      <c r="D734" s="17" t="s">
        <v>11</v>
      </c>
      <c r="E734" s="17">
        <v>1</v>
      </c>
    </row>
    <row r="735" spans="2:5">
      <c r="B735" s="37">
        <v>41306</v>
      </c>
      <c r="C735" s="17">
        <v>4297785616.7799997</v>
      </c>
      <c r="D735" s="17" t="s">
        <v>13</v>
      </c>
      <c r="E735" s="17">
        <v>2</v>
      </c>
    </row>
    <row r="736" spans="2:5">
      <c r="B736" s="37">
        <v>41306</v>
      </c>
      <c r="C736" s="17">
        <v>1522817944.51</v>
      </c>
      <c r="D736" s="17" t="s">
        <v>105</v>
      </c>
      <c r="E736" s="17">
        <v>3</v>
      </c>
    </row>
    <row r="737" spans="2:5">
      <c r="B737" s="37">
        <v>41306</v>
      </c>
      <c r="C737" s="17">
        <v>1508469793.8099999</v>
      </c>
      <c r="D737" s="17" t="s">
        <v>32</v>
      </c>
      <c r="E737" s="17">
        <v>4</v>
      </c>
    </row>
    <row r="738" spans="2:5">
      <c r="B738" s="37">
        <v>41306</v>
      </c>
      <c r="C738" s="17">
        <v>1434622714.1600001</v>
      </c>
      <c r="D738" s="17" t="s">
        <v>8</v>
      </c>
      <c r="E738" s="17">
        <v>5</v>
      </c>
    </row>
    <row r="739" spans="2:5">
      <c r="B739" s="37">
        <v>41306</v>
      </c>
      <c r="C739" s="17">
        <v>1221634377.97</v>
      </c>
      <c r="D739" s="17" t="s">
        <v>106</v>
      </c>
      <c r="E739" s="17">
        <v>6</v>
      </c>
    </row>
    <row r="740" spans="2:5">
      <c r="B740" s="37">
        <v>41306</v>
      </c>
      <c r="C740" s="17">
        <v>1051446865.35</v>
      </c>
      <c r="D740" s="17" t="s">
        <v>10</v>
      </c>
      <c r="E740" s="17">
        <v>7</v>
      </c>
    </row>
    <row r="741" spans="2:5">
      <c r="B741" s="37">
        <v>41306</v>
      </c>
      <c r="C741" s="17">
        <v>726387958.42999995</v>
      </c>
      <c r="D741" s="17" t="s">
        <v>6</v>
      </c>
      <c r="E741" s="17">
        <v>8</v>
      </c>
    </row>
    <row r="742" spans="2:5">
      <c r="B742" s="37">
        <v>41306</v>
      </c>
      <c r="C742" s="17">
        <v>605117600.45000005</v>
      </c>
      <c r="D742" s="17" t="s">
        <v>34</v>
      </c>
      <c r="E742" s="17">
        <v>9</v>
      </c>
    </row>
    <row r="743" spans="2:5">
      <c r="B743" s="37">
        <v>41306</v>
      </c>
      <c r="C743" s="17">
        <v>590980280.65999997</v>
      </c>
      <c r="D743" s="17" t="s">
        <v>17</v>
      </c>
      <c r="E743" s="17">
        <v>10</v>
      </c>
    </row>
    <row r="744" spans="2:5">
      <c r="B744" s="37">
        <v>41334</v>
      </c>
      <c r="C744" s="17">
        <v>9568034422.0900002</v>
      </c>
      <c r="D744" s="17" t="s">
        <v>11</v>
      </c>
      <c r="E744" s="17">
        <v>1</v>
      </c>
    </row>
    <row r="745" spans="2:5">
      <c r="B745" s="37">
        <v>41334</v>
      </c>
      <c r="C745" s="17">
        <v>4541262709.5900002</v>
      </c>
      <c r="D745" s="17" t="s">
        <v>13</v>
      </c>
      <c r="E745" s="17">
        <v>2</v>
      </c>
    </row>
    <row r="746" spans="2:5">
      <c r="B746" s="37">
        <v>41334</v>
      </c>
      <c r="C746" s="17">
        <v>1531102982.5999999</v>
      </c>
      <c r="D746" s="17" t="s">
        <v>32</v>
      </c>
      <c r="E746" s="17">
        <v>3</v>
      </c>
    </row>
    <row r="747" spans="2:5">
      <c r="B747" s="37">
        <v>41334</v>
      </c>
      <c r="C747" s="17">
        <v>1390934944.3399999</v>
      </c>
      <c r="D747" s="17" t="s">
        <v>105</v>
      </c>
      <c r="E747" s="17">
        <v>4</v>
      </c>
    </row>
    <row r="748" spans="2:5">
      <c r="B748" s="37">
        <v>41334</v>
      </c>
      <c r="C748" s="17">
        <v>1222387102.5999999</v>
      </c>
      <c r="D748" s="17" t="s">
        <v>8</v>
      </c>
      <c r="E748" s="17">
        <v>5</v>
      </c>
    </row>
    <row r="749" spans="2:5">
      <c r="B749" s="37">
        <v>41334</v>
      </c>
      <c r="C749" s="17">
        <v>1185296820.3</v>
      </c>
      <c r="D749" s="17" t="s">
        <v>106</v>
      </c>
      <c r="E749" s="17">
        <v>6</v>
      </c>
    </row>
    <row r="750" spans="2:5">
      <c r="B750" s="37">
        <v>41334</v>
      </c>
      <c r="C750" s="17">
        <v>968502735.75</v>
      </c>
      <c r="D750" s="17" t="s">
        <v>10</v>
      </c>
      <c r="E750" s="17">
        <v>7</v>
      </c>
    </row>
    <row r="751" spans="2:5">
      <c r="B751" s="37">
        <v>41334</v>
      </c>
      <c r="C751" s="17">
        <v>766459786.45000005</v>
      </c>
      <c r="D751" s="17" t="s">
        <v>6</v>
      </c>
      <c r="E751" s="17">
        <v>8</v>
      </c>
    </row>
    <row r="752" spans="2:5">
      <c r="B752" s="37">
        <v>41334</v>
      </c>
      <c r="C752" s="17">
        <v>678345069.05999994</v>
      </c>
      <c r="D752" s="17" t="s">
        <v>28</v>
      </c>
      <c r="E752" s="17">
        <v>9</v>
      </c>
    </row>
    <row r="753" spans="2:5">
      <c r="B753" s="37">
        <v>41334</v>
      </c>
      <c r="C753" s="17">
        <v>494448848.54000002</v>
      </c>
      <c r="D753" s="17" t="s">
        <v>17</v>
      </c>
      <c r="E753" s="17">
        <v>10</v>
      </c>
    </row>
    <row r="754" spans="2:5">
      <c r="B754" s="41">
        <v>41365</v>
      </c>
      <c r="C754" s="42">
        <v>11279857954.74</v>
      </c>
      <c r="D754" s="42" t="s">
        <v>11</v>
      </c>
      <c r="E754" s="42">
        <v>1</v>
      </c>
    </row>
    <row r="755" spans="2:5">
      <c r="B755" s="41">
        <v>41365</v>
      </c>
      <c r="C755" s="42">
        <v>4195492989.2800002</v>
      </c>
      <c r="D755" s="42" t="s">
        <v>13</v>
      </c>
      <c r="E755" s="42">
        <v>2</v>
      </c>
    </row>
    <row r="756" spans="2:5">
      <c r="B756" s="41">
        <v>41365</v>
      </c>
      <c r="C756" s="42">
        <v>1797450747.04</v>
      </c>
      <c r="D756" s="42" t="s">
        <v>32</v>
      </c>
      <c r="E756" s="42">
        <v>3</v>
      </c>
    </row>
    <row r="757" spans="2:5">
      <c r="B757" s="41">
        <v>41365</v>
      </c>
      <c r="C757" s="42">
        <v>1648217309.1500001</v>
      </c>
      <c r="D757" s="42" t="s">
        <v>8</v>
      </c>
      <c r="E757" s="42">
        <v>4</v>
      </c>
    </row>
    <row r="758" spans="2:5">
      <c r="B758" s="41">
        <v>41365</v>
      </c>
      <c r="C758" s="42">
        <v>1302284671.3699999</v>
      </c>
      <c r="D758" s="42" t="s">
        <v>105</v>
      </c>
      <c r="E758" s="42">
        <v>5</v>
      </c>
    </row>
    <row r="759" spans="2:5">
      <c r="B759" s="41">
        <v>41365</v>
      </c>
      <c r="C759" s="42">
        <v>1297895003.49</v>
      </c>
      <c r="D759" s="42" t="s">
        <v>106</v>
      </c>
      <c r="E759" s="42">
        <v>6</v>
      </c>
    </row>
    <row r="760" spans="2:5">
      <c r="B760" s="41">
        <v>41365</v>
      </c>
      <c r="C760" s="42">
        <v>1086522366.0599999</v>
      </c>
      <c r="D760" s="42" t="s">
        <v>6</v>
      </c>
      <c r="E760" s="42">
        <v>7</v>
      </c>
    </row>
    <row r="761" spans="2:5">
      <c r="B761" s="41">
        <v>41365</v>
      </c>
      <c r="C761" s="42">
        <v>918488192.34000003</v>
      </c>
      <c r="D761" s="42" t="s">
        <v>10</v>
      </c>
      <c r="E761" s="42">
        <v>8</v>
      </c>
    </row>
    <row r="762" spans="2:5">
      <c r="B762" s="41">
        <v>41365</v>
      </c>
      <c r="C762" s="42">
        <v>860474327.73000002</v>
      </c>
      <c r="D762" s="42" t="s">
        <v>28</v>
      </c>
      <c r="E762" s="42">
        <v>9</v>
      </c>
    </row>
    <row r="763" spans="2:5">
      <c r="B763" s="41">
        <v>41365</v>
      </c>
      <c r="C763" s="42">
        <v>584291828.42999995</v>
      </c>
      <c r="D763" s="42" t="s">
        <v>17</v>
      </c>
      <c r="E763" s="42">
        <v>10</v>
      </c>
    </row>
    <row r="764" spans="2:5">
      <c r="B764" s="41">
        <v>41395</v>
      </c>
      <c r="C764" s="42">
        <v>11488927028.709999</v>
      </c>
      <c r="D764" s="42" t="s">
        <v>11</v>
      </c>
      <c r="E764" s="42">
        <v>1</v>
      </c>
    </row>
    <row r="765" spans="2:5">
      <c r="B765" s="41">
        <v>41395</v>
      </c>
      <c r="C765" s="42">
        <v>4738173677.5200005</v>
      </c>
      <c r="D765" s="42" t="s">
        <v>13</v>
      </c>
      <c r="E765" s="42">
        <v>2</v>
      </c>
    </row>
    <row r="766" spans="2:5">
      <c r="B766" s="41">
        <v>41395</v>
      </c>
      <c r="C766" s="42">
        <v>1755678401.27</v>
      </c>
      <c r="D766" s="42" t="s">
        <v>32</v>
      </c>
      <c r="E766" s="42">
        <v>3</v>
      </c>
    </row>
    <row r="767" spans="2:5">
      <c r="B767" s="41">
        <v>41395</v>
      </c>
      <c r="C767" s="42">
        <v>1596995131.97</v>
      </c>
      <c r="D767" s="42" t="s">
        <v>8</v>
      </c>
      <c r="E767" s="42">
        <v>4</v>
      </c>
    </row>
    <row r="768" spans="2:5">
      <c r="B768" s="41">
        <v>41395</v>
      </c>
      <c r="C768" s="42">
        <v>1292282132.1900001</v>
      </c>
      <c r="D768" s="42" t="s">
        <v>106</v>
      </c>
      <c r="E768" s="42">
        <v>5</v>
      </c>
    </row>
    <row r="769" spans="2:5">
      <c r="B769" s="41">
        <v>41395</v>
      </c>
      <c r="C769" s="42">
        <v>1035640548.02</v>
      </c>
      <c r="D769" s="42" t="s">
        <v>6</v>
      </c>
      <c r="E769" s="42">
        <v>6</v>
      </c>
    </row>
    <row r="770" spans="2:5">
      <c r="B770" s="41">
        <v>41395</v>
      </c>
      <c r="C770" s="42">
        <v>931298107.47000003</v>
      </c>
      <c r="D770" s="42" t="s">
        <v>105</v>
      </c>
      <c r="E770" s="42">
        <v>7</v>
      </c>
    </row>
    <row r="771" spans="2:5">
      <c r="B771" s="41">
        <v>41395</v>
      </c>
      <c r="C771" s="42">
        <v>906812377.44000006</v>
      </c>
      <c r="D771" s="42" t="s">
        <v>10</v>
      </c>
      <c r="E771" s="42">
        <v>8</v>
      </c>
    </row>
    <row r="772" spans="2:5">
      <c r="B772" s="41">
        <v>41395</v>
      </c>
      <c r="C772" s="42">
        <v>710435857.17999995</v>
      </c>
      <c r="D772" s="42" t="s">
        <v>28</v>
      </c>
      <c r="E772" s="42">
        <v>9</v>
      </c>
    </row>
    <row r="773" spans="2:5">
      <c r="B773" s="41">
        <v>41395</v>
      </c>
      <c r="C773" s="42">
        <v>657931738.21000004</v>
      </c>
      <c r="D773" s="42" t="s">
        <v>17</v>
      </c>
      <c r="E773" s="42">
        <v>10</v>
      </c>
    </row>
    <row r="774" spans="2:5">
      <c r="B774" s="41">
        <v>41426</v>
      </c>
      <c r="C774" s="42">
        <v>10901539313.190001</v>
      </c>
      <c r="D774" s="42" t="s">
        <v>11</v>
      </c>
      <c r="E774" s="42">
        <v>1</v>
      </c>
    </row>
    <row r="775" spans="2:5">
      <c r="B775" s="41">
        <v>41426</v>
      </c>
      <c r="C775" s="42">
        <v>4730381051.3400002</v>
      </c>
      <c r="D775" s="42" t="s">
        <v>13</v>
      </c>
      <c r="E775" s="42">
        <v>2</v>
      </c>
    </row>
    <row r="776" spans="2:5">
      <c r="B776" s="41">
        <v>41426</v>
      </c>
      <c r="C776" s="42">
        <v>1580686262.49</v>
      </c>
      <c r="D776" s="42" t="s">
        <v>106</v>
      </c>
      <c r="E776" s="42">
        <v>3</v>
      </c>
    </row>
    <row r="777" spans="2:5">
      <c r="B777" s="41">
        <v>41426</v>
      </c>
      <c r="C777" s="42">
        <v>1376326862.25</v>
      </c>
      <c r="D777" s="42" t="s">
        <v>32</v>
      </c>
      <c r="E777" s="42">
        <v>4</v>
      </c>
    </row>
    <row r="778" spans="2:5">
      <c r="B778" s="41">
        <v>41426</v>
      </c>
      <c r="C778" s="42">
        <v>1342873390.71</v>
      </c>
      <c r="D778" s="42" t="s">
        <v>6</v>
      </c>
      <c r="E778" s="42">
        <v>5</v>
      </c>
    </row>
    <row r="779" spans="2:5">
      <c r="B779" s="41">
        <v>41426</v>
      </c>
      <c r="C779" s="42">
        <v>1216785434.53</v>
      </c>
      <c r="D779" s="42" t="s">
        <v>8</v>
      </c>
      <c r="E779" s="42">
        <v>6</v>
      </c>
    </row>
    <row r="780" spans="2:5">
      <c r="B780" s="41">
        <v>41426</v>
      </c>
      <c r="C780" s="42">
        <v>989690722.12</v>
      </c>
      <c r="D780" s="42" t="s">
        <v>105</v>
      </c>
      <c r="E780" s="42">
        <v>7</v>
      </c>
    </row>
    <row r="781" spans="2:5">
      <c r="B781" s="41">
        <v>41426</v>
      </c>
      <c r="C781" s="42">
        <v>866478125.78999996</v>
      </c>
      <c r="D781" s="42" t="s">
        <v>10</v>
      </c>
      <c r="E781" s="42">
        <v>8</v>
      </c>
    </row>
    <row r="782" spans="2:5">
      <c r="B782" s="41">
        <v>41426</v>
      </c>
      <c r="C782" s="42">
        <v>774315018.16999996</v>
      </c>
      <c r="D782" s="42" t="s">
        <v>28</v>
      </c>
      <c r="E782" s="42">
        <v>9</v>
      </c>
    </row>
    <row r="783" spans="2:5">
      <c r="B783" s="41">
        <v>41426</v>
      </c>
      <c r="C783" s="42">
        <v>764355435.16999996</v>
      </c>
      <c r="D783" s="42" t="s">
        <v>17</v>
      </c>
      <c r="E783" s="42">
        <v>10</v>
      </c>
    </row>
    <row r="784" spans="2:5">
      <c r="B784" s="41">
        <v>41456</v>
      </c>
      <c r="C784" s="42">
        <v>10136035522.35</v>
      </c>
      <c r="D784" s="42" t="s">
        <v>11</v>
      </c>
      <c r="E784" s="42">
        <v>1</v>
      </c>
    </row>
    <row r="785" spans="2:5">
      <c r="B785" s="41">
        <v>41456</v>
      </c>
      <c r="C785" s="42">
        <v>4465855112.6400003</v>
      </c>
      <c r="D785" s="42" t="s">
        <v>13</v>
      </c>
      <c r="E785" s="42">
        <v>2</v>
      </c>
    </row>
    <row r="786" spans="2:5">
      <c r="B786" s="41">
        <v>41456</v>
      </c>
      <c r="C786" s="42">
        <v>1643145346.3900001</v>
      </c>
      <c r="D786" s="42" t="s">
        <v>6</v>
      </c>
      <c r="E786" s="42">
        <v>3</v>
      </c>
    </row>
    <row r="787" spans="2:5">
      <c r="B787" s="41">
        <v>41456</v>
      </c>
      <c r="C787" s="42">
        <v>1497063712.9400001</v>
      </c>
      <c r="D787" s="42" t="s">
        <v>106</v>
      </c>
      <c r="E787" s="42">
        <v>4</v>
      </c>
    </row>
    <row r="788" spans="2:5">
      <c r="B788" s="41">
        <v>41456</v>
      </c>
      <c r="C788" s="42">
        <v>1213419445.95</v>
      </c>
      <c r="D788" s="42" t="s">
        <v>8</v>
      </c>
      <c r="E788" s="42">
        <v>5</v>
      </c>
    </row>
    <row r="789" spans="2:5">
      <c r="B789" s="41">
        <v>41456</v>
      </c>
      <c r="C789" s="42">
        <v>1175656245.8800001</v>
      </c>
      <c r="D789" s="42" t="s">
        <v>32</v>
      </c>
      <c r="E789" s="42">
        <v>6</v>
      </c>
    </row>
    <row r="790" spans="2:5">
      <c r="B790" s="41">
        <v>41456</v>
      </c>
      <c r="C790" s="42">
        <v>1000607956.98</v>
      </c>
      <c r="D790" s="42" t="s">
        <v>107</v>
      </c>
      <c r="E790" s="42">
        <v>7</v>
      </c>
    </row>
    <row r="791" spans="2:5">
      <c r="B791" s="41">
        <v>41456</v>
      </c>
      <c r="C791" s="42">
        <v>917539108.76999998</v>
      </c>
      <c r="D791" s="42" t="s">
        <v>17</v>
      </c>
      <c r="E791" s="42">
        <v>8</v>
      </c>
    </row>
    <row r="792" spans="2:5">
      <c r="B792" s="41">
        <v>41456</v>
      </c>
      <c r="C792" s="42">
        <v>860237870.13</v>
      </c>
      <c r="D792" s="42" t="s">
        <v>105</v>
      </c>
      <c r="E792" s="42">
        <v>9</v>
      </c>
    </row>
    <row r="793" spans="2:5">
      <c r="B793" s="41">
        <v>41456</v>
      </c>
      <c r="C793" s="42">
        <v>788508760.62</v>
      </c>
      <c r="D793" s="42" t="s">
        <v>28</v>
      </c>
      <c r="E793" s="42">
        <v>10</v>
      </c>
    </row>
    <row r="794" spans="2:5">
      <c r="B794" s="41">
        <v>41487</v>
      </c>
      <c r="C794" s="42">
        <v>8870949392.1399994</v>
      </c>
      <c r="D794" s="42" t="s">
        <v>11</v>
      </c>
      <c r="E794" s="42">
        <v>1</v>
      </c>
    </row>
    <row r="795" spans="2:5">
      <c r="B795" s="41">
        <v>41487</v>
      </c>
      <c r="C795" s="42">
        <v>3980782790.2600002</v>
      </c>
      <c r="D795" s="42" t="s">
        <v>13</v>
      </c>
      <c r="E795" s="42">
        <v>2</v>
      </c>
    </row>
    <row r="796" spans="2:5">
      <c r="B796" s="41">
        <v>41487</v>
      </c>
      <c r="C796" s="42">
        <v>1522616013.21</v>
      </c>
      <c r="D796" s="42" t="s">
        <v>6</v>
      </c>
      <c r="E796" s="42">
        <v>3</v>
      </c>
    </row>
    <row r="797" spans="2:5">
      <c r="B797" s="41">
        <v>41487</v>
      </c>
      <c r="C797" s="42">
        <v>1468817888.6099999</v>
      </c>
      <c r="D797" s="42" t="s">
        <v>106</v>
      </c>
      <c r="E797" s="42">
        <v>4</v>
      </c>
    </row>
    <row r="798" spans="2:5">
      <c r="B798" s="41">
        <v>41487</v>
      </c>
      <c r="C798" s="42">
        <v>1325441628.4000001</v>
      </c>
      <c r="D798" s="42" t="s">
        <v>8</v>
      </c>
      <c r="E798" s="42">
        <v>5</v>
      </c>
    </row>
    <row r="799" spans="2:5">
      <c r="B799" s="41">
        <v>41487</v>
      </c>
      <c r="C799" s="42">
        <v>940900321.38999999</v>
      </c>
      <c r="D799" s="42" t="s">
        <v>32</v>
      </c>
      <c r="E799" s="42">
        <v>6</v>
      </c>
    </row>
    <row r="800" spans="2:5">
      <c r="B800" s="41">
        <v>41487</v>
      </c>
      <c r="C800" s="42">
        <v>925588421.05999994</v>
      </c>
      <c r="D800" s="42" t="s">
        <v>17</v>
      </c>
      <c r="E800" s="42">
        <v>7</v>
      </c>
    </row>
    <row r="801" spans="2:5">
      <c r="B801" s="41">
        <v>41487</v>
      </c>
      <c r="C801" s="42">
        <v>741313532.32000005</v>
      </c>
      <c r="D801" s="42" t="s">
        <v>10</v>
      </c>
      <c r="E801" s="42">
        <v>8</v>
      </c>
    </row>
    <row r="802" spans="2:5">
      <c r="B802" s="41">
        <v>41487</v>
      </c>
      <c r="C802" s="42">
        <v>599862075.03999996</v>
      </c>
      <c r="D802" s="42" t="s">
        <v>105</v>
      </c>
      <c r="E802" s="42">
        <v>9</v>
      </c>
    </row>
    <row r="803" spans="2:5">
      <c r="B803" s="41">
        <v>41487</v>
      </c>
      <c r="C803" s="42">
        <v>532567846.5</v>
      </c>
      <c r="D803" s="42" t="s">
        <v>37</v>
      </c>
      <c r="E803" s="42">
        <v>10</v>
      </c>
    </row>
    <row r="804" spans="2:5">
      <c r="B804" s="41">
        <v>41518</v>
      </c>
      <c r="C804" s="42">
        <v>7267875544.7299995</v>
      </c>
      <c r="D804" s="42" t="s">
        <v>11</v>
      </c>
      <c r="E804" s="42">
        <v>1</v>
      </c>
    </row>
    <row r="805" spans="2:5">
      <c r="B805" s="41">
        <v>41518</v>
      </c>
      <c r="C805" s="42">
        <v>3471777396.3299999</v>
      </c>
      <c r="D805" s="42" t="s">
        <v>13</v>
      </c>
      <c r="E805" s="42">
        <v>2</v>
      </c>
    </row>
    <row r="806" spans="2:5">
      <c r="B806" s="41">
        <v>41518</v>
      </c>
      <c r="C806" s="42">
        <v>1341424820.1500001</v>
      </c>
      <c r="D806" s="42" t="s">
        <v>6</v>
      </c>
      <c r="E806" s="42">
        <v>3</v>
      </c>
    </row>
    <row r="807" spans="2:5">
      <c r="B807" s="41">
        <v>41518</v>
      </c>
      <c r="C807" s="42">
        <v>1172147863.8399999</v>
      </c>
      <c r="D807" s="42" t="s">
        <v>106</v>
      </c>
      <c r="E807" s="42">
        <v>4</v>
      </c>
    </row>
    <row r="808" spans="2:5">
      <c r="B808" s="41">
        <v>41518</v>
      </c>
      <c r="C808" s="42">
        <v>1147045018.1099999</v>
      </c>
      <c r="D808" s="42" t="s">
        <v>8</v>
      </c>
      <c r="E808" s="42">
        <v>5</v>
      </c>
    </row>
    <row r="809" spans="2:5">
      <c r="B809" s="41">
        <v>41518</v>
      </c>
      <c r="C809" s="42">
        <v>782389323.86000001</v>
      </c>
      <c r="D809" s="42" t="s">
        <v>32</v>
      </c>
      <c r="E809" s="42">
        <v>6</v>
      </c>
    </row>
    <row r="810" spans="2:5">
      <c r="B810" s="41">
        <v>41518</v>
      </c>
      <c r="C810" s="42">
        <v>683770829.99000001</v>
      </c>
      <c r="D810" s="42" t="s">
        <v>17</v>
      </c>
      <c r="E810" s="42">
        <v>7</v>
      </c>
    </row>
    <row r="811" spans="2:5">
      <c r="B811" s="41">
        <v>41518</v>
      </c>
      <c r="C811" s="42">
        <v>670423511.88</v>
      </c>
      <c r="D811" s="42" t="s">
        <v>37</v>
      </c>
      <c r="E811" s="42">
        <v>8</v>
      </c>
    </row>
    <row r="812" spans="2:5">
      <c r="B812" s="41">
        <v>41518</v>
      </c>
      <c r="C812" s="42">
        <v>641375462.87</v>
      </c>
      <c r="D812" s="42" t="s">
        <v>10</v>
      </c>
      <c r="E812" s="42">
        <v>9</v>
      </c>
    </row>
    <row r="813" spans="2:5">
      <c r="B813" s="41">
        <v>41518</v>
      </c>
      <c r="C813" s="42">
        <v>598361111</v>
      </c>
      <c r="D813" s="42" t="s">
        <v>103</v>
      </c>
      <c r="E813" s="42">
        <v>10</v>
      </c>
    </row>
    <row r="814" spans="2:5">
      <c r="B814" s="41">
        <v>41548</v>
      </c>
      <c r="C814" s="42">
        <v>6287281036.2299995</v>
      </c>
      <c r="D814" s="42" t="s">
        <v>11</v>
      </c>
      <c r="E814" s="42">
        <v>1</v>
      </c>
    </row>
    <row r="815" spans="2:5">
      <c r="B815" s="41">
        <v>41548</v>
      </c>
      <c r="C815" s="42">
        <v>3182328797.0799999</v>
      </c>
      <c r="D815" s="42" t="s">
        <v>13</v>
      </c>
      <c r="E815" s="42">
        <v>2</v>
      </c>
    </row>
    <row r="816" spans="2:5">
      <c r="B816" s="41">
        <v>41548</v>
      </c>
      <c r="C816" s="42">
        <v>1258315006.4100001</v>
      </c>
      <c r="D816" s="42" t="s">
        <v>106</v>
      </c>
      <c r="E816" s="42">
        <v>3</v>
      </c>
    </row>
    <row r="817" spans="2:5">
      <c r="B817" s="41">
        <v>41548</v>
      </c>
      <c r="C817" s="42">
        <v>974102458.21000004</v>
      </c>
      <c r="D817" s="42" t="s">
        <v>8</v>
      </c>
      <c r="E817" s="42">
        <v>4</v>
      </c>
    </row>
    <row r="818" spans="2:5">
      <c r="B818" s="41">
        <v>41548</v>
      </c>
      <c r="C818" s="42">
        <v>812256710.12</v>
      </c>
      <c r="D818" s="42" t="s">
        <v>6</v>
      </c>
      <c r="E818" s="42">
        <v>5</v>
      </c>
    </row>
    <row r="819" spans="2:5">
      <c r="B819" s="41">
        <v>41548</v>
      </c>
      <c r="C819" s="42">
        <v>779301985.91999996</v>
      </c>
      <c r="D819" s="42" t="s">
        <v>32</v>
      </c>
      <c r="E819" s="42">
        <v>6</v>
      </c>
    </row>
    <row r="820" spans="2:5">
      <c r="B820" s="41">
        <v>41548</v>
      </c>
      <c r="C820" s="42">
        <v>754718398.10000002</v>
      </c>
      <c r="D820" s="42" t="s">
        <v>37</v>
      </c>
      <c r="E820" s="42">
        <v>7</v>
      </c>
    </row>
    <row r="821" spans="2:5">
      <c r="B821" s="41">
        <v>41548</v>
      </c>
      <c r="C821" s="42">
        <v>615656843.39999998</v>
      </c>
      <c r="D821" s="42" t="s">
        <v>10</v>
      </c>
      <c r="E821" s="42">
        <v>8</v>
      </c>
    </row>
    <row r="822" spans="2:5">
      <c r="B822" s="41">
        <v>41548</v>
      </c>
      <c r="C822" s="42">
        <v>539416375.85000002</v>
      </c>
      <c r="D822" s="42" t="s">
        <v>17</v>
      </c>
      <c r="E822" s="42">
        <v>9</v>
      </c>
    </row>
    <row r="823" spans="2:5">
      <c r="B823" s="41">
        <v>41548</v>
      </c>
      <c r="C823" s="42">
        <v>482252231.64999998</v>
      </c>
      <c r="D823" s="42" t="s">
        <v>113</v>
      </c>
      <c r="E823" s="42">
        <v>10</v>
      </c>
    </row>
    <row r="824" spans="2:5">
      <c r="B824" s="41">
        <v>41579</v>
      </c>
      <c r="C824" s="42">
        <v>6464423980.5</v>
      </c>
      <c r="D824" s="42" t="s">
        <v>11</v>
      </c>
      <c r="E824" s="42">
        <v>1</v>
      </c>
    </row>
    <row r="825" spans="2:5">
      <c r="B825" s="41">
        <v>41579</v>
      </c>
      <c r="C825" s="42">
        <v>2463325497.46</v>
      </c>
      <c r="D825" s="42" t="s">
        <v>13</v>
      </c>
      <c r="E825" s="42">
        <v>2</v>
      </c>
    </row>
    <row r="826" spans="2:5">
      <c r="B826" s="41">
        <v>41579</v>
      </c>
      <c r="C826" s="42">
        <v>1076163316.6600001</v>
      </c>
      <c r="D826" s="42" t="s">
        <v>106</v>
      </c>
      <c r="E826" s="42">
        <v>3</v>
      </c>
    </row>
    <row r="827" spans="2:5">
      <c r="B827" s="41">
        <v>41579</v>
      </c>
      <c r="C827" s="42">
        <v>799622429.14999998</v>
      </c>
      <c r="D827" s="42" t="s">
        <v>8</v>
      </c>
      <c r="E827" s="42">
        <v>4</v>
      </c>
    </row>
    <row r="828" spans="2:5">
      <c r="B828" s="41">
        <v>41579</v>
      </c>
      <c r="C828" s="42">
        <v>797068629.88999999</v>
      </c>
      <c r="D828" s="42" t="s">
        <v>32</v>
      </c>
      <c r="E828" s="42">
        <v>5</v>
      </c>
    </row>
    <row r="829" spans="2:5">
      <c r="B829" s="41">
        <v>41579</v>
      </c>
      <c r="C829" s="42">
        <v>668737119.49000001</v>
      </c>
      <c r="D829" s="42" t="s">
        <v>6</v>
      </c>
      <c r="E829" s="42">
        <v>6</v>
      </c>
    </row>
    <row r="830" spans="2:5">
      <c r="B830" s="41">
        <v>41579</v>
      </c>
      <c r="C830" s="42">
        <v>639144067.30999994</v>
      </c>
      <c r="D830" s="42" t="s">
        <v>10</v>
      </c>
      <c r="E830" s="42">
        <v>7</v>
      </c>
    </row>
    <row r="831" spans="2:5">
      <c r="B831" s="41">
        <v>41579</v>
      </c>
      <c r="C831" s="42">
        <v>516460274.13</v>
      </c>
      <c r="D831" s="42" t="s">
        <v>105</v>
      </c>
      <c r="E831" s="42">
        <v>8</v>
      </c>
    </row>
    <row r="832" spans="2:5">
      <c r="B832" s="41">
        <v>41579</v>
      </c>
      <c r="C832" s="42">
        <v>449112516.25</v>
      </c>
      <c r="D832" s="42" t="s">
        <v>104</v>
      </c>
      <c r="E832" s="42">
        <v>9</v>
      </c>
    </row>
    <row r="833" spans="2:5">
      <c r="B833" s="41">
        <v>41579</v>
      </c>
      <c r="C833" s="42">
        <v>441916409.88999999</v>
      </c>
      <c r="D833" s="42" t="s">
        <v>17</v>
      </c>
      <c r="E833" s="42">
        <v>10</v>
      </c>
    </row>
    <row r="834" spans="2:5">
      <c r="B834" s="41">
        <v>41609</v>
      </c>
      <c r="C834" s="42">
        <v>4731307858.5900002</v>
      </c>
      <c r="D834" s="42" t="s">
        <v>11</v>
      </c>
      <c r="E834" s="42">
        <v>1</v>
      </c>
    </row>
    <row r="835" spans="2:5">
      <c r="B835" s="41">
        <v>41609</v>
      </c>
      <c r="C835" s="42">
        <v>1724480336.5599999</v>
      </c>
      <c r="D835" s="42" t="s">
        <v>13</v>
      </c>
      <c r="E835" s="42">
        <v>2</v>
      </c>
    </row>
    <row r="836" spans="2:5">
      <c r="B836" s="41">
        <v>41609</v>
      </c>
      <c r="C836" s="42">
        <v>1113262611.8599999</v>
      </c>
      <c r="D836" s="42" t="s">
        <v>106</v>
      </c>
      <c r="E836" s="42">
        <v>3</v>
      </c>
    </row>
    <row r="837" spans="2:5">
      <c r="B837" s="41">
        <v>41609</v>
      </c>
      <c r="C837" s="42">
        <v>870228630.88999999</v>
      </c>
      <c r="D837" s="42" t="s">
        <v>32</v>
      </c>
      <c r="E837" s="42">
        <v>4</v>
      </c>
    </row>
    <row r="838" spans="2:5">
      <c r="B838" s="41">
        <v>41609</v>
      </c>
      <c r="C838" s="42">
        <v>815707268.17999995</v>
      </c>
      <c r="D838" s="42" t="s">
        <v>6</v>
      </c>
      <c r="E838" s="42">
        <v>5</v>
      </c>
    </row>
    <row r="839" spans="2:5">
      <c r="B839" s="41">
        <v>41609</v>
      </c>
      <c r="C839" s="42">
        <v>558729588.00999999</v>
      </c>
      <c r="D839" s="42" t="s">
        <v>105</v>
      </c>
      <c r="E839" s="42">
        <v>6</v>
      </c>
    </row>
    <row r="840" spans="2:5">
      <c r="B840" s="41">
        <v>41609</v>
      </c>
      <c r="C840" s="42">
        <v>513276919.01999998</v>
      </c>
      <c r="D840" s="42" t="s">
        <v>8</v>
      </c>
      <c r="E840" s="42">
        <v>7</v>
      </c>
    </row>
    <row r="841" spans="2:5">
      <c r="B841" s="41">
        <v>41609</v>
      </c>
      <c r="C841" s="42">
        <v>461977965.93000001</v>
      </c>
      <c r="D841" s="42" t="s">
        <v>10</v>
      </c>
      <c r="E841" s="42">
        <v>8</v>
      </c>
    </row>
    <row r="842" spans="2:5">
      <c r="B842" s="41">
        <v>41609</v>
      </c>
      <c r="C842" s="42">
        <v>410582199.24000001</v>
      </c>
      <c r="D842" s="42" t="s">
        <v>37</v>
      </c>
      <c r="E842" s="42">
        <v>9</v>
      </c>
    </row>
    <row r="843" spans="2:5">
      <c r="B843" s="41">
        <v>41609</v>
      </c>
      <c r="C843" s="42">
        <v>396248148.92000002</v>
      </c>
      <c r="D843" s="42" t="s">
        <v>17</v>
      </c>
      <c r="E843" s="42">
        <v>10</v>
      </c>
    </row>
    <row r="844" spans="2:5">
      <c r="B844" s="41">
        <v>41640</v>
      </c>
      <c r="C844" s="42">
        <v>4800004095.4399996</v>
      </c>
      <c r="D844" s="42" t="s">
        <v>11</v>
      </c>
      <c r="E844" s="42">
        <v>1</v>
      </c>
    </row>
    <row r="845" spans="2:5">
      <c r="B845" s="41">
        <v>41640</v>
      </c>
      <c r="C845" s="42">
        <v>1862401712.6600001</v>
      </c>
      <c r="D845" s="42" t="s">
        <v>13</v>
      </c>
      <c r="E845" s="42">
        <v>2</v>
      </c>
    </row>
    <row r="846" spans="2:5">
      <c r="B846" s="41">
        <v>41640</v>
      </c>
      <c r="C846" s="42">
        <v>1066458116.17</v>
      </c>
      <c r="D846" s="42" t="s">
        <v>106</v>
      </c>
      <c r="E846" s="42">
        <v>3</v>
      </c>
    </row>
    <row r="847" spans="2:5">
      <c r="B847" s="41">
        <v>41640</v>
      </c>
      <c r="C847" s="42">
        <v>802516246.95000005</v>
      </c>
      <c r="D847" s="42" t="s">
        <v>32</v>
      </c>
      <c r="E847" s="42">
        <v>4</v>
      </c>
    </row>
    <row r="848" spans="2:5">
      <c r="B848" s="41">
        <v>41640</v>
      </c>
      <c r="C848" s="42">
        <v>787323265.19000006</v>
      </c>
      <c r="D848" s="42" t="s">
        <v>6</v>
      </c>
      <c r="E848" s="42">
        <v>5</v>
      </c>
    </row>
    <row r="849" spans="2:5">
      <c r="B849" s="41">
        <v>41640</v>
      </c>
      <c r="C849" s="42">
        <v>719029877.03999996</v>
      </c>
      <c r="D849" s="42" t="s">
        <v>105</v>
      </c>
      <c r="E849" s="42">
        <v>6</v>
      </c>
    </row>
    <row r="850" spans="2:5">
      <c r="B850" s="41">
        <v>41640</v>
      </c>
      <c r="C850" s="42">
        <v>608692529.63</v>
      </c>
      <c r="D850" s="42" t="s">
        <v>8</v>
      </c>
      <c r="E850" s="42">
        <v>7</v>
      </c>
    </row>
    <row r="851" spans="2:5">
      <c r="B851" s="41">
        <v>41640</v>
      </c>
      <c r="C851" s="42">
        <v>511331717.36000001</v>
      </c>
      <c r="D851" s="42" t="s">
        <v>10</v>
      </c>
      <c r="E851" s="42">
        <v>8</v>
      </c>
    </row>
    <row r="852" spans="2:5">
      <c r="B852" s="41">
        <v>41640</v>
      </c>
      <c r="C852" s="42">
        <v>353889252.02999997</v>
      </c>
      <c r="D852" s="42" t="s">
        <v>108</v>
      </c>
      <c r="E852" s="42">
        <v>9</v>
      </c>
    </row>
    <row r="853" spans="2:5">
      <c r="B853" s="41">
        <v>41640</v>
      </c>
      <c r="C853" s="42">
        <v>334244324.25</v>
      </c>
      <c r="D853" s="42" t="s">
        <v>37</v>
      </c>
      <c r="E853" s="42">
        <v>10</v>
      </c>
    </row>
    <row r="854" spans="2:5">
      <c r="B854" s="41">
        <v>41671</v>
      </c>
      <c r="C854" s="42">
        <v>4975614792.9300003</v>
      </c>
      <c r="D854" s="42" t="s">
        <v>11</v>
      </c>
      <c r="E854" s="42">
        <v>1</v>
      </c>
    </row>
    <row r="855" spans="2:5">
      <c r="B855" s="41">
        <v>41671</v>
      </c>
      <c r="C855" s="42">
        <v>1533271487.3800001</v>
      </c>
      <c r="D855" s="42" t="s">
        <v>13</v>
      </c>
      <c r="E855" s="42">
        <v>2</v>
      </c>
    </row>
    <row r="856" spans="2:5">
      <c r="B856" s="41">
        <v>41671</v>
      </c>
      <c r="C856" s="42">
        <v>929692115.90999997</v>
      </c>
      <c r="D856" s="42" t="s">
        <v>8</v>
      </c>
      <c r="E856" s="42">
        <v>3</v>
      </c>
    </row>
    <row r="857" spans="2:5">
      <c r="B857" s="41">
        <v>41671</v>
      </c>
      <c r="C857" s="42">
        <v>865514313.89999998</v>
      </c>
      <c r="D857" s="42" t="s">
        <v>106</v>
      </c>
      <c r="E857" s="42">
        <v>4</v>
      </c>
    </row>
    <row r="858" spans="2:5">
      <c r="B858" s="41">
        <v>41671</v>
      </c>
      <c r="C858" s="42">
        <v>770937960.11000001</v>
      </c>
      <c r="D858" s="42" t="s">
        <v>105</v>
      </c>
      <c r="E858" s="42">
        <v>5</v>
      </c>
    </row>
    <row r="859" spans="2:5">
      <c r="B859" s="41">
        <v>41671</v>
      </c>
      <c r="C859" s="42">
        <v>757958069.71000004</v>
      </c>
      <c r="D859" s="42" t="s">
        <v>6</v>
      </c>
      <c r="E859" s="42">
        <v>6</v>
      </c>
    </row>
    <row r="860" spans="2:5">
      <c r="B860" s="41">
        <v>41671</v>
      </c>
      <c r="C860" s="42">
        <v>708551293.49000001</v>
      </c>
      <c r="D860" s="42" t="s">
        <v>32</v>
      </c>
      <c r="E860" s="42">
        <v>7</v>
      </c>
    </row>
    <row r="861" spans="2:5">
      <c r="B861" s="41">
        <v>41671</v>
      </c>
      <c r="C861" s="42">
        <v>402849410.14999998</v>
      </c>
      <c r="D861" s="42" t="s">
        <v>17</v>
      </c>
      <c r="E861" s="42">
        <v>8</v>
      </c>
    </row>
    <row r="862" spans="2:5">
      <c r="B862" s="41">
        <v>41671</v>
      </c>
      <c r="C862" s="42">
        <v>394848037.62</v>
      </c>
      <c r="D862" s="42" t="s">
        <v>10</v>
      </c>
      <c r="E862" s="42">
        <v>9</v>
      </c>
    </row>
    <row r="863" spans="2:5">
      <c r="B863" s="41">
        <v>41671</v>
      </c>
      <c r="C863" s="42">
        <v>329701965.72000003</v>
      </c>
      <c r="D863" s="42" t="s">
        <v>37</v>
      </c>
      <c r="E863" s="42">
        <v>10</v>
      </c>
    </row>
    <row r="864" spans="2:5">
      <c r="B864" s="41">
        <v>41699</v>
      </c>
      <c r="C864" s="42">
        <v>3220958142.0500002</v>
      </c>
      <c r="D864" s="42" t="s">
        <v>11</v>
      </c>
      <c r="E864" s="42">
        <v>1</v>
      </c>
    </row>
    <row r="865" spans="2:5">
      <c r="B865" s="41">
        <v>41699</v>
      </c>
      <c r="C865" s="42">
        <v>1089146163.8</v>
      </c>
      <c r="D865" s="42" t="s">
        <v>13</v>
      </c>
      <c r="E865" s="42">
        <v>2</v>
      </c>
    </row>
    <row r="866" spans="2:5">
      <c r="B866" s="41">
        <v>41699</v>
      </c>
      <c r="C866" s="42">
        <v>1022805617.8200001</v>
      </c>
      <c r="D866" s="42" t="s">
        <v>106</v>
      </c>
      <c r="E866" s="42">
        <v>3</v>
      </c>
    </row>
    <row r="867" spans="2:5">
      <c r="B867" s="41">
        <v>41699</v>
      </c>
      <c r="C867" s="42">
        <v>712356474.03999996</v>
      </c>
      <c r="D867" s="42" t="s">
        <v>22</v>
      </c>
      <c r="E867" s="42">
        <v>4</v>
      </c>
    </row>
    <row r="868" spans="2:5">
      <c r="B868" s="41">
        <v>41699</v>
      </c>
      <c r="C868" s="42">
        <v>695291908.09000003</v>
      </c>
      <c r="D868" s="42" t="s">
        <v>32</v>
      </c>
      <c r="E868" s="42">
        <v>5</v>
      </c>
    </row>
    <row r="869" spans="2:5">
      <c r="B869" s="41">
        <v>41699</v>
      </c>
      <c r="C869" s="42">
        <v>563502069.10000002</v>
      </c>
      <c r="D869" s="42" t="s">
        <v>6</v>
      </c>
      <c r="E869" s="42">
        <v>6</v>
      </c>
    </row>
    <row r="870" spans="2:5">
      <c r="B870" s="41">
        <v>41699</v>
      </c>
      <c r="C870" s="42">
        <v>480247030.62</v>
      </c>
      <c r="D870" s="42" t="s">
        <v>8</v>
      </c>
      <c r="E870" s="42">
        <v>7</v>
      </c>
    </row>
    <row r="871" spans="2:5">
      <c r="B871" s="41">
        <v>41699</v>
      </c>
      <c r="C871" s="42">
        <v>431135901.98000002</v>
      </c>
      <c r="D871" s="42" t="s">
        <v>10</v>
      </c>
      <c r="E871" s="42">
        <v>8</v>
      </c>
    </row>
    <row r="872" spans="2:5">
      <c r="B872" s="41">
        <v>41699</v>
      </c>
      <c r="C872" s="42">
        <v>381263288.63</v>
      </c>
      <c r="D872" s="42" t="s">
        <v>37</v>
      </c>
      <c r="E872" s="42">
        <v>9</v>
      </c>
    </row>
    <row r="873" spans="2:5">
      <c r="B873" s="41">
        <v>41699</v>
      </c>
      <c r="C873" s="42">
        <v>344011655.41000003</v>
      </c>
      <c r="D873" s="42" t="s">
        <v>17</v>
      </c>
      <c r="E873" s="42">
        <v>10</v>
      </c>
    </row>
    <row r="874" spans="2:5">
      <c r="B874" s="37">
        <v>41730</v>
      </c>
      <c r="C874" s="17">
        <v>4445417365.0100002</v>
      </c>
      <c r="D874" s="17" t="s">
        <v>11</v>
      </c>
      <c r="E874" s="17">
        <v>1</v>
      </c>
    </row>
    <row r="875" spans="2:5">
      <c r="B875" s="37">
        <v>41730</v>
      </c>
      <c r="C875" s="17">
        <v>1289246266.5</v>
      </c>
      <c r="D875" s="17" t="s">
        <v>106</v>
      </c>
      <c r="E875" s="17">
        <v>2</v>
      </c>
    </row>
    <row r="876" spans="2:5">
      <c r="B876" s="37">
        <v>41730</v>
      </c>
      <c r="C876" s="17">
        <v>1181772643.3199999</v>
      </c>
      <c r="D876" s="17" t="s">
        <v>13</v>
      </c>
      <c r="E876" s="17">
        <v>3</v>
      </c>
    </row>
    <row r="877" spans="2:5">
      <c r="B877" s="37">
        <v>41730</v>
      </c>
      <c r="C877" s="17">
        <v>939936270.5</v>
      </c>
      <c r="D877" s="17" t="s">
        <v>22</v>
      </c>
      <c r="E877" s="17">
        <v>4</v>
      </c>
    </row>
    <row r="878" spans="2:5">
      <c r="B878" s="37">
        <v>41730</v>
      </c>
      <c r="C878" s="17">
        <v>891231518.87</v>
      </c>
      <c r="D878" s="17" t="s">
        <v>32</v>
      </c>
      <c r="E878" s="17">
        <v>5</v>
      </c>
    </row>
    <row r="879" spans="2:5">
      <c r="B879" s="37">
        <v>41730</v>
      </c>
      <c r="C879" s="17">
        <v>577555244.13</v>
      </c>
      <c r="D879" s="17" t="s">
        <v>8</v>
      </c>
      <c r="E879" s="17">
        <v>6</v>
      </c>
    </row>
    <row r="880" spans="2:5">
      <c r="B880" s="37">
        <v>41730</v>
      </c>
      <c r="C880" s="17">
        <v>560402271.94000006</v>
      </c>
      <c r="D880" s="17" t="s">
        <v>6</v>
      </c>
      <c r="E880" s="17">
        <v>7</v>
      </c>
    </row>
    <row r="881" spans="2:5">
      <c r="B881" s="37">
        <v>41730</v>
      </c>
      <c r="C881" s="17">
        <v>540535444.28999996</v>
      </c>
      <c r="D881" s="17" t="s">
        <v>10</v>
      </c>
      <c r="E881" s="17">
        <v>8</v>
      </c>
    </row>
    <row r="882" spans="2:5">
      <c r="B882" s="37">
        <v>41730</v>
      </c>
      <c r="C882" s="17">
        <v>478836948.66000003</v>
      </c>
      <c r="D882" s="17" t="s">
        <v>37</v>
      </c>
      <c r="E882" s="17">
        <v>9</v>
      </c>
    </row>
    <row r="883" spans="2:5">
      <c r="B883" s="37">
        <v>41730</v>
      </c>
      <c r="C883" s="17">
        <v>395128360.19999999</v>
      </c>
      <c r="D883" s="17" t="s">
        <v>95</v>
      </c>
      <c r="E883" s="17">
        <v>10</v>
      </c>
    </row>
    <row r="884" spans="2:5">
      <c r="B884" s="37">
        <v>41760</v>
      </c>
      <c r="C884" s="17">
        <v>5355107741.7399998</v>
      </c>
      <c r="D884" s="17" t="s">
        <v>11</v>
      </c>
      <c r="E884" s="17">
        <v>1</v>
      </c>
    </row>
    <row r="885" spans="2:5">
      <c r="B885" s="37">
        <v>41760</v>
      </c>
      <c r="C885" s="17">
        <v>1357591642.0799999</v>
      </c>
      <c r="D885" s="17" t="s">
        <v>106</v>
      </c>
      <c r="E885" s="17">
        <v>2</v>
      </c>
    </row>
    <row r="886" spans="2:5">
      <c r="B886" s="37">
        <v>41760</v>
      </c>
      <c r="C886" s="17">
        <v>1184891022.47</v>
      </c>
      <c r="D886" s="17" t="s">
        <v>13</v>
      </c>
      <c r="E886" s="17">
        <v>3</v>
      </c>
    </row>
    <row r="887" spans="2:5">
      <c r="B887" s="37">
        <v>41760</v>
      </c>
      <c r="C887" s="17">
        <v>964743791.53999996</v>
      </c>
      <c r="D887" s="17" t="s">
        <v>32</v>
      </c>
      <c r="E887" s="17">
        <v>4</v>
      </c>
    </row>
    <row r="888" spans="2:5">
      <c r="B888" s="37">
        <v>41760</v>
      </c>
      <c r="C888" s="17">
        <v>655069246.73000002</v>
      </c>
      <c r="D888" s="17" t="s">
        <v>8</v>
      </c>
      <c r="E888" s="17">
        <v>5</v>
      </c>
    </row>
    <row r="889" spans="2:5">
      <c r="B889" s="37">
        <v>41760</v>
      </c>
      <c r="C889" s="17">
        <v>646605506.82000005</v>
      </c>
      <c r="D889" s="17" t="s">
        <v>95</v>
      </c>
      <c r="E889" s="17">
        <v>6</v>
      </c>
    </row>
    <row r="890" spans="2:5">
      <c r="B890" s="37">
        <v>41760</v>
      </c>
      <c r="C890" s="17">
        <v>624382026.03999996</v>
      </c>
      <c r="D890" s="17" t="s">
        <v>105</v>
      </c>
      <c r="E890" s="17">
        <v>7</v>
      </c>
    </row>
    <row r="891" spans="2:5">
      <c r="B891" s="37">
        <v>41760</v>
      </c>
      <c r="C891" s="17">
        <v>594617651.25</v>
      </c>
      <c r="D891" s="17" t="s">
        <v>6</v>
      </c>
      <c r="E891" s="17">
        <v>8</v>
      </c>
    </row>
    <row r="892" spans="2:5">
      <c r="B892" s="37">
        <v>41760</v>
      </c>
      <c r="C892" s="17">
        <v>515014397.62</v>
      </c>
      <c r="D892" s="17" t="s">
        <v>10</v>
      </c>
      <c r="E892" s="17">
        <v>9</v>
      </c>
    </row>
    <row r="893" spans="2:5">
      <c r="B893" s="37">
        <v>41760</v>
      </c>
      <c r="C893" s="17">
        <v>471330854.68000001</v>
      </c>
      <c r="D893" s="17" t="s">
        <v>37</v>
      </c>
      <c r="E893" s="17">
        <v>10</v>
      </c>
    </row>
    <row r="894" spans="2:5">
      <c r="B894" s="37">
        <v>41791</v>
      </c>
      <c r="C894" s="17">
        <v>6002735545.8500004</v>
      </c>
      <c r="D894" s="17" t="s">
        <v>11</v>
      </c>
      <c r="E894" s="17">
        <v>1</v>
      </c>
    </row>
    <row r="895" spans="2:5">
      <c r="B895" s="37">
        <v>41791</v>
      </c>
      <c r="C895" s="17">
        <v>1326631431.48</v>
      </c>
      <c r="D895" s="17" t="s">
        <v>106</v>
      </c>
      <c r="E895" s="17">
        <v>2</v>
      </c>
    </row>
    <row r="896" spans="2:5">
      <c r="B896" s="37">
        <v>41791</v>
      </c>
      <c r="C896" s="17">
        <v>1080807363.3299999</v>
      </c>
      <c r="D896" s="17" t="s">
        <v>22</v>
      </c>
      <c r="E896" s="17">
        <v>3</v>
      </c>
    </row>
    <row r="897" spans="2:5">
      <c r="B897" s="37">
        <v>41791</v>
      </c>
      <c r="C897" s="17">
        <v>993878458.38999999</v>
      </c>
      <c r="D897" s="17" t="s">
        <v>32</v>
      </c>
      <c r="E897" s="17">
        <v>4</v>
      </c>
    </row>
    <row r="898" spans="2:5">
      <c r="B898" s="37">
        <v>41791</v>
      </c>
      <c r="C898" s="17">
        <v>845899464.78999996</v>
      </c>
      <c r="D898" s="17" t="s">
        <v>13</v>
      </c>
      <c r="E898" s="17">
        <v>5</v>
      </c>
    </row>
    <row r="899" spans="2:5">
      <c r="B899" s="37">
        <v>41791</v>
      </c>
      <c r="C899" s="17">
        <v>769198130.64999998</v>
      </c>
      <c r="D899" s="17" t="s">
        <v>8</v>
      </c>
      <c r="E899" s="17">
        <v>6</v>
      </c>
    </row>
    <row r="900" spans="2:5">
      <c r="B900" s="37">
        <v>41791</v>
      </c>
      <c r="C900" s="17">
        <v>608138021.98000002</v>
      </c>
      <c r="D900" s="17" t="s">
        <v>95</v>
      </c>
      <c r="E900" s="17">
        <v>7</v>
      </c>
    </row>
    <row r="901" spans="2:5">
      <c r="B901" s="37">
        <v>41791</v>
      </c>
      <c r="C901" s="17">
        <v>546000521.87</v>
      </c>
      <c r="D901" s="17" t="s">
        <v>10</v>
      </c>
      <c r="E901" s="17">
        <v>8</v>
      </c>
    </row>
    <row r="902" spans="2:5">
      <c r="B902" s="37">
        <v>41791</v>
      </c>
      <c r="C902" s="17">
        <v>539540337.66999996</v>
      </c>
      <c r="D902" s="17" t="s">
        <v>17</v>
      </c>
      <c r="E902" s="17">
        <v>9</v>
      </c>
    </row>
    <row r="903" spans="2:5">
      <c r="B903" s="37">
        <v>41791</v>
      </c>
      <c r="C903" s="17">
        <v>491285245.54000002</v>
      </c>
      <c r="D903" s="17" t="s">
        <v>26</v>
      </c>
      <c r="E903" s="17">
        <v>10</v>
      </c>
    </row>
    <row r="904" spans="2:5">
      <c r="B904" s="37">
        <v>41821</v>
      </c>
      <c r="C904" s="17">
        <v>4723917455.1999998</v>
      </c>
      <c r="D904" s="17" t="s">
        <v>11</v>
      </c>
      <c r="E904" s="17">
        <v>1</v>
      </c>
    </row>
    <row r="905" spans="2:5">
      <c r="B905" s="37">
        <v>41821</v>
      </c>
      <c r="C905" s="17">
        <v>1670155620.8699999</v>
      </c>
      <c r="D905" s="17" t="s">
        <v>106</v>
      </c>
      <c r="E905" s="17">
        <v>2</v>
      </c>
    </row>
    <row r="906" spans="2:5">
      <c r="B906" s="37">
        <v>41821</v>
      </c>
      <c r="C906" s="17">
        <v>1027789952.87</v>
      </c>
      <c r="D906" s="17" t="s">
        <v>32</v>
      </c>
      <c r="E906" s="17">
        <v>3</v>
      </c>
    </row>
    <row r="907" spans="2:5">
      <c r="B907" s="37">
        <v>41821</v>
      </c>
      <c r="C907" s="17">
        <v>1023157972.13</v>
      </c>
      <c r="D907" s="17" t="s">
        <v>8</v>
      </c>
      <c r="E907" s="17">
        <v>4</v>
      </c>
    </row>
    <row r="908" spans="2:5">
      <c r="B908" s="37">
        <v>41821</v>
      </c>
      <c r="C908" s="17">
        <v>910093667.67999995</v>
      </c>
      <c r="D908" s="17" t="s">
        <v>13</v>
      </c>
      <c r="E908" s="17">
        <v>5</v>
      </c>
    </row>
    <row r="909" spans="2:5">
      <c r="B909" s="37">
        <v>41821</v>
      </c>
      <c r="C909" s="17">
        <v>877802032.32000005</v>
      </c>
      <c r="D909" s="17" t="s">
        <v>95</v>
      </c>
      <c r="E909" s="17">
        <v>6</v>
      </c>
    </row>
    <row r="910" spans="2:5">
      <c r="B910" s="37">
        <v>41821</v>
      </c>
      <c r="C910" s="17">
        <v>791978650.03999996</v>
      </c>
      <c r="D910" s="17" t="s">
        <v>17</v>
      </c>
      <c r="E910" s="17">
        <v>7</v>
      </c>
    </row>
    <row r="911" spans="2:5">
      <c r="B911" s="37">
        <v>41821</v>
      </c>
      <c r="C911" s="17">
        <v>698183951.72000003</v>
      </c>
      <c r="D911" s="17" t="s">
        <v>105</v>
      </c>
      <c r="E911" s="17">
        <v>8</v>
      </c>
    </row>
    <row r="912" spans="2:5">
      <c r="B912" s="37">
        <v>41821</v>
      </c>
      <c r="C912" s="17">
        <v>691950470.26999998</v>
      </c>
      <c r="D912" s="17" t="s">
        <v>22</v>
      </c>
      <c r="E912" s="17">
        <v>9</v>
      </c>
    </row>
    <row r="913" spans="2:5">
      <c r="B913" s="37">
        <v>41821</v>
      </c>
      <c r="C913" s="17">
        <v>650480839.63999999</v>
      </c>
      <c r="D913" s="17" t="s">
        <v>10</v>
      </c>
      <c r="E913" s="17">
        <v>10</v>
      </c>
    </row>
    <row r="914" spans="2:5">
      <c r="B914" s="37">
        <v>41852</v>
      </c>
      <c r="C914" s="17">
        <v>6318663594.3699999</v>
      </c>
      <c r="D914" s="17" t="s">
        <v>11</v>
      </c>
      <c r="E914" s="17">
        <v>1</v>
      </c>
    </row>
    <row r="915" spans="2:5">
      <c r="B915" s="37">
        <v>41852</v>
      </c>
      <c r="C915" s="17">
        <v>1699898385.21</v>
      </c>
      <c r="D915" s="17" t="s">
        <v>22</v>
      </c>
      <c r="E915" s="17">
        <v>2</v>
      </c>
    </row>
    <row r="916" spans="2:5">
      <c r="B916" s="37">
        <v>41852</v>
      </c>
      <c r="C916" s="17">
        <v>1635145941.8399999</v>
      </c>
      <c r="D916" s="17" t="s">
        <v>106</v>
      </c>
      <c r="E916" s="17">
        <v>3</v>
      </c>
    </row>
    <row r="917" spans="2:5">
      <c r="B917" s="37">
        <v>41852</v>
      </c>
      <c r="C917" s="17">
        <v>1320321847.8299999</v>
      </c>
      <c r="D917" s="17" t="s">
        <v>8</v>
      </c>
      <c r="E917" s="17">
        <v>4</v>
      </c>
    </row>
    <row r="918" spans="2:5">
      <c r="B918" s="37">
        <v>41852</v>
      </c>
      <c r="C918" s="17">
        <v>1055336225.5700001</v>
      </c>
      <c r="D918" s="17" t="s">
        <v>13</v>
      </c>
      <c r="E918" s="17">
        <v>5</v>
      </c>
    </row>
    <row r="919" spans="2:5">
      <c r="B919" s="37">
        <v>41852</v>
      </c>
      <c r="C919" s="17">
        <v>981734208.25999999</v>
      </c>
      <c r="D919" s="17" t="s">
        <v>32</v>
      </c>
      <c r="E919" s="17">
        <v>6</v>
      </c>
    </row>
    <row r="920" spans="2:5">
      <c r="B920" s="37">
        <v>41852</v>
      </c>
      <c r="C920" s="17">
        <v>975030866.97000003</v>
      </c>
      <c r="D920" s="17" t="s">
        <v>17</v>
      </c>
      <c r="E920" s="17">
        <v>7</v>
      </c>
    </row>
    <row r="921" spans="2:5">
      <c r="B921" s="37">
        <v>41852</v>
      </c>
      <c r="C921" s="17">
        <v>881794092.59000003</v>
      </c>
      <c r="D921" s="17" t="s">
        <v>95</v>
      </c>
      <c r="E921" s="17">
        <v>8</v>
      </c>
    </row>
    <row r="922" spans="2:5">
      <c r="B922" s="37">
        <v>41852</v>
      </c>
      <c r="C922" s="17">
        <v>689850035.39999998</v>
      </c>
      <c r="D922" s="17" t="s">
        <v>10</v>
      </c>
      <c r="E922" s="17">
        <v>9</v>
      </c>
    </row>
    <row r="923" spans="2:5">
      <c r="B923" s="37">
        <v>41852</v>
      </c>
      <c r="C923" s="17">
        <v>608899879.34000003</v>
      </c>
      <c r="D923" s="17" t="s">
        <v>109</v>
      </c>
      <c r="E923" s="17">
        <v>10</v>
      </c>
    </row>
    <row r="924" spans="2:5">
      <c r="B924" s="37">
        <v>41883</v>
      </c>
      <c r="C924" s="17">
        <v>4613722824.3800001</v>
      </c>
      <c r="D924" s="17" t="s">
        <v>11</v>
      </c>
      <c r="E924" s="17">
        <v>1</v>
      </c>
    </row>
    <row r="925" spans="2:5">
      <c r="B925" s="37">
        <v>41883</v>
      </c>
      <c r="C925" s="17">
        <v>1556373390.77</v>
      </c>
      <c r="D925" s="17" t="s">
        <v>106</v>
      </c>
      <c r="E925" s="17">
        <v>2</v>
      </c>
    </row>
    <row r="926" spans="2:5">
      <c r="B926" s="37">
        <v>41883</v>
      </c>
      <c r="C926" s="17">
        <v>1415728775.98</v>
      </c>
      <c r="D926" s="17" t="s">
        <v>13</v>
      </c>
      <c r="E926" s="17">
        <v>3</v>
      </c>
    </row>
    <row r="927" spans="2:5">
      <c r="B927" s="37">
        <v>41883</v>
      </c>
      <c r="C927" s="17">
        <v>1383444647.1400001</v>
      </c>
      <c r="D927" s="17" t="s">
        <v>22</v>
      </c>
      <c r="E927" s="17">
        <v>4</v>
      </c>
    </row>
    <row r="928" spans="2:5">
      <c r="B928" s="37">
        <v>41883</v>
      </c>
      <c r="C928" s="17">
        <v>1031058634.13</v>
      </c>
      <c r="D928" s="17" t="s">
        <v>8</v>
      </c>
      <c r="E928" s="17">
        <v>5</v>
      </c>
    </row>
    <row r="929" spans="2:5">
      <c r="B929" s="37">
        <v>41883</v>
      </c>
      <c r="C929" s="17">
        <v>960697697.27999997</v>
      </c>
      <c r="D929" s="17" t="s">
        <v>95</v>
      </c>
      <c r="E929" s="17">
        <v>6</v>
      </c>
    </row>
    <row r="930" spans="2:5">
      <c r="B930" s="37">
        <v>41883</v>
      </c>
      <c r="C930" s="17">
        <v>911284632.14999998</v>
      </c>
      <c r="D930" s="17" t="s">
        <v>32</v>
      </c>
      <c r="E930" s="17">
        <v>7</v>
      </c>
    </row>
    <row r="931" spans="2:5">
      <c r="B931" s="37">
        <v>41883</v>
      </c>
      <c r="C931" s="17">
        <v>726301542.14999998</v>
      </c>
      <c r="D931" s="17" t="s">
        <v>17</v>
      </c>
      <c r="E931" s="17">
        <v>8</v>
      </c>
    </row>
    <row r="932" spans="2:5">
      <c r="B932" s="37">
        <v>41883</v>
      </c>
      <c r="C932" s="17">
        <v>723572045.92999995</v>
      </c>
      <c r="D932" s="17" t="s">
        <v>10</v>
      </c>
      <c r="E932" s="17">
        <v>9</v>
      </c>
    </row>
    <row r="933" spans="2:5">
      <c r="B933" s="37">
        <v>41883</v>
      </c>
      <c r="C933" s="17">
        <v>481583172.60000002</v>
      </c>
      <c r="D933" s="17" t="s">
        <v>109</v>
      </c>
      <c r="E933" s="17">
        <v>10</v>
      </c>
    </row>
    <row r="934" spans="2:5">
      <c r="B934" s="37">
        <v>41913</v>
      </c>
      <c r="C934" s="17">
        <v>4905737431.7200003</v>
      </c>
      <c r="D934" s="17" t="s">
        <v>11</v>
      </c>
      <c r="E934" s="17">
        <v>1</v>
      </c>
    </row>
    <row r="935" spans="2:5">
      <c r="B935" s="37">
        <v>41913</v>
      </c>
      <c r="C935" s="17">
        <v>1778992721.8800001</v>
      </c>
      <c r="D935" s="17" t="s">
        <v>106</v>
      </c>
      <c r="E935" s="17">
        <v>2</v>
      </c>
    </row>
    <row r="936" spans="2:5">
      <c r="B936" s="37">
        <v>41913</v>
      </c>
      <c r="C936" s="17">
        <v>1702449370.6600001</v>
      </c>
      <c r="D936" s="17" t="s">
        <v>22</v>
      </c>
      <c r="E936" s="17">
        <v>3</v>
      </c>
    </row>
    <row r="937" spans="2:5">
      <c r="B937" s="37">
        <v>41913</v>
      </c>
      <c r="C937" s="17">
        <v>1640922646.6199999</v>
      </c>
      <c r="D937" s="17" t="s">
        <v>13</v>
      </c>
      <c r="E937" s="17">
        <v>4</v>
      </c>
    </row>
    <row r="938" spans="2:5">
      <c r="B938" s="37">
        <v>41913</v>
      </c>
      <c r="C938" s="17">
        <v>1409364042.8199999</v>
      </c>
      <c r="D938" s="17" t="s">
        <v>95</v>
      </c>
      <c r="E938" s="17">
        <v>5</v>
      </c>
    </row>
    <row r="939" spans="2:5">
      <c r="B939" s="37">
        <v>41913</v>
      </c>
      <c r="C939" s="17">
        <v>1199448917.1400001</v>
      </c>
      <c r="D939" s="17" t="s">
        <v>8</v>
      </c>
      <c r="E939" s="17">
        <v>6</v>
      </c>
    </row>
    <row r="940" spans="2:5">
      <c r="B940" s="37">
        <v>41913</v>
      </c>
      <c r="C940" s="17">
        <v>1091284686.5</v>
      </c>
      <c r="D940" s="17" t="s">
        <v>32</v>
      </c>
      <c r="E940" s="17">
        <v>7</v>
      </c>
    </row>
    <row r="941" spans="2:5">
      <c r="B941" s="37">
        <v>41913</v>
      </c>
      <c r="C941" s="17">
        <v>775537759.84000003</v>
      </c>
      <c r="D941" s="17" t="s">
        <v>17</v>
      </c>
      <c r="E941" s="17">
        <v>8</v>
      </c>
    </row>
    <row r="942" spans="2:5">
      <c r="B942" s="37">
        <v>41913</v>
      </c>
      <c r="C942" s="17">
        <v>717643687.88</v>
      </c>
      <c r="D942" s="17" t="s">
        <v>10</v>
      </c>
      <c r="E942" s="17">
        <v>9</v>
      </c>
    </row>
    <row r="943" spans="2:5">
      <c r="B943" s="37">
        <v>41913</v>
      </c>
      <c r="C943" s="17">
        <v>569804138.59000003</v>
      </c>
      <c r="D943" s="17" t="s">
        <v>108</v>
      </c>
      <c r="E943" s="17">
        <v>10</v>
      </c>
    </row>
    <row r="944" spans="2:5">
      <c r="B944" s="37">
        <v>41944</v>
      </c>
      <c r="C944" s="17">
        <v>4010907765.6100001</v>
      </c>
      <c r="D944" s="17" t="s">
        <v>11</v>
      </c>
      <c r="E944" s="17">
        <v>1</v>
      </c>
    </row>
    <row r="945" spans="2:5">
      <c r="B945" s="37">
        <v>41944</v>
      </c>
      <c r="C945" s="17">
        <v>1481928390.0599999</v>
      </c>
      <c r="D945" s="17" t="s">
        <v>22</v>
      </c>
      <c r="E945" s="17">
        <v>2</v>
      </c>
    </row>
    <row r="946" spans="2:5">
      <c r="B946" s="37">
        <v>41944</v>
      </c>
      <c r="C946" s="17">
        <v>1318877643.8399999</v>
      </c>
      <c r="D946" s="17" t="s">
        <v>106</v>
      </c>
      <c r="E946" s="17">
        <v>3</v>
      </c>
    </row>
    <row r="947" spans="2:5">
      <c r="B947" s="37">
        <v>41944</v>
      </c>
      <c r="C947" s="17">
        <v>1268946997.46</v>
      </c>
      <c r="D947" s="17" t="s">
        <v>32</v>
      </c>
      <c r="E947" s="17">
        <v>4</v>
      </c>
    </row>
    <row r="948" spans="2:5">
      <c r="B948" s="37">
        <v>41944</v>
      </c>
      <c r="C948" s="17">
        <v>1130359359.48</v>
      </c>
      <c r="D948" s="17" t="s">
        <v>13</v>
      </c>
      <c r="E948" s="17">
        <v>5</v>
      </c>
    </row>
    <row r="949" spans="2:5">
      <c r="B949" s="37">
        <v>41944</v>
      </c>
      <c r="C949" s="17">
        <v>1040007439.1900001</v>
      </c>
      <c r="D949" s="17" t="s">
        <v>8</v>
      </c>
      <c r="E949" s="17">
        <v>6</v>
      </c>
    </row>
    <row r="950" spans="2:5">
      <c r="B950" s="37">
        <v>41944</v>
      </c>
      <c r="C950" s="17">
        <v>1029313038.71</v>
      </c>
      <c r="D950" s="17" t="s">
        <v>95</v>
      </c>
      <c r="E950" s="17">
        <v>7</v>
      </c>
    </row>
    <row r="951" spans="2:5">
      <c r="B951" s="37">
        <v>41944</v>
      </c>
      <c r="C951" s="17">
        <v>682912583.20000005</v>
      </c>
      <c r="D951" s="17" t="s">
        <v>109</v>
      </c>
      <c r="E951" s="17">
        <v>8</v>
      </c>
    </row>
    <row r="952" spans="2:5">
      <c r="B952" s="37">
        <v>41944</v>
      </c>
      <c r="C952" s="17">
        <v>656362470.60000002</v>
      </c>
      <c r="D952" s="17" t="s">
        <v>10</v>
      </c>
      <c r="E952" s="17">
        <v>9</v>
      </c>
    </row>
    <row r="953" spans="2:5">
      <c r="B953" s="37">
        <v>41944</v>
      </c>
      <c r="C953" s="17">
        <v>639313497.61000001</v>
      </c>
      <c r="D953" s="17" t="s">
        <v>17</v>
      </c>
      <c r="E953" s="17">
        <v>10</v>
      </c>
    </row>
    <row r="954" spans="2:5">
      <c r="B954" s="37">
        <v>41974</v>
      </c>
      <c r="C954" s="17">
        <v>4309016116.8000002</v>
      </c>
      <c r="D954" s="17" t="s">
        <v>11</v>
      </c>
      <c r="E954" s="17">
        <v>1</v>
      </c>
    </row>
    <row r="955" spans="2:5">
      <c r="B955" s="37">
        <v>41974</v>
      </c>
      <c r="C955" s="17">
        <v>1701533056</v>
      </c>
      <c r="D955" s="17" t="s">
        <v>32</v>
      </c>
      <c r="E955" s="17">
        <v>2</v>
      </c>
    </row>
    <row r="956" spans="2:5">
      <c r="B956" s="37">
        <v>41974</v>
      </c>
      <c r="C956" s="17">
        <v>1622968081.75</v>
      </c>
      <c r="D956" s="17" t="s">
        <v>106</v>
      </c>
      <c r="E956" s="17">
        <v>3</v>
      </c>
    </row>
    <row r="957" spans="2:5">
      <c r="B957" s="37">
        <v>41974</v>
      </c>
      <c r="C957" s="17">
        <v>1593404499.52</v>
      </c>
      <c r="D957" s="17" t="s">
        <v>22</v>
      </c>
      <c r="E957" s="17">
        <v>4</v>
      </c>
    </row>
    <row r="958" spans="2:5">
      <c r="B958" s="37">
        <v>41974</v>
      </c>
      <c r="C958" s="17">
        <v>1061153848.83</v>
      </c>
      <c r="D958" s="17" t="s">
        <v>8</v>
      </c>
      <c r="E958" s="17">
        <v>5</v>
      </c>
    </row>
    <row r="959" spans="2:5">
      <c r="B959" s="37">
        <v>41974</v>
      </c>
      <c r="C959" s="17">
        <v>1041623721.72</v>
      </c>
      <c r="D959" s="17" t="s">
        <v>13</v>
      </c>
      <c r="E959" s="17">
        <v>6</v>
      </c>
    </row>
    <row r="960" spans="2:5">
      <c r="B960" s="37">
        <v>41974</v>
      </c>
      <c r="C960" s="17">
        <v>783384788.52999997</v>
      </c>
      <c r="D960" s="17" t="s">
        <v>95</v>
      </c>
      <c r="E960" s="17">
        <v>7</v>
      </c>
    </row>
    <row r="961" spans="2:5">
      <c r="B961" s="37">
        <v>41974</v>
      </c>
      <c r="C961" s="17">
        <v>595284777.33000004</v>
      </c>
      <c r="D961" s="17" t="s">
        <v>109</v>
      </c>
      <c r="E961" s="17">
        <v>8</v>
      </c>
    </row>
    <row r="962" spans="2:5">
      <c r="B962" s="37">
        <v>41974</v>
      </c>
      <c r="C962" s="17">
        <v>555021260.59000003</v>
      </c>
      <c r="D962" s="17" t="s">
        <v>10</v>
      </c>
      <c r="E962" s="17">
        <v>9</v>
      </c>
    </row>
    <row r="963" spans="2:5">
      <c r="B963" s="37">
        <v>41974</v>
      </c>
      <c r="C963" s="17">
        <v>538719380.54999995</v>
      </c>
      <c r="D963" s="17" t="s">
        <v>17</v>
      </c>
      <c r="E963" s="17">
        <v>10</v>
      </c>
    </row>
    <row r="964" spans="2:5">
      <c r="B964" s="37">
        <v>42005</v>
      </c>
      <c r="C964" s="17">
        <v>3904655310.6700001</v>
      </c>
      <c r="D964" s="17" t="s">
        <v>11</v>
      </c>
      <c r="E964" s="17">
        <v>1</v>
      </c>
    </row>
    <row r="965" spans="2:5">
      <c r="B965" s="37">
        <v>42005</v>
      </c>
      <c r="C965" s="17">
        <v>1879668236.21</v>
      </c>
      <c r="D965" s="17" t="s">
        <v>22</v>
      </c>
      <c r="E965" s="17">
        <v>2</v>
      </c>
    </row>
    <row r="966" spans="2:5">
      <c r="B966" s="37">
        <v>42005</v>
      </c>
      <c r="C966" s="17">
        <v>1625033492.25</v>
      </c>
      <c r="D966" s="17" t="s">
        <v>106</v>
      </c>
      <c r="E966" s="17">
        <v>3</v>
      </c>
    </row>
    <row r="967" spans="2:5">
      <c r="B967" s="37">
        <v>42005</v>
      </c>
      <c r="C967" s="17">
        <v>1608075629.5699999</v>
      </c>
      <c r="D967" s="17" t="s">
        <v>32</v>
      </c>
      <c r="E967" s="17">
        <v>4</v>
      </c>
    </row>
    <row r="968" spans="2:5">
      <c r="B968" s="37">
        <v>42005</v>
      </c>
      <c r="C968" s="17">
        <v>1178028705.72</v>
      </c>
      <c r="D968" s="17" t="s">
        <v>8</v>
      </c>
      <c r="E968" s="17">
        <v>5</v>
      </c>
    </row>
    <row r="969" spans="2:5">
      <c r="B969" s="37">
        <v>42005</v>
      </c>
      <c r="C969" s="17">
        <v>896080600.24000001</v>
      </c>
      <c r="D969" s="17" t="s">
        <v>95</v>
      </c>
      <c r="E969" s="17">
        <v>6</v>
      </c>
    </row>
    <row r="970" spans="2:5">
      <c r="B970" s="37">
        <v>42005</v>
      </c>
      <c r="C970" s="17">
        <v>742919383.65999997</v>
      </c>
      <c r="D970" s="17" t="s">
        <v>109</v>
      </c>
      <c r="E970" s="17">
        <v>7</v>
      </c>
    </row>
    <row r="971" spans="2:5">
      <c r="B971" s="37">
        <v>42005</v>
      </c>
      <c r="C971" s="17">
        <v>567421630.83000004</v>
      </c>
      <c r="D971" s="17" t="s">
        <v>110</v>
      </c>
      <c r="E971" s="17">
        <v>8</v>
      </c>
    </row>
    <row r="972" spans="2:5">
      <c r="B972" s="37">
        <v>42005</v>
      </c>
      <c r="C972" s="17">
        <v>556752715.63</v>
      </c>
      <c r="D972" s="17" t="s">
        <v>111</v>
      </c>
      <c r="E972" s="17">
        <v>9</v>
      </c>
    </row>
    <row r="973" spans="2:5">
      <c r="B973" s="37">
        <v>42005</v>
      </c>
      <c r="C973" s="17">
        <v>538077240.82000005</v>
      </c>
      <c r="D973" s="17" t="s">
        <v>13</v>
      </c>
      <c r="E973" s="17">
        <v>10</v>
      </c>
    </row>
    <row r="974" spans="2:5">
      <c r="B974" s="37">
        <v>42036</v>
      </c>
      <c r="C974" s="17">
        <v>4061400420.8899999</v>
      </c>
      <c r="D974" s="17" t="s">
        <v>11</v>
      </c>
      <c r="E974" s="17">
        <v>1</v>
      </c>
    </row>
    <row r="975" spans="2:5">
      <c r="B975" s="37">
        <v>42036</v>
      </c>
      <c r="C975" s="17">
        <v>1709595700.75</v>
      </c>
      <c r="D975" s="17" t="s">
        <v>22</v>
      </c>
      <c r="E975" s="17">
        <v>2</v>
      </c>
    </row>
    <row r="976" spans="2:5">
      <c r="B976" s="37">
        <v>42036</v>
      </c>
      <c r="C976" s="17">
        <v>1276651700.3800001</v>
      </c>
      <c r="D976" s="17" t="s">
        <v>32</v>
      </c>
      <c r="E976" s="17">
        <v>3</v>
      </c>
    </row>
    <row r="977" spans="2:5">
      <c r="B977" s="37">
        <v>42036</v>
      </c>
      <c r="C977" s="17">
        <v>1254494476.75</v>
      </c>
      <c r="D977" s="17" t="s">
        <v>106</v>
      </c>
      <c r="E977" s="17">
        <v>4</v>
      </c>
    </row>
    <row r="978" spans="2:5">
      <c r="B978" s="37">
        <v>42036</v>
      </c>
      <c r="C978" s="17">
        <v>1154041709.48</v>
      </c>
      <c r="D978" s="17" t="s">
        <v>8</v>
      </c>
      <c r="E978" s="17">
        <v>5</v>
      </c>
    </row>
    <row r="979" spans="2:5">
      <c r="B979" s="37">
        <v>42036</v>
      </c>
      <c r="C979" s="17">
        <v>801913745.34000003</v>
      </c>
      <c r="D979" s="17" t="s">
        <v>95</v>
      </c>
      <c r="E979" s="17">
        <v>6</v>
      </c>
    </row>
    <row r="980" spans="2:5">
      <c r="B980" s="37">
        <v>42036</v>
      </c>
      <c r="C980" s="17">
        <v>773346642.21000004</v>
      </c>
      <c r="D980" s="17" t="s">
        <v>13</v>
      </c>
      <c r="E980" s="17">
        <v>7</v>
      </c>
    </row>
    <row r="981" spans="2:5">
      <c r="B981" s="37">
        <v>42036</v>
      </c>
      <c r="C981" s="17">
        <v>509205711.77999997</v>
      </c>
      <c r="D981" s="17" t="s">
        <v>17</v>
      </c>
      <c r="E981" s="17">
        <v>8</v>
      </c>
    </row>
    <row r="982" spans="2:5">
      <c r="B982" s="37">
        <v>42036</v>
      </c>
      <c r="C982" s="17">
        <v>495007211.51999998</v>
      </c>
      <c r="D982" s="17" t="s">
        <v>109</v>
      </c>
      <c r="E982" s="17">
        <v>9</v>
      </c>
    </row>
    <row r="983" spans="2:5">
      <c r="B983" s="37">
        <v>42036</v>
      </c>
      <c r="C983" s="17">
        <v>463957555.94999999</v>
      </c>
      <c r="D983" s="17" t="s">
        <v>110</v>
      </c>
      <c r="E983" s="17">
        <v>10</v>
      </c>
    </row>
    <row r="984" spans="2:5">
      <c r="B984" s="37">
        <v>42064</v>
      </c>
      <c r="C984" s="17">
        <v>4519939214.6099997</v>
      </c>
      <c r="D984" s="17" t="s">
        <v>11</v>
      </c>
      <c r="E984" s="17">
        <v>1</v>
      </c>
    </row>
    <row r="985" spans="2:5">
      <c r="B985" s="37">
        <v>42064</v>
      </c>
      <c r="C985" s="17">
        <v>2184165727.7399998</v>
      </c>
      <c r="D985" s="17" t="s">
        <v>106</v>
      </c>
      <c r="E985" s="17">
        <v>2</v>
      </c>
    </row>
    <row r="986" spans="2:5">
      <c r="B986" s="37">
        <v>42064</v>
      </c>
      <c r="C986" s="17">
        <v>1951357567.9100001</v>
      </c>
      <c r="D986" s="17" t="s">
        <v>22</v>
      </c>
      <c r="E986" s="17">
        <v>3</v>
      </c>
    </row>
    <row r="987" spans="2:5">
      <c r="B987" s="37">
        <v>42064</v>
      </c>
      <c r="C987" s="17">
        <v>1395752227.78</v>
      </c>
      <c r="D987" s="17" t="s">
        <v>32</v>
      </c>
      <c r="E987" s="17">
        <v>4</v>
      </c>
    </row>
    <row r="988" spans="2:5">
      <c r="B988" s="37">
        <v>42064</v>
      </c>
      <c r="C988" s="17">
        <v>1193108817.8</v>
      </c>
      <c r="D988" s="17" t="s">
        <v>8</v>
      </c>
      <c r="E988" s="17">
        <v>5</v>
      </c>
    </row>
    <row r="989" spans="2:5">
      <c r="B989" s="37">
        <v>42064</v>
      </c>
      <c r="C989" s="17">
        <v>1150073844.3399999</v>
      </c>
      <c r="D989" s="17" t="s">
        <v>95</v>
      </c>
      <c r="E989" s="17">
        <v>6</v>
      </c>
    </row>
    <row r="990" spans="2:5">
      <c r="B990" s="37">
        <v>42064</v>
      </c>
      <c r="C990" s="17">
        <v>1121598716.0999999</v>
      </c>
      <c r="D990" s="17" t="s">
        <v>13</v>
      </c>
      <c r="E990" s="17">
        <v>7</v>
      </c>
    </row>
    <row r="991" spans="2:5">
      <c r="B991" s="37">
        <v>42064</v>
      </c>
      <c r="C991" s="17">
        <v>740711037.30999994</v>
      </c>
      <c r="D991" s="17" t="s">
        <v>112</v>
      </c>
      <c r="E991" s="17">
        <v>8</v>
      </c>
    </row>
    <row r="992" spans="2:5">
      <c r="B992" s="37">
        <v>42064</v>
      </c>
      <c r="C992" s="17">
        <v>711619802.50999999</v>
      </c>
      <c r="D992" s="17" t="s">
        <v>110</v>
      </c>
      <c r="E992" s="17">
        <v>9</v>
      </c>
    </row>
    <row r="993" spans="2:5">
      <c r="B993" s="37">
        <v>42064</v>
      </c>
      <c r="C993" s="17">
        <v>704205064.92999995</v>
      </c>
      <c r="D993" s="17" t="s">
        <v>109</v>
      </c>
      <c r="E993" s="17">
        <v>10</v>
      </c>
    </row>
    <row r="994" spans="2:5">
      <c r="B994" s="59">
        <v>42095</v>
      </c>
      <c r="C994" s="60">
        <v>5345630110.9799995</v>
      </c>
      <c r="D994" s="60" t="s">
        <v>11</v>
      </c>
      <c r="E994" s="60">
        <v>1</v>
      </c>
    </row>
    <row r="995" spans="2:5">
      <c r="B995" s="59">
        <v>42095</v>
      </c>
      <c r="C995" s="60">
        <v>2768969803.9499998</v>
      </c>
      <c r="D995" s="60" t="s">
        <v>22</v>
      </c>
      <c r="E995" s="60">
        <v>2</v>
      </c>
    </row>
    <row r="996" spans="2:5">
      <c r="B996" s="59">
        <v>42095</v>
      </c>
      <c r="C996" s="60">
        <v>2695906594.3299999</v>
      </c>
      <c r="D996" s="60" t="s">
        <v>106</v>
      </c>
      <c r="E996" s="60">
        <v>3</v>
      </c>
    </row>
    <row r="997" spans="2:5">
      <c r="B997" s="59">
        <v>42095</v>
      </c>
      <c r="C997" s="60">
        <v>1578591042.45</v>
      </c>
      <c r="D997" s="60" t="s">
        <v>32</v>
      </c>
      <c r="E997" s="60">
        <v>4</v>
      </c>
    </row>
    <row r="998" spans="2:5">
      <c r="B998" s="59">
        <v>42095</v>
      </c>
      <c r="C998" s="60">
        <v>1544807428.47</v>
      </c>
      <c r="D998" s="60" t="s">
        <v>95</v>
      </c>
      <c r="E998" s="60">
        <v>5</v>
      </c>
    </row>
    <row r="999" spans="2:5">
      <c r="B999" s="59">
        <v>42095</v>
      </c>
      <c r="C999" s="60">
        <v>1199028717.3499999</v>
      </c>
      <c r="D999" s="60" t="s">
        <v>8</v>
      </c>
      <c r="E999" s="60">
        <v>6</v>
      </c>
    </row>
    <row r="1000" spans="2:5">
      <c r="B1000" s="59">
        <v>42095</v>
      </c>
      <c r="C1000" s="60">
        <v>1061581290.74</v>
      </c>
      <c r="D1000" s="60" t="s">
        <v>109</v>
      </c>
      <c r="E1000" s="60">
        <v>7</v>
      </c>
    </row>
    <row r="1001" spans="2:5">
      <c r="B1001" s="59">
        <v>42095</v>
      </c>
      <c r="C1001" s="60">
        <v>1004138741.78</v>
      </c>
      <c r="D1001" s="60" t="s">
        <v>13</v>
      </c>
      <c r="E1001" s="60">
        <v>8</v>
      </c>
    </row>
    <row r="1002" spans="2:5">
      <c r="B1002" s="59">
        <v>42095</v>
      </c>
      <c r="C1002" s="60">
        <v>994538230.60000002</v>
      </c>
      <c r="D1002" s="60" t="s">
        <v>38</v>
      </c>
      <c r="E1002" s="60">
        <v>9</v>
      </c>
    </row>
    <row r="1003" spans="2:5">
      <c r="B1003" s="59">
        <v>42095</v>
      </c>
      <c r="C1003" s="60">
        <v>918420730.11000001</v>
      </c>
      <c r="D1003" s="60" t="s">
        <v>112</v>
      </c>
      <c r="E1003" s="60">
        <v>10</v>
      </c>
    </row>
    <row r="1004" spans="2:5">
      <c r="B1004" s="37">
        <v>42125</v>
      </c>
      <c r="C1004" s="17">
        <v>5284302393.6499996</v>
      </c>
      <c r="D1004" s="17" t="s">
        <v>11</v>
      </c>
      <c r="E1004" s="17">
        <v>1</v>
      </c>
    </row>
    <row r="1005" spans="2:5">
      <c r="B1005" s="37">
        <v>42125</v>
      </c>
      <c r="C1005" s="17">
        <v>2759129427.4200001</v>
      </c>
      <c r="D1005" s="17" t="s">
        <v>106</v>
      </c>
      <c r="E1005" s="17">
        <v>2</v>
      </c>
    </row>
    <row r="1006" spans="2:5">
      <c r="B1006" s="37">
        <v>42125</v>
      </c>
      <c r="C1006" s="17">
        <v>2307737488.4499998</v>
      </c>
      <c r="D1006" s="17" t="s">
        <v>22</v>
      </c>
      <c r="E1006" s="17">
        <v>3</v>
      </c>
    </row>
    <row r="1007" spans="2:5">
      <c r="B1007" s="37">
        <v>42125</v>
      </c>
      <c r="C1007" s="17">
        <v>1962171206.3499999</v>
      </c>
      <c r="D1007" s="17" t="s">
        <v>32</v>
      </c>
      <c r="E1007" s="17">
        <v>4</v>
      </c>
    </row>
    <row r="1008" spans="2:5">
      <c r="B1008" s="37">
        <v>42125</v>
      </c>
      <c r="C1008" s="17">
        <v>1556095727.8299999</v>
      </c>
      <c r="D1008" s="17" t="s">
        <v>95</v>
      </c>
      <c r="E1008" s="17">
        <v>5</v>
      </c>
    </row>
    <row r="1009" spans="2:5">
      <c r="B1009" s="37">
        <v>42125</v>
      </c>
      <c r="C1009" s="17">
        <v>1235239041.9300001</v>
      </c>
      <c r="D1009" s="17" t="s">
        <v>8</v>
      </c>
      <c r="E1009" s="17">
        <v>6</v>
      </c>
    </row>
    <row r="1010" spans="2:5">
      <c r="B1010" s="37">
        <v>42125</v>
      </c>
      <c r="C1010" s="17">
        <v>1088099243.8800001</v>
      </c>
      <c r="D1010" s="17" t="s">
        <v>109</v>
      </c>
      <c r="E1010" s="17">
        <v>7</v>
      </c>
    </row>
    <row r="1011" spans="2:5">
      <c r="B1011" s="37">
        <v>42125</v>
      </c>
      <c r="C1011" s="17">
        <v>1086294345.46</v>
      </c>
      <c r="D1011" s="17" t="s">
        <v>13</v>
      </c>
      <c r="E1011" s="17">
        <v>8</v>
      </c>
    </row>
    <row r="1012" spans="2:5">
      <c r="B1012" s="37">
        <v>42125</v>
      </c>
      <c r="C1012" s="17">
        <v>925774557.82000005</v>
      </c>
      <c r="D1012" s="17" t="s">
        <v>110</v>
      </c>
      <c r="E1012" s="17">
        <v>9</v>
      </c>
    </row>
    <row r="1013" spans="2:5">
      <c r="B1013" s="37">
        <v>42125</v>
      </c>
      <c r="C1013" s="17">
        <v>834172991.00999999</v>
      </c>
      <c r="D1013" s="17" t="s">
        <v>38</v>
      </c>
      <c r="E1013" s="17">
        <v>10</v>
      </c>
    </row>
    <row r="1014" spans="2:5">
      <c r="B1014" s="37">
        <v>42156</v>
      </c>
      <c r="C1014" s="17">
        <v>5481594328.75</v>
      </c>
      <c r="D1014" s="17" t="s">
        <v>11</v>
      </c>
      <c r="E1014" s="17">
        <v>1</v>
      </c>
    </row>
    <row r="1015" spans="2:5">
      <c r="B1015" s="37">
        <v>42156</v>
      </c>
      <c r="C1015" s="17">
        <v>3177987197.46</v>
      </c>
      <c r="D1015" s="17" t="s">
        <v>106</v>
      </c>
      <c r="E1015" s="17">
        <v>2</v>
      </c>
    </row>
    <row r="1016" spans="2:5">
      <c r="B1016" s="37">
        <v>42156</v>
      </c>
      <c r="C1016" s="17">
        <v>2270460975.3400002</v>
      </c>
      <c r="D1016" s="17" t="s">
        <v>22</v>
      </c>
      <c r="E1016" s="17">
        <v>3</v>
      </c>
    </row>
    <row r="1017" spans="2:5">
      <c r="B1017" s="37">
        <v>42156</v>
      </c>
      <c r="C1017" s="17">
        <v>1886311419.0699999</v>
      </c>
      <c r="D1017" s="17" t="s">
        <v>32</v>
      </c>
      <c r="E1017" s="17">
        <v>4</v>
      </c>
    </row>
    <row r="1018" spans="2:5">
      <c r="B1018" s="37">
        <v>42156</v>
      </c>
      <c r="C1018" s="17">
        <v>1561740391.01</v>
      </c>
      <c r="D1018" s="17" t="s">
        <v>95</v>
      </c>
      <c r="E1018" s="17">
        <v>5</v>
      </c>
    </row>
    <row r="1019" spans="2:5">
      <c r="B1019" s="37">
        <v>42156</v>
      </c>
      <c r="C1019" s="17">
        <v>1377875054.01</v>
      </c>
      <c r="D1019" s="17" t="s">
        <v>8</v>
      </c>
      <c r="E1019" s="17">
        <v>6</v>
      </c>
    </row>
    <row r="1020" spans="2:5">
      <c r="B1020" s="37">
        <v>42156</v>
      </c>
      <c r="C1020" s="17">
        <v>1282498346.24</v>
      </c>
      <c r="D1020" s="17" t="s">
        <v>13</v>
      </c>
      <c r="E1020" s="17">
        <v>7</v>
      </c>
    </row>
    <row r="1021" spans="2:5">
      <c r="B1021" s="37">
        <v>42156</v>
      </c>
      <c r="C1021" s="17">
        <v>1176922491.25</v>
      </c>
      <c r="D1021" s="17" t="s">
        <v>38</v>
      </c>
      <c r="E1021" s="17">
        <v>8</v>
      </c>
    </row>
    <row r="1022" spans="2:5">
      <c r="B1022" s="37">
        <v>42156</v>
      </c>
      <c r="C1022" s="17">
        <v>904657191.88999999</v>
      </c>
      <c r="D1022" s="17" t="s">
        <v>109</v>
      </c>
      <c r="E1022" s="17">
        <v>9</v>
      </c>
    </row>
    <row r="1023" spans="2:5">
      <c r="B1023" s="37">
        <v>42156</v>
      </c>
      <c r="C1023" s="17">
        <v>871289826.52999997</v>
      </c>
      <c r="D1023" s="17" t="s">
        <v>114</v>
      </c>
      <c r="E1023" s="17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Report</vt:lpstr>
      <vt:lpstr>Result Combine</vt:lpstr>
      <vt:lpstr>Result-lag</vt:lpstr>
      <vt:lpstr>Pivot - lag</vt:lpstr>
      <vt:lpstr>Input-lag</vt:lpstr>
      <vt:lpstr>Pivot equal</vt:lpstr>
      <vt:lpstr>Input-equal</vt:lpstr>
      <vt:lpstr>CurrentCloseDate</vt:lpstr>
      <vt:lpstr>CurrentMonth</vt:lpstr>
      <vt:lpstr>DatabaseEnv</vt:lpstr>
      <vt:lpstr>DateToChangeLag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2015-07-20T18:43:18Z</cp:lastPrinted>
  <dcterms:created xsi:type="dcterms:W3CDTF">2006-09-16T00:00:00Z</dcterms:created>
  <dcterms:modified xsi:type="dcterms:W3CDTF">2015-07-20T18:59:31Z</dcterms:modified>
</cp:coreProperties>
</file>