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Result" sheetId="7" r:id="rId1"/>
    <sheet name="Pivot" sheetId="4" r:id="rId2"/>
    <sheet name="Input" sheetId="1" r:id="rId3"/>
  </sheets>
  <definedNames>
    <definedName name="temp" localSheetId="2">Input!$C$3:$E$1179</definedName>
    <definedName name="temp_1" localSheetId="1">Pivot!$C$3:$D$102</definedName>
    <definedName name="temp_6" localSheetId="2">Input!$N$3:$O$102</definedName>
    <definedName name="temp_7" localSheetId="2">Input!$J$3:$K$102</definedName>
    <definedName name="temp_8" localSheetId="2">Input!$R$3:$S$102</definedName>
  </definedNames>
  <calcPr calcId="145621"/>
  <pivotCaches>
    <pivotCache cacheId="11" r:id="rId4"/>
  </pivotCaches>
</workbook>
</file>

<file path=xl/calcChain.xml><?xml version="1.0" encoding="utf-8"?>
<calcChain xmlns="http://schemas.openxmlformats.org/spreadsheetml/2006/main">
  <c r="I5" i="7" l="1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P26" i="7" s="1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P59" i="7" s="1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P74" i="7" s="1"/>
  <c r="I75" i="7"/>
  <c r="I76" i="7"/>
  <c r="I77" i="7"/>
  <c r="I78" i="7"/>
  <c r="I79" i="7"/>
  <c r="I80" i="7"/>
  <c r="I81" i="7"/>
  <c r="I82" i="7"/>
  <c r="P82" i="7" s="1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P98" i="7" s="1"/>
  <c r="I99" i="7"/>
  <c r="I100" i="7"/>
  <c r="I101" i="7"/>
  <c r="I102" i="7"/>
  <c r="I4" i="7"/>
  <c r="D5" i="7"/>
  <c r="D6" i="7"/>
  <c r="D7" i="7"/>
  <c r="D8" i="7"/>
  <c r="D9" i="7"/>
  <c r="D10" i="7"/>
  <c r="D11" i="7"/>
  <c r="P11" i="7" s="1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P27" i="7" s="1"/>
  <c r="D28" i="7"/>
  <c r="D29" i="7"/>
  <c r="D30" i="7"/>
  <c r="D31" i="7"/>
  <c r="D32" i="7"/>
  <c r="D33" i="7"/>
  <c r="D34" i="7"/>
  <c r="D35" i="7"/>
  <c r="P35" i="7" s="1"/>
  <c r="D36" i="7"/>
  <c r="D37" i="7"/>
  <c r="D38" i="7"/>
  <c r="D39" i="7"/>
  <c r="D40" i="7"/>
  <c r="D41" i="7"/>
  <c r="D42" i="7"/>
  <c r="D43" i="7"/>
  <c r="P43" i="7" s="1"/>
  <c r="D44" i="7"/>
  <c r="D45" i="7"/>
  <c r="D46" i="7"/>
  <c r="D47" i="7"/>
  <c r="D48" i="7"/>
  <c r="D49" i="7"/>
  <c r="D50" i="7"/>
  <c r="D51" i="7"/>
  <c r="P51" i="7" s="1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P67" i="7" s="1"/>
  <c r="D68" i="7"/>
  <c r="D69" i="7"/>
  <c r="D70" i="7"/>
  <c r="D71" i="7"/>
  <c r="D72" i="7"/>
  <c r="D73" i="7"/>
  <c r="D74" i="7"/>
  <c r="D75" i="7"/>
  <c r="P75" i="7" s="1"/>
  <c r="D76" i="7"/>
  <c r="D77" i="7"/>
  <c r="D78" i="7"/>
  <c r="D79" i="7"/>
  <c r="D80" i="7"/>
  <c r="D81" i="7"/>
  <c r="D82" i="7"/>
  <c r="D83" i="7"/>
  <c r="P83" i="7" s="1"/>
  <c r="D84" i="7"/>
  <c r="D85" i="7"/>
  <c r="D86" i="7"/>
  <c r="D87" i="7"/>
  <c r="D88" i="7"/>
  <c r="D89" i="7"/>
  <c r="D90" i="7"/>
  <c r="D91" i="7"/>
  <c r="P91" i="7" s="1"/>
  <c r="D92" i="7"/>
  <c r="D93" i="7"/>
  <c r="D94" i="7"/>
  <c r="D95" i="7"/>
  <c r="D96" i="7"/>
  <c r="D97" i="7"/>
  <c r="D98" i="7"/>
  <c r="D99" i="7"/>
  <c r="P99" i="7" s="1"/>
  <c r="D100" i="7"/>
  <c r="D101" i="7"/>
  <c r="D102" i="7"/>
  <c r="D4" i="7"/>
  <c r="B33" i="7"/>
  <c r="H5" i="7"/>
  <c r="H6" i="7"/>
  <c r="H7" i="7"/>
  <c r="H8" i="7"/>
  <c r="H9" i="7"/>
  <c r="O9" i="7" s="1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O33" i="7" s="1"/>
  <c r="H34" i="7"/>
  <c r="H35" i="7"/>
  <c r="H36" i="7"/>
  <c r="H37" i="7"/>
  <c r="H38" i="7"/>
  <c r="H39" i="7"/>
  <c r="H40" i="7"/>
  <c r="H41" i="7"/>
  <c r="O41" i="7" s="1"/>
  <c r="H42" i="7"/>
  <c r="H43" i="7"/>
  <c r="H44" i="7"/>
  <c r="H45" i="7"/>
  <c r="H46" i="7"/>
  <c r="H47" i="7"/>
  <c r="H48" i="7"/>
  <c r="H49" i="7"/>
  <c r="O49" i="7" s="1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O73" i="7" s="1"/>
  <c r="H74" i="7"/>
  <c r="H75" i="7"/>
  <c r="H76" i="7"/>
  <c r="H77" i="7"/>
  <c r="H78" i="7"/>
  <c r="H79" i="7"/>
  <c r="H80" i="7"/>
  <c r="H81" i="7"/>
  <c r="O81" i="7" s="1"/>
  <c r="H82" i="7"/>
  <c r="H83" i="7"/>
  <c r="H84" i="7"/>
  <c r="H85" i="7"/>
  <c r="H86" i="7"/>
  <c r="H87" i="7"/>
  <c r="H88" i="7"/>
  <c r="H89" i="7"/>
  <c r="O89" i="7" s="1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4" i="7"/>
  <c r="O25" i="7"/>
  <c r="O65" i="7"/>
  <c r="O97" i="7"/>
  <c r="O7" i="7"/>
  <c r="O8" i="7"/>
  <c r="O12" i="7"/>
  <c r="P19" i="7"/>
  <c r="O20" i="7"/>
  <c r="O23" i="7"/>
  <c r="O28" i="7"/>
  <c r="O36" i="7"/>
  <c r="O44" i="7"/>
  <c r="O47" i="7"/>
  <c r="P48" i="7"/>
  <c r="O52" i="7"/>
  <c r="O60" i="7"/>
  <c r="O63" i="7"/>
  <c r="O64" i="7"/>
  <c r="O68" i="7"/>
  <c r="P71" i="7"/>
  <c r="O72" i="7"/>
  <c r="O76" i="7"/>
  <c r="O84" i="7"/>
  <c r="P87" i="7"/>
  <c r="P88" i="7"/>
  <c r="P95" i="7"/>
  <c r="O100" i="7"/>
  <c r="P15" i="7"/>
  <c r="P16" i="7"/>
  <c r="P17" i="7"/>
  <c r="P23" i="7"/>
  <c r="P24" i="7"/>
  <c r="P25" i="7"/>
  <c r="P31" i="7"/>
  <c r="P32" i="7"/>
  <c r="P34" i="7"/>
  <c r="P40" i="7"/>
  <c r="P41" i="7"/>
  <c r="P47" i="7"/>
  <c r="P49" i="7"/>
  <c r="P64" i="7"/>
  <c r="P65" i="7"/>
  <c r="P73" i="7"/>
  <c r="P79" i="7"/>
  <c r="P80" i="7"/>
  <c r="P81" i="7"/>
  <c r="P89" i="7"/>
  <c r="P96" i="7"/>
  <c r="P97" i="7"/>
  <c r="P7" i="7"/>
  <c r="P8" i="7"/>
  <c r="P9" i="7"/>
  <c r="P33" i="7"/>
  <c r="P39" i="7"/>
  <c r="P55" i="7"/>
  <c r="P56" i="7"/>
  <c r="P57" i="7"/>
  <c r="P63" i="7"/>
  <c r="O31" i="7"/>
  <c r="O71" i="7"/>
  <c r="O15" i="7"/>
  <c r="O16" i="7"/>
  <c r="O17" i="7"/>
  <c r="O55" i="7"/>
  <c r="O56" i="7"/>
  <c r="O57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C102" i="7"/>
  <c r="E102" i="7" s="1"/>
  <c r="C101" i="7"/>
  <c r="E101" i="7" s="1"/>
  <c r="C100" i="7"/>
  <c r="G100" i="7" s="1"/>
  <c r="C99" i="7"/>
  <c r="C98" i="7"/>
  <c r="G98" i="7" s="1"/>
  <c r="C97" i="7"/>
  <c r="F97" i="7" s="1"/>
  <c r="M97" i="7" s="1"/>
  <c r="C96" i="7"/>
  <c r="C95" i="7"/>
  <c r="G95" i="7" s="1"/>
  <c r="C94" i="7"/>
  <c r="C93" i="7"/>
  <c r="F93" i="7" s="1"/>
  <c r="C92" i="7"/>
  <c r="G92" i="7" s="1"/>
  <c r="C91" i="7"/>
  <c r="C90" i="7"/>
  <c r="E90" i="7" s="1"/>
  <c r="C89" i="7"/>
  <c r="F89" i="7" s="1"/>
  <c r="C88" i="7"/>
  <c r="G88" i="7" s="1"/>
  <c r="C87" i="7"/>
  <c r="G87" i="7" s="1"/>
  <c r="C86" i="7"/>
  <c r="C85" i="7"/>
  <c r="F85" i="7" s="1"/>
  <c r="C84" i="7"/>
  <c r="G84" i="7" s="1"/>
  <c r="C83" i="7"/>
  <c r="C82" i="7"/>
  <c r="G82" i="7" s="1"/>
  <c r="C81" i="7"/>
  <c r="F81" i="7" s="1"/>
  <c r="C80" i="7"/>
  <c r="E80" i="7" s="1"/>
  <c r="C79" i="7"/>
  <c r="G79" i="7" s="1"/>
  <c r="C78" i="7"/>
  <c r="F78" i="7" s="1"/>
  <c r="C77" i="7"/>
  <c r="E77" i="7" s="1"/>
  <c r="C76" i="7"/>
  <c r="G76" i="7" s="1"/>
  <c r="C75" i="7"/>
  <c r="G75" i="7" s="1"/>
  <c r="C74" i="7"/>
  <c r="G74" i="7" s="1"/>
  <c r="C73" i="7"/>
  <c r="C72" i="7"/>
  <c r="F72" i="7" s="1"/>
  <c r="C71" i="7"/>
  <c r="G71" i="7" s="1"/>
  <c r="C70" i="7"/>
  <c r="E70" i="7" s="1"/>
  <c r="C69" i="7"/>
  <c r="F69" i="7" s="1"/>
  <c r="C68" i="7"/>
  <c r="G68" i="7" s="1"/>
  <c r="G67" i="7"/>
  <c r="F67" i="7"/>
  <c r="E67" i="7"/>
  <c r="C67" i="7"/>
  <c r="C66" i="7"/>
  <c r="G66" i="7" s="1"/>
  <c r="C65" i="7"/>
  <c r="F64" i="7"/>
  <c r="E64" i="7"/>
  <c r="C64" i="7"/>
  <c r="G64" i="7" s="1"/>
  <c r="C63" i="7"/>
  <c r="G63" i="7" s="1"/>
  <c r="C62" i="7"/>
  <c r="E62" i="7" s="1"/>
  <c r="C61" i="7"/>
  <c r="F61" i="7" s="1"/>
  <c r="C60" i="7"/>
  <c r="G60" i="7" s="1"/>
  <c r="C59" i="7"/>
  <c r="F59" i="7" s="1"/>
  <c r="C58" i="7"/>
  <c r="E58" i="7" s="1"/>
  <c r="C57" i="7"/>
  <c r="F57" i="7" s="1"/>
  <c r="C56" i="7"/>
  <c r="G56" i="7" s="1"/>
  <c r="C55" i="7"/>
  <c r="G55" i="7" s="1"/>
  <c r="C54" i="7"/>
  <c r="E54" i="7" s="1"/>
  <c r="C53" i="7"/>
  <c r="F53" i="7" s="1"/>
  <c r="C52" i="7"/>
  <c r="G52" i="7" s="1"/>
  <c r="C51" i="7"/>
  <c r="G51" i="7" s="1"/>
  <c r="C50" i="7"/>
  <c r="G50" i="7" s="1"/>
  <c r="C49" i="7"/>
  <c r="F49" i="7" s="1"/>
  <c r="C48" i="7"/>
  <c r="C47" i="7"/>
  <c r="G47" i="7" s="1"/>
  <c r="C46" i="7"/>
  <c r="E46" i="7" s="1"/>
  <c r="C45" i="7"/>
  <c r="F45" i="7" s="1"/>
  <c r="C44" i="7"/>
  <c r="G44" i="7" s="1"/>
  <c r="C43" i="7"/>
  <c r="G43" i="7" s="1"/>
  <c r="C42" i="7"/>
  <c r="G42" i="7" s="1"/>
  <c r="C41" i="7"/>
  <c r="F41" i="7" s="1"/>
  <c r="C40" i="7"/>
  <c r="C39" i="7"/>
  <c r="G39" i="7" s="1"/>
  <c r="C38" i="7"/>
  <c r="E38" i="7" s="1"/>
  <c r="C37" i="7"/>
  <c r="E37" i="7" s="1"/>
  <c r="C36" i="7"/>
  <c r="G36" i="7" s="1"/>
  <c r="C35" i="7"/>
  <c r="C34" i="7"/>
  <c r="E34" i="7" s="1"/>
  <c r="C33" i="7"/>
  <c r="F33" i="7" s="1"/>
  <c r="M33" i="7" s="1"/>
  <c r="C32" i="7"/>
  <c r="C31" i="7"/>
  <c r="G31" i="7" s="1"/>
  <c r="C30" i="7"/>
  <c r="C29" i="7"/>
  <c r="F29" i="7" s="1"/>
  <c r="C28" i="7"/>
  <c r="G28" i="7" s="1"/>
  <c r="C27" i="7"/>
  <c r="C26" i="7"/>
  <c r="E26" i="7" s="1"/>
  <c r="C25" i="7"/>
  <c r="F25" i="7" s="1"/>
  <c r="C24" i="7"/>
  <c r="G24" i="7" s="1"/>
  <c r="C23" i="7"/>
  <c r="G23" i="7" s="1"/>
  <c r="C22" i="7"/>
  <c r="C21" i="7"/>
  <c r="E21" i="7" s="1"/>
  <c r="C20" i="7"/>
  <c r="G20" i="7" s="1"/>
  <c r="C19" i="7"/>
  <c r="E19" i="7" s="1"/>
  <c r="C18" i="7"/>
  <c r="E18" i="7" s="1"/>
  <c r="C17" i="7"/>
  <c r="F17" i="7" s="1"/>
  <c r="M17" i="7" s="1"/>
  <c r="C16" i="7"/>
  <c r="G16" i="7" s="1"/>
  <c r="C15" i="7"/>
  <c r="G15" i="7" s="1"/>
  <c r="C14" i="7"/>
  <c r="F14" i="7" s="1"/>
  <c r="C13" i="7"/>
  <c r="G13" i="7" s="1"/>
  <c r="C12" i="7"/>
  <c r="G12" i="7" s="1"/>
  <c r="C11" i="7"/>
  <c r="G11" i="7" s="1"/>
  <c r="C10" i="7"/>
  <c r="E10" i="7" s="1"/>
  <c r="C9" i="7"/>
  <c r="C8" i="7"/>
  <c r="G8" i="7" s="1"/>
  <c r="C7" i="7"/>
  <c r="G7" i="7" s="1"/>
  <c r="C6" i="7"/>
  <c r="E6" i="7" s="1"/>
  <c r="C5" i="7"/>
  <c r="F5" i="7" s="1"/>
  <c r="C4" i="7"/>
  <c r="G4" i="7" s="1"/>
  <c r="P90" i="7" l="1"/>
  <c r="P66" i="7"/>
  <c r="P50" i="7"/>
  <c r="P18" i="7"/>
  <c r="P58" i="7"/>
  <c r="P42" i="7"/>
  <c r="P10" i="7"/>
  <c r="N13" i="7"/>
  <c r="P72" i="7"/>
  <c r="N47" i="7"/>
  <c r="O79" i="7"/>
  <c r="O95" i="7"/>
  <c r="O92" i="7"/>
  <c r="O27" i="7"/>
  <c r="O99" i="7"/>
  <c r="O91" i="7"/>
  <c r="O83" i="7"/>
  <c r="O75" i="7"/>
  <c r="O67" i="7"/>
  <c r="O59" i="7"/>
  <c r="O51" i="7"/>
  <c r="O43" i="7"/>
  <c r="O35" i="7"/>
  <c r="O19" i="7"/>
  <c r="O11" i="7"/>
  <c r="P100" i="7"/>
  <c r="P92" i="7"/>
  <c r="P84" i="7"/>
  <c r="P76" i="7"/>
  <c r="P68" i="7"/>
  <c r="P60" i="7"/>
  <c r="P52" i="7"/>
  <c r="P44" i="7"/>
  <c r="P36" i="7"/>
  <c r="P28" i="7"/>
  <c r="P20" i="7"/>
  <c r="P12" i="7"/>
  <c r="O96" i="7"/>
  <c r="O88" i="7"/>
  <c r="O80" i="7"/>
  <c r="O48" i="7"/>
  <c r="O40" i="7"/>
  <c r="O32" i="7"/>
  <c r="O24" i="7"/>
  <c r="O4" i="7"/>
  <c r="O87" i="7"/>
  <c r="O39" i="7"/>
  <c r="O62" i="7"/>
  <c r="O54" i="7"/>
  <c r="O46" i="7"/>
  <c r="O38" i="7"/>
  <c r="O30" i="7"/>
  <c r="O22" i="7"/>
  <c r="O6" i="7"/>
  <c r="O14" i="7"/>
  <c r="O102" i="7"/>
  <c r="O94" i="7"/>
  <c r="O86" i="7"/>
  <c r="O78" i="7"/>
  <c r="O70" i="7"/>
  <c r="O101" i="7"/>
  <c r="O93" i="7"/>
  <c r="O85" i="7"/>
  <c r="O77" i="7"/>
  <c r="O69" i="7"/>
  <c r="O61" i="7"/>
  <c r="O53" i="7"/>
  <c r="O45" i="7"/>
  <c r="O37" i="7"/>
  <c r="O29" i="7"/>
  <c r="O21" i="7"/>
  <c r="O13" i="7"/>
  <c r="O5" i="7"/>
  <c r="O74" i="7"/>
  <c r="O34" i="7"/>
  <c r="O10" i="7"/>
  <c r="O98" i="7"/>
  <c r="O82" i="7"/>
  <c r="O42" i="7"/>
  <c r="O18" i="7"/>
  <c r="O90" i="7"/>
  <c r="O66" i="7"/>
  <c r="O58" i="7"/>
  <c r="O50" i="7"/>
  <c r="O26" i="7"/>
  <c r="P102" i="7"/>
  <c r="P94" i="7"/>
  <c r="P86" i="7"/>
  <c r="P78" i="7"/>
  <c r="P70" i="7"/>
  <c r="P62" i="7"/>
  <c r="P54" i="7"/>
  <c r="P46" i="7"/>
  <c r="P38" i="7"/>
  <c r="P30" i="7"/>
  <c r="P22" i="7"/>
  <c r="P14" i="7"/>
  <c r="P6" i="7"/>
  <c r="M69" i="7"/>
  <c r="M93" i="7"/>
  <c r="L101" i="7"/>
  <c r="P101" i="7"/>
  <c r="P93" i="7"/>
  <c r="P85" i="7"/>
  <c r="P77" i="7"/>
  <c r="P69" i="7"/>
  <c r="P61" i="7"/>
  <c r="P53" i="7"/>
  <c r="P45" i="7"/>
  <c r="P37" i="7"/>
  <c r="P29" i="7"/>
  <c r="P21" i="7"/>
  <c r="P13" i="7"/>
  <c r="P5" i="7"/>
  <c r="L19" i="7"/>
  <c r="N43" i="7"/>
  <c r="N84" i="7"/>
  <c r="N92" i="7"/>
  <c r="F80" i="7"/>
  <c r="M80" i="7" s="1"/>
  <c r="G80" i="7"/>
  <c r="N80" i="7" s="1"/>
  <c r="M61" i="7"/>
  <c r="N71" i="7"/>
  <c r="N79" i="7"/>
  <c r="N98" i="7"/>
  <c r="L102" i="7"/>
  <c r="P4" i="7"/>
  <c r="L64" i="7"/>
  <c r="G41" i="7"/>
  <c r="N41" i="7" s="1"/>
  <c r="N8" i="7"/>
  <c r="N12" i="7"/>
  <c r="N20" i="7"/>
  <c r="N24" i="7"/>
  <c r="M72" i="7"/>
  <c r="N76" i="7"/>
  <c r="F38" i="7"/>
  <c r="M38" i="7" s="1"/>
  <c r="G38" i="7"/>
  <c r="N38" i="7" s="1"/>
  <c r="N55" i="7"/>
  <c r="M64" i="7"/>
  <c r="N44" i="7"/>
  <c r="N56" i="7"/>
  <c r="F51" i="7"/>
  <c r="M51" i="7" s="1"/>
  <c r="G89" i="7"/>
  <c r="G17" i="7"/>
  <c r="N17" i="7" s="1"/>
  <c r="E51" i="7"/>
  <c r="L51" i="7" s="1"/>
  <c r="E11" i="7"/>
  <c r="L11" i="7" s="1"/>
  <c r="G59" i="7"/>
  <c r="N59" i="7" s="1"/>
  <c r="E72" i="7"/>
  <c r="L72" i="7" s="1"/>
  <c r="N23" i="7"/>
  <c r="N64" i="7"/>
  <c r="G72" i="7"/>
  <c r="N72" i="7" s="1"/>
  <c r="N87" i="7"/>
  <c r="L90" i="7"/>
  <c r="M5" i="7"/>
  <c r="N16" i="7"/>
  <c r="L46" i="7"/>
  <c r="M57" i="7"/>
  <c r="M14" i="7"/>
  <c r="F11" i="7"/>
  <c r="M11" i="7" s="1"/>
  <c r="N15" i="7"/>
  <c r="M41" i="7"/>
  <c r="M45" i="7"/>
  <c r="L58" i="7"/>
  <c r="E75" i="7"/>
  <c r="L75" i="7" s="1"/>
  <c r="M81" i="7"/>
  <c r="M85" i="7"/>
  <c r="M89" i="7"/>
  <c r="N36" i="7"/>
  <c r="N39" i="7"/>
  <c r="M53" i="7"/>
  <c r="E56" i="7"/>
  <c r="L56" i="7" s="1"/>
  <c r="G97" i="7"/>
  <c r="N97" i="7" s="1"/>
  <c r="F75" i="7"/>
  <c r="M75" i="7" s="1"/>
  <c r="F6" i="7"/>
  <c r="M6" i="7" s="1"/>
  <c r="G6" i="7"/>
  <c r="N6" i="7" s="1"/>
  <c r="F56" i="7"/>
  <c r="M56" i="7" s="1"/>
  <c r="E59" i="7"/>
  <c r="L59" i="7" s="1"/>
  <c r="N31" i="7"/>
  <c r="N89" i="7"/>
  <c r="N4" i="7"/>
  <c r="N7" i="7"/>
  <c r="L21" i="7"/>
  <c r="M25" i="7"/>
  <c r="M29" i="7"/>
  <c r="L54" i="7"/>
  <c r="L77" i="7"/>
  <c r="M59" i="7"/>
  <c r="M67" i="7"/>
  <c r="F70" i="7"/>
  <c r="M70" i="7" s="1"/>
  <c r="N95" i="7"/>
  <c r="F102" i="7"/>
  <c r="M102" i="7" s="1"/>
  <c r="L10" i="7"/>
  <c r="E16" i="7"/>
  <c r="L16" i="7" s="1"/>
  <c r="G33" i="7"/>
  <c r="N33" i="7" s="1"/>
  <c r="E43" i="7"/>
  <c r="L43" i="7" s="1"/>
  <c r="N51" i="7"/>
  <c r="G62" i="7"/>
  <c r="N62" i="7" s="1"/>
  <c r="N67" i="7"/>
  <c r="G70" i="7"/>
  <c r="N70" i="7" s="1"/>
  <c r="G81" i="7"/>
  <c r="N81" i="7" s="1"/>
  <c r="F88" i="7"/>
  <c r="M88" i="7" s="1"/>
  <c r="G102" i="7"/>
  <c r="N102" i="7" s="1"/>
  <c r="F16" i="7"/>
  <c r="M16" i="7" s="1"/>
  <c r="L26" i="7"/>
  <c r="L34" i="7"/>
  <c r="L38" i="7"/>
  <c r="F43" i="7"/>
  <c r="M43" i="7" s="1"/>
  <c r="F46" i="7"/>
  <c r="M46" i="7" s="1"/>
  <c r="G49" i="7"/>
  <c r="N49" i="7" s="1"/>
  <c r="N52" i="7"/>
  <c r="N60" i="7"/>
  <c r="N63" i="7"/>
  <c r="N68" i="7"/>
  <c r="N82" i="7"/>
  <c r="N100" i="7"/>
  <c r="L18" i="7"/>
  <c r="G25" i="7"/>
  <c r="N25" i="7" s="1"/>
  <c r="F54" i="7"/>
  <c r="M54" i="7" s="1"/>
  <c r="F62" i="7"/>
  <c r="M62" i="7" s="1"/>
  <c r="L37" i="7"/>
  <c r="G54" i="7"/>
  <c r="N54" i="7" s="1"/>
  <c r="E8" i="7"/>
  <c r="L8" i="7" s="1"/>
  <c r="G46" i="7"/>
  <c r="N46" i="7" s="1"/>
  <c r="N50" i="7"/>
  <c r="N66" i="7"/>
  <c r="N74" i="7"/>
  <c r="L67" i="7"/>
  <c r="M78" i="7"/>
  <c r="E88" i="7"/>
  <c r="L88" i="7" s="1"/>
  <c r="F8" i="7"/>
  <c r="M8" i="7" s="1"/>
  <c r="N88" i="7"/>
  <c r="N28" i="7"/>
  <c r="N42" i="7"/>
  <c r="N75" i="7"/>
  <c r="G27" i="7"/>
  <c r="N27" i="7" s="1"/>
  <c r="F27" i="7"/>
  <c r="M27" i="7" s="1"/>
  <c r="E27" i="7"/>
  <c r="L27" i="7" s="1"/>
  <c r="F65" i="7"/>
  <c r="M65" i="7" s="1"/>
  <c r="G65" i="7"/>
  <c r="N65" i="7" s="1"/>
  <c r="E24" i="7"/>
  <c r="L24" i="7" s="1"/>
  <c r="G99" i="7"/>
  <c r="N99" i="7" s="1"/>
  <c r="F99" i="7"/>
  <c r="M99" i="7" s="1"/>
  <c r="E99" i="7"/>
  <c r="L99" i="7" s="1"/>
  <c r="G32" i="7"/>
  <c r="N32" i="7" s="1"/>
  <c r="F32" i="7"/>
  <c r="M32" i="7" s="1"/>
  <c r="F73" i="7"/>
  <c r="M73" i="7" s="1"/>
  <c r="G73" i="7"/>
  <c r="N73" i="7" s="1"/>
  <c r="G57" i="7"/>
  <c r="N57" i="7" s="1"/>
  <c r="G96" i="7"/>
  <c r="N96" i="7" s="1"/>
  <c r="F96" i="7"/>
  <c r="M96" i="7" s="1"/>
  <c r="E86" i="7"/>
  <c r="L86" i="7" s="1"/>
  <c r="G86" i="7"/>
  <c r="N86" i="7" s="1"/>
  <c r="F86" i="7"/>
  <c r="M86" i="7" s="1"/>
  <c r="G19" i="7"/>
  <c r="N19" i="7" s="1"/>
  <c r="F19" i="7"/>
  <c r="M19" i="7" s="1"/>
  <c r="E78" i="7"/>
  <c r="L78" i="7" s="1"/>
  <c r="G78" i="7"/>
  <c r="N78" i="7" s="1"/>
  <c r="F9" i="7"/>
  <c r="M9" i="7" s="1"/>
  <c r="G9" i="7"/>
  <c r="N9" i="7" s="1"/>
  <c r="F24" i="7"/>
  <c r="M24" i="7" s="1"/>
  <c r="G35" i="7"/>
  <c r="N35" i="7" s="1"/>
  <c r="F35" i="7"/>
  <c r="M35" i="7" s="1"/>
  <c r="E35" i="7"/>
  <c r="L35" i="7" s="1"/>
  <c r="E22" i="7"/>
  <c r="L22" i="7" s="1"/>
  <c r="G22" i="7"/>
  <c r="N22" i="7" s="1"/>
  <c r="F22" i="7"/>
  <c r="M22" i="7" s="1"/>
  <c r="L80" i="7"/>
  <c r="G83" i="7"/>
  <c r="N83" i="7" s="1"/>
  <c r="F83" i="7"/>
  <c r="M83" i="7" s="1"/>
  <c r="E96" i="7"/>
  <c r="L96" i="7" s="1"/>
  <c r="E32" i="7"/>
  <c r="L32" i="7" s="1"/>
  <c r="G48" i="7"/>
  <c r="N48" i="7" s="1"/>
  <c r="F48" i="7"/>
  <c r="M48" i="7" s="1"/>
  <c r="E48" i="7"/>
  <c r="L48" i="7" s="1"/>
  <c r="N11" i="7"/>
  <c r="E14" i="7"/>
  <c r="L14" i="7" s="1"/>
  <c r="G14" i="7"/>
  <c r="N14" i="7" s="1"/>
  <c r="L62" i="7"/>
  <c r="L70" i="7"/>
  <c r="E83" i="7"/>
  <c r="L83" i="7" s="1"/>
  <c r="E94" i="7"/>
  <c r="L94" i="7" s="1"/>
  <c r="G94" i="7"/>
  <c r="N94" i="7" s="1"/>
  <c r="F94" i="7"/>
  <c r="M94" i="7" s="1"/>
  <c r="G91" i="7"/>
  <c r="N91" i="7" s="1"/>
  <c r="F91" i="7"/>
  <c r="M91" i="7" s="1"/>
  <c r="E91" i="7"/>
  <c r="L91" i="7" s="1"/>
  <c r="L6" i="7"/>
  <c r="E30" i="7"/>
  <c r="L30" i="7" s="1"/>
  <c r="G30" i="7"/>
  <c r="N30" i="7" s="1"/>
  <c r="F30" i="7"/>
  <c r="M30" i="7" s="1"/>
  <c r="G40" i="7"/>
  <c r="N40" i="7" s="1"/>
  <c r="F40" i="7"/>
  <c r="M40" i="7" s="1"/>
  <c r="E40" i="7"/>
  <c r="L40" i="7" s="1"/>
  <c r="M49" i="7"/>
  <c r="E13" i="7"/>
  <c r="L13" i="7" s="1"/>
  <c r="E45" i="7"/>
  <c r="L45" i="7" s="1"/>
  <c r="E93" i="7"/>
  <c r="L93" i="7" s="1"/>
  <c r="F13" i="7"/>
  <c r="M13" i="7" s="1"/>
  <c r="E66" i="7"/>
  <c r="L66" i="7" s="1"/>
  <c r="E98" i="7"/>
  <c r="L98" i="7" s="1"/>
  <c r="G5" i="7"/>
  <c r="N5" i="7" s="1"/>
  <c r="E7" i="7"/>
  <c r="L7" i="7" s="1"/>
  <c r="F10" i="7"/>
  <c r="M10" i="7" s="1"/>
  <c r="E15" i="7"/>
  <c r="L15" i="7" s="1"/>
  <c r="F18" i="7"/>
  <c r="M18" i="7" s="1"/>
  <c r="G21" i="7"/>
  <c r="N21" i="7" s="1"/>
  <c r="E23" i="7"/>
  <c r="L23" i="7" s="1"/>
  <c r="F26" i="7"/>
  <c r="M26" i="7" s="1"/>
  <c r="G29" i="7"/>
  <c r="N29" i="7" s="1"/>
  <c r="E31" i="7"/>
  <c r="L31" i="7" s="1"/>
  <c r="F34" i="7"/>
  <c r="M34" i="7" s="1"/>
  <c r="G37" i="7"/>
  <c r="N37" i="7" s="1"/>
  <c r="E39" i="7"/>
  <c r="L39" i="7" s="1"/>
  <c r="F42" i="7"/>
  <c r="M42" i="7" s="1"/>
  <c r="G45" i="7"/>
  <c r="N45" i="7" s="1"/>
  <c r="E47" i="7"/>
  <c r="L47" i="7" s="1"/>
  <c r="F50" i="7"/>
  <c r="M50" i="7" s="1"/>
  <c r="G53" i="7"/>
  <c r="N53" i="7" s="1"/>
  <c r="E55" i="7"/>
  <c r="L55" i="7" s="1"/>
  <c r="F58" i="7"/>
  <c r="M58" i="7" s="1"/>
  <c r="G61" i="7"/>
  <c r="N61" i="7" s="1"/>
  <c r="E63" i="7"/>
  <c r="L63" i="7" s="1"/>
  <c r="F66" i="7"/>
  <c r="M66" i="7" s="1"/>
  <c r="G69" i="7"/>
  <c r="N69" i="7" s="1"/>
  <c r="E71" i="7"/>
  <c r="L71" i="7" s="1"/>
  <c r="F74" i="7"/>
  <c r="M74" i="7" s="1"/>
  <c r="G77" i="7"/>
  <c r="N77" i="7" s="1"/>
  <c r="E79" i="7"/>
  <c r="L79" i="7" s="1"/>
  <c r="F82" i="7"/>
  <c r="M82" i="7" s="1"/>
  <c r="G85" i="7"/>
  <c r="N85" i="7" s="1"/>
  <c r="E87" i="7"/>
  <c r="L87" i="7" s="1"/>
  <c r="F90" i="7"/>
  <c r="M90" i="7" s="1"/>
  <c r="G93" i="7"/>
  <c r="N93" i="7" s="1"/>
  <c r="E95" i="7"/>
  <c r="L95" i="7" s="1"/>
  <c r="F98" i="7"/>
  <c r="M98" i="7" s="1"/>
  <c r="G101" i="7"/>
  <c r="N101" i="7" s="1"/>
  <c r="E5" i="7"/>
  <c r="L5" i="7" s="1"/>
  <c r="E53" i="7"/>
  <c r="L53" i="7" s="1"/>
  <c r="E61" i="7"/>
  <c r="L61" i="7" s="1"/>
  <c r="E69" i="7"/>
  <c r="L69" i="7" s="1"/>
  <c r="E85" i="7"/>
  <c r="L85" i="7" s="1"/>
  <c r="F37" i="7"/>
  <c r="M37" i="7" s="1"/>
  <c r="E42" i="7"/>
  <c r="L42" i="7" s="1"/>
  <c r="E50" i="7"/>
  <c r="L50" i="7" s="1"/>
  <c r="E74" i="7"/>
  <c r="L74" i="7" s="1"/>
  <c r="F77" i="7"/>
  <c r="M77" i="7" s="1"/>
  <c r="E82" i="7"/>
  <c r="L82" i="7" s="1"/>
  <c r="F101" i="7"/>
  <c r="M101" i="7" s="1"/>
  <c r="G10" i="7"/>
  <c r="N10" i="7" s="1"/>
  <c r="E12" i="7"/>
  <c r="L12" i="7" s="1"/>
  <c r="F15" i="7"/>
  <c r="M15" i="7" s="1"/>
  <c r="G18" i="7"/>
  <c r="N18" i="7" s="1"/>
  <c r="E20" i="7"/>
  <c r="L20" i="7" s="1"/>
  <c r="F23" i="7"/>
  <c r="M23" i="7" s="1"/>
  <c r="G26" i="7"/>
  <c r="N26" i="7" s="1"/>
  <c r="E28" i="7"/>
  <c r="L28" i="7" s="1"/>
  <c r="F31" i="7"/>
  <c r="M31" i="7" s="1"/>
  <c r="G34" i="7"/>
  <c r="N34" i="7" s="1"/>
  <c r="E36" i="7"/>
  <c r="L36" i="7" s="1"/>
  <c r="F39" i="7"/>
  <c r="M39" i="7" s="1"/>
  <c r="E44" i="7"/>
  <c r="L44" i="7" s="1"/>
  <c r="F47" i="7"/>
  <c r="M47" i="7" s="1"/>
  <c r="E52" i="7"/>
  <c r="L52" i="7" s="1"/>
  <c r="F55" i="7"/>
  <c r="M55" i="7" s="1"/>
  <c r="G58" i="7"/>
  <c r="N58" i="7" s="1"/>
  <c r="E60" i="7"/>
  <c r="L60" i="7" s="1"/>
  <c r="F63" i="7"/>
  <c r="M63" i="7" s="1"/>
  <c r="E68" i="7"/>
  <c r="L68" i="7" s="1"/>
  <c r="F71" i="7"/>
  <c r="M71" i="7" s="1"/>
  <c r="E76" i="7"/>
  <c r="L76" i="7" s="1"/>
  <c r="F79" i="7"/>
  <c r="M79" i="7" s="1"/>
  <c r="E84" i="7"/>
  <c r="L84" i="7" s="1"/>
  <c r="F87" i="7"/>
  <c r="M87" i="7" s="1"/>
  <c r="G90" i="7"/>
  <c r="N90" i="7" s="1"/>
  <c r="E92" i="7"/>
  <c r="L92" i="7" s="1"/>
  <c r="F95" i="7"/>
  <c r="M95" i="7" s="1"/>
  <c r="E100" i="7"/>
  <c r="L100" i="7" s="1"/>
  <c r="E29" i="7"/>
  <c r="L29" i="7" s="1"/>
  <c r="F21" i="7"/>
  <c r="M21" i="7" s="1"/>
  <c r="E4" i="7"/>
  <c r="L4" i="7" s="1"/>
  <c r="F7" i="7"/>
  <c r="M7" i="7" s="1"/>
  <c r="F4" i="7"/>
  <c r="M4" i="7" s="1"/>
  <c r="E9" i="7"/>
  <c r="L9" i="7" s="1"/>
  <c r="F12" i="7"/>
  <c r="M12" i="7" s="1"/>
  <c r="E17" i="7"/>
  <c r="L17" i="7" s="1"/>
  <c r="F20" i="7"/>
  <c r="M20" i="7" s="1"/>
  <c r="E25" i="7"/>
  <c r="L25" i="7" s="1"/>
  <c r="F28" i="7"/>
  <c r="M28" i="7" s="1"/>
  <c r="E33" i="7"/>
  <c r="L33" i="7" s="1"/>
  <c r="F36" i="7"/>
  <c r="M36" i="7" s="1"/>
  <c r="E41" i="7"/>
  <c r="L41" i="7" s="1"/>
  <c r="F44" i="7"/>
  <c r="M44" i="7" s="1"/>
  <c r="E49" i="7"/>
  <c r="L49" i="7" s="1"/>
  <c r="F52" i="7"/>
  <c r="M52" i="7" s="1"/>
  <c r="E57" i="7"/>
  <c r="L57" i="7" s="1"/>
  <c r="F60" i="7"/>
  <c r="M60" i="7" s="1"/>
  <c r="E65" i="7"/>
  <c r="L65" i="7" s="1"/>
  <c r="F68" i="7"/>
  <c r="M68" i="7" s="1"/>
  <c r="E73" i="7"/>
  <c r="L73" i="7" s="1"/>
  <c r="F76" i="7"/>
  <c r="M76" i="7" s="1"/>
  <c r="E81" i="7"/>
  <c r="L81" i="7" s="1"/>
  <c r="F84" i="7"/>
  <c r="M84" i="7" s="1"/>
  <c r="E89" i="7"/>
  <c r="L89" i="7" s="1"/>
  <c r="F92" i="7"/>
  <c r="M92" i="7" s="1"/>
  <c r="E97" i="7"/>
  <c r="L97" i="7" s="1"/>
  <c r="F100" i="7"/>
  <c r="M100" i="7" s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txt" comma="1" qualifier="singleQuote">
      <textFields count="4">
        <textField/>
        <textField/>
        <textField/>
        <textField/>
      </textFields>
    </textPr>
  </connection>
  <connection id="2" name="temp1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3" name="temp11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4" name="temp2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5" name="temp3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<sst xmlns="http://schemas.openxmlformats.org/spreadsheetml/2006/main" count="1218" uniqueCount="95">
  <si>
    <t>servicerName</t>
  </si>
  <si>
    <t>asOf</t>
  </si>
  <si>
    <t>TotalBalance</t>
  </si>
  <si>
    <t>Rank</t>
  </si>
  <si>
    <t>CITI</t>
  </si>
  <si>
    <t>PHH</t>
  </si>
  <si>
    <t>BANK OF AMERICA</t>
  </si>
  <si>
    <t>CWB</t>
  </si>
  <si>
    <t>US BANK</t>
  </si>
  <si>
    <t>OHIO SAVINGS BANK</t>
  </si>
  <si>
    <t>CENTRAL MORTGAGE</t>
  </si>
  <si>
    <t>OPTEUM GROUP</t>
  </si>
  <si>
    <t>FLAGSTAR</t>
  </si>
  <si>
    <t>WELLS FARGO</t>
  </si>
  <si>
    <t>WACHOVIA</t>
  </si>
  <si>
    <t>NETBANK FUNDING SERVICES</t>
  </si>
  <si>
    <t>CHASE</t>
  </si>
  <si>
    <t>WAMU</t>
  </si>
  <si>
    <t>FIRST BANK OF TENNESSEE</t>
  </si>
  <si>
    <t>EVERBANK</t>
  </si>
  <si>
    <t>STANDARD MORTGAGE CORPORATION</t>
  </si>
  <si>
    <t>PNC</t>
  </si>
  <si>
    <t>USAA</t>
  </si>
  <si>
    <t>HIBERNIA NATIONAL BANK</t>
  </si>
  <si>
    <t>AMERICAN HOME MORTGAGE CORPORATION</t>
  </si>
  <si>
    <t>ALLY</t>
  </si>
  <si>
    <t>GUARANTY BANK F.S.B.</t>
  </si>
  <si>
    <t>M&amp;T MORTGAGE CORPORATION</t>
  </si>
  <si>
    <t>SALEM FIVE MORTGAGE COMPANY, LLC</t>
  </si>
  <si>
    <t>TRUSTCORP MORTGAGE COMPANY</t>
  </si>
  <si>
    <t>INDYMAC BANK, FSB</t>
  </si>
  <si>
    <t>ABM</t>
  </si>
  <si>
    <t>FREEDOM</t>
  </si>
  <si>
    <t>MORGAN STANLEY MORTGAGE CAPITAL</t>
  </si>
  <si>
    <t>REGIONS BANK</t>
  </si>
  <si>
    <t>IRWIN</t>
  </si>
  <si>
    <t>TRUSTMARK NATIONAL BANK</t>
  </si>
  <si>
    <t>HSBC</t>
  </si>
  <si>
    <t>GREYSTONE</t>
  </si>
  <si>
    <t>ENTERPRISE MORTGAGE INVESTMENTS INC.</t>
  </si>
  <si>
    <t>RED MORTGAGE CAPITAL, INC.</t>
  </si>
  <si>
    <t>AMERICAN PROPERTY FINANCING INC.</t>
  </si>
  <si>
    <t>ARBOR</t>
  </si>
  <si>
    <t>DB MORTGAGE SERVICES, LLC</t>
  </si>
  <si>
    <t>PRUDENTIAL MULTIFAMILY MORTGAGE INC.</t>
  </si>
  <si>
    <t>COLUMN GUARANTEED LLC</t>
  </si>
  <si>
    <t>GLASER FINANCIAL GROUP INC.</t>
  </si>
  <si>
    <t>ARCS COMMERCIAL MORTGAGE COMPANY, L.P.</t>
  </si>
  <si>
    <t>COLLATERAL MORTGAGE CAPITAL, LLC</t>
  </si>
  <si>
    <t>GREEN PARK FINANCIAL LIMITED PARTNERSHIP</t>
  </si>
  <si>
    <t>EAST WEST BANK</t>
  </si>
  <si>
    <t>CWCAPITAL</t>
  </si>
  <si>
    <t>CAPMARK FINANCE INC.</t>
  </si>
  <si>
    <t>INDEPENDENCE COMMUNITY BANK</t>
  </si>
  <si>
    <t>KEYCORP REAL ESTATE CAPITAL MARKETS, INC</t>
  </si>
  <si>
    <t>COLLATERAL REAL ESTATE CAPITAL, LLC</t>
  </si>
  <si>
    <t>SOVEREIGN</t>
  </si>
  <si>
    <t>SUNTRUST</t>
  </si>
  <si>
    <t>AMTRUST</t>
  </si>
  <si>
    <t>M &amp; T REALTY CAPITAL CORPORATION</t>
  </si>
  <si>
    <t>FIFTH THIRD</t>
  </si>
  <si>
    <t>RBS</t>
  </si>
  <si>
    <t>FANNIE MAE</t>
  </si>
  <si>
    <t>ASSOCIATED</t>
  </si>
  <si>
    <t>FREMONT BANK</t>
  </si>
  <si>
    <t>NY COMMUNITY</t>
  </si>
  <si>
    <t>WALKER&amp;DUNLOP</t>
  </si>
  <si>
    <t>THIRD FEDERAL</t>
  </si>
  <si>
    <t>TD BANK, N.A.</t>
  </si>
  <si>
    <t>QUICKEN</t>
  </si>
  <si>
    <t>BEECH STREET CAPITAL, LLC</t>
  </si>
  <si>
    <t>NYCB MORTGAGE COMPANY, LLC</t>
  </si>
  <si>
    <t>CHICAGO MORTGAGE SOLUTIONS DBA INTERBANK</t>
  </si>
  <si>
    <t>FRANKLIN AMERICAN MORTGAGE COMPANY</t>
  </si>
  <si>
    <t>NAVY FED</t>
  </si>
  <si>
    <t>PENNYMAC CORP.</t>
  </si>
  <si>
    <t>PROVIDENT FUNDING</t>
  </si>
  <si>
    <t>NATIONSTAR</t>
  </si>
  <si>
    <t>GREEN TREE SERVICING, LLC</t>
  </si>
  <si>
    <t>ROUNDPOINT MORTGAGE SERVICING CORPORATIO</t>
  </si>
  <si>
    <t>STEARNS LENDING, INC.</t>
  </si>
  <si>
    <t>PINGORA LOAN SERVICING, INC.</t>
  </si>
  <si>
    <t>Row Labels</t>
  </si>
  <si>
    <t>Grand Total</t>
  </si>
  <si>
    <t>Sum of TotalBalance</t>
  </si>
  <si>
    <t>Total</t>
  </si>
  <si>
    <t>Top Ten</t>
  </si>
  <si>
    <t>(Multiple Items)</t>
  </si>
  <si>
    <t>Top Five</t>
  </si>
  <si>
    <t>Top One</t>
  </si>
  <si>
    <t>Top 10</t>
  </si>
  <si>
    <t>Top 5</t>
  </si>
  <si>
    <t>Top 1</t>
  </si>
  <si>
    <t>N/A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</si>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</sst>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7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9" fontId="0" fillId="0" borderId="0" xfId="2" applyFont="1"/>
    <xf numFmtId="174" fontId="0" fillId="0" borderId="0" xfId="1" applyNumberFormat="1" applyFon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2" borderId="0" xfId="2" applyFont="1" applyFill="1"/>
    <xf numFmtId="17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Result!$N$3</c:f>
              <c:strCache>
                <c:ptCount val="1"/>
                <c:pt idx="0">
                  <c:v>Top 1</c:v>
                </c:pt>
              </c:strCache>
            </c:strRef>
          </c:tx>
          <c:marker>
            <c:symbol val="none"/>
          </c:marker>
          <c:cat>
            <c:numRef>
              <c:f>Result!$K$4:$K$102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Result!$N$4:$N$102</c:f>
              <c:numCache>
                <c:formatCode>0%</c:formatCode>
                <c:ptCount val="99"/>
                <c:pt idx="0">
                  <c:v>0.19092395760043526</c:v>
                </c:pt>
                <c:pt idx="1">
                  <c:v>0.16988836008418204</c:v>
                </c:pt>
                <c:pt idx="2">
                  <c:v>0.15713240454494609</c:v>
                </c:pt>
                <c:pt idx="3">
                  <c:v>0.16554501757156234</c:v>
                </c:pt>
                <c:pt idx="4">
                  <c:v>0.16757554288408513</c:v>
                </c:pt>
                <c:pt idx="5">
                  <c:v>8.6810673422176646E-3</c:v>
                </c:pt>
                <c:pt idx="6">
                  <c:v>9.2410840042930469E-3</c:v>
                </c:pt>
                <c:pt idx="7">
                  <c:v>0.12537129823796403</c:v>
                </c:pt>
                <c:pt idx="8">
                  <c:v>0.21159859756755103</c:v>
                </c:pt>
                <c:pt idx="9">
                  <c:v>0.12867503688276161</c:v>
                </c:pt>
                <c:pt idx="10">
                  <c:v>0.1683392628229981</c:v>
                </c:pt>
                <c:pt idx="11">
                  <c:v>0.22710120068786216</c:v>
                </c:pt>
                <c:pt idx="12">
                  <c:v>0.11744290442178761</c:v>
                </c:pt>
                <c:pt idx="13">
                  <c:v>0.19699081378613634</c:v>
                </c:pt>
                <c:pt idx="14">
                  <c:v>8.9367501302793792E-2</c:v>
                </c:pt>
                <c:pt idx="15">
                  <c:v>0.17930062986985329</c:v>
                </c:pt>
                <c:pt idx="16">
                  <c:v>0.20669468220904919</c:v>
                </c:pt>
                <c:pt idx="17">
                  <c:v>0.16428067265282748</c:v>
                </c:pt>
                <c:pt idx="18">
                  <c:v>0.10262113766540622</c:v>
                </c:pt>
                <c:pt idx="19">
                  <c:v>0.13348029769151087</c:v>
                </c:pt>
                <c:pt idx="20">
                  <c:v>0.22590827947098108</c:v>
                </c:pt>
                <c:pt idx="21">
                  <c:v>0.10422977123879464</c:v>
                </c:pt>
                <c:pt idx="22">
                  <c:v>0.15179098064051247</c:v>
                </c:pt>
                <c:pt idx="23">
                  <c:v>0.35775583551189699</c:v>
                </c:pt>
                <c:pt idx="24">
                  <c:v>9.9522618682002587E-2</c:v>
                </c:pt>
                <c:pt idx="25">
                  <c:v>0.46705096078750169</c:v>
                </c:pt>
                <c:pt idx="26">
                  <c:v>0.38573651019730598</c:v>
                </c:pt>
                <c:pt idx="27">
                  <c:v>0.14301595823074664</c:v>
                </c:pt>
                <c:pt idx="28">
                  <c:v>0.39533875046933292</c:v>
                </c:pt>
                <c:pt idx="29">
                  <c:v>0.34041889991799956</c:v>
                </c:pt>
                <c:pt idx="30">
                  <c:v>0.22411180641326561</c:v>
                </c:pt>
                <c:pt idx="31">
                  <c:v>0.21942724665472077</c:v>
                </c:pt>
                <c:pt idx="32">
                  <c:v>0.21188565537931234</c:v>
                </c:pt>
                <c:pt idx="33">
                  <c:v>0.16468302899162829</c:v>
                </c:pt>
                <c:pt idx="34">
                  <c:v>0.2546182463117837</c:v>
                </c:pt>
                <c:pt idx="35">
                  <c:v>0.38432241208119911</c:v>
                </c:pt>
                <c:pt idx="36">
                  <c:v>0.25305479789105606</c:v>
                </c:pt>
                <c:pt idx="37">
                  <c:v>0.30712850460411312</c:v>
                </c:pt>
                <c:pt idx="38">
                  <c:v>0.2199984226980165</c:v>
                </c:pt>
                <c:pt idx="39">
                  <c:v>0.29091838234251727</c:v>
                </c:pt>
                <c:pt idx="40">
                  <c:v>0.26894489986650139</c:v>
                </c:pt>
                <c:pt idx="41">
                  <c:v>0.27765241821233333</c:v>
                </c:pt>
                <c:pt idx="42">
                  <c:v>0.30193187703734953</c:v>
                </c:pt>
                <c:pt idx="43">
                  <c:v>0.3322477278146172</c:v>
                </c:pt>
                <c:pt idx="44">
                  <c:v>0.38952731051838885</c:v>
                </c:pt>
                <c:pt idx="45">
                  <c:v>0.25228221160542003</c:v>
                </c:pt>
                <c:pt idx="46">
                  <c:v>0.26808145737656075</c:v>
                </c:pt>
                <c:pt idx="47">
                  <c:v>0.28236355846720174</c:v>
                </c:pt>
                <c:pt idx="48">
                  <c:v>0.24562721055571932</c:v>
                </c:pt>
                <c:pt idx="49">
                  <c:v>0.24561839407260258</c:v>
                </c:pt>
                <c:pt idx="50">
                  <c:v>0.23374315459476794</c:v>
                </c:pt>
                <c:pt idx="51">
                  <c:v>0.17997734257421277</c:v>
                </c:pt>
                <c:pt idx="52">
                  <c:v>0.27218163061843714</c:v>
                </c:pt>
                <c:pt idx="53">
                  <c:v>0.35330287480344996</c:v>
                </c:pt>
                <c:pt idx="54">
                  <c:v>0.19718860925652015</c:v>
                </c:pt>
                <c:pt idx="55">
                  <c:v>0.40674788895904807</c:v>
                </c:pt>
                <c:pt idx="56">
                  <c:v>0.36209109239848736</c:v>
                </c:pt>
                <c:pt idx="57">
                  <c:v>0.33278790534467484</c:v>
                </c:pt>
                <c:pt idx="58">
                  <c:v>0.40386488738338555</c:v>
                </c:pt>
                <c:pt idx="59">
                  <c:v>0.50518245059186462</c:v>
                </c:pt>
                <c:pt idx="60">
                  <c:v>0.27411965846059266</c:v>
                </c:pt>
                <c:pt idx="61">
                  <c:v>0.34902470167620853</c:v>
                </c:pt>
                <c:pt idx="62">
                  <c:v>0.78329827472047353</c:v>
                </c:pt>
                <c:pt idx="63">
                  <c:v>0.15426390805763085</c:v>
                </c:pt>
                <c:pt idx="64">
                  <c:v>0.67007468039664297</c:v>
                </c:pt>
                <c:pt idx="65">
                  <c:v>0.26446313195754761</c:v>
                </c:pt>
                <c:pt idx="66">
                  <c:v>0.39626466947088979</c:v>
                </c:pt>
                <c:pt idx="67">
                  <c:v>0.3123191139247633</c:v>
                </c:pt>
                <c:pt idx="68">
                  <c:v>0.2962249950741207</c:v>
                </c:pt>
                <c:pt idx="69">
                  <c:v>0.23437095242984612</c:v>
                </c:pt>
                <c:pt idx="70">
                  <c:v>0.39951666932770841</c:v>
                </c:pt>
                <c:pt idx="71">
                  <c:v>8.8180288337042334E-2</c:v>
                </c:pt>
                <c:pt idx="72">
                  <c:v>0.33932209878504782</c:v>
                </c:pt>
                <c:pt idx="73">
                  <c:v>0.21808995929348898</c:v>
                </c:pt>
                <c:pt idx="74">
                  <c:v>0.18839971296132424</c:v>
                </c:pt>
                <c:pt idx="75">
                  <c:v>0.25238335491874231</c:v>
                </c:pt>
                <c:pt idx="76">
                  <c:v>0.3307306993664958</c:v>
                </c:pt>
                <c:pt idx="77">
                  <c:v>0.3112122017158982</c:v>
                </c:pt>
                <c:pt idx="78">
                  <c:v>0.36788716341219568</c:v>
                </c:pt>
                <c:pt idx="79">
                  <c:v>0.32441831653519432</c:v>
                </c:pt>
                <c:pt idx="80">
                  <c:v>0.28391877702413088</c:v>
                </c:pt>
                <c:pt idx="81">
                  <c:v>0.24799055669413128</c:v>
                </c:pt>
                <c:pt idx="82">
                  <c:v>0.24085536356346485</c:v>
                </c:pt>
                <c:pt idx="83">
                  <c:v>0.25142873917181358</c:v>
                </c:pt>
                <c:pt idx="84">
                  <c:v>0.14594333890303687</c:v>
                </c:pt>
                <c:pt idx="85">
                  <c:v>0.2582819336337927</c:v>
                </c:pt>
                <c:pt idx="86">
                  <c:v>0.1568438378848831</c:v>
                </c:pt>
                <c:pt idx="87">
                  <c:v>0.24234711541608941</c:v>
                </c:pt>
                <c:pt idx="88">
                  <c:v>0.22642931126504309</c:v>
                </c:pt>
                <c:pt idx="89">
                  <c:v>0.26552340551298914</c:v>
                </c:pt>
                <c:pt idx="90">
                  <c:v>0.2440169395402384</c:v>
                </c:pt>
                <c:pt idx="91">
                  <c:v>0.21793314911932252</c:v>
                </c:pt>
                <c:pt idx="92">
                  <c:v>0.22225136771301454</c:v>
                </c:pt>
                <c:pt idx="93">
                  <c:v>0.16453077330370317</c:v>
                </c:pt>
                <c:pt idx="94">
                  <c:v>0.19687764693337986</c:v>
                </c:pt>
                <c:pt idx="95">
                  <c:v>0.15907807409467362</c:v>
                </c:pt>
                <c:pt idx="96">
                  <c:v>0.26527952088548212</c:v>
                </c:pt>
                <c:pt idx="97">
                  <c:v>0.22069241326230221</c:v>
                </c:pt>
                <c:pt idx="98">
                  <c:v>0.19071876976368171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Result!$M$3</c:f>
              <c:strCache>
                <c:ptCount val="1"/>
                <c:pt idx="0">
                  <c:v>Top 5</c:v>
                </c:pt>
              </c:strCache>
            </c:strRef>
          </c:tx>
          <c:marker>
            <c:symbol val="none"/>
          </c:marker>
          <c:cat>
            <c:numRef>
              <c:f>Result!$K$4:$K$102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Result!$M$4:$M$102</c:f>
              <c:numCache>
                <c:formatCode>0%</c:formatCode>
                <c:ptCount val="99"/>
                <c:pt idx="0">
                  <c:v>0.5245065885074357</c:v>
                </c:pt>
                <c:pt idx="1">
                  <c:v>0.45305445735424865</c:v>
                </c:pt>
                <c:pt idx="2">
                  <c:v>0.46456327289940302</c:v>
                </c:pt>
                <c:pt idx="3">
                  <c:v>0.49722876970041507</c:v>
                </c:pt>
                <c:pt idx="4">
                  <c:v>0.51821985744343402</c:v>
                </c:pt>
                <c:pt idx="5">
                  <c:v>2.6889110410951655E-2</c:v>
                </c:pt>
                <c:pt idx="6">
                  <c:v>2.1162279802561301E-2</c:v>
                </c:pt>
                <c:pt idx="7">
                  <c:v>0.42307373021243927</c:v>
                </c:pt>
                <c:pt idx="8">
                  <c:v>0.55781652149347782</c:v>
                </c:pt>
                <c:pt idx="9">
                  <c:v>0.42715427695617064</c:v>
                </c:pt>
                <c:pt idx="10">
                  <c:v>0.50799160952098621</c:v>
                </c:pt>
                <c:pt idx="11">
                  <c:v>0.64624993060027724</c:v>
                </c:pt>
                <c:pt idx="12">
                  <c:v>0.36272445550076149</c:v>
                </c:pt>
                <c:pt idx="13">
                  <c:v>0.58618247509547805</c:v>
                </c:pt>
                <c:pt idx="14">
                  <c:v>0.30488453391238118</c:v>
                </c:pt>
                <c:pt idx="15">
                  <c:v>0.61426989490651007</c:v>
                </c:pt>
                <c:pt idx="16">
                  <c:v>0.5280571759195557</c:v>
                </c:pt>
                <c:pt idx="17">
                  <c:v>0.44770159208811861</c:v>
                </c:pt>
                <c:pt idx="18">
                  <c:v>0.38452597488108259</c:v>
                </c:pt>
                <c:pt idx="19">
                  <c:v>0.46256878897638887</c:v>
                </c:pt>
                <c:pt idx="20">
                  <c:v>0.65660385462146797</c:v>
                </c:pt>
                <c:pt idx="21">
                  <c:v>0.37870727113471786</c:v>
                </c:pt>
                <c:pt idx="22">
                  <c:v>0.45342612931452242</c:v>
                </c:pt>
                <c:pt idx="23">
                  <c:v>0.93481944003501627</c:v>
                </c:pt>
                <c:pt idx="24">
                  <c:v>0.33207307105091866</c:v>
                </c:pt>
                <c:pt idx="25">
                  <c:v>1.2166055363489059</c:v>
                </c:pt>
                <c:pt idx="26">
                  <c:v>1.1899698088702921</c:v>
                </c:pt>
                <c:pt idx="27">
                  <c:v>0.33333236817498063</c:v>
                </c:pt>
                <c:pt idx="28">
                  <c:v>1.1735333856015504</c:v>
                </c:pt>
                <c:pt idx="29">
                  <c:v>0.92888882908588555</c:v>
                </c:pt>
                <c:pt idx="30">
                  <c:v>0.51556581264254464</c:v>
                </c:pt>
                <c:pt idx="31">
                  <c:v>0.48865495666179432</c:v>
                </c:pt>
                <c:pt idx="32">
                  <c:v>0.55449593766927274</c:v>
                </c:pt>
                <c:pt idx="33">
                  <c:v>0.34515452999087304</c:v>
                </c:pt>
                <c:pt idx="34">
                  <c:v>0.58190299125308775</c:v>
                </c:pt>
                <c:pt idx="35">
                  <c:v>0.76093106402513366</c:v>
                </c:pt>
                <c:pt idx="36">
                  <c:v>0.5289637644188171</c:v>
                </c:pt>
                <c:pt idx="37">
                  <c:v>0.71188863581017825</c:v>
                </c:pt>
                <c:pt idx="38">
                  <c:v>0.47184496678404575</c:v>
                </c:pt>
                <c:pt idx="39">
                  <c:v>0.62855582582248759</c:v>
                </c:pt>
                <c:pt idx="40">
                  <c:v>0.66493553109678816</c:v>
                </c:pt>
                <c:pt idx="41">
                  <c:v>0.78588565354034301</c:v>
                </c:pt>
                <c:pt idx="42">
                  <c:v>0.84469028176148775</c:v>
                </c:pt>
                <c:pt idx="43">
                  <c:v>0.79586770769324244</c:v>
                </c:pt>
                <c:pt idx="44">
                  <c:v>1.2425256513295948</c:v>
                </c:pt>
                <c:pt idx="45">
                  <c:v>0.67984737660642525</c:v>
                </c:pt>
                <c:pt idx="46">
                  <c:v>0.70021186468450569</c:v>
                </c:pt>
                <c:pt idx="47">
                  <c:v>0.91601785051414175</c:v>
                </c:pt>
                <c:pt idx="48">
                  <c:v>0.63077574860870156</c:v>
                </c:pt>
                <c:pt idx="49">
                  <c:v>0.60131679954881145</c:v>
                </c:pt>
                <c:pt idx="50">
                  <c:v>0.80168202410564648</c:v>
                </c:pt>
                <c:pt idx="51">
                  <c:v>0.46367280500786395</c:v>
                </c:pt>
                <c:pt idx="52">
                  <c:v>0.70640713369685482</c:v>
                </c:pt>
                <c:pt idx="53">
                  <c:v>0.92687958500489309</c:v>
                </c:pt>
                <c:pt idx="54">
                  <c:v>0.63517499537323829</c:v>
                </c:pt>
                <c:pt idx="55">
                  <c:v>1.0173998366237977</c:v>
                </c:pt>
                <c:pt idx="56">
                  <c:v>1.0045974602930274</c:v>
                </c:pt>
                <c:pt idx="57">
                  <c:v>0.69281923759639474</c:v>
                </c:pt>
                <c:pt idx="58">
                  <c:v>0.91887593927332512</c:v>
                </c:pt>
                <c:pt idx="59">
                  <c:v>0.93268650382435492</c:v>
                </c:pt>
                <c:pt idx="60">
                  <c:v>0.51738047103423457</c:v>
                </c:pt>
                <c:pt idx="61">
                  <c:v>0.65577264413267911</c:v>
                </c:pt>
                <c:pt idx="62">
                  <c:v>1.2588689669074813</c:v>
                </c:pt>
                <c:pt idx="63">
                  <c:v>0.29725566993356389</c:v>
                </c:pt>
                <c:pt idx="64">
                  <c:v>1.1084114621912859</c:v>
                </c:pt>
                <c:pt idx="65">
                  <c:v>0.56022768951937707</c:v>
                </c:pt>
                <c:pt idx="66">
                  <c:v>0.71964842132640883</c:v>
                </c:pt>
                <c:pt idx="67">
                  <c:v>0.69080358716559254</c:v>
                </c:pt>
                <c:pt idx="68">
                  <c:v>0.68509557558026024</c:v>
                </c:pt>
                <c:pt idx="69">
                  <c:v>0.47390962974019218</c:v>
                </c:pt>
                <c:pt idx="70">
                  <c:v>0.82498929071403238</c:v>
                </c:pt>
                <c:pt idx="71">
                  <c:v>0.33348441498655035</c:v>
                </c:pt>
                <c:pt idx="72">
                  <c:v>0.84231462997679107</c:v>
                </c:pt>
                <c:pt idx="73">
                  <c:v>0.58256085872338381</c:v>
                </c:pt>
                <c:pt idx="74">
                  <c:v>0.48683570777671653</c:v>
                </c:pt>
                <c:pt idx="75">
                  <c:v>0.68455167313432874</c:v>
                </c:pt>
                <c:pt idx="76">
                  <c:v>0.63536323261440164</c:v>
                </c:pt>
                <c:pt idx="77">
                  <c:v>0.58647322579309846</c:v>
                </c:pt>
                <c:pt idx="78">
                  <c:v>0.6462280567819576</c:v>
                </c:pt>
                <c:pt idx="79">
                  <c:v>0.56365998982387766</c:v>
                </c:pt>
                <c:pt idx="80">
                  <c:v>0.50885888441966209</c:v>
                </c:pt>
                <c:pt idx="81">
                  <c:v>0.45056424081103347</c:v>
                </c:pt>
                <c:pt idx="82">
                  <c:v>0.50069704542094395</c:v>
                </c:pt>
                <c:pt idx="83">
                  <c:v>0.49339806291241578</c:v>
                </c:pt>
                <c:pt idx="84">
                  <c:v>0.42140109323995872</c:v>
                </c:pt>
                <c:pt idx="85">
                  <c:v>0.66344904912986202</c:v>
                </c:pt>
                <c:pt idx="86">
                  <c:v>0.43017115704894637</c:v>
                </c:pt>
                <c:pt idx="87">
                  <c:v>0.66588193059568368</c:v>
                </c:pt>
                <c:pt idx="88">
                  <c:v>0.45953902029342619</c:v>
                </c:pt>
                <c:pt idx="89">
                  <c:v>0.62508901243969417</c:v>
                </c:pt>
                <c:pt idx="90">
                  <c:v>0.57421354810255931</c:v>
                </c:pt>
                <c:pt idx="91">
                  <c:v>0.51018365521957909</c:v>
                </c:pt>
                <c:pt idx="92">
                  <c:v>0.78836812207230011</c:v>
                </c:pt>
                <c:pt idx="93">
                  <c:v>0.45701172609932245</c:v>
                </c:pt>
                <c:pt idx="94">
                  <c:v>0.7253923886062672</c:v>
                </c:pt>
                <c:pt idx="95">
                  <c:v>0.49367041008660434</c:v>
                </c:pt>
                <c:pt idx="96">
                  <c:v>0.64544604495949165</c:v>
                </c:pt>
                <c:pt idx="97">
                  <c:v>0.50865423275243116</c:v>
                </c:pt>
                <c:pt idx="98">
                  <c:v>0.4207519870025746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Result!$L$3</c:f>
              <c:strCache>
                <c:ptCount val="1"/>
                <c:pt idx="0">
                  <c:v>Top 10</c:v>
                </c:pt>
              </c:strCache>
            </c:strRef>
          </c:tx>
          <c:marker>
            <c:symbol val="none"/>
          </c:marker>
          <c:cat>
            <c:numRef>
              <c:f>Result!$K$4:$K$102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Result!$L$4:$L$102</c:f>
              <c:numCache>
                <c:formatCode>0%</c:formatCode>
                <c:ptCount val="99"/>
                <c:pt idx="0">
                  <c:v>0.63637643803741106</c:v>
                </c:pt>
                <c:pt idx="1">
                  <c:v>0.59299068846964187</c:v>
                </c:pt>
                <c:pt idx="2">
                  <c:v>0.61155788806844169</c:v>
                </c:pt>
                <c:pt idx="3">
                  <c:v>0.61881372736020568</c:v>
                </c:pt>
                <c:pt idx="4">
                  <c:v>0.69498488723139751</c:v>
                </c:pt>
                <c:pt idx="5">
                  <c:v>3.3131643282515555E-2</c:v>
                </c:pt>
                <c:pt idx="6">
                  <c:v>3.0114647403264534E-2</c:v>
                </c:pt>
                <c:pt idx="7">
                  <c:v>0.56883309043308816</c:v>
                </c:pt>
                <c:pt idx="8">
                  <c:v>0.70603563622735732</c:v>
                </c:pt>
                <c:pt idx="9">
                  <c:v>0.58513489690057063</c:v>
                </c:pt>
                <c:pt idx="10">
                  <c:v>0.69921618254448537</c:v>
                </c:pt>
                <c:pt idx="11">
                  <c:v>0.83804039624860516</c:v>
                </c:pt>
                <c:pt idx="12">
                  <c:v>0.49042626837420744</c:v>
                </c:pt>
                <c:pt idx="13">
                  <c:v>0.76776259569902783</c:v>
                </c:pt>
                <c:pt idx="14">
                  <c:v>0.36603095174455808</c:v>
                </c:pt>
                <c:pt idx="15">
                  <c:v>0.77408324685206908</c:v>
                </c:pt>
                <c:pt idx="16">
                  <c:v>0.65275216229094957</c:v>
                </c:pt>
                <c:pt idx="17">
                  <c:v>0.53347915130475265</c:v>
                </c:pt>
                <c:pt idx="18">
                  <c:v>0.50196388083627019</c:v>
                </c:pt>
                <c:pt idx="19">
                  <c:v>0.607439452050618</c:v>
                </c:pt>
                <c:pt idx="20">
                  <c:v>0.85450007276028339</c:v>
                </c:pt>
                <c:pt idx="21">
                  <c:v>0.5067751835089308</c:v>
                </c:pt>
                <c:pt idx="22">
                  <c:v>0.56976440609146872</c:v>
                </c:pt>
                <c:pt idx="23">
                  <c:v>1.2576245873690113</c:v>
                </c:pt>
                <c:pt idx="24">
                  <c:v>0.41256288555005038</c:v>
                </c:pt>
                <c:pt idx="25">
                  <c:v>1.467119225653152</c:v>
                </c:pt>
                <c:pt idx="26">
                  <c:v>1.3957822566966236</c:v>
                </c:pt>
                <c:pt idx="27">
                  <c:v>0.42726128440337019</c:v>
                </c:pt>
                <c:pt idx="28">
                  <c:v>1.4301841150470831</c:v>
                </c:pt>
                <c:pt idx="29">
                  <c:v>1.1474605531344122</c:v>
                </c:pt>
                <c:pt idx="30">
                  <c:v>0.5986195972669901</c:v>
                </c:pt>
                <c:pt idx="31">
                  <c:v>0.57646338194438573</c:v>
                </c:pt>
                <c:pt idx="32">
                  <c:v>0.65119179179543096</c:v>
                </c:pt>
                <c:pt idx="33">
                  <c:v>0.41221013443331167</c:v>
                </c:pt>
                <c:pt idx="34">
                  <c:v>0.69103309543036195</c:v>
                </c:pt>
                <c:pt idx="35">
                  <c:v>0.89611967204564646</c:v>
                </c:pt>
                <c:pt idx="36">
                  <c:v>0.60654400475684411</c:v>
                </c:pt>
                <c:pt idx="37">
                  <c:v>0.78977002113544614</c:v>
                </c:pt>
                <c:pt idx="38">
                  <c:v>0.5315462775945794</c:v>
                </c:pt>
                <c:pt idx="39">
                  <c:v>0.71074577323151045</c:v>
                </c:pt>
                <c:pt idx="40">
                  <c:v>0.76793206331337494</c:v>
                </c:pt>
                <c:pt idx="41">
                  <c:v>0.8968790035521812</c:v>
                </c:pt>
                <c:pt idx="42">
                  <c:v>0.95924528388927055</c:v>
                </c:pt>
                <c:pt idx="43">
                  <c:v>0.96002197502759623</c:v>
                </c:pt>
                <c:pt idx="44">
                  <c:v>1.4414254303178942</c:v>
                </c:pt>
                <c:pt idx="45">
                  <c:v>0.79974418106395984</c:v>
                </c:pt>
                <c:pt idx="46">
                  <c:v>0.86024189210449931</c:v>
                </c:pt>
                <c:pt idx="47">
                  <c:v>1.0510801446306848</c:v>
                </c:pt>
                <c:pt idx="48">
                  <c:v>0.7491124603625634</c:v>
                </c:pt>
                <c:pt idx="49">
                  <c:v>0.70098937596318034</c:v>
                </c:pt>
                <c:pt idx="50">
                  <c:v>0.92884926535256185</c:v>
                </c:pt>
                <c:pt idx="51">
                  <c:v>0.5403914920344336</c:v>
                </c:pt>
                <c:pt idx="52">
                  <c:v>0.82374678098764986</c:v>
                </c:pt>
                <c:pt idx="53">
                  <c:v>1.0727780112926835</c:v>
                </c:pt>
                <c:pt idx="54">
                  <c:v>0.74553256187581918</c:v>
                </c:pt>
                <c:pt idx="55">
                  <c:v>1.2074090474199766</c:v>
                </c:pt>
                <c:pt idx="56">
                  <c:v>1.174112495991825</c:v>
                </c:pt>
                <c:pt idx="57">
                  <c:v>0.86943472457554904</c:v>
                </c:pt>
                <c:pt idx="58">
                  <c:v>1.0919076078892038</c:v>
                </c:pt>
                <c:pt idx="59">
                  <c:v>1.0595774177202364</c:v>
                </c:pt>
                <c:pt idx="60">
                  <c:v>0.61288215051948958</c:v>
                </c:pt>
                <c:pt idx="61">
                  <c:v>0.78492646882327344</c:v>
                </c:pt>
                <c:pt idx="62">
                  <c:v>1.4482161524195167</c:v>
                </c:pt>
                <c:pt idx="63">
                  <c:v>0.34689011617734922</c:v>
                </c:pt>
                <c:pt idx="64">
                  <c:v>1.2974673007967894</c:v>
                </c:pt>
                <c:pt idx="65">
                  <c:v>0.7280786268690278</c:v>
                </c:pt>
                <c:pt idx="66">
                  <c:v>0.86205167999599441</c:v>
                </c:pt>
                <c:pt idx="67">
                  <c:v>0.84148278893457784</c:v>
                </c:pt>
                <c:pt idx="68">
                  <c:v>0.82603834230909434</c:v>
                </c:pt>
                <c:pt idx="69">
                  <c:v>0.60347045148945766</c:v>
                </c:pt>
                <c:pt idx="70">
                  <c:v>1.0402986942366088</c:v>
                </c:pt>
                <c:pt idx="71">
                  <c:v>0.42418472910017946</c:v>
                </c:pt>
                <c:pt idx="72">
                  <c:v>1.0748882551592236</c:v>
                </c:pt>
                <c:pt idx="73">
                  <c:v>0.73276310158340063</c:v>
                </c:pt>
                <c:pt idx="74">
                  <c:v>0.59618737507488861</c:v>
                </c:pt>
                <c:pt idx="75">
                  <c:v>0.85888701002262946</c:v>
                </c:pt>
                <c:pt idx="76">
                  <c:v>0.76949547158347642</c:v>
                </c:pt>
                <c:pt idx="77">
                  <c:v>0.71322890516059478</c:v>
                </c:pt>
                <c:pt idx="78">
                  <c:v>0.81181931173065258</c:v>
                </c:pt>
                <c:pt idx="79">
                  <c:v>0.72331784381152375</c:v>
                </c:pt>
                <c:pt idx="80">
                  <c:v>0.62407018515095991</c:v>
                </c:pt>
                <c:pt idx="81">
                  <c:v>0.59216802610567576</c:v>
                </c:pt>
                <c:pt idx="82">
                  <c:v>0.65312151840703914</c:v>
                </c:pt>
                <c:pt idx="83">
                  <c:v>0.654438433537748</c:v>
                </c:pt>
                <c:pt idx="84">
                  <c:v>0.54328024642999528</c:v>
                </c:pt>
                <c:pt idx="85">
                  <c:v>0.82127980233758024</c:v>
                </c:pt>
                <c:pt idx="86">
                  <c:v>0.55795073035068632</c:v>
                </c:pt>
                <c:pt idx="87">
                  <c:v>0.90651534208996976</c:v>
                </c:pt>
                <c:pt idx="88">
                  <c:v>0.64482551974854541</c:v>
                </c:pt>
                <c:pt idx="89">
                  <c:v>0.84102471538041013</c:v>
                </c:pt>
                <c:pt idx="90">
                  <c:v>0.78555932885591084</c:v>
                </c:pt>
                <c:pt idx="91">
                  <c:v>0.69077732634116629</c:v>
                </c:pt>
                <c:pt idx="92">
                  <c:v>1.0596526272294093</c:v>
                </c:pt>
                <c:pt idx="93">
                  <c:v>0.63068356202047193</c:v>
                </c:pt>
                <c:pt idx="94">
                  <c:v>0.91253348226340503</c:v>
                </c:pt>
                <c:pt idx="95">
                  <c:v>0.68707969484774611</c:v>
                </c:pt>
                <c:pt idx="96">
                  <c:v>0.83220266732854764</c:v>
                </c:pt>
                <c:pt idx="97">
                  <c:v>0.69799011552591306</c:v>
                </c:pt>
                <c:pt idx="98">
                  <c:v>0.52819937072172318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190144"/>
        <c:axId val="363594112"/>
      </c:lineChart>
      <c:dateAx>
        <c:axId val="237190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3594112"/>
        <c:crosses val="autoZero"/>
        <c:auto val="1"/>
        <c:lblOffset val="100"/>
        <c:baseTimeUnit val="months"/>
      </c:dateAx>
      <c:valAx>
        <c:axId val="3635941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37190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850870328325523"/>
          <c:y val="0.13398094281117848"/>
          <c:w val="0.75274263723169577"/>
          <c:h val="0.73514290202518207"/>
        </c:manualLayout>
      </c:layout>
      <c:lineChart>
        <c:grouping val="standard"/>
        <c:varyColors val="0"/>
        <c:ser>
          <c:idx val="0"/>
          <c:order val="0"/>
          <c:tx>
            <c:strRef>
              <c:f>Result!$D$3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numRef>
              <c:f>Result!$C$4:$C$102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Result!$D$4:$D$102</c:f>
              <c:numCache>
                <c:formatCode>_(* #,##0_);_(* \(#,##0\);_(* "-"??_);_(@_)</c:formatCode>
                <c:ptCount val="99"/>
                <c:pt idx="0">
                  <c:v>47181482650.029999</c:v>
                </c:pt>
                <c:pt idx="1">
                  <c:v>50773443458.550003</c:v>
                </c:pt>
                <c:pt idx="2">
                  <c:v>46084430789.25</c:v>
                </c:pt>
                <c:pt idx="3">
                  <c:v>50957711699.800003</c:v>
                </c:pt>
                <c:pt idx="4">
                  <c:v>52257217825.440002</c:v>
                </c:pt>
                <c:pt idx="5">
                  <c:v>60994803879.120003</c:v>
                </c:pt>
                <c:pt idx="6">
                  <c:v>63564231653.68</c:v>
                </c:pt>
                <c:pt idx="7">
                  <c:v>63574228225.360001</c:v>
                </c:pt>
                <c:pt idx="8">
                  <c:v>56268903346.199997</c:v>
                </c:pt>
                <c:pt idx="9">
                  <c:v>59150817669.589996</c:v>
                </c:pt>
                <c:pt idx="10">
                  <c:v>54956654103.489998</c:v>
                </c:pt>
                <c:pt idx="11">
                  <c:v>54697321364.949997</c:v>
                </c:pt>
                <c:pt idx="12">
                  <c:v>74321993823.5</c:v>
                </c:pt>
                <c:pt idx="13">
                  <c:v>55538521993.099998</c:v>
                </c:pt>
                <c:pt idx="14">
                  <c:v>79754243784.559998</c:v>
                </c:pt>
                <c:pt idx="15">
                  <c:v>52319425155.779999</c:v>
                </c:pt>
                <c:pt idx="16">
                  <c:v>58446366245.900002</c:v>
                </c:pt>
                <c:pt idx="17">
                  <c:v>67996182058.290001</c:v>
                </c:pt>
                <c:pt idx="18">
                  <c:v>51122600725.449997</c:v>
                </c:pt>
                <c:pt idx="19">
                  <c:v>36164577043.769997</c:v>
                </c:pt>
                <c:pt idx="20">
                  <c:v>30218811059.720001</c:v>
                </c:pt>
                <c:pt idx="21">
                  <c:v>35068710785</c:v>
                </c:pt>
                <c:pt idx="22">
                  <c:v>29981534272.830002</c:v>
                </c:pt>
                <c:pt idx="23">
                  <c:v>23541235640.110001</c:v>
                </c:pt>
                <c:pt idx="24">
                  <c:v>37747004530.029999</c:v>
                </c:pt>
                <c:pt idx="25">
                  <c:v>20365188691.919998</c:v>
                </c:pt>
                <c:pt idx="26">
                  <c:v>37470360050.949997</c:v>
                </c:pt>
                <c:pt idx="27">
                  <c:v>75983293100.669998</c:v>
                </c:pt>
                <c:pt idx="28">
                  <c:v>41425621841.010002</c:v>
                </c:pt>
                <c:pt idx="29">
                  <c:v>54510213719.889999</c:v>
                </c:pt>
                <c:pt idx="30">
                  <c:v>79336649898.679993</c:v>
                </c:pt>
                <c:pt idx="31">
                  <c:v>61794828698.809998</c:v>
                </c:pt>
                <c:pt idx="32">
                  <c:v>45832557138.260002</c:v>
                </c:pt>
                <c:pt idx="33">
                  <c:v>43788861590.690002</c:v>
                </c:pt>
                <c:pt idx="34">
                  <c:v>30442712050.41</c:v>
                </c:pt>
                <c:pt idx="35">
                  <c:v>30141102076.380001</c:v>
                </c:pt>
                <c:pt idx="36">
                  <c:v>39433551034.650002</c:v>
                </c:pt>
                <c:pt idx="37">
                  <c:v>31932662872.049999</c:v>
                </c:pt>
                <c:pt idx="38">
                  <c:v>35237290881.540001</c:v>
                </c:pt>
                <c:pt idx="39">
                  <c:v>30111043824.299999</c:v>
                </c:pt>
                <c:pt idx="40">
                  <c:v>29683095803.759998</c:v>
                </c:pt>
                <c:pt idx="41">
                  <c:v>29388182206.07</c:v>
                </c:pt>
                <c:pt idx="42">
                  <c:v>29660803047.080002</c:v>
                </c:pt>
                <c:pt idx="43">
                  <c:v>31439393000.720001</c:v>
                </c:pt>
                <c:pt idx="44">
                  <c:v>34717672051.139999</c:v>
                </c:pt>
                <c:pt idx="45">
                  <c:v>55239293692.400002</c:v>
                </c:pt>
                <c:pt idx="46">
                  <c:v>51885359259.599998</c:v>
                </c:pt>
                <c:pt idx="47">
                  <c:v>52693212525.540001</c:v>
                </c:pt>
                <c:pt idx="48">
                  <c:v>61709565705.349998</c:v>
                </c:pt>
                <c:pt idx="49">
                  <c:v>52273497066.529999</c:v>
                </c:pt>
                <c:pt idx="50">
                  <c:v>41225554464.540001</c:v>
                </c:pt>
                <c:pt idx="51">
                  <c:v>41361598109.220001</c:v>
                </c:pt>
                <c:pt idx="52">
                  <c:v>24971547348.939999</c:v>
                </c:pt>
                <c:pt idx="53">
                  <c:v>22927020807.419998</c:v>
                </c:pt>
                <c:pt idx="54">
                  <c:v>26922386992.110001</c:v>
                </c:pt>
                <c:pt idx="55">
                  <c:v>22066926046.009998</c:v>
                </c:pt>
                <c:pt idx="56">
                  <c:v>27236343791.790001</c:v>
                </c:pt>
                <c:pt idx="57">
                  <c:v>35651163369.57</c:v>
                </c:pt>
                <c:pt idx="58">
                  <c:v>36413415479.32</c:v>
                </c:pt>
                <c:pt idx="59">
                  <c:v>47384086407.980003</c:v>
                </c:pt>
                <c:pt idx="60">
                  <c:v>56066681468.849998</c:v>
                </c:pt>
                <c:pt idx="61">
                  <c:v>41922794991.639999</c:v>
                </c:pt>
                <c:pt idx="62">
                  <c:v>39240798844.5</c:v>
                </c:pt>
                <c:pt idx="63">
                  <c:v>69774767287.619995</c:v>
                </c:pt>
                <c:pt idx="64">
                  <c:v>30657516853.389999</c:v>
                </c:pt>
                <c:pt idx="65">
                  <c:v>47881017971.43</c:v>
                </c:pt>
                <c:pt idx="66">
                  <c:v>45540467422.709999</c:v>
                </c:pt>
                <c:pt idx="67">
                  <c:v>50531958795.970001</c:v>
                </c:pt>
                <c:pt idx="68">
                  <c:v>55224298159.940002</c:v>
                </c:pt>
                <c:pt idx="69">
                  <c:v>57958229525.760002</c:v>
                </c:pt>
                <c:pt idx="70">
                  <c:v>46813788334.019997</c:v>
                </c:pt>
                <c:pt idx="71">
                  <c:v>67940285389.419998</c:v>
                </c:pt>
                <c:pt idx="72">
                  <c:v>38196158237.339996</c:v>
                </c:pt>
                <c:pt idx="73">
                  <c:v>55436550059.510002</c:v>
                </c:pt>
                <c:pt idx="74">
                  <c:v>54661559585.199997</c:v>
                </c:pt>
                <c:pt idx="75">
                  <c:v>43517380013.099998</c:v>
                </c:pt>
                <c:pt idx="76">
                  <c:v>50086632838.5</c:v>
                </c:pt>
                <c:pt idx="77">
                  <c:v>49762935272.370003</c:v>
                </c:pt>
                <c:pt idx="78">
                  <c:v>46151522171.07</c:v>
                </c:pt>
                <c:pt idx="79">
                  <c:v>49453912144.660004</c:v>
                </c:pt>
                <c:pt idx="80">
                  <c:v>45627104907.010002</c:v>
                </c:pt>
                <c:pt idx="81">
                  <c:v>36892297731.660004</c:v>
                </c:pt>
                <c:pt idx="82">
                  <c:v>30217222410.669998</c:v>
                </c:pt>
                <c:pt idx="83">
                  <c:v>26204048867.77</c:v>
                </c:pt>
                <c:pt idx="84">
                  <c:v>21280194246.23</c:v>
                </c:pt>
                <c:pt idx="85">
                  <c:v>16373493341.18</c:v>
                </c:pt>
                <c:pt idx="86">
                  <c:v>17672008778.02</c:v>
                </c:pt>
                <c:pt idx="87">
                  <c:v>13542300886.83</c:v>
                </c:pt>
                <c:pt idx="88">
                  <c:v>16346718921.33</c:v>
                </c:pt>
                <c:pt idx="89">
                  <c:v>15515257766.15</c:v>
                </c:pt>
                <c:pt idx="90">
                  <c:v>18051397240.82</c:v>
                </c:pt>
                <c:pt idx="91">
                  <c:v>19964896528.419998</c:v>
                </c:pt>
                <c:pt idx="92">
                  <c:v>19269078233.209999</c:v>
                </c:pt>
                <c:pt idx="93">
                  <c:v>26306838586.91</c:v>
                </c:pt>
                <c:pt idx="94">
                  <c:v>20876866762.080002</c:v>
                </c:pt>
                <c:pt idx="95">
                  <c:v>24697625492.950001</c:v>
                </c:pt>
                <c:pt idx="96">
                  <c:v>20692098933.41</c:v>
                </c:pt>
                <c:pt idx="97">
                  <c:v>22945895444.540001</c:v>
                </c:pt>
                <c:pt idx="98">
                  <c:v>21020607415.66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405696"/>
        <c:axId val="235407232"/>
      </c:lineChart>
      <c:dateAx>
        <c:axId val="2354056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35407232"/>
        <c:crosses val="autoZero"/>
        <c:auto val="1"/>
        <c:lblOffset val="100"/>
        <c:baseTimeUnit val="months"/>
      </c:dateAx>
      <c:valAx>
        <c:axId val="23540723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354056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Result!$O$3</c:f>
              <c:strCache>
                <c:ptCount val="1"/>
                <c:pt idx="0">
                  <c:v>N/A</c:v>
                </c:pt>
              </c:strCache>
            </c:strRef>
          </c:tx>
          <c:marker>
            <c:symbol val="none"/>
          </c:marker>
          <c:cat>
            <c:numRef>
              <c:f>Result!$K$11:$K$102</c:f>
              <c:numCache>
                <c:formatCode>m/d/yyyy</c:formatCode>
                <c:ptCount val="9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  <c:pt idx="64">
                  <c:v>41244</c:v>
                </c:pt>
                <c:pt idx="65">
                  <c:v>41275</c:v>
                </c:pt>
                <c:pt idx="66">
                  <c:v>41306</c:v>
                </c:pt>
                <c:pt idx="67">
                  <c:v>41334</c:v>
                </c:pt>
                <c:pt idx="68">
                  <c:v>41365</c:v>
                </c:pt>
                <c:pt idx="69">
                  <c:v>41395</c:v>
                </c:pt>
                <c:pt idx="70">
                  <c:v>41426</c:v>
                </c:pt>
                <c:pt idx="71">
                  <c:v>41456</c:v>
                </c:pt>
                <c:pt idx="72">
                  <c:v>41487</c:v>
                </c:pt>
                <c:pt idx="73">
                  <c:v>41518</c:v>
                </c:pt>
                <c:pt idx="74">
                  <c:v>41548</c:v>
                </c:pt>
                <c:pt idx="75">
                  <c:v>41579</c:v>
                </c:pt>
                <c:pt idx="76">
                  <c:v>41609</c:v>
                </c:pt>
                <c:pt idx="77">
                  <c:v>41640</c:v>
                </c:pt>
                <c:pt idx="78">
                  <c:v>41671</c:v>
                </c:pt>
                <c:pt idx="79">
                  <c:v>41699</c:v>
                </c:pt>
                <c:pt idx="80">
                  <c:v>41730</c:v>
                </c:pt>
                <c:pt idx="81">
                  <c:v>41760</c:v>
                </c:pt>
                <c:pt idx="82">
                  <c:v>41791</c:v>
                </c:pt>
                <c:pt idx="83">
                  <c:v>41821</c:v>
                </c:pt>
                <c:pt idx="84">
                  <c:v>41852</c:v>
                </c:pt>
                <c:pt idx="85">
                  <c:v>41883</c:v>
                </c:pt>
                <c:pt idx="86">
                  <c:v>41913</c:v>
                </c:pt>
                <c:pt idx="87">
                  <c:v>41944</c:v>
                </c:pt>
                <c:pt idx="88">
                  <c:v>41974</c:v>
                </c:pt>
                <c:pt idx="89">
                  <c:v>42005</c:v>
                </c:pt>
                <c:pt idx="90">
                  <c:v>42036</c:v>
                </c:pt>
                <c:pt idx="91">
                  <c:v>42064</c:v>
                </c:pt>
              </c:numCache>
            </c:numRef>
          </c:cat>
          <c:val>
            <c:numRef>
              <c:f>Result!$O$11:$O$102</c:f>
              <c:numCache>
                <c:formatCode>0%</c:formatCode>
                <c:ptCount val="92"/>
                <c:pt idx="0">
                  <c:v>5.1397257955489668E-2</c:v>
                </c:pt>
                <c:pt idx="1">
                  <c:v>4.5777031679504962E-2</c:v>
                </c:pt>
                <c:pt idx="2">
                  <c:v>4.3447770778175507E-2</c:v>
                </c:pt>
                <c:pt idx="3">
                  <c:v>3.749211765348634E-2</c:v>
                </c:pt>
                <c:pt idx="4">
                  <c:v>4.830724963111574E-2</c:v>
                </c:pt>
                <c:pt idx="5">
                  <c:v>3.6906657097413524E-2</c:v>
                </c:pt>
                <c:pt idx="6">
                  <c:v>6.0603108486901432E-2</c:v>
                </c:pt>
                <c:pt idx="7">
                  <c:v>3.1775898030276604E-2</c:v>
                </c:pt>
                <c:pt idx="8">
                  <c:v>8.8442996490927614E-2</c:v>
                </c:pt>
                <c:pt idx="9">
                  <c:v>8.0689698274455643E-2</c:v>
                </c:pt>
                <c:pt idx="10">
                  <c:v>6.7742428118703693E-2</c:v>
                </c:pt>
                <c:pt idx="11">
                  <c:v>8.9790332533392345E-2</c:v>
                </c:pt>
                <c:pt idx="12">
                  <c:v>7.5641454375622127E-2</c:v>
                </c:pt>
                <c:pt idx="13">
                  <c:v>8.2559165290770925E-2</c:v>
                </c:pt>
                <c:pt idx="14">
                  <c:v>0.11148030825194191</c:v>
                </c:pt>
                <c:pt idx="15">
                  <c:v>9.4994630394249172E-2</c:v>
                </c:pt>
                <c:pt idx="16">
                  <c:v>0.11538509432112831</c:v>
                </c:pt>
                <c:pt idx="17">
                  <c:v>6.2040920274267358E-2</c:v>
                </c:pt>
                <c:pt idx="18">
                  <c:v>0.19753609754600956</c:v>
                </c:pt>
                <c:pt idx="19">
                  <c:v>0.1943626500160987</c:v>
                </c:pt>
                <c:pt idx="20">
                  <c:v>0.17272367449752288</c:v>
                </c:pt>
                <c:pt idx="21">
                  <c:v>0.3600731391209534</c:v>
                </c:pt>
                <c:pt idx="22">
                  <c:v>1.3125268884450154</c:v>
                </c:pt>
                <c:pt idx="23">
                  <c:v>0.61232944774276743</c:v>
                </c:pt>
                <c:pt idx="24">
                  <c:v>0.26930559792118131</c:v>
                </c:pt>
                <c:pt idx="25">
                  <c:v>0.30222837348817144</c:v>
                </c:pt>
                <c:pt idx="26">
                  <c:v>0.28767974685458131</c:v>
                </c:pt>
                <c:pt idx="27">
                  <c:v>0.23210599912548976</c:v>
                </c:pt>
                <c:pt idx="28">
                  <c:v>0.21126426863137368</c:v>
                </c:pt>
                <c:pt idx="29">
                  <c:v>0.19748480057368284</c:v>
                </c:pt>
                <c:pt idx="30">
                  <c:v>0.22902182043675287</c:v>
                </c:pt>
                <c:pt idx="31">
                  <c:v>0.15646231030400509</c:v>
                </c:pt>
                <c:pt idx="32">
                  <c:v>0.14560062103167293</c:v>
                </c:pt>
                <c:pt idx="33">
                  <c:v>0.1643583973873107</c:v>
                </c:pt>
                <c:pt idx="34">
                  <c:v>0.14480198059140426</c:v>
                </c:pt>
                <c:pt idx="35">
                  <c:v>0.24942474554370908</c:v>
                </c:pt>
                <c:pt idx="36">
                  <c:v>0.23890646883984012</c:v>
                </c:pt>
                <c:pt idx="37">
                  <c:v>0.27404118499954527</c:v>
                </c:pt>
                <c:pt idx="38">
                  <c:v>0.20347128321693914</c:v>
                </c:pt>
                <c:pt idx="39">
                  <c:v>0.2748997308760267</c:v>
                </c:pt>
                <c:pt idx="40">
                  <c:v>0.31086655053438744</c:v>
                </c:pt>
                <c:pt idx="41">
                  <c:v>0.28268377550123713</c:v>
                </c:pt>
                <c:pt idx="42">
                  <c:v>0.21982268253499851</c:v>
                </c:pt>
                <c:pt idx="43">
                  <c:v>0.18562333261453653</c:v>
                </c:pt>
                <c:pt idx="44">
                  <c:v>0.22713602889985543</c:v>
                </c:pt>
                <c:pt idx="45">
                  <c:v>0.23360459498948996</c:v>
                </c:pt>
                <c:pt idx="46">
                  <c:v>0.25076413190235908</c:v>
                </c:pt>
                <c:pt idx="47">
                  <c:v>0.21757564542797309</c:v>
                </c:pt>
                <c:pt idx="48">
                  <c:v>0.2763185860158584</c:v>
                </c:pt>
                <c:pt idx="49">
                  <c:v>0.31466719743284399</c:v>
                </c:pt>
                <c:pt idx="50">
                  <c:v>0.23064485159574127</c:v>
                </c:pt>
                <c:pt idx="51">
                  <c:v>0.33887811004485419</c:v>
                </c:pt>
                <c:pt idx="52">
                  <c:v>0.27295819362514484</c:v>
                </c:pt>
                <c:pt idx="53">
                  <c:v>0.29396433272489991</c:v>
                </c:pt>
                <c:pt idx="54">
                  <c:v>0.337194454659069</c:v>
                </c:pt>
                <c:pt idx="55">
                  <c:v>0.3714068410111569</c:v>
                </c:pt>
                <c:pt idx="56">
                  <c:v>0.22306301173220139</c:v>
                </c:pt>
                <c:pt idx="57">
                  <c:v>0.49582148831336825</c:v>
                </c:pt>
                <c:pt idx="58">
                  <c:v>0.34968130628363825</c:v>
                </c:pt>
                <c:pt idx="59">
                  <c:v>0.40602873042732729</c:v>
                </c:pt>
                <c:pt idx="60">
                  <c:v>0.38583636254715936</c:v>
                </c:pt>
                <c:pt idx="61">
                  <c:v>0.41425378224842713</c:v>
                </c:pt>
                <c:pt idx="62">
                  <c:v>0.42953394690179769</c:v>
                </c:pt>
                <c:pt idx="63">
                  <c:v>0.27858389468370748</c:v>
                </c:pt>
                <c:pt idx="64">
                  <c:v>0.54734713346966501</c:v>
                </c:pt>
                <c:pt idx="65">
                  <c:v>0.71848525890155523</c:v>
                </c:pt>
                <c:pt idx="66">
                  <c:v>0.51155255961414459</c:v>
                </c:pt>
                <c:pt idx="67">
                  <c:v>0.3844919824964248</c:v>
                </c:pt>
                <c:pt idx="68">
                  <c:v>0.50491328574458383</c:v>
                </c:pt>
                <c:pt idx="69">
                  <c:v>0.43318037423415207</c:v>
                </c:pt>
                <c:pt idx="70">
                  <c:v>0.44610345071034901</c:v>
                </c:pt>
                <c:pt idx="71">
                  <c:v>0.41624861147379605</c:v>
                </c:pt>
                <c:pt idx="72">
                  <c:v>0.43037674458234365</c:v>
                </c:pt>
                <c:pt idx="73">
                  <c:v>0.39598286052232429</c:v>
                </c:pt>
                <c:pt idx="74">
                  <c:v>0.38559803054532887</c:v>
                </c:pt>
                <c:pt idx="75">
                  <c:v>0.51886031109476694</c:v>
                </c:pt>
                <c:pt idx="76">
                  <c:v>0.42243883743955324</c:v>
                </c:pt>
                <c:pt idx="77">
                  <c:v>0.72802428710135725</c:v>
                </c:pt>
                <c:pt idx="78">
                  <c:v>0.66606033177792523</c:v>
                </c:pt>
                <c:pt idx="79">
                  <c:v>0.50963235575809129</c:v>
                </c:pt>
                <c:pt idx="80">
                  <c:v>0.68142561207264085</c:v>
                </c:pt>
                <c:pt idx="81">
                  <c:v>0.60830134343870879</c:v>
                </c:pt>
                <c:pt idx="82">
                  <c:v>0.72707209416793517</c:v>
                </c:pt>
                <c:pt idx="83">
                  <c:v>0.71134651997867704</c:v>
                </c:pt>
                <c:pt idx="84">
                  <c:v>0.7801973682306238</c:v>
                </c:pt>
                <c:pt idx="85">
                  <c:v>0.73106791768748103</c:v>
                </c:pt>
                <c:pt idx="86">
                  <c:v>0.49871776728193462</c:v>
                </c:pt>
                <c:pt idx="87">
                  <c:v>0.85900788173748266</c:v>
                </c:pt>
                <c:pt idx="88">
                  <c:v>0.2763987775646129</c:v>
                </c:pt>
                <c:pt idx="89">
                  <c:v>1.1002321274421922</c:v>
                </c:pt>
                <c:pt idx="90">
                  <c:v>0.56844278528575354</c:v>
                </c:pt>
                <c:pt idx="91">
                  <c:v>0.70018621838278006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Result!$P$3</c:f>
              <c:strCache>
                <c:ptCount val="1"/>
                <c:pt idx="0">
                  <c:v>Remaining</c:v>
                </c:pt>
              </c:strCache>
            </c:strRef>
          </c:tx>
          <c:marker>
            <c:symbol val="none"/>
          </c:marker>
          <c:cat>
            <c:numRef>
              <c:f>Result!$K$11:$K$102</c:f>
              <c:numCache>
                <c:formatCode>m/d/yyyy</c:formatCode>
                <c:ptCount val="9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  <c:pt idx="64">
                  <c:v>41244</c:v>
                </c:pt>
                <c:pt idx="65">
                  <c:v>41275</c:v>
                </c:pt>
                <c:pt idx="66">
                  <c:v>41306</c:v>
                </c:pt>
                <c:pt idx="67">
                  <c:v>41334</c:v>
                </c:pt>
                <c:pt idx="68">
                  <c:v>41365</c:v>
                </c:pt>
                <c:pt idx="69">
                  <c:v>41395</c:v>
                </c:pt>
                <c:pt idx="70">
                  <c:v>41426</c:v>
                </c:pt>
                <c:pt idx="71">
                  <c:v>41456</c:v>
                </c:pt>
                <c:pt idx="72">
                  <c:v>41487</c:v>
                </c:pt>
                <c:pt idx="73">
                  <c:v>41518</c:v>
                </c:pt>
                <c:pt idx="74">
                  <c:v>41548</c:v>
                </c:pt>
                <c:pt idx="75">
                  <c:v>41579</c:v>
                </c:pt>
                <c:pt idx="76">
                  <c:v>41609</c:v>
                </c:pt>
                <c:pt idx="77">
                  <c:v>41640</c:v>
                </c:pt>
                <c:pt idx="78">
                  <c:v>41671</c:v>
                </c:pt>
                <c:pt idx="79">
                  <c:v>41699</c:v>
                </c:pt>
                <c:pt idx="80">
                  <c:v>41730</c:v>
                </c:pt>
                <c:pt idx="81">
                  <c:v>41760</c:v>
                </c:pt>
                <c:pt idx="82">
                  <c:v>41791</c:v>
                </c:pt>
                <c:pt idx="83">
                  <c:v>41821</c:v>
                </c:pt>
                <c:pt idx="84">
                  <c:v>41852</c:v>
                </c:pt>
                <c:pt idx="85">
                  <c:v>41883</c:v>
                </c:pt>
                <c:pt idx="86">
                  <c:v>41913</c:v>
                </c:pt>
                <c:pt idx="87">
                  <c:v>41944</c:v>
                </c:pt>
                <c:pt idx="88">
                  <c:v>41974</c:v>
                </c:pt>
                <c:pt idx="89">
                  <c:v>42005</c:v>
                </c:pt>
                <c:pt idx="90">
                  <c:v>42036</c:v>
                </c:pt>
                <c:pt idx="91">
                  <c:v>42064</c:v>
                </c:pt>
              </c:numCache>
            </c:numRef>
          </c:cat>
          <c:val>
            <c:numRef>
              <c:f>Result!$P$11:$P$102</c:f>
              <c:numCache>
                <c:formatCode>0%</c:formatCode>
                <c:ptCount val="92"/>
                <c:pt idx="0">
                  <c:v>1.1172169975894002E-2</c:v>
                </c:pt>
                <c:pt idx="1">
                  <c:v>1.3844844213453299E-2</c:v>
                </c:pt>
                <c:pt idx="2">
                  <c:v>1.1952773674901941E-2</c:v>
                </c:pt>
                <c:pt idx="3">
                  <c:v>1.3003622352886606E-2</c:v>
                </c:pt>
                <c:pt idx="4">
                  <c:v>1.1557009466373488E-2</c:v>
                </c:pt>
                <c:pt idx="5">
                  <c:v>1.0847263198220191E-2</c:v>
                </c:pt>
                <c:pt idx="6">
                  <c:v>1.425790531567224E-2</c:v>
                </c:pt>
                <c:pt idx="7">
                  <c:v>8.8448960533754721E-3</c:v>
                </c:pt>
                <c:pt idx="8">
                  <c:v>1.3179961754488425E-2</c:v>
                </c:pt>
                <c:pt idx="9">
                  <c:v>1.4617675148451722E-2</c:v>
                </c:pt>
                <c:pt idx="10">
                  <c:v>1.458719936995451E-2</c:v>
                </c:pt>
                <c:pt idx="11">
                  <c:v>1.6410610636096806E-2</c:v>
                </c:pt>
                <c:pt idx="12">
                  <c:v>2.0566587645689884E-2</c:v>
                </c:pt>
                <c:pt idx="13">
                  <c:v>2.8512609874929457E-2</c:v>
                </c:pt>
                <c:pt idx="14">
                  <c:v>2.4613621232668876E-2</c:v>
                </c:pt>
                <c:pt idx="15">
                  <c:v>1.1555414732859773E-2</c:v>
                </c:pt>
                <c:pt idx="16">
                  <c:v>1.3990028113853971E-2</c:v>
                </c:pt>
                <c:pt idx="17">
                  <c:v>9.3423460778046478E-3</c:v>
                </c:pt>
                <c:pt idx="18">
                  <c:v>1.4327739540452583E-2</c:v>
                </c:pt>
                <c:pt idx="19">
                  <c:v>1.890058752883653E-2</c:v>
                </c:pt>
                <c:pt idx="20">
                  <c:v>1.2902092914440366E-2</c:v>
                </c:pt>
                <c:pt idx="21">
                  <c:v>1.2395350815269273E-2</c:v>
                </c:pt>
                <c:pt idx="22">
                  <c:v>1.3775670407727678E-2</c:v>
                </c:pt>
                <c:pt idx="23">
                  <c:v>1.4432506563515119E-2</c:v>
                </c:pt>
                <c:pt idx="24">
                  <c:v>1.6546932864136103E-2</c:v>
                </c:pt>
                <c:pt idx="25">
                  <c:v>2.398943874489089E-2</c:v>
                </c:pt>
                <c:pt idx="26">
                  <c:v>1.6425785862698106E-2</c:v>
                </c:pt>
                <c:pt idx="27">
                  <c:v>2.4715588180320044E-2</c:v>
                </c:pt>
                <c:pt idx="28">
                  <c:v>1.9610648652200528E-2</c:v>
                </c:pt>
                <c:pt idx="29">
                  <c:v>1.8312786912481248E-2</c:v>
                </c:pt>
                <c:pt idx="30">
                  <c:v>2.2864180974680123E-2</c:v>
                </c:pt>
                <c:pt idx="31">
                  <c:v>2.3347429982791143E-2</c:v>
                </c:pt>
                <c:pt idx="32">
                  <c:v>2.0985881914530078E-2</c:v>
                </c:pt>
                <c:pt idx="33">
                  <c:v>1.8877529689104076E-2</c:v>
                </c:pt>
                <c:pt idx="34">
                  <c:v>2.3866988720899089E-2</c:v>
                </c:pt>
                <c:pt idx="35">
                  <c:v>1.7744451732294341E-2</c:v>
                </c:pt>
                <c:pt idx="36">
                  <c:v>2.1278541600172732E-2</c:v>
                </c:pt>
                <c:pt idx="37">
                  <c:v>3.0031060928688177E-2</c:v>
                </c:pt>
                <c:pt idx="38">
                  <c:v>2.4273268095469456E-2</c:v>
                </c:pt>
                <c:pt idx="39">
                  <c:v>2.8808733774806354E-2</c:v>
                </c:pt>
                <c:pt idx="40">
                  <c:v>3.0503936180982121E-2</c:v>
                </c:pt>
                <c:pt idx="41">
                  <c:v>3.0301287220335895E-2</c:v>
                </c:pt>
                <c:pt idx="42">
                  <c:v>2.8340561347454954E-2</c:v>
                </c:pt>
                <c:pt idx="43">
                  <c:v>2.6327989455510913E-2</c:v>
                </c:pt>
                <c:pt idx="44">
                  <c:v>2.0053551213851824E-2</c:v>
                </c:pt>
                <c:pt idx="45">
                  <c:v>2.3670605410645119E-2</c:v>
                </c:pt>
                <c:pt idx="46">
                  <c:v>2.6792303878888667E-2</c:v>
                </c:pt>
                <c:pt idx="47">
                  <c:v>2.8129504210824312E-2</c:v>
                </c:pt>
                <c:pt idx="48">
                  <c:v>2.939765229137099E-2</c:v>
                </c:pt>
                <c:pt idx="49">
                  <c:v>2.7125814198772996E-2</c:v>
                </c:pt>
                <c:pt idx="50">
                  <c:v>2.6831956771332082E-2</c:v>
                </c:pt>
                <c:pt idx="51">
                  <c:v>4.3754787490199842E-2</c:v>
                </c:pt>
                <c:pt idx="52">
                  <c:v>4.8611230151987955E-2</c:v>
                </c:pt>
                <c:pt idx="53">
                  <c:v>3.2497420891805316E-2</c:v>
                </c:pt>
                <c:pt idx="54">
                  <c:v>5.3848510784172993E-2</c:v>
                </c:pt>
                <c:pt idx="55">
                  <c:v>3.6890368826752291E-2</c:v>
                </c:pt>
                <c:pt idx="56">
                  <c:v>4.2329428746859306E-2</c:v>
                </c:pt>
                <c:pt idx="57">
                  <c:v>4.0627977943434486E-2</c:v>
                </c:pt>
                <c:pt idx="58">
                  <c:v>3.2174625188612929E-2</c:v>
                </c:pt>
                <c:pt idx="59">
                  <c:v>4.5875608281046434E-2</c:v>
                </c:pt>
                <c:pt idx="60">
                  <c:v>4.3223662954941518E-2</c:v>
                </c:pt>
                <c:pt idx="61">
                  <c:v>4.7466884583813929E-2</c:v>
                </c:pt>
                <c:pt idx="62">
                  <c:v>4.5418928606161237E-2</c:v>
                </c:pt>
                <c:pt idx="63">
                  <c:v>4.2079141619446071E-2</c:v>
                </c:pt>
                <c:pt idx="64">
                  <c:v>4.7413493300421647E-2</c:v>
                </c:pt>
                <c:pt idx="65">
                  <c:v>3.7262454141228793E-2</c:v>
                </c:pt>
                <c:pt idx="66">
                  <c:v>4.1184643905133024E-2</c:v>
                </c:pt>
                <c:pt idx="67">
                  <c:v>3.3915281408691204E-2</c:v>
                </c:pt>
                <c:pt idx="68">
                  <c:v>3.9243663949573897E-2</c:v>
                </c:pt>
                <c:pt idx="69">
                  <c:v>4.3273631449107217E-2</c:v>
                </c:pt>
                <c:pt idx="70">
                  <c:v>3.5884959809062977E-2</c:v>
                </c:pt>
                <c:pt idx="71">
                  <c:v>4.6951680783311453E-2</c:v>
                </c:pt>
                <c:pt idx="72">
                  <c:v>4.6347114613206453E-2</c:v>
                </c:pt>
                <c:pt idx="73">
                  <c:v>3.7073553842117961E-2</c:v>
                </c:pt>
                <c:pt idx="74">
                  <c:v>3.7107611702514608E-2</c:v>
                </c:pt>
                <c:pt idx="75">
                  <c:v>3.1539714069267706E-2</c:v>
                </c:pt>
                <c:pt idx="76">
                  <c:v>3.3953708215844765E-2</c:v>
                </c:pt>
                <c:pt idx="77">
                  <c:v>3.2059110363189605E-2</c:v>
                </c:pt>
                <c:pt idx="78">
                  <c:v>4.0083372139002656E-2</c:v>
                </c:pt>
                <c:pt idx="79">
                  <c:v>3.8648429841744554E-2</c:v>
                </c:pt>
                <c:pt idx="80">
                  <c:v>3.9838302004843985E-2</c:v>
                </c:pt>
                <c:pt idx="81">
                  <c:v>4.7984678347071034E-2</c:v>
                </c:pt>
                <c:pt idx="82">
                  <c:v>5.1278101443842185E-2</c:v>
                </c:pt>
                <c:pt idx="83">
                  <c:v>3.9576752444651593E-2</c:v>
                </c:pt>
                <c:pt idx="84">
                  <c:v>3.837638327247743E-2</c:v>
                </c:pt>
                <c:pt idx="85">
                  <c:v>3.599879290097438E-2</c:v>
                </c:pt>
                <c:pt idx="86">
                  <c:v>2.8794597340058993E-2</c:v>
                </c:pt>
                <c:pt idx="87">
                  <c:v>3.6196155581284743E-2</c:v>
                </c:pt>
                <c:pt idx="88">
                  <c:v>3.1776768381803593E-2</c:v>
                </c:pt>
                <c:pt idx="89">
                  <c:v>4.8037234814544402E-2</c:v>
                </c:pt>
                <c:pt idx="90">
                  <c:v>4.0262233284072239E-2</c:v>
                </c:pt>
                <c:pt idx="91">
                  <c:v>4.6952465381410645E-2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571840"/>
        <c:axId val="220605824"/>
      </c:lineChart>
      <c:dateAx>
        <c:axId val="1895718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0605824"/>
        <c:crosses val="autoZero"/>
        <c:auto val="1"/>
        <c:lblOffset val="100"/>
        <c:baseTimeUnit val="months"/>
      </c:dateAx>
      <c:valAx>
        <c:axId val="2206058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895718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571499</xdr:colOff>
      <xdr:row>4</xdr:row>
      <xdr:rowOff>128586</xdr:rowOff>
    </xdr:from>
    <xdr:to>
      <xdr:col>30</xdr:col>
      <xdr:colOff>447674</xdr:colOff>
      <xdr:row>29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590549</xdr:colOff>
      <xdr:row>30</xdr:row>
      <xdr:rowOff>109536</xdr:rowOff>
    </xdr:from>
    <xdr:to>
      <xdr:col>30</xdr:col>
      <xdr:colOff>428624</xdr:colOff>
      <xdr:row>53</xdr:row>
      <xdr:rowOff>190499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55</xdr:row>
      <xdr:rowOff>128587</xdr:rowOff>
    </xdr:from>
    <xdr:to>
      <xdr:col>30</xdr:col>
      <xdr:colOff>476250</xdr:colOff>
      <xdr:row>70</xdr:row>
      <xdr:rowOff>14287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2081.558917361108" createdVersion="4" refreshedVersion="4" minRefreshableVersion="3" recordCount="1176">
  <cacheSource type="worksheet">
    <worksheetSource ref="B3:E1179" sheet="Input"/>
  </cacheSource>
  <cacheFields count="4">
    <cacheField name="asOf" numFmtId="14">
      <sharedItems containsSemiMixedTypes="0" containsNonDate="0" containsDate="1" containsString="0" minDate="2005-06-01T00:00:00" maxDate="2015-03-02T00:00:00" count="118"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</sharedItems>
    </cacheField>
    <cacheField name="servicerName" numFmtId="0">
      <sharedItems/>
    </cacheField>
    <cacheField name="TotalBalance" numFmtId="0">
      <sharedItems containsSemiMixedTypes="0" containsString="0" containsNumber="1" minValue="66784" maxValue="30737250033.549999"/>
    </cacheField>
    <cacheField name="Rank" numFmtId="0">
      <sharedItems containsSemiMixedTypes="0" containsString="0" containsNumber="1" containsInteger="1" minValue="1" maxValue="10" count="10">
        <n v="1"/>
        <n v="2"/>
        <n v="3"/>
        <n v="5"/>
        <n v="6"/>
        <n v="7"/>
        <n v="8"/>
        <n v="9"/>
        <n v="10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6">
  <r>
    <x v="0"/>
    <s v="CITI"/>
    <n v="9487254"/>
    <x v="0"/>
  </r>
  <r>
    <x v="0"/>
    <s v="PHH"/>
    <n v="2584090"/>
    <x v="1"/>
  </r>
  <r>
    <x v="0"/>
    <s v="BANK OF AMERICA"/>
    <n v="2473153"/>
    <x v="2"/>
  </r>
  <r>
    <x v="0"/>
    <s v="CWB"/>
    <n v="2473153"/>
    <x v="2"/>
  </r>
  <r>
    <x v="0"/>
    <s v="US BANK"/>
    <n v="653224"/>
    <x v="3"/>
  </r>
  <r>
    <x v="0"/>
    <s v="OHIO SAVINGS BANK"/>
    <n v="527391.32999999996"/>
    <x v="4"/>
  </r>
  <r>
    <x v="0"/>
    <s v="CENTRAL MORTGAGE"/>
    <n v="344406.07"/>
    <x v="5"/>
  </r>
  <r>
    <x v="0"/>
    <s v="OPTEUM GROUP"/>
    <n v="329248.45"/>
    <x v="6"/>
  </r>
  <r>
    <x v="0"/>
    <s v="FLAGSTAR"/>
    <n v="315400"/>
    <x v="7"/>
  </r>
  <r>
    <x v="0"/>
    <s v="WELLS FARGO"/>
    <n v="225801.62"/>
    <x v="8"/>
  </r>
  <r>
    <x v="1"/>
    <s v="BANK OF AMERICA"/>
    <n v="2250361"/>
    <x v="0"/>
  </r>
  <r>
    <x v="1"/>
    <s v="CWB"/>
    <n v="2250361"/>
    <x v="0"/>
  </r>
  <r>
    <x v="1"/>
    <s v="OHIO SAVINGS BANK"/>
    <n v="1615322"/>
    <x v="2"/>
  </r>
  <r>
    <x v="1"/>
    <s v="WACHOVIA"/>
    <n v="1229817"/>
    <x v="9"/>
  </r>
  <r>
    <x v="1"/>
    <s v="WELLS FARGO"/>
    <n v="1229817"/>
    <x v="9"/>
  </r>
  <r>
    <x v="1"/>
    <s v="NETBANK FUNDING SERVICES"/>
    <n v="1140628"/>
    <x v="4"/>
  </r>
  <r>
    <x v="1"/>
    <s v="US BANK"/>
    <n v="915307"/>
    <x v="5"/>
  </r>
  <r>
    <x v="1"/>
    <s v="CITI"/>
    <n v="251613"/>
    <x v="6"/>
  </r>
  <r>
    <x v="2"/>
    <s v="CWB"/>
    <n v="39579332"/>
    <x v="0"/>
  </r>
  <r>
    <x v="2"/>
    <s v="BANK OF AMERICA"/>
    <n v="39579332"/>
    <x v="0"/>
  </r>
  <r>
    <x v="2"/>
    <s v="CHASE"/>
    <n v="38010916.060000002"/>
    <x v="2"/>
  </r>
  <r>
    <x v="2"/>
    <s v="WAMU"/>
    <n v="36008093.060000002"/>
    <x v="9"/>
  </r>
  <r>
    <x v="2"/>
    <s v="NETBANK FUNDING SERVICES"/>
    <n v="3079406"/>
    <x v="3"/>
  </r>
  <r>
    <x v="2"/>
    <s v="FIRST BANK OF TENNESSEE"/>
    <n v="2434551"/>
    <x v="4"/>
  </r>
  <r>
    <x v="2"/>
    <s v="EVERBANK"/>
    <n v="1513553"/>
    <x v="5"/>
  </r>
  <r>
    <x v="2"/>
    <s v="STANDARD MORTGAGE CORPORATION"/>
    <n v="1129848.47"/>
    <x v="6"/>
  </r>
  <r>
    <x v="2"/>
    <s v="CITI"/>
    <n v="813550"/>
    <x v="7"/>
  </r>
  <r>
    <x v="2"/>
    <s v="PNC"/>
    <n v="206813"/>
    <x v="8"/>
  </r>
  <r>
    <x v="3"/>
    <s v="BANK OF AMERICA"/>
    <n v="56552979"/>
    <x v="0"/>
  </r>
  <r>
    <x v="3"/>
    <s v="CWB"/>
    <n v="16310553"/>
    <x v="1"/>
  </r>
  <r>
    <x v="3"/>
    <s v="CHASE"/>
    <n v="12772716"/>
    <x v="2"/>
  </r>
  <r>
    <x v="3"/>
    <s v="USAA"/>
    <n v="12489330"/>
    <x v="9"/>
  </r>
  <r>
    <x v="3"/>
    <s v="HIBERNIA NATIONAL BANK"/>
    <n v="8828178"/>
    <x v="3"/>
  </r>
  <r>
    <x v="3"/>
    <s v="PHH"/>
    <n v="3559467"/>
    <x v="4"/>
  </r>
  <r>
    <x v="3"/>
    <s v="AMERICAN HOME MORTGAGE CORPORATION"/>
    <n v="1563360"/>
    <x v="5"/>
  </r>
  <r>
    <x v="3"/>
    <s v="CITI"/>
    <n v="1418775"/>
    <x v="6"/>
  </r>
  <r>
    <x v="3"/>
    <s v="ALLY"/>
    <n v="1285071"/>
    <x v="7"/>
  </r>
  <r>
    <x v="3"/>
    <s v="WAMU"/>
    <n v="1224860"/>
    <x v="8"/>
  </r>
  <r>
    <x v="4"/>
    <s v="BANK OF AMERICA"/>
    <n v="89226904"/>
    <x v="0"/>
  </r>
  <r>
    <x v="4"/>
    <s v="CWB"/>
    <n v="73857035"/>
    <x v="1"/>
  </r>
  <r>
    <x v="4"/>
    <s v="CHASE"/>
    <n v="7692253.71"/>
    <x v="2"/>
  </r>
  <r>
    <x v="4"/>
    <s v="GUARANTY BANK F.S.B."/>
    <n v="1777190"/>
    <x v="9"/>
  </r>
  <r>
    <x v="4"/>
    <s v="OHIO SAVINGS BANK"/>
    <n v="1415552"/>
    <x v="3"/>
  </r>
  <r>
    <x v="4"/>
    <s v="M&amp;T MORTGAGE CORPORATION"/>
    <n v="1248688"/>
    <x v="4"/>
  </r>
  <r>
    <x v="4"/>
    <s v="SALEM FIVE MORTGAGE COMPANY, LLC"/>
    <n v="1000000"/>
    <x v="5"/>
  </r>
  <r>
    <x v="4"/>
    <s v="TRUSTCORP MORTGAGE COMPANY"/>
    <n v="416000"/>
    <x v="6"/>
  </r>
  <r>
    <x v="4"/>
    <s v="INDYMAC BANK, FSB"/>
    <n v="274744"/>
    <x v="7"/>
  </r>
  <r>
    <x v="4"/>
    <s v="WAMU"/>
    <n v="102906.71"/>
    <x v="8"/>
  </r>
  <r>
    <x v="5"/>
    <s v="ALLY"/>
    <n v="19726775"/>
    <x v="0"/>
  </r>
  <r>
    <x v="5"/>
    <s v="BANK OF AMERICA"/>
    <n v="8014924"/>
    <x v="1"/>
  </r>
  <r>
    <x v="5"/>
    <s v="ABM"/>
    <n v="7725297"/>
    <x v="2"/>
  </r>
  <r>
    <x v="5"/>
    <s v="FIRST BANK OF TENNESSEE"/>
    <n v="2931113"/>
    <x v="9"/>
  </r>
  <r>
    <x v="5"/>
    <s v="INDYMAC BANK, FSB"/>
    <n v="1851555"/>
    <x v="3"/>
  </r>
  <r>
    <x v="5"/>
    <s v="CWB"/>
    <n v="1754648"/>
    <x v="4"/>
  </r>
  <r>
    <x v="5"/>
    <s v="CITI"/>
    <n v="1565938"/>
    <x v="5"/>
  </r>
  <r>
    <x v="5"/>
    <s v="FREEDOM"/>
    <n v="1017500"/>
    <x v="6"/>
  </r>
  <r>
    <x v="5"/>
    <s v="PNC"/>
    <n v="937254"/>
    <x v="7"/>
  </r>
  <r>
    <x v="5"/>
    <s v="US BANK"/>
    <n v="414101"/>
    <x v="8"/>
  </r>
  <r>
    <x v="6"/>
    <s v="BANK OF AMERICA"/>
    <n v="123617884"/>
    <x v="0"/>
  </r>
  <r>
    <x v="6"/>
    <s v="AMERICAN HOME MORTGAGE CORPORATION"/>
    <n v="31574015"/>
    <x v="1"/>
  </r>
  <r>
    <x v="6"/>
    <s v="CWB"/>
    <n v="2910121"/>
    <x v="2"/>
  </r>
  <r>
    <x v="6"/>
    <s v="CITI"/>
    <n v="1936126"/>
    <x v="9"/>
  </r>
  <r>
    <x v="6"/>
    <s v="CHASE"/>
    <n v="1313060"/>
    <x v="3"/>
  </r>
  <r>
    <x v="6"/>
    <s v="MORGAN STANLEY MORTGAGE CAPITAL"/>
    <n v="1302822"/>
    <x v="4"/>
  </r>
  <r>
    <x v="6"/>
    <s v="NETBANK FUNDING SERVICES"/>
    <n v="1279962"/>
    <x v="5"/>
  </r>
  <r>
    <x v="6"/>
    <s v="USAA"/>
    <n v="1226276"/>
    <x v="6"/>
  </r>
  <r>
    <x v="6"/>
    <s v="FLAGSTAR"/>
    <n v="1201040"/>
    <x v="7"/>
  </r>
  <r>
    <x v="6"/>
    <s v="REGIONS BANK"/>
    <n v="712580"/>
    <x v="8"/>
  </r>
  <r>
    <x v="7"/>
    <s v="BANK OF AMERICA"/>
    <n v="202636497"/>
    <x v="0"/>
  </r>
  <r>
    <x v="7"/>
    <s v="CWB"/>
    <n v="202636497"/>
    <x v="0"/>
  </r>
  <r>
    <x v="7"/>
    <s v="IRWIN"/>
    <n v="1987000"/>
    <x v="2"/>
  </r>
  <r>
    <x v="7"/>
    <s v="NETBANK FUNDING SERVICES"/>
    <n v="1561677"/>
    <x v="9"/>
  </r>
  <r>
    <x v="7"/>
    <s v="US BANK"/>
    <n v="412374"/>
    <x v="3"/>
  </r>
  <r>
    <x v="7"/>
    <s v="CITI"/>
    <n v="178484"/>
    <x v="4"/>
  </r>
  <r>
    <x v="7"/>
    <s v="TRUSTMARK NATIONAL BANK"/>
    <n v="102393"/>
    <x v="5"/>
  </r>
  <r>
    <x v="7"/>
    <s v="PNC"/>
    <n v="66784"/>
    <x v="6"/>
  </r>
  <r>
    <x v="8"/>
    <s v="CHASE"/>
    <n v="18989705.91"/>
    <x v="0"/>
  </r>
  <r>
    <x v="8"/>
    <s v="WAMU"/>
    <n v="18699668.960000001"/>
    <x v="1"/>
  </r>
  <r>
    <x v="8"/>
    <s v="HSBC"/>
    <n v="2000506"/>
    <x v="2"/>
  </r>
  <r>
    <x v="8"/>
    <s v="BANK OF AMERICA"/>
    <n v="1938990"/>
    <x v="9"/>
  </r>
  <r>
    <x v="8"/>
    <s v="CWB"/>
    <n v="1938990"/>
    <x v="9"/>
  </r>
  <r>
    <x v="8"/>
    <s v="PHH"/>
    <n v="1595813"/>
    <x v="4"/>
  </r>
  <r>
    <x v="8"/>
    <s v="WELLS FARGO"/>
    <n v="929703"/>
    <x v="5"/>
  </r>
  <r>
    <x v="8"/>
    <s v="ALLY"/>
    <n v="550983.56999999995"/>
    <x v="6"/>
  </r>
  <r>
    <x v="8"/>
    <s v="CITI"/>
    <n v="410535.46"/>
    <x v="7"/>
  </r>
  <r>
    <x v="8"/>
    <s v="US BANK"/>
    <n v="365925"/>
    <x v="8"/>
  </r>
  <r>
    <x v="9"/>
    <s v="ALLY"/>
    <n v="16635495"/>
    <x v="0"/>
  </r>
  <r>
    <x v="9"/>
    <s v="GREYSTONE"/>
    <n v="11002000"/>
    <x v="1"/>
  </r>
  <r>
    <x v="9"/>
    <s v="IRWIN"/>
    <n v="6414800"/>
    <x v="2"/>
  </r>
  <r>
    <x v="9"/>
    <s v="BANK OF AMERICA"/>
    <n v="6109376"/>
    <x v="9"/>
  </r>
  <r>
    <x v="9"/>
    <s v="ENTERPRISE MORTGAGE INVESTMENTS INC."/>
    <n v="4829000"/>
    <x v="3"/>
  </r>
  <r>
    <x v="9"/>
    <s v="INDYMAC BANK, FSB"/>
    <n v="4732146"/>
    <x v="4"/>
  </r>
  <r>
    <x v="9"/>
    <s v="CITI"/>
    <n v="3954627"/>
    <x v="5"/>
  </r>
  <r>
    <x v="9"/>
    <s v="CWB"/>
    <n v="2204103"/>
    <x v="6"/>
  </r>
  <r>
    <x v="9"/>
    <s v="HSBC"/>
    <n v="1035773"/>
    <x v="7"/>
  </r>
  <r>
    <x v="9"/>
    <s v="US BANK"/>
    <n v="898108"/>
    <x v="8"/>
  </r>
  <r>
    <x v="10"/>
    <s v="ALLY"/>
    <n v="41797458.600000001"/>
    <x v="0"/>
  </r>
  <r>
    <x v="10"/>
    <s v="GREYSTONE"/>
    <n v="24576000"/>
    <x v="1"/>
  </r>
  <r>
    <x v="10"/>
    <s v="WELLS FARGO"/>
    <n v="13371003.699999999"/>
    <x v="2"/>
  </r>
  <r>
    <x v="10"/>
    <s v="RED MORTGAGE CAPITAL, INC."/>
    <n v="13000000"/>
    <x v="9"/>
  </r>
  <r>
    <x v="10"/>
    <s v="WACHOVIA"/>
    <n v="12884249"/>
    <x v="3"/>
  </r>
  <r>
    <x v="10"/>
    <s v="AMERICAN PROPERTY FINANCING INC."/>
    <n v="10000000"/>
    <x v="4"/>
  </r>
  <r>
    <x v="10"/>
    <s v="ARBOR"/>
    <n v="8533433"/>
    <x v="5"/>
  </r>
  <r>
    <x v="10"/>
    <s v="DB MORTGAGE SERVICES, LLC"/>
    <n v="8371000"/>
    <x v="6"/>
  </r>
  <r>
    <x v="10"/>
    <s v="PRUDENTIAL MULTIFAMILY MORTGAGE INC."/>
    <n v="5809000"/>
    <x v="7"/>
  </r>
  <r>
    <x v="10"/>
    <s v="PHH"/>
    <n v="4864686"/>
    <x v="8"/>
  </r>
  <r>
    <x v="11"/>
    <s v="PRUDENTIAL MULTIFAMILY MORTGAGE INC."/>
    <n v="30826920"/>
    <x v="0"/>
  </r>
  <r>
    <x v="11"/>
    <s v="CHASE"/>
    <n v="23268574"/>
    <x v="1"/>
  </r>
  <r>
    <x v="11"/>
    <s v="WAMU"/>
    <n v="23268574"/>
    <x v="1"/>
  </r>
  <r>
    <x v="11"/>
    <s v="COLUMN GUARANTEED LLC"/>
    <n v="20500000"/>
    <x v="9"/>
  </r>
  <r>
    <x v="11"/>
    <s v="DB MORTGAGE SERVICES, LLC"/>
    <n v="19270000"/>
    <x v="3"/>
  </r>
  <r>
    <x v="11"/>
    <s v="GREYSTONE"/>
    <n v="18846064"/>
    <x v="4"/>
  </r>
  <r>
    <x v="11"/>
    <s v="GLASER FINANCIAL GROUP INC."/>
    <n v="11400000"/>
    <x v="5"/>
  </r>
  <r>
    <x v="11"/>
    <s v="ALLY"/>
    <n v="10880000"/>
    <x v="6"/>
  </r>
  <r>
    <x v="11"/>
    <s v="ARCS COMMERCIAL MORTGAGE COMPANY, L.P."/>
    <n v="7289000"/>
    <x v="7"/>
  </r>
  <r>
    <x v="11"/>
    <s v="US BANK"/>
    <n v="3265290"/>
    <x v="8"/>
  </r>
  <r>
    <x v="12"/>
    <s v="CHASE"/>
    <n v="282484153"/>
    <x v="0"/>
  </r>
  <r>
    <x v="12"/>
    <s v="WAMU"/>
    <n v="282484153"/>
    <x v="0"/>
  </r>
  <r>
    <x v="12"/>
    <s v="PRUDENTIAL MULTIFAMILY MORTGAGE INC."/>
    <n v="30423043"/>
    <x v="2"/>
  </r>
  <r>
    <x v="12"/>
    <s v="COLLATERAL MORTGAGE CAPITAL, LLC"/>
    <n v="30000000"/>
    <x v="9"/>
  </r>
  <r>
    <x v="12"/>
    <s v="ARCS COMMERCIAL MORTGAGE COMPANY, L.P."/>
    <n v="28946000"/>
    <x v="3"/>
  </r>
  <r>
    <x v="12"/>
    <s v="GREYSTONE"/>
    <n v="19148434"/>
    <x v="4"/>
  </r>
  <r>
    <x v="12"/>
    <s v="GREEN PARK FINANCIAL LIMITED PARTNERSHIP"/>
    <n v="15800000"/>
    <x v="5"/>
  </r>
  <r>
    <x v="12"/>
    <s v="EAST WEST BANK"/>
    <n v="15141618"/>
    <x v="6"/>
  </r>
  <r>
    <x v="12"/>
    <s v="DB MORTGAGE SERVICES, LLC"/>
    <n v="7000000"/>
    <x v="7"/>
  </r>
  <r>
    <x v="12"/>
    <s v="CWCAPITAL"/>
    <n v="5620000"/>
    <x v="8"/>
  </r>
  <r>
    <x v="13"/>
    <s v="ARCS COMMERCIAL MORTGAGE COMPANY, L.P."/>
    <n v="697418800"/>
    <x v="0"/>
  </r>
  <r>
    <x v="13"/>
    <s v="WELLS FARGO"/>
    <n v="556006373"/>
    <x v="1"/>
  </r>
  <r>
    <x v="13"/>
    <s v="WACHOVIA"/>
    <n v="556006373"/>
    <x v="1"/>
  </r>
  <r>
    <x v="13"/>
    <s v="CAPMARK FINANCE INC."/>
    <n v="401930000"/>
    <x v="9"/>
  </r>
  <r>
    <x v="13"/>
    <s v="GREEN PARK FINANCIAL LIMITED PARTNERSHIP"/>
    <n v="250147849"/>
    <x v="3"/>
  </r>
  <r>
    <x v="13"/>
    <s v="DB MORTGAGE SERVICES, LLC"/>
    <n v="196113000"/>
    <x v="4"/>
  </r>
  <r>
    <x v="13"/>
    <s v="PRUDENTIAL MULTIFAMILY MORTGAGE INC."/>
    <n v="181950000"/>
    <x v="5"/>
  </r>
  <r>
    <x v="13"/>
    <s v="INDEPENDENCE COMMUNITY BANK"/>
    <n v="155090000"/>
    <x v="6"/>
  </r>
  <r>
    <x v="13"/>
    <s v="COLLATERAL MORTGAGE CAPITAL, LLC"/>
    <n v="121000000"/>
    <x v="7"/>
  </r>
  <r>
    <x v="13"/>
    <s v="KEYCORP REAL ESTATE CAPITAL MARKETS, INC"/>
    <n v="66956000"/>
    <x v="8"/>
  </r>
  <r>
    <x v="14"/>
    <s v="DB MORTGAGE SERVICES, LLC"/>
    <n v="433633000"/>
    <x v="0"/>
  </r>
  <r>
    <x v="14"/>
    <s v="WELLS FARGO"/>
    <n v="425797000"/>
    <x v="1"/>
  </r>
  <r>
    <x v="14"/>
    <s v="WACHOVIA"/>
    <n v="417297000"/>
    <x v="2"/>
  </r>
  <r>
    <x v="14"/>
    <s v="PRUDENTIAL MULTIFAMILY MORTGAGE INC."/>
    <n v="202591831"/>
    <x v="9"/>
  </r>
  <r>
    <x v="14"/>
    <s v="GREEN PARK FINANCIAL LIMITED PARTNERSHIP"/>
    <n v="175465313"/>
    <x v="3"/>
  </r>
  <r>
    <x v="14"/>
    <s v="COLLATERAL MORTGAGE CAPITAL, LLC"/>
    <n v="142161257"/>
    <x v="4"/>
  </r>
  <r>
    <x v="14"/>
    <s v="CAPMARK FINANCE INC."/>
    <n v="115866000"/>
    <x v="5"/>
  </r>
  <r>
    <x v="14"/>
    <s v="RED MORTGAGE CAPITAL, INC."/>
    <n v="78585700"/>
    <x v="6"/>
  </r>
  <r>
    <x v="14"/>
    <s v="ARBOR"/>
    <n v="53453723"/>
    <x v="7"/>
  </r>
  <r>
    <x v="14"/>
    <s v="KEYCORP REAL ESTATE CAPITAL MARKETS, INC"/>
    <n v="42800000"/>
    <x v="8"/>
  </r>
  <r>
    <x v="15"/>
    <s v="PRUDENTIAL MULTIFAMILY MORTGAGE INC."/>
    <n v="435518921"/>
    <x v="0"/>
  </r>
  <r>
    <x v="15"/>
    <s v="CHASE"/>
    <n v="230860088.41999999"/>
    <x v="1"/>
  </r>
  <r>
    <x v="15"/>
    <s v="WAMU"/>
    <n v="227973288.41999999"/>
    <x v="2"/>
  </r>
  <r>
    <x v="15"/>
    <s v="DB MORTGAGE SERVICES, LLC"/>
    <n v="187952551"/>
    <x v="9"/>
  </r>
  <r>
    <x v="15"/>
    <s v="GREEN PARK FINANCIAL LIMITED PARTNERSHIP"/>
    <n v="169846938"/>
    <x v="3"/>
  </r>
  <r>
    <x v="15"/>
    <s v="CAPMARK FINANCE INC."/>
    <n v="154464000"/>
    <x v="4"/>
  </r>
  <r>
    <x v="15"/>
    <s v="COLLATERAL REAL ESTATE CAPITAL, LLC"/>
    <n v="121000000"/>
    <x v="5"/>
  </r>
  <r>
    <x v="15"/>
    <s v="WELLS FARGO"/>
    <n v="108081264"/>
    <x v="6"/>
  </r>
  <r>
    <x v="15"/>
    <s v="ARBOR"/>
    <n v="107208425"/>
    <x v="7"/>
  </r>
  <r>
    <x v="15"/>
    <s v="WACHOVIA"/>
    <n v="95767090"/>
    <x v="8"/>
  </r>
  <r>
    <x v="16"/>
    <s v="BANK OF AMERICA"/>
    <n v="962843082.87"/>
    <x v="0"/>
  </r>
  <r>
    <x v="16"/>
    <s v="WACHOVIA"/>
    <n v="475918919"/>
    <x v="1"/>
  </r>
  <r>
    <x v="16"/>
    <s v="WELLS FARGO"/>
    <n v="475918919"/>
    <x v="1"/>
  </r>
  <r>
    <x v="16"/>
    <s v="ARCS COMMERCIAL MORTGAGE COMPANY, L.P."/>
    <n v="467127900"/>
    <x v="9"/>
  </r>
  <r>
    <x v="16"/>
    <s v="CAPMARK FINANCE INC."/>
    <n v="379466000"/>
    <x v="3"/>
  </r>
  <r>
    <x v="16"/>
    <s v="PHH"/>
    <n v="336213782.29000002"/>
    <x v="4"/>
  </r>
  <r>
    <x v="16"/>
    <s v="PRUDENTIAL MULTIFAMILY MORTGAGE INC."/>
    <n v="216135923"/>
    <x v="5"/>
  </r>
  <r>
    <x v="16"/>
    <s v="SOVEREIGN"/>
    <n v="155432083.16"/>
    <x v="6"/>
  </r>
  <r>
    <x v="16"/>
    <s v="PNC"/>
    <n v="134701211.13"/>
    <x v="7"/>
  </r>
  <r>
    <x v="16"/>
    <s v="COLLATERAL REAL ESTATE CAPITAL, LLC"/>
    <n v="121000000"/>
    <x v="8"/>
  </r>
  <r>
    <x v="17"/>
    <s v="BANK OF AMERICA"/>
    <n v="5912182200.0200005"/>
    <x v="0"/>
  </r>
  <r>
    <x v="17"/>
    <s v="CWB"/>
    <n v="4848247830.0200005"/>
    <x v="1"/>
  </r>
  <r>
    <x v="17"/>
    <s v="WELLS FARGO"/>
    <n v="2892184028.23"/>
    <x v="2"/>
  </r>
  <r>
    <x v="17"/>
    <s v="ALLY"/>
    <n v="2343463477.3299999"/>
    <x v="9"/>
  </r>
  <r>
    <x v="17"/>
    <s v="CHASE"/>
    <n v="1876822598.0899999"/>
    <x v="3"/>
  </r>
  <r>
    <x v="17"/>
    <s v="SUNTRUST"/>
    <n v="1769313652.9300001"/>
    <x v="4"/>
  </r>
  <r>
    <x v="17"/>
    <s v="CITI"/>
    <n v="1201796378.9000001"/>
    <x v="5"/>
  </r>
  <r>
    <x v="17"/>
    <s v="OHIO SAVINGS BANK"/>
    <n v="1010452372"/>
    <x v="6"/>
  </r>
  <r>
    <x v="17"/>
    <s v="FLAGSTAR"/>
    <n v="713636567.05999994"/>
    <x v="7"/>
  </r>
  <r>
    <x v="17"/>
    <s v="PNC"/>
    <n v="699265233.15999997"/>
    <x v="8"/>
  </r>
  <r>
    <x v="18"/>
    <s v="BANK OF AMERICA"/>
    <n v="6878861100.71"/>
    <x v="0"/>
  </r>
  <r>
    <x v="18"/>
    <s v="CWB"/>
    <n v="6583757379.71"/>
    <x v="1"/>
  </r>
  <r>
    <x v="18"/>
    <s v="WELLS FARGO"/>
    <n v="3448879244.6599998"/>
    <x v="2"/>
  </r>
  <r>
    <x v="18"/>
    <s v="SUNTRUST"/>
    <n v="2667070610"/>
    <x v="9"/>
  </r>
  <r>
    <x v="18"/>
    <s v="CHASE"/>
    <n v="1728863650.1300001"/>
    <x v="3"/>
  </r>
  <r>
    <x v="18"/>
    <s v="ALLY"/>
    <n v="1625803944.3599999"/>
    <x v="4"/>
  </r>
  <r>
    <x v="18"/>
    <s v="CITI"/>
    <n v="1356028136.99"/>
    <x v="5"/>
  </r>
  <r>
    <x v="18"/>
    <s v="WACHOVIA"/>
    <n v="1145927350"/>
    <x v="6"/>
  </r>
  <r>
    <x v="18"/>
    <s v="OHIO SAVINGS BANK"/>
    <n v="1089168739"/>
    <x v="7"/>
  </r>
  <r>
    <x v="18"/>
    <s v="FLAGSTAR"/>
    <n v="648441682.39999998"/>
    <x v="8"/>
  </r>
  <r>
    <x v="19"/>
    <s v="BANK OF AMERICA"/>
    <n v="9008075393"/>
    <x v="0"/>
  </r>
  <r>
    <x v="19"/>
    <s v="CWB"/>
    <n v="8711508813"/>
    <x v="1"/>
  </r>
  <r>
    <x v="19"/>
    <s v="WELLS FARGO"/>
    <n v="2548529360"/>
    <x v="2"/>
  </r>
  <r>
    <x v="19"/>
    <s v="ALLY"/>
    <n v="2473400845.6300001"/>
    <x v="9"/>
  </r>
  <r>
    <x v="19"/>
    <s v="CHASE"/>
    <n v="2005484093.8599999"/>
    <x v="3"/>
  </r>
  <r>
    <x v="19"/>
    <s v="SUNTRUST"/>
    <n v="1392884745"/>
    <x v="4"/>
  </r>
  <r>
    <x v="19"/>
    <s v="CITI"/>
    <n v="1242926127.8399999"/>
    <x v="5"/>
  </r>
  <r>
    <x v="19"/>
    <s v="OHIO SAVINGS BANK"/>
    <n v="1078120428"/>
    <x v="6"/>
  </r>
  <r>
    <x v="19"/>
    <s v="INDYMAC BANK, FSB"/>
    <n v="879027187"/>
    <x v="7"/>
  </r>
  <r>
    <x v="19"/>
    <s v="PNC"/>
    <n v="685226876.82000005"/>
    <x v="8"/>
  </r>
  <r>
    <x v="20"/>
    <s v="BANK OF AMERICA"/>
    <n v="8625817045"/>
    <x v="0"/>
  </r>
  <r>
    <x v="20"/>
    <s v="CWB"/>
    <n v="5541527303"/>
    <x v="1"/>
  </r>
  <r>
    <x v="20"/>
    <s v="WELLS FARGO"/>
    <n v="3033979449"/>
    <x v="2"/>
  </r>
  <r>
    <x v="20"/>
    <s v="CHASE"/>
    <n v="3014522924.1199999"/>
    <x v="9"/>
  </r>
  <r>
    <x v="20"/>
    <s v="SUNTRUST"/>
    <n v="2787288153"/>
    <x v="3"/>
  </r>
  <r>
    <x v="20"/>
    <s v="CITI"/>
    <n v="2239793798.6599998"/>
    <x v="4"/>
  </r>
  <r>
    <x v="20"/>
    <s v="ALLY"/>
    <n v="1685524401.6800001"/>
    <x v="5"/>
  </r>
  <r>
    <x v="20"/>
    <s v="OHIO SAVINGS BANK"/>
    <n v="1347925403"/>
    <x v="6"/>
  </r>
  <r>
    <x v="20"/>
    <s v="INDYMAC BANK, FSB"/>
    <n v="919494049"/>
    <x v="7"/>
  </r>
  <r>
    <x v="20"/>
    <s v="FLAGSTAR"/>
    <n v="912306666"/>
    <x v="8"/>
  </r>
  <r>
    <x v="21"/>
    <s v="BANK OF AMERICA"/>
    <n v="7241357422"/>
    <x v="0"/>
  </r>
  <r>
    <x v="21"/>
    <s v="CWB"/>
    <n v="6789301646"/>
    <x v="1"/>
  </r>
  <r>
    <x v="21"/>
    <s v="WELLS FARGO"/>
    <n v="2812455484.5799999"/>
    <x v="2"/>
  </r>
  <r>
    <x v="21"/>
    <s v="CHASE"/>
    <n v="2508344240.5799999"/>
    <x v="9"/>
  </r>
  <r>
    <x v="21"/>
    <s v="CITI"/>
    <n v="2057675204"/>
    <x v="3"/>
  </r>
  <r>
    <x v="21"/>
    <s v="ALLY"/>
    <n v="1782572404.98"/>
    <x v="4"/>
  </r>
  <r>
    <x v="21"/>
    <s v="SUNTRUST"/>
    <n v="1580728720"/>
    <x v="5"/>
  </r>
  <r>
    <x v="21"/>
    <s v="OHIO SAVINGS BANK"/>
    <n v="1390421450"/>
    <x v="6"/>
  </r>
  <r>
    <x v="21"/>
    <s v="INDYMAC BANK, FSB"/>
    <n v="1178120322"/>
    <x v="7"/>
  </r>
  <r>
    <x v="21"/>
    <s v="PNC"/>
    <n v="842320272.16999996"/>
    <x v="8"/>
  </r>
  <r>
    <x v="22"/>
    <s v="BANK OF AMERICA"/>
    <n v="8435795278.75"/>
    <x v="0"/>
  </r>
  <r>
    <x v="22"/>
    <s v="CWB"/>
    <n v="8059609431.75"/>
    <x v="1"/>
  </r>
  <r>
    <x v="22"/>
    <s v="CITI"/>
    <n v="3218432922.27"/>
    <x v="2"/>
  </r>
  <r>
    <x v="22"/>
    <s v="CHASE"/>
    <n v="2904342886.1500001"/>
    <x v="9"/>
  </r>
  <r>
    <x v="22"/>
    <s v="WELLS FARGO"/>
    <n v="2719459776.3200002"/>
    <x v="3"/>
  </r>
  <r>
    <x v="22"/>
    <s v="SUNTRUST"/>
    <n v="1716124604.6500001"/>
    <x v="4"/>
  </r>
  <r>
    <x v="22"/>
    <s v="OHIO SAVINGS BANK"/>
    <n v="1447162932"/>
    <x v="5"/>
  </r>
  <r>
    <x v="22"/>
    <s v="ALLY"/>
    <n v="1297147899.78"/>
    <x v="6"/>
  </r>
  <r>
    <x v="22"/>
    <s v="FLAGSTAR"/>
    <n v="907569900.02999997"/>
    <x v="7"/>
  </r>
  <r>
    <x v="22"/>
    <s v="INDYMAC BANK, FSB"/>
    <n v="827685883"/>
    <x v="8"/>
  </r>
  <r>
    <x v="23"/>
    <s v="BANK OF AMERICA"/>
    <n v="8757031646.7099991"/>
    <x v="0"/>
  </r>
  <r>
    <x v="23"/>
    <s v="CWB"/>
    <n v="8265482641.71"/>
    <x v="1"/>
  </r>
  <r>
    <x v="23"/>
    <s v="CHASE"/>
    <n v="3833114648.75"/>
    <x v="2"/>
  </r>
  <r>
    <x v="23"/>
    <s v="WELLS FARGO"/>
    <n v="3345271361.5599999"/>
    <x v="9"/>
  </r>
  <r>
    <x v="23"/>
    <s v="CITI"/>
    <n v="2879827673.1599998"/>
    <x v="3"/>
  </r>
  <r>
    <x v="23"/>
    <s v="SUNTRUST"/>
    <n v="2817963532.98"/>
    <x v="4"/>
  </r>
  <r>
    <x v="23"/>
    <s v="ALLY"/>
    <n v="2391529898.25"/>
    <x v="5"/>
  </r>
  <r>
    <x v="23"/>
    <s v="AMTRUST"/>
    <n v="1500398960"/>
    <x v="6"/>
  </r>
  <r>
    <x v="23"/>
    <s v="FLAGSTAR"/>
    <n v="1299005761.8"/>
    <x v="7"/>
  </r>
  <r>
    <x v="23"/>
    <s v="PHH"/>
    <n v="1228350512.52"/>
    <x v="8"/>
  </r>
  <r>
    <x v="24"/>
    <s v="DB MORTGAGE SERVICES, LLC"/>
    <n v="529500000"/>
    <x v="0"/>
  </r>
  <r>
    <x v="24"/>
    <s v="PRUDENTIAL MULTIFAMILY MORTGAGE INC."/>
    <n v="525451496"/>
    <x v="1"/>
  </r>
  <r>
    <x v="24"/>
    <s v="WELLS FARGO"/>
    <n v="199240159"/>
    <x v="2"/>
  </r>
  <r>
    <x v="24"/>
    <s v="WACHOVIA"/>
    <n v="199240159"/>
    <x v="2"/>
  </r>
  <r>
    <x v="24"/>
    <s v="GREEN PARK FINANCIAL LIMITED PARTNERSHIP"/>
    <n v="186664202"/>
    <x v="3"/>
  </r>
  <r>
    <x v="24"/>
    <s v="CAPMARK FINANCE INC."/>
    <n v="128010000"/>
    <x v="4"/>
  </r>
  <r>
    <x v="24"/>
    <s v="RED MORTGAGE CAPITAL, INC."/>
    <n v="88341541"/>
    <x v="5"/>
  </r>
  <r>
    <x v="24"/>
    <s v="ARCS COMMERCIAL MORTGAGE COMPANY, L.P."/>
    <n v="78371000"/>
    <x v="6"/>
  </r>
  <r>
    <x v="24"/>
    <s v="BANK OF AMERICA"/>
    <n v="49097527.210000001"/>
    <x v="7"/>
  </r>
  <r>
    <x v="24"/>
    <s v="M &amp; T REALTY CAPITAL CORPORATION"/>
    <n v="36942000"/>
    <x v="8"/>
  </r>
  <r>
    <x v="25"/>
    <s v="PHH"/>
    <n v="587402404.38"/>
    <x v="0"/>
  </r>
  <r>
    <x v="25"/>
    <s v="CITI"/>
    <n v="289054248.91000003"/>
    <x v="1"/>
  </r>
  <r>
    <x v="25"/>
    <s v="FIFTH THIRD"/>
    <n v="165294713.30000001"/>
    <x v="2"/>
  </r>
  <r>
    <x v="25"/>
    <s v="ALLY"/>
    <n v="159905398.22"/>
    <x v="9"/>
  </r>
  <r>
    <x v="25"/>
    <s v="PNC"/>
    <n v="143507290.88"/>
    <x v="3"/>
  </r>
  <r>
    <x v="25"/>
    <s v="PRUDENTIAL MULTIFAMILY MORTGAGE INC."/>
    <n v="126500000"/>
    <x v="4"/>
  </r>
  <r>
    <x v="25"/>
    <s v="SUNTRUST"/>
    <n v="121943584.34"/>
    <x v="5"/>
  </r>
  <r>
    <x v="25"/>
    <s v="CAPMARK FINANCE INC."/>
    <n v="107554000"/>
    <x v="6"/>
  </r>
  <r>
    <x v="25"/>
    <s v="WACHOVIA"/>
    <n v="106526391.84"/>
    <x v="7"/>
  </r>
  <r>
    <x v="25"/>
    <s v="WELLS FARGO"/>
    <n v="106526391.84"/>
    <x v="7"/>
  </r>
  <r>
    <x v="26"/>
    <s v="BANK OF AMERICA"/>
    <n v="7970383527.0900002"/>
    <x v="0"/>
  </r>
  <r>
    <x v="26"/>
    <s v="CWB"/>
    <n v="5549416466.0900002"/>
    <x v="1"/>
  </r>
  <r>
    <x v="26"/>
    <s v="WELLS FARGO"/>
    <n v="5368827950.8599997"/>
    <x v="2"/>
  </r>
  <r>
    <x v="26"/>
    <s v="CHASE"/>
    <n v="4354798481.1899996"/>
    <x v="9"/>
  </r>
  <r>
    <x v="26"/>
    <s v="CITI"/>
    <n v="3653159455.4499998"/>
    <x v="3"/>
  </r>
  <r>
    <x v="26"/>
    <s v="ALLY"/>
    <n v="2776259321.4400001"/>
    <x v="4"/>
  </r>
  <r>
    <x v="26"/>
    <s v="SUNTRUST"/>
    <n v="2602983126.1300001"/>
    <x v="5"/>
  </r>
  <r>
    <x v="26"/>
    <s v="AMTRUST"/>
    <n v="1376195197"/>
    <x v="6"/>
  </r>
  <r>
    <x v="26"/>
    <s v="PNC"/>
    <n v="1348505248.95"/>
    <x v="7"/>
  </r>
  <r>
    <x v="26"/>
    <s v="FLAGSTAR"/>
    <n v="1162595939.1300001"/>
    <x v="8"/>
  </r>
  <r>
    <x v="27"/>
    <s v="BANK OF AMERICA"/>
    <n v="11906421034.719999"/>
    <x v="0"/>
  </r>
  <r>
    <x v="27"/>
    <s v="CWB"/>
    <n v="8448582032.3299999"/>
    <x v="1"/>
  </r>
  <r>
    <x v="27"/>
    <s v="WELLS FARGO"/>
    <n v="4931521660.5"/>
    <x v="2"/>
  </r>
  <r>
    <x v="27"/>
    <s v="CITI"/>
    <n v="3402261850.23"/>
    <x v="9"/>
  </r>
  <r>
    <x v="27"/>
    <s v="CHASE"/>
    <n v="2698937355.0500002"/>
    <x v="3"/>
  </r>
  <r>
    <x v="27"/>
    <s v="ALLY"/>
    <n v="1933443256.51"/>
    <x v="4"/>
  </r>
  <r>
    <x v="27"/>
    <s v="SUNTRUST"/>
    <n v="1794706224.6300001"/>
    <x v="5"/>
  </r>
  <r>
    <x v="27"/>
    <s v="FLAGSTAR"/>
    <n v="1598243031.95"/>
    <x v="6"/>
  </r>
  <r>
    <x v="27"/>
    <s v="INDYMAC BANK, FSB"/>
    <n v="1509377032.0999999"/>
    <x v="7"/>
  </r>
  <r>
    <x v="27"/>
    <s v="USAA"/>
    <n v="1504357495.8299999"/>
    <x v="8"/>
  </r>
  <r>
    <x v="28"/>
    <s v="BANK OF AMERICA"/>
    <n v="7611233645.2799997"/>
    <x v="0"/>
  </r>
  <r>
    <x v="28"/>
    <s v="CWB"/>
    <n v="6234694095.2799997"/>
    <x v="1"/>
  </r>
  <r>
    <x v="28"/>
    <s v="WELLS FARGO"/>
    <n v="5542233010.0799999"/>
    <x v="2"/>
  </r>
  <r>
    <x v="28"/>
    <s v="CHASE"/>
    <n v="3527666157.7399998"/>
    <x v="9"/>
  </r>
  <r>
    <x v="28"/>
    <s v="SUNTRUST"/>
    <n v="2350697844.6399999"/>
    <x v="3"/>
  </r>
  <r>
    <x v="28"/>
    <s v="CITI"/>
    <n v="2279214477"/>
    <x v="4"/>
  </r>
  <r>
    <x v="28"/>
    <s v="ALLY"/>
    <n v="1995857574.76"/>
    <x v="5"/>
  </r>
  <r>
    <x v="28"/>
    <s v="INDYMAC BANK, FSB"/>
    <n v="1924748303.6900001"/>
    <x v="6"/>
  </r>
  <r>
    <x v="28"/>
    <s v="FLAGSTAR"/>
    <n v="1724424141.5899999"/>
    <x v="7"/>
  </r>
  <r>
    <x v="28"/>
    <s v="PNC"/>
    <n v="1420438348.6199999"/>
    <x v="8"/>
  </r>
  <r>
    <x v="29"/>
    <s v="BANK OF AMERICA"/>
    <n v="9251362639"/>
    <x v="0"/>
  </r>
  <r>
    <x v="29"/>
    <s v="WELLS FARGO"/>
    <n v="5971674440.9099998"/>
    <x v="1"/>
  </r>
  <r>
    <x v="29"/>
    <s v="CWB"/>
    <n v="5620224592"/>
    <x v="2"/>
  </r>
  <r>
    <x v="29"/>
    <s v="CHASE"/>
    <n v="4108599053.3899999"/>
    <x v="9"/>
  </r>
  <r>
    <x v="29"/>
    <s v="SUNTRUST"/>
    <n v="2965658446.6199999"/>
    <x v="3"/>
  </r>
  <r>
    <x v="29"/>
    <s v="CITI"/>
    <n v="2860822903"/>
    <x v="4"/>
  </r>
  <r>
    <x v="29"/>
    <s v="ALLY"/>
    <n v="2316613344.4400001"/>
    <x v="5"/>
  </r>
  <r>
    <x v="29"/>
    <s v="PNC"/>
    <n v="2288150693"/>
    <x v="6"/>
  </r>
  <r>
    <x v="29"/>
    <s v="AMTRUST"/>
    <n v="1576791161"/>
    <x v="7"/>
  </r>
  <r>
    <x v="29"/>
    <s v="FLAGSTAR"/>
    <n v="1466684614.3"/>
    <x v="8"/>
  </r>
  <r>
    <x v="30"/>
    <s v="BANK OF AMERICA"/>
    <n v="12421827356.389999"/>
    <x v="0"/>
  </r>
  <r>
    <x v="30"/>
    <s v="CWB"/>
    <n v="10045544086.389999"/>
    <x v="1"/>
  </r>
  <r>
    <x v="30"/>
    <s v="CHASE"/>
    <n v="5882860464.71"/>
    <x v="2"/>
  </r>
  <r>
    <x v="30"/>
    <s v="WELLS FARGO"/>
    <n v="4169881135"/>
    <x v="9"/>
  </r>
  <r>
    <x v="30"/>
    <s v="ALLY"/>
    <n v="2828027093.6300001"/>
    <x v="3"/>
  </r>
  <r>
    <x v="30"/>
    <s v="SUNTRUST"/>
    <n v="2768397368.6799998"/>
    <x v="4"/>
  </r>
  <r>
    <x v="30"/>
    <s v="CITI"/>
    <n v="2580187388"/>
    <x v="5"/>
  </r>
  <r>
    <x v="30"/>
    <s v="PNC"/>
    <n v="1812559084.9200001"/>
    <x v="6"/>
  </r>
  <r>
    <x v="30"/>
    <s v="INDYMAC BANK, FSB"/>
    <n v="1736453448"/>
    <x v="7"/>
  </r>
  <r>
    <x v="30"/>
    <s v="FLAGSTAR"/>
    <n v="1592827444.7"/>
    <x v="8"/>
  </r>
  <r>
    <x v="31"/>
    <s v="BANK OF AMERICA"/>
    <n v="8728590817.0499992"/>
    <x v="0"/>
  </r>
  <r>
    <x v="31"/>
    <s v="CWB"/>
    <n v="7108699161"/>
    <x v="1"/>
  </r>
  <r>
    <x v="31"/>
    <s v="WELLS FARGO"/>
    <n v="5183225453.21"/>
    <x v="2"/>
  </r>
  <r>
    <x v="31"/>
    <s v="CHASE"/>
    <n v="3079886257.0799999"/>
    <x v="9"/>
  </r>
  <r>
    <x v="31"/>
    <s v="ALLY"/>
    <n v="2858003053.02"/>
    <x v="3"/>
  </r>
  <r>
    <x v="31"/>
    <s v="CITI"/>
    <n v="2753435609.96"/>
    <x v="4"/>
  </r>
  <r>
    <x v="31"/>
    <s v="SUNTRUST"/>
    <n v="2721529982.6700001"/>
    <x v="5"/>
  </r>
  <r>
    <x v="31"/>
    <s v="INDYMAC BANK, FSB"/>
    <n v="1575464486"/>
    <x v="6"/>
  </r>
  <r>
    <x v="31"/>
    <s v="AMTRUST"/>
    <n v="1438300798"/>
    <x v="7"/>
  </r>
  <r>
    <x v="31"/>
    <s v="ABM"/>
    <n v="1002322471"/>
    <x v="8"/>
  </r>
  <r>
    <x v="32"/>
    <s v="BANK OF AMERICA"/>
    <n v="10940578643.9"/>
    <x v="0"/>
  </r>
  <r>
    <x v="32"/>
    <s v="CWB"/>
    <n v="8522227078.8999996"/>
    <x v="1"/>
  </r>
  <r>
    <x v="32"/>
    <s v="WELLS FARGO"/>
    <n v="6061047145.0900002"/>
    <x v="2"/>
  </r>
  <r>
    <x v="32"/>
    <s v="CHASE"/>
    <n v="3648839072.79"/>
    <x v="9"/>
  </r>
  <r>
    <x v="32"/>
    <s v="SUNTRUST"/>
    <n v="3383016344.3800001"/>
    <x v="3"/>
  </r>
  <r>
    <x v="32"/>
    <s v="CITI"/>
    <n v="2975112864.3200002"/>
    <x v="4"/>
  </r>
  <r>
    <x v="32"/>
    <s v="ALLY"/>
    <n v="2798703942.1700001"/>
    <x v="5"/>
  </r>
  <r>
    <x v="32"/>
    <s v="FLAGSTAR"/>
    <n v="1512143012.0999999"/>
    <x v="6"/>
  </r>
  <r>
    <x v="32"/>
    <s v="INDYMAC BANK, FSB"/>
    <n v="1473943766.0599999"/>
    <x v="7"/>
  </r>
  <r>
    <x v="32"/>
    <s v="AMTRUST"/>
    <n v="1324787937"/>
    <x v="8"/>
  </r>
  <r>
    <x v="33"/>
    <s v="BANK OF AMERICA"/>
    <n v="7127437485.3199997"/>
    <x v="0"/>
  </r>
  <r>
    <x v="33"/>
    <s v="CWB"/>
    <n v="6990008893.75"/>
    <x v="1"/>
  </r>
  <r>
    <x v="33"/>
    <s v="WELLS FARGO"/>
    <n v="3877796837.6100001"/>
    <x v="2"/>
  </r>
  <r>
    <x v="33"/>
    <s v="CITI"/>
    <n v="3475050859"/>
    <x v="9"/>
  </r>
  <r>
    <x v="33"/>
    <s v="ALLY"/>
    <n v="2845541368.1100001"/>
    <x v="3"/>
  </r>
  <r>
    <x v="33"/>
    <s v="AMTRUST"/>
    <n v="1371503307"/>
    <x v="4"/>
  </r>
  <r>
    <x v="33"/>
    <s v="SUNTRUST"/>
    <n v="1259568820.0799999"/>
    <x v="5"/>
  </r>
  <r>
    <x v="33"/>
    <s v="CHASE"/>
    <n v="1043995891.96"/>
    <x v="6"/>
  </r>
  <r>
    <x v="33"/>
    <s v="PHH"/>
    <n v="616279069.29999995"/>
    <x v="7"/>
  </r>
  <r>
    <x v="33"/>
    <s v="FLAGSTAR"/>
    <n v="585339226"/>
    <x v="8"/>
  </r>
  <r>
    <x v="34"/>
    <s v="BANK OF AMERICA"/>
    <n v="9380905884.8600006"/>
    <x v="0"/>
  </r>
  <r>
    <x v="34"/>
    <s v="WELLS FARGO"/>
    <n v="7330185288.3299999"/>
    <x v="1"/>
  </r>
  <r>
    <x v="34"/>
    <s v="CWB"/>
    <n v="7056504465.8599997"/>
    <x v="2"/>
  </r>
  <r>
    <x v="34"/>
    <s v="CITI"/>
    <n v="4688377142"/>
    <x v="9"/>
  </r>
  <r>
    <x v="34"/>
    <s v="ALLY"/>
    <n v="3682275010.96"/>
    <x v="3"/>
  </r>
  <r>
    <x v="34"/>
    <s v="SUNTRUST"/>
    <n v="2862737507.9400001"/>
    <x v="4"/>
  </r>
  <r>
    <x v="34"/>
    <s v="AMTRUST"/>
    <n v="1641602106"/>
    <x v="5"/>
  </r>
  <r>
    <x v="34"/>
    <s v="CHASE"/>
    <n v="1458591196"/>
    <x v="6"/>
  </r>
  <r>
    <x v="34"/>
    <s v="FLAGSTAR"/>
    <n v="1254020508.1600001"/>
    <x v="7"/>
  </r>
  <r>
    <x v="34"/>
    <s v="PHH"/>
    <n v="1144391387.9100001"/>
    <x v="8"/>
  </r>
  <r>
    <x v="35"/>
    <s v="BANK OF AMERICA"/>
    <n v="12080553097.469999"/>
    <x v="0"/>
  </r>
  <r>
    <x v="35"/>
    <s v="CWB"/>
    <n v="7196631371.5799999"/>
    <x v="1"/>
  </r>
  <r>
    <x v="35"/>
    <s v="WELLS FARGO"/>
    <n v="5336823509"/>
    <x v="2"/>
  </r>
  <r>
    <x v="35"/>
    <s v="CHASE"/>
    <n v="3359247837.3800001"/>
    <x v="9"/>
  </r>
  <r>
    <x v="35"/>
    <s v="CITI"/>
    <n v="2889767287.1399999"/>
    <x v="3"/>
  </r>
  <r>
    <x v="35"/>
    <s v="ALLY"/>
    <n v="2135218352.8499999"/>
    <x v="4"/>
  </r>
  <r>
    <x v="35"/>
    <s v="SUNTRUST"/>
    <n v="1735953431.48"/>
    <x v="5"/>
  </r>
  <r>
    <x v="35"/>
    <s v="FLAGSTAR"/>
    <n v="1202353395.3900001"/>
    <x v="6"/>
  </r>
  <r>
    <x v="35"/>
    <s v="PHH"/>
    <n v="1180682631.77"/>
    <x v="7"/>
  </r>
  <r>
    <x v="35"/>
    <s v="AMTRUST"/>
    <n v="1033761031"/>
    <x v="8"/>
  </r>
  <r>
    <x v="36"/>
    <s v="WELLS FARGO"/>
    <n v="11170458526.360001"/>
    <x v="0"/>
  </r>
  <r>
    <x v="36"/>
    <s v="BANK OF AMERICA"/>
    <n v="7158543878.4300003"/>
    <x v="1"/>
  </r>
  <r>
    <x v="36"/>
    <s v="CWB"/>
    <n v="4246827120.4299998"/>
    <x v="2"/>
  </r>
  <r>
    <x v="36"/>
    <s v="CHASE"/>
    <n v="4180802344.75"/>
    <x v="9"/>
  </r>
  <r>
    <x v="36"/>
    <s v="CITI"/>
    <n v="3685367093.4400001"/>
    <x v="3"/>
  </r>
  <r>
    <x v="36"/>
    <s v="AMTRUST"/>
    <n v="1731032257"/>
    <x v="4"/>
  </r>
  <r>
    <x v="36"/>
    <s v="ALLY"/>
    <n v="1080842069.0799999"/>
    <x v="5"/>
  </r>
  <r>
    <x v="36"/>
    <s v="WAMU"/>
    <n v="1060745072.6799999"/>
    <x v="6"/>
  </r>
  <r>
    <x v="36"/>
    <s v="SUNTRUST"/>
    <n v="1025803901.03"/>
    <x v="7"/>
  </r>
  <r>
    <x v="36"/>
    <s v="PHH"/>
    <n v="934123233.22000003"/>
    <x v="8"/>
  </r>
  <r>
    <x v="37"/>
    <s v="BANK OF AMERICA"/>
    <n v="5246259446.8599997"/>
    <x v="0"/>
  </r>
  <r>
    <x v="37"/>
    <s v="WELLS FARGO"/>
    <n v="5061020702"/>
    <x v="1"/>
  </r>
  <r>
    <x v="37"/>
    <s v="CWB"/>
    <n v="3677510879.8600001"/>
    <x v="2"/>
  </r>
  <r>
    <x v="37"/>
    <s v="CHASE"/>
    <n v="3379179274.5999999"/>
    <x v="9"/>
  </r>
  <r>
    <x v="37"/>
    <s v="CITI"/>
    <n v="2293997579.0900002"/>
    <x v="3"/>
  </r>
  <r>
    <x v="37"/>
    <s v="SUNTRUST"/>
    <n v="1370360829.9300001"/>
    <x v="4"/>
  </r>
  <r>
    <x v="37"/>
    <s v="AMTRUST"/>
    <n v="1349863752"/>
    <x v="5"/>
  </r>
  <r>
    <x v="37"/>
    <s v="ALLY"/>
    <n v="1296601251.3199999"/>
    <x v="6"/>
  </r>
  <r>
    <x v="37"/>
    <s v="PHH"/>
    <n v="1041107194.3200001"/>
    <x v="7"/>
  </r>
  <r>
    <x v="37"/>
    <s v="FLAGSTAR"/>
    <n v="945798148.61000001"/>
    <x v="8"/>
  </r>
  <r>
    <x v="38"/>
    <s v="WELLS FARGO"/>
    <n v="4827258509.6899996"/>
    <x v="0"/>
  </r>
  <r>
    <x v="38"/>
    <s v="CHASE"/>
    <n v="3855453030.6300001"/>
    <x v="1"/>
  </r>
  <r>
    <x v="38"/>
    <s v="BANK OF AMERICA"/>
    <n v="3724004372.54"/>
    <x v="2"/>
  </r>
  <r>
    <x v="38"/>
    <s v="CWB"/>
    <n v="2510869452.54"/>
    <x v="9"/>
  </r>
  <r>
    <x v="38"/>
    <s v="CITI"/>
    <n v="1811019241.5799999"/>
    <x v="3"/>
  </r>
  <r>
    <x v="38"/>
    <s v="AMTRUST"/>
    <n v="1212308338"/>
    <x v="4"/>
  </r>
  <r>
    <x v="38"/>
    <s v="SUNTRUST"/>
    <n v="1137551331.23"/>
    <x v="5"/>
  </r>
  <r>
    <x v="38"/>
    <s v="PHH"/>
    <n v="1050886755.36"/>
    <x v="6"/>
  </r>
  <r>
    <x v="38"/>
    <s v="ALLY"/>
    <n v="1009149437.96"/>
    <x v="7"/>
  </r>
  <r>
    <x v="38"/>
    <s v="FLAGSTAR"/>
    <n v="829290393.58000004"/>
    <x v="8"/>
  </r>
  <r>
    <x v="39"/>
    <s v="WELLS FARGO"/>
    <n v="6826679614.1599998"/>
    <x v="0"/>
  </r>
  <r>
    <x v="39"/>
    <s v="CHASE"/>
    <n v="4576290883.3400002"/>
    <x v="1"/>
  </r>
  <r>
    <x v="39"/>
    <s v="BANK OF AMERICA"/>
    <n v="3721284450.75"/>
    <x v="2"/>
  </r>
  <r>
    <x v="39"/>
    <s v="WACHOVIA"/>
    <n v="2390970582.23"/>
    <x v="9"/>
  </r>
  <r>
    <x v="39"/>
    <s v="CITI"/>
    <n v="2326562293.4099998"/>
    <x v="3"/>
  </r>
  <r>
    <x v="39"/>
    <s v="CWB"/>
    <n v="1757341434.5"/>
    <x v="4"/>
  </r>
  <r>
    <x v="39"/>
    <s v="SUNTRUST"/>
    <n v="1332940093.6900001"/>
    <x v="5"/>
  </r>
  <r>
    <x v="39"/>
    <s v="AMTRUST"/>
    <n v="1097946836.3599999"/>
    <x v="6"/>
  </r>
  <r>
    <x v="39"/>
    <s v="ALLY"/>
    <n v="1080669747.9100001"/>
    <x v="7"/>
  </r>
  <r>
    <x v="39"/>
    <s v="FLAGSTAR"/>
    <n v="711290312.90999997"/>
    <x v="8"/>
  </r>
  <r>
    <x v="40"/>
    <s v="WELLS FARGO"/>
    <n v="3655203702.7600002"/>
    <x v="0"/>
  </r>
  <r>
    <x v="40"/>
    <s v="CITI"/>
    <n v="3299307846.8800001"/>
    <x v="1"/>
  </r>
  <r>
    <x v="40"/>
    <s v="BANK OF AMERICA"/>
    <n v="2740026309.71"/>
    <x v="2"/>
  </r>
  <r>
    <x v="40"/>
    <s v="CWB"/>
    <n v="2029327063.1300001"/>
    <x v="9"/>
  </r>
  <r>
    <x v="40"/>
    <s v="CHASE"/>
    <n v="1556910841.1199999"/>
    <x v="3"/>
  </r>
  <r>
    <x v="40"/>
    <s v="SUNTRUST"/>
    <n v="1199444316"/>
    <x v="4"/>
  </r>
  <r>
    <x v="40"/>
    <s v="AMTRUST"/>
    <n v="1065916156.21"/>
    <x v="5"/>
  </r>
  <r>
    <x v="40"/>
    <s v="ALLY"/>
    <n v="995868510.13"/>
    <x v="6"/>
  </r>
  <r>
    <x v="40"/>
    <s v="FLAGSTAR"/>
    <n v="681109796"/>
    <x v="7"/>
  </r>
  <r>
    <x v="40"/>
    <s v="PHH"/>
    <n v="548837801.54999995"/>
    <x v="8"/>
  </r>
  <r>
    <x v="41"/>
    <s v="WELLS FARGO"/>
    <n v="4550926488.3800001"/>
    <x v="0"/>
  </r>
  <r>
    <x v="41"/>
    <s v="BANK OF AMERICA"/>
    <n v="2515091694.6199999"/>
    <x v="1"/>
  </r>
  <r>
    <x v="41"/>
    <s v="CITI"/>
    <n v="2424326679.6300001"/>
    <x v="2"/>
  </r>
  <r>
    <x v="41"/>
    <s v="CHASE"/>
    <n v="2418760155.1700001"/>
    <x v="9"/>
  </r>
  <r>
    <x v="41"/>
    <s v="CWB"/>
    <n v="1685306018.4400001"/>
    <x v="3"/>
  </r>
  <r>
    <x v="41"/>
    <s v="SUNTRUST"/>
    <n v="1232068329"/>
    <x v="4"/>
  </r>
  <r>
    <x v="41"/>
    <s v="AMTRUST"/>
    <n v="715357720.58000004"/>
    <x v="5"/>
  </r>
  <r>
    <x v="41"/>
    <s v="ALLY"/>
    <n v="653795272.74000001"/>
    <x v="6"/>
  </r>
  <r>
    <x v="41"/>
    <s v="PHH"/>
    <n v="484912507.41000003"/>
    <x v="7"/>
  </r>
  <r>
    <x v="41"/>
    <s v="FLAGSTAR"/>
    <n v="401866202.69999999"/>
    <x v="8"/>
  </r>
  <r>
    <x v="42"/>
    <s v="CHASE"/>
    <n v="8422014425.4099998"/>
    <x v="0"/>
  </r>
  <r>
    <x v="42"/>
    <s v="WELLS FARGO"/>
    <n v="5550356551.6300001"/>
    <x v="1"/>
  </r>
  <r>
    <x v="42"/>
    <s v="BANK OF AMERICA"/>
    <n v="3106185436.3600001"/>
    <x v="2"/>
  </r>
  <r>
    <x v="42"/>
    <s v="CITI"/>
    <n v="2591575469.4400001"/>
    <x v="9"/>
  </r>
  <r>
    <x v="42"/>
    <s v="HSBC"/>
    <n v="2336672835.98"/>
    <x v="3"/>
  </r>
  <r>
    <x v="42"/>
    <s v="CWB"/>
    <n v="2178270115.3600001"/>
    <x v="4"/>
  </r>
  <r>
    <x v="42"/>
    <s v="RBS"/>
    <n v="1530928194.1400001"/>
    <x v="5"/>
  </r>
  <r>
    <x v="42"/>
    <s v="PNC"/>
    <n v="1525277871.1700001"/>
    <x v="6"/>
  </r>
  <r>
    <x v="42"/>
    <s v="ALLY"/>
    <n v="1283604308.3099999"/>
    <x v="7"/>
  </r>
  <r>
    <x v="42"/>
    <s v="SUNTRUST"/>
    <n v="1081151550.25"/>
    <x v="8"/>
  </r>
  <r>
    <x v="43"/>
    <s v="WELLS FARGO"/>
    <n v="3756680738.23"/>
    <x v="0"/>
  </r>
  <r>
    <x v="43"/>
    <s v="BANK OF AMERICA"/>
    <n v="3537510920.7199998"/>
    <x v="1"/>
  </r>
  <r>
    <x v="43"/>
    <s v="CWB"/>
    <n v="2557155019.7199998"/>
    <x v="2"/>
  </r>
  <r>
    <x v="43"/>
    <s v="CITI"/>
    <n v="1760296401.01"/>
    <x v="9"/>
  </r>
  <r>
    <x v="43"/>
    <s v="AMTRUST"/>
    <n v="923120637.58000004"/>
    <x v="3"/>
  </r>
  <r>
    <x v="43"/>
    <s v="CHASE"/>
    <n v="855120211.13"/>
    <x v="4"/>
  </r>
  <r>
    <x v="43"/>
    <s v="SUNTRUST"/>
    <n v="724583556.05999994"/>
    <x v="5"/>
  </r>
  <r>
    <x v="43"/>
    <s v="PHH"/>
    <n v="520733159.38"/>
    <x v="6"/>
  </r>
  <r>
    <x v="43"/>
    <s v="WACHOVIA"/>
    <n v="478631006.50999999"/>
    <x v="7"/>
  </r>
  <r>
    <x v="43"/>
    <s v="FLAGSTAR"/>
    <n v="459181459.44"/>
    <x v="8"/>
  </r>
  <r>
    <x v="44"/>
    <s v="WELLS FARGO"/>
    <n v="9511580945.1800003"/>
    <x v="0"/>
  </r>
  <r>
    <x v="44"/>
    <s v="BANK OF AMERICA"/>
    <n v="9257448004.8400002"/>
    <x v="1"/>
  </r>
  <r>
    <x v="44"/>
    <s v="CITI"/>
    <n v="2380664984.6799998"/>
    <x v="2"/>
  </r>
  <r>
    <x v="44"/>
    <s v="SUNTRUST"/>
    <n v="2220890353.6799998"/>
    <x v="9"/>
  </r>
  <r>
    <x v="44"/>
    <s v="FLAGSTAR"/>
    <n v="1405817023"/>
    <x v="3"/>
  </r>
  <r>
    <x v="44"/>
    <s v="CHASE"/>
    <n v="1403736406.28"/>
    <x v="4"/>
  </r>
  <r>
    <x v="44"/>
    <s v="WACHOVIA"/>
    <n v="1273764070.76"/>
    <x v="5"/>
  </r>
  <r>
    <x v="44"/>
    <s v="AMTRUST"/>
    <n v="1078154854.03"/>
    <x v="6"/>
  </r>
  <r>
    <x v="44"/>
    <s v="ALLY"/>
    <n v="715164383.12"/>
    <x v="7"/>
  </r>
  <r>
    <x v="44"/>
    <s v="PHH"/>
    <n v="630938838.39999998"/>
    <x v="8"/>
  </r>
  <r>
    <x v="45"/>
    <s v="BANK OF AMERICA"/>
    <n v="14453685921.889999"/>
    <x v="0"/>
  </r>
  <r>
    <x v="45"/>
    <s v="WELLS FARGO"/>
    <n v="14368376825.32"/>
    <x v="1"/>
  </r>
  <r>
    <x v="45"/>
    <s v="CHASE"/>
    <n v="9514998899.3199997"/>
    <x v="2"/>
  </r>
  <r>
    <x v="45"/>
    <s v="CITI"/>
    <n v="3669633504.7399998"/>
    <x v="9"/>
  </r>
  <r>
    <x v="45"/>
    <s v="SUNTRUST"/>
    <n v="2581902036.8600001"/>
    <x v="3"/>
  </r>
  <r>
    <x v="45"/>
    <s v="AMTRUST"/>
    <n v="2137733570.1199999"/>
    <x v="4"/>
  </r>
  <r>
    <x v="45"/>
    <s v="ALLY"/>
    <n v="1622213766.6099999"/>
    <x v="5"/>
  </r>
  <r>
    <x v="45"/>
    <s v="WACHOVIA"/>
    <n v="1427198629.9000001"/>
    <x v="6"/>
  </r>
  <r>
    <x v="45"/>
    <s v="PHH"/>
    <n v="1307784771.1199999"/>
    <x v="7"/>
  </r>
  <r>
    <x v="45"/>
    <s v="FLAGSTAR"/>
    <n v="1216935785.27"/>
    <x v="8"/>
  </r>
  <r>
    <x v="46"/>
    <s v="WELLS FARGO"/>
    <n v="10866823472.32"/>
    <x v="0"/>
  </r>
  <r>
    <x v="46"/>
    <s v="BANK OF AMERICA"/>
    <n v="6613979565.25"/>
    <x v="1"/>
  </r>
  <r>
    <x v="46"/>
    <s v="SUNTRUST"/>
    <n v="2636791196"/>
    <x v="2"/>
  </r>
  <r>
    <x v="46"/>
    <s v="AMTRUST"/>
    <n v="2635227445.8499999"/>
    <x v="9"/>
  </r>
  <r>
    <x v="46"/>
    <s v="PHH"/>
    <n v="2574869351.5599999"/>
    <x v="3"/>
  </r>
  <r>
    <x v="46"/>
    <s v="CITI"/>
    <n v="2214641693.3699999"/>
    <x v="4"/>
  </r>
  <r>
    <x v="46"/>
    <s v="CHASE"/>
    <n v="1831852270.22"/>
    <x v="5"/>
  </r>
  <r>
    <x v="46"/>
    <s v="ALLY"/>
    <n v="1134925696.8199999"/>
    <x v="6"/>
  </r>
  <r>
    <x v="46"/>
    <s v="WACHOVIA"/>
    <n v="1001661409"/>
    <x v="7"/>
  </r>
  <r>
    <x v="46"/>
    <s v="FLAGSTAR"/>
    <n v="953947303"/>
    <x v="8"/>
  </r>
  <r>
    <x v="47"/>
    <s v="WELLS FARGO"/>
    <n v="16377153576.040001"/>
    <x v="0"/>
  </r>
  <r>
    <x v="47"/>
    <s v="BANK OF AMERICA"/>
    <n v="10980515274.559999"/>
    <x v="1"/>
  </r>
  <r>
    <x v="47"/>
    <s v="CHASE"/>
    <n v="7832451449.5500002"/>
    <x v="2"/>
  </r>
  <r>
    <x v="47"/>
    <s v="CITI"/>
    <n v="7694647345.4300003"/>
    <x v="9"/>
  </r>
  <r>
    <x v="47"/>
    <s v="PHH"/>
    <n v="5729582604.1499996"/>
    <x v="3"/>
  </r>
  <r>
    <x v="47"/>
    <s v="SUNTRUST"/>
    <n v="3149383417.9400001"/>
    <x v="4"/>
  </r>
  <r>
    <x v="47"/>
    <s v="AMTRUST"/>
    <n v="2568225957.29"/>
    <x v="5"/>
  </r>
  <r>
    <x v="47"/>
    <s v="ALLY"/>
    <n v="2007873609.8199999"/>
    <x v="6"/>
  </r>
  <r>
    <x v="47"/>
    <s v="FLAGSTAR"/>
    <n v="1538541620.98"/>
    <x v="7"/>
  </r>
  <r>
    <x v="47"/>
    <s v="PNC"/>
    <n v="1367891457.2"/>
    <x v="8"/>
  </r>
  <r>
    <x v="48"/>
    <s v="WELLS FARGO"/>
    <n v="18556306988.82"/>
    <x v="0"/>
  </r>
  <r>
    <x v="48"/>
    <s v="BANK OF AMERICA"/>
    <n v="16385859796.799999"/>
    <x v="1"/>
  </r>
  <r>
    <x v="48"/>
    <s v="CHASE"/>
    <n v="6300278425.04"/>
    <x v="2"/>
  </r>
  <r>
    <x v="48"/>
    <s v="CITI"/>
    <n v="5504690092.9399996"/>
    <x v="9"/>
  </r>
  <r>
    <x v="48"/>
    <s v="PHH"/>
    <n v="3886793291.8899999"/>
    <x v="3"/>
  </r>
  <r>
    <x v="48"/>
    <s v="SUNTRUST"/>
    <n v="3485600189.8299999"/>
    <x v="4"/>
  </r>
  <r>
    <x v="48"/>
    <s v="ALLY"/>
    <n v="2890599988.1900001"/>
    <x v="5"/>
  </r>
  <r>
    <x v="48"/>
    <s v="AMTRUST"/>
    <n v="2085681943.29"/>
    <x v="6"/>
  </r>
  <r>
    <x v="48"/>
    <s v="FLAGSTAR"/>
    <n v="2041508250.48"/>
    <x v="7"/>
  </r>
  <r>
    <x v="48"/>
    <s v="FANNIE MAE"/>
    <n v="1411001019.22"/>
    <x v="8"/>
  </r>
  <r>
    <x v="49"/>
    <s v="WELLS FARGO"/>
    <n v="17780279923.57"/>
    <x v="0"/>
  </r>
  <r>
    <x v="49"/>
    <s v="BANK OF AMERICA"/>
    <n v="13232923368.200001"/>
    <x v="1"/>
  </r>
  <r>
    <x v="49"/>
    <s v="CITI"/>
    <n v="4078320972.77"/>
    <x v="2"/>
  </r>
  <r>
    <x v="49"/>
    <s v="SUNTRUST"/>
    <n v="3555049260.5900002"/>
    <x v="9"/>
  </r>
  <r>
    <x v="49"/>
    <s v="ALLY"/>
    <n v="2256690852.2199998"/>
    <x v="3"/>
  </r>
  <r>
    <x v="49"/>
    <s v="PHH"/>
    <n v="1985615127.78"/>
    <x v="4"/>
  </r>
  <r>
    <x v="49"/>
    <s v="AMTRUST"/>
    <n v="1534118490.3199999"/>
    <x v="5"/>
  </r>
  <r>
    <x v="49"/>
    <s v="FLAGSTAR"/>
    <n v="1252653319.1900001"/>
    <x v="6"/>
  </r>
  <r>
    <x v="49"/>
    <s v="CHASE"/>
    <n v="933539103.72000003"/>
    <x v="7"/>
  </r>
  <r>
    <x v="49"/>
    <s v="EVERBANK"/>
    <n v="883282992.5"/>
    <x v="8"/>
  </r>
  <r>
    <x v="50"/>
    <s v="WELLS FARGO"/>
    <n v="13559469118.879999"/>
    <x v="0"/>
  </r>
  <r>
    <x v="50"/>
    <s v="BANK OF AMERICA"/>
    <n v="10631867083.52"/>
    <x v="1"/>
  </r>
  <r>
    <x v="50"/>
    <s v="CITI"/>
    <n v="2226606400.2800002"/>
    <x v="2"/>
  </r>
  <r>
    <x v="50"/>
    <s v="CHASE"/>
    <n v="2019788713.0599999"/>
    <x v="9"/>
  </r>
  <r>
    <x v="50"/>
    <s v="SUNTRUST"/>
    <n v="1758618024"/>
    <x v="3"/>
  </r>
  <r>
    <x v="50"/>
    <s v="ALLY"/>
    <n v="1508806380.53"/>
    <x v="4"/>
  </r>
  <r>
    <x v="50"/>
    <s v="PHH"/>
    <n v="1454096040.6600001"/>
    <x v="5"/>
  </r>
  <r>
    <x v="50"/>
    <s v="AMTRUST"/>
    <n v="1031320812.12"/>
    <x v="6"/>
  </r>
  <r>
    <x v="50"/>
    <s v="FLAGSTAR"/>
    <n v="954606164.92999995"/>
    <x v="7"/>
  </r>
  <r>
    <x v="50"/>
    <s v="ASSOCIATED"/>
    <n v="477277200.41000003"/>
    <x v="8"/>
  </r>
  <r>
    <x v="51"/>
    <s v="BANK OF AMERICA"/>
    <n v="9711261406.9500008"/>
    <x v="0"/>
  </r>
  <r>
    <x v="51"/>
    <s v="WELLS FARGO"/>
    <n v="9300876014.7000008"/>
    <x v="1"/>
  </r>
  <r>
    <x v="51"/>
    <s v="CHASE"/>
    <n v="3350176866.5500002"/>
    <x v="2"/>
  </r>
  <r>
    <x v="51"/>
    <s v="SUNTRUST"/>
    <n v="1540011743"/>
    <x v="9"/>
  </r>
  <r>
    <x v="51"/>
    <s v="CITI"/>
    <n v="1511640714.96"/>
    <x v="3"/>
  </r>
  <r>
    <x v="51"/>
    <s v="ALLY"/>
    <n v="1455262864.3900001"/>
    <x v="4"/>
  </r>
  <r>
    <x v="51"/>
    <s v="PHH"/>
    <n v="1386139068.05"/>
    <x v="5"/>
  </r>
  <r>
    <x v="51"/>
    <s v="FLAGSTAR"/>
    <n v="662314912"/>
    <x v="6"/>
  </r>
  <r>
    <x v="51"/>
    <s v="AMTRUST"/>
    <n v="535204931.82999998"/>
    <x v="7"/>
  </r>
  <r>
    <x v="51"/>
    <s v="USAA"/>
    <n v="392896483"/>
    <x v="8"/>
  </r>
  <r>
    <x v="52"/>
    <s v="WELLS FARGO"/>
    <n v="7211282362.8500004"/>
    <x v="0"/>
  </r>
  <r>
    <x v="52"/>
    <s v="BANK OF AMERICA"/>
    <n v="4625680962.5299997"/>
    <x v="1"/>
  </r>
  <r>
    <x v="52"/>
    <s v="ALLY"/>
    <n v="1418743217.1300001"/>
    <x v="2"/>
  </r>
  <r>
    <x v="52"/>
    <s v="SUNTRUST"/>
    <n v="953298136"/>
    <x v="9"/>
  </r>
  <r>
    <x v="52"/>
    <s v="CHASE"/>
    <n v="904919262.65999997"/>
    <x v="3"/>
  </r>
  <r>
    <x v="52"/>
    <s v="FLAGSTAR"/>
    <n v="715387862"/>
    <x v="4"/>
  </r>
  <r>
    <x v="52"/>
    <s v="CITI"/>
    <n v="708008708.12"/>
    <x v="5"/>
  </r>
  <r>
    <x v="52"/>
    <s v="HSBC"/>
    <n v="601179484.77999997"/>
    <x v="6"/>
  </r>
  <r>
    <x v="52"/>
    <s v="PHH"/>
    <n v="583166238.41999996"/>
    <x v="7"/>
  </r>
  <r>
    <x v="52"/>
    <s v="AMTRUST"/>
    <n v="328546288.49000001"/>
    <x v="8"/>
  </r>
  <r>
    <x v="53"/>
    <s v="WELLS FARGO"/>
    <n v="7751269955.25"/>
    <x v="0"/>
  </r>
  <r>
    <x v="53"/>
    <s v="CHASE"/>
    <n v="4687150253.25"/>
    <x v="1"/>
  </r>
  <r>
    <x v="53"/>
    <s v="BANK OF AMERICA"/>
    <n v="2540213073.8200002"/>
    <x v="2"/>
  </r>
  <r>
    <x v="53"/>
    <s v="ALLY"/>
    <n v="1807093775.6700001"/>
    <x v="9"/>
  </r>
  <r>
    <x v="53"/>
    <s v="SUNTRUST"/>
    <n v="928978146"/>
    <x v="3"/>
  </r>
  <r>
    <x v="53"/>
    <s v="CITI"/>
    <n v="920145976.58000004"/>
    <x v="4"/>
  </r>
  <r>
    <x v="53"/>
    <s v="FLAGSTAR"/>
    <n v="725941382.64999998"/>
    <x v="5"/>
  </r>
  <r>
    <x v="53"/>
    <s v="AMTRUST"/>
    <n v="677909185.74000001"/>
    <x v="6"/>
  </r>
  <r>
    <x v="53"/>
    <s v="PHH"/>
    <n v="664611984.01999998"/>
    <x v="7"/>
  </r>
  <r>
    <x v="53"/>
    <s v="HSBC"/>
    <n v="333607808.50999999"/>
    <x v="8"/>
  </r>
  <r>
    <x v="54"/>
    <s v="WELLS FARGO"/>
    <n v="11583901052.780001"/>
    <x v="0"/>
  </r>
  <r>
    <x v="54"/>
    <s v="BANK OF AMERICA"/>
    <n v="6453958851"/>
    <x v="1"/>
  </r>
  <r>
    <x v="54"/>
    <s v="CHASE"/>
    <n v="2038481662.5999999"/>
    <x v="2"/>
  </r>
  <r>
    <x v="54"/>
    <s v="ALLY"/>
    <n v="1731178948.49"/>
    <x v="9"/>
  </r>
  <r>
    <x v="54"/>
    <s v="SUNTRUST"/>
    <n v="1127780359"/>
    <x v="3"/>
  </r>
  <r>
    <x v="54"/>
    <s v="FLAGSTAR"/>
    <n v="975997990"/>
    <x v="4"/>
  </r>
  <r>
    <x v="54"/>
    <s v="HSBC"/>
    <n v="973330970.29999995"/>
    <x v="5"/>
  </r>
  <r>
    <x v="54"/>
    <s v="CITI"/>
    <n v="852057605.63"/>
    <x v="6"/>
  </r>
  <r>
    <x v="54"/>
    <s v="PHH"/>
    <n v="851642916.98000002"/>
    <x v="7"/>
  </r>
  <r>
    <x v="54"/>
    <s v="USAA"/>
    <n v="421704151"/>
    <x v="8"/>
  </r>
  <r>
    <x v="55"/>
    <s v="WELLS FARGO"/>
    <n v="9978849287.2000008"/>
    <x v="0"/>
  </r>
  <r>
    <x v="55"/>
    <s v="BANK OF AMERICA"/>
    <n v="5521288700.1800003"/>
    <x v="1"/>
  </r>
  <r>
    <x v="55"/>
    <s v="CHASE"/>
    <n v="2582467892.6500001"/>
    <x v="2"/>
  </r>
  <r>
    <x v="55"/>
    <s v="ALLY"/>
    <n v="1887253190.6600001"/>
    <x v="9"/>
  </r>
  <r>
    <x v="55"/>
    <s v="SUNTRUST"/>
    <n v="889060529"/>
    <x v="3"/>
  </r>
  <r>
    <x v="55"/>
    <s v="CITI"/>
    <n v="779839250.55999994"/>
    <x v="4"/>
  </r>
  <r>
    <x v="55"/>
    <s v="FLAGSTAR"/>
    <n v="736021209.74000001"/>
    <x v="5"/>
  </r>
  <r>
    <x v="55"/>
    <s v="AMTRUST"/>
    <n v="657628874.59000003"/>
    <x v="6"/>
  </r>
  <r>
    <x v="55"/>
    <s v="USAA"/>
    <n v="498952028"/>
    <x v="7"/>
  </r>
  <r>
    <x v="55"/>
    <s v="FREMONT BANK"/>
    <n v="386823003.75999999"/>
    <x v="8"/>
  </r>
  <r>
    <x v="56"/>
    <s v="WELLS FARGO"/>
    <n v="9807430995.9200001"/>
    <x v="0"/>
  </r>
  <r>
    <x v="56"/>
    <s v="BANK OF AMERICA"/>
    <n v="5305630826.1899996"/>
    <x v="1"/>
  </r>
  <r>
    <x v="56"/>
    <s v="CHASE"/>
    <n v="4446325379.8299999"/>
    <x v="2"/>
  </r>
  <r>
    <x v="56"/>
    <s v="ALLY"/>
    <n v="2017223525.6800001"/>
    <x v="9"/>
  </r>
  <r>
    <x v="56"/>
    <s v="CITI"/>
    <n v="1155889082.1500001"/>
    <x v="3"/>
  </r>
  <r>
    <x v="56"/>
    <s v="SUNTRUST"/>
    <n v="719496863"/>
    <x v="4"/>
  </r>
  <r>
    <x v="56"/>
    <s v="FLAGSTAR"/>
    <n v="535898276.69"/>
    <x v="5"/>
  </r>
  <r>
    <x v="56"/>
    <s v="USAA"/>
    <n v="442717691"/>
    <x v="6"/>
  </r>
  <r>
    <x v="56"/>
    <s v="PHH"/>
    <n v="415371190.91000003"/>
    <x v="7"/>
  </r>
  <r>
    <x v="56"/>
    <s v="DB MORTGAGE SERVICES, LLC"/>
    <n v="373476000"/>
    <x v="8"/>
  </r>
  <r>
    <x v="57"/>
    <s v="WELLS FARGO"/>
    <n v="7752148414.0900002"/>
    <x v="0"/>
  </r>
  <r>
    <x v="57"/>
    <s v="CHASE"/>
    <n v="3913725904.1500001"/>
    <x v="1"/>
  </r>
  <r>
    <x v="57"/>
    <s v="BANK OF AMERICA"/>
    <n v="3199831541.8899999"/>
    <x v="2"/>
  </r>
  <r>
    <x v="57"/>
    <s v="ALLY"/>
    <n v="1009165492.87"/>
    <x v="9"/>
  </r>
  <r>
    <x v="57"/>
    <s v="CITI"/>
    <n v="751666992.55999994"/>
    <x v="3"/>
  </r>
  <r>
    <x v="57"/>
    <s v="SUNTRUST"/>
    <n v="509344142.41000003"/>
    <x v="4"/>
  </r>
  <r>
    <x v="57"/>
    <s v="PHH"/>
    <n v="489940410.56"/>
    <x v="5"/>
  </r>
  <r>
    <x v="57"/>
    <s v="FLAGSTAR"/>
    <n v="466248926.74000001"/>
    <x v="6"/>
  </r>
  <r>
    <x v="57"/>
    <s v="USAA"/>
    <n v="357652436"/>
    <x v="7"/>
  </r>
  <r>
    <x v="57"/>
    <s v="NY COMMUNITY"/>
    <n v="280526539.32999998"/>
    <x v="8"/>
  </r>
  <r>
    <x v="58"/>
    <s v="WELLS FARGO"/>
    <n v="8759856160.0100002"/>
    <x v="0"/>
  </r>
  <r>
    <x v="58"/>
    <s v="BANK OF AMERICA"/>
    <n v="6045923010.6400003"/>
    <x v="1"/>
  </r>
  <r>
    <x v="58"/>
    <s v="CHASE"/>
    <n v="2196781706.52"/>
    <x v="2"/>
  </r>
  <r>
    <x v="58"/>
    <s v="ALLY"/>
    <n v="1206641880.98"/>
    <x v="9"/>
  </r>
  <r>
    <x v="58"/>
    <s v="CITI"/>
    <n v="717269259.21000004"/>
    <x v="3"/>
  </r>
  <r>
    <x v="58"/>
    <s v="SUNTRUST"/>
    <n v="622792880"/>
    <x v="4"/>
  </r>
  <r>
    <x v="58"/>
    <s v="NY COMMUNITY"/>
    <n v="566563714.44000006"/>
    <x v="5"/>
  </r>
  <r>
    <x v="58"/>
    <s v="FLAGSTAR"/>
    <n v="544126887.90999997"/>
    <x v="6"/>
  </r>
  <r>
    <x v="58"/>
    <s v="USAA"/>
    <n v="376001263"/>
    <x v="7"/>
  </r>
  <r>
    <x v="58"/>
    <s v="WALKER&amp;DUNLOP"/>
    <n v="365340363"/>
    <x v="8"/>
  </r>
  <r>
    <x v="59"/>
    <s v="WELLS FARGO"/>
    <n v="7983117228.6700001"/>
    <x v="0"/>
  </r>
  <r>
    <x v="59"/>
    <s v="BANK OF AMERICA"/>
    <n v="6085851450.0900002"/>
    <x v="1"/>
  </r>
  <r>
    <x v="59"/>
    <s v="CHASE"/>
    <n v="3408756489.0999999"/>
    <x v="2"/>
  </r>
  <r>
    <x v="59"/>
    <s v="ALLY"/>
    <n v="1280550786.26"/>
    <x v="9"/>
  </r>
  <r>
    <x v="59"/>
    <s v="CITI"/>
    <n v="979069118.75"/>
    <x v="3"/>
  </r>
  <r>
    <x v="59"/>
    <s v="PHH"/>
    <n v="827846631.82000005"/>
    <x v="4"/>
  </r>
  <r>
    <x v="59"/>
    <s v="SUNTRUST"/>
    <n v="757778464"/>
    <x v="5"/>
  </r>
  <r>
    <x v="59"/>
    <s v="FLAGSTAR"/>
    <n v="748562261.27999997"/>
    <x v="6"/>
  </r>
  <r>
    <x v="59"/>
    <s v="NY COMMUNITY"/>
    <n v="397458378.94"/>
    <x v="7"/>
  </r>
  <r>
    <x v="59"/>
    <s v="PNC"/>
    <n v="325610197.19999999"/>
    <x v="8"/>
  </r>
  <r>
    <x v="60"/>
    <s v="WELLS FARGO"/>
    <n v="8159699856.3800001"/>
    <x v="0"/>
  </r>
  <r>
    <x v="60"/>
    <s v="BANK OF AMERICA"/>
    <n v="6657706403.3699999"/>
    <x v="1"/>
  </r>
  <r>
    <x v="60"/>
    <s v="CHASE"/>
    <n v="5102381874.5"/>
    <x v="2"/>
  </r>
  <r>
    <x v="60"/>
    <s v="ALLY"/>
    <n v="1873141654.6800001"/>
    <x v="9"/>
  </r>
  <r>
    <x v="60"/>
    <s v="CITI"/>
    <n v="1302820990.45"/>
    <x v="3"/>
  </r>
  <r>
    <x v="60"/>
    <s v="PHH"/>
    <n v="987339146.05999994"/>
    <x v="4"/>
  </r>
  <r>
    <x v="60"/>
    <s v="FLAGSTAR"/>
    <n v="843058237.84000003"/>
    <x v="5"/>
  </r>
  <r>
    <x v="60"/>
    <s v="SUNTRUST"/>
    <n v="705883099.42999995"/>
    <x v="6"/>
  </r>
  <r>
    <x v="60"/>
    <s v="NY COMMUNITY"/>
    <n v="418791874.29000002"/>
    <x v="7"/>
  </r>
  <r>
    <x v="60"/>
    <s v="PNC"/>
    <n v="306820436.19"/>
    <x v="8"/>
  </r>
  <r>
    <x v="61"/>
    <s v="WELLS FARGO"/>
    <n v="8955541938.4400005"/>
    <x v="0"/>
  </r>
  <r>
    <x v="61"/>
    <s v="BANK OF AMERICA"/>
    <n v="6566683766.2700005"/>
    <x v="1"/>
  </r>
  <r>
    <x v="61"/>
    <s v="CHASE"/>
    <n v="5566835247.3199997"/>
    <x v="2"/>
  </r>
  <r>
    <x v="61"/>
    <s v="ALLY"/>
    <n v="2520047942.54"/>
    <x v="9"/>
  </r>
  <r>
    <x v="61"/>
    <s v="CITI"/>
    <n v="1445083188.54"/>
    <x v="3"/>
  </r>
  <r>
    <x v="61"/>
    <s v="PHH"/>
    <n v="974133095.32000005"/>
    <x v="4"/>
  </r>
  <r>
    <x v="61"/>
    <s v="NY COMMUNITY"/>
    <n v="675914527.42999995"/>
    <x v="5"/>
  </r>
  <r>
    <x v="61"/>
    <s v="SUNTRUST"/>
    <n v="652414196.23000002"/>
    <x v="6"/>
  </r>
  <r>
    <x v="61"/>
    <s v="FLAGSTAR"/>
    <n v="621237152.12"/>
    <x v="7"/>
  </r>
  <r>
    <x v="61"/>
    <s v="THIRD FEDERAL"/>
    <n v="474094385.06999999"/>
    <x v="8"/>
  </r>
  <r>
    <x v="62"/>
    <s v="WELLS FARGO"/>
    <n v="10445666888.360001"/>
    <x v="0"/>
  </r>
  <r>
    <x v="62"/>
    <s v="BANK OF AMERICA"/>
    <n v="6780683677.4899998"/>
    <x v="1"/>
  </r>
  <r>
    <x v="62"/>
    <s v="ALLY"/>
    <n v="2690541294.77"/>
    <x v="2"/>
  </r>
  <r>
    <x v="62"/>
    <s v="CITI"/>
    <n v="2635279121.3899999"/>
    <x v="9"/>
  </r>
  <r>
    <x v="62"/>
    <s v="CHASE"/>
    <n v="2469426656.7399998"/>
    <x v="3"/>
  </r>
  <r>
    <x v="62"/>
    <s v="FLAGSTAR"/>
    <n v="1438161442.27"/>
    <x v="4"/>
  </r>
  <r>
    <x v="62"/>
    <s v="PHH"/>
    <n v="1411205922.8599999"/>
    <x v="5"/>
  </r>
  <r>
    <x v="62"/>
    <s v="SUNTRUST"/>
    <n v="1027381931.53"/>
    <x v="6"/>
  </r>
  <r>
    <x v="62"/>
    <s v="NY COMMUNITY"/>
    <n v="679976598.80999994"/>
    <x v="7"/>
  </r>
  <r>
    <x v="62"/>
    <s v="TD BANK, N.A."/>
    <n v="604184628"/>
    <x v="8"/>
  </r>
  <r>
    <x v="63"/>
    <s v="CHASE"/>
    <n v="13523481421.540001"/>
    <x v="0"/>
  </r>
  <r>
    <x v="63"/>
    <s v="WELLS FARGO"/>
    <n v="12647051419.92"/>
    <x v="1"/>
  </r>
  <r>
    <x v="63"/>
    <s v="BANK OF AMERICA"/>
    <n v="8801662456.9899998"/>
    <x v="2"/>
  </r>
  <r>
    <x v="63"/>
    <s v="CITI"/>
    <n v="4518559940.5299997"/>
    <x v="9"/>
  </r>
  <r>
    <x v="63"/>
    <s v="ALLY"/>
    <n v="3646842839.0100002"/>
    <x v="3"/>
  </r>
  <r>
    <x v="63"/>
    <s v="FLAGSTAR"/>
    <n v="2082908596.8599999"/>
    <x v="4"/>
  </r>
  <r>
    <x v="63"/>
    <s v="PHH"/>
    <n v="1754955724.47"/>
    <x v="5"/>
  </r>
  <r>
    <x v="63"/>
    <s v="SUNTRUST"/>
    <n v="1120073087.9000001"/>
    <x v="6"/>
  </r>
  <r>
    <x v="63"/>
    <s v="NY COMMUNITY"/>
    <n v="1105134409.6900001"/>
    <x v="7"/>
  </r>
  <r>
    <x v="63"/>
    <s v="QUICKEN"/>
    <n v="842265479.03999996"/>
    <x v="8"/>
  </r>
  <r>
    <x v="64"/>
    <s v="WELLS FARGO"/>
    <n v="13935891180.24"/>
    <x v="0"/>
  </r>
  <r>
    <x v="64"/>
    <s v="BANK OF AMERICA"/>
    <n v="7173559851.6000004"/>
    <x v="1"/>
  </r>
  <r>
    <x v="64"/>
    <s v="CHASE"/>
    <n v="7032221976"/>
    <x v="2"/>
  </r>
  <r>
    <x v="64"/>
    <s v="ALLY"/>
    <n v="4867074403.2299995"/>
    <x v="9"/>
  </r>
  <r>
    <x v="64"/>
    <s v="CITI"/>
    <n v="4545541491.3000002"/>
    <x v="3"/>
  </r>
  <r>
    <x v="64"/>
    <s v="PHH"/>
    <n v="1772716757.7"/>
    <x v="4"/>
  </r>
  <r>
    <x v="64"/>
    <s v="FLAGSTAR"/>
    <n v="1584815106.8800001"/>
    <x v="5"/>
  </r>
  <r>
    <x v="64"/>
    <s v="SUNTRUST"/>
    <n v="1236774477.01"/>
    <x v="6"/>
  </r>
  <r>
    <x v="64"/>
    <s v="PNC"/>
    <n v="1043295632.48"/>
    <x v="7"/>
  </r>
  <r>
    <x v="64"/>
    <s v="QUICKEN"/>
    <n v="985412820.13999999"/>
    <x v="8"/>
  </r>
  <r>
    <x v="65"/>
    <s v="WELLS FARGO"/>
    <n v="13909502726.82"/>
    <x v="0"/>
  </r>
  <r>
    <x v="65"/>
    <s v="BANK OF AMERICA"/>
    <n v="8077232839.9099998"/>
    <x v="1"/>
  </r>
  <r>
    <x v="65"/>
    <s v="CHASE"/>
    <n v="5669944072.8400002"/>
    <x v="2"/>
  </r>
  <r>
    <x v="65"/>
    <s v="ALLY"/>
    <n v="4631288816.5799999"/>
    <x v="9"/>
  </r>
  <r>
    <x v="65"/>
    <s v="CITI"/>
    <n v="4042775700.8400002"/>
    <x v="3"/>
  </r>
  <r>
    <x v="65"/>
    <s v="PHH"/>
    <n v="2192767460.75"/>
    <x v="4"/>
  </r>
  <r>
    <x v="65"/>
    <s v="QUICKEN"/>
    <n v="1752605955.22"/>
    <x v="5"/>
  </r>
  <r>
    <x v="65"/>
    <s v="FLAGSTAR"/>
    <n v="1652225345.79"/>
    <x v="6"/>
  </r>
  <r>
    <x v="65"/>
    <s v="SUNTRUST"/>
    <n v="1583568018.25"/>
    <x v="7"/>
  </r>
  <r>
    <x v="65"/>
    <s v="PRUDENTIAL MULTIFAMILY MORTGAGE INC."/>
    <n v="1122048685"/>
    <x v="8"/>
  </r>
  <r>
    <x v="66"/>
    <s v="WELLS FARGO"/>
    <n v="14878642995.780001"/>
    <x v="0"/>
  </r>
  <r>
    <x v="66"/>
    <s v="CHASE"/>
    <n v="13177768197.51"/>
    <x v="1"/>
  </r>
  <r>
    <x v="66"/>
    <s v="BANK OF AMERICA"/>
    <n v="11678030199.870001"/>
    <x v="2"/>
  </r>
  <r>
    <x v="66"/>
    <s v="CITI"/>
    <n v="4455935640.6099997"/>
    <x v="9"/>
  </r>
  <r>
    <x v="66"/>
    <s v="ALLY"/>
    <n v="4077546240.5599999"/>
    <x v="3"/>
  </r>
  <r>
    <x v="66"/>
    <s v="SUNTRUST"/>
    <n v="1808961584.6800001"/>
    <x v="4"/>
  </r>
  <r>
    <x v="66"/>
    <s v="FLAGSTAR"/>
    <n v="1787042808.5599999"/>
    <x v="5"/>
  </r>
  <r>
    <x v="66"/>
    <s v="REGIONS BANK"/>
    <n v="1232116719.6400001"/>
    <x v="6"/>
  </r>
  <r>
    <x v="66"/>
    <s v="PHH"/>
    <n v="1213409683.3399999"/>
    <x v="7"/>
  </r>
  <r>
    <x v="66"/>
    <s v="PNC"/>
    <n v="1075335371.8499999"/>
    <x v="8"/>
  </r>
  <r>
    <x v="67"/>
    <s v="WELLS FARGO"/>
    <n v="15157548488.809999"/>
    <x v="0"/>
  </r>
  <r>
    <x v="67"/>
    <s v="BANK OF AMERICA"/>
    <n v="10056413197.809999"/>
    <x v="1"/>
  </r>
  <r>
    <x v="67"/>
    <s v="CHASE"/>
    <n v="5654825118.79"/>
    <x v="2"/>
  </r>
  <r>
    <x v="67"/>
    <s v="CITI"/>
    <n v="4288064391.23"/>
    <x v="9"/>
  </r>
  <r>
    <x v="67"/>
    <s v="ALLY"/>
    <n v="3768046307.4699998"/>
    <x v="3"/>
  </r>
  <r>
    <x v="67"/>
    <s v="PHH"/>
    <n v="2454761687.0100002"/>
    <x v="4"/>
  </r>
  <r>
    <x v="67"/>
    <s v="FLAGSTAR"/>
    <n v="1652845494.29"/>
    <x v="5"/>
  </r>
  <r>
    <x v="67"/>
    <s v="SUNTRUST"/>
    <n v="1553817144.2"/>
    <x v="6"/>
  </r>
  <r>
    <x v="67"/>
    <s v="NY COMMUNITY"/>
    <n v="835486551.41999996"/>
    <x v="7"/>
  </r>
  <r>
    <x v="67"/>
    <s v="PNC"/>
    <n v="805596212.40999997"/>
    <x v="8"/>
  </r>
  <r>
    <x v="68"/>
    <s v="WELLS FARGO"/>
    <n v="12839332402.040001"/>
    <x v="0"/>
  </r>
  <r>
    <x v="68"/>
    <s v="BANK OF AMERICA"/>
    <n v="9579024294.3700008"/>
    <x v="1"/>
  </r>
  <r>
    <x v="68"/>
    <s v="CHASE"/>
    <n v="4282742234.9099998"/>
    <x v="2"/>
  </r>
  <r>
    <x v="68"/>
    <s v="CITI"/>
    <n v="2523521818.0799999"/>
    <x v="9"/>
  </r>
  <r>
    <x v="68"/>
    <s v="PHH"/>
    <n v="2208311207.8699999"/>
    <x v="3"/>
  </r>
  <r>
    <x v="68"/>
    <s v="ALLY"/>
    <n v="1927727999.48"/>
    <x v="4"/>
  </r>
  <r>
    <x v="68"/>
    <s v="SUNTRUST"/>
    <n v="1247167117.3299999"/>
    <x v="5"/>
  </r>
  <r>
    <x v="68"/>
    <s v="FLAGSTAR"/>
    <n v="855765018.10000002"/>
    <x v="6"/>
  </r>
  <r>
    <x v="68"/>
    <s v="PNC"/>
    <n v="731935459.64999998"/>
    <x v="7"/>
  </r>
  <r>
    <x v="68"/>
    <s v="NY COMMUNITY"/>
    <n v="447638536.25"/>
    <x v="8"/>
  </r>
  <r>
    <x v="69"/>
    <s v="WELLS FARGO"/>
    <n v="9636191150.4599991"/>
    <x v="0"/>
  </r>
  <r>
    <x v="69"/>
    <s v="CHASE"/>
    <n v="9485405797.4699993"/>
    <x v="1"/>
  </r>
  <r>
    <x v="69"/>
    <s v="BANK OF AMERICA"/>
    <n v="8683894317.7800007"/>
    <x v="2"/>
  </r>
  <r>
    <x v="69"/>
    <s v="CITI"/>
    <n v="2657649716.0999999"/>
    <x v="9"/>
  </r>
  <r>
    <x v="69"/>
    <s v="PHH"/>
    <n v="2586644966.1999998"/>
    <x v="3"/>
  </r>
  <r>
    <x v="69"/>
    <s v="ALLY"/>
    <n v="2121205602.46"/>
    <x v="4"/>
  </r>
  <r>
    <x v="69"/>
    <s v="SUNTRUST"/>
    <n v="1186577224.8"/>
    <x v="5"/>
  </r>
  <r>
    <x v="69"/>
    <s v="FLAGSTAR"/>
    <n v="740800134.88999999"/>
    <x v="6"/>
  </r>
  <r>
    <x v="69"/>
    <s v="PNC"/>
    <n v="705043007.98000002"/>
    <x v="7"/>
  </r>
  <r>
    <x v="69"/>
    <s v="WALKER&amp;DUNLOP"/>
    <n v="488914060"/>
    <x v="8"/>
  </r>
  <r>
    <x v="70"/>
    <s v="WELLS FARGO"/>
    <n v="7444150512.3199997"/>
    <x v="0"/>
  </r>
  <r>
    <x v="70"/>
    <s v="BANK OF AMERICA"/>
    <n v="4730559226.2700005"/>
    <x v="1"/>
  </r>
  <r>
    <x v="70"/>
    <s v="CHASE"/>
    <n v="3767154561.3800001"/>
    <x v="2"/>
  </r>
  <r>
    <x v="70"/>
    <s v="CITI"/>
    <n v="2120004498.6400001"/>
    <x v="9"/>
  </r>
  <r>
    <x v="70"/>
    <s v="ALLY"/>
    <n v="1116379416.3"/>
    <x v="3"/>
  </r>
  <r>
    <x v="70"/>
    <s v="FLAGSTAR"/>
    <n v="811722395.58000004"/>
    <x v="4"/>
  </r>
  <r>
    <x v="70"/>
    <s v="PNC"/>
    <n v="764963730.72000003"/>
    <x v="5"/>
  </r>
  <r>
    <x v="70"/>
    <s v="SUNTRUST"/>
    <n v="674113666.69000006"/>
    <x v="6"/>
  </r>
  <r>
    <x v="70"/>
    <s v="PHH"/>
    <n v="581314774.17999995"/>
    <x v="7"/>
  </r>
  <r>
    <x v="70"/>
    <s v="REGIONS BANK"/>
    <n v="341092933.08999997"/>
    <x v="8"/>
  </r>
  <r>
    <x v="71"/>
    <s v="WELLS FARGO"/>
    <n v="6796796476.5"/>
    <x v="0"/>
  </r>
  <r>
    <x v="71"/>
    <s v="CHASE"/>
    <n v="4462100152.5799999"/>
    <x v="1"/>
  </r>
  <r>
    <x v="71"/>
    <s v="BANK OF AMERICA"/>
    <n v="2894353490.4000001"/>
    <x v="2"/>
  </r>
  <r>
    <x v="71"/>
    <s v="CITI"/>
    <n v="1772156272.1099999"/>
    <x v="9"/>
  </r>
  <r>
    <x v="71"/>
    <s v="ALLY"/>
    <n v="1714672795.1500001"/>
    <x v="3"/>
  </r>
  <r>
    <x v="71"/>
    <s v="FLAGSTAR"/>
    <n v="841140321.39999998"/>
    <x v="4"/>
  </r>
  <r>
    <x v="71"/>
    <s v="PHH"/>
    <n v="752156908.72000003"/>
    <x v="5"/>
  </r>
  <r>
    <x v="71"/>
    <s v="SUNTRUST"/>
    <n v="563716044.37"/>
    <x v="6"/>
  </r>
  <r>
    <x v="71"/>
    <s v="PNC"/>
    <n v="489084046.74000001"/>
    <x v="7"/>
  </r>
  <r>
    <x v="71"/>
    <s v="ARBOR"/>
    <n v="284055237"/>
    <x v="8"/>
  </r>
  <r>
    <x v="72"/>
    <s v="WELLS FARGO"/>
    <n v="8100182361.9399996"/>
    <x v="0"/>
  </r>
  <r>
    <x v="72"/>
    <s v="CHASE"/>
    <n v="5545967032.6400003"/>
    <x v="1"/>
  </r>
  <r>
    <x v="72"/>
    <s v="ALLY"/>
    <n v="3143184905.6100001"/>
    <x v="2"/>
  </r>
  <r>
    <x v="72"/>
    <s v="BANK OF AMERICA"/>
    <n v="2911823738.5799999"/>
    <x v="9"/>
  </r>
  <r>
    <x v="72"/>
    <s v="CITI"/>
    <n v="1549429492.6099999"/>
    <x v="3"/>
  </r>
  <r>
    <x v="72"/>
    <s v="PHH"/>
    <n v="1268561247.9400001"/>
    <x v="4"/>
  </r>
  <r>
    <x v="72"/>
    <s v="SUNTRUST"/>
    <n v="602058992.67999995"/>
    <x v="5"/>
  </r>
  <r>
    <x v="72"/>
    <s v="FLAGSTAR"/>
    <n v="539015420.57000005"/>
    <x v="6"/>
  </r>
  <r>
    <x v="72"/>
    <s v="M &amp; T REALTY CAPITAL CORPORATION"/>
    <n v="494592251"/>
    <x v="7"/>
  </r>
  <r>
    <x v="72"/>
    <s v="PNC"/>
    <n v="440788343.07999998"/>
    <x v="8"/>
  </r>
  <r>
    <x v="73"/>
    <s v="WELLS FARGO"/>
    <n v="5308788048.8400002"/>
    <x v="0"/>
  </r>
  <r>
    <x v="73"/>
    <s v="CHASE"/>
    <n v="3552030616.75"/>
    <x v="1"/>
  </r>
  <r>
    <x v="73"/>
    <s v="CITI"/>
    <n v="3451560618.73"/>
    <x v="2"/>
  </r>
  <r>
    <x v="73"/>
    <s v="BANK OF AMERICA"/>
    <n v="3164049641.8699999"/>
    <x v="9"/>
  </r>
  <r>
    <x v="73"/>
    <s v="ALLY"/>
    <n v="1623998106.96"/>
    <x v="3"/>
  </r>
  <r>
    <x v="73"/>
    <s v="FLAGSTAR"/>
    <n v="848545824.13999999"/>
    <x v="4"/>
  </r>
  <r>
    <x v="73"/>
    <s v="SUNTRUST"/>
    <n v="722217253.57000005"/>
    <x v="5"/>
  </r>
  <r>
    <x v="73"/>
    <s v="PNC"/>
    <n v="598908757.10000002"/>
    <x v="6"/>
  </r>
  <r>
    <x v="73"/>
    <s v="PHH"/>
    <n v="488802884.07999998"/>
    <x v="7"/>
  </r>
  <r>
    <x v="73"/>
    <s v="BEECH STREET CAPITAL, LLC"/>
    <n v="312614394"/>
    <x v="8"/>
  </r>
  <r>
    <x v="74"/>
    <s v="WELLS FARGO"/>
    <n v="8975675585.0300007"/>
    <x v="0"/>
  </r>
  <r>
    <x v="74"/>
    <s v="CHASE"/>
    <n v="5856036812.3699999"/>
    <x v="1"/>
  </r>
  <r>
    <x v="74"/>
    <s v="BANK OF AMERICA"/>
    <n v="3731162831.54"/>
    <x v="2"/>
  </r>
  <r>
    <x v="74"/>
    <s v="ALLY"/>
    <n v="2329334472.6700001"/>
    <x v="9"/>
  </r>
  <r>
    <x v="74"/>
    <s v="CITI"/>
    <n v="1558677252.3900001"/>
    <x v="3"/>
  </r>
  <r>
    <x v="74"/>
    <s v="PHH"/>
    <n v="1496155189.5"/>
    <x v="4"/>
  </r>
  <r>
    <x v="74"/>
    <s v="FLAGSTAR"/>
    <n v="1238482339.3800001"/>
    <x v="5"/>
  </r>
  <r>
    <x v="74"/>
    <s v="SUNTRUST"/>
    <n v="725416086.88"/>
    <x v="6"/>
  </r>
  <r>
    <x v="74"/>
    <s v="PNC"/>
    <n v="486453805.94"/>
    <x v="7"/>
  </r>
  <r>
    <x v="74"/>
    <s v="USAA"/>
    <n v="246411781"/>
    <x v="8"/>
  </r>
  <r>
    <x v="75"/>
    <s v="WELLS FARGO"/>
    <n v="9862037476.5100002"/>
    <x v="0"/>
  </r>
  <r>
    <x v="75"/>
    <s v="CHASE"/>
    <n v="8513787528.9200001"/>
    <x v="1"/>
  </r>
  <r>
    <x v="75"/>
    <s v="ALLY"/>
    <n v="3396559955.0900002"/>
    <x v="2"/>
  </r>
  <r>
    <x v="75"/>
    <s v="BANK OF AMERICA"/>
    <n v="2892361811.9899998"/>
    <x v="9"/>
  </r>
  <r>
    <x v="75"/>
    <s v="CITI"/>
    <n v="2696815028.3899999"/>
    <x v="3"/>
  </r>
  <r>
    <x v="75"/>
    <s v="FLAGSTAR"/>
    <n v="1481093219.7"/>
    <x v="4"/>
  </r>
  <r>
    <x v="75"/>
    <s v="PHH"/>
    <n v="1068656827.8200001"/>
    <x v="5"/>
  </r>
  <r>
    <x v="75"/>
    <s v="QUICKEN"/>
    <n v="823178100.25"/>
    <x v="6"/>
  </r>
  <r>
    <x v="75"/>
    <s v="PNC"/>
    <n v="634350715.39999998"/>
    <x v="7"/>
  </r>
  <r>
    <x v="75"/>
    <s v="SUNTRUST"/>
    <n v="609690927"/>
    <x v="8"/>
  </r>
  <r>
    <x v="76"/>
    <s v="WELLS FARGO"/>
    <n v="11864275980.860001"/>
    <x v="0"/>
  </r>
  <r>
    <x v="76"/>
    <s v="CHASE"/>
    <n v="5145732963.04"/>
    <x v="1"/>
  </r>
  <r>
    <x v="76"/>
    <s v="CITI"/>
    <n v="3368885713.6900001"/>
    <x v="2"/>
  </r>
  <r>
    <x v="76"/>
    <s v="FLAGSTAR"/>
    <n v="2189275465.2199998"/>
    <x v="9"/>
  </r>
  <r>
    <x v="76"/>
    <s v="PHH"/>
    <n v="2131641702.3199999"/>
    <x v="3"/>
  </r>
  <r>
    <x v="76"/>
    <s v="BANK OF AMERICA"/>
    <n v="2008947925.9400001"/>
    <x v="4"/>
  </r>
  <r>
    <x v="76"/>
    <s v="ALLY"/>
    <n v="1820954758.3199999"/>
    <x v="5"/>
  </r>
  <r>
    <x v="76"/>
    <s v="QUICKEN"/>
    <n v="1103750509.5999999"/>
    <x v="6"/>
  </r>
  <r>
    <x v="76"/>
    <s v="SUNTRUST"/>
    <n v="784533038"/>
    <x v="7"/>
  </r>
  <r>
    <x v="76"/>
    <s v="NYCB MORTGAGE COMPANY, LLC"/>
    <n v="578361348.02999997"/>
    <x v="8"/>
  </r>
  <r>
    <x v="77"/>
    <s v="WELLS FARGO"/>
    <n v="14706099941.799999"/>
    <x v="0"/>
  </r>
  <r>
    <x v="77"/>
    <s v="CHASE"/>
    <n v="7980975998.8500004"/>
    <x v="1"/>
  </r>
  <r>
    <x v="77"/>
    <s v="CITI"/>
    <n v="4736787040.8299999"/>
    <x v="2"/>
  </r>
  <r>
    <x v="77"/>
    <s v="ALLY"/>
    <n v="3660860542.1399999"/>
    <x v="9"/>
  </r>
  <r>
    <x v="77"/>
    <s v="FLAGSTAR"/>
    <n v="2374687827.0900002"/>
    <x v="3"/>
  </r>
  <r>
    <x v="77"/>
    <s v="PHH"/>
    <n v="2096048439.96"/>
    <x v="4"/>
  </r>
  <r>
    <x v="77"/>
    <s v="BANK OF AMERICA"/>
    <n v="1485254304.1099999"/>
    <x v="5"/>
  </r>
  <r>
    <x v="77"/>
    <s v="QUICKEN"/>
    <n v="1418009753.6300001"/>
    <x v="6"/>
  </r>
  <r>
    <x v="77"/>
    <s v="NYCB MORTGAGE COMPANY, LLC"/>
    <n v="747707839.65999997"/>
    <x v="7"/>
  </r>
  <r>
    <x v="77"/>
    <s v="US BANK"/>
    <n v="553653703.02999997"/>
    <x v="8"/>
  </r>
  <r>
    <x v="78"/>
    <s v="WELLS FARGO"/>
    <n v="23937608890.639999"/>
    <x v="0"/>
  </r>
  <r>
    <x v="78"/>
    <s v="CHASE"/>
    <n v="8179192202.6400003"/>
    <x v="1"/>
  </r>
  <r>
    <x v="78"/>
    <s v="CITI"/>
    <n v="4852780436.3599997"/>
    <x v="2"/>
  </r>
  <r>
    <x v="78"/>
    <s v="ALLY"/>
    <n v="4076990497.6900001"/>
    <x v="9"/>
  </r>
  <r>
    <x v="78"/>
    <s v="PHH"/>
    <n v="3147925861.4400001"/>
    <x v="3"/>
  </r>
  <r>
    <x v="78"/>
    <s v="FLAGSTAR"/>
    <n v="2364623596.77"/>
    <x v="4"/>
  </r>
  <r>
    <x v="78"/>
    <s v="BANK OF AMERICA"/>
    <n v="1127153197.6199999"/>
    <x v="5"/>
  </r>
  <r>
    <x v="78"/>
    <s v="QUICKEN"/>
    <n v="1125319396.6300001"/>
    <x v="6"/>
  </r>
  <r>
    <x v="78"/>
    <s v="NYCB MORTGAGE COMPANY, LLC"/>
    <n v="726071421.08000004"/>
    <x v="7"/>
  </r>
  <r>
    <x v="78"/>
    <s v="PNC"/>
    <n v="669442416.33000004"/>
    <x v="8"/>
  </r>
  <r>
    <x v="79"/>
    <s v="WELLS FARGO"/>
    <n v="15368979575.26"/>
    <x v="0"/>
  </r>
  <r>
    <x v="79"/>
    <s v="CITI"/>
    <n v="4888087268.7600002"/>
    <x v="1"/>
  </r>
  <r>
    <x v="79"/>
    <s v="CHASE"/>
    <n v="4842312645.9700003"/>
    <x v="2"/>
  </r>
  <r>
    <x v="79"/>
    <s v="FLAGSTAR"/>
    <n v="2078917820.78"/>
    <x v="9"/>
  </r>
  <r>
    <x v="79"/>
    <s v="ALLY"/>
    <n v="1829508756.9100001"/>
    <x v="3"/>
  </r>
  <r>
    <x v="79"/>
    <s v="PHH"/>
    <n v="1686254886.4100001"/>
    <x v="4"/>
  </r>
  <r>
    <x v="79"/>
    <s v="QUICKEN"/>
    <n v="1325451283.1400001"/>
    <x v="5"/>
  </r>
  <r>
    <x v="79"/>
    <s v="BANK OF AMERICA"/>
    <n v="900533697.60000002"/>
    <x v="6"/>
  </r>
  <r>
    <x v="79"/>
    <s v="SUNTRUST"/>
    <n v="755828484.13"/>
    <x v="7"/>
  </r>
  <r>
    <x v="79"/>
    <s v="FIFTH THIRD"/>
    <n v="686393892.15999997"/>
    <x v="8"/>
  </r>
  <r>
    <x v="80"/>
    <s v="WELLS FARGO"/>
    <n v="14632091015.389999"/>
    <x v="0"/>
  </r>
  <r>
    <x v="80"/>
    <s v="CHASE"/>
    <n v="6039781731.0699997"/>
    <x v="1"/>
  </r>
  <r>
    <x v="80"/>
    <s v="FLAGSTAR"/>
    <n v="2741562711.46"/>
    <x v="2"/>
  </r>
  <r>
    <x v="80"/>
    <s v="CITI"/>
    <n v="2226729317.7600002"/>
    <x v="9"/>
  </r>
  <r>
    <x v="80"/>
    <s v="PHH"/>
    <n v="1851657345.4200001"/>
    <x v="3"/>
  </r>
  <r>
    <x v="80"/>
    <s v="QUICKEN"/>
    <n v="1764296230.9100001"/>
    <x v="4"/>
  </r>
  <r>
    <x v="80"/>
    <s v="ALLY"/>
    <n v="1397963595.51"/>
    <x v="5"/>
  </r>
  <r>
    <x v="80"/>
    <s v="SUNTRUST"/>
    <n v="959494576.99000001"/>
    <x v="6"/>
  </r>
  <r>
    <x v="80"/>
    <s v="AMERICAN HOME MORTGAGE CORPORATION"/>
    <n v="672231724.96000004"/>
    <x v="7"/>
  </r>
  <r>
    <x v="80"/>
    <s v="CHICAGO MORTGAGE SOLUTIONS DBA INTERBANK"/>
    <n v="620503186.51999998"/>
    <x v="8"/>
  </r>
  <r>
    <x v="81"/>
    <s v="WELLS FARGO"/>
    <n v="30737250033.549999"/>
    <x v="0"/>
  </r>
  <r>
    <x v="81"/>
    <s v="CHASE"/>
    <n v="9495153084.0799999"/>
    <x v="1"/>
  </r>
  <r>
    <x v="81"/>
    <s v="CITI"/>
    <n v="3358009211.0900002"/>
    <x v="2"/>
  </r>
  <r>
    <x v="81"/>
    <s v="FLAGSTAR"/>
    <n v="2975788477.54"/>
    <x v="9"/>
  </r>
  <r>
    <x v="81"/>
    <s v="QUICKEN"/>
    <n v="2832823095.7399998"/>
    <x v="3"/>
  </r>
  <r>
    <x v="81"/>
    <s v="PHH"/>
    <n v="1924511400.8299999"/>
    <x v="4"/>
  </r>
  <r>
    <x v="81"/>
    <s v="ALLY"/>
    <n v="1504075776.73"/>
    <x v="5"/>
  </r>
  <r>
    <x v="81"/>
    <s v="SUNTRUST"/>
    <n v="1482408591.4000001"/>
    <x v="6"/>
  </r>
  <r>
    <x v="81"/>
    <s v="BANK OF AMERICA"/>
    <n v="1327709733.49"/>
    <x v="7"/>
  </r>
  <r>
    <x v="81"/>
    <s v="FRANKLIN AMERICAN MORTGAGE COMPANY"/>
    <n v="1191429316"/>
    <x v="8"/>
  </r>
  <r>
    <x v="82"/>
    <s v="WELLS FARGO"/>
    <n v="10763728285.6"/>
    <x v="0"/>
  </r>
  <r>
    <x v="82"/>
    <s v="CHASE"/>
    <n v="5066088765.9499998"/>
    <x v="1"/>
  </r>
  <r>
    <x v="82"/>
    <s v="FLAGSTAR"/>
    <n v="2312712574.1100001"/>
    <x v="2"/>
  </r>
  <r>
    <x v="82"/>
    <s v="PHH"/>
    <n v="1502180272.8599999"/>
    <x v="9"/>
  </r>
  <r>
    <x v="82"/>
    <s v="CITI"/>
    <n v="1096235296.02"/>
    <x v="3"/>
  </r>
  <r>
    <x v="82"/>
    <s v="ALLY"/>
    <n v="978164872.58000004"/>
    <x v="4"/>
  </r>
  <r>
    <x v="82"/>
    <s v="QUICKEN"/>
    <n v="751845393.07000005"/>
    <x v="5"/>
  </r>
  <r>
    <x v="82"/>
    <s v="SUNTRUST"/>
    <n v="720179506.47000003"/>
    <x v="6"/>
  </r>
  <r>
    <x v="82"/>
    <s v="AMERICAN HOME MORTGAGE CORPORATION"/>
    <n v="556381127.55999994"/>
    <x v="7"/>
  </r>
  <r>
    <x v="82"/>
    <s v="CHICAGO MORTGAGE SOLUTIONS DBA INTERBANK"/>
    <n v="456661036.43000001"/>
    <x v="8"/>
  </r>
  <r>
    <x v="83"/>
    <s v="WELLS FARGO"/>
    <n v="20542825807.290001"/>
    <x v="0"/>
  </r>
  <r>
    <x v="83"/>
    <s v="CHASE"/>
    <n v="5710467218.3900003"/>
    <x v="1"/>
  </r>
  <r>
    <x v="83"/>
    <s v="FLAGSTAR"/>
    <n v="2844809039.77"/>
    <x v="2"/>
  </r>
  <r>
    <x v="83"/>
    <s v="QUICKEN"/>
    <n v="2695975128.2800002"/>
    <x v="9"/>
  </r>
  <r>
    <x v="83"/>
    <s v="CITI"/>
    <n v="2187065888.8899999"/>
    <x v="3"/>
  </r>
  <r>
    <x v="83"/>
    <s v="BANK OF AMERICA"/>
    <n v="1384629177.7"/>
    <x v="4"/>
  </r>
  <r>
    <x v="83"/>
    <s v="US BANK"/>
    <n v="1158437334"/>
    <x v="5"/>
  </r>
  <r>
    <x v="83"/>
    <s v="PHH"/>
    <n v="1144409990.77"/>
    <x v="6"/>
  </r>
  <r>
    <x v="83"/>
    <s v="SUNTRUST"/>
    <n v="1118076494.6500001"/>
    <x v="7"/>
  </r>
  <r>
    <x v="83"/>
    <s v="NAVY FED"/>
    <n v="990429561.15999997"/>
    <x v="8"/>
  </r>
  <r>
    <x v="84"/>
    <s v="WELLS FARGO"/>
    <n v="12662763974.040001"/>
    <x v="0"/>
  </r>
  <r>
    <x v="84"/>
    <s v="CHASE"/>
    <n v="7062009262.0699997"/>
    <x v="1"/>
  </r>
  <r>
    <x v="84"/>
    <s v="FLAGSTAR"/>
    <n v="2599950568.2399998"/>
    <x v="2"/>
  </r>
  <r>
    <x v="84"/>
    <s v="CITI"/>
    <n v="2411198355.8499999"/>
    <x v="9"/>
  </r>
  <r>
    <x v="84"/>
    <s v="QUICKEN"/>
    <n v="2088349909.77"/>
    <x v="3"/>
  </r>
  <r>
    <x v="84"/>
    <s v="BANK OF AMERICA"/>
    <n v="2025978231"/>
    <x v="4"/>
  </r>
  <r>
    <x v="84"/>
    <s v="SUNTRUST"/>
    <n v="1850167235.51"/>
    <x v="5"/>
  </r>
  <r>
    <x v="84"/>
    <s v="ALLY"/>
    <n v="1717496541.8199999"/>
    <x v="6"/>
  </r>
  <r>
    <x v="84"/>
    <s v="PHH"/>
    <n v="1361383888.96"/>
    <x v="7"/>
  </r>
  <r>
    <x v="84"/>
    <s v="US BANK"/>
    <n v="1081847850.47"/>
    <x v="8"/>
  </r>
  <r>
    <x v="85"/>
    <s v="WELLS FARGO"/>
    <n v="18046078270.810001"/>
    <x v="0"/>
  </r>
  <r>
    <x v="85"/>
    <s v="CHASE"/>
    <n v="5842620786.8999996"/>
    <x v="1"/>
  </r>
  <r>
    <x v="85"/>
    <s v="QUICKEN"/>
    <n v="3652881360.4099998"/>
    <x v="2"/>
  </r>
  <r>
    <x v="85"/>
    <s v="FLAGSTAR"/>
    <n v="3207267837.8099999"/>
    <x v="9"/>
  </r>
  <r>
    <x v="85"/>
    <s v="CITI"/>
    <n v="2024277231.29"/>
    <x v="3"/>
  </r>
  <r>
    <x v="85"/>
    <s v="ALLY"/>
    <n v="1549662752.79"/>
    <x v="4"/>
  </r>
  <r>
    <x v="85"/>
    <s v="PHH"/>
    <n v="1398096825.71"/>
    <x v="5"/>
  </r>
  <r>
    <x v="85"/>
    <s v="SUNTRUST"/>
    <n v="1319650369.6600001"/>
    <x v="6"/>
  </r>
  <r>
    <x v="85"/>
    <s v="BANK OF AMERICA"/>
    <n v="1273015336.48"/>
    <x v="7"/>
  </r>
  <r>
    <x v="85"/>
    <s v="PNC"/>
    <n v="944685677.69000006"/>
    <x v="8"/>
  </r>
  <r>
    <x v="86"/>
    <s v="WELLS FARGO"/>
    <n v="15782096596.040001"/>
    <x v="0"/>
  </r>
  <r>
    <x v="86"/>
    <s v="CHASE"/>
    <n v="8442355092.7799997"/>
    <x v="1"/>
  </r>
  <r>
    <x v="86"/>
    <s v="QUICKEN"/>
    <n v="4795732432.7799997"/>
    <x v="2"/>
  </r>
  <r>
    <x v="86"/>
    <s v="FLAGSTAR"/>
    <n v="3590695127.9499998"/>
    <x v="9"/>
  </r>
  <r>
    <x v="86"/>
    <s v="CITI"/>
    <n v="2296779153.21"/>
    <x v="3"/>
  </r>
  <r>
    <x v="86"/>
    <s v="BANK OF AMERICA"/>
    <n v="2048484161.77"/>
    <x v="4"/>
  </r>
  <r>
    <x v="86"/>
    <s v="ALLY"/>
    <n v="1685314349.4100001"/>
    <x v="5"/>
  </r>
  <r>
    <x v="86"/>
    <s v="SUNTRUST"/>
    <n v="1448609964.23"/>
    <x v="6"/>
  </r>
  <r>
    <x v="86"/>
    <s v="PHH"/>
    <n v="1337029246.04"/>
    <x v="7"/>
  </r>
  <r>
    <x v="86"/>
    <s v="PENNYMAC CORP."/>
    <n v="1094677493.75"/>
    <x v="8"/>
  </r>
  <r>
    <x v="87"/>
    <s v="WELLS FARGO"/>
    <n v="16358817450.4"/>
    <x v="0"/>
  </r>
  <r>
    <x v="87"/>
    <s v="CHASE"/>
    <n v="9641813829.6700001"/>
    <x v="1"/>
  </r>
  <r>
    <x v="87"/>
    <s v="QUICKEN"/>
    <n v="4937311483.1499996"/>
    <x v="2"/>
  </r>
  <r>
    <x v="87"/>
    <s v="CITI"/>
    <n v="3528216594.1500001"/>
    <x v="9"/>
  </r>
  <r>
    <x v="87"/>
    <s v="FLAGSTAR"/>
    <n v="3367762976.5300002"/>
    <x v="3"/>
  </r>
  <r>
    <x v="87"/>
    <s v="ALLY"/>
    <n v="2141757846.5799999"/>
    <x v="4"/>
  </r>
  <r>
    <x v="87"/>
    <s v="SUNTRUST"/>
    <n v="1694741437.22"/>
    <x v="5"/>
  </r>
  <r>
    <x v="87"/>
    <s v="PHH"/>
    <n v="1656770244.25"/>
    <x v="6"/>
  </r>
  <r>
    <x v="87"/>
    <s v="BANK OF AMERICA"/>
    <n v="1194725137.48"/>
    <x v="7"/>
  </r>
  <r>
    <x v="87"/>
    <s v="PENNYMAC CORP."/>
    <n v="1095470707.79"/>
    <x v="8"/>
  </r>
  <r>
    <x v="88"/>
    <s v="WELLS FARGO"/>
    <n v="13583725455.1"/>
    <x v="0"/>
  </r>
  <r>
    <x v="88"/>
    <s v="CHASE"/>
    <n v="4517401460.5299997"/>
    <x v="1"/>
  </r>
  <r>
    <x v="88"/>
    <s v="QUICKEN"/>
    <n v="4269923296.52"/>
    <x v="2"/>
  </r>
  <r>
    <x v="88"/>
    <s v="FLAGSTAR"/>
    <n v="3102558509.5100002"/>
    <x v="9"/>
  </r>
  <r>
    <x v="88"/>
    <s v="SUNTRUST"/>
    <n v="1993354373.29"/>
    <x v="3"/>
  </r>
  <r>
    <x v="88"/>
    <s v="BANK OF AMERICA"/>
    <n v="1975668254.21"/>
    <x v="4"/>
  </r>
  <r>
    <x v="88"/>
    <s v="PENNYMAC CORP."/>
    <n v="1757170071.4400001"/>
    <x v="5"/>
  </r>
  <r>
    <x v="88"/>
    <s v="ALLY"/>
    <n v="1671217469.95"/>
    <x v="6"/>
  </r>
  <r>
    <x v="88"/>
    <s v="PHH"/>
    <n v="1075838630.21"/>
    <x v="7"/>
  </r>
  <r>
    <x v="88"/>
    <s v="CITI"/>
    <n v="1029221418.6799999"/>
    <x v="8"/>
  </r>
  <r>
    <x v="89"/>
    <s v="WELLS FARGO"/>
    <n v="18702888793.82"/>
    <x v="0"/>
  </r>
  <r>
    <x v="89"/>
    <s v="CHASE"/>
    <n v="7664238085.7700005"/>
    <x v="1"/>
  </r>
  <r>
    <x v="89"/>
    <s v="QUICKEN"/>
    <n v="5319861378.3900003"/>
    <x v="2"/>
  </r>
  <r>
    <x v="89"/>
    <s v="FLAGSTAR"/>
    <n v="3882765467.3400002"/>
    <x v="9"/>
  </r>
  <r>
    <x v="89"/>
    <s v="CITI"/>
    <n v="3051120308"/>
    <x v="3"/>
  </r>
  <r>
    <x v="89"/>
    <s v="PENNYMAC CORP."/>
    <n v="2524129754.2800002"/>
    <x v="4"/>
  </r>
  <r>
    <x v="89"/>
    <s v="BANK OF AMERICA"/>
    <n v="2418355741.52"/>
    <x v="5"/>
  </r>
  <r>
    <x v="89"/>
    <s v="ALLY"/>
    <n v="1998429887.1300001"/>
    <x v="6"/>
  </r>
  <r>
    <x v="89"/>
    <s v="PROVIDENT FUNDING"/>
    <n v="1588213809"/>
    <x v="7"/>
  </r>
  <r>
    <x v="89"/>
    <s v="SUNTRUST"/>
    <n v="1550319650.9000001"/>
    <x v="8"/>
  </r>
  <r>
    <x v="90"/>
    <s v="WELLS FARGO"/>
    <n v="5990993955.3400002"/>
    <x v="0"/>
  </r>
  <r>
    <x v="90"/>
    <s v="CHASE"/>
    <n v="5462589667.8999996"/>
    <x v="1"/>
  </r>
  <r>
    <x v="90"/>
    <s v="QUICKEN"/>
    <n v="4866573877.1400003"/>
    <x v="2"/>
  </r>
  <r>
    <x v="90"/>
    <s v="FLAGSTAR"/>
    <n v="3912376920.6900001"/>
    <x v="9"/>
  </r>
  <r>
    <x v="90"/>
    <s v="ALLY"/>
    <n v="2424491906.04"/>
    <x v="3"/>
  </r>
  <r>
    <x v="90"/>
    <s v="PENNYMAC CORP."/>
    <n v="1613083367.98"/>
    <x v="4"/>
  </r>
  <r>
    <x v="90"/>
    <s v="BANK OF AMERICA"/>
    <n v="1304094351.97"/>
    <x v="5"/>
  </r>
  <r>
    <x v="90"/>
    <s v="US BANK"/>
    <n v="1178548513.0699999"/>
    <x v="6"/>
  </r>
  <r>
    <x v="90"/>
    <s v="CITI"/>
    <n v="1082046177.3"/>
    <x v="7"/>
  </r>
  <r>
    <x v="90"/>
    <s v="SUNTRUST"/>
    <n v="984432815.47000003"/>
    <x v="8"/>
  </r>
  <r>
    <x v="91"/>
    <s v="WELLS FARGO"/>
    <n v="12960800578.620001"/>
    <x v="0"/>
  </r>
  <r>
    <x v="91"/>
    <s v="CHASE"/>
    <n v="7322099685.6199999"/>
    <x v="1"/>
  </r>
  <r>
    <x v="91"/>
    <s v="QUICKEN"/>
    <n v="5979329449.8800001"/>
    <x v="2"/>
  </r>
  <r>
    <x v="91"/>
    <s v="FLAGSTAR"/>
    <n v="3555445910.4099998"/>
    <x v="9"/>
  </r>
  <r>
    <x v="91"/>
    <s v="ALLY"/>
    <n v="2355507267.6900001"/>
    <x v="3"/>
  </r>
  <r>
    <x v="91"/>
    <s v="PENNYMAC CORP."/>
    <n v="2198109024.29"/>
    <x v="4"/>
  </r>
  <r>
    <x v="91"/>
    <s v="BANK OF AMERICA"/>
    <n v="1907610161.7"/>
    <x v="5"/>
  </r>
  <r>
    <x v="91"/>
    <s v="CITI"/>
    <n v="1752051096.6099999"/>
    <x v="6"/>
  </r>
  <r>
    <x v="91"/>
    <s v="PHH"/>
    <n v="1602774666.5599999"/>
    <x v="7"/>
  </r>
  <r>
    <x v="91"/>
    <s v="SUNTRUST"/>
    <n v="1422874040.1400001"/>
    <x v="8"/>
  </r>
  <r>
    <x v="92"/>
    <s v="WELLS FARGO"/>
    <n v="12090154945.85"/>
    <x v="0"/>
  </r>
  <r>
    <x v="92"/>
    <s v="CHASE"/>
    <n v="7231687296.3800001"/>
    <x v="1"/>
  </r>
  <r>
    <x v="92"/>
    <s v="QUICKEN"/>
    <n v="5069266638.7200003"/>
    <x v="2"/>
  </r>
  <r>
    <x v="92"/>
    <s v="CITI"/>
    <n v="4833507966.8299999"/>
    <x v="9"/>
  </r>
  <r>
    <x v="92"/>
    <s v="FLAGSTAR"/>
    <n v="3070547359.5500002"/>
    <x v="3"/>
  </r>
  <r>
    <x v="92"/>
    <s v="BANK OF AMERICA"/>
    <n v="2029149646.1500001"/>
    <x v="4"/>
  </r>
  <r>
    <x v="92"/>
    <s v="ALLY"/>
    <n v="1932080772.45"/>
    <x v="5"/>
  </r>
  <r>
    <x v="92"/>
    <s v="SUNTRUST"/>
    <n v="1812863135.98"/>
    <x v="6"/>
  </r>
  <r>
    <x v="92"/>
    <s v="PHH"/>
    <n v="1306980096.78"/>
    <x v="7"/>
  </r>
  <r>
    <x v="92"/>
    <s v="US BANK"/>
    <n v="1245620504"/>
    <x v="8"/>
  </r>
  <r>
    <x v="93"/>
    <s v="WELLS FARGO"/>
    <n v="10298222135.870001"/>
    <x v="0"/>
  </r>
  <r>
    <x v="93"/>
    <s v="CHASE"/>
    <n v="6926091191.3800001"/>
    <x v="1"/>
  </r>
  <r>
    <x v="93"/>
    <s v="QUICKEN"/>
    <n v="4567963477.21"/>
    <x v="2"/>
  </r>
  <r>
    <x v="93"/>
    <s v="CITI"/>
    <n v="2511285341.6500001"/>
    <x v="9"/>
  </r>
  <r>
    <x v="93"/>
    <s v="BANK OF AMERICA"/>
    <n v="2307636902.73"/>
    <x v="3"/>
  </r>
  <r>
    <x v="93"/>
    <s v="FLAGSTAR"/>
    <n v="1901922494.5"/>
    <x v="4"/>
  </r>
  <r>
    <x v="93"/>
    <s v="SUNTRUST"/>
    <n v="1855493018.1600001"/>
    <x v="5"/>
  </r>
  <r>
    <x v="93"/>
    <s v="PHH"/>
    <n v="799515520.72000003"/>
    <x v="6"/>
  </r>
  <r>
    <x v="93"/>
    <s v="ALLY"/>
    <n v="716978597.38"/>
    <x v="7"/>
  </r>
  <r>
    <x v="93"/>
    <s v="PROVIDENT FUNDING"/>
    <n v="703423047"/>
    <x v="8"/>
  </r>
  <r>
    <x v="94"/>
    <s v="WELLS FARGO"/>
    <n v="10983062364.98"/>
    <x v="0"/>
  </r>
  <r>
    <x v="94"/>
    <s v="CHASE"/>
    <n v="6538495087.7299995"/>
    <x v="1"/>
  </r>
  <r>
    <x v="94"/>
    <s v="CITI"/>
    <n v="4621470486.8500004"/>
    <x v="2"/>
  </r>
  <r>
    <x v="94"/>
    <s v="QUICKEN"/>
    <n v="4125896876.8099999"/>
    <x v="9"/>
  </r>
  <r>
    <x v="94"/>
    <s v="BANK OF AMERICA"/>
    <n v="3520970482.02"/>
    <x v="3"/>
  </r>
  <r>
    <x v="94"/>
    <s v="FLAGSTAR"/>
    <n v="2866774138.8499999"/>
    <x v="4"/>
  </r>
  <r>
    <x v="94"/>
    <s v="US BANK"/>
    <n v="1599161362.23"/>
    <x v="5"/>
  </r>
  <r>
    <x v="94"/>
    <s v="PHH"/>
    <n v="1051421255.6900001"/>
    <x v="6"/>
  </r>
  <r>
    <x v="94"/>
    <s v="NATIONSTAR"/>
    <n v="1037437524.3099999"/>
    <x v="7"/>
  </r>
  <r>
    <x v="94"/>
    <s v="PROVIDENT FUNDING"/>
    <n v="1031822824"/>
    <x v="8"/>
  </r>
  <r>
    <x v="95"/>
    <s v="WELLS FARGO"/>
    <n v="16565187107.59"/>
    <x v="0"/>
  </r>
  <r>
    <x v="95"/>
    <s v="CHASE"/>
    <n v="5637410167.5500002"/>
    <x v="1"/>
  </r>
  <r>
    <x v="95"/>
    <s v="CITI"/>
    <n v="3985547277.6199999"/>
    <x v="2"/>
  </r>
  <r>
    <x v="95"/>
    <s v="QUICKEN"/>
    <n v="3459242035.96"/>
    <x v="9"/>
  </r>
  <r>
    <x v="95"/>
    <s v="BANK OF AMERICA"/>
    <n v="2175818362.3200002"/>
    <x v="3"/>
  </r>
  <r>
    <x v="95"/>
    <s v="SUNTRUST"/>
    <n v="1879426390.98"/>
    <x v="4"/>
  </r>
  <r>
    <x v="95"/>
    <s v="FLAGSTAR"/>
    <n v="1856516396.73"/>
    <x v="5"/>
  </r>
  <r>
    <x v="95"/>
    <s v="GREEN TREE SERVICING, LLC"/>
    <n v="1129016102.25"/>
    <x v="6"/>
  </r>
  <r>
    <x v="95"/>
    <s v="PHH"/>
    <n v="977753136.09000003"/>
    <x v="7"/>
  </r>
  <r>
    <x v="95"/>
    <s v="PROVIDENT FUNDING"/>
    <n v="875520179"/>
    <x v="8"/>
  </r>
  <r>
    <x v="96"/>
    <s v="WELLS FARGO"/>
    <n v="15486832649.959999"/>
    <x v="0"/>
  </r>
  <r>
    <x v="96"/>
    <s v="CHASE"/>
    <n v="4561843788.71"/>
    <x v="1"/>
  </r>
  <r>
    <x v="96"/>
    <s v="QUICKEN"/>
    <n v="4055990638.6799998"/>
    <x v="2"/>
  </r>
  <r>
    <x v="96"/>
    <s v="CITI"/>
    <n v="2681103987.0500002"/>
    <x v="9"/>
  </r>
  <r>
    <x v="96"/>
    <s v="BANK OF AMERICA"/>
    <n v="2398858109.7199998"/>
    <x v="3"/>
  </r>
  <r>
    <x v="96"/>
    <s v="FLAGSTAR"/>
    <n v="1997314246.6300001"/>
    <x v="4"/>
  </r>
  <r>
    <x v="96"/>
    <s v="GREEN TREE SERVICING, LLC"/>
    <n v="1573203721.77"/>
    <x v="5"/>
  </r>
  <r>
    <x v="96"/>
    <s v="PROVIDENT FUNDING"/>
    <n v="1169087126"/>
    <x v="6"/>
  </r>
  <r>
    <x v="96"/>
    <s v="NATIONSTAR"/>
    <n v="1000640774.4400001"/>
    <x v="7"/>
  </r>
  <r>
    <x v="96"/>
    <s v="PHH"/>
    <n v="567488798.92999995"/>
    <x v="8"/>
  </r>
  <r>
    <x v="97"/>
    <s v="WELLS FARGO"/>
    <n v="16978552578.67"/>
    <x v="0"/>
  </r>
  <r>
    <x v="97"/>
    <s v="QUICKEN"/>
    <n v="4468738110.4300003"/>
    <x v="1"/>
  </r>
  <r>
    <x v="97"/>
    <s v="CHASE"/>
    <n v="3148298719.46"/>
    <x v="2"/>
  </r>
  <r>
    <x v="97"/>
    <s v="CITI"/>
    <n v="2941250839.6100001"/>
    <x v="9"/>
  </r>
  <r>
    <x v="97"/>
    <s v="FLAGSTAR"/>
    <n v="2287568241.9699998"/>
    <x v="3"/>
  </r>
  <r>
    <x v="97"/>
    <s v="GREEN TREE SERVICING, LLC"/>
    <n v="2212331897.6900001"/>
    <x v="4"/>
  </r>
  <r>
    <x v="97"/>
    <s v="BANK OF AMERICA"/>
    <n v="2001957601.3199999"/>
    <x v="5"/>
  </r>
  <r>
    <x v="97"/>
    <s v="NATIONSTAR"/>
    <n v="1569984561.9200001"/>
    <x v="6"/>
  </r>
  <r>
    <x v="97"/>
    <s v="PENNYMAC CORP."/>
    <n v="1144305792.9000001"/>
    <x v="7"/>
  </r>
  <r>
    <x v="97"/>
    <s v="PHH"/>
    <n v="713708620.26999998"/>
    <x v="8"/>
  </r>
  <r>
    <x v="98"/>
    <s v="WELLS FARGO"/>
    <n v="16043754924.049999"/>
    <x v="0"/>
  </r>
  <r>
    <x v="98"/>
    <s v="QUICKEN"/>
    <n v="4118976924.3200002"/>
    <x v="1"/>
  </r>
  <r>
    <x v="98"/>
    <s v="NATIONSTAR"/>
    <n v="2883350418.2600002"/>
    <x v="2"/>
  </r>
  <r>
    <x v="98"/>
    <s v="CHASE"/>
    <n v="2572723252.1300001"/>
    <x v="9"/>
  </r>
  <r>
    <x v="98"/>
    <s v="CITI"/>
    <n v="2256386097.4499998"/>
    <x v="3"/>
  </r>
  <r>
    <x v="98"/>
    <s v="GREEN TREE SERVICING, LLC"/>
    <n v="2159130451.9000001"/>
    <x v="4"/>
  </r>
  <r>
    <x v="98"/>
    <s v="FLAGSTAR"/>
    <n v="1796265185.45"/>
    <x v="5"/>
  </r>
  <r>
    <x v="98"/>
    <s v="BANK OF AMERICA"/>
    <n v="1724530644.54"/>
    <x v="6"/>
  </r>
  <r>
    <x v="98"/>
    <s v="FRANKLIN AMERICAN MORTGAGE COMPANY"/>
    <n v="1299299846"/>
    <x v="7"/>
  </r>
  <r>
    <x v="98"/>
    <s v="SUNTRUST"/>
    <n v="916479356.41999996"/>
    <x v="8"/>
  </r>
  <r>
    <x v="99"/>
    <s v="WELLS FARGO"/>
    <n v="12954391824.35"/>
    <x v="0"/>
  </r>
  <r>
    <x v="99"/>
    <s v="CHASE"/>
    <n v="3270291712.54"/>
    <x v="1"/>
  </r>
  <r>
    <x v="99"/>
    <s v="CITI"/>
    <n v="2820572445.3699999"/>
    <x v="2"/>
  </r>
  <r>
    <x v="99"/>
    <s v="QUICKEN"/>
    <n v="2360176115.9099998"/>
    <x v="9"/>
  </r>
  <r>
    <x v="99"/>
    <s v="GREEN TREE SERVICING, LLC"/>
    <n v="1812325604.1099999"/>
    <x v="3"/>
  </r>
  <r>
    <x v="99"/>
    <s v="NATIONSTAR"/>
    <n v="1353122738.8900001"/>
    <x v="4"/>
  </r>
  <r>
    <x v="99"/>
    <s v="FLAGSTAR"/>
    <n v="1183299223.6300001"/>
    <x v="5"/>
  </r>
  <r>
    <x v="99"/>
    <s v="BANK OF AMERICA"/>
    <n v="1080194081.3399999"/>
    <x v="6"/>
  </r>
  <r>
    <x v="99"/>
    <s v="FRANKLIN AMERICAN MORTGAGE COMPANY"/>
    <n v="969610409"/>
    <x v="7"/>
  </r>
  <r>
    <x v="99"/>
    <s v="PHH"/>
    <n v="670531652.08000004"/>
    <x v="8"/>
  </r>
  <r>
    <x v="100"/>
    <s v="WELLS FARGO"/>
    <n v="9148941452.2000008"/>
    <x v="0"/>
  </r>
  <r>
    <x v="100"/>
    <s v="CHASE"/>
    <n v="2258522897.0300002"/>
    <x v="1"/>
  </r>
  <r>
    <x v="100"/>
    <s v="QUICKEN"/>
    <n v="1853106711.96"/>
    <x v="2"/>
  </r>
  <r>
    <x v="100"/>
    <s v="NATIONSTAR"/>
    <n v="1732002462.3699999"/>
    <x v="9"/>
  </r>
  <r>
    <x v="100"/>
    <s v="GREEN TREE SERVICING, LLC"/>
    <n v="1629776595.6800001"/>
    <x v="3"/>
  </r>
  <r>
    <x v="100"/>
    <s v="CITI"/>
    <n v="1573100292.4300001"/>
    <x v="4"/>
  </r>
  <r>
    <x v="100"/>
    <s v="FLAGSTAR"/>
    <n v="1281505531.45"/>
    <x v="5"/>
  </r>
  <r>
    <x v="100"/>
    <s v="BANK OF AMERICA"/>
    <n v="866449074.45000005"/>
    <x v="6"/>
  </r>
  <r>
    <x v="100"/>
    <s v="FRANKLIN AMERICAN MORTGAGE COMPANY"/>
    <n v="768083664"/>
    <x v="7"/>
  </r>
  <r>
    <x v="100"/>
    <s v="PHH"/>
    <n v="734950444.69000006"/>
    <x v="8"/>
  </r>
  <r>
    <x v="101"/>
    <s v="WELLS FARGO"/>
    <n v="7277980089.6000004"/>
    <x v="0"/>
  </r>
  <r>
    <x v="101"/>
    <s v="CHASE"/>
    <n v="3297359031.2800002"/>
    <x v="1"/>
  </r>
  <r>
    <x v="101"/>
    <s v="QUICKEN"/>
    <n v="1694525112.9400001"/>
    <x v="2"/>
  </r>
  <r>
    <x v="101"/>
    <s v="GREEN TREE SERVICING, LLC"/>
    <n v="1443375065.3"/>
    <x v="9"/>
  </r>
  <r>
    <x v="101"/>
    <s v="CITI"/>
    <n v="1416434682.73"/>
    <x v="3"/>
  </r>
  <r>
    <x v="101"/>
    <s v="FLAGSTAR"/>
    <n v="1390967449.5"/>
    <x v="4"/>
  </r>
  <r>
    <x v="101"/>
    <s v="ROUNDPOINT MORTGAGE SERVICING CORPORATIO"/>
    <n v="933820791.04999995"/>
    <x v="5"/>
  </r>
  <r>
    <x v="101"/>
    <s v="NATIONSTAR"/>
    <n v="888998572.20000005"/>
    <x v="6"/>
  </r>
  <r>
    <x v="101"/>
    <s v="BANK OF AMERICA"/>
    <n v="837105658.42999995"/>
    <x v="7"/>
  </r>
  <r>
    <x v="101"/>
    <s v="PHH"/>
    <n v="554951729.87"/>
    <x v="8"/>
  </r>
  <r>
    <x v="102"/>
    <s v="WELLS FARGO"/>
    <n v="6588450968.0200005"/>
    <x v="0"/>
  </r>
  <r>
    <x v="102"/>
    <s v="CHASE"/>
    <n v="2223527627.8699999"/>
    <x v="1"/>
  </r>
  <r>
    <x v="102"/>
    <s v="GREEN TREE SERVICING, LLC"/>
    <n v="1561280492.8699999"/>
    <x v="2"/>
  </r>
  <r>
    <x v="102"/>
    <s v="QUICKEN"/>
    <n v="1421676922.75"/>
    <x v="9"/>
  </r>
  <r>
    <x v="102"/>
    <s v="CITI"/>
    <n v="1134090940.3099999"/>
    <x v="3"/>
  </r>
  <r>
    <x v="102"/>
    <s v="NATIONSTAR"/>
    <n v="1105190231.8399999"/>
    <x v="4"/>
  </r>
  <r>
    <x v="102"/>
    <s v="FLAGSTAR"/>
    <n v="969676537.08000004"/>
    <x v="5"/>
  </r>
  <r>
    <x v="102"/>
    <s v="ROUNDPOINT MORTGAGE SERVICING CORPORATIO"/>
    <n v="812497002.57000005"/>
    <x v="6"/>
  </r>
  <r>
    <x v="102"/>
    <s v="BEECH STREET CAPITAL, LLC"/>
    <n v="682173000"/>
    <x v="7"/>
  </r>
  <r>
    <x v="102"/>
    <s v="BANK OF AMERICA"/>
    <n v="650372970.05999994"/>
    <x v="8"/>
  </r>
  <r>
    <x v="103"/>
    <s v="WELLS FARGO"/>
    <n v="3105702600.8000002"/>
    <x v="0"/>
  </r>
  <r>
    <x v="103"/>
    <s v="QUICKEN"/>
    <n v="1760019879.1099999"/>
    <x v="1"/>
  </r>
  <r>
    <x v="103"/>
    <s v="CHASE"/>
    <n v="1699856288.3499999"/>
    <x v="2"/>
  </r>
  <r>
    <x v="103"/>
    <s v="GREEN TREE SERVICING, LLC"/>
    <n v="1342307631.3399999"/>
    <x v="9"/>
  </r>
  <r>
    <x v="103"/>
    <s v="NATIONSTAR"/>
    <n v="1059610720.12"/>
    <x v="3"/>
  </r>
  <r>
    <x v="103"/>
    <s v="CITI"/>
    <n v="774649500.94000006"/>
    <x v="4"/>
  </r>
  <r>
    <x v="103"/>
    <s v="FLAGSTAR"/>
    <n v="609932112.33000004"/>
    <x v="5"/>
  </r>
  <r>
    <x v="103"/>
    <s v="BANK OF AMERICA"/>
    <n v="439011145.83999997"/>
    <x v="6"/>
  </r>
  <r>
    <x v="103"/>
    <s v="PNC"/>
    <n v="386720717.35000002"/>
    <x v="7"/>
  </r>
  <r>
    <x v="103"/>
    <s v="FREEDOM"/>
    <n v="383298577.99000001"/>
    <x v="8"/>
  </r>
  <r>
    <x v="104"/>
    <s v="WELLS FARGO"/>
    <n v="4228977520.5"/>
    <x v="0"/>
  </r>
  <r>
    <x v="104"/>
    <s v="CHASE"/>
    <n v="2141375023.72"/>
    <x v="1"/>
  </r>
  <r>
    <x v="104"/>
    <s v="QUICKEN"/>
    <n v="1922831147.77"/>
    <x v="2"/>
  </r>
  <r>
    <x v="104"/>
    <s v="NATIONSTAR"/>
    <n v="1297808997.26"/>
    <x v="9"/>
  </r>
  <r>
    <x v="104"/>
    <s v="GREEN TREE SERVICING, LLC"/>
    <n v="1271985898.8900001"/>
    <x v="3"/>
  </r>
  <r>
    <x v="104"/>
    <s v="CITI"/>
    <n v="697193636.46000004"/>
    <x v="4"/>
  </r>
  <r>
    <x v="104"/>
    <s v="FLAGSTAR"/>
    <n v="627431948.79999995"/>
    <x v="5"/>
  </r>
  <r>
    <x v="104"/>
    <s v="BANK OF AMERICA"/>
    <n v="471783633.49000001"/>
    <x v="6"/>
  </r>
  <r>
    <x v="104"/>
    <s v="FREEDOM"/>
    <n v="410110073.08999997"/>
    <x v="7"/>
  </r>
  <r>
    <x v="104"/>
    <s v="ROUNDPOINT MORTGAGE SERVICING CORPORATIO"/>
    <n v="377721494.83999997"/>
    <x v="8"/>
  </r>
  <r>
    <x v="105"/>
    <s v="WELLS FARGO"/>
    <n v="2771745679.8800001"/>
    <x v="0"/>
  </r>
  <r>
    <x v="105"/>
    <s v="QUICKEN"/>
    <n v="1574474809.8399999"/>
    <x v="1"/>
  </r>
  <r>
    <x v="105"/>
    <s v="CHASE"/>
    <n v="1404683501.8"/>
    <x v="2"/>
  </r>
  <r>
    <x v="105"/>
    <s v="NATIONSTAR"/>
    <n v="940764804.61000001"/>
    <x v="9"/>
  </r>
  <r>
    <x v="105"/>
    <s v="GREEN TREE SERVICING, LLC"/>
    <n v="910319667.28999996"/>
    <x v="3"/>
  </r>
  <r>
    <x v="105"/>
    <s v="STEARNS LENDING, INC."/>
    <n v="564630562.90999997"/>
    <x v="4"/>
  </r>
  <r>
    <x v="105"/>
    <s v="FLAGSTAR"/>
    <n v="536183752.19"/>
    <x v="5"/>
  </r>
  <r>
    <x v="105"/>
    <s v="CITI"/>
    <n v="524009255.14999998"/>
    <x v="6"/>
  </r>
  <r>
    <x v="105"/>
    <s v="FREEDOM"/>
    <n v="319855477.95999998"/>
    <x v="7"/>
  </r>
  <r>
    <x v="105"/>
    <s v="PENNYMAC CORP."/>
    <n v="313442692.82999998"/>
    <x v="8"/>
  </r>
  <r>
    <x v="106"/>
    <s v="WELLS FARGO"/>
    <n v="3281937556.02"/>
    <x v="0"/>
  </r>
  <r>
    <x v="106"/>
    <s v="CHASE"/>
    <n v="2423937054.6999998"/>
    <x v="1"/>
  </r>
  <r>
    <x v="106"/>
    <s v="QUICKEN"/>
    <n v="1578860937.1900001"/>
    <x v="2"/>
  </r>
  <r>
    <x v="106"/>
    <s v="GREEN TREE SERVICING, LLC"/>
    <n v="870248563.14999998"/>
    <x v="9"/>
  </r>
  <r>
    <x v="106"/>
    <s v="NATIONSTAR"/>
    <n v="862589348.16999996"/>
    <x v="3"/>
  </r>
  <r>
    <x v="106"/>
    <s v="FLAGSTAR"/>
    <n v="837007926.10000002"/>
    <x v="4"/>
  </r>
  <r>
    <x v="106"/>
    <s v="STEARNS LENDING, INC."/>
    <n v="732016079.92999995"/>
    <x v="5"/>
  </r>
  <r>
    <x v="106"/>
    <s v="CITI"/>
    <n v="632588474.88999999"/>
    <x v="6"/>
  </r>
  <r>
    <x v="106"/>
    <s v="ROUNDPOINT MORTGAGE SERVICING CORPORATIO"/>
    <n v="587267554.23000002"/>
    <x v="7"/>
  </r>
  <r>
    <x v="106"/>
    <s v="FREEDOM"/>
    <n v="469850026.73000002"/>
    <x v="8"/>
  </r>
  <r>
    <x v="107"/>
    <s v="WELLS FARGO"/>
    <n v="3701376306.8000002"/>
    <x v="0"/>
  </r>
  <r>
    <x v="107"/>
    <s v="QUICKEN"/>
    <n v="1528205247.9400001"/>
    <x v="1"/>
  </r>
  <r>
    <x v="107"/>
    <s v="GREEN TREE SERVICING, LLC"/>
    <n v="901247559.58000004"/>
    <x v="2"/>
  </r>
  <r>
    <x v="107"/>
    <s v="CITI"/>
    <n v="697483806.19000006"/>
    <x v="9"/>
  </r>
  <r>
    <x v="107"/>
    <s v="FLAGSTAR"/>
    <n v="683642277.61000001"/>
    <x v="3"/>
  </r>
  <r>
    <x v="107"/>
    <s v="CHASE"/>
    <n v="678517253.62"/>
    <x v="4"/>
  </r>
  <r>
    <x v="107"/>
    <s v="ROUNDPOINT MORTGAGE SERVICING CORPORATIO"/>
    <n v="651405516.88999999"/>
    <x v="5"/>
  </r>
  <r>
    <x v="107"/>
    <s v="STEARNS LENDING, INC."/>
    <n v="586473141.58000004"/>
    <x v="6"/>
  </r>
  <r>
    <x v="107"/>
    <s v="NATIONSTAR"/>
    <n v="585060774.85000002"/>
    <x v="7"/>
  </r>
  <r>
    <x v="107"/>
    <s v="FREEDOM"/>
    <n v="527369639.56999999"/>
    <x v="8"/>
  </r>
  <r>
    <x v="108"/>
    <s v="WELLS FARGO"/>
    <n v="4119664079.48"/>
    <x v="0"/>
  </r>
  <r>
    <x v="108"/>
    <s v="QUICKEN"/>
    <n v="1822050222.5"/>
    <x v="1"/>
  </r>
  <r>
    <x v="108"/>
    <s v="CHASE"/>
    <n v="1598605020.27"/>
    <x v="2"/>
  </r>
  <r>
    <x v="108"/>
    <s v="GREEN TREE SERVICING, LLC"/>
    <n v="1290844061.5799999"/>
    <x v="9"/>
  </r>
  <r>
    <x v="108"/>
    <s v="FLAGSTAR"/>
    <n v="867253770.96000004"/>
    <x v="3"/>
  </r>
  <r>
    <x v="108"/>
    <s v="NATIONSTAR"/>
    <n v="774995345.41999996"/>
    <x v="4"/>
  </r>
  <r>
    <x v="108"/>
    <s v="STEARNS LENDING, INC."/>
    <n v="721574813.37"/>
    <x v="5"/>
  </r>
  <r>
    <x v="108"/>
    <s v="CITI"/>
    <n v="630908308.03999996"/>
    <x v="6"/>
  </r>
  <r>
    <x v="108"/>
    <s v="ROUNDPOINT MORTGAGE SERVICING CORPORATIO"/>
    <n v="624925467.57000005"/>
    <x v="7"/>
  </r>
  <r>
    <x v="108"/>
    <s v="FREEDOM"/>
    <n v="597894157.63999999"/>
    <x v="8"/>
  </r>
  <r>
    <x v="109"/>
    <s v="WELLS FARGO"/>
    <n v="4404846709.1300001"/>
    <x v="0"/>
  </r>
  <r>
    <x v="109"/>
    <s v="QUICKEN"/>
    <n v="2307113272.52"/>
    <x v="1"/>
  </r>
  <r>
    <x v="109"/>
    <s v="GREEN TREE SERVICING, LLC"/>
    <n v="1448787273.48"/>
    <x v="2"/>
  </r>
  <r>
    <x v="109"/>
    <s v="CHASE"/>
    <n v="1266367352.4300001"/>
    <x v="9"/>
  </r>
  <r>
    <x v="109"/>
    <s v="STEARNS LENDING, INC."/>
    <n v="938242250.29999995"/>
    <x v="3"/>
  </r>
  <r>
    <x v="109"/>
    <s v="NATIONSTAR"/>
    <n v="826115611.47000003"/>
    <x v="4"/>
  </r>
  <r>
    <x v="109"/>
    <s v="FREEDOM"/>
    <n v="825523368.76999998"/>
    <x v="5"/>
  </r>
  <r>
    <x v="109"/>
    <s v="SUNTRUST"/>
    <n v="768797131.27999997"/>
    <x v="6"/>
  </r>
  <r>
    <x v="109"/>
    <s v="FLAGSTAR"/>
    <n v="726777824.34000003"/>
    <x v="7"/>
  </r>
  <r>
    <x v="109"/>
    <s v="PINGORA LOAN SERVICING, INC."/>
    <n v="667872707.69000006"/>
    <x v="8"/>
  </r>
  <r>
    <x v="110"/>
    <s v="WELLS FARGO"/>
    <n v="4351012772.2799997"/>
    <x v="0"/>
  </r>
  <r>
    <x v="110"/>
    <s v="QUICKEN"/>
    <n v="2194803673.75"/>
    <x v="1"/>
  </r>
  <r>
    <x v="110"/>
    <s v="GREEN TREE SERVICING, LLC"/>
    <n v="1540916705.1800001"/>
    <x v="2"/>
  </r>
  <r>
    <x v="110"/>
    <s v="CHASE"/>
    <n v="1176366465.74"/>
    <x v="9"/>
  </r>
  <r>
    <x v="110"/>
    <s v="NATIONSTAR"/>
    <n v="922664270"/>
    <x v="3"/>
  </r>
  <r>
    <x v="110"/>
    <s v="FLAGSTAR"/>
    <n v="787559163.98000002"/>
    <x v="4"/>
  </r>
  <r>
    <x v="110"/>
    <s v="SUNTRUST"/>
    <n v="746652178.22000003"/>
    <x v="5"/>
  </r>
  <r>
    <x v="110"/>
    <s v="STEARNS LENDING, INC."/>
    <n v="696445840.41999996"/>
    <x v="6"/>
  </r>
  <r>
    <x v="110"/>
    <s v="ROUNDPOINT MORTGAGE SERVICING CORPORATIO"/>
    <n v="689637671.97000003"/>
    <x v="7"/>
  </r>
  <r>
    <x v="110"/>
    <s v="PINGORA LOAN SERVICING, INC."/>
    <n v="685239103.03999996"/>
    <x v="8"/>
  </r>
  <r>
    <x v="111"/>
    <s v="WELLS FARGO"/>
    <n v="4282578991.9000001"/>
    <x v="0"/>
  </r>
  <r>
    <x v="111"/>
    <s v="BANK OF AMERICA"/>
    <n v="3595254259.9400001"/>
    <x v="1"/>
  </r>
  <r>
    <x v="111"/>
    <s v="SUNTRUST"/>
    <n v="2814510250.8400002"/>
    <x v="2"/>
  </r>
  <r>
    <x v="111"/>
    <s v="QUICKEN"/>
    <n v="2398305642.0999999"/>
    <x v="9"/>
  </r>
  <r>
    <x v="111"/>
    <s v="CHASE"/>
    <n v="2100477876"/>
    <x v="3"/>
  </r>
  <r>
    <x v="111"/>
    <s v="GREEN TREE SERVICING, LLC"/>
    <n v="1540397265.4100001"/>
    <x v="4"/>
  </r>
  <r>
    <x v="111"/>
    <s v="NATIONSTAR"/>
    <n v="1153583979.72"/>
    <x v="5"/>
  </r>
  <r>
    <x v="111"/>
    <s v="PRUDENTIAL MULTIFAMILY MORTGAGE INC."/>
    <n v="973320000"/>
    <x v="6"/>
  </r>
  <r>
    <x v="111"/>
    <s v="FLAGSTAR"/>
    <n v="874596962.26999998"/>
    <x v="7"/>
  </r>
  <r>
    <x v="111"/>
    <s v="ROUNDPOINT MORTGAGE SERVICING CORPORATIO"/>
    <n v="685504145.92999995"/>
    <x v="8"/>
  </r>
  <r>
    <x v="112"/>
    <s v="WELLS FARGO"/>
    <n v="4328284495.8800001"/>
    <x v="0"/>
  </r>
  <r>
    <x v="112"/>
    <s v="CHASE"/>
    <n v="2885476838.1799998"/>
    <x v="1"/>
  </r>
  <r>
    <x v="112"/>
    <s v="QUICKEN"/>
    <n v="2043426912.0999999"/>
    <x v="2"/>
  </r>
  <r>
    <x v="112"/>
    <s v="GREEN TREE SERVICING, LLC"/>
    <n v="1584140311.48"/>
    <x v="9"/>
  </r>
  <r>
    <x v="112"/>
    <s v="ROUNDPOINT MORTGAGE SERVICING CORPORATIO"/>
    <n v="1181205153.1800001"/>
    <x v="3"/>
  </r>
  <r>
    <x v="112"/>
    <s v="PINGORA LOAN SERVICING, INC."/>
    <n v="1076952006.8"/>
    <x v="4"/>
  </r>
  <r>
    <x v="112"/>
    <s v="NATIONSTAR"/>
    <n v="978700583.25"/>
    <x v="5"/>
  </r>
  <r>
    <x v="112"/>
    <s v="SUNTRUST"/>
    <n v="915816431.82000005"/>
    <x v="6"/>
  </r>
  <r>
    <x v="112"/>
    <s v="FLAGSTAR"/>
    <n v="880893025.72000003"/>
    <x v="7"/>
  </r>
  <r>
    <x v="112"/>
    <s v="FREEDOM"/>
    <n v="716394907.08000004"/>
    <x v="8"/>
  </r>
  <r>
    <x v="113"/>
    <s v="BANK OF AMERICA"/>
    <n v="4110188403.46"/>
    <x v="0"/>
  </r>
  <r>
    <x v="113"/>
    <s v="WELLS FARGO"/>
    <n v="3849600798.1199999"/>
    <x v="1"/>
  </r>
  <r>
    <x v="113"/>
    <s v="CHASE"/>
    <n v="3015072775.0799999"/>
    <x v="2"/>
  </r>
  <r>
    <x v="113"/>
    <s v="QUICKEN"/>
    <n v="2775970767.79"/>
    <x v="9"/>
  </r>
  <r>
    <x v="113"/>
    <s v="GREEN TREE SERVICING, LLC"/>
    <n v="1393087502.71"/>
    <x v="3"/>
  </r>
  <r>
    <x v="113"/>
    <s v="ROUNDPOINT MORTGAGE SERVICING CORPORATIO"/>
    <n v="998050265.50999999"/>
    <x v="4"/>
  </r>
  <r>
    <x v="113"/>
    <s v="NATIONSTAR"/>
    <n v="810311187.20000005"/>
    <x v="5"/>
  </r>
  <r>
    <x v="113"/>
    <s v="SUNTRUST"/>
    <n v="773265401.87"/>
    <x v="6"/>
  </r>
  <r>
    <x v="113"/>
    <s v="FLAGSTAR"/>
    <n v="718640760.32000005"/>
    <x v="7"/>
  </r>
  <r>
    <x v="113"/>
    <s v="CITI"/>
    <n v="606652063.09000003"/>
    <x v="8"/>
  </r>
  <r>
    <x v="114"/>
    <s v="WELLS FARGO"/>
    <n v="3928850698.1300001"/>
    <x v="0"/>
  </r>
  <r>
    <x v="114"/>
    <s v="CITI"/>
    <n v="2913297453.96"/>
    <x v="1"/>
  </r>
  <r>
    <x v="114"/>
    <s v="QUICKEN"/>
    <n v="2066146511.47"/>
    <x v="2"/>
  </r>
  <r>
    <x v="114"/>
    <s v="ROUNDPOINT MORTGAGE SERVICING CORPORATIO"/>
    <n v="1879715467.6099999"/>
    <x v="9"/>
  </r>
  <r>
    <x v="114"/>
    <s v="PINGORA LOAN SERVICING, INC."/>
    <n v="1404476774.0999999"/>
    <x v="3"/>
  </r>
  <r>
    <x v="114"/>
    <s v="FLAGSTAR"/>
    <n v="1117301751.3599999"/>
    <x v="4"/>
  </r>
  <r>
    <x v="114"/>
    <s v="GREEN TREE SERVICING, LLC"/>
    <n v="1076041614.8099999"/>
    <x v="5"/>
  </r>
  <r>
    <x v="114"/>
    <s v="CHASE"/>
    <n v="960946838.37"/>
    <x v="6"/>
  </r>
  <r>
    <x v="114"/>
    <s v="NATIONSTAR"/>
    <n v="956205375.35000002"/>
    <x v="7"/>
  </r>
  <r>
    <x v="114"/>
    <s v="PNC"/>
    <n v="666254502"/>
    <x v="8"/>
  </r>
  <r>
    <x v="115"/>
    <s v="WELLS FARGO"/>
    <n v="5489190091.1700001"/>
    <x v="0"/>
  </r>
  <r>
    <x v="115"/>
    <s v="QUICKEN"/>
    <n v="3191572944.1500001"/>
    <x v="1"/>
  </r>
  <r>
    <x v="115"/>
    <s v="CHASE"/>
    <n v="1859953180.3399999"/>
    <x v="2"/>
  </r>
  <r>
    <x v="115"/>
    <s v="ROUNDPOINT MORTGAGE SERVICING CORPORATIO"/>
    <n v="1575481438.27"/>
    <x v="9"/>
  </r>
  <r>
    <x v="115"/>
    <s v="GREEN TREE SERVICING, LLC"/>
    <n v="1239435764.55"/>
    <x v="3"/>
  </r>
  <r>
    <x v="115"/>
    <s v="FLAGSTAR"/>
    <n v="908465632.36000001"/>
    <x v="4"/>
  </r>
  <r>
    <x v="115"/>
    <s v="PINGORA LOAN SERVICING, INC."/>
    <n v="820018959.46000004"/>
    <x v="5"/>
  </r>
  <r>
    <x v="115"/>
    <s v="SUNTRUST"/>
    <n v="818350088.14999998"/>
    <x v="6"/>
  </r>
  <r>
    <x v="115"/>
    <s v="NATIONSTAR"/>
    <n v="727299851.34000003"/>
    <x v="7"/>
  </r>
  <r>
    <x v="115"/>
    <s v="CITI"/>
    <n v="590251975.22000003"/>
    <x v="8"/>
  </r>
  <r>
    <x v="116"/>
    <s v="WELLS FARGO"/>
    <n v="5063985040.1199999"/>
    <x v="0"/>
  </r>
  <r>
    <x v="116"/>
    <s v="QUICKEN"/>
    <n v="2391607148.8299999"/>
    <x v="1"/>
  </r>
  <r>
    <x v="116"/>
    <s v="CHASE"/>
    <n v="1754464295.02"/>
    <x v="2"/>
  </r>
  <r>
    <x v="116"/>
    <s v="ROUNDPOINT MORTGAGE SERVICING CORPORATIO"/>
    <n v="1363400170.6300001"/>
    <x v="9"/>
  </r>
  <r>
    <x v="116"/>
    <s v="GREEN TREE SERVICING, LLC"/>
    <n v="1098070187.5599999"/>
    <x v="3"/>
  </r>
  <r>
    <x v="116"/>
    <s v="PINGORA LOAN SERVICING, INC."/>
    <n v="986818665.65999997"/>
    <x v="4"/>
  </r>
  <r>
    <x v="116"/>
    <s v="FLAGSTAR"/>
    <n v="972342136.94000006"/>
    <x v="5"/>
  </r>
  <r>
    <x v="116"/>
    <s v="NATIONSTAR"/>
    <n v="917470993.57000005"/>
    <x v="6"/>
  </r>
  <r>
    <x v="116"/>
    <s v="SUNTRUST"/>
    <n v="842065425.11000001"/>
    <x v="7"/>
  </r>
  <r>
    <x v="116"/>
    <s v="FREEDOM"/>
    <n v="625784148.74000001"/>
    <x v="8"/>
  </r>
  <r>
    <x v="117"/>
    <s v="WELLS FARGO"/>
    <n v="4009024386"/>
    <x v="0"/>
  </r>
  <r>
    <x v="117"/>
    <s v="QUICKEN"/>
    <n v="2642975820"/>
    <x v="1"/>
  </r>
  <r>
    <x v="117"/>
    <s v="GREEN TREE SERVICING, LLC"/>
    <n v="1133721835.6300001"/>
    <x v="2"/>
  </r>
  <r>
    <x v="117"/>
    <s v="FLAGSTAR"/>
    <n v="550451758"/>
    <x v="9"/>
  </r>
  <r>
    <x v="117"/>
    <s v="CHASE"/>
    <n v="508288538.50999999"/>
    <x v="3"/>
  </r>
  <r>
    <x v="117"/>
    <s v="FREEDOM"/>
    <n v="497809765"/>
    <x v="4"/>
  </r>
  <r>
    <x v="117"/>
    <s v="ROUNDPOINT MORTGAGE SERVICING CORPORATIO"/>
    <n v="474646155.38999999"/>
    <x v="5"/>
  </r>
  <r>
    <x v="117"/>
    <s v="CITI"/>
    <n v="448907763"/>
    <x v="6"/>
  </r>
  <r>
    <x v="117"/>
    <s v="PINGORA LOAN SERVICING, INC."/>
    <n v="441678989.61000001"/>
    <x v="7"/>
  </r>
  <r>
    <x v="117"/>
    <s v="FRANKLIN AMERICAN MORTGAGE COMPANY"/>
    <n v="39556659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O3:P122" firstHeaderRow="1" firstDataRow="1" firstDataCol="1" rowPageCount="1" colPageCount="1"/>
  <pivotFields count="4">
    <pivotField axis="axisRow" numFmtId="14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showAll="0"/>
    <pivotField dataField="1" showAll="0"/>
    <pivotField axis="axisPage" showAll="0">
      <items count="11">
        <item x="0"/>
        <item x="1"/>
        <item x="2"/>
        <item x="9"/>
        <item x="3"/>
        <item x="4"/>
        <item x="5"/>
        <item x="6"/>
        <item x="7"/>
        <item x="8"/>
        <item t="default"/>
      </items>
    </pivotField>
  </pivotFields>
  <rowFields count="1">
    <field x="0"/>
  </rowFields>
  <rowItems count="1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 t="grand">
      <x/>
    </i>
  </rowItems>
  <colItems count="1">
    <i/>
  </colItems>
  <pageFields count="1">
    <pageField fld="3" item="0" hier="-1"/>
  </pageFields>
  <dataFields count="1">
    <dataField name="Sum of TotalBalance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K3:L122" firstHeaderRow="1" firstDataRow="1" firstDataCol="1" rowPageCount="1" colPageCount="1"/>
  <pivotFields count="4">
    <pivotField axis="axisRow" numFmtId="14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showAll="0"/>
    <pivotField dataField="1" showAll="0"/>
    <pivotField axis="axisPage" multipleItemSelectionAllowed="1" showAll="0">
      <items count="11">
        <item x="0"/>
        <item x="1"/>
        <item x="2"/>
        <item x="9"/>
        <item x="3"/>
        <item h="1" x="4"/>
        <item h="1" x="5"/>
        <item h="1" x="6"/>
        <item h="1" x="7"/>
        <item h="1" x="8"/>
        <item t="default"/>
      </items>
    </pivotField>
  </pivotFields>
  <rowFields count="1">
    <field x="0"/>
  </rowFields>
  <rowItems count="1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 t="grand">
      <x/>
    </i>
  </rowItems>
  <colItems count="1">
    <i/>
  </colItems>
  <pageFields count="1">
    <pageField fld="3" hier="-1"/>
  </pageFields>
  <dataFields count="1">
    <dataField name="Sum of TotalBalance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G3:H122" firstHeaderRow="1" firstDataRow="1" firstDataCol="1"/>
  <pivotFields count="4">
    <pivotField axis="axisRow" numFmtId="14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showAll="0"/>
    <pivotField dataField="1" showAll="0"/>
    <pivotField showAll="0"/>
  </pivotFields>
  <rowFields count="1">
    <field x="0"/>
  </rowFields>
  <rowItems count="1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 t="grand">
      <x/>
    </i>
  </rowItems>
  <colItems count="1">
    <i/>
  </colItems>
  <dataFields count="1">
    <dataField name="Sum of TotalBalance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temp_1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_8" connectionId="5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_7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emp_6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Relationship Id="rId4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02"/>
  <sheetViews>
    <sheetView tabSelected="1" workbookViewId="0">
      <selection activeCell="B28" sqref="B28"/>
    </sheetView>
  </sheetViews>
  <sheetFormatPr defaultRowHeight="15" x14ac:dyDescent="0.25"/>
  <cols>
    <col min="2" max="2" width="16.28515625" bestFit="1" customWidth="1"/>
    <col min="3" max="3" width="14.7109375" customWidth="1"/>
    <col min="4" max="4" width="16.85546875" style="6" customWidth="1"/>
    <col min="5" max="9" width="16.85546875" customWidth="1"/>
    <col min="11" max="11" width="9.7109375" bestFit="1" customWidth="1"/>
  </cols>
  <sheetData>
    <row r="3" spans="3:16" x14ac:dyDescent="0.25">
      <c r="D3" s="9" t="s">
        <v>85</v>
      </c>
      <c r="E3" s="10" t="s">
        <v>90</v>
      </c>
      <c r="F3" s="10" t="s">
        <v>91</v>
      </c>
      <c r="G3" s="10" t="s">
        <v>92</v>
      </c>
      <c r="H3" s="10" t="s">
        <v>93</v>
      </c>
      <c r="I3" s="10" t="s">
        <v>94</v>
      </c>
      <c r="J3" s="10"/>
      <c r="K3" s="10"/>
      <c r="L3" s="10" t="s">
        <v>90</v>
      </c>
      <c r="M3" s="10" t="s">
        <v>91</v>
      </c>
      <c r="N3" s="10" t="s">
        <v>92</v>
      </c>
      <c r="O3" s="10" t="s">
        <v>93</v>
      </c>
      <c r="P3" s="10" t="s">
        <v>94</v>
      </c>
    </row>
    <row r="4" spans="3:16" x14ac:dyDescent="0.25">
      <c r="C4" s="1">
        <f>Pivot!C4</f>
        <v>39083</v>
      </c>
      <c r="D4" s="8">
        <f>VLOOKUP(C4,Input!J$4:$K$102,2,0)</f>
        <v>47181482650.029999</v>
      </c>
      <c r="E4" s="8">
        <f>VLOOKUP(C4,Pivot!G22:H141,2,0)</f>
        <v>30025183870.150002</v>
      </c>
      <c r="F4" s="8">
        <f>VLOOKUP(C4,Pivot!K22:L141,2,0)</f>
        <v>24746998505.490002</v>
      </c>
      <c r="G4" s="8">
        <f>VLOOKUP(C4,Pivot!O22:P141,2,0)</f>
        <v>9008075393</v>
      </c>
      <c r="H4" s="8">
        <f>VLOOKUP(C4,Input!$N$3:$O$102,2,0)</f>
        <v>1805491105.6700001</v>
      </c>
      <c r="I4" s="8">
        <f>VLOOKUP(C4,Input!temp_8,2,0)</f>
        <v>929023441.75</v>
      </c>
      <c r="K4" s="1">
        <f>Pivot!C4</f>
        <v>39083</v>
      </c>
      <c r="L4" s="7">
        <f>E4/$D4</f>
        <v>0.63637643803741106</v>
      </c>
      <c r="M4" s="7">
        <f>F4/$D4</f>
        <v>0.5245065885074357</v>
      </c>
      <c r="N4" s="7">
        <f>G4/$D4</f>
        <v>0.19092395760043526</v>
      </c>
      <c r="O4" s="7">
        <f>H4/$D4</f>
        <v>3.8266942967059389E-2</v>
      </c>
      <c r="P4" s="7">
        <f t="shared" ref="O4:P19" si="0">I4/$D4</f>
        <v>1.9690424920324315E-2</v>
      </c>
    </row>
    <row r="5" spans="3:16" x14ac:dyDescent="0.25">
      <c r="C5" s="1">
        <f>Pivot!C5</f>
        <v>39114</v>
      </c>
      <c r="D5" s="8">
        <f>VLOOKUP(C5,Input!J$4:$K$102,2,0)</f>
        <v>50773443458.550003</v>
      </c>
      <c r="E5" s="8">
        <f>VLOOKUP(C5,Pivot!G23:H142,2,0)</f>
        <v>30108179192.459999</v>
      </c>
      <c r="F5" s="8">
        <f>VLOOKUP(C5,Pivot!K23:L142,2,0)</f>
        <v>23003134874.119999</v>
      </c>
      <c r="G5" s="8">
        <f>VLOOKUP(C5,Pivot!O23:P142,2,0)</f>
        <v>8625817045</v>
      </c>
      <c r="H5" s="8">
        <f>VLOOKUP(C5,Input!$N$3:$O$102,2,0)</f>
        <v>1679990333.1500001</v>
      </c>
      <c r="I5" s="8">
        <f>VLOOKUP(C5,Input!temp_8,2,0)</f>
        <v>668892203</v>
      </c>
      <c r="K5" s="1">
        <f>Pivot!C5</f>
        <v>39114</v>
      </c>
      <c r="L5" s="7">
        <f>E5/$D5</f>
        <v>0.59299068846964187</v>
      </c>
      <c r="M5" s="7">
        <f>F5/$D5</f>
        <v>0.45305445735424865</v>
      </c>
      <c r="N5" s="7">
        <f>G5/$D5</f>
        <v>0.16988836008418204</v>
      </c>
      <c r="O5" s="7">
        <f t="shared" si="0"/>
        <v>3.3087973135434399E-2</v>
      </c>
      <c r="P5" s="7">
        <f t="shared" si="0"/>
        <v>1.3174056306542703E-2</v>
      </c>
    </row>
    <row r="6" spans="3:16" x14ac:dyDescent="0.25">
      <c r="C6" s="1">
        <f>Pivot!C6</f>
        <v>39142</v>
      </c>
      <c r="D6" s="8">
        <f>VLOOKUP(C6,Input!J$4:$K$102,2,0)</f>
        <v>46084430789.25</v>
      </c>
      <c r="E6" s="8">
        <f>VLOOKUP(C6,Pivot!G24:H143,2,0)</f>
        <v>28183297166.309998</v>
      </c>
      <c r="F6" s="8">
        <f>VLOOKUP(C6,Pivot!K24:L143,2,0)</f>
        <v>21409133997.16</v>
      </c>
      <c r="G6" s="8">
        <f>VLOOKUP(C6,Pivot!O24:P143,2,0)</f>
        <v>7241357422</v>
      </c>
      <c r="H6" s="8">
        <f>VLOOKUP(C6,Input!$N$3:$O$102,2,0)</f>
        <v>1672712786.0699999</v>
      </c>
      <c r="I6" s="8">
        <f>VLOOKUP(C6,Input!temp_8,2,0)</f>
        <v>754011170.92999995</v>
      </c>
      <c r="K6" s="1">
        <f>Pivot!C6</f>
        <v>39142</v>
      </c>
      <c r="L6" s="7">
        <f>E6/$D6</f>
        <v>0.61155788806844169</v>
      </c>
      <c r="M6" s="7">
        <f>F6/$D6</f>
        <v>0.46456327289940302</v>
      </c>
      <c r="N6" s="7">
        <f>G6/$D6</f>
        <v>0.15713240454494609</v>
      </c>
      <c r="O6" s="7">
        <f t="shared" si="0"/>
        <v>3.6296700586788834E-2</v>
      </c>
      <c r="P6" s="7">
        <f t="shared" si="0"/>
        <v>1.6361516417077809E-2</v>
      </c>
    </row>
    <row r="7" spans="3:16" x14ac:dyDescent="0.25">
      <c r="C7" s="1">
        <f>Pivot!C7</f>
        <v>39173</v>
      </c>
      <c r="D7" s="8">
        <f>VLOOKUP(C7,Input!J$4:$K$102,2,0)</f>
        <v>50957711699.800003</v>
      </c>
      <c r="E7" s="8">
        <f>VLOOKUP(C7,Pivot!G25:H144,2,0)</f>
        <v>31533331514.700001</v>
      </c>
      <c r="F7" s="8">
        <f>VLOOKUP(C7,Pivot!K25:L144,2,0)</f>
        <v>25337640295.240002</v>
      </c>
      <c r="G7" s="8">
        <f>VLOOKUP(C7,Pivot!O25:P144,2,0)</f>
        <v>8435795278.75</v>
      </c>
      <c r="H7" s="8">
        <f>VLOOKUP(C7,Input!$N$3:$O$102,2,0)</f>
        <v>1582934759.3800001</v>
      </c>
      <c r="I7" s="8">
        <f>VLOOKUP(C7,Input!temp_8,2,0)</f>
        <v>684270187.71000004</v>
      </c>
      <c r="K7" s="1">
        <f>Pivot!C7</f>
        <v>39173</v>
      </c>
      <c r="L7" s="7">
        <f>E7/$D7</f>
        <v>0.61881372736020568</v>
      </c>
      <c r="M7" s="7">
        <f>F7/$D7</f>
        <v>0.49722876970041507</v>
      </c>
      <c r="N7" s="7">
        <f>G7/$D7</f>
        <v>0.16554501757156234</v>
      </c>
      <c r="O7" s="7">
        <f t="shared" si="0"/>
        <v>3.1063693925373278E-2</v>
      </c>
      <c r="P7" s="7">
        <f t="shared" si="0"/>
        <v>1.3428196928094901E-2</v>
      </c>
    </row>
    <row r="8" spans="3:16" x14ac:dyDescent="0.25">
      <c r="C8" s="1">
        <f>Pivot!C8</f>
        <v>39203</v>
      </c>
      <c r="D8" s="8">
        <f>VLOOKUP(C8,Input!J$4:$K$102,2,0)</f>
        <v>52257217825.440002</v>
      </c>
      <c r="E8" s="8">
        <f>VLOOKUP(C8,Pivot!G26:H145,2,0)</f>
        <v>36317976637.439995</v>
      </c>
      <c r="F8" s="8">
        <f>VLOOKUP(C8,Pivot!K26:L145,2,0)</f>
        <v>27080727971.889999</v>
      </c>
      <c r="G8" s="8">
        <f>VLOOKUP(C8,Pivot!O26:P145,2,0)</f>
        <v>8757031646.7099991</v>
      </c>
      <c r="H8" s="8">
        <f>VLOOKUP(C8,Input!$N$3:$O$102,2,0)</f>
        <v>2772906165.9000001</v>
      </c>
      <c r="I8" s="8">
        <f>VLOOKUP(C8,Input!temp_8,2,0)</f>
        <v>794614133.75</v>
      </c>
      <c r="K8" s="1">
        <f>Pivot!C8</f>
        <v>39203</v>
      </c>
      <c r="L8" s="7">
        <f>E8/$D8</f>
        <v>0.69498488723139751</v>
      </c>
      <c r="M8" s="7">
        <f>F8/$D8</f>
        <v>0.51821985744343402</v>
      </c>
      <c r="N8" s="7">
        <f>G8/$D8</f>
        <v>0.16757554288408513</v>
      </c>
      <c r="O8" s="7">
        <f t="shared" si="0"/>
        <v>5.3062644382688248E-2</v>
      </c>
      <c r="P8" s="7">
        <f t="shared" si="0"/>
        <v>1.5205825469016143E-2</v>
      </c>
    </row>
    <row r="9" spans="3:16" x14ac:dyDescent="0.25">
      <c r="C9" s="1">
        <f>Pivot!C9</f>
        <v>39234</v>
      </c>
      <c r="D9" s="8">
        <f>VLOOKUP(C9,Input!J$4:$K$102,2,0)</f>
        <v>60994803879.120003</v>
      </c>
      <c r="E9" s="8">
        <f>VLOOKUP(C9,Pivot!G27:H146,2,0)</f>
        <v>2020858084.21</v>
      </c>
      <c r="F9" s="8">
        <f>VLOOKUP(C9,Pivot!K27:L146,2,0)</f>
        <v>1640096016</v>
      </c>
      <c r="G9" s="8">
        <f>VLOOKUP(C9,Pivot!O27:P146,2,0)</f>
        <v>529500000</v>
      </c>
      <c r="H9" s="8">
        <f>VLOOKUP(C9,Input!$N$3:$O$102,2,0)</f>
        <v>2796352573.5599999</v>
      </c>
      <c r="I9" s="8">
        <f>VLOOKUP(C9,Input!temp_8,2,0)</f>
        <v>713138493.69000006</v>
      </c>
      <c r="K9" s="1">
        <f>Pivot!C9</f>
        <v>39234</v>
      </c>
      <c r="L9" s="7">
        <f>E9/$D9</f>
        <v>3.3131643282515555E-2</v>
      </c>
      <c r="M9" s="7">
        <f>F9/$D9</f>
        <v>2.6889110410951655E-2</v>
      </c>
      <c r="N9" s="7">
        <f>G9/$D9</f>
        <v>8.6810673422176646E-3</v>
      </c>
      <c r="O9" s="11">
        <f t="shared" si="0"/>
        <v>4.584575071512377E-2</v>
      </c>
      <c r="P9" s="11">
        <f t="shared" si="0"/>
        <v>1.1691790912276786E-2</v>
      </c>
    </row>
    <row r="10" spans="3:16" x14ac:dyDescent="0.25">
      <c r="C10" s="1">
        <f>Pivot!C10</f>
        <v>39264</v>
      </c>
      <c r="D10" s="8">
        <f>VLOOKUP(C10,Input!J$4:$K$102,2,0)</f>
        <v>63564231653.68</v>
      </c>
      <c r="E10" s="8">
        <f>VLOOKUP(C10,Pivot!G28:H147,2,0)</f>
        <v>1914214423.7099998</v>
      </c>
      <c r="F10" s="8">
        <f>VLOOKUP(C10,Pivot!K28:L147,2,0)</f>
        <v>1345164055.6900001</v>
      </c>
      <c r="G10" s="8">
        <f>VLOOKUP(C10,Pivot!O28:P147,2,0)</f>
        <v>587402404.38</v>
      </c>
      <c r="H10" s="8">
        <f>VLOOKUP(C10,Input!$N$3:$O$102,2,0)</f>
        <v>2979151994.4400001</v>
      </c>
      <c r="I10" s="8">
        <f>VLOOKUP(C10,Input!temp_8,2,0)</f>
        <v>970794020.49000001</v>
      </c>
      <c r="K10" s="1">
        <f>Pivot!C10</f>
        <v>39264</v>
      </c>
      <c r="L10" s="7">
        <f>E10/$D10</f>
        <v>3.0114647403264534E-2</v>
      </c>
      <c r="M10" s="7">
        <f>F10/$D10</f>
        <v>2.1162279802561301E-2</v>
      </c>
      <c r="N10" s="7">
        <f>G10/$D10</f>
        <v>9.2410840042930469E-3</v>
      </c>
      <c r="O10" s="11">
        <f t="shared" si="0"/>
        <v>4.6868371046651744E-2</v>
      </c>
      <c r="P10" s="11">
        <f t="shared" si="0"/>
        <v>1.5272646191638449E-2</v>
      </c>
    </row>
    <row r="11" spans="3:16" x14ac:dyDescent="0.25">
      <c r="C11" s="1">
        <f>Pivot!C11</f>
        <v>39295</v>
      </c>
      <c r="D11" s="8">
        <f>VLOOKUP(C11,Input!J$4:$K$102,2,0)</f>
        <v>63574228225.360001</v>
      </c>
      <c r="E11" s="8">
        <f>VLOOKUP(C11,Pivot!G29:H148,2,0)</f>
        <v>36163124713.329994</v>
      </c>
      <c r="F11" s="8">
        <f>VLOOKUP(C11,Pivot!K29:L148,2,0)</f>
        <v>26896585880.68</v>
      </c>
      <c r="G11" s="8">
        <f>VLOOKUP(C11,Pivot!O29:P148,2,0)</f>
        <v>7970383527.0900002</v>
      </c>
      <c r="H11" s="8">
        <f>VLOOKUP(C11,Input!$N$3:$O$102,2,0)</f>
        <v>3267541007.4200001</v>
      </c>
      <c r="I11" s="8">
        <f>VLOOKUP(C11,Input!temp_8,2,0)</f>
        <v>710262083.82000005</v>
      </c>
      <c r="K11" s="1">
        <f>Pivot!C11</f>
        <v>39295</v>
      </c>
      <c r="L11" s="7">
        <f>E11/$D11</f>
        <v>0.56883309043308816</v>
      </c>
      <c r="M11" s="7">
        <f>F11/$D11</f>
        <v>0.42307373021243927</v>
      </c>
      <c r="N11" s="7">
        <f>G11/$D11</f>
        <v>0.12537129823796403</v>
      </c>
      <c r="O11" s="7">
        <f t="shared" si="0"/>
        <v>5.1397257955489668E-2</v>
      </c>
      <c r="P11" s="7">
        <f t="shared" si="0"/>
        <v>1.1172169975894002E-2</v>
      </c>
    </row>
    <row r="12" spans="3:16" x14ac:dyDescent="0.25">
      <c r="C12" s="1">
        <f>Pivot!C12</f>
        <v>39326</v>
      </c>
      <c r="D12" s="8">
        <f>VLOOKUP(C12,Input!J$4:$K$102,2,0)</f>
        <v>56268903346.199997</v>
      </c>
      <c r="E12" s="8">
        <f>VLOOKUP(C12,Pivot!G30:H149,2,0)</f>
        <v>39727850973.849991</v>
      </c>
      <c r="F12" s="8">
        <f>VLOOKUP(C12,Pivot!K30:L149,2,0)</f>
        <v>31387723932.829998</v>
      </c>
      <c r="G12" s="8">
        <f>VLOOKUP(C12,Pivot!O30:P149,2,0)</f>
        <v>11906421034.719999</v>
      </c>
      <c r="H12" s="8">
        <f>VLOOKUP(C12,Input!$N$3:$O$102,2,0)</f>
        <v>2575823371.0500002</v>
      </c>
      <c r="I12" s="8">
        <f>VLOOKUP(C12,Input!temp_8,2,0)</f>
        <v>779034200.88999999</v>
      </c>
      <c r="K12" s="1">
        <f>Pivot!C12</f>
        <v>39326</v>
      </c>
      <c r="L12" s="7">
        <f>E12/$D12</f>
        <v>0.70603563622735732</v>
      </c>
      <c r="M12" s="7">
        <f>F12/$D12</f>
        <v>0.55781652149347782</v>
      </c>
      <c r="N12" s="7">
        <f>G12/$D12</f>
        <v>0.21159859756755103</v>
      </c>
      <c r="O12" s="7">
        <f t="shared" si="0"/>
        <v>4.5777031679504962E-2</v>
      </c>
      <c r="P12" s="7">
        <f t="shared" si="0"/>
        <v>1.3844844213453299E-2</v>
      </c>
    </row>
    <row r="13" spans="3:16" x14ac:dyDescent="0.25">
      <c r="C13" s="1">
        <f>Pivot!C13</f>
        <v>39356</v>
      </c>
      <c r="D13" s="8">
        <f>VLOOKUP(C13,Input!J$4:$K$102,2,0)</f>
        <v>59150817669.589996</v>
      </c>
      <c r="E13" s="8">
        <f>VLOOKUP(C13,Pivot!G31:H150,2,0)</f>
        <v>34611207598.679993</v>
      </c>
      <c r="F13" s="8">
        <f>VLOOKUP(C13,Pivot!K31:L150,2,0)</f>
        <v>25266524753.019997</v>
      </c>
      <c r="G13" s="8">
        <f>VLOOKUP(C13,Pivot!O31:P150,2,0)</f>
        <v>7611233645.2799997</v>
      </c>
      <c r="H13" s="8">
        <f>VLOOKUP(C13,Input!$N$3:$O$102,2,0)</f>
        <v>2569971167.4499998</v>
      </c>
      <c r="I13" s="8">
        <f>VLOOKUP(C13,Input!temp_8,2,0)</f>
        <v>707016336.28999996</v>
      </c>
      <c r="K13" s="1">
        <f>Pivot!C13</f>
        <v>39356</v>
      </c>
      <c r="L13" s="7">
        <f>E13/$D13</f>
        <v>0.58513489690057063</v>
      </c>
      <c r="M13" s="7">
        <f>F13/$D13</f>
        <v>0.42715427695617064</v>
      </c>
      <c r="N13" s="7">
        <f>G13/$D13</f>
        <v>0.12867503688276161</v>
      </c>
      <c r="O13" s="7">
        <f t="shared" si="0"/>
        <v>4.3447770778175507E-2</v>
      </c>
      <c r="P13" s="7">
        <f t="shared" si="0"/>
        <v>1.1952773674901941E-2</v>
      </c>
    </row>
    <row r="14" spans="3:16" x14ac:dyDescent="0.25">
      <c r="C14" s="1">
        <f>Pivot!C14</f>
        <v>39387</v>
      </c>
      <c r="D14" s="8">
        <f>VLOOKUP(C14,Input!J$4:$K$102,2,0)</f>
        <v>54956654103.489998</v>
      </c>
      <c r="E14" s="8">
        <f>VLOOKUP(C14,Pivot!G32:H151,2,0)</f>
        <v>38426581887.660004</v>
      </c>
      <c r="F14" s="8">
        <f>VLOOKUP(C14,Pivot!K32:L151,2,0)</f>
        <v>27917519171.919998</v>
      </c>
      <c r="G14" s="8">
        <f>VLOOKUP(C14,Pivot!O32:P151,2,0)</f>
        <v>9251362639</v>
      </c>
      <c r="H14" s="8">
        <f>VLOOKUP(C14,Input!$N$3:$O$102,2,0)</f>
        <v>2060441341.49</v>
      </c>
      <c r="I14" s="8">
        <f>VLOOKUP(C14,Input!temp_8,2,0)</f>
        <v>714635575.74000001</v>
      </c>
      <c r="K14" s="1">
        <f>Pivot!C14</f>
        <v>39387</v>
      </c>
      <c r="L14" s="7">
        <f>E14/$D14</f>
        <v>0.69921618254448537</v>
      </c>
      <c r="M14" s="7">
        <f>F14/$D14</f>
        <v>0.50799160952098621</v>
      </c>
      <c r="N14" s="7">
        <f>G14/$D14</f>
        <v>0.1683392628229981</v>
      </c>
      <c r="O14" s="7">
        <f t="shared" si="0"/>
        <v>3.749211765348634E-2</v>
      </c>
      <c r="P14" s="7">
        <f t="shared" si="0"/>
        <v>1.3003622352886606E-2</v>
      </c>
    </row>
    <row r="15" spans="3:16" x14ac:dyDescent="0.25">
      <c r="C15" s="1">
        <f>Pivot!C15</f>
        <v>39417</v>
      </c>
      <c r="D15" s="8">
        <f>VLOOKUP(C15,Input!J$4:$K$102,2,0)</f>
        <v>54697321364.949997</v>
      </c>
      <c r="E15" s="8">
        <f>VLOOKUP(C15,Pivot!G33:H152,2,0)</f>
        <v>45838564870.419991</v>
      </c>
      <c r="F15" s="8">
        <f>VLOOKUP(C15,Pivot!K33:L152,2,0)</f>
        <v>35348140136.119995</v>
      </c>
      <c r="G15" s="8">
        <f>VLOOKUP(C15,Pivot!O33:P152,2,0)</f>
        <v>12421827356.389999</v>
      </c>
      <c r="H15" s="8">
        <f>VLOOKUP(C15,Input!$N$3:$O$102,2,0)</f>
        <v>2642277157.3299999</v>
      </c>
      <c r="I15" s="8">
        <f>VLOOKUP(C15,Input!temp_8,2,0)</f>
        <v>632137460.79999995</v>
      </c>
      <c r="K15" s="1">
        <f>Pivot!C15</f>
        <v>39417</v>
      </c>
      <c r="L15" s="7">
        <f>E15/$D15</f>
        <v>0.83804039624860516</v>
      </c>
      <c r="M15" s="7">
        <f>F15/$D15</f>
        <v>0.64624993060027724</v>
      </c>
      <c r="N15" s="7">
        <f>G15/$D15</f>
        <v>0.22710120068786216</v>
      </c>
      <c r="O15" s="7">
        <f t="shared" si="0"/>
        <v>4.830724963111574E-2</v>
      </c>
      <c r="P15" s="7">
        <f t="shared" si="0"/>
        <v>1.1557009466373488E-2</v>
      </c>
    </row>
    <row r="16" spans="3:16" x14ac:dyDescent="0.25">
      <c r="C16" s="1">
        <f>Pivot!C16</f>
        <v>39448</v>
      </c>
      <c r="D16" s="8">
        <f>VLOOKUP(C16,Input!J$4:$K$102,2,0)</f>
        <v>74321993823.5</v>
      </c>
      <c r="E16" s="8">
        <f>VLOOKUP(C16,Pivot!G34:H153,2,0)</f>
        <v>36449458088.989998</v>
      </c>
      <c r="F16" s="8">
        <f>VLOOKUP(C16,Pivot!K34:L153,2,0)</f>
        <v>26958404741.359997</v>
      </c>
      <c r="G16" s="8">
        <f>VLOOKUP(C16,Pivot!O34:P153,2,0)</f>
        <v>8728590817.0499992</v>
      </c>
      <c r="H16" s="8">
        <f>VLOOKUP(C16,Input!$N$3:$O$102,2,0)</f>
        <v>2742976340.8400002</v>
      </c>
      <c r="I16" s="8">
        <f>VLOOKUP(C16,Input!temp_8,2,0)</f>
        <v>806190228.41999996</v>
      </c>
      <c r="K16" s="1">
        <f>Pivot!C16</f>
        <v>39448</v>
      </c>
      <c r="L16" s="7">
        <f>E16/$D16</f>
        <v>0.49042626837420744</v>
      </c>
      <c r="M16" s="7">
        <f>F16/$D16</f>
        <v>0.36272445550076149</v>
      </c>
      <c r="N16" s="7">
        <f>G16/$D16</f>
        <v>0.11744290442178761</v>
      </c>
      <c r="O16" s="7">
        <f t="shared" si="0"/>
        <v>3.6906657097413524E-2</v>
      </c>
      <c r="P16" s="7">
        <f t="shared" si="0"/>
        <v>1.0847263198220191E-2</v>
      </c>
    </row>
    <row r="17" spans="3:16" x14ac:dyDescent="0.25">
      <c r="C17" s="1">
        <f>Pivot!C17</f>
        <v>39479</v>
      </c>
      <c r="D17" s="8">
        <f>VLOOKUP(C17,Input!J$4:$K$102,2,0)</f>
        <v>55538521993.099998</v>
      </c>
      <c r="E17" s="8">
        <f>VLOOKUP(C17,Pivot!G35:H154,2,0)</f>
        <v>42640399806.709999</v>
      </c>
      <c r="F17" s="8">
        <f>VLOOKUP(C17,Pivot!K35:L154,2,0)</f>
        <v>32555708285.060001</v>
      </c>
      <c r="G17" s="8">
        <f>VLOOKUP(C17,Pivot!O35:P154,2,0)</f>
        <v>10940578643.9</v>
      </c>
      <c r="H17" s="8">
        <f>VLOOKUP(C17,Input!$N$3:$O$102,2,0)</f>
        <v>3365807073.5500002</v>
      </c>
      <c r="I17" s="8">
        <f>VLOOKUP(C17,Input!temp_8,2,0)</f>
        <v>791862987.95000005</v>
      </c>
      <c r="K17" s="1">
        <f>Pivot!C17</f>
        <v>39479</v>
      </c>
      <c r="L17" s="7">
        <f>E17/$D17</f>
        <v>0.76776259569902783</v>
      </c>
      <c r="M17" s="7">
        <f>F17/$D17</f>
        <v>0.58618247509547805</v>
      </c>
      <c r="N17" s="7">
        <f>G17/$D17</f>
        <v>0.19699081378613634</v>
      </c>
      <c r="O17" s="7">
        <f t="shared" si="0"/>
        <v>6.0603108486901432E-2</v>
      </c>
      <c r="P17" s="7">
        <f t="shared" si="0"/>
        <v>1.425790531567224E-2</v>
      </c>
    </row>
    <row r="18" spans="3:16" x14ac:dyDescent="0.25">
      <c r="C18" s="1">
        <f>Pivot!C18</f>
        <v>39508</v>
      </c>
      <c r="D18" s="8">
        <f>VLOOKUP(C18,Input!J$4:$K$102,2,0)</f>
        <v>79754243784.559998</v>
      </c>
      <c r="E18" s="8">
        <f>VLOOKUP(C18,Pivot!G36:H155,2,0)</f>
        <v>29192521758.130001</v>
      </c>
      <c r="F18" s="8">
        <f>VLOOKUP(C18,Pivot!K36:L155,2,0)</f>
        <v>24315835443.790001</v>
      </c>
      <c r="G18" s="8">
        <f>VLOOKUP(C18,Pivot!O36:P155,2,0)</f>
        <v>7127437485.3199997</v>
      </c>
      <c r="H18" s="8">
        <f>VLOOKUP(C18,Input!$N$3:$O$102,2,0)</f>
        <v>2534262717.98</v>
      </c>
      <c r="I18" s="8">
        <f>VLOOKUP(C18,Input!temp_8,2,0)</f>
        <v>705417996.09000003</v>
      </c>
      <c r="K18" s="1">
        <f>Pivot!C18</f>
        <v>39508</v>
      </c>
      <c r="L18" s="7">
        <f>E18/$D18</f>
        <v>0.36603095174455808</v>
      </c>
      <c r="M18" s="7">
        <f>F18/$D18</f>
        <v>0.30488453391238118</v>
      </c>
      <c r="N18" s="7">
        <f>G18/$D18</f>
        <v>8.9367501302793792E-2</v>
      </c>
      <c r="O18" s="7">
        <f t="shared" si="0"/>
        <v>3.1775898030276604E-2</v>
      </c>
      <c r="P18" s="7">
        <f t="shared" si="0"/>
        <v>8.8448960533754721E-3</v>
      </c>
    </row>
    <row r="19" spans="3:16" x14ac:dyDescent="0.25">
      <c r="C19" s="1">
        <f>Pivot!C19</f>
        <v>39539</v>
      </c>
      <c r="D19" s="8">
        <f>VLOOKUP(C19,Input!J$4:$K$102,2,0)</f>
        <v>52319425155.779999</v>
      </c>
      <c r="E19" s="8">
        <f>VLOOKUP(C19,Pivot!G37:H156,2,0)</f>
        <v>40499590498.020004</v>
      </c>
      <c r="F19" s="8">
        <f>VLOOKUP(C19,Pivot!K37:L156,2,0)</f>
        <v>32138247792.009998</v>
      </c>
      <c r="G19" s="8">
        <f>VLOOKUP(C19,Pivot!O37:P156,2,0)</f>
        <v>9380905884.8600006</v>
      </c>
      <c r="H19" s="8">
        <f>VLOOKUP(C19,Input!$N$3:$O$102,2,0)</f>
        <v>4627286735.46</v>
      </c>
      <c r="I19" s="8">
        <f>VLOOKUP(C19,Input!temp_8,2,0)</f>
        <v>689568022.57000005</v>
      </c>
      <c r="K19" s="1">
        <f>Pivot!C19</f>
        <v>39539</v>
      </c>
      <c r="L19" s="7">
        <f>E19/$D19</f>
        <v>0.77408324685206908</v>
      </c>
      <c r="M19" s="7">
        <f>F19/$D19</f>
        <v>0.61426989490651007</v>
      </c>
      <c r="N19" s="7">
        <f>G19/$D19</f>
        <v>0.17930062986985329</v>
      </c>
      <c r="O19" s="7">
        <f t="shared" si="0"/>
        <v>8.8442996490927614E-2</v>
      </c>
      <c r="P19" s="7">
        <f t="shared" si="0"/>
        <v>1.3179961754488425E-2</v>
      </c>
    </row>
    <row r="20" spans="3:16" x14ac:dyDescent="0.25">
      <c r="C20" s="1">
        <f>Pivot!C20</f>
        <v>39569</v>
      </c>
      <c r="D20" s="8">
        <f>VLOOKUP(C20,Input!J$4:$K$102,2,0)</f>
        <v>58446366245.900002</v>
      </c>
      <c r="E20" s="8">
        <f>VLOOKUP(C20,Pivot!G38:H157,2,0)</f>
        <v>38150991945.059998</v>
      </c>
      <c r="F20" s="8">
        <f>VLOOKUP(C20,Pivot!K38:L157,2,0)</f>
        <v>30863023102.57</v>
      </c>
      <c r="G20" s="8">
        <f>VLOOKUP(C20,Pivot!O38:P157,2,0)</f>
        <v>12080553097.469999</v>
      </c>
      <c r="H20" s="8">
        <f>VLOOKUP(C20,Input!$N$3:$O$102,2,0)</f>
        <v>4716019657.6199999</v>
      </c>
      <c r="I20" s="8">
        <f>VLOOKUP(C20,Input!temp_8,2,0)</f>
        <v>854349995.38999999</v>
      </c>
      <c r="K20" s="1">
        <f>Pivot!C20</f>
        <v>39569</v>
      </c>
      <c r="L20" s="7">
        <f>E20/$D20</f>
        <v>0.65275216229094957</v>
      </c>
      <c r="M20" s="7">
        <f>F20/$D20</f>
        <v>0.5280571759195557</v>
      </c>
      <c r="N20" s="7">
        <f>G20/$D20</f>
        <v>0.20669468220904919</v>
      </c>
      <c r="O20" s="7">
        <f t="shared" ref="O20:P83" si="1">H20/$D20</f>
        <v>8.0689698274455643E-2</v>
      </c>
      <c r="P20" s="7">
        <f t="shared" si="1"/>
        <v>1.4617675148451722E-2</v>
      </c>
    </row>
    <row r="21" spans="3:16" x14ac:dyDescent="0.25">
      <c r="C21" s="1">
        <f>Pivot!C21</f>
        <v>39600</v>
      </c>
      <c r="D21" s="8">
        <f>VLOOKUP(C21,Input!J$4:$K$102,2,0)</f>
        <v>67996182058.290001</v>
      </c>
      <c r="E21" s="8">
        <f>VLOOKUP(C21,Pivot!G39:H158,2,0)</f>
        <v>36274545496.419998</v>
      </c>
      <c r="F21" s="8">
        <f>VLOOKUP(C21,Pivot!K39:L158,2,0)</f>
        <v>30441998963.41</v>
      </c>
      <c r="G21" s="8">
        <f>VLOOKUP(C21,Pivot!O39:P158,2,0)</f>
        <v>11170458526.360001</v>
      </c>
      <c r="H21" s="8">
        <f>VLOOKUP(C21,Input!$N$3:$O$102,2,0)</f>
        <v>4606226475.4300003</v>
      </c>
      <c r="I21" s="8">
        <f>VLOOKUP(C21,Input!temp_8,2,0)</f>
        <v>991873864.08000004</v>
      </c>
      <c r="K21" s="1">
        <f>Pivot!C21</f>
        <v>39600</v>
      </c>
      <c r="L21" s="7">
        <f>E21/$D21</f>
        <v>0.53347915130475265</v>
      </c>
      <c r="M21" s="7">
        <f>F21/$D21</f>
        <v>0.44770159208811861</v>
      </c>
      <c r="N21" s="7">
        <f>G21/$D21</f>
        <v>0.16428067265282748</v>
      </c>
      <c r="O21" s="7">
        <f t="shared" si="1"/>
        <v>6.7742428118703693E-2</v>
      </c>
      <c r="P21" s="7">
        <f t="shared" si="1"/>
        <v>1.458719936995451E-2</v>
      </c>
    </row>
    <row r="22" spans="3:16" x14ac:dyDescent="0.25">
      <c r="C22" s="1">
        <f>Pivot!C22</f>
        <v>39630</v>
      </c>
      <c r="D22" s="8">
        <f>VLOOKUP(C22,Input!J$4:$K$102,2,0)</f>
        <v>51122600725.449997</v>
      </c>
      <c r="E22" s="8">
        <f>VLOOKUP(C22,Pivot!G40:H159,2,0)</f>
        <v>25661699058.59</v>
      </c>
      <c r="F22" s="8">
        <f>VLOOKUP(C22,Pivot!K40:L159,2,0)</f>
        <v>19657967882.41</v>
      </c>
      <c r="G22" s="8">
        <f>VLOOKUP(C22,Pivot!O40:P159,2,0)</f>
        <v>5246259446.8599997</v>
      </c>
      <c r="H22" s="8">
        <f>VLOOKUP(C22,Input!$N$3:$O$102,2,0)</f>
        <v>4590315319.1099997</v>
      </c>
      <c r="I22" s="8">
        <f>VLOOKUP(C22,Input!temp_8,2,0)</f>
        <v>838953095.21000004</v>
      </c>
      <c r="K22" s="1">
        <f>Pivot!C22</f>
        <v>39630</v>
      </c>
      <c r="L22" s="7">
        <f>E22/$D22</f>
        <v>0.50196388083627019</v>
      </c>
      <c r="M22" s="7">
        <f>F22/$D22</f>
        <v>0.38452597488108259</v>
      </c>
      <c r="N22" s="7">
        <f>G22/$D22</f>
        <v>0.10262113766540622</v>
      </c>
      <c r="O22" s="7">
        <f t="shared" si="1"/>
        <v>8.9790332533392345E-2</v>
      </c>
      <c r="P22" s="7">
        <f t="shared" si="1"/>
        <v>1.6410610636096806E-2</v>
      </c>
    </row>
    <row r="23" spans="3:16" x14ac:dyDescent="0.25">
      <c r="C23" s="1">
        <f>Pivot!C23</f>
        <v>39661</v>
      </c>
      <c r="D23" s="8">
        <f>VLOOKUP(C23,Input!J$4:$K$102,2,0)</f>
        <v>36164577043.769997</v>
      </c>
      <c r="E23" s="8">
        <f>VLOOKUP(C23,Pivot!G41:H160,2,0)</f>
        <v>21967790863.110004</v>
      </c>
      <c r="F23" s="8">
        <f>VLOOKUP(C23,Pivot!K41:L160,2,0)</f>
        <v>16728604606.980001</v>
      </c>
      <c r="G23" s="8">
        <f>VLOOKUP(C23,Pivot!O41:P160,2,0)</f>
        <v>4827258509.6899996</v>
      </c>
      <c r="H23" s="8">
        <f>VLOOKUP(C23,Input!$N$3:$O$102,2,0)</f>
        <v>2735541204.4699998</v>
      </c>
      <c r="I23" s="8">
        <f>VLOOKUP(C23,Input!temp_8,2,0)</f>
        <v>743781943.44000006</v>
      </c>
      <c r="K23" s="1">
        <f>Pivot!C23</f>
        <v>39661</v>
      </c>
      <c r="L23" s="7">
        <f>E23/$D23</f>
        <v>0.607439452050618</v>
      </c>
      <c r="M23" s="7">
        <f>F23/$D23</f>
        <v>0.46256878897638887</v>
      </c>
      <c r="N23" s="7">
        <f>G23/$D23</f>
        <v>0.13348029769151087</v>
      </c>
      <c r="O23" s="7">
        <f t="shared" si="1"/>
        <v>7.5641454375622127E-2</v>
      </c>
      <c r="P23" s="7">
        <f t="shared" si="1"/>
        <v>2.0566587645689884E-2</v>
      </c>
    </row>
    <row r="24" spans="3:16" x14ac:dyDescent="0.25">
      <c r="C24" s="1">
        <f>Pivot!C24</f>
        <v>39692</v>
      </c>
      <c r="D24" s="8">
        <f>VLOOKUP(C24,Input!J$4:$K$102,2,0)</f>
        <v>30218811059.720001</v>
      </c>
      <c r="E24" s="8">
        <f>VLOOKUP(C24,Pivot!G42:H161,2,0)</f>
        <v>25821976249.259998</v>
      </c>
      <c r="F24" s="8">
        <f>VLOOKUP(C24,Pivot!K42:L161,2,0)</f>
        <v>19841787823.889999</v>
      </c>
      <c r="G24" s="8">
        <f>VLOOKUP(C24,Pivot!O42:P161,2,0)</f>
        <v>6826679614.1599998</v>
      </c>
      <c r="H24" s="8">
        <f>VLOOKUP(C24,Input!$N$3:$O$102,2,0)</f>
        <v>2494839817.1700001</v>
      </c>
      <c r="I24" s="8">
        <f>VLOOKUP(C24,Input!temp_8,2,0)</f>
        <v>861617170.63</v>
      </c>
      <c r="K24" s="1">
        <f>Pivot!C24</f>
        <v>39692</v>
      </c>
      <c r="L24" s="7">
        <f>E24/$D24</f>
        <v>0.85450007276028339</v>
      </c>
      <c r="M24" s="7">
        <f>F24/$D24</f>
        <v>0.65660385462146797</v>
      </c>
      <c r="N24" s="7">
        <f>G24/$D24</f>
        <v>0.22590827947098108</v>
      </c>
      <c r="O24" s="7">
        <f t="shared" si="1"/>
        <v>8.2559165290770925E-2</v>
      </c>
      <c r="P24" s="7">
        <f t="shared" si="1"/>
        <v>2.8512609874929457E-2</v>
      </c>
    </row>
    <row r="25" spans="3:16" x14ac:dyDescent="0.25">
      <c r="C25" s="1">
        <f>Pivot!C25</f>
        <v>39722</v>
      </c>
      <c r="D25" s="8">
        <f>VLOOKUP(C25,Input!J$4:$K$102,2,0)</f>
        <v>35068710785</v>
      </c>
      <c r="E25" s="8">
        <f>VLOOKUP(C25,Pivot!G43:H162,2,0)</f>
        <v>17771952343.489994</v>
      </c>
      <c r="F25" s="8">
        <f>VLOOKUP(C25,Pivot!K43:L162,2,0)</f>
        <v>13280775763.599998</v>
      </c>
      <c r="G25" s="8">
        <f>VLOOKUP(C25,Pivot!O43:P162,2,0)</f>
        <v>3655203702.7600002</v>
      </c>
      <c r="H25" s="8">
        <f>VLOOKUP(C25,Input!$N$3:$O$102,2,0)</f>
        <v>3909470688.3099999</v>
      </c>
      <c r="I25" s="8">
        <f>VLOOKUP(C25,Input!temp_8,2,0)</f>
        <v>863167964.38</v>
      </c>
      <c r="K25" s="1">
        <f>Pivot!C25</f>
        <v>39722</v>
      </c>
      <c r="L25" s="7">
        <f>E25/$D25</f>
        <v>0.5067751835089308</v>
      </c>
      <c r="M25" s="7">
        <f>F25/$D25</f>
        <v>0.37870727113471786</v>
      </c>
      <c r="N25" s="7">
        <f>G25/$D25</f>
        <v>0.10422977123879464</v>
      </c>
      <c r="O25" s="7">
        <f t="shared" si="1"/>
        <v>0.11148030825194191</v>
      </c>
      <c r="P25" s="7">
        <f t="shared" si="1"/>
        <v>2.4613621232668876E-2</v>
      </c>
    </row>
    <row r="26" spans="3:16" x14ac:dyDescent="0.25">
      <c r="C26" s="1">
        <f>Pivot!C26</f>
        <v>39753</v>
      </c>
      <c r="D26" s="8">
        <f>VLOOKUP(C26,Input!J$4:$K$102,2,0)</f>
        <v>29981534272.830002</v>
      </c>
      <c r="E26" s="8">
        <f>VLOOKUP(C26,Pivot!G44:H163,2,0)</f>
        <v>17082411068.670002</v>
      </c>
      <c r="F26" s="8">
        <f>VLOOKUP(C26,Pivot!K44:L163,2,0)</f>
        <v>13594411036.240002</v>
      </c>
      <c r="G26" s="8">
        <f>VLOOKUP(C26,Pivot!O44:P163,2,0)</f>
        <v>4550926488.3800001</v>
      </c>
      <c r="H26" s="8">
        <f>VLOOKUP(C26,Input!$N$3:$O$102,2,0)</f>
        <v>2848084766.9000001</v>
      </c>
      <c r="I26" s="8">
        <f>VLOOKUP(C26,Input!temp_8,2,0)</f>
        <v>346449062.85000002</v>
      </c>
      <c r="K26" s="1">
        <f>Pivot!C26</f>
        <v>39753</v>
      </c>
      <c r="L26" s="7">
        <f>E26/$D26</f>
        <v>0.56976440609146872</v>
      </c>
      <c r="M26" s="7">
        <f>F26/$D26</f>
        <v>0.45342612931452242</v>
      </c>
      <c r="N26" s="7">
        <f>G26/$D26</f>
        <v>0.15179098064051247</v>
      </c>
      <c r="O26" s="7">
        <f t="shared" si="1"/>
        <v>9.4994630394249172E-2</v>
      </c>
      <c r="P26" s="7">
        <f t="shared" si="1"/>
        <v>1.1555414732859773E-2</v>
      </c>
    </row>
    <row r="27" spans="3:16" x14ac:dyDescent="0.25">
      <c r="C27" s="1">
        <f>Pivot!C27</f>
        <v>39783</v>
      </c>
      <c r="D27" s="8">
        <f>VLOOKUP(C27,Input!J$4:$K$102,2,0)</f>
        <v>23541235640.110001</v>
      </c>
      <c r="E27" s="8">
        <f>VLOOKUP(C27,Pivot!G45:H164,2,0)</f>
        <v>29606036758.049999</v>
      </c>
      <c r="F27" s="8">
        <f>VLOOKUP(C27,Pivot!K45:L164,2,0)</f>
        <v>22006804718.82</v>
      </c>
      <c r="G27" s="8">
        <f>VLOOKUP(C27,Pivot!O45:P164,2,0)</f>
        <v>8422014425.4099998</v>
      </c>
      <c r="H27" s="8">
        <f>VLOOKUP(C27,Input!$N$3:$O$102,2,0)</f>
        <v>2716307694.77</v>
      </c>
      <c r="I27" s="8">
        <f>VLOOKUP(C27,Input!temp_8,2,0)</f>
        <v>329342548.44</v>
      </c>
      <c r="K27" s="1">
        <f>Pivot!C27</f>
        <v>39783</v>
      </c>
      <c r="L27" s="7">
        <f>E27/$D27</f>
        <v>1.2576245873690113</v>
      </c>
      <c r="M27" s="7">
        <f>F27/$D27</f>
        <v>0.93481944003501627</v>
      </c>
      <c r="N27" s="7">
        <f>G27/$D27</f>
        <v>0.35775583551189699</v>
      </c>
      <c r="O27" s="7">
        <f t="shared" si="1"/>
        <v>0.11538509432112831</v>
      </c>
      <c r="P27" s="7">
        <f t="shared" si="1"/>
        <v>1.3990028113853971E-2</v>
      </c>
    </row>
    <row r="28" spans="3:16" x14ac:dyDescent="0.25">
      <c r="C28" s="1">
        <f>Pivot!C28</f>
        <v>39814</v>
      </c>
      <c r="D28" s="8">
        <f>VLOOKUP(C28,Input!J$4:$K$102,2,0)</f>
        <v>37747004530.029999</v>
      </c>
      <c r="E28" s="8">
        <f>VLOOKUP(C28,Pivot!G46:H165,2,0)</f>
        <v>15573013109.779999</v>
      </c>
      <c r="F28" s="8">
        <f>VLOOKUP(C28,Pivot!K46:L165,2,0)</f>
        <v>12534763717.26</v>
      </c>
      <c r="G28" s="8">
        <f>VLOOKUP(C28,Pivot!O46:P165,2,0)</f>
        <v>3756680738.23</v>
      </c>
      <c r="H28" s="8">
        <f>VLOOKUP(C28,Input!$N$3:$O$102,2,0)</f>
        <v>2341858898.6399999</v>
      </c>
      <c r="I28" s="8">
        <f>VLOOKUP(C28,Input!temp_8,2,0)</f>
        <v>352645579.72000003</v>
      </c>
      <c r="K28" s="1">
        <f>Pivot!C28</f>
        <v>39814</v>
      </c>
      <c r="L28" s="7">
        <f>E28/$D28</f>
        <v>0.41256288555005038</v>
      </c>
      <c r="M28" s="7">
        <f>F28/$D28</f>
        <v>0.33207307105091866</v>
      </c>
      <c r="N28" s="7">
        <f>G28/$D28</f>
        <v>9.9522618682002587E-2</v>
      </c>
      <c r="O28" s="7">
        <f t="shared" si="1"/>
        <v>6.2040920274267358E-2</v>
      </c>
      <c r="P28" s="7">
        <f t="shared" si="1"/>
        <v>9.3423460778046478E-3</v>
      </c>
    </row>
    <row r="29" spans="3:16" x14ac:dyDescent="0.25">
      <c r="C29" s="1">
        <f>Pivot!C29</f>
        <v>39845</v>
      </c>
      <c r="D29" s="8">
        <f>VLOOKUP(C29,Input!J$4:$K$102,2,0)</f>
        <v>20365188691.919998</v>
      </c>
      <c r="E29" s="8">
        <f>VLOOKUP(C29,Pivot!G47:H166,2,0)</f>
        <v>29878159863.969997</v>
      </c>
      <c r="F29" s="8">
        <f>VLOOKUP(C29,Pivot!K47:L166,2,0)</f>
        <v>24776401311.380001</v>
      </c>
      <c r="G29" s="8">
        <f>VLOOKUP(C29,Pivot!O47:P166,2,0)</f>
        <v>9511580945.1800003</v>
      </c>
      <c r="H29" s="8">
        <f>VLOOKUP(C29,Input!$N$3:$O$102,2,0)</f>
        <v>4022859899.9899998</v>
      </c>
      <c r="I29" s="8">
        <f>VLOOKUP(C29,Input!temp_8,2,0)</f>
        <v>291787119.26999998</v>
      </c>
      <c r="K29" s="1">
        <f>Pivot!C29</f>
        <v>39845</v>
      </c>
      <c r="L29" s="7">
        <f>E29/$D29</f>
        <v>1.467119225653152</v>
      </c>
      <c r="M29" s="7">
        <f>F29/$D29</f>
        <v>1.2166055363489059</v>
      </c>
      <c r="N29" s="7">
        <f>G29/$D29</f>
        <v>0.46705096078750169</v>
      </c>
      <c r="O29" s="7">
        <f t="shared" si="1"/>
        <v>0.19753609754600956</v>
      </c>
      <c r="P29" s="7">
        <f t="shared" si="1"/>
        <v>1.4327739540452583E-2</v>
      </c>
    </row>
    <row r="30" spans="3:16" x14ac:dyDescent="0.25">
      <c r="C30" s="1">
        <f>Pivot!C30</f>
        <v>39873</v>
      </c>
      <c r="D30" s="8">
        <f>VLOOKUP(C30,Input!J$4:$K$102,2,0)</f>
        <v>37470360050.949997</v>
      </c>
      <c r="E30" s="8">
        <f>VLOOKUP(C30,Pivot!G48:H167,2,0)</f>
        <v>52300463711.150002</v>
      </c>
      <c r="F30" s="8">
        <f>VLOOKUP(C30,Pivot!K48:L167,2,0)</f>
        <v>44588597188.129997</v>
      </c>
      <c r="G30" s="8">
        <f>VLOOKUP(C30,Pivot!O48:P167,2,0)</f>
        <v>14453685921.889999</v>
      </c>
      <c r="H30" s="8">
        <f>VLOOKUP(C30,Input!$N$3:$O$102,2,0)</f>
        <v>7282838476.5600004</v>
      </c>
      <c r="I30" s="8">
        <f>VLOOKUP(C30,Input!temp_8,2,0)</f>
        <v>708211819.88</v>
      </c>
      <c r="K30" s="1">
        <f>Pivot!C30</f>
        <v>39873</v>
      </c>
      <c r="L30" s="7">
        <f>E30/$D30</f>
        <v>1.3957822566966236</v>
      </c>
      <c r="M30" s="7">
        <f>F30/$D30</f>
        <v>1.1899698088702921</v>
      </c>
      <c r="N30" s="7">
        <f>G30/$D30</f>
        <v>0.38573651019730598</v>
      </c>
      <c r="O30" s="7">
        <f t="shared" si="1"/>
        <v>0.1943626500160987</v>
      </c>
      <c r="P30" s="7">
        <f t="shared" si="1"/>
        <v>1.890058752883653E-2</v>
      </c>
    </row>
    <row r="31" spans="3:16" x14ac:dyDescent="0.25">
      <c r="C31" s="1">
        <f>Pivot!C31</f>
        <v>39904</v>
      </c>
      <c r="D31" s="8">
        <f>VLOOKUP(C31,Input!J$4:$K$102,2,0)</f>
        <v>75983293100.669998</v>
      </c>
      <c r="E31" s="8">
        <f>VLOOKUP(C31,Pivot!G49:H168,2,0)</f>
        <v>32464719403.389999</v>
      </c>
      <c r="F31" s="8">
        <f>VLOOKUP(C31,Pivot!K49:L168,2,0)</f>
        <v>25327691030.98</v>
      </c>
      <c r="G31" s="8">
        <f>VLOOKUP(C31,Pivot!O49:P168,2,0)</f>
        <v>10866823472.32</v>
      </c>
      <c r="H31" s="8">
        <f>VLOOKUP(C31,Input!$N$3:$O$102,2,0)</f>
        <v>13124113584.77</v>
      </c>
      <c r="I31" s="8">
        <f>VLOOKUP(C31,Input!temp_8,2,0)</f>
        <v>980343507.52999997</v>
      </c>
      <c r="K31" s="1">
        <f>Pivot!C31</f>
        <v>39904</v>
      </c>
      <c r="L31" s="7">
        <f>E31/$D31</f>
        <v>0.42726128440337019</v>
      </c>
      <c r="M31" s="7">
        <f>F31/$D31</f>
        <v>0.33333236817498063</v>
      </c>
      <c r="N31" s="7">
        <f>G31/$D31</f>
        <v>0.14301595823074664</v>
      </c>
      <c r="O31" s="7">
        <f t="shared" si="1"/>
        <v>0.17272367449752288</v>
      </c>
      <c r="P31" s="7">
        <f t="shared" si="1"/>
        <v>1.2902092914440366E-2</v>
      </c>
    </row>
    <row r="32" spans="3:16" x14ac:dyDescent="0.25">
      <c r="C32" s="1">
        <f>Pivot!C32</f>
        <v>39934</v>
      </c>
      <c r="D32" s="8">
        <f>VLOOKUP(C32,Input!J$4:$K$102,2,0)</f>
        <v>41425621841.010002</v>
      </c>
      <c r="E32" s="8">
        <f>VLOOKUP(C32,Pivot!G50:H169,2,0)</f>
        <v>59246266312.960007</v>
      </c>
      <c r="F32" s="8">
        <f>VLOOKUP(C32,Pivot!K50:L169,2,0)</f>
        <v>48614350249.730003</v>
      </c>
      <c r="G32" s="8">
        <f>VLOOKUP(C32,Pivot!O50:P169,2,0)</f>
        <v>16377153576.040001</v>
      </c>
      <c r="H32" s="8">
        <f>VLOOKUP(C32,Input!$N$3:$O$102,2,0)</f>
        <v>14916253696.33</v>
      </c>
      <c r="I32" s="8">
        <f>VLOOKUP(C32,Input!temp_8,2,0)</f>
        <v>513485115.45999998</v>
      </c>
      <c r="K32" s="1">
        <f>Pivot!C32</f>
        <v>39934</v>
      </c>
      <c r="L32" s="7">
        <f>E32/$D32</f>
        <v>1.4301841150470831</v>
      </c>
      <c r="M32" s="7">
        <f>F32/$D32</f>
        <v>1.1735333856015504</v>
      </c>
      <c r="N32" s="7">
        <f>G32/$D32</f>
        <v>0.39533875046933292</v>
      </c>
      <c r="O32" s="7">
        <f t="shared" si="1"/>
        <v>0.3600731391209534</v>
      </c>
      <c r="P32" s="7">
        <f t="shared" si="1"/>
        <v>1.2395350815269273E-2</v>
      </c>
    </row>
    <row r="33" spans="2:16" x14ac:dyDescent="0.25">
      <c r="B33" s="12">
        <f>D33+H33</f>
        <v>126056334922.13</v>
      </c>
      <c r="C33" s="1">
        <f>Pivot!C33</f>
        <v>39965</v>
      </c>
      <c r="D33" s="8">
        <f>VLOOKUP(C33,Input!J$4:$K$102,2,0)</f>
        <v>54510213719.889999</v>
      </c>
      <c r="E33" s="8">
        <f>VLOOKUP(C33,Pivot!G51:H170,2,0)</f>
        <v>62548319986.500008</v>
      </c>
      <c r="F33" s="8">
        <f>VLOOKUP(C33,Pivot!K51:L170,2,0)</f>
        <v>50633928595.489998</v>
      </c>
      <c r="G33" s="8">
        <f>VLOOKUP(C33,Pivot!O51:P170,2,0)</f>
        <v>18556306988.82</v>
      </c>
      <c r="H33" s="8">
        <f>VLOOKUP(C33,Input!$N$3:$O$102,2,0)</f>
        <v>71546121202.240005</v>
      </c>
      <c r="I33" s="8">
        <f>VLOOKUP(C33,Input!temp_8,2,0)</f>
        <v>750914738.05999994</v>
      </c>
      <c r="K33" s="1">
        <f>Pivot!C33</f>
        <v>39965</v>
      </c>
      <c r="L33" s="7">
        <f>E33/$D33</f>
        <v>1.1474605531344122</v>
      </c>
      <c r="M33" s="7">
        <f>F33/$D33</f>
        <v>0.92888882908588555</v>
      </c>
      <c r="N33" s="7">
        <f>G33/$D33</f>
        <v>0.34041889991799956</v>
      </c>
      <c r="O33" s="7">
        <f t="shared" si="1"/>
        <v>1.3125268884450154</v>
      </c>
      <c r="P33" s="7">
        <f t="shared" si="1"/>
        <v>1.3775670407727678E-2</v>
      </c>
    </row>
    <row r="34" spans="2:16" x14ac:dyDescent="0.25">
      <c r="C34" s="1">
        <f>Pivot!C34</f>
        <v>39995</v>
      </c>
      <c r="D34" s="8">
        <f>VLOOKUP(C34,Input!J$4:$K$102,2,0)</f>
        <v>79336649898.679993</v>
      </c>
      <c r="E34" s="8">
        <f>VLOOKUP(C34,Pivot!G52:H171,2,0)</f>
        <v>47492473410.860008</v>
      </c>
      <c r="F34" s="8">
        <f>VLOOKUP(C34,Pivot!K52:L171,2,0)</f>
        <v>40903264377.350006</v>
      </c>
      <c r="G34" s="8">
        <f>VLOOKUP(C34,Pivot!O52:P171,2,0)</f>
        <v>17780279923.57</v>
      </c>
      <c r="H34" s="8">
        <f>VLOOKUP(C34,Input!$N$3:$O$102,2,0)</f>
        <v>48580167018.220001</v>
      </c>
      <c r="I34" s="8">
        <f>VLOOKUP(C34,Input!temp_8,2,0)</f>
        <v>1145026720.3900001</v>
      </c>
      <c r="K34" s="1">
        <f>Pivot!C34</f>
        <v>39995</v>
      </c>
      <c r="L34" s="7">
        <f>E34/$D34</f>
        <v>0.5986195972669901</v>
      </c>
      <c r="M34" s="7">
        <f>F34/$D34</f>
        <v>0.51556581264254464</v>
      </c>
      <c r="N34" s="7">
        <f>G34/$D34</f>
        <v>0.22411180641326561</v>
      </c>
      <c r="O34" s="7">
        <f t="shared" si="1"/>
        <v>0.61232944774276743</v>
      </c>
      <c r="P34" s="7">
        <f t="shared" si="1"/>
        <v>1.4432506563515119E-2</v>
      </c>
    </row>
    <row r="35" spans="2:16" x14ac:dyDescent="0.25">
      <c r="C35" s="1">
        <f>Pivot!C35</f>
        <v>40026</v>
      </c>
      <c r="D35" s="8">
        <f>VLOOKUP(C35,Input!J$4:$K$102,2,0)</f>
        <v>61794828698.809998</v>
      </c>
      <c r="E35" s="8">
        <f>VLOOKUP(C35,Pivot!G53:H172,2,0)</f>
        <v>35622455938.389999</v>
      </c>
      <c r="F35" s="8">
        <f>VLOOKUP(C35,Pivot!K53:L172,2,0)</f>
        <v>30196349339.740002</v>
      </c>
      <c r="G35" s="8">
        <f>VLOOKUP(C35,Pivot!O53:P172,2,0)</f>
        <v>13559469118.879999</v>
      </c>
      <c r="H35" s="8">
        <f>VLOOKUP(C35,Input!$N$3:$O$102,2,0)</f>
        <v>16641693291.17</v>
      </c>
      <c r="I35" s="8">
        <f>VLOOKUP(C35,Input!temp_8,2,0)</f>
        <v>1022514881.83</v>
      </c>
      <c r="K35" s="1">
        <f>Pivot!C35</f>
        <v>40026</v>
      </c>
      <c r="L35" s="7">
        <f>E35/$D35</f>
        <v>0.57646338194438573</v>
      </c>
      <c r="M35" s="7">
        <f>F35/$D35</f>
        <v>0.48865495666179432</v>
      </c>
      <c r="N35" s="7">
        <f>G35/$D35</f>
        <v>0.21942724665472077</v>
      </c>
      <c r="O35" s="7">
        <f t="shared" si="1"/>
        <v>0.26930559792118131</v>
      </c>
      <c r="P35" s="7">
        <f t="shared" si="1"/>
        <v>1.6546932864136103E-2</v>
      </c>
    </row>
    <row r="36" spans="2:16" x14ac:dyDescent="0.25">
      <c r="C36" s="1">
        <f>Pivot!C36</f>
        <v>40057</v>
      </c>
      <c r="D36" s="8">
        <f>VLOOKUP(C36,Input!J$4:$K$102,2,0)</f>
        <v>45832557138.260002</v>
      </c>
      <c r="E36" s="8">
        <f>VLOOKUP(C36,Pivot!G54:H173,2,0)</f>
        <v>29845785005.43</v>
      </c>
      <c r="F36" s="8">
        <f>VLOOKUP(C36,Pivot!K54:L173,2,0)</f>
        <v>25413966746.16</v>
      </c>
      <c r="G36" s="8">
        <f>VLOOKUP(C36,Pivot!O54:P173,2,0)</f>
        <v>9711261406.9500008</v>
      </c>
      <c r="H36" s="8">
        <f>VLOOKUP(C36,Input!$N$3:$O$102,2,0)</f>
        <v>13851899196.700001</v>
      </c>
      <c r="I36" s="8">
        <f>VLOOKUP(C36,Input!temp_8,2,0)</f>
        <v>1099497321.99</v>
      </c>
      <c r="K36" s="1">
        <f>Pivot!C36</f>
        <v>40057</v>
      </c>
      <c r="L36" s="7">
        <f>E36/$D36</f>
        <v>0.65119179179543096</v>
      </c>
      <c r="M36" s="7">
        <f>F36/$D36</f>
        <v>0.55449593766927274</v>
      </c>
      <c r="N36" s="7">
        <f>G36/$D36</f>
        <v>0.21188565537931234</v>
      </c>
      <c r="O36" s="7">
        <f t="shared" si="1"/>
        <v>0.30222837348817144</v>
      </c>
      <c r="P36" s="7">
        <f t="shared" si="1"/>
        <v>2.398943874489089E-2</v>
      </c>
    </row>
    <row r="37" spans="2:16" x14ac:dyDescent="0.25">
      <c r="C37" s="1">
        <f>Pivot!C37</f>
        <v>40087</v>
      </c>
      <c r="D37" s="8">
        <f>VLOOKUP(C37,Input!J$4:$K$102,2,0)</f>
        <v>43788861590.690002</v>
      </c>
      <c r="E37" s="8">
        <f>VLOOKUP(C37,Pivot!G55:H174,2,0)</f>
        <v>18050212522.980003</v>
      </c>
      <c r="F37" s="8">
        <f>VLOOKUP(C37,Pivot!K55:L174,2,0)</f>
        <v>15113923941.170002</v>
      </c>
      <c r="G37" s="8">
        <f>VLOOKUP(C37,Pivot!O55:P174,2,0)</f>
        <v>7211282362.8500004</v>
      </c>
      <c r="H37" s="8">
        <f>VLOOKUP(C37,Input!$N$3:$O$102,2,0)</f>
        <v>12597168617.459999</v>
      </c>
      <c r="I37" s="8">
        <f>VLOOKUP(C37,Input!temp_8,2,0)</f>
        <v>719266463.65999997</v>
      </c>
      <c r="K37" s="1">
        <f>Pivot!C37</f>
        <v>40087</v>
      </c>
      <c r="L37" s="7">
        <f>E37/$D37</f>
        <v>0.41221013443331167</v>
      </c>
      <c r="M37" s="7">
        <f>F37/$D37</f>
        <v>0.34515452999087304</v>
      </c>
      <c r="N37" s="7">
        <f>G37/$D37</f>
        <v>0.16468302899162829</v>
      </c>
      <c r="O37" s="7">
        <f t="shared" si="1"/>
        <v>0.28767974685458131</v>
      </c>
      <c r="P37" s="7">
        <f t="shared" si="1"/>
        <v>1.6425785862698106E-2</v>
      </c>
    </row>
    <row r="38" spans="2:16" x14ac:dyDescent="0.25">
      <c r="C38" s="1">
        <f>Pivot!C38</f>
        <v>40118</v>
      </c>
      <c r="D38" s="8">
        <f>VLOOKUP(C38,Input!J$4:$K$102,2,0)</f>
        <v>30442712050.41</v>
      </c>
      <c r="E38" s="8">
        <f>VLOOKUP(C38,Pivot!G56:H175,2,0)</f>
        <v>21036921541.490002</v>
      </c>
      <c r="F38" s="8">
        <f>VLOOKUP(C38,Pivot!K56:L175,2,0)</f>
        <v>17714705203.989998</v>
      </c>
      <c r="G38" s="8">
        <f>VLOOKUP(C38,Pivot!O56:P175,2,0)</f>
        <v>7751269955.25</v>
      </c>
      <c r="H38" s="8">
        <f>VLOOKUP(C38,Input!$N$3:$O$102,2,0)</f>
        <v>7065936096.5500002</v>
      </c>
      <c r="I38" s="8">
        <f>VLOOKUP(C38,Input!temp_8,2,0)</f>
        <v>752409534.13</v>
      </c>
      <c r="K38" s="1">
        <f>Pivot!C38</f>
        <v>40118</v>
      </c>
      <c r="L38" s="7">
        <f>E38/$D38</f>
        <v>0.69103309543036195</v>
      </c>
      <c r="M38" s="7">
        <f>F38/$D38</f>
        <v>0.58190299125308775</v>
      </c>
      <c r="N38" s="7">
        <f>G38/$D38</f>
        <v>0.2546182463117837</v>
      </c>
      <c r="O38" s="7">
        <f t="shared" si="1"/>
        <v>0.23210599912548976</v>
      </c>
      <c r="P38" s="7">
        <f t="shared" si="1"/>
        <v>2.4715588180320044E-2</v>
      </c>
    </row>
    <row r="39" spans="2:16" x14ac:dyDescent="0.25">
      <c r="C39" s="1">
        <f>Pivot!C39</f>
        <v>40148</v>
      </c>
      <c r="D39" s="8">
        <f>VLOOKUP(C39,Input!J$4:$K$102,2,0)</f>
        <v>30141102076.380001</v>
      </c>
      <c r="E39" s="8">
        <f>VLOOKUP(C39,Pivot!G57:H176,2,0)</f>
        <v>27010034507.779999</v>
      </c>
      <c r="F39" s="8">
        <f>VLOOKUP(C39,Pivot!K57:L176,2,0)</f>
        <v>22935300873.869999</v>
      </c>
      <c r="G39" s="8">
        <f>VLOOKUP(C39,Pivot!O57:P176,2,0)</f>
        <v>11583901052.780001</v>
      </c>
      <c r="H39" s="8">
        <f>VLOOKUP(C39,Input!$N$3:$O$102,2,0)</f>
        <v>6367737885.9099998</v>
      </c>
      <c r="I39" s="8">
        <f>VLOOKUP(C39,Input!temp_8,2,0)</f>
        <v>591086562.80999994</v>
      </c>
      <c r="K39" s="1">
        <f>Pivot!C39</f>
        <v>40148</v>
      </c>
      <c r="L39" s="7">
        <f>E39/$D39</f>
        <v>0.89611967204564646</v>
      </c>
      <c r="M39" s="7">
        <f>F39/$D39</f>
        <v>0.76093106402513366</v>
      </c>
      <c r="N39" s="7">
        <f>G39/$D39</f>
        <v>0.38432241208119911</v>
      </c>
      <c r="O39" s="7">
        <f t="shared" si="1"/>
        <v>0.21126426863137368</v>
      </c>
      <c r="P39" s="7">
        <f t="shared" si="1"/>
        <v>1.9610648652200528E-2</v>
      </c>
    </row>
    <row r="40" spans="2:16" x14ac:dyDescent="0.25">
      <c r="C40" s="1">
        <f>Pivot!C40</f>
        <v>40179</v>
      </c>
      <c r="D40" s="8">
        <f>VLOOKUP(C40,Input!J$4:$K$102,2,0)</f>
        <v>39433551034.650002</v>
      </c>
      <c r="E40" s="8">
        <f>VLOOKUP(C40,Pivot!G58:H177,2,0)</f>
        <v>23918183966.340004</v>
      </c>
      <c r="F40" s="8">
        <f>VLOOKUP(C40,Pivot!K58:L177,2,0)</f>
        <v>20858919599.690002</v>
      </c>
      <c r="G40" s="8">
        <f>VLOOKUP(C40,Pivot!O58:P177,2,0)</f>
        <v>9978849287.2000008</v>
      </c>
      <c r="H40" s="8">
        <f>VLOOKUP(C40,Input!$N$3:$O$102,2,0)</f>
        <v>7787526961.9899998</v>
      </c>
      <c r="I40" s="8">
        <f>VLOOKUP(C40,Input!temp_8,2,0)</f>
        <v>722138217.29999995</v>
      </c>
      <c r="K40" s="1">
        <f>Pivot!C40</f>
        <v>40179</v>
      </c>
      <c r="L40" s="7">
        <f>E40/$D40</f>
        <v>0.60654400475684411</v>
      </c>
      <c r="M40" s="7">
        <f>F40/$D40</f>
        <v>0.5289637644188171</v>
      </c>
      <c r="N40" s="7">
        <f>G40/$D40</f>
        <v>0.25305479789105606</v>
      </c>
      <c r="O40" s="7">
        <f t="shared" si="1"/>
        <v>0.19748480057368284</v>
      </c>
      <c r="P40" s="7">
        <f t="shared" si="1"/>
        <v>1.8312786912481248E-2</v>
      </c>
    </row>
    <row r="41" spans="2:16" x14ac:dyDescent="0.25">
      <c r="C41" s="1">
        <f>Pivot!C41</f>
        <v>40210</v>
      </c>
      <c r="D41" s="8">
        <f>VLOOKUP(C41,Input!J$4:$K$102,2,0)</f>
        <v>31932662872.049999</v>
      </c>
      <c r="E41" s="8">
        <f>VLOOKUP(C41,Pivot!G59:H178,2,0)</f>
        <v>25219459831.370003</v>
      </c>
      <c r="F41" s="8">
        <f>VLOOKUP(C41,Pivot!K59:L178,2,0)</f>
        <v>22732499809.770004</v>
      </c>
      <c r="G41" s="8">
        <f>VLOOKUP(C41,Pivot!O59:P178,2,0)</f>
        <v>9807430995.9200001</v>
      </c>
      <c r="H41" s="8">
        <f>VLOOKUP(C41,Input!$N$3:$O$102,2,0)</f>
        <v>7313276582.3500004</v>
      </c>
      <c r="I41" s="8">
        <f>VLOOKUP(C41,Input!temp_8,2,0)</f>
        <v>730114182.90999997</v>
      </c>
      <c r="K41" s="1">
        <f>Pivot!C41</f>
        <v>40210</v>
      </c>
      <c r="L41" s="7">
        <f>E41/$D41</f>
        <v>0.78977002113544614</v>
      </c>
      <c r="M41" s="7">
        <f>F41/$D41</f>
        <v>0.71188863581017825</v>
      </c>
      <c r="N41" s="7">
        <f>G41/$D41</f>
        <v>0.30712850460411312</v>
      </c>
      <c r="O41" s="7">
        <f t="shared" si="1"/>
        <v>0.22902182043675287</v>
      </c>
      <c r="P41" s="7">
        <f t="shared" si="1"/>
        <v>2.2864180974680123E-2</v>
      </c>
    </row>
    <row r="42" spans="2:16" x14ac:dyDescent="0.25">
      <c r="C42" s="1">
        <f>Pivot!C42</f>
        <v>40238</v>
      </c>
      <c r="D42" s="8">
        <f>VLOOKUP(C42,Input!J$4:$K$102,2,0)</f>
        <v>35237290881.540001</v>
      </c>
      <c r="E42" s="8">
        <f>VLOOKUP(C42,Pivot!G60:H179,2,0)</f>
        <v>18730250800.600002</v>
      </c>
      <c r="F42" s="8">
        <f>VLOOKUP(C42,Pivot!K60:L179,2,0)</f>
        <v>16626538345.559999</v>
      </c>
      <c r="G42" s="8">
        <f>VLOOKUP(C42,Pivot!O60:P179,2,0)</f>
        <v>7752148414.0900002</v>
      </c>
      <c r="H42" s="8">
        <f>VLOOKUP(C42,Input!$N$3:$O$102,2,0)</f>
        <v>5513307940.1800003</v>
      </c>
      <c r="I42" s="8">
        <f>VLOOKUP(C42,Input!temp_8,2,0)</f>
        <v>822700181.63999999</v>
      </c>
      <c r="K42" s="1">
        <f>Pivot!C42</f>
        <v>40238</v>
      </c>
      <c r="L42" s="7">
        <f>E42/$D42</f>
        <v>0.5315462775945794</v>
      </c>
      <c r="M42" s="7">
        <f>F42/$D42</f>
        <v>0.47184496678404575</v>
      </c>
      <c r="N42" s="7">
        <f>G42/$D42</f>
        <v>0.2199984226980165</v>
      </c>
      <c r="O42" s="7">
        <f t="shared" si="1"/>
        <v>0.15646231030400509</v>
      </c>
      <c r="P42" s="7">
        <f t="shared" si="1"/>
        <v>2.3347429982791143E-2</v>
      </c>
    </row>
    <row r="43" spans="2:16" x14ac:dyDescent="0.25">
      <c r="C43" s="1">
        <f>Pivot!C43</f>
        <v>40269</v>
      </c>
      <c r="D43" s="8">
        <f>VLOOKUP(C43,Input!J$4:$K$102,2,0)</f>
        <v>30111043824.299999</v>
      </c>
      <c r="E43" s="8">
        <f>VLOOKUP(C43,Pivot!G61:H180,2,0)</f>
        <v>21401297125.709999</v>
      </c>
      <c r="F43" s="8">
        <f>VLOOKUP(C43,Pivot!K61:L180,2,0)</f>
        <v>18926472017.360001</v>
      </c>
      <c r="G43" s="8">
        <f>VLOOKUP(C43,Pivot!O61:P180,2,0)</f>
        <v>8759856160.0100002</v>
      </c>
      <c r="H43" s="8">
        <f>VLOOKUP(C43,Input!$N$3:$O$102,2,0)</f>
        <v>4384186680.7299995</v>
      </c>
      <c r="I43" s="8">
        <f>VLOOKUP(C43,Input!temp_8,2,0)</f>
        <v>631906810.01999998</v>
      </c>
      <c r="K43" s="1">
        <f>Pivot!C43</f>
        <v>40269</v>
      </c>
      <c r="L43" s="7">
        <f>E43/$D43</f>
        <v>0.71074577323151045</v>
      </c>
      <c r="M43" s="7">
        <f>F43/$D43</f>
        <v>0.62855582582248759</v>
      </c>
      <c r="N43" s="7">
        <f>G43/$D43</f>
        <v>0.29091838234251727</v>
      </c>
      <c r="O43" s="7">
        <f t="shared" si="1"/>
        <v>0.14560062103167293</v>
      </c>
      <c r="P43" s="7">
        <f t="shared" si="1"/>
        <v>2.0985881914530078E-2</v>
      </c>
    </row>
    <row r="44" spans="2:16" x14ac:dyDescent="0.25">
      <c r="C44" s="1">
        <f>Pivot!C44</f>
        <v>40299</v>
      </c>
      <c r="D44" s="8">
        <f>VLOOKUP(C44,Input!J$4:$K$102,2,0)</f>
        <v>29683095803.759998</v>
      </c>
      <c r="E44" s="8">
        <f>VLOOKUP(C44,Pivot!G62:H181,2,0)</f>
        <v>22794601006.109997</v>
      </c>
      <c r="F44" s="8">
        <f>VLOOKUP(C44,Pivot!K62:L181,2,0)</f>
        <v>19737345072.869999</v>
      </c>
      <c r="G44" s="8">
        <f>VLOOKUP(C44,Pivot!O62:P181,2,0)</f>
        <v>7983117228.6700001</v>
      </c>
      <c r="H44" s="8">
        <f>VLOOKUP(C44,Input!$N$3:$O$102,2,0)</f>
        <v>4878666055.8000002</v>
      </c>
      <c r="I44" s="8">
        <f>VLOOKUP(C44,Input!temp_8,2,0)</f>
        <v>560343522.29999995</v>
      </c>
      <c r="K44" s="1">
        <f>Pivot!C44</f>
        <v>40299</v>
      </c>
      <c r="L44" s="7">
        <f>E44/$D44</f>
        <v>0.76793206331337494</v>
      </c>
      <c r="M44" s="7">
        <f>F44/$D44</f>
        <v>0.66493553109678816</v>
      </c>
      <c r="N44" s="7">
        <f>G44/$D44</f>
        <v>0.26894489986650139</v>
      </c>
      <c r="O44" s="7">
        <f t="shared" si="1"/>
        <v>0.1643583973873107</v>
      </c>
      <c r="P44" s="7">
        <f t="shared" si="1"/>
        <v>1.8877529689104076E-2</v>
      </c>
    </row>
    <row r="45" spans="2:16" x14ac:dyDescent="0.25">
      <c r="C45" s="1">
        <f>Pivot!C45</f>
        <v>40330</v>
      </c>
      <c r="D45" s="8">
        <f>VLOOKUP(C45,Input!J$4:$K$102,2,0)</f>
        <v>29388182206.07</v>
      </c>
      <c r="E45" s="8">
        <f>VLOOKUP(C45,Pivot!G63:H182,2,0)</f>
        <v>26357643573.190002</v>
      </c>
      <c r="F45" s="8">
        <f>VLOOKUP(C45,Pivot!K63:L182,2,0)</f>
        <v>23095750779.380001</v>
      </c>
      <c r="G45" s="8">
        <f>VLOOKUP(C45,Pivot!O63:P182,2,0)</f>
        <v>8159699856.3800001</v>
      </c>
      <c r="H45" s="8">
        <f>VLOOKUP(C45,Input!$N$3:$O$102,2,0)</f>
        <v>4255466989.4200001</v>
      </c>
      <c r="I45" s="8">
        <f>VLOOKUP(C45,Input!temp_8,2,0)</f>
        <v>701407413.24000001</v>
      </c>
      <c r="K45" s="1">
        <f>Pivot!C45</f>
        <v>40330</v>
      </c>
      <c r="L45" s="7">
        <f>E45/$D45</f>
        <v>0.8968790035521812</v>
      </c>
      <c r="M45" s="7">
        <f>F45/$D45</f>
        <v>0.78588565354034301</v>
      </c>
      <c r="N45" s="7">
        <f>G45/$D45</f>
        <v>0.27765241821233333</v>
      </c>
      <c r="O45" s="7">
        <f t="shared" si="1"/>
        <v>0.14480198059140426</v>
      </c>
      <c r="P45" s="7">
        <f t="shared" si="1"/>
        <v>2.3866988720899089E-2</v>
      </c>
    </row>
    <row r="46" spans="2:16" x14ac:dyDescent="0.25">
      <c r="C46" s="1">
        <f>Pivot!C46</f>
        <v>40360</v>
      </c>
      <c r="D46" s="8">
        <f>VLOOKUP(C46,Input!J$4:$K$102,2,0)</f>
        <v>29660803047.080002</v>
      </c>
      <c r="E46" s="8">
        <f>VLOOKUP(C46,Pivot!G64:H183,2,0)</f>
        <v>28451985439.279999</v>
      </c>
      <c r="F46" s="8">
        <f>VLOOKUP(C46,Pivot!K64:L183,2,0)</f>
        <v>25054192083.110001</v>
      </c>
      <c r="G46" s="8">
        <f>VLOOKUP(C46,Pivot!O64:P183,2,0)</f>
        <v>8955541938.4400005</v>
      </c>
      <c r="H46" s="8">
        <f>VLOOKUP(C46,Input!$N$3:$O$102,2,0)</f>
        <v>7398138252.6400003</v>
      </c>
      <c r="I46" s="8">
        <f>VLOOKUP(C46,Input!temp_8,2,0)</f>
        <v>526314688.00999999</v>
      </c>
      <c r="K46" s="1">
        <f>Pivot!C46</f>
        <v>40360</v>
      </c>
      <c r="L46" s="7">
        <f>E46/$D46</f>
        <v>0.95924528388927055</v>
      </c>
      <c r="M46" s="7">
        <f>F46/$D46</f>
        <v>0.84469028176148775</v>
      </c>
      <c r="N46" s="7">
        <f>G46/$D46</f>
        <v>0.30193187703734953</v>
      </c>
      <c r="O46" s="7">
        <f t="shared" si="1"/>
        <v>0.24942474554370908</v>
      </c>
      <c r="P46" s="7">
        <f t="shared" si="1"/>
        <v>1.7744451732294341E-2</v>
      </c>
    </row>
    <row r="47" spans="2:16" x14ac:dyDescent="0.25">
      <c r="C47" s="1">
        <f>Pivot!C47</f>
        <v>40391</v>
      </c>
      <c r="D47" s="8">
        <f>VLOOKUP(C47,Input!J$4:$K$102,2,0)</f>
        <v>31439393000.720001</v>
      </c>
      <c r="E47" s="8">
        <f>VLOOKUP(C47,Pivot!G65:H184,2,0)</f>
        <v>30182508162.220001</v>
      </c>
      <c r="F47" s="8">
        <f>VLOOKUP(C47,Pivot!K65:L184,2,0)</f>
        <v>25021597638.75</v>
      </c>
      <c r="G47" s="8">
        <f>VLOOKUP(C47,Pivot!O65:P184,2,0)</f>
        <v>10445666888.360001</v>
      </c>
      <c r="H47" s="8">
        <f>VLOOKUP(C47,Input!$N$3:$O$102,2,0)</f>
        <v>7511074364.2700005</v>
      </c>
      <c r="I47" s="8">
        <f>VLOOKUP(C47,Input!temp_8,2,0)</f>
        <v>668984431.85000002</v>
      </c>
      <c r="K47" s="1">
        <f>Pivot!C47</f>
        <v>40391</v>
      </c>
      <c r="L47" s="7">
        <f>E47/$D47</f>
        <v>0.96002197502759623</v>
      </c>
      <c r="M47" s="7">
        <f>F47/$D47</f>
        <v>0.79586770769324244</v>
      </c>
      <c r="N47" s="7">
        <f>G47/$D47</f>
        <v>0.3322477278146172</v>
      </c>
      <c r="O47" s="7">
        <f t="shared" si="1"/>
        <v>0.23890646883984012</v>
      </c>
      <c r="P47" s="7">
        <f t="shared" si="1"/>
        <v>2.1278541600172732E-2</v>
      </c>
    </row>
    <row r="48" spans="2:16" x14ac:dyDescent="0.25">
      <c r="C48" s="1">
        <f>Pivot!C48</f>
        <v>40422</v>
      </c>
      <c r="D48" s="8">
        <f>VLOOKUP(C48,Input!J$4:$K$102,2,0)</f>
        <v>34717672051.139999</v>
      </c>
      <c r="E48" s="8">
        <f>VLOOKUP(C48,Pivot!G66:H185,2,0)</f>
        <v>50042935375.950005</v>
      </c>
      <c r="F48" s="8">
        <f>VLOOKUP(C48,Pivot!K66:L185,2,0)</f>
        <v>43137598077.989998</v>
      </c>
      <c r="G48" s="8">
        <f>VLOOKUP(C48,Pivot!O66:P185,2,0)</f>
        <v>13523481421.540001</v>
      </c>
      <c r="H48" s="8">
        <f>VLOOKUP(C48,Input!$N$3:$O$102,2,0)</f>
        <v>9514071989.3199997</v>
      </c>
      <c r="I48" s="8">
        <f>VLOOKUP(C48,Input!temp_8,2,0)</f>
        <v>1042608524.67</v>
      </c>
      <c r="K48" s="1">
        <f>Pivot!C48</f>
        <v>40422</v>
      </c>
      <c r="L48" s="7">
        <f>E48/$D48</f>
        <v>1.4414254303178942</v>
      </c>
      <c r="M48" s="7">
        <f>F48/$D48</f>
        <v>1.2425256513295948</v>
      </c>
      <c r="N48" s="7">
        <f>G48/$D48</f>
        <v>0.38952731051838885</v>
      </c>
      <c r="O48" s="7">
        <f t="shared" si="1"/>
        <v>0.27404118499954527</v>
      </c>
      <c r="P48" s="7">
        <f t="shared" si="1"/>
        <v>3.0031060928688177E-2</v>
      </c>
    </row>
    <row r="49" spans="3:16" x14ac:dyDescent="0.25">
      <c r="C49" s="1">
        <f>Pivot!C49</f>
        <v>40452</v>
      </c>
      <c r="D49" s="8">
        <f>VLOOKUP(C49,Input!J$4:$K$102,2,0)</f>
        <v>55239293692.400002</v>
      </c>
      <c r="E49" s="8">
        <f>VLOOKUP(C49,Pivot!G67:H186,2,0)</f>
        <v>44177303696.580002</v>
      </c>
      <c r="F49" s="8">
        <f>VLOOKUP(C49,Pivot!K67:L186,2,0)</f>
        <v>37554288902.369995</v>
      </c>
      <c r="G49" s="8">
        <f>VLOOKUP(C49,Pivot!O67:P186,2,0)</f>
        <v>13935891180.24</v>
      </c>
      <c r="H49" s="8">
        <f>VLOOKUP(C49,Input!$N$3:$O$102,2,0)</f>
        <v>11239609971.59</v>
      </c>
      <c r="I49" s="8">
        <f>VLOOKUP(C49,Input!temp_8,2,0)</f>
        <v>1340838185.2</v>
      </c>
      <c r="K49" s="1">
        <f>Pivot!C49</f>
        <v>40452</v>
      </c>
      <c r="L49" s="7">
        <f>E49/$D49</f>
        <v>0.79974418106395984</v>
      </c>
      <c r="M49" s="7">
        <f>F49/$D49</f>
        <v>0.67984737660642525</v>
      </c>
      <c r="N49" s="7">
        <f>G49/$D49</f>
        <v>0.25228221160542003</v>
      </c>
      <c r="O49" s="7">
        <f t="shared" si="1"/>
        <v>0.20347128321693914</v>
      </c>
      <c r="P49" s="7">
        <f t="shared" si="1"/>
        <v>2.4273268095469456E-2</v>
      </c>
    </row>
    <row r="50" spans="3:16" x14ac:dyDescent="0.25">
      <c r="C50" s="1">
        <f>Pivot!C50</f>
        <v>40483</v>
      </c>
      <c r="D50" s="8">
        <f>VLOOKUP(C50,Input!J$4:$K$102,2,0)</f>
        <v>51885359259.599998</v>
      </c>
      <c r="E50" s="8">
        <f>VLOOKUP(C50,Pivot!G68:H187,2,0)</f>
        <v>44633959622.000008</v>
      </c>
      <c r="F50" s="8">
        <f>VLOOKUP(C50,Pivot!K68:L187,2,0)</f>
        <v>36330744156.989998</v>
      </c>
      <c r="G50" s="8">
        <f>VLOOKUP(C50,Pivot!O68:P187,2,0)</f>
        <v>13909502726.82</v>
      </c>
      <c r="H50" s="8">
        <f>VLOOKUP(C50,Input!$N$3:$O$102,2,0)</f>
        <v>14263271296.870001</v>
      </c>
      <c r="I50" s="8">
        <f>VLOOKUP(C50,Input!temp_8,2,0)</f>
        <v>1494751501.72</v>
      </c>
      <c r="K50" s="1">
        <f>Pivot!C50</f>
        <v>40483</v>
      </c>
      <c r="L50" s="7">
        <f>E50/$D50</f>
        <v>0.86024189210449931</v>
      </c>
      <c r="M50" s="7">
        <f>F50/$D50</f>
        <v>0.70021186468450569</v>
      </c>
      <c r="N50" s="7">
        <f>G50/$D50</f>
        <v>0.26808145737656075</v>
      </c>
      <c r="O50" s="7">
        <f t="shared" si="1"/>
        <v>0.2748997308760267</v>
      </c>
      <c r="P50" s="7">
        <f t="shared" si="1"/>
        <v>2.8808733774806354E-2</v>
      </c>
    </row>
    <row r="51" spans="3:16" x14ac:dyDescent="0.25">
      <c r="C51" s="1">
        <f>Pivot!C51</f>
        <v>40513</v>
      </c>
      <c r="D51" s="8">
        <f>VLOOKUP(C51,Input!J$4:$K$102,2,0)</f>
        <v>52693212525.540001</v>
      </c>
      <c r="E51" s="8">
        <f>VLOOKUP(C51,Pivot!G69:H188,2,0)</f>
        <v>55384789442.399994</v>
      </c>
      <c r="F51" s="8">
        <f>VLOOKUP(C51,Pivot!K69:L188,2,0)</f>
        <v>48267923274.330002</v>
      </c>
      <c r="G51" s="8">
        <f>VLOOKUP(C51,Pivot!O69:P188,2,0)</f>
        <v>14878642995.780001</v>
      </c>
      <c r="H51" s="8">
        <f>VLOOKUP(C51,Input!$N$3:$O$102,2,0)</f>
        <v>16380557214.389999</v>
      </c>
      <c r="I51" s="8">
        <f>VLOOKUP(C51,Input!temp_8,2,0)</f>
        <v>1607350392.05</v>
      </c>
      <c r="K51" s="1">
        <f>Pivot!C51</f>
        <v>40513</v>
      </c>
      <c r="L51" s="7">
        <f>E51/$D51</f>
        <v>1.0510801446306848</v>
      </c>
      <c r="M51" s="7">
        <f>F51/$D51</f>
        <v>0.91601785051414175</v>
      </c>
      <c r="N51" s="7">
        <f>G51/$D51</f>
        <v>0.28236355846720174</v>
      </c>
      <c r="O51" s="7">
        <f t="shared" si="1"/>
        <v>0.31086655053438744</v>
      </c>
      <c r="P51" s="7">
        <f t="shared" si="1"/>
        <v>3.0503936180982121E-2</v>
      </c>
    </row>
    <row r="52" spans="3:16" x14ac:dyDescent="0.25">
      <c r="C52" s="1">
        <f>Pivot!C52</f>
        <v>40544</v>
      </c>
      <c r="D52" s="8">
        <f>VLOOKUP(C52,Input!J$4:$K$102,2,0)</f>
        <v>61709565705.349998</v>
      </c>
      <c r="E52" s="8">
        <f>VLOOKUP(C52,Pivot!G70:H189,2,0)</f>
        <v>46227404593.440002</v>
      </c>
      <c r="F52" s="8">
        <f>VLOOKUP(C52,Pivot!K70:L189,2,0)</f>
        <v>38924897504.110001</v>
      </c>
      <c r="G52" s="8">
        <f>VLOOKUP(C52,Pivot!O70:P189,2,0)</f>
        <v>15157548488.809999</v>
      </c>
      <c r="H52" s="8">
        <f>VLOOKUP(C52,Input!$N$3:$O$102,2,0)</f>
        <v>17444293018.130001</v>
      </c>
      <c r="I52" s="8">
        <f>VLOOKUP(C52,Input!temp_8,2,0)</f>
        <v>1869879274.6800001</v>
      </c>
      <c r="K52" s="1">
        <f>Pivot!C52</f>
        <v>40544</v>
      </c>
      <c r="L52" s="7">
        <f>E52/$D52</f>
        <v>0.7491124603625634</v>
      </c>
      <c r="M52" s="7">
        <f>F52/$D52</f>
        <v>0.63077574860870156</v>
      </c>
      <c r="N52" s="7">
        <f>G52/$D52</f>
        <v>0.24562721055571932</v>
      </c>
      <c r="O52" s="7">
        <f t="shared" si="1"/>
        <v>0.28268377550123713</v>
      </c>
      <c r="P52" s="7">
        <f t="shared" si="1"/>
        <v>3.0301287220335895E-2</v>
      </c>
    </row>
    <row r="53" spans="3:16" x14ac:dyDescent="0.25">
      <c r="C53" s="1">
        <f>Pivot!C53</f>
        <v>40575</v>
      </c>
      <c r="D53" s="8">
        <f>VLOOKUP(C53,Input!J$4:$K$102,2,0)</f>
        <v>52273497066.529999</v>
      </c>
      <c r="E53" s="8">
        <f>VLOOKUP(C53,Pivot!G71:H190,2,0)</f>
        <v>36643166088.080002</v>
      </c>
      <c r="F53" s="8">
        <f>VLOOKUP(C53,Pivot!K71:L190,2,0)</f>
        <v>31432931957.270004</v>
      </c>
      <c r="G53" s="8">
        <f>VLOOKUP(C53,Pivot!O71:P190,2,0)</f>
        <v>12839332402.040001</v>
      </c>
      <c r="H53" s="8">
        <f>VLOOKUP(C53,Input!$N$3:$O$102,2,0)</f>
        <v>11490900350.65</v>
      </c>
      <c r="I53" s="8">
        <f>VLOOKUP(C53,Input!temp_8,2,0)</f>
        <v>1481460250.46</v>
      </c>
      <c r="K53" s="1">
        <f>Pivot!C53</f>
        <v>40575</v>
      </c>
      <c r="L53" s="7">
        <f>E53/$D53</f>
        <v>0.70098937596318034</v>
      </c>
      <c r="M53" s="7">
        <f>F53/$D53</f>
        <v>0.60131679954881145</v>
      </c>
      <c r="N53" s="7">
        <f>G53/$D53</f>
        <v>0.24561839407260258</v>
      </c>
      <c r="O53" s="7">
        <f t="shared" si="1"/>
        <v>0.21982268253499851</v>
      </c>
      <c r="P53" s="7">
        <f t="shared" si="1"/>
        <v>2.8340561347454954E-2</v>
      </c>
    </row>
    <row r="54" spans="3:16" x14ac:dyDescent="0.25">
      <c r="C54" s="1">
        <f>Pivot!C54</f>
        <v>40603</v>
      </c>
      <c r="D54" s="8">
        <f>VLOOKUP(C54,Input!J$4:$K$102,2,0)</f>
        <v>41225554464.540001</v>
      </c>
      <c r="E54" s="8">
        <f>VLOOKUP(C54,Pivot!G72:H191,2,0)</f>
        <v>38292325978.140007</v>
      </c>
      <c r="F54" s="8">
        <f>VLOOKUP(C54,Pivot!K72:L191,2,0)</f>
        <v>33049785948.009998</v>
      </c>
      <c r="G54" s="8">
        <f>VLOOKUP(C54,Pivot!O72:P191,2,0)</f>
        <v>9636191150.4599991</v>
      </c>
      <c r="H54" s="8">
        <f>VLOOKUP(C54,Input!$N$3:$O$102,2,0)</f>
        <v>7652424808.5900002</v>
      </c>
      <c r="I54" s="8">
        <f>VLOOKUP(C54,Input!temp_8,2,0)</f>
        <v>1085385963.24</v>
      </c>
      <c r="K54" s="1">
        <f>Pivot!C54</f>
        <v>40603</v>
      </c>
      <c r="L54" s="7">
        <f>E54/$D54</f>
        <v>0.92884926535256185</v>
      </c>
      <c r="M54" s="7">
        <f>F54/$D54</f>
        <v>0.80168202410564648</v>
      </c>
      <c r="N54" s="7">
        <f>G54/$D54</f>
        <v>0.23374315459476794</v>
      </c>
      <c r="O54" s="7">
        <f t="shared" si="1"/>
        <v>0.18562333261453653</v>
      </c>
      <c r="P54" s="7">
        <f t="shared" si="1"/>
        <v>2.6327989455510913E-2</v>
      </c>
    </row>
    <row r="55" spans="3:16" x14ac:dyDescent="0.25">
      <c r="C55" s="1">
        <f>Pivot!C55</f>
        <v>40634</v>
      </c>
      <c r="D55" s="8">
        <f>VLOOKUP(C55,Input!J$4:$K$102,2,0)</f>
        <v>41361598109.220001</v>
      </c>
      <c r="E55" s="8">
        <f>VLOOKUP(C55,Pivot!G73:H192,2,0)</f>
        <v>22351455715.170002</v>
      </c>
      <c r="F55" s="8">
        <f>VLOOKUP(C55,Pivot!K73:L192,2,0)</f>
        <v>19178248214.91</v>
      </c>
      <c r="G55" s="8">
        <f>VLOOKUP(C55,Pivot!O73:P192,2,0)</f>
        <v>7444150512.3199997</v>
      </c>
      <c r="H55" s="8">
        <f>VLOOKUP(C55,Input!$N$3:$O$102,2,0)</f>
        <v>9394709143.4799995</v>
      </c>
      <c r="I55" s="8">
        <f>VLOOKUP(C55,Input!temp_8,2,0)</f>
        <v>829446925.97000003</v>
      </c>
      <c r="K55" s="1">
        <f>Pivot!C55</f>
        <v>40634</v>
      </c>
      <c r="L55" s="7">
        <f>E55/$D55</f>
        <v>0.5403914920344336</v>
      </c>
      <c r="M55" s="7">
        <f>F55/$D55</f>
        <v>0.46367280500786395</v>
      </c>
      <c r="N55" s="7">
        <f>G55/$D55</f>
        <v>0.17997734257421277</v>
      </c>
      <c r="O55" s="7">
        <f t="shared" si="1"/>
        <v>0.22713602889985543</v>
      </c>
      <c r="P55" s="7">
        <f t="shared" si="1"/>
        <v>2.0053551213851824E-2</v>
      </c>
    </row>
    <row r="56" spans="3:16" x14ac:dyDescent="0.25">
      <c r="C56" s="1">
        <f>Pivot!C56</f>
        <v>40664</v>
      </c>
      <c r="D56" s="8">
        <f>VLOOKUP(C56,Input!J$4:$K$102,2,0)</f>
        <v>24971547348.939999</v>
      </c>
      <c r="E56" s="8">
        <f>VLOOKUP(C56,Pivot!G74:H193,2,0)</f>
        <v>20570231744.970005</v>
      </c>
      <c r="F56" s="8">
        <f>VLOOKUP(C56,Pivot!K74:L193,2,0)</f>
        <v>17640079186.739998</v>
      </c>
      <c r="G56" s="8">
        <f>VLOOKUP(C56,Pivot!O74:P193,2,0)</f>
        <v>6796796476.5</v>
      </c>
      <c r="H56" s="8">
        <f>VLOOKUP(C56,Input!$N$3:$O$102,2,0)</f>
        <v>5833468204.71</v>
      </c>
      <c r="I56" s="8">
        <f>VLOOKUP(C56,Input!temp_8,2,0)</f>
        <v>591091643.78999996</v>
      </c>
      <c r="K56" s="1">
        <f>Pivot!C56</f>
        <v>40664</v>
      </c>
      <c r="L56" s="7">
        <f>E56/$D56</f>
        <v>0.82374678098764986</v>
      </c>
      <c r="M56" s="7">
        <f>F56/$D56</f>
        <v>0.70640713369685482</v>
      </c>
      <c r="N56" s="7">
        <f>G56/$D56</f>
        <v>0.27218163061843714</v>
      </c>
      <c r="O56" s="7">
        <f t="shared" si="1"/>
        <v>0.23360459498948996</v>
      </c>
      <c r="P56" s="7">
        <f t="shared" si="1"/>
        <v>2.3670605410645119E-2</v>
      </c>
    </row>
    <row r="57" spans="3:16" x14ac:dyDescent="0.25">
      <c r="C57" s="1">
        <f>Pivot!C57</f>
        <v>40695</v>
      </c>
      <c r="D57" s="8">
        <f>VLOOKUP(C57,Input!J$4:$K$102,2,0)</f>
        <v>22927020807.419998</v>
      </c>
      <c r="E57" s="8">
        <f>VLOOKUP(C57,Pivot!G75:H194,2,0)</f>
        <v>24595603786.650002</v>
      </c>
      <c r="F57" s="8">
        <f>VLOOKUP(C57,Pivot!K75:L194,2,0)</f>
        <v>21250587531.379997</v>
      </c>
      <c r="G57" s="8">
        <f>VLOOKUP(C57,Pivot!O75:P194,2,0)</f>
        <v>8100182361.9399996</v>
      </c>
      <c r="H57" s="8">
        <f>VLOOKUP(C57,Input!$N$3:$O$102,2,0)</f>
        <v>5749274469.8800001</v>
      </c>
      <c r="I57" s="8">
        <f>VLOOKUP(C57,Input!temp_8,2,0)</f>
        <v>614267708.50999999</v>
      </c>
      <c r="K57" s="1">
        <f>Pivot!C57</f>
        <v>40695</v>
      </c>
      <c r="L57" s="7">
        <f>E57/$D57</f>
        <v>1.0727780112926835</v>
      </c>
      <c r="M57" s="7">
        <f>F57/$D57</f>
        <v>0.92687958500489309</v>
      </c>
      <c r="N57" s="7">
        <f>G57/$D57</f>
        <v>0.35330287480344996</v>
      </c>
      <c r="O57" s="7">
        <f t="shared" si="1"/>
        <v>0.25076413190235908</v>
      </c>
      <c r="P57" s="7">
        <f t="shared" si="1"/>
        <v>2.6792303878888667E-2</v>
      </c>
    </row>
    <row r="58" spans="3:16" x14ac:dyDescent="0.25">
      <c r="C58" s="1">
        <f>Pivot!C58</f>
        <v>40725</v>
      </c>
      <c r="D58" s="8">
        <f>VLOOKUP(C58,Input!J$4:$K$102,2,0)</f>
        <v>26922386992.110001</v>
      </c>
      <c r="E58" s="8">
        <f>VLOOKUP(C58,Pivot!G76:H195,2,0)</f>
        <v>20071516146.039997</v>
      </c>
      <c r="F58" s="8">
        <f>VLOOKUP(C58,Pivot!K76:L195,2,0)</f>
        <v>17100427033.15</v>
      </c>
      <c r="G58" s="8">
        <f>VLOOKUP(C58,Pivot!O76:P195,2,0)</f>
        <v>5308788048.8400002</v>
      </c>
      <c r="H58" s="8">
        <f>VLOOKUP(C58,Input!$N$3:$O$102,2,0)</f>
        <v>5857655726.2700005</v>
      </c>
      <c r="I58" s="8">
        <f>VLOOKUP(C58,Input!temp_8,2,0)</f>
        <v>757313398.25999999</v>
      </c>
      <c r="K58" s="1">
        <f>Pivot!C58</f>
        <v>40725</v>
      </c>
      <c r="L58" s="7">
        <f>E58/$D58</f>
        <v>0.74553256187581918</v>
      </c>
      <c r="M58" s="7">
        <f>F58/$D58</f>
        <v>0.63517499537323829</v>
      </c>
      <c r="N58" s="7">
        <f>G58/$D58</f>
        <v>0.19718860925652015</v>
      </c>
      <c r="O58" s="7">
        <f t="shared" si="1"/>
        <v>0.21757564542797309</v>
      </c>
      <c r="P58" s="7">
        <f t="shared" si="1"/>
        <v>2.8129504210824312E-2</v>
      </c>
    </row>
    <row r="59" spans="3:16" x14ac:dyDescent="0.25">
      <c r="C59" s="1">
        <f>Pivot!C59</f>
        <v>40756</v>
      </c>
      <c r="D59" s="8">
        <f>VLOOKUP(C59,Input!J$4:$K$102,2,0)</f>
        <v>22066926046.009998</v>
      </c>
      <c r="E59" s="8">
        <f>VLOOKUP(C59,Pivot!G77:H196,2,0)</f>
        <v>26643806156.700001</v>
      </c>
      <c r="F59" s="8">
        <f>VLOOKUP(C59,Pivot!K77:L196,2,0)</f>
        <v>22450886954</v>
      </c>
      <c r="G59" s="8">
        <f>VLOOKUP(C59,Pivot!O77:P196,2,0)</f>
        <v>8975675585.0300007</v>
      </c>
      <c r="H59" s="8">
        <f>VLOOKUP(C59,Input!$N$3:$O$102,2,0)</f>
        <v>6097501802.75</v>
      </c>
      <c r="I59" s="8">
        <f>VLOOKUP(C59,Input!temp_8,2,0)</f>
        <v>648715819.03999996</v>
      </c>
      <c r="K59" s="1">
        <f>Pivot!C59</f>
        <v>40756</v>
      </c>
      <c r="L59" s="7">
        <f>E59/$D59</f>
        <v>1.2074090474199766</v>
      </c>
      <c r="M59" s="7">
        <f>F59/$D59</f>
        <v>1.0173998366237977</v>
      </c>
      <c r="N59" s="7">
        <f>G59/$D59</f>
        <v>0.40674788895904807</v>
      </c>
      <c r="O59" s="7">
        <f t="shared" si="1"/>
        <v>0.2763185860158584</v>
      </c>
      <c r="P59" s="7">
        <f t="shared" si="1"/>
        <v>2.939765229137099E-2</v>
      </c>
    </row>
    <row r="60" spans="3:16" x14ac:dyDescent="0.25">
      <c r="C60" s="1">
        <f>Pivot!C60</f>
        <v>40787</v>
      </c>
      <c r="D60" s="8">
        <f>VLOOKUP(C60,Input!J$4:$K$102,2,0)</f>
        <v>27236343791.790001</v>
      </c>
      <c r="E60" s="8">
        <f>VLOOKUP(C60,Pivot!G78:H197,2,0)</f>
        <v>31978531591.070004</v>
      </c>
      <c r="F60" s="8">
        <f>VLOOKUP(C60,Pivot!K78:L197,2,0)</f>
        <v>27361561800.900002</v>
      </c>
      <c r="G60" s="8">
        <f>VLOOKUP(C60,Pivot!O78:P197,2,0)</f>
        <v>9862037476.5100002</v>
      </c>
      <c r="H60" s="8">
        <f>VLOOKUP(C60,Input!$N$3:$O$102,2,0)</f>
        <v>8570383969.2799997</v>
      </c>
      <c r="I60" s="8">
        <f>VLOOKUP(C60,Input!temp_8,2,0)</f>
        <v>738808001.14999998</v>
      </c>
      <c r="K60" s="1">
        <f>Pivot!C60</f>
        <v>40787</v>
      </c>
      <c r="L60" s="7">
        <f>E60/$D60</f>
        <v>1.174112495991825</v>
      </c>
      <c r="M60" s="7">
        <f>F60/$D60</f>
        <v>1.0045974602930274</v>
      </c>
      <c r="N60" s="7">
        <f>G60/$D60</f>
        <v>0.36209109239848736</v>
      </c>
      <c r="O60" s="7">
        <f t="shared" si="1"/>
        <v>0.31466719743284399</v>
      </c>
      <c r="P60" s="7">
        <f t="shared" si="1"/>
        <v>2.7125814198772996E-2</v>
      </c>
    </row>
    <row r="61" spans="3:16" x14ac:dyDescent="0.25">
      <c r="C61" s="1">
        <f>Pivot!C61</f>
        <v>40817</v>
      </c>
      <c r="D61" s="8">
        <f>VLOOKUP(C61,Input!J$4:$K$102,2,0)</f>
        <v>35651163369.57</v>
      </c>
      <c r="E61" s="8">
        <f>VLOOKUP(C61,Pivot!G79:H198,2,0)</f>
        <v>30996359405.019997</v>
      </c>
      <c r="F61" s="8">
        <f>VLOOKUP(C61,Pivot!K79:L198,2,0)</f>
        <v>24699811825.130001</v>
      </c>
      <c r="G61" s="8">
        <f>VLOOKUP(C61,Pivot!O79:P198,2,0)</f>
        <v>11864275980.860001</v>
      </c>
      <c r="H61" s="8">
        <f>VLOOKUP(C61,Input!$N$3:$O$102,2,0)</f>
        <v>8222757284.5900002</v>
      </c>
      <c r="I61" s="8">
        <f>VLOOKUP(C61,Input!temp_8,2,0)</f>
        <v>956590474.38</v>
      </c>
      <c r="K61" s="1">
        <f>Pivot!C61</f>
        <v>40817</v>
      </c>
      <c r="L61" s="7">
        <f>E61/$D61</f>
        <v>0.86943472457554904</v>
      </c>
      <c r="M61" s="7">
        <f>F61/$D61</f>
        <v>0.69281923759639474</v>
      </c>
      <c r="N61" s="7">
        <f>G61/$D61</f>
        <v>0.33278790534467484</v>
      </c>
      <c r="O61" s="7">
        <f t="shared" si="1"/>
        <v>0.23064485159574127</v>
      </c>
      <c r="P61" s="7">
        <f t="shared" si="1"/>
        <v>2.6831956771332082E-2</v>
      </c>
    </row>
    <row r="62" spans="3:16" x14ac:dyDescent="0.25">
      <c r="C62" s="1">
        <f>Pivot!C62</f>
        <v>40848</v>
      </c>
      <c r="D62" s="8">
        <f>VLOOKUP(C62,Input!J$4:$K$102,2,0)</f>
        <v>36413415479.32</v>
      </c>
      <c r="E62" s="8">
        <f>VLOOKUP(C62,Pivot!G80:H199,2,0)</f>
        <v>39760085391.100006</v>
      </c>
      <c r="F62" s="8">
        <f>VLOOKUP(C62,Pivot!K80:L199,2,0)</f>
        <v>33459411350.709999</v>
      </c>
      <c r="G62" s="8">
        <f>VLOOKUP(C62,Pivot!O80:P199,2,0)</f>
        <v>14706099941.799999</v>
      </c>
      <c r="H62" s="8">
        <f>VLOOKUP(C62,Input!$N$3:$O$102,2,0)</f>
        <v>12339709417.91</v>
      </c>
      <c r="I62" s="8">
        <f>VLOOKUP(C62,Input!temp_8,2,0)</f>
        <v>1593261256.0899999</v>
      </c>
      <c r="K62" s="1">
        <f>Pivot!C62</f>
        <v>40848</v>
      </c>
      <c r="L62" s="7">
        <f>E62/$D62</f>
        <v>1.0919076078892038</v>
      </c>
      <c r="M62" s="7">
        <f>F62/$D62</f>
        <v>0.91887593927332512</v>
      </c>
      <c r="N62" s="7">
        <f>G62/$D62</f>
        <v>0.40386488738338555</v>
      </c>
      <c r="O62" s="7">
        <f t="shared" si="1"/>
        <v>0.33887811004485419</v>
      </c>
      <c r="P62" s="7">
        <f t="shared" si="1"/>
        <v>4.3754787490199842E-2</v>
      </c>
    </row>
    <row r="63" spans="3:16" x14ac:dyDescent="0.25">
      <c r="C63" s="1">
        <f>Pivot!C63</f>
        <v>40878</v>
      </c>
      <c r="D63" s="8">
        <f>VLOOKUP(C63,Input!J$4:$K$102,2,0)</f>
        <v>47384086407.980003</v>
      </c>
      <c r="E63" s="8">
        <f>VLOOKUP(C63,Pivot!G81:H200,2,0)</f>
        <v>50207107917.200005</v>
      </c>
      <c r="F63" s="8">
        <f>VLOOKUP(C63,Pivot!K81:L200,2,0)</f>
        <v>44194497888.770004</v>
      </c>
      <c r="G63" s="8">
        <f>VLOOKUP(C63,Pivot!O81:P200,2,0)</f>
        <v>23937608890.639999</v>
      </c>
      <c r="H63" s="8">
        <f>VLOOKUP(C63,Input!$N$3:$O$102,2,0)</f>
        <v>12933874632.5</v>
      </c>
      <c r="I63" s="8">
        <f>VLOOKUP(C63,Input!temp_8,2,0)</f>
        <v>2303398729.9200001</v>
      </c>
      <c r="K63" s="1">
        <f>Pivot!C63</f>
        <v>40878</v>
      </c>
      <c r="L63" s="7">
        <f>E63/$D63</f>
        <v>1.0595774177202364</v>
      </c>
      <c r="M63" s="7">
        <f>F63/$D63</f>
        <v>0.93268650382435492</v>
      </c>
      <c r="N63" s="7">
        <f>G63/$D63</f>
        <v>0.50518245059186462</v>
      </c>
      <c r="O63" s="7">
        <f t="shared" si="1"/>
        <v>0.27295819362514484</v>
      </c>
      <c r="P63" s="7">
        <f t="shared" si="1"/>
        <v>4.8611230151987955E-2</v>
      </c>
    </row>
    <row r="64" spans="3:16" x14ac:dyDescent="0.25">
      <c r="C64" s="1">
        <f>Pivot!C64</f>
        <v>40909</v>
      </c>
      <c r="D64" s="8">
        <f>VLOOKUP(C64,Input!J$4:$K$102,2,0)</f>
        <v>56066681468.849998</v>
      </c>
      <c r="E64" s="8">
        <f>VLOOKUP(C64,Pivot!G82:H201,2,0)</f>
        <v>34362268311.120003</v>
      </c>
      <c r="F64" s="8">
        <f>VLOOKUP(C64,Pivot!K82:L201,2,0)</f>
        <v>29007806067.68</v>
      </c>
      <c r="G64" s="8">
        <f>VLOOKUP(C64,Pivot!O82:P201,2,0)</f>
        <v>15368979575.26</v>
      </c>
      <c r="H64" s="8">
        <f>VLOOKUP(C64,Input!$N$3:$O$102,2,0)</f>
        <v>16481604606.09</v>
      </c>
      <c r="I64" s="8">
        <f>VLOOKUP(C64,Input!temp_8,2,0)</f>
        <v>1822022545.7</v>
      </c>
      <c r="K64" s="1">
        <f>Pivot!C64</f>
        <v>40909</v>
      </c>
      <c r="L64" s="7">
        <f>E64/$D64</f>
        <v>0.61288215051948958</v>
      </c>
      <c r="M64" s="7">
        <f>F64/$D64</f>
        <v>0.51738047103423457</v>
      </c>
      <c r="N64" s="7">
        <f>G64/$D64</f>
        <v>0.27411965846059266</v>
      </c>
      <c r="O64" s="7">
        <f t="shared" si="1"/>
        <v>0.29396433272489991</v>
      </c>
      <c r="P64" s="7">
        <f t="shared" si="1"/>
        <v>3.2497420891805316E-2</v>
      </c>
    </row>
    <row r="65" spans="3:16" x14ac:dyDescent="0.25">
      <c r="C65" s="1">
        <f>Pivot!C65</f>
        <v>40940</v>
      </c>
      <c r="D65" s="8">
        <f>VLOOKUP(C65,Input!J$4:$K$102,2,0)</f>
        <v>41922794991.639999</v>
      </c>
      <c r="E65" s="8">
        <f>VLOOKUP(C65,Pivot!G83:H202,2,0)</f>
        <v>32906311435.989998</v>
      </c>
      <c r="F65" s="8">
        <f>VLOOKUP(C65,Pivot!K83:L202,2,0)</f>
        <v>27491822121.099998</v>
      </c>
      <c r="G65" s="8">
        <f>VLOOKUP(C65,Pivot!O83:P202,2,0)</f>
        <v>14632091015.389999</v>
      </c>
      <c r="H65" s="8">
        <f>VLOOKUP(C65,Input!$N$3:$O$102,2,0)</f>
        <v>14136133994.99</v>
      </c>
      <c r="I65" s="8">
        <f>VLOOKUP(C65,Input!temp_8,2,0)</f>
        <v>2257480078.21</v>
      </c>
      <c r="K65" s="1">
        <f>Pivot!C65</f>
        <v>40940</v>
      </c>
      <c r="L65" s="7">
        <f>E65/$D65</f>
        <v>0.78492646882327344</v>
      </c>
      <c r="M65" s="7">
        <f>F65/$D65</f>
        <v>0.65577264413267911</v>
      </c>
      <c r="N65" s="7">
        <f>G65/$D65</f>
        <v>0.34902470167620853</v>
      </c>
      <c r="O65" s="7">
        <f t="shared" si="1"/>
        <v>0.337194454659069</v>
      </c>
      <c r="P65" s="7">
        <f t="shared" si="1"/>
        <v>5.3848510784172993E-2</v>
      </c>
    </row>
    <row r="66" spans="3:16" x14ac:dyDescent="0.25">
      <c r="C66" s="1">
        <f>Pivot!C66</f>
        <v>40969</v>
      </c>
      <c r="D66" s="8">
        <f>VLOOKUP(C66,Input!J$4:$K$102,2,0)</f>
        <v>39240798844.5</v>
      </c>
      <c r="E66" s="8">
        <f>VLOOKUP(C66,Pivot!G84:H203,2,0)</f>
        <v>56829158720.450005</v>
      </c>
      <c r="F66" s="8">
        <f>VLOOKUP(C66,Pivot!K84:L203,2,0)</f>
        <v>49399023902</v>
      </c>
      <c r="G66" s="8">
        <f>VLOOKUP(C66,Pivot!O84:P203,2,0)</f>
        <v>30737250033.549999</v>
      </c>
      <c r="H66" s="8">
        <f>VLOOKUP(C66,Input!$N$3:$O$102,2,0)</f>
        <v>14574301137.59</v>
      </c>
      <c r="I66" s="8">
        <f>VLOOKUP(C66,Input!temp_8,2,0)</f>
        <v>1447607542.4300001</v>
      </c>
      <c r="K66" s="1">
        <f>Pivot!C66</f>
        <v>40969</v>
      </c>
      <c r="L66" s="7">
        <f>E66/$D66</f>
        <v>1.4482161524195167</v>
      </c>
      <c r="M66" s="7">
        <f>F66/$D66</f>
        <v>1.2588689669074813</v>
      </c>
      <c r="N66" s="7">
        <f>G66/$D66</f>
        <v>0.78329827472047353</v>
      </c>
      <c r="O66" s="7">
        <f t="shared" si="1"/>
        <v>0.3714068410111569</v>
      </c>
      <c r="P66" s="7">
        <f t="shared" si="1"/>
        <v>3.6890368826752291E-2</v>
      </c>
    </row>
    <row r="67" spans="3:16" x14ac:dyDescent="0.25">
      <c r="C67" s="1">
        <f>Pivot!C67</f>
        <v>41000</v>
      </c>
      <c r="D67" s="8">
        <f>VLOOKUP(C67,Input!J$4:$K$102,2,0)</f>
        <v>69774767287.619995</v>
      </c>
      <c r="E67" s="8">
        <f>VLOOKUP(C67,Pivot!G85:H204,2,0)</f>
        <v>24204177130.650005</v>
      </c>
      <c r="F67" s="8">
        <f>VLOOKUP(C67,Pivot!K85:L204,2,0)</f>
        <v>20740945194.540001</v>
      </c>
      <c r="G67" s="8">
        <f>VLOOKUP(C67,Pivot!O85:P204,2,0)</f>
        <v>10763728285.6</v>
      </c>
      <c r="H67" s="8">
        <f>VLOOKUP(C67,Input!$N$3:$O$102,2,0)</f>
        <v>15564169734.09</v>
      </c>
      <c r="I67" s="8">
        <f>VLOOKUP(C67,Input!temp_8,2,0)</f>
        <v>2953526040.23</v>
      </c>
      <c r="K67" s="1">
        <f>Pivot!C67</f>
        <v>41000</v>
      </c>
      <c r="L67" s="7">
        <f>E67/$D67</f>
        <v>0.34689011617734922</v>
      </c>
      <c r="M67" s="7">
        <f>F67/$D67</f>
        <v>0.29725566993356389</v>
      </c>
      <c r="N67" s="7">
        <f>G67/$D67</f>
        <v>0.15426390805763085</v>
      </c>
      <c r="O67" s="7">
        <f t="shared" si="1"/>
        <v>0.22306301173220139</v>
      </c>
      <c r="P67" s="7">
        <f t="shared" si="1"/>
        <v>4.2329428746859306E-2</v>
      </c>
    </row>
    <row r="68" spans="3:16" x14ac:dyDescent="0.25">
      <c r="C68" s="1">
        <f>Pivot!C68</f>
        <v>41030</v>
      </c>
      <c r="D68" s="8">
        <f>VLOOKUP(C68,Input!J$4:$K$102,2,0)</f>
        <v>30657516853.389999</v>
      </c>
      <c r="E68" s="8">
        <f>VLOOKUP(C68,Pivot!G86:H205,2,0)</f>
        <v>39777125640.900002</v>
      </c>
      <c r="F68" s="8">
        <f>VLOOKUP(C68,Pivot!K86:L205,2,0)</f>
        <v>33981143082.620003</v>
      </c>
      <c r="G68" s="8">
        <f>VLOOKUP(C68,Pivot!O86:P205,2,0)</f>
        <v>20542825807.290001</v>
      </c>
      <c r="H68" s="8">
        <f>VLOOKUP(C68,Input!$N$3:$O$102,2,0)</f>
        <v>15200655634.24</v>
      </c>
      <c r="I68" s="8">
        <f>VLOOKUP(C68,Input!temp_8,2,0)</f>
        <v>1245552918.52</v>
      </c>
      <c r="K68" s="1">
        <f>Pivot!C68</f>
        <v>41030</v>
      </c>
      <c r="L68" s="7">
        <f>E68/$D68</f>
        <v>1.2974673007967894</v>
      </c>
      <c r="M68" s="7">
        <f>F68/$D68</f>
        <v>1.1084114621912859</v>
      </c>
      <c r="N68" s="7">
        <f>G68/$D68</f>
        <v>0.67007468039664297</v>
      </c>
      <c r="O68" s="7">
        <f t="shared" si="1"/>
        <v>0.49582148831336825</v>
      </c>
      <c r="P68" s="7">
        <f t="shared" si="1"/>
        <v>4.0627977943434486E-2</v>
      </c>
    </row>
    <row r="69" spans="3:16" x14ac:dyDescent="0.25">
      <c r="C69" s="1">
        <f>Pivot!C69</f>
        <v>41061</v>
      </c>
      <c r="D69" s="8">
        <f>VLOOKUP(C69,Input!J$4:$K$102,2,0)</f>
        <v>47881017971.43</v>
      </c>
      <c r="E69" s="8">
        <f>VLOOKUP(C69,Pivot!G87:H206,2,0)</f>
        <v>34861145817.729996</v>
      </c>
      <c r="F69" s="8">
        <f>VLOOKUP(C69,Pivot!K87:L206,2,0)</f>
        <v>26824272069.970001</v>
      </c>
      <c r="G69" s="8">
        <f>VLOOKUP(C69,Pivot!O87:P206,2,0)</f>
        <v>12662763974.040001</v>
      </c>
      <c r="H69" s="8">
        <f>VLOOKUP(C69,Input!$N$3:$O$102,2,0)</f>
        <v>16743096910.440001</v>
      </c>
      <c r="I69" s="8">
        <f>VLOOKUP(C69,Input!temp_8,2,0)</f>
        <v>1540553806.8800001</v>
      </c>
      <c r="K69" s="1">
        <f>Pivot!C69</f>
        <v>41061</v>
      </c>
      <c r="L69" s="7">
        <f>E69/$D69</f>
        <v>0.7280786268690278</v>
      </c>
      <c r="M69" s="7">
        <f>F69/$D69</f>
        <v>0.56022768951937707</v>
      </c>
      <c r="N69" s="7">
        <f>G69/$D69</f>
        <v>0.26446313195754761</v>
      </c>
      <c r="O69" s="7">
        <f t="shared" si="1"/>
        <v>0.34968130628363825</v>
      </c>
      <c r="P69" s="7">
        <f t="shared" si="1"/>
        <v>3.2174625188612929E-2</v>
      </c>
    </row>
    <row r="70" spans="3:16" x14ac:dyDescent="0.25">
      <c r="C70" s="1">
        <f>Pivot!C70</f>
        <v>41091</v>
      </c>
      <c r="D70" s="8">
        <f>VLOOKUP(C70,Input!J$4:$K$102,2,0)</f>
        <v>45540467422.709999</v>
      </c>
      <c r="E70" s="8">
        <f>VLOOKUP(C70,Pivot!G88:H207,2,0)</f>
        <v>39258236449.550011</v>
      </c>
      <c r="F70" s="8">
        <f>VLOOKUP(C70,Pivot!K88:L207,2,0)</f>
        <v>32773125487.220001</v>
      </c>
      <c r="G70" s="8">
        <f>VLOOKUP(C70,Pivot!O88:P207,2,0)</f>
        <v>18046078270.810001</v>
      </c>
      <c r="H70" s="8">
        <f>VLOOKUP(C70,Input!$N$3:$O$102,2,0)</f>
        <v>18490738170.709999</v>
      </c>
      <c r="I70" s="8">
        <f>VLOOKUP(C70,Input!temp_8,2,0)</f>
        <v>2089196644.4200001</v>
      </c>
      <c r="K70" s="1">
        <f>Pivot!C70</f>
        <v>41091</v>
      </c>
      <c r="L70" s="7">
        <f>E70/$D70</f>
        <v>0.86205167999599441</v>
      </c>
      <c r="M70" s="7">
        <f>F70/$D70</f>
        <v>0.71964842132640883</v>
      </c>
      <c r="N70" s="7">
        <f>G70/$D70</f>
        <v>0.39626466947088979</v>
      </c>
      <c r="O70" s="7">
        <f t="shared" si="1"/>
        <v>0.40602873042732729</v>
      </c>
      <c r="P70" s="7">
        <f t="shared" si="1"/>
        <v>4.5875608281046434E-2</v>
      </c>
    </row>
    <row r="71" spans="3:16" x14ac:dyDescent="0.25">
      <c r="C71" s="1">
        <f>Pivot!C71</f>
        <v>41122</v>
      </c>
      <c r="D71" s="8">
        <f>VLOOKUP(C71,Input!J$4:$K$102,2,0)</f>
        <v>50531958795.970001</v>
      </c>
      <c r="E71" s="8">
        <f>VLOOKUP(C71,Pivot!G89:H208,2,0)</f>
        <v>42521773617.960007</v>
      </c>
      <c r="F71" s="8">
        <f>VLOOKUP(C71,Pivot!K89:L208,2,0)</f>
        <v>34907658402.759995</v>
      </c>
      <c r="G71" s="8">
        <f>VLOOKUP(C71,Pivot!O89:P208,2,0)</f>
        <v>15782096596.040001</v>
      </c>
      <c r="H71" s="8">
        <f>VLOOKUP(C71,Input!$N$3:$O$102,2,0)</f>
        <v>19497067174.220001</v>
      </c>
      <c r="I71" s="8">
        <f>VLOOKUP(C71,Input!temp_8,2,0)</f>
        <v>2184176355.4499998</v>
      </c>
      <c r="K71" s="1">
        <f>Pivot!C71</f>
        <v>41122</v>
      </c>
      <c r="L71" s="7">
        <f>E71/$D71</f>
        <v>0.84148278893457784</v>
      </c>
      <c r="M71" s="7">
        <f>F71/$D71</f>
        <v>0.69080358716559254</v>
      </c>
      <c r="N71" s="7">
        <f>G71/$D71</f>
        <v>0.3123191139247633</v>
      </c>
      <c r="O71" s="7">
        <f t="shared" si="1"/>
        <v>0.38583636254715936</v>
      </c>
      <c r="P71" s="7">
        <f t="shared" si="1"/>
        <v>4.3223662954941518E-2</v>
      </c>
    </row>
    <row r="72" spans="3:16" x14ac:dyDescent="0.25">
      <c r="C72" s="1">
        <f>Pivot!C72</f>
        <v>41153</v>
      </c>
      <c r="D72" s="8">
        <f>VLOOKUP(C72,Input!J$4:$K$102,2,0)</f>
        <v>55224298159.940002</v>
      </c>
      <c r="E72" s="8">
        <f>VLOOKUP(C72,Pivot!G90:H209,2,0)</f>
        <v>45617387707.220009</v>
      </c>
      <c r="F72" s="8">
        <f>VLOOKUP(C72,Pivot!K90:L209,2,0)</f>
        <v>37833922333.900002</v>
      </c>
      <c r="G72" s="8">
        <f>VLOOKUP(C72,Pivot!O90:P209,2,0)</f>
        <v>16358817450.4</v>
      </c>
      <c r="H72" s="8">
        <f>VLOOKUP(C72,Input!$N$3:$O$102,2,0)</f>
        <v>22876874384.77</v>
      </c>
      <c r="I72" s="8">
        <f>VLOOKUP(C72,Input!temp_8,2,0)</f>
        <v>2621325386.98</v>
      </c>
      <c r="K72" s="1">
        <f>Pivot!C72</f>
        <v>41153</v>
      </c>
      <c r="L72" s="7">
        <f>E72/$D72</f>
        <v>0.82603834230909434</v>
      </c>
      <c r="M72" s="7">
        <f>F72/$D72</f>
        <v>0.68509557558026024</v>
      </c>
      <c r="N72" s="7">
        <f>G72/$D72</f>
        <v>0.2962249950741207</v>
      </c>
      <c r="O72" s="7">
        <f t="shared" si="1"/>
        <v>0.41425378224842713</v>
      </c>
      <c r="P72" s="7">
        <f t="shared" si="1"/>
        <v>4.7466884583813929E-2</v>
      </c>
    </row>
    <row r="73" spans="3:16" x14ac:dyDescent="0.25">
      <c r="C73" s="1">
        <f>Pivot!C73</f>
        <v>41183</v>
      </c>
      <c r="D73" s="8">
        <f>VLOOKUP(C73,Input!J$4:$K$102,2,0)</f>
        <v>57958229525.760002</v>
      </c>
      <c r="E73" s="8">
        <f>VLOOKUP(C73,Pivot!G91:H210,2,0)</f>
        <v>34976078939.440002</v>
      </c>
      <c r="F73" s="8">
        <f>VLOOKUP(C73,Pivot!K91:L210,2,0)</f>
        <v>27466963094.949997</v>
      </c>
      <c r="G73" s="8">
        <f>VLOOKUP(C73,Pivot!O91:P210,2,0)</f>
        <v>13583725455.1</v>
      </c>
      <c r="H73" s="8">
        <f>VLOOKUP(C73,Input!$N$3:$O$102,2,0)</f>
        <v>24895027083.639999</v>
      </c>
      <c r="I73" s="8">
        <f>VLOOKUP(C73,Input!temp_8,2,0)</f>
        <v>2632400688.9699998</v>
      </c>
      <c r="K73" s="1">
        <f>Pivot!C73</f>
        <v>41183</v>
      </c>
      <c r="L73" s="7">
        <f>E73/$D73</f>
        <v>0.60347045148945766</v>
      </c>
      <c r="M73" s="7">
        <f>F73/$D73</f>
        <v>0.47390962974019218</v>
      </c>
      <c r="N73" s="7">
        <f>G73/$D73</f>
        <v>0.23437095242984612</v>
      </c>
      <c r="O73" s="7">
        <f t="shared" si="1"/>
        <v>0.42953394690179769</v>
      </c>
      <c r="P73" s="7">
        <f t="shared" si="1"/>
        <v>4.5418928606161237E-2</v>
      </c>
    </row>
    <row r="74" spans="3:16" x14ac:dyDescent="0.25">
      <c r="C74" s="1">
        <f>Pivot!C74</f>
        <v>41214</v>
      </c>
      <c r="D74" s="8">
        <f>VLOOKUP(C74,Input!J$4:$K$102,2,0)</f>
        <v>46813788334.019997</v>
      </c>
      <c r="E74" s="8">
        <f>VLOOKUP(C74,Pivot!G92:H211,2,0)</f>
        <v>48700322876.149994</v>
      </c>
      <c r="F74" s="8">
        <f>VLOOKUP(C74,Pivot!K92:L211,2,0)</f>
        <v>38620874033.32</v>
      </c>
      <c r="G74" s="8">
        <f>VLOOKUP(C74,Pivot!O92:P211,2,0)</f>
        <v>18702888793.82</v>
      </c>
      <c r="H74" s="8">
        <f>VLOOKUP(C74,Input!$N$3:$O$102,2,0)</f>
        <v>13041567478.99</v>
      </c>
      <c r="I74" s="8">
        <f>VLOOKUP(C74,Input!temp_8,2,0)</f>
        <v>1969884029.05</v>
      </c>
      <c r="K74" s="1">
        <f>Pivot!C74</f>
        <v>41214</v>
      </c>
      <c r="L74" s="7">
        <f>E74/$D74</f>
        <v>1.0402986942366088</v>
      </c>
      <c r="M74" s="7">
        <f>F74/$D74</f>
        <v>0.82498929071403238</v>
      </c>
      <c r="N74" s="7">
        <f>G74/$D74</f>
        <v>0.39951666932770841</v>
      </c>
      <c r="O74" s="7">
        <f t="shared" si="1"/>
        <v>0.27858389468370748</v>
      </c>
      <c r="P74" s="7">
        <f t="shared" si="1"/>
        <v>4.2079141619446071E-2</v>
      </c>
    </row>
    <row r="75" spans="3:16" x14ac:dyDescent="0.25">
      <c r="C75" s="1">
        <f>Pivot!C75</f>
        <v>41244</v>
      </c>
      <c r="D75" s="8">
        <f>VLOOKUP(C75,Input!J$4:$K$102,2,0)</f>
        <v>67940285389.419998</v>
      </c>
      <c r="E75" s="8">
        <f>VLOOKUP(C75,Pivot!G93:H212,2,0)</f>
        <v>28819231552.900002</v>
      </c>
      <c r="F75" s="8">
        <f>VLOOKUP(C75,Pivot!K93:L212,2,0)</f>
        <v>22657026327.110001</v>
      </c>
      <c r="G75" s="8">
        <f>VLOOKUP(C75,Pivot!O93:P212,2,0)</f>
        <v>5990993955.3400002</v>
      </c>
      <c r="H75" s="8">
        <f>VLOOKUP(C75,Input!$N$3:$O$102,2,0)</f>
        <v>37186920455.010002</v>
      </c>
      <c r="I75" s="8">
        <f>VLOOKUP(C75,Input!temp_8,2,0)</f>
        <v>3221286266.1399999</v>
      </c>
      <c r="K75" s="1">
        <f>Pivot!C75</f>
        <v>41244</v>
      </c>
      <c r="L75" s="7">
        <f>E75/$D75</f>
        <v>0.42418472910017946</v>
      </c>
      <c r="M75" s="7">
        <f>F75/$D75</f>
        <v>0.33348441498655035</v>
      </c>
      <c r="N75" s="7">
        <f>G75/$D75</f>
        <v>8.8180288337042334E-2</v>
      </c>
      <c r="O75" s="7">
        <f t="shared" si="1"/>
        <v>0.54734713346966501</v>
      </c>
      <c r="P75" s="7">
        <f t="shared" si="1"/>
        <v>4.7413493300421647E-2</v>
      </c>
    </row>
    <row r="76" spans="3:16" x14ac:dyDescent="0.25">
      <c r="C76" s="1">
        <f>Pivot!C76</f>
        <v>41275</v>
      </c>
      <c r="D76" s="8">
        <f>VLOOKUP(C76,Input!J$4:$K$102,2,0)</f>
        <v>38196158237.339996</v>
      </c>
      <c r="E76" s="8">
        <f>VLOOKUP(C76,Pivot!G94:H213,2,0)</f>
        <v>41056601881.519997</v>
      </c>
      <c r="F76" s="8">
        <f>VLOOKUP(C76,Pivot!K94:L213,2,0)</f>
        <v>32173182892.220001</v>
      </c>
      <c r="G76" s="8">
        <f>VLOOKUP(C76,Pivot!O94:P213,2,0)</f>
        <v>12960800578.620001</v>
      </c>
      <c r="H76" s="8">
        <f>VLOOKUP(C76,Input!$N$3:$O$102,2,0)</f>
        <v>27443376640.200001</v>
      </c>
      <c r="I76" s="8">
        <f>VLOOKUP(C76,Input!temp_8,2,0)</f>
        <v>1423282594.6900001</v>
      </c>
      <c r="K76" s="1">
        <f>Pivot!C76</f>
        <v>41275</v>
      </c>
      <c r="L76" s="7">
        <f>E76/$D76</f>
        <v>1.0748882551592236</v>
      </c>
      <c r="M76" s="7">
        <f>F76/$D76</f>
        <v>0.84231462997679107</v>
      </c>
      <c r="N76" s="7">
        <f>G76/$D76</f>
        <v>0.33932209878504782</v>
      </c>
      <c r="O76" s="7">
        <f t="shared" si="1"/>
        <v>0.71848525890155523</v>
      </c>
      <c r="P76" s="7">
        <f t="shared" si="1"/>
        <v>3.7262454141228793E-2</v>
      </c>
    </row>
    <row r="77" spans="3:16" x14ac:dyDescent="0.25">
      <c r="C77" s="1">
        <f>Pivot!C77</f>
        <v>41306</v>
      </c>
      <c r="D77" s="8">
        <f>VLOOKUP(C77,Input!J$4:$K$102,2,0)</f>
        <v>55436550059.510002</v>
      </c>
      <c r="E77" s="8">
        <f>VLOOKUP(C77,Pivot!G95:H214,2,0)</f>
        <v>40621858362.690002</v>
      </c>
      <c r="F77" s="8">
        <f>VLOOKUP(C77,Pivot!K95:L214,2,0)</f>
        <v>32295164207.330002</v>
      </c>
      <c r="G77" s="8">
        <f>VLOOKUP(C77,Pivot!O95:P214,2,0)</f>
        <v>12090154945.85</v>
      </c>
      <c r="H77" s="8">
        <f>VLOOKUP(C77,Input!$N$3:$O$102,2,0)</f>
        <v>28358709079.119999</v>
      </c>
      <c r="I77" s="8">
        <f>VLOOKUP(C77,Input!temp_8,2,0)</f>
        <v>2283134573.5300002</v>
      </c>
      <c r="K77" s="1">
        <f>Pivot!C77</f>
        <v>41306</v>
      </c>
      <c r="L77" s="7">
        <f>E77/$D77</f>
        <v>0.73276310158340063</v>
      </c>
      <c r="M77" s="7">
        <f>F77/$D77</f>
        <v>0.58256085872338381</v>
      </c>
      <c r="N77" s="7">
        <f>G77/$D77</f>
        <v>0.21808995929348898</v>
      </c>
      <c r="O77" s="7">
        <f t="shared" si="1"/>
        <v>0.51155255961414459</v>
      </c>
      <c r="P77" s="7">
        <f t="shared" si="1"/>
        <v>4.1184643905133024E-2</v>
      </c>
    </row>
    <row r="78" spans="3:16" x14ac:dyDescent="0.25">
      <c r="C78" s="1">
        <f>Pivot!C78</f>
        <v>41334</v>
      </c>
      <c r="D78" s="8">
        <f>VLOOKUP(C78,Input!J$4:$K$102,2,0)</f>
        <v>54661559585.199997</v>
      </c>
      <c r="E78" s="8">
        <f>VLOOKUP(C78,Pivot!G96:H215,2,0)</f>
        <v>32588531726.600002</v>
      </c>
      <c r="F78" s="8">
        <f>VLOOKUP(C78,Pivot!K96:L215,2,0)</f>
        <v>26611199048.840004</v>
      </c>
      <c r="G78" s="8">
        <f>VLOOKUP(C78,Pivot!O96:P215,2,0)</f>
        <v>10298222135.870001</v>
      </c>
      <c r="H78" s="8">
        <f>VLOOKUP(C78,Input!$N$3:$O$102,2,0)</f>
        <v>21016931411.259998</v>
      </c>
      <c r="I78" s="8">
        <f>VLOOKUP(C78,Input!temp_8,2,0)</f>
        <v>1853862175.5699999</v>
      </c>
      <c r="K78" s="1">
        <f>Pivot!C78</f>
        <v>41334</v>
      </c>
      <c r="L78" s="7">
        <f>E78/$D78</f>
        <v>0.59618737507488861</v>
      </c>
      <c r="M78" s="7">
        <f>F78/$D78</f>
        <v>0.48683570777671653</v>
      </c>
      <c r="N78" s="7">
        <f>G78/$D78</f>
        <v>0.18839971296132424</v>
      </c>
      <c r="O78" s="7">
        <f t="shared" si="1"/>
        <v>0.3844919824964248</v>
      </c>
      <c r="P78" s="7">
        <f t="shared" si="1"/>
        <v>3.3915281408691204E-2</v>
      </c>
    </row>
    <row r="79" spans="3:16" x14ac:dyDescent="0.25">
      <c r="C79" s="1">
        <f>Pivot!C79</f>
        <v>41365</v>
      </c>
      <c r="D79" s="8">
        <f>VLOOKUP(C79,Input!J$4:$K$102,2,0)</f>
        <v>43517380013.099998</v>
      </c>
      <c r="E79" s="8">
        <f>VLOOKUP(C79,Pivot!G97:H216,2,0)</f>
        <v>37376512403.469994</v>
      </c>
      <c r="F79" s="8">
        <f>VLOOKUP(C79,Pivot!K97:L216,2,0)</f>
        <v>29789895298.389999</v>
      </c>
      <c r="G79" s="8">
        <f>VLOOKUP(C79,Pivot!O97:P216,2,0)</f>
        <v>10983062364.98</v>
      </c>
      <c r="H79" s="8">
        <f>VLOOKUP(C79,Input!$N$3:$O$102,2,0)</f>
        <v>21972503329.41</v>
      </c>
      <c r="I79" s="8">
        <f>VLOOKUP(C79,Input!temp_8,2,0)</f>
        <v>1707781437.2</v>
      </c>
      <c r="K79" s="1">
        <f>Pivot!C79</f>
        <v>41365</v>
      </c>
      <c r="L79" s="7">
        <f>E79/$D79</f>
        <v>0.85888701002262946</v>
      </c>
      <c r="M79" s="7">
        <f>F79/$D79</f>
        <v>0.68455167313432874</v>
      </c>
      <c r="N79" s="7">
        <f>G79/$D79</f>
        <v>0.25238335491874231</v>
      </c>
      <c r="O79" s="7">
        <f t="shared" si="1"/>
        <v>0.50491328574458383</v>
      </c>
      <c r="P79" s="7">
        <f t="shared" si="1"/>
        <v>3.9243663949573897E-2</v>
      </c>
    </row>
    <row r="80" spans="3:16" x14ac:dyDescent="0.25">
      <c r="C80" s="1">
        <f>Pivot!C80</f>
        <v>41395</v>
      </c>
      <c r="D80" s="8">
        <f>VLOOKUP(C80,Input!J$4:$K$102,2,0)</f>
        <v>50086632838.5</v>
      </c>
      <c r="E80" s="8">
        <f>VLOOKUP(C80,Pivot!G98:H217,2,0)</f>
        <v>38541437156.089996</v>
      </c>
      <c r="F80" s="8">
        <f>VLOOKUP(C80,Pivot!K98:L217,2,0)</f>
        <v>31823204951.040001</v>
      </c>
      <c r="G80" s="8">
        <f>VLOOKUP(C80,Pivot!O98:P217,2,0)</f>
        <v>16565187107.59</v>
      </c>
      <c r="H80" s="8">
        <f>VLOOKUP(C80,Input!$N$3:$O$102,2,0)</f>
        <v>21696546357.110001</v>
      </c>
      <c r="I80" s="8">
        <f>VLOOKUP(C80,Input!temp_8,2,0)</f>
        <v>2167430489.98</v>
      </c>
      <c r="K80" s="1">
        <f>Pivot!C80</f>
        <v>41395</v>
      </c>
      <c r="L80" s="7">
        <f>E80/$D80</f>
        <v>0.76949547158347642</v>
      </c>
      <c r="M80" s="7">
        <f>F80/$D80</f>
        <v>0.63536323261440164</v>
      </c>
      <c r="N80" s="7">
        <f>G80/$D80</f>
        <v>0.3307306993664958</v>
      </c>
      <c r="O80" s="7">
        <f t="shared" si="1"/>
        <v>0.43318037423415207</v>
      </c>
      <c r="P80" s="7">
        <f t="shared" si="1"/>
        <v>4.3273631449107217E-2</v>
      </c>
    </row>
    <row r="81" spans="3:16" x14ac:dyDescent="0.25">
      <c r="C81" s="1">
        <f>Pivot!C81</f>
        <v>41426</v>
      </c>
      <c r="D81" s="8">
        <f>VLOOKUP(C81,Input!J$4:$K$102,2,0)</f>
        <v>49762935272.370003</v>
      </c>
      <c r="E81" s="8">
        <f>VLOOKUP(C81,Pivot!G99:H218,2,0)</f>
        <v>35492363841.889999</v>
      </c>
      <c r="F81" s="8">
        <f>VLOOKUP(C81,Pivot!K99:L218,2,0)</f>
        <v>29184629174.119999</v>
      </c>
      <c r="G81" s="8">
        <f>VLOOKUP(C81,Pivot!O99:P218,2,0)</f>
        <v>15486832649.959999</v>
      </c>
      <c r="H81" s="8">
        <f>VLOOKUP(C81,Input!$N$3:$O$102,2,0)</f>
        <v>22199417142.48</v>
      </c>
      <c r="I81" s="8">
        <f>VLOOKUP(C81,Input!temp_8,2,0)</f>
        <v>1785740932.23</v>
      </c>
      <c r="K81" s="1">
        <f>Pivot!C81</f>
        <v>41426</v>
      </c>
      <c r="L81" s="7">
        <f>E81/$D81</f>
        <v>0.71322890516059478</v>
      </c>
      <c r="M81" s="7">
        <f>F81/$D81</f>
        <v>0.58647322579309846</v>
      </c>
      <c r="N81" s="7">
        <f>G81/$D81</f>
        <v>0.3112122017158982</v>
      </c>
      <c r="O81" s="7">
        <f t="shared" si="1"/>
        <v>0.44610345071034901</v>
      </c>
      <c r="P81" s="7">
        <f t="shared" si="1"/>
        <v>3.5884959809062977E-2</v>
      </c>
    </row>
    <row r="82" spans="3:16" x14ac:dyDescent="0.25">
      <c r="C82" s="1">
        <f>Pivot!C82</f>
        <v>41456</v>
      </c>
      <c r="D82" s="8">
        <f>VLOOKUP(C82,Input!J$4:$K$102,2,0)</f>
        <v>46151522171.07</v>
      </c>
      <c r="E82" s="8">
        <f>VLOOKUP(C82,Pivot!G100:H219,2,0)</f>
        <v>37466696964.239998</v>
      </c>
      <c r="F82" s="8">
        <f>VLOOKUP(C82,Pivot!K100:L219,2,0)</f>
        <v>29824408490.139999</v>
      </c>
      <c r="G82" s="8">
        <f>VLOOKUP(C82,Pivot!O100:P219,2,0)</f>
        <v>16978552578.67</v>
      </c>
      <c r="H82" s="8">
        <f>VLOOKUP(C82,Input!$N$3:$O$102,2,0)</f>
        <v>19210507021.110001</v>
      </c>
      <c r="I82" s="8">
        <f>VLOOKUP(C82,Input!temp_8,2,0)</f>
        <v>2166891536.6399999</v>
      </c>
      <c r="K82" s="1">
        <f>Pivot!C82</f>
        <v>41456</v>
      </c>
      <c r="L82" s="7">
        <f>E82/$D82</f>
        <v>0.81181931173065258</v>
      </c>
      <c r="M82" s="7">
        <f>F82/$D82</f>
        <v>0.6462280567819576</v>
      </c>
      <c r="N82" s="7">
        <f>G82/$D82</f>
        <v>0.36788716341219568</v>
      </c>
      <c r="O82" s="7">
        <f t="shared" si="1"/>
        <v>0.41624861147379605</v>
      </c>
      <c r="P82" s="7">
        <f t="shared" si="1"/>
        <v>4.6951680783311453E-2</v>
      </c>
    </row>
    <row r="83" spans="3:16" x14ac:dyDescent="0.25">
      <c r="C83" s="1">
        <f>Pivot!C83</f>
        <v>41487</v>
      </c>
      <c r="D83" s="8">
        <f>VLOOKUP(C83,Input!J$4:$K$102,2,0)</f>
        <v>49453912144.660004</v>
      </c>
      <c r="E83" s="8">
        <f>VLOOKUP(C83,Pivot!G101:H220,2,0)</f>
        <v>35770897100.520004</v>
      </c>
      <c r="F83" s="8">
        <f>VLOOKUP(C83,Pivot!K101:L220,2,0)</f>
        <v>27875191616.209999</v>
      </c>
      <c r="G83" s="8">
        <f>VLOOKUP(C83,Pivot!O101:P220,2,0)</f>
        <v>16043754924.049999</v>
      </c>
      <c r="H83" s="8">
        <f>VLOOKUP(C83,Input!$N$3:$O$102,2,0)</f>
        <v>21283813715.68</v>
      </c>
      <c r="I83" s="8">
        <f>VLOOKUP(C83,Input!temp_8,2,0)</f>
        <v>2292046134.2399998</v>
      </c>
      <c r="K83" s="1">
        <f>Pivot!C83</f>
        <v>41487</v>
      </c>
      <c r="L83" s="7">
        <f>E83/$D83</f>
        <v>0.72331784381152375</v>
      </c>
      <c r="M83" s="7">
        <f>F83/$D83</f>
        <v>0.56365998982387766</v>
      </c>
      <c r="N83" s="7">
        <f>G83/$D83</f>
        <v>0.32441831653519432</v>
      </c>
      <c r="O83" s="7">
        <f t="shared" si="1"/>
        <v>0.43037674458234365</v>
      </c>
      <c r="P83" s="7">
        <f t="shared" si="1"/>
        <v>4.6347114613206453E-2</v>
      </c>
    </row>
    <row r="84" spans="3:16" x14ac:dyDescent="0.25">
      <c r="C84" s="1">
        <f>Pivot!C84</f>
        <v>41518</v>
      </c>
      <c r="D84" s="8">
        <f>VLOOKUP(C84,Input!J$4:$K$102,2,0)</f>
        <v>45627104907.010002</v>
      </c>
      <c r="E84" s="8">
        <f>VLOOKUP(C84,Pivot!G102:H221,2,0)</f>
        <v>28474515807.220001</v>
      </c>
      <c r="F84" s="8">
        <f>VLOOKUP(C84,Pivot!K102:L221,2,0)</f>
        <v>23217757702.279999</v>
      </c>
      <c r="G84" s="8">
        <f>VLOOKUP(C84,Pivot!O102:P221,2,0)</f>
        <v>12954391824.35</v>
      </c>
      <c r="H84" s="8">
        <f>VLOOKUP(C84,Input!$N$3:$O$102,2,0)</f>
        <v>18067551518.43</v>
      </c>
      <c r="I84" s="8">
        <f>VLOOKUP(C84,Input!temp_8,2,0)</f>
        <v>1691558930.4300001</v>
      </c>
      <c r="K84" s="1">
        <f>Pivot!C84</f>
        <v>41518</v>
      </c>
      <c r="L84" s="7">
        <f>E84/$D84</f>
        <v>0.62407018515095991</v>
      </c>
      <c r="M84" s="7">
        <f>F84/$D84</f>
        <v>0.50885888441966209</v>
      </c>
      <c r="N84" s="7">
        <f>G84/$D84</f>
        <v>0.28391877702413088</v>
      </c>
      <c r="O84" s="7">
        <f t="shared" ref="O84:P102" si="2">H84/$D84</f>
        <v>0.39598286052232429</v>
      </c>
      <c r="P84" s="7">
        <f t="shared" si="2"/>
        <v>3.7073553842117961E-2</v>
      </c>
    </row>
    <row r="85" spans="3:16" x14ac:dyDescent="0.25">
      <c r="C85" s="1">
        <f>Pivot!C85</f>
        <v>41548</v>
      </c>
      <c r="D85" s="8">
        <f>VLOOKUP(C85,Input!J$4:$K$102,2,0)</f>
        <v>36892297731.660004</v>
      </c>
      <c r="E85" s="8">
        <f>VLOOKUP(C85,Pivot!G103:H222,2,0)</f>
        <v>21846439126.260002</v>
      </c>
      <c r="F85" s="8">
        <f>VLOOKUP(C85,Pivot!K103:L222,2,0)</f>
        <v>16622350119.240002</v>
      </c>
      <c r="G85" s="8">
        <f>VLOOKUP(C85,Pivot!O103:P222,2,0)</f>
        <v>9148941452.2000008</v>
      </c>
      <c r="H85" s="8">
        <f>VLOOKUP(C85,Input!$N$3:$O$102,2,0)</f>
        <v>14225597347.620001</v>
      </c>
      <c r="I85" s="8">
        <f>VLOOKUP(C85,Input!temp_8,2,0)</f>
        <v>1368985059.04</v>
      </c>
      <c r="K85" s="1">
        <f>Pivot!C85</f>
        <v>41548</v>
      </c>
      <c r="L85" s="7">
        <f>E85/$D85</f>
        <v>0.59216802610567576</v>
      </c>
      <c r="M85" s="7">
        <f>F85/$D85</f>
        <v>0.45056424081103347</v>
      </c>
      <c r="N85" s="7">
        <f>G85/$D85</f>
        <v>0.24799055669413128</v>
      </c>
      <c r="O85" s="7">
        <f t="shared" si="2"/>
        <v>0.38559803054532887</v>
      </c>
      <c r="P85" s="7">
        <f t="shared" si="2"/>
        <v>3.7107611702514608E-2</v>
      </c>
    </row>
    <row r="86" spans="3:16" x14ac:dyDescent="0.25">
      <c r="C86" s="1">
        <f>Pivot!C86</f>
        <v>41579</v>
      </c>
      <c r="D86" s="8">
        <f>VLOOKUP(C86,Input!J$4:$K$102,2,0)</f>
        <v>30217222410.669998</v>
      </c>
      <c r="E86" s="8">
        <f>VLOOKUP(C86,Pivot!G104:H223,2,0)</f>
        <v>19735518182.900002</v>
      </c>
      <c r="F86" s="8">
        <f>VLOOKUP(C86,Pivot!K104:L223,2,0)</f>
        <v>15129673981.85</v>
      </c>
      <c r="G86" s="8">
        <f>VLOOKUP(C86,Pivot!O104:P223,2,0)</f>
        <v>7277980089.6000004</v>
      </c>
      <c r="H86" s="8">
        <f>VLOOKUP(C86,Input!$N$3:$O$102,2,0)</f>
        <v>15678517420.42</v>
      </c>
      <c r="I86" s="8">
        <f>VLOOKUP(C86,Input!temp_8,2,0)</f>
        <v>953042554.79999995</v>
      </c>
      <c r="K86" s="1">
        <f>Pivot!C86</f>
        <v>41579</v>
      </c>
      <c r="L86" s="7">
        <f>E86/$D86</f>
        <v>0.65312151840703914</v>
      </c>
      <c r="M86" s="7">
        <f>F86/$D86</f>
        <v>0.50069704542094395</v>
      </c>
      <c r="N86" s="7">
        <f>G86/$D86</f>
        <v>0.24085536356346485</v>
      </c>
      <c r="O86" s="7">
        <f t="shared" si="2"/>
        <v>0.51886031109476694</v>
      </c>
      <c r="P86" s="7">
        <f t="shared" si="2"/>
        <v>3.1539714069267706E-2</v>
      </c>
    </row>
    <row r="87" spans="3:16" x14ac:dyDescent="0.25">
      <c r="C87" s="1">
        <f>Pivot!C87</f>
        <v>41609</v>
      </c>
      <c r="D87" s="8">
        <f>VLOOKUP(C87,Input!J$4:$K$102,2,0)</f>
        <v>26204048867.77</v>
      </c>
      <c r="E87" s="8">
        <f>VLOOKUP(C87,Pivot!G105:H224,2,0)</f>
        <v>17148936693.369997</v>
      </c>
      <c r="F87" s="8">
        <f>VLOOKUP(C87,Pivot!K105:L224,2,0)</f>
        <v>12929026951.82</v>
      </c>
      <c r="G87" s="8">
        <f>VLOOKUP(C87,Pivot!O105:P224,2,0)</f>
        <v>6588450968.0200005</v>
      </c>
      <c r="H87" s="8">
        <f>VLOOKUP(C87,Input!$N$3:$O$102,2,0)</f>
        <v>11069607939.91</v>
      </c>
      <c r="I87" s="8">
        <f>VLOOKUP(C87,Input!temp_8,2,0)</f>
        <v>889724629.33000004</v>
      </c>
      <c r="K87" s="1">
        <f>Pivot!C87</f>
        <v>41609</v>
      </c>
      <c r="L87" s="7">
        <f>E87/$D87</f>
        <v>0.654438433537748</v>
      </c>
      <c r="M87" s="7">
        <f>F87/$D87</f>
        <v>0.49339806291241578</v>
      </c>
      <c r="N87" s="7">
        <f>G87/$D87</f>
        <v>0.25142873917181358</v>
      </c>
      <c r="O87" s="7">
        <f t="shared" si="2"/>
        <v>0.42243883743955324</v>
      </c>
      <c r="P87" s="7">
        <f t="shared" si="2"/>
        <v>3.3953708215844765E-2</v>
      </c>
    </row>
    <row r="88" spans="3:16" x14ac:dyDescent="0.25">
      <c r="C88" s="1">
        <f>Pivot!C88</f>
        <v>41640</v>
      </c>
      <c r="D88" s="8">
        <f>VLOOKUP(C88,Input!J$4:$K$102,2,0)</f>
        <v>21280194246.23</v>
      </c>
      <c r="E88" s="8">
        <f>VLOOKUP(C88,Pivot!G106:H225,2,0)</f>
        <v>11561109174.170002</v>
      </c>
      <c r="F88" s="8">
        <f>VLOOKUP(C88,Pivot!K106:L225,2,0)</f>
        <v>8967497119.7200012</v>
      </c>
      <c r="G88" s="8">
        <f>VLOOKUP(C88,Pivot!O106:P225,2,0)</f>
        <v>3105702600.8000002</v>
      </c>
      <c r="H88" s="8">
        <f>VLOOKUP(C88,Input!$N$3:$O$102,2,0)</f>
        <v>15492498245.49</v>
      </c>
      <c r="I88" s="8">
        <f>VLOOKUP(C88,Input!temp_8,2,0)</f>
        <v>682224095.88999999</v>
      </c>
      <c r="K88" s="1">
        <f>Pivot!C88</f>
        <v>41640</v>
      </c>
      <c r="L88" s="7">
        <f>E88/$D88</f>
        <v>0.54328024642999528</v>
      </c>
      <c r="M88" s="7">
        <f>F88/$D88</f>
        <v>0.42140109323995872</v>
      </c>
      <c r="N88" s="7">
        <f>G88/$D88</f>
        <v>0.14594333890303687</v>
      </c>
      <c r="O88" s="7">
        <f t="shared" si="2"/>
        <v>0.72802428710135725</v>
      </c>
      <c r="P88" s="7">
        <f t="shared" si="2"/>
        <v>3.2059110363189605E-2</v>
      </c>
    </row>
    <row r="89" spans="3:16" x14ac:dyDescent="0.25">
      <c r="C89" s="1">
        <f>Pivot!C89</f>
        <v>41671</v>
      </c>
      <c r="D89" s="8">
        <f>VLOOKUP(C89,Input!J$4:$K$102,2,0)</f>
        <v>16373493341.18</v>
      </c>
      <c r="E89" s="8">
        <f>VLOOKUP(C89,Pivot!G107:H226,2,0)</f>
        <v>13447219374.819998</v>
      </c>
      <c r="F89" s="8">
        <f>VLOOKUP(C89,Pivot!K107:L226,2,0)</f>
        <v>10862978588.139999</v>
      </c>
      <c r="G89" s="8">
        <f>VLOOKUP(C89,Pivot!O107:P226,2,0)</f>
        <v>4228977520.5</v>
      </c>
      <c r="H89" s="8">
        <f>VLOOKUP(C89,Input!$N$3:$O$102,2,0)</f>
        <v>10905734407.190001</v>
      </c>
      <c r="I89" s="8">
        <f>VLOOKUP(C89,Input!temp_8,2,0)</f>
        <v>656304826.80999994</v>
      </c>
      <c r="K89" s="1">
        <f>Pivot!C89</f>
        <v>41671</v>
      </c>
      <c r="L89" s="7">
        <f>E89/$D89</f>
        <v>0.82127980233758024</v>
      </c>
      <c r="M89" s="7">
        <f>F89/$D89</f>
        <v>0.66344904912986202</v>
      </c>
      <c r="N89" s="7">
        <f>G89/$D89</f>
        <v>0.2582819336337927</v>
      </c>
      <c r="O89" s="7">
        <f t="shared" si="2"/>
        <v>0.66606033177792523</v>
      </c>
      <c r="P89" s="7">
        <f t="shared" si="2"/>
        <v>4.0083372139002656E-2</v>
      </c>
    </row>
    <row r="90" spans="3:16" x14ac:dyDescent="0.25">
      <c r="C90" s="1">
        <f>Pivot!C90</f>
        <v>41699</v>
      </c>
      <c r="D90" s="8">
        <f>VLOOKUP(C90,Input!J$4:$K$102,2,0)</f>
        <v>17672008778.02</v>
      </c>
      <c r="E90" s="8">
        <f>VLOOKUP(C90,Pivot!G108:H227,2,0)</f>
        <v>9860110204.4599991</v>
      </c>
      <c r="F90" s="8">
        <f>VLOOKUP(C90,Pivot!K108:L227,2,0)</f>
        <v>7601988463.4200001</v>
      </c>
      <c r="G90" s="8">
        <f>VLOOKUP(C90,Pivot!O108:P227,2,0)</f>
        <v>2771745679.8800001</v>
      </c>
      <c r="H90" s="8">
        <f>VLOOKUP(C90,Input!$N$3:$O$102,2,0)</f>
        <v>9006227464.5200005</v>
      </c>
      <c r="I90" s="8">
        <f>VLOOKUP(C90,Input!temp_8,2,0)</f>
        <v>682995391.41999996</v>
      </c>
      <c r="K90" s="1">
        <f>Pivot!C90</f>
        <v>41699</v>
      </c>
      <c r="L90" s="7">
        <f>E90/$D90</f>
        <v>0.55795073035068632</v>
      </c>
      <c r="M90" s="7">
        <f>F90/$D90</f>
        <v>0.43017115704894637</v>
      </c>
      <c r="N90" s="7">
        <f>G90/$D90</f>
        <v>0.1568438378848831</v>
      </c>
      <c r="O90" s="7">
        <f t="shared" si="2"/>
        <v>0.50963235575809129</v>
      </c>
      <c r="P90" s="7">
        <f t="shared" si="2"/>
        <v>3.8648429841744554E-2</v>
      </c>
    </row>
    <row r="91" spans="3:16" x14ac:dyDescent="0.25">
      <c r="C91" s="1">
        <f>Pivot!C91</f>
        <v>41730</v>
      </c>
      <c r="D91" s="8">
        <f>VLOOKUP(C91,Input!J$4:$K$102,2,0)</f>
        <v>13542300886.83</v>
      </c>
      <c r="E91" s="8">
        <f>VLOOKUP(C91,Pivot!G109:H228,2,0)</f>
        <v>12276303521.109999</v>
      </c>
      <c r="F91" s="8">
        <f>VLOOKUP(C91,Pivot!K109:L228,2,0)</f>
        <v>9017573459.2299995</v>
      </c>
      <c r="G91" s="8">
        <f>VLOOKUP(C91,Pivot!O109:P228,2,0)</f>
        <v>3281937556.02</v>
      </c>
      <c r="H91" s="8">
        <f>VLOOKUP(C91,Input!$N$3:$O$102,2,0)</f>
        <v>9228070670.6800003</v>
      </c>
      <c r="I91" s="8">
        <f>VLOOKUP(C91,Input!temp_8,2,0)</f>
        <v>539502272.57000005</v>
      </c>
      <c r="K91" s="1">
        <f>Pivot!C91</f>
        <v>41730</v>
      </c>
      <c r="L91" s="7">
        <f>E91/$D91</f>
        <v>0.90651534208996976</v>
      </c>
      <c r="M91" s="7">
        <f>F91/$D91</f>
        <v>0.66588193059568368</v>
      </c>
      <c r="N91" s="7">
        <f>G91/$D91</f>
        <v>0.24234711541608941</v>
      </c>
      <c r="O91" s="7">
        <f t="shared" si="2"/>
        <v>0.68142561207264085</v>
      </c>
      <c r="P91" s="7">
        <f t="shared" si="2"/>
        <v>3.9838302004843985E-2</v>
      </c>
    </row>
    <row r="92" spans="3:16" x14ac:dyDescent="0.25">
      <c r="C92" s="1">
        <f>Pivot!C92</f>
        <v>41760</v>
      </c>
      <c r="D92" s="8">
        <f>VLOOKUP(C92,Input!J$4:$K$102,2,0)</f>
        <v>16346718921.33</v>
      </c>
      <c r="E92" s="8">
        <f>VLOOKUP(C92,Pivot!G110:H229,2,0)</f>
        <v>10540781524.629999</v>
      </c>
      <c r="F92" s="8">
        <f>VLOOKUP(C92,Pivot!K110:L229,2,0)</f>
        <v>7511955198.1200008</v>
      </c>
      <c r="G92" s="8">
        <f>VLOOKUP(C92,Pivot!O110:P229,2,0)</f>
        <v>3701376306.8000002</v>
      </c>
      <c r="H92" s="8">
        <f>VLOOKUP(C92,Input!$N$3:$O$102,2,0)</f>
        <v>9943731080.6599998</v>
      </c>
      <c r="I92" s="8">
        <f>VLOOKUP(C92,Input!temp_8,2,0)</f>
        <v>784392049.47000003</v>
      </c>
      <c r="K92" s="1">
        <f>Pivot!C92</f>
        <v>41760</v>
      </c>
      <c r="L92" s="7">
        <f>E92/$D92</f>
        <v>0.64482551974854541</v>
      </c>
      <c r="M92" s="7">
        <f>F92/$D92</f>
        <v>0.45953902029342619</v>
      </c>
      <c r="N92" s="7">
        <f>G92/$D92</f>
        <v>0.22642931126504309</v>
      </c>
      <c r="O92" s="7">
        <f t="shared" si="2"/>
        <v>0.60830134343870879</v>
      </c>
      <c r="P92" s="7">
        <f t="shared" si="2"/>
        <v>4.7984678347071034E-2</v>
      </c>
    </row>
    <row r="93" spans="3:16" x14ac:dyDescent="0.25">
      <c r="C93" s="1">
        <f>Pivot!C93</f>
        <v>41791</v>
      </c>
      <c r="D93" s="8">
        <f>VLOOKUP(C93,Input!J$4:$K$102,2,0)</f>
        <v>15515257766.15</v>
      </c>
      <c r="E93" s="8">
        <f>VLOOKUP(C93,Pivot!G111:H230,2,0)</f>
        <v>13048715246.830002</v>
      </c>
      <c r="F93" s="8">
        <f>VLOOKUP(C93,Pivot!K111:L230,2,0)</f>
        <v>9698417154.789999</v>
      </c>
      <c r="G93" s="8">
        <f>VLOOKUP(C93,Pivot!O111:P230,2,0)</f>
        <v>4119664079.48</v>
      </c>
      <c r="H93" s="8">
        <f>VLOOKUP(C93,Input!$N$3:$O$102,2,0)</f>
        <v>11280710955.59</v>
      </c>
      <c r="I93" s="8">
        <f>VLOOKUP(C93,Input!temp_8,2,0)</f>
        <v>795592961.65999997</v>
      </c>
      <c r="K93" s="1">
        <f>Pivot!C93</f>
        <v>41791</v>
      </c>
      <c r="L93" s="7">
        <f>E93/$D93</f>
        <v>0.84102471538041013</v>
      </c>
      <c r="M93" s="7">
        <f>F93/$D93</f>
        <v>0.62508901243969417</v>
      </c>
      <c r="N93" s="7">
        <f>G93/$D93</f>
        <v>0.26552340551298914</v>
      </c>
      <c r="O93" s="7">
        <f t="shared" si="2"/>
        <v>0.72707209416793517</v>
      </c>
      <c r="P93" s="7">
        <f t="shared" si="2"/>
        <v>5.1278101443842185E-2</v>
      </c>
    </row>
    <row r="94" spans="3:16" x14ac:dyDescent="0.25">
      <c r="C94" s="1">
        <f>Pivot!C94</f>
        <v>41821</v>
      </c>
      <c r="D94" s="8">
        <f>VLOOKUP(C94,Input!J$4:$K$102,2,0)</f>
        <v>18051397240.82</v>
      </c>
      <c r="E94" s="8">
        <f>VLOOKUP(C94,Pivot!G112:H231,2,0)</f>
        <v>14180443501.41</v>
      </c>
      <c r="F94" s="8">
        <f>VLOOKUP(C94,Pivot!K112:L231,2,0)</f>
        <v>10365356857.860001</v>
      </c>
      <c r="G94" s="8">
        <f>VLOOKUP(C94,Pivot!O112:P231,2,0)</f>
        <v>4404846709.1300001</v>
      </c>
      <c r="H94" s="8">
        <f>VLOOKUP(C94,Input!$N$3:$O$102,2,0)</f>
        <v>12840798608.01</v>
      </c>
      <c r="I94" s="8">
        <f>VLOOKUP(C94,Input!temp_8,2,0)</f>
        <v>714415679.88</v>
      </c>
      <c r="K94" s="1">
        <f>Pivot!C94</f>
        <v>41821</v>
      </c>
      <c r="L94" s="7">
        <f>E94/$D94</f>
        <v>0.78555932885591084</v>
      </c>
      <c r="M94" s="7">
        <f>F94/$D94</f>
        <v>0.57421354810255931</v>
      </c>
      <c r="N94" s="7">
        <f>G94/$D94</f>
        <v>0.2440169395402384</v>
      </c>
      <c r="O94" s="7">
        <f t="shared" si="2"/>
        <v>0.71134651997867704</v>
      </c>
      <c r="P94" s="7">
        <f t="shared" si="2"/>
        <v>3.9576752444651593E-2</v>
      </c>
    </row>
    <row r="95" spans="3:16" x14ac:dyDescent="0.25">
      <c r="C95" s="1">
        <f>Pivot!C95</f>
        <v>41852</v>
      </c>
      <c r="D95" s="8">
        <f>VLOOKUP(C95,Input!J$4:$K$102,2,0)</f>
        <v>19964896528.419998</v>
      </c>
      <c r="E95" s="8">
        <f>VLOOKUP(C95,Pivot!G113:H232,2,0)</f>
        <v>13791297844.579998</v>
      </c>
      <c r="F95" s="8">
        <f>VLOOKUP(C95,Pivot!K113:L232,2,0)</f>
        <v>10185763886.950001</v>
      </c>
      <c r="G95" s="8">
        <f>VLOOKUP(C95,Pivot!O113:P232,2,0)</f>
        <v>4351012772.2799997</v>
      </c>
      <c r="H95" s="8">
        <f>VLOOKUP(C95,Input!$N$3:$O$102,2,0)</f>
        <v>15576559728.469999</v>
      </c>
      <c r="I95" s="8">
        <f>VLOOKUP(C95,Input!temp_8,2,0)</f>
        <v>766180521.16999996</v>
      </c>
      <c r="K95" s="1">
        <f>Pivot!C95</f>
        <v>41852</v>
      </c>
      <c r="L95" s="7">
        <f>E95/$D95</f>
        <v>0.69077732634116629</v>
      </c>
      <c r="M95" s="7">
        <f>F95/$D95</f>
        <v>0.51018365521957909</v>
      </c>
      <c r="N95" s="7">
        <f>G95/$D95</f>
        <v>0.21793314911932252</v>
      </c>
      <c r="O95" s="7">
        <f t="shared" si="2"/>
        <v>0.7801973682306238</v>
      </c>
      <c r="P95" s="7">
        <f t="shared" si="2"/>
        <v>3.837638327247743E-2</v>
      </c>
    </row>
    <row r="96" spans="3:16" x14ac:dyDescent="0.25">
      <c r="C96" s="1">
        <f>Pivot!C96</f>
        <v>41883</v>
      </c>
      <c r="D96" s="8">
        <f>VLOOKUP(C96,Input!J$4:$K$102,2,0)</f>
        <v>19269078233.209999</v>
      </c>
      <c r="E96" s="8">
        <f>VLOOKUP(C96,Pivot!G114:H233,2,0)</f>
        <v>20418529374.110001</v>
      </c>
      <c r="F96" s="8">
        <f>VLOOKUP(C96,Pivot!K114:L233,2,0)</f>
        <v>15191127020.780001</v>
      </c>
      <c r="G96" s="8">
        <f>VLOOKUP(C96,Pivot!O114:P233,2,0)</f>
        <v>4282578991.9000001</v>
      </c>
      <c r="H96" s="8">
        <f>VLOOKUP(C96,Input!$N$3:$O$102,2,0)</f>
        <v>14087004899.709999</v>
      </c>
      <c r="I96" s="8">
        <f>VLOOKUP(C96,Input!temp_8,2,0)</f>
        <v>693663556.71000004</v>
      </c>
      <c r="K96" s="1">
        <f>Pivot!C96</f>
        <v>41883</v>
      </c>
      <c r="L96" s="7">
        <f>E96/$D96</f>
        <v>1.0596526272294093</v>
      </c>
      <c r="M96" s="7">
        <f>F96/$D96</f>
        <v>0.78836812207230011</v>
      </c>
      <c r="N96" s="7">
        <f>G96/$D96</f>
        <v>0.22225136771301454</v>
      </c>
      <c r="O96" s="7">
        <f t="shared" si="2"/>
        <v>0.73106791768748103</v>
      </c>
      <c r="P96" s="7">
        <f t="shared" si="2"/>
        <v>3.599879290097438E-2</v>
      </c>
    </row>
    <row r="97" spans="3:16" x14ac:dyDescent="0.25">
      <c r="C97" s="1">
        <f>Pivot!C97</f>
        <v>41913</v>
      </c>
      <c r="D97" s="8">
        <f>VLOOKUP(C97,Input!J$4:$K$102,2,0)</f>
        <v>26306838586.91</v>
      </c>
      <c r="E97" s="8">
        <f>VLOOKUP(C97,Pivot!G115:H234,2,0)</f>
        <v>16591290665.489998</v>
      </c>
      <c r="F97" s="8">
        <f>VLOOKUP(C97,Pivot!K115:L234,2,0)</f>
        <v>12022533710.82</v>
      </c>
      <c r="G97" s="8">
        <f>VLOOKUP(C97,Pivot!O115:P234,2,0)</f>
        <v>4328284495.8800001</v>
      </c>
      <c r="H97" s="8">
        <f>VLOOKUP(C97,Input!$N$3:$O$102,2,0)</f>
        <v>13119687804.309999</v>
      </c>
      <c r="I97" s="8">
        <f>VLOOKUP(C97,Input!temp_8,2,0)</f>
        <v>757494824.39999998</v>
      </c>
      <c r="K97" s="1">
        <f>Pivot!C97</f>
        <v>41913</v>
      </c>
      <c r="L97" s="7">
        <f>E97/$D97</f>
        <v>0.63068356202047193</v>
      </c>
      <c r="M97" s="7">
        <f>F97/$D97</f>
        <v>0.45701172609932245</v>
      </c>
      <c r="N97" s="7">
        <f>G97/$D97</f>
        <v>0.16453077330370317</v>
      </c>
      <c r="O97" s="7">
        <f t="shared" si="2"/>
        <v>0.49871776728193462</v>
      </c>
      <c r="P97" s="7">
        <f t="shared" si="2"/>
        <v>2.8794597340058993E-2</v>
      </c>
    </row>
    <row r="98" spans="3:16" x14ac:dyDescent="0.25">
      <c r="C98" s="1">
        <f>Pivot!C98</f>
        <v>41944</v>
      </c>
      <c r="D98" s="8">
        <f>VLOOKUP(C98,Input!J$4:$K$102,2,0)</f>
        <v>20876866762.080002</v>
      </c>
      <c r="E98" s="8">
        <f>VLOOKUP(C98,Pivot!G116:H235,2,0)</f>
        <v>19050839925.150002</v>
      </c>
      <c r="F98" s="8">
        <f>VLOOKUP(C98,Pivot!K116:L235,2,0)</f>
        <v>15143920247.16</v>
      </c>
      <c r="G98" s="8">
        <f>VLOOKUP(C98,Pivot!O116:P235,2,0)</f>
        <v>4110188403.46</v>
      </c>
      <c r="H98" s="8">
        <f>VLOOKUP(C98,Input!$N$3:$O$102,2,0)</f>
        <v>17933393094.610001</v>
      </c>
      <c r="I98" s="8">
        <f>VLOOKUP(C98,Input!temp_8,2,0)</f>
        <v>755662317.37</v>
      </c>
      <c r="K98" s="1">
        <f>Pivot!C98</f>
        <v>41944</v>
      </c>
      <c r="L98" s="7">
        <f>E98/$D98</f>
        <v>0.91253348226340503</v>
      </c>
      <c r="M98" s="7">
        <f>F98/$D98</f>
        <v>0.7253923886062672</v>
      </c>
      <c r="N98" s="7">
        <f>G98/$D98</f>
        <v>0.19687764693337986</v>
      </c>
      <c r="O98" s="7">
        <f t="shared" si="2"/>
        <v>0.85900788173748266</v>
      </c>
      <c r="P98" s="7">
        <f t="shared" si="2"/>
        <v>3.6196155581284743E-2</v>
      </c>
    </row>
    <row r="99" spans="3:16" x14ac:dyDescent="0.25">
      <c r="C99" s="1">
        <f>Pivot!C99</f>
        <v>41974</v>
      </c>
      <c r="D99" s="8">
        <f>VLOOKUP(C99,Input!J$4:$K$102,2,0)</f>
        <v>24697625492.950001</v>
      </c>
      <c r="E99" s="8">
        <f>VLOOKUP(C99,Pivot!G117:H236,2,0)</f>
        <v>16969236987.160002</v>
      </c>
      <c r="F99" s="8">
        <f>VLOOKUP(C99,Pivot!K117:L236,2,0)</f>
        <v>12192486905.27</v>
      </c>
      <c r="G99" s="8">
        <f>VLOOKUP(C99,Pivot!O117:P236,2,0)</f>
        <v>3928850698.1300001</v>
      </c>
      <c r="H99" s="8">
        <f>VLOOKUP(C99,Input!$N$3:$O$102,2,0)</f>
        <v>6826393495</v>
      </c>
      <c r="I99" s="8">
        <f>VLOOKUP(C99,Input!temp_8,2,0)</f>
        <v>784810724.87</v>
      </c>
      <c r="K99" s="1">
        <f>Pivot!C99</f>
        <v>41974</v>
      </c>
      <c r="L99" s="7">
        <f>E99/$D99</f>
        <v>0.68707969484774611</v>
      </c>
      <c r="M99" s="7">
        <f>F99/$D99</f>
        <v>0.49367041008660434</v>
      </c>
      <c r="N99" s="7">
        <f>G99/$D99</f>
        <v>0.15907807409467362</v>
      </c>
      <c r="O99" s="7">
        <f t="shared" si="2"/>
        <v>0.2763987775646129</v>
      </c>
      <c r="P99" s="7">
        <f t="shared" si="2"/>
        <v>3.1776768381803593E-2</v>
      </c>
    </row>
    <row r="100" spans="3:16" x14ac:dyDescent="0.25">
      <c r="C100" s="1">
        <f>Pivot!C100</f>
        <v>42005</v>
      </c>
      <c r="D100" s="8">
        <f>VLOOKUP(C100,Input!J$4:$K$102,2,0)</f>
        <v>20692098933.41</v>
      </c>
      <c r="E100" s="8">
        <f>VLOOKUP(C100,Pivot!G118:H237,2,0)</f>
        <v>17220019925.009998</v>
      </c>
      <c r="F100" s="8">
        <f>VLOOKUP(C100,Pivot!K118:L237,2,0)</f>
        <v>13355633418.48</v>
      </c>
      <c r="G100" s="8">
        <f>VLOOKUP(C100,Pivot!O118:P237,2,0)</f>
        <v>5489190091.1700001</v>
      </c>
      <c r="H100" s="8">
        <f>VLOOKUP(C100,Input!$N$3:$O$102,2,0)</f>
        <v>22766112030.75</v>
      </c>
      <c r="I100" s="8">
        <f>VLOOKUP(C100,Input!temp_8,2,0)</f>
        <v>993991215.26999998</v>
      </c>
      <c r="K100" s="1">
        <f>Pivot!C100</f>
        <v>42005</v>
      </c>
      <c r="L100" s="7">
        <f>E100/$D100</f>
        <v>0.83220266732854764</v>
      </c>
      <c r="M100" s="7">
        <f>F100/$D100</f>
        <v>0.64544604495949165</v>
      </c>
      <c r="N100" s="7">
        <f>G100/$D100</f>
        <v>0.26527952088548212</v>
      </c>
      <c r="O100" s="7">
        <f t="shared" si="2"/>
        <v>1.1002321274421922</v>
      </c>
      <c r="P100" s="7">
        <f t="shared" si="2"/>
        <v>4.8037234814544402E-2</v>
      </c>
    </row>
    <row r="101" spans="3:16" x14ac:dyDescent="0.25">
      <c r="C101" s="1">
        <f>Pivot!C101</f>
        <v>42036</v>
      </c>
      <c r="D101" s="8">
        <f>VLOOKUP(C101,Input!J$4:$K$102,2,0)</f>
        <v>22945895444.540001</v>
      </c>
      <c r="E101" s="8">
        <f>VLOOKUP(C101,Pivot!G119:H238,2,0)</f>
        <v>16016008212.179998</v>
      </c>
      <c r="F101" s="8">
        <f>VLOOKUP(C101,Pivot!K119:L238,2,0)</f>
        <v>11671526842.16</v>
      </c>
      <c r="G101" s="8">
        <f>VLOOKUP(C101,Pivot!O119:P238,2,0)</f>
        <v>5063985040.1199999</v>
      </c>
      <c r="H101" s="8">
        <f>VLOOKUP(C101,Input!$N$3:$O$102,2,0)</f>
        <v>13043428717.370001</v>
      </c>
      <c r="I101" s="8">
        <f>VLOOKUP(C101,Input!temp_8,2,0)</f>
        <v>923852995.29999995</v>
      </c>
      <c r="K101" s="1">
        <f>Pivot!C101</f>
        <v>42036</v>
      </c>
      <c r="L101" s="7">
        <f>E101/$D101</f>
        <v>0.69799011552591306</v>
      </c>
      <c r="M101" s="7">
        <f>F101/$D101</f>
        <v>0.50865423275243116</v>
      </c>
      <c r="N101" s="7">
        <f>G101/$D101</f>
        <v>0.22069241326230221</v>
      </c>
      <c r="O101" s="7">
        <f t="shared" si="2"/>
        <v>0.56844278528575354</v>
      </c>
      <c r="P101" s="7">
        <f t="shared" si="2"/>
        <v>4.0262233284072239E-2</v>
      </c>
    </row>
    <row r="102" spans="3:16" x14ac:dyDescent="0.25">
      <c r="C102" s="1">
        <f>Pivot!C102</f>
        <v>42064</v>
      </c>
      <c r="D102" s="8">
        <f>VLOOKUP(C102,Input!J$4:$K$102,2,0)</f>
        <v>21020607415.66</v>
      </c>
      <c r="E102" s="8">
        <f>VLOOKUP(C102,Pivot!G120:H239,2,0)</f>
        <v>11103071609.139999</v>
      </c>
      <c r="F102" s="8">
        <f>VLOOKUP(C102,Pivot!K120:L239,2,0)</f>
        <v>8844462338.1399994</v>
      </c>
      <c r="G102" s="8">
        <f>VLOOKUP(C102,Pivot!O120:P239,2,0)</f>
        <v>4009024386</v>
      </c>
      <c r="H102" s="8">
        <f>VLOOKUP(C102,Input!$N$3:$O$102,2,0)</f>
        <v>14718339614.48</v>
      </c>
      <c r="I102" s="8">
        <f>VLOOKUP(C102,Input!temp_8,2,0)</f>
        <v>986969341.98000002</v>
      </c>
      <c r="K102" s="1">
        <f>Pivot!C102</f>
        <v>42064</v>
      </c>
      <c r="L102" s="7">
        <f>E102/$D102</f>
        <v>0.52819937072172318</v>
      </c>
      <c r="M102" s="7">
        <f>F102/$D102</f>
        <v>0.4207519870025746</v>
      </c>
      <c r="N102" s="7">
        <f>G102/$D102</f>
        <v>0.19071876976368171</v>
      </c>
      <c r="O102" s="7">
        <f t="shared" si="2"/>
        <v>0.70018621838278006</v>
      </c>
      <c r="P102" s="7">
        <f t="shared" si="2"/>
        <v>4.6952465381410645E-2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122"/>
  <sheetViews>
    <sheetView workbookViewId="0">
      <selection activeCell="G4" sqref="G4"/>
    </sheetView>
  </sheetViews>
  <sheetFormatPr defaultRowHeight="15" x14ac:dyDescent="0.25"/>
  <cols>
    <col min="3" max="3" width="9.7109375" bestFit="1" customWidth="1"/>
    <col min="4" max="4" width="12.28515625" bestFit="1" customWidth="1"/>
    <col min="7" max="7" width="13.140625" bestFit="1" customWidth="1"/>
    <col min="8" max="8" width="19.140625" bestFit="1" customWidth="1"/>
    <col min="11" max="11" width="13.140625" bestFit="1" customWidth="1"/>
    <col min="12" max="12" width="19.140625" bestFit="1" customWidth="1"/>
    <col min="15" max="15" width="13.140625" bestFit="1" customWidth="1"/>
    <col min="16" max="16" width="19.140625" bestFit="1" customWidth="1"/>
  </cols>
  <sheetData>
    <row r="1" spans="3:16" x14ac:dyDescent="0.25">
      <c r="K1" s="2" t="s">
        <v>3</v>
      </c>
      <c r="L1" t="s">
        <v>87</v>
      </c>
      <c r="O1" s="2" t="s">
        <v>3</v>
      </c>
      <c r="P1" s="5">
        <v>1</v>
      </c>
    </row>
    <row r="2" spans="3:16" x14ac:dyDescent="0.25">
      <c r="C2" t="s">
        <v>85</v>
      </c>
      <c r="G2" t="s">
        <v>86</v>
      </c>
      <c r="K2" t="s">
        <v>88</v>
      </c>
      <c r="O2" t="s">
        <v>89</v>
      </c>
    </row>
    <row r="3" spans="3:16" x14ac:dyDescent="0.25">
      <c r="C3" t="s">
        <v>1</v>
      </c>
      <c r="D3" t="s">
        <v>2</v>
      </c>
      <c r="G3" s="2" t="s">
        <v>82</v>
      </c>
      <c r="H3" t="s">
        <v>84</v>
      </c>
      <c r="K3" s="2" t="s">
        <v>82</v>
      </c>
      <c r="L3" t="s">
        <v>84</v>
      </c>
      <c r="O3" s="2" t="s">
        <v>82</v>
      </c>
      <c r="P3" t="s">
        <v>84</v>
      </c>
    </row>
    <row r="4" spans="3:16" x14ac:dyDescent="0.25">
      <c r="C4" s="1">
        <v>39083</v>
      </c>
      <c r="D4">
        <v>35508272098.400002</v>
      </c>
      <c r="G4" s="3">
        <v>38504</v>
      </c>
      <c r="H4" s="4">
        <v>19413121.469999999</v>
      </c>
      <c r="K4" s="3">
        <v>38504</v>
      </c>
      <c r="L4" s="4">
        <v>17670874</v>
      </c>
      <c r="O4" s="3">
        <v>38504</v>
      </c>
      <c r="P4" s="4">
        <v>9487254</v>
      </c>
    </row>
    <row r="5" spans="3:16" x14ac:dyDescent="0.25">
      <c r="C5" s="1">
        <v>39114</v>
      </c>
      <c r="D5">
        <v>35209527946.660004</v>
      </c>
      <c r="G5" s="3">
        <v>38534</v>
      </c>
      <c r="H5" s="4">
        <v>10883226</v>
      </c>
      <c r="K5" s="3">
        <v>38534</v>
      </c>
      <c r="L5" s="4">
        <v>8575678</v>
      </c>
      <c r="O5" s="3">
        <v>38534</v>
      </c>
      <c r="P5" s="4">
        <v>4500722</v>
      </c>
    </row>
    <row r="6" spans="3:16" x14ac:dyDescent="0.25">
      <c r="C6" s="1">
        <v>39142</v>
      </c>
      <c r="D6">
        <v>32600805425.34</v>
      </c>
      <c r="G6" s="3">
        <v>38565</v>
      </c>
      <c r="H6" s="4">
        <v>162355394.59</v>
      </c>
      <c r="K6" s="3">
        <v>38565</v>
      </c>
      <c r="L6" s="4">
        <v>156257079.12</v>
      </c>
      <c r="O6" s="3">
        <v>38565</v>
      </c>
      <c r="P6" s="4">
        <v>79158664</v>
      </c>
    </row>
    <row r="7" spans="3:16" x14ac:dyDescent="0.25">
      <c r="C7" s="1">
        <v>39173</v>
      </c>
      <c r="D7">
        <v>38660092516.489998</v>
      </c>
      <c r="G7" s="3">
        <v>38596</v>
      </c>
      <c r="H7" s="4">
        <v>116005289</v>
      </c>
      <c r="K7" s="3">
        <v>38596</v>
      </c>
      <c r="L7" s="4">
        <v>106953756</v>
      </c>
      <c r="O7" s="3">
        <v>38596</v>
      </c>
      <c r="P7" s="4">
        <v>56552979</v>
      </c>
    </row>
    <row r="8" spans="3:16" x14ac:dyDescent="0.25">
      <c r="C8" s="1">
        <v>39203</v>
      </c>
      <c r="D8">
        <v>43308373753.57</v>
      </c>
      <c r="G8" s="3">
        <v>38626</v>
      </c>
      <c r="H8" s="4">
        <v>177011273.42000002</v>
      </c>
      <c r="K8" s="3">
        <v>38626</v>
      </c>
      <c r="L8" s="4">
        <v>173968934.71000001</v>
      </c>
      <c r="O8" s="3">
        <v>38626</v>
      </c>
      <c r="P8" s="4">
        <v>89226904</v>
      </c>
    </row>
    <row r="9" spans="3:16" x14ac:dyDescent="0.25">
      <c r="C9" s="1">
        <v>39234</v>
      </c>
      <c r="D9">
        <v>2170973558.1999998</v>
      </c>
      <c r="G9" s="3">
        <v>38657</v>
      </c>
      <c r="H9" s="4">
        <v>45939105</v>
      </c>
      <c r="K9" s="3">
        <v>38657</v>
      </c>
      <c r="L9" s="4">
        <v>40249664</v>
      </c>
      <c r="O9" s="3">
        <v>38657</v>
      </c>
      <c r="P9" s="4">
        <v>19726775</v>
      </c>
    </row>
    <row r="10" spans="3:16" x14ac:dyDescent="0.25">
      <c r="C10" s="1">
        <v>39264</v>
      </c>
      <c r="D10">
        <v>2657008050.0500002</v>
      </c>
      <c r="G10" s="3">
        <v>38687</v>
      </c>
      <c r="H10" s="4">
        <v>167073886</v>
      </c>
      <c r="K10" s="3">
        <v>38687</v>
      </c>
      <c r="L10" s="4">
        <v>161351206</v>
      </c>
      <c r="O10" s="3">
        <v>38687</v>
      </c>
      <c r="P10" s="4">
        <v>123617884</v>
      </c>
    </row>
    <row r="11" spans="3:16" x14ac:dyDescent="0.25">
      <c r="C11" s="1">
        <v>39295</v>
      </c>
      <c r="D11">
        <v>43995399405.480003</v>
      </c>
      <c r="G11" s="3">
        <v>38718</v>
      </c>
      <c r="H11" s="4">
        <v>409581706</v>
      </c>
      <c r="K11" s="3">
        <v>38718</v>
      </c>
      <c r="L11" s="4">
        <v>409234045</v>
      </c>
      <c r="O11" s="3">
        <v>38718</v>
      </c>
      <c r="P11" s="4">
        <v>405272994</v>
      </c>
    </row>
    <row r="12" spans="3:16" x14ac:dyDescent="0.25">
      <c r="C12" s="1">
        <v>39326</v>
      </c>
      <c r="D12">
        <v>49111820594.830002</v>
      </c>
      <c r="G12" s="3">
        <v>38749</v>
      </c>
      <c r="H12" s="4">
        <v>47420820.900000006</v>
      </c>
      <c r="K12" s="3">
        <v>38749</v>
      </c>
      <c r="L12" s="4">
        <v>43567860.870000005</v>
      </c>
      <c r="O12" s="3">
        <v>38749</v>
      </c>
      <c r="P12" s="4">
        <v>18989705.91</v>
      </c>
    </row>
    <row r="13" spans="3:16" x14ac:dyDescent="0.25">
      <c r="C13" s="1">
        <v>39356</v>
      </c>
      <c r="D13">
        <v>41062455005.830002</v>
      </c>
      <c r="G13" s="3">
        <v>38777</v>
      </c>
      <c r="H13" s="4">
        <v>57815428</v>
      </c>
      <c r="K13" s="3">
        <v>38777</v>
      </c>
      <c r="L13" s="4">
        <v>44990671</v>
      </c>
      <c r="O13" s="3">
        <v>38777</v>
      </c>
      <c r="P13" s="4">
        <v>16635495</v>
      </c>
    </row>
    <row r="14" spans="3:16" x14ac:dyDescent="0.25">
      <c r="C14" s="1">
        <v>39387</v>
      </c>
      <c r="D14">
        <v>44732736510.07</v>
      </c>
      <c r="G14" s="3">
        <v>38808</v>
      </c>
      <c r="H14" s="4">
        <v>143206830.30000001</v>
      </c>
      <c r="K14" s="3">
        <v>38808</v>
      </c>
      <c r="L14" s="4">
        <v>105628711.3</v>
      </c>
      <c r="O14" s="3">
        <v>38808</v>
      </c>
      <c r="P14" s="4">
        <v>41797458.600000001</v>
      </c>
    </row>
    <row r="15" spans="3:16" x14ac:dyDescent="0.25">
      <c r="C15" s="1">
        <v>39417</v>
      </c>
      <c r="D15">
        <v>51707189249.389999</v>
      </c>
      <c r="G15" s="3">
        <v>38838</v>
      </c>
      <c r="H15" s="4">
        <v>168814422</v>
      </c>
      <c r="K15" s="3">
        <v>38838</v>
      </c>
      <c r="L15" s="4">
        <v>117134068</v>
      </c>
      <c r="O15" s="3">
        <v>38838</v>
      </c>
      <c r="P15" s="4">
        <v>30826920</v>
      </c>
    </row>
    <row r="16" spans="3:16" x14ac:dyDescent="0.25">
      <c r="C16" s="1">
        <v>39448</v>
      </c>
      <c r="D16">
        <v>42416473958.059998</v>
      </c>
      <c r="G16" s="3">
        <v>38869</v>
      </c>
      <c r="H16" s="4">
        <v>717047401</v>
      </c>
      <c r="K16" s="3">
        <v>38869</v>
      </c>
      <c r="L16" s="4">
        <v>654337349</v>
      </c>
      <c r="O16" s="3">
        <v>38869</v>
      </c>
      <c r="P16" s="4">
        <v>564968306</v>
      </c>
    </row>
    <row r="17" spans="3:16" x14ac:dyDescent="0.25">
      <c r="C17" s="1">
        <v>39479</v>
      </c>
      <c r="D17">
        <v>47598813494.519997</v>
      </c>
      <c r="G17" s="3">
        <v>38899</v>
      </c>
      <c r="H17" s="4">
        <v>3182618395</v>
      </c>
      <c r="K17" s="3">
        <v>38899</v>
      </c>
      <c r="L17" s="4">
        <v>2461509395</v>
      </c>
      <c r="O17" s="3">
        <v>38899</v>
      </c>
      <c r="P17" s="4">
        <v>697418800</v>
      </c>
    </row>
    <row r="18" spans="3:16" x14ac:dyDescent="0.25">
      <c r="C18" s="1">
        <v>39508</v>
      </c>
      <c r="D18">
        <v>33098885133.23</v>
      </c>
      <c r="G18" s="3">
        <v>38930</v>
      </c>
      <c r="H18" s="4">
        <v>2087650824</v>
      </c>
      <c r="K18" s="3">
        <v>38930</v>
      </c>
      <c r="L18" s="4">
        <v>1654784144</v>
      </c>
      <c r="O18" s="3">
        <v>38930</v>
      </c>
      <c r="P18" s="4">
        <v>433633000</v>
      </c>
    </row>
    <row r="19" spans="3:16" x14ac:dyDescent="0.25">
      <c r="C19" s="1">
        <v>39539</v>
      </c>
      <c r="D19">
        <v>46584197590.18</v>
      </c>
      <c r="G19" s="3">
        <v>38961</v>
      </c>
      <c r="H19" s="4">
        <v>1838672565.8399999</v>
      </c>
      <c r="K19" s="3">
        <v>38961</v>
      </c>
      <c r="L19" s="4">
        <v>1252151786.8399999</v>
      </c>
      <c r="O19" s="3">
        <v>38961</v>
      </c>
      <c r="P19" s="4">
        <v>435518921</v>
      </c>
    </row>
    <row r="20" spans="3:16" x14ac:dyDescent="0.25">
      <c r="C20" s="1">
        <v>39569</v>
      </c>
      <c r="D20">
        <v>42674640201.949997</v>
      </c>
      <c r="G20" s="3">
        <v>38991</v>
      </c>
      <c r="H20" s="4">
        <v>3724757820.4499998</v>
      </c>
      <c r="K20" s="3">
        <v>38991</v>
      </c>
      <c r="L20" s="4">
        <v>2761274820.8699999</v>
      </c>
      <c r="O20" s="3">
        <v>38991</v>
      </c>
      <c r="P20" s="4">
        <v>962843082.87</v>
      </c>
    </row>
    <row r="21" spans="3:16" x14ac:dyDescent="0.25">
      <c r="C21" s="1">
        <v>39600</v>
      </c>
      <c r="D21">
        <v>39819832095.970001</v>
      </c>
      <c r="G21" s="3">
        <v>39022</v>
      </c>
      <c r="H21" s="4">
        <v>23267364337.740002</v>
      </c>
      <c r="K21" s="3">
        <v>39022</v>
      </c>
      <c r="L21" s="4">
        <v>17872900133.689999</v>
      </c>
      <c r="O21" s="3">
        <v>39022</v>
      </c>
      <c r="P21" s="4">
        <v>5912182200.0200005</v>
      </c>
    </row>
    <row r="22" spans="3:16" x14ac:dyDescent="0.25">
      <c r="C22" s="1">
        <v>39630</v>
      </c>
      <c r="D22">
        <v>29469912439.84</v>
      </c>
      <c r="G22" s="3">
        <v>39052</v>
      </c>
      <c r="H22" s="4">
        <v>27172801837.960007</v>
      </c>
      <c r="K22" s="3">
        <v>39052</v>
      </c>
      <c r="L22" s="4">
        <v>21307431985.210003</v>
      </c>
      <c r="O22" s="3">
        <v>39052</v>
      </c>
      <c r="P22" s="4">
        <v>6878861100.71</v>
      </c>
    </row>
    <row r="23" spans="3:16" x14ac:dyDescent="0.25">
      <c r="C23" s="1">
        <v>39661</v>
      </c>
      <c r="D23">
        <v>24755660721.34</v>
      </c>
      <c r="G23" s="3">
        <v>39083</v>
      </c>
      <c r="H23" s="4">
        <v>30025183870.150002</v>
      </c>
      <c r="K23" s="3">
        <v>39083</v>
      </c>
      <c r="L23" s="4">
        <v>24746998505.490002</v>
      </c>
      <c r="O23" s="3">
        <v>39083</v>
      </c>
      <c r="P23" s="4">
        <v>9008075393</v>
      </c>
    </row>
    <row r="24" spans="3:16" x14ac:dyDescent="0.25">
      <c r="C24" s="1">
        <v>39692</v>
      </c>
      <c r="D24">
        <v>28280786640.880001</v>
      </c>
      <c r="G24" s="3">
        <v>39114</v>
      </c>
      <c r="H24" s="4">
        <v>30108179192.459999</v>
      </c>
      <c r="K24" s="3">
        <v>39114</v>
      </c>
      <c r="L24" s="4">
        <v>23003134874.119999</v>
      </c>
      <c r="O24" s="3">
        <v>39114</v>
      </c>
      <c r="P24" s="4">
        <v>8625817045</v>
      </c>
    </row>
    <row r="25" spans="3:16" x14ac:dyDescent="0.25">
      <c r="C25" s="1">
        <v>39722</v>
      </c>
      <c r="D25">
        <v>20111536181.459999</v>
      </c>
      <c r="G25" s="3">
        <v>39142</v>
      </c>
      <c r="H25" s="4">
        <v>28183297166.309998</v>
      </c>
      <c r="K25" s="3">
        <v>39142</v>
      </c>
      <c r="L25" s="4">
        <v>21409133997.16</v>
      </c>
      <c r="O25" s="3">
        <v>39142</v>
      </c>
      <c r="P25" s="4">
        <v>7241357422</v>
      </c>
    </row>
    <row r="26" spans="3:16" x14ac:dyDescent="0.25">
      <c r="C26" s="1">
        <v>39753</v>
      </c>
      <c r="D26">
        <v>19549203209.700001</v>
      </c>
      <c r="G26" s="3">
        <v>39173</v>
      </c>
      <c r="H26" s="4">
        <v>31533331514.700001</v>
      </c>
      <c r="K26" s="3">
        <v>39173</v>
      </c>
      <c r="L26" s="4">
        <v>25337640295.240002</v>
      </c>
      <c r="O26" s="3">
        <v>39173</v>
      </c>
      <c r="P26" s="4">
        <v>8435795278.75</v>
      </c>
    </row>
    <row r="27" spans="3:16" x14ac:dyDescent="0.25">
      <c r="C27" s="1">
        <v>39783</v>
      </c>
      <c r="D27">
        <v>34243210261.48</v>
      </c>
      <c r="G27" s="3">
        <v>39203</v>
      </c>
      <c r="H27" s="4">
        <v>36317976637.439995</v>
      </c>
      <c r="K27" s="3">
        <v>39203</v>
      </c>
      <c r="L27" s="4">
        <v>27080727971.889999</v>
      </c>
      <c r="O27" s="3">
        <v>39203</v>
      </c>
      <c r="P27" s="4">
        <v>8757031646.7099991</v>
      </c>
    </row>
    <row r="28" spans="3:16" x14ac:dyDescent="0.25">
      <c r="C28" s="1">
        <v>39814</v>
      </c>
      <c r="D28">
        <v>18936614213.73</v>
      </c>
      <c r="G28" s="3">
        <v>39234</v>
      </c>
      <c r="H28" s="4">
        <v>2020858084.21</v>
      </c>
      <c r="K28" s="3">
        <v>39234</v>
      </c>
      <c r="L28" s="4">
        <v>1640096016</v>
      </c>
      <c r="O28" s="3">
        <v>39234</v>
      </c>
      <c r="P28" s="4">
        <v>529500000</v>
      </c>
    </row>
    <row r="29" spans="3:16" x14ac:dyDescent="0.25">
      <c r="C29" s="1">
        <v>39845</v>
      </c>
      <c r="D29">
        <v>33597423221.919998</v>
      </c>
      <c r="G29" s="3">
        <v>39264</v>
      </c>
      <c r="H29" s="4">
        <v>1914214423.7099998</v>
      </c>
      <c r="K29" s="3">
        <v>39264</v>
      </c>
      <c r="L29" s="4">
        <v>1345164055.6900001</v>
      </c>
      <c r="O29" s="3">
        <v>39264</v>
      </c>
      <c r="P29" s="4">
        <v>587402404.38</v>
      </c>
    </row>
    <row r="30" spans="3:16" x14ac:dyDescent="0.25">
      <c r="C30" s="1">
        <v>39873</v>
      </c>
      <c r="D30">
        <v>58279883526.330002</v>
      </c>
      <c r="G30" s="3">
        <v>39295</v>
      </c>
      <c r="H30" s="4">
        <v>36163124713.329994</v>
      </c>
      <c r="K30" s="3">
        <v>39295</v>
      </c>
      <c r="L30" s="4">
        <v>26896585880.68</v>
      </c>
      <c r="O30" s="3">
        <v>39295</v>
      </c>
      <c r="P30" s="4">
        <v>7970383527.0900002</v>
      </c>
    </row>
    <row r="31" spans="3:16" x14ac:dyDescent="0.25">
      <c r="C31" s="1">
        <v>39904</v>
      </c>
      <c r="D31">
        <v>39146430920.68</v>
      </c>
      <c r="G31" s="3">
        <v>39326</v>
      </c>
      <c r="H31" s="4">
        <v>39727850973.849991</v>
      </c>
      <c r="K31" s="3">
        <v>39326</v>
      </c>
      <c r="L31" s="4">
        <v>31387723932.829998</v>
      </c>
      <c r="O31" s="3">
        <v>39326</v>
      </c>
      <c r="P31" s="4">
        <v>11906421034.719999</v>
      </c>
    </row>
    <row r="32" spans="3:16" x14ac:dyDescent="0.25">
      <c r="C32" s="1">
        <v>39934</v>
      </c>
      <c r="D32">
        <v>72934966143.050003</v>
      </c>
      <c r="G32" s="3">
        <v>39356</v>
      </c>
      <c r="H32" s="4">
        <v>34611207598.679993</v>
      </c>
      <c r="K32" s="3">
        <v>39356</v>
      </c>
      <c r="L32" s="4">
        <v>25266524753.019997</v>
      </c>
      <c r="O32" s="3">
        <v>39356</v>
      </c>
      <c r="P32" s="4">
        <v>7611233645.2799997</v>
      </c>
    </row>
    <row r="33" spans="3:16" x14ac:dyDescent="0.25">
      <c r="C33" s="1">
        <v>39965</v>
      </c>
      <c r="D33">
        <v>76262080926.210007</v>
      </c>
      <c r="G33" s="3">
        <v>39387</v>
      </c>
      <c r="H33" s="4">
        <v>38426581887.660004</v>
      </c>
      <c r="K33" s="3">
        <v>39387</v>
      </c>
      <c r="L33" s="4">
        <v>27917519171.919998</v>
      </c>
      <c r="O33" s="3">
        <v>39387</v>
      </c>
      <c r="P33" s="4">
        <v>9251362639</v>
      </c>
    </row>
    <row r="34" spans="3:16" x14ac:dyDescent="0.25">
      <c r="C34" s="1">
        <v>39995</v>
      </c>
      <c r="D34">
        <v>56175333158.150002</v>
      </c>
      <c r="G34" s="3">
        <v>39417</v>
      </c>
      <c r="H34" s="4">
        <v>45838564870.419991</v>
      </c>
      <c r="K34" s="3">
        <v>39417</v>
      </c>
      <c r="L34" s="4">
        <v>35348140136.119995</v>
      </c>
      <c r="O34" s="3">
        <v>39417</v>
      </c>
      <c r="P34" s="4">
        <v>12421827356.389999</v>
      </c>
    </row>
    <row r="35" spans="3:16" x14ac:dyDescent="0.25">
      <c r="C35" s="1">
        <v>40026</v>
      </c>
      <c r="D35">
        <v>42707871420.519997</v>
      </c>
      <c r="G35" s="3">
        <v>39448</v>
      </c>
      <c r="H35" s="4">
        <v>36449458088.989998</v>
      </c>
      <c r="K35" s="3">
        <v>39448</v>
      </c>
      <c r="L35" s="4">
        <v>26958404741.359997</v>
      </c>
      <c r="O35" s="3">
        <v>39448</v>
      </c>
      <c r="P35" s="4">
        <v>8728590817.0499992</v>
      </c>
    </row>
    <row r="36" spans="3:16" x14ac:dyDescent="0.25">
      <c r="C36" s="1">
        <v>40057</v>
      </c>
      <c r="D36">
        <v>35545808628.080002</v>
      </c>
      <c r="G36" s="3">
        <v>39479</v>
      </c>
      <c r="H36" s="4">
        <v>42640399806.709999</v>
      </c>
      <c r="K36" s="3">
        <v>39479</v>
      </c>
      <c r="L36" s="4">
        <v>32555708285.060001</v>
      </c>
      <c r="O36" s="3">
        <v>39479</v>
      </c>
      <c r="P36" s="4">
        <v>10940578643.9</v>
      </c>
    </row>
    <row r="37" spans="3:16" x14ac:dyDescent="0.25">
      <c r="C37" s="1">
        <v>40087</v>
      </c>
      <c r="D37">
        <v>21874804430.150002</v>
      </c>
      <c r="G37" s="3">
        <v>39508</v>
      </c>
      <c r="H37" s="4">
        <v>29192521758.130001</v>
      </c>
      <c r="K37" s="3">
        <v>39508</v>
      </c>
      <c r="L37" s="4">
        <v>24315835443.790001</v>
      </c>
      <c r="O37" s="3">
        <v>39508</v>
      </c>
      <c r="P37" s="4">
        <v>7127437485.3199997</v>
      </c>
    </row>
    <row r="38" spans="3:16" x14ac:dyDescent="0.25">
      <c r="C38" s="1">
        <v>40118</v>
      </c>
      <c r="D38">
        <v>24608614094.23</v>
      </c>
      <c r="G38" s="3">
        <v>39539</v>
      </c>
      <c r="H38" s="4">
        <v>40499590498.020004</v>
      </c>
      <c r="K38" s="3">
        <v>39539</v>
      </c>
      <c r="L38" s="4">
        <v>32138247792.009998</v>
      </c>
      <c r="O38" s="3">
        <v>39539</v>
      </c>
      <c r="P38" s="4">
        <v>9380905884.8600006</v>
      </c>
    </row>
    <row r="39" spans="3:16" x14ac:dyDescent="0.25">
      <c r="C39" s="1">
        <v>40148</v>
      </c>
      <c r="D39">
        <v>32223686615.439999</v>
      </c>
      <c r="G39" s="3">
        <v>39569</v>
      </c>
      <c r="H39" s="4">
        <v>38150991945.059998</v>
      </c>
      <c r="K39" s="3">
        <v>39569</v>
      </c>
      <c r="L39" s="4">
        <v>30863023102.57</v>
      </c>
      <c r="O39" s="3">
        <v>39569</v>
      </c>
      <c r="P39" s="4">
        <v>12080553097.469999</v>
      </c>
    </row>
    <row r="40" spans="3:16" x14ac:dyDescent="0.25">
      <c r="C40" s="1">
        <v>40179</v>
      </c>
      <c r="D40">
        <v>28402338465.669998</v>
      </c>
      <c r="G40" s="3">
        <v>39600</v>
      </c>
      <c r="H40" s="4">
        <v>36274545496.419998</v>
      </c>
      <c r="K40" s="3">
        <v>39600</v>
      </c>
      <c r="L40" s="4">
        <v>30441998963.41</v>
      </c>
      <c r="O40" s="3">
        <v>39600</v>
      </c>
      <c r="P40" s="4">
        <v>11170458526.360001</v>
      </c>
    </row>
    <row r="41" spans="3:16" x14ac:dyDescent="0.25">
      <c r="C41" s="1">
        <v>40210</v>
      </c>
      <c r="D41">
        <v>29538695075.060001</v>
      </c>
      <c r="G41" s="3">
        <v>39630</v>
      </c>
      <c r="H41" s="4">
        <v>25661699058.59</v>
      </c>
      <c r="K41" s="3">
        <v>39630</v>
      </c>
      <c r="L41" s="4">
        <v>19657967882.41</v>
      </c>
      <c r="O41" s="3">
        <v>39630</v>
      </c>
      <c r="P41" s="4">
        <v>5246259446.8599997</v>
      </c>
    </row>
    <row r="42" spans="3:16" x14ac:dyDescent="0.25">
      <c r="C42" s="1">
        <v>40238</v>
      </c>
      <c r="D42">
        <v>21507704755.18</v>
      </c>
      <c r="G42" s="3">
        <v>39661</v>
      </c>
      <c r="H42" s="4">
        <v>21967790863.110004</v>
      </c>
      <c r="K42" s="3">
        <v>39661</v>
      </c>
      <c r="L42" s="4">
        <v>16728604606.980001</v>
      </c>
      <c r="O42" s="3">
        <v>39661</v>
      </c>
      <c r="P42" s="4">
        <v>4827258509.6899996</v>
      </c>
    </row>
    <row r="43" spans="3:16" x14ac:dyDescent="0.25">
      <c r="C43" s="1">
        <v>40269</v>
      </c>
      <c r="D43">
        <v>24598111465.389999</v>
      </c>
      <c r="G43" s="3">
        <v>39692</v>
      </c>
      <c r="H43" s="4">
        <v>25821976249.259998</v>
      </c>
      <c r="K43" s="3">
        <v>39692</v>
      </c>
      <c r="L43" s="4">
        <v>19841787823.889999</v>
      </c>
      <c r="O43" s="3">
        <v>39692</v>
      </c>
      <c r="P43" s="4">
        <v>6826679614.1599998</v>
      </c>
    </row>
    <row r="44" spans="3:16" x14ac:dyDescent="0.25">
      <c r="C44" s="1">
        <v>40299</v>
      </c>
      <c r="D44">
        <v>25849112731.880001</v>
      </c>
      <c r="G44" s="3">
        <v>39722</v>
      </c>
      <c r="H44" s="4">
        <v>17771952343.489994</v>
      </c>
      <c r="K44" s="3">
        <v>39722</v>
      </c>
      <c r="L44" s="4">
        <v>13280775763.599998</v>
      </c>
      <c r="O44" s="3">
        <v>39722</v>
      </c>
      <c r="P44" s="4">
        <v>3655203702.7600002</v>
      </c>
    </row>
    <row r="45" spans="3:16" x14ac:dyDescent="0.25">
      <c r="C45" s="1">
        <v>40330</v>
      </c>
      <c r="D45">
        <v>30845501845.259998</v>
      </c>
      <c r="G45" s="3">
        <v>39753</v>
      </c>
      <c r="H45" s="4">
        <v>17082411068.670002</v>
      </c>
      <c r="K45" s="3">
        <v>39753</v>
      </c>
      <c r="L45" s="4">
        <v>13594411036.240002</v>
      </c>
      <c r="O45" s="3">
        <v>39753</v>
      </c>
      <c r="P45" s="4">
        <v>4550926488.3800001</v>
      </c>
    </row>
    <row r="46" spans="3:16" x14ac:dyDescent="0.25">
      <c r="C46" s="1">
        <v>40360</v>
      </c>
      <c r="D46">
        <v>34310660993.599998</v>
      </c>
      <c r="G46" s="3">
        <v>39783</v>
      </c>
      <c r="H46" s="4">
        <v>29606036758.049999</v>
      </c>
      <c r="K46" s="3">
        <v>39783</v>
      </c>
      <c r="L46" s="4">
        <v>22006804718.82</v>
      </c>
      <c r="O46" s="3">
        <v>39783</v>
      </c>
      <c r="P46" s="4">
        <v>8422014425.4099998</v>
      </c>
    </row>
    <row r="47" spans="3:16" x14ac:dyDescent="0.25">
      <c r="C47" s="1">
        <v>40391</v>
      </c>
      <c r="D47">
        <v>37008423460.110001</v>
      </c>
      <c r="G47" s="3">
        <v>39814</v>
      </c>
      <c r="H47" s="4">
        <v>15573013109.779999</v>
      </c>
      <c r="K47" s="3">
        <v>39814</v>
      </c>
      <c r="L47" s="4">
        <v>12534763717.26</v>
      </c>
      <c r="O47" s="3">
        <v>39814</v>
      </c>
      <c r="P47" s="4">
        <v>3756680738.23</v>
      </c>
    </row>
    <row r="48" spans="3:16" x14ac:dyDescent="0.25">
      <c r="C48" s="1">
        <v>40422</v>
      </c>
      <c r="D48">
        <v>58060336851.639999</v>
      </c>
      <c r="G48" s="3">
        <v>39845</v>
      </c>
      <c r="H48" s="4">
        <v>29878159863.969997</v>
      </c>
      <c r="K48" s="3">
        <v>39845</v>
      </c>
      <c r="L48" s="4">
        <v>24776401311.380001</v>
      </c>
      <c r="O48" s="3">
        <v>39845</v>
      </c>
      <c r="P48" s="4">
        <v>9511580945.1800003</v>
      </c>
    </row>
    <row r="49" spans="3:16" x14ac:dyDescent="0.25">
      <c r="C49" s="1">
        <v>40452</v>
      </c>
      <c r="D49">
        <v>55437293669.82</v>
      </c>
      <c r="G49" s="3">
        <v>39873</v>
      </c>
      <c r="H49" s="4">
        <v>52300463711.150002</v>
      </c>
      <c r="K49" s="3">
        <v>39873</v>
      </c>
      <c r="L49" s="4">
        <v>44588597188.129997</v>
      </c>
      <c r="O49" s="3">
        <v>39873</v>
      </c>
      <c r="P49" s="4">
        <v>14453685921.889999</v>
      </c>
    </row>
    <row r="50" spans="3:16" x14ac:dyDescent="0.25">
      <c r="C50" s="1">
        <v>40483</v>
      </c>
      <c r="D50">
        <v>58686444169.029999</v>
      </c>
      <c r="G50" s="3">
        <v>39904</v>
      </c>
      <c r="H50" s="4">
        <v>32464719403.389999</v>
      </c>
      <c r="K50" s="3">
        <v>39904</v>
      </c>
      <c r="L50" s="4">
        <v>25327691030.98</v>
      </c>
      <c r="O50" s="3">
        <v>39904</v>
      </c>
      <c r="P50" s="4">
        <v>10866823472.32</v>
      </c>
    </row>
    <row r="51" spans="3:16" x14ac:dyDescent="0.25">
      <c r="C51" s="1">
        <v>40513</v>
      </c>
      <c r="D51">
        <v>68322455956.550003</v>
      </c>
      <c r="G51" s="3">
        <v>39934</v>
      </c>
      <c r="H51" s="4">
        <v>59246266312.960007</v>
      </c>
      <c r="K51" s="3">
        <v>39934</v>
      </c>
      <c r="L51" s="4">
        <v>48614350249.730003</v>
      </c>
      <c r="O51" s="3">
        <v>39934</v>
      </c>
      <c r="P51" s="4">
        <v>16377153576.040001</v>
      </c>
    </row>
    <row r="52" spans="3:16" x14ac:dyDescent="0.25">
      <c r="C52" s="1">
        <v>40544</v>
      </c>
      <c r="D52">
        <v>55855573330.230003</v>
      </c>
      <c r="G52" s="3">
        <v>39965</v>
      </c>
      <c r="H52" s="4">
        <v>62548319986.500008</v>
      </c>
      <c r="K52" s="3">
        <v>39965</v>
      </c>
      <c r="L52" s="4">
        <v>50633928595.489998</v>
      </c>
      <c r="O52" s="3">
        <v>39965</v>
      </c>
      <c r="P52" s="4">
        <v>18556306988.82</v>
      </c>
    </row>
    <row r="53" spans="3:16" x14ac:dyDescent="0.25">
      <c r="C53" s="1">
        <v>40575</v>
      </c>
      <c r="D53">
        <v>44621480261.089996</v>
      </c>
      <c r="G53" s="3">
        <v>39995</v>
      </c>
      <c r="H53" s="4">
        <v>47492473410.860008</v>
      </c>
      <c r="K53" s="3">
        <v>39995</v>
      </c>
      <c r="L53" s="4">
        <v>40903264377.350006</v>
      </c>
      <c r="O53" s="3">
        <v>39995</v>
      </c>
      <c r="P53" s="4">
        <v>17780279923.57</v>
      </c>
    </row>
    <row r="54" spans="3:16" x14ac:dyDescent="0.25">
      <c r="C54" s="1">
        <v>40603</v>
      </c>
      <c r="D54">
        <v>45487595158.059998</v>
      </c>
      <c r="G54" s="3">
        <v>40026</v>
      </c>
      <c r="H54" s="4">
        <v>35622455938.389999</v>
      </c>
      <c r="K54" s="3">
        <v>40026</v>
      </c>
      <c r="L54" s="4">
        <v>30196349339.740002</v>
      </c>
      <c r="O54" s="3">
        <v>40026</v>
      </c>
      <c r="P54" s="4">
        <v>13559469118.879999</v>
      </c>
    </row>
    <row r="55" spans="3:16" x14ac:dyDescent="0.25">
      <c r="C55" s="1">
        <v>40634</v>
      </c>
      <c r="D55">
        <v>27671726621.970001</v>
      </c>
      <c r="G55" s="3">
        <v>40057</v>
      </c>
      <c r="H55" s="4">
        <v>29845785005.43</v>
      </c>
      <c r="K55" s="3">
        <v>40057</v>
      </c>
      <c r="L55" s="4">
        <v>25413966746.16</v>
      </c>
      <c r="O55" s="3">
        <v>40057</v>
      </c>
      <c r="P55" s="4">
        <v>9711261406.9500008</v>
      </c>
    </row>
    <row r="56" spans="3:16" x14ac:dyDescent="0.25">
      <c r="C56" s="1">
        <v>40664</v>
      </c>
      <c r="D56">
        <v>25503640744.77</v>
      </c>
      <c r="G56" s="3">
        <v>40087</v>
      </c>
      <c r="H56" s="4">
        <v>18050212522.980003</v>
      </c>
      <c r="K56" s="3">
        <v>40087</v>
      </c>
      <c r="L56" s="4">
        <v>15113923941.170002</v>
      </c>
      <c r="O56" s="3">
        <v>40087</v>
      </c>
      <c r="P56" s="4">
        <v>7211282362.8500004</v>
      </c>
    </row>
    <row r="57" spans="3:16" x14ac:dyDescent="0.25">
      <c r="C57" s="1">
        <v>40695</v>
      </c>
      <c r="D57">
        <v>29238014463.290001</v>
      </c>
      <c r="G57" s="3">
        <v>40118</v>
      </c>
      <c r="H57" s="4">
        <v>21036921541.490002</v>
      </c>
      <c r="K57" s="3">
        <v>40118</v>
      </c>
      <c r="L57" s="4">
        <v>17714705203.989998</v>
      </c>
      <c r="O57" s="3">
        <v>40118</v>
      </c>
      <c r="P57" s="4">
        <v>7751269955.25</v>
      </c>
    </row>
    <row r="58" spans="3:16" x14ac:dyDescent="0.25">
      <c r="C58" s="1">
        <v>40725</v>
      </c>
      <c r="D58">
        <v>24519138610.189999</v>
      </c>
      <c r="G58" s="3">
        <v>40148</v>
      </c>
      <c r="H58" s="4">
        <v>27010034507.779999</v>
      </c>
      <c r="K58" s="3">
        <v>40148</v>
      </c>
      <c r="L58" s="4">
        <v>22935300873.869999</v>
      </c>
      <c r="O58" s="3">
        <v>40148</v>
      </c>
      <c r="P58" s="4">
        <v>11583901052.780001</v>
      </c>
    </row>
    <row r="59" spans="3:16" x14ac:dyDescent="0.25">
      <c r="C59" s="1">
        <v>40756</v>
      </c>
      <c r="D59">
        <v>31377561047.52</v>
      </c>
      <c r="G59" s="3">
        <v>40179</v>
      </c>
      <c r="H59" s="4">
        <v>23918183966.340004</v>
      </c>
      <c r="K59" s="3">
        <v>40179</v>
      </c>
      <c r="L59" s="4">
        <v>20858919599.690002</v>
      </c>
      <c r="O59" s="3">
        <v>40179</v>
      </c>
      <c r="P59" s="4">
        <v>9978849287.2000008</v>
      </c>
    </row>
    <row r="60" spans="3:16" x14ac:dyDescent="0.25">
      <c r="C60" s="1">
        <v>40787</v>
      </c>
      <c r="D60">
        <v>38452703345.68</v>
      </c>
      <c r="G60" s="3">
        <v>40210</v>
      </c>
      <c r="H60" s="4">
        <v>25219459831.370003</v>
      </c>
      <c r="K60" s="3">
        <v>40210</v>
      </c>
      <c r="L60" s="4">
        <v>22732499809.770004</v>
      </c>
      <c r="O60" s="3">
        <v>40210</v>
      </c>
      <c r="P60" s="4">
        <v>9807430995.9200001</v>
      </c>
    </row>
    <row r="61" spans="3:16" x14ac:dyDescent="0.25">
      <c r="C61" s="1">
        <v>40817</v>
      </c>
      <c r="D61">
        <v>39160772840.540001</v>
      </c>
      <c r="G61" s="3">
        <v>40238</v>
      </c>
      <c r="H61" s="4">
        <v>18730250800.600002</v>
      </c>
      <c r="K61" s="3">
        <v>40238</v>
      </c>
      <c r="L61" s="4">
        <v>16626538345.559999</v>
      </c>
      <c r="O61" s="3">
        <v>40238</v>
      </c>
      <c r="P61" s="4">
        <v>7752148414.0900002</v>
      </c>
    </row>
    <row r="62" spans="3:16" x14ac:dyDescent="0.25">
      <c r="C62" s="1">
        <v>40848</v>
      </c>
      <c r="D62">
        <v>49671345162.910004</v>
      </c>
      <c r="G62" s="3">
        <v>40269</v>
      </c>
      <c r="H62" s="4">
        <v>21401297125.709999</v>
      </c>
      <c r="K62" s="3">
        <v>40269</v>
      </c>
      <c r="L62" s="4">
        <v>18926472017.360001</v>
      </c>
      <c r="O62" s="3">
        <v>40269</v>
      </c>
      <c r="P62" s="4">
        <v>8759856160.0100002</v>
      </c>
    </row>
    <row r="63" spans="3:16" x14ac:dyDescent="0.25">
      <c r="C63" s="1">
        <v>40878</v>
      </c>
      <c r="D63">
        <v>61380117541.690002</v>
      </c>
      <c r="G63" s="3">
        <v>40299</v>
      </c>
      <c r="H63" s="4">
        <v>22794601006.109997</v>
      </c>
      <c r="K63" s="3">
        <v>40299</v>
      </c>
      <c r="L63" s="4">
        <v>19737345072.869999</v>
      </c>
      <c r="O63" s="3">
        <v>40299</v>
      </c>
      <c r="P63" s="4">
        <v>7983117228.6700001</v>
      </c>
    </row>
    <row r="64" spans="3:16" x14ac:dyDescent="0.25">
      <c r="C64" s="1">
        <v>40909</v>
      </c>
      <c r="D64">
        <v>45560582863.540001</v>
      </c>
      <c r="G64" s="3">
        <v>40330</v>
      </c>
      <c r="H64" s="4">
        <v>26357643573.190002</v>
      </c>
      <c r="K64" s="3">
        <v>40330</v>
      </c>
      <c r="L64" s="4">
        <v>23095750779.380001</v>
      </c>
      <c r="O64" s="3">
        <v>40330</v>
      </c>
      <c r="P64" s="4">
        <v>8159699856.3800001</v>
      </c>
    </row>
    <row r="65" spans="3:16" x14ac:dyDescent="0.25">
      <c r="C65" s="1">
        <v>40940</v>
      </c>
      <c r="D65">
        <v>43367241441.739998</v>
      </c>
      <c r="G65" s="3">
        <v>40360</v>
      </c>
      <c r="H65" s="4">
        <v>28451985439.279999</v>
      </c>
      <c r="K65" s="3">
        <v>40360</v>
      </c>
      <c r="L65" s="4">
        <v>25054192083.110001</v>
      </c>
      <c r="O65" s="3">
        <v>40360</v>
      </c>
      <c r="P65" s="4">
        <v>8955541938.4400005</v>
      </c>
    </row>
    <row r="66" spans="3:16" x14ac:dyDescent="0.25">
      <c r="C66" s="1">
        <v>40969</v>
      </c>
      <c r="D66">
        <v>72369367078.360001</v>
      </c>
      <c r="G66" s="3">
        <v>40391</v>
      </c>
      <c r="H66" s="4">
        <v>30182508162.220001</v>
      </c>
      <c r="K66" s="3">
        <v>40391</v>
      </c>
      <c r="L66" s="4">
        <v>25021597638.75</v>
      </c>
      <c r="O66" s="3">
        <v>40391</v>
      </c>
      <c r="P66" s="4">
        <v>10445666888.360001</v>
      </c>
    </row>
    <row r="67" spans="3:16" x14ac:dyDescent="0.25">
      <c r="C67" s="1">
        <v>41000</v>
      </c>
      <c r="D67">
        <v>34578870707.559998</v>
      </c>
      <c r="G67" s="3">
        <v>40422</v>
      </c>
      <c r="H67" s="4">
        <v>50042935375.950005</v>
      </c>
      <c r="K67" s="3">
        <v>40422</v>
      </c>
      <c r="L67" s="4">
        <v>43137598077.989998</v>
      </c>
      <c r="O67" s="3">
        <v>40422</v>
      </c>
      <c r="P67" s="4">
        <v>13523481421.540001</v>
      </c>
    </row>
    <row r="68" spans="3:16" x14ac:dyDescent="0.25">
      <c r="C68" s="1">
        <v>41030</v>
      </c>
      <c r="D68">
        <v>52771697386.779999</v>
      </c>
      <c r="G68" s="3">
        <v>40452</v>
      </c>
      <c r="H68" s="4">
        <v>44177303696.580002</v>
      </c>
      <c r="K68" s="3">
        <v>40452</v>
      </c>
      <c r="L68" s="4">
        <v>37554288902.369995</v>
      </c>
      <c r="O68" s="3">
        <v>40452</v>
      </c>
      <c r="P68" s="4">
        <v>13935891180.24</v>
      </c>
    </row>
    <row r="69" spans="3:16" x14ac:dyDescent="0.25">
      <c r="C69" s="1">
        <v>41061</v>
      </c>
      <c r="D69">
        <v>50048038427.269997</v>
      </c>
      <c r="G69" s="3">
        <v>40483</v>
      </c>
      <c r="H69" s="4">
        <v>44633959622.000008</v>
      </c>
      <c r="K69" s="3">
        <v>40483</v>
      </c>
      <c r="L69" s="4">
        <v>36330744156.989998</v>
      </c>
      <c r="O69" s="3">
        <v>40483</v>
      </c>
      <c r="P69" s="4">
        <v>13909502726.82</v>
      </c>
    </row>
    <row r="70" spans="3:16" x14ac:dyDescent="0.25">
      <c r="C70" s="1">
        <v>41091</v>
      </c>
      <c r="D70">
        <v>54497028459.589996</v>
      </c>
      <c r="G70" s="3">
        <v>40513</v>
      </c>
      <c r="H70" s="4">
        <v>55384789442.399994</v>
      </c>
      <c r="K70" s="3">
        <v>40513</v>
      </c>
      <c r="L70" s="4">
        <v>48267923274.330002</v>
      </c>
      <c r="O70" s="3">
        <v>40513</v>
      </c>
      <c r="P70" s="4">
        <v>14878642995.780001</v>
      </c>
    </row>
    <row r="71" spans="3:16" x14ac:dyDescent="0.25">
      <c r="C71" s="1">
        <v>41122</v>
      </c>
      <c r="D71">
        <v>60206352958.739998</v>
      </c>
      <c r="G71" s="3">
        <v>40544</v>
      </c>
      <c r="H71" s="4">
        <v>46227404593.440002</v>
      </c>
      <c r="K71" s="3">
        <v>40544</v>
      </c>
      <c r="L71" s="4">
        <v>38924897504.110001</v>
      </c>
      <c r="O71" s="3">
        <v>40544</v>
      </c>
      <c r="P71" s="4">
        <v>15157548488.809999</v>
      </c>
    </row>
    <row r="72" spans="3:16" x14ac:dyDescent="0.25">
      <c r="C72" s="1">
        <v>41153</v>
      </c>
      <c r="D72">
        <v>64001331481.07</v>
      </c>
      <c r="G72" s="3">
        <v>40575</v>
      </c>
      <c r="H72" s="4">
        <v>36643166088.080002</v>
      </c>
      <c r="K72" s="3">
        <v>40575</v>
      </c>
      <c r="L72" s="4">
        <v>31432931957.270004</v>
      </c>
      <c r="O72" s="3">
        <v>40575</v>
      </c>
      <c r="P72" s="4">
        <v>12839332402.040001</v>
      </c>
    </row>
    <row r="73" spans="3:16" x14ac:dyDescent="0.25">
      <c r="C73" s="1">
        <v>41183</v>
      </c>
      <c r="D73">
        <v>49712493371.059998</v>
      </c>
      <c r="G73" s="3">
        <v>40603</v>
      </c>
      <c r="H73" s="4">
        <v>38292325978.140007</v>
      </c>
      <c r="K73" s="3">
        <v>40603</v>
      </c>
      <c r="L73" s="4">
        <v>33049785948.009998</v>
      </c>
      <c r="O73" s="3">
        <v>40603</v>
      </c>
      <c r="P73" s="4">
        <v>9636191150.4599991</v>
      </c>
    </row>
    <row r="74" spans="3:16" x14ac:dyDescent="0.25">
      <c r="C74" s="1">
        <v>41214</v>
      </c>
      <c r="D74">
        <v>74035297130.779999</v>
      </c>
      <c r="G74" s="3">
        <v>40634</v>
      </c>
      <c r="H74" s="4">
        <v>22351455715.170002</v>
      </c>
      <c r="K74" s="3">
        <v>40634</v>
      </c>
      <c r="L74" s="4">
        <v>19178248214.91</v>
      </c>
      <c r="O74" s="3">
        <v>40634</v>
      </c>
      <c r="P74" s="4">
        <v>7444150512.3199997</v>
      </c>
    </row>
    <row r="75" spans="3:16" x14ac:dyDescent="0.25">
      <c r="C75" s="1">
        <v>41244</v>
      </c>
      <c r="D75">
        <v>46013905981.900002</v>
      </c>
      <c r="G75" s="3">
        <v>40664</v>
      </c>
      <c r="H75" s="4">
        <v>20570231744.970005</v>
      </c>
      <c r="K75" s="3">
        <v>40664</v>
      </c>
      <c r="L75" s="4">
        <v>17640079186.739998</v>
      </c>
      <c r="O75" s="3">
        <v>40664</v>
      </c>
      <c r="P75" s="4">
        <v>6796796476.5</v>
      </c>
    </row>
    <row r="76" spans="3:16" x14ac:dyDescent="0.25">
      <c r="C76" s="1">
        <v>41275</v>
      </c>
      <c r="D76">
        <v>62670555639.720001</v>
      </c>
      <c r="G76" s="3">
        <v>40695</v>
      </c>
      <c r="H76" s="4">
        <v>24595603786.650002</v>
      </c>
      <c r="K76" s="3">
        <v>40695</v>
      </c>
      <c r="L76" s="4">
        <v>21250587531.379997</v>
      </c>
      <c r="O76" s="3">
        <v>40695</v>
      </c>
      <c r="P76" s="4">
        <v>8100182361.9399996</v>
      </c>
    </row>
    <row r="77" spans="3:16" x14ac:dyDescent="0.25">
      <c r="C77" s="1">
        <v>41306</v>
      </c>
      <c r="D77">
        <v>59425770318.550003</v>
      </c>
      <c r="G77" s="3">
        <v>40725</v>
      </c>
      <c r="H77" s="4">
        <v>20071516146.039997</v>
      </c>
      <c r="K77" s="3">
        <v>40725</v>
      </c>
      <c r="L77" s="4">
        <v>17100427033.15</v>
      </c>
      <c r="O77" s="3">
        <v>40725</v>
      </c>
      <c r="P77" s="4">
        <v>5308788048.8400002</v>
      </c>
    </row>
    <row r="78" spans="3:16" x14ac:dyDescent="0.25">
      <c r="C78" s="1">
        <v>41334</v>
      </c>
      <c r="D78">
        <v>48597545369</v>
      </c>
      <c r="G78" s="3">
        <v>40756</v>
      </c>
      <c r="H78" s="4">
        <v>26643806156.700001</v>
      </c>
      <c r="K78" s="3">
        <v>40756</v>
      </c>
      <c r="L78" s="4">
        <v>22450886954</v>
      </c>
      <c r="O78" s="3">
        <v>40756</v>
      </c>
      <c r="P78" s="4">
        <v>8975675585.0300007</v>
      </c>
    </row>
    <row r="79" spans="3:16" x14ac:dyDescent="0.25">
      <c r="C79" s="1">
        <v>41365</v>
      </c>
      <c r="D79">
        <v>54700651193.160004</v>
      </c>
      <c r="G79" s="3">
        <v>40787</v>
      </c>
      <c r="H79" s="4">
        <v>31978531591.070004</v>
      </c>
      <c r="K79" s="3">
        <v>40787</v>
      </c>
      <c r="L79" s="4">
        <v>27361561800.900002</v>
      </c>
      <c r="O79" s="3">
        <v>40787</v>
      </c>
      <c r="P79" s="4">
        <v>9862037476.5100002</v>
      </c>
    </row>
    <row r="80" spans="3:16" x14ac:dyDescent="0.25">
      <c r="C80" s="1">
        <v>41395</v>
      </c>
      <c r="D80">
        <v>54135380105.360001</v>
      </c>
      <c r="G80" s="3">
        <v>40817</v>
      </c>
      <c r="H80" s="4">
        <v>30996359405.019997</v>
      </c>
      <c r="K80" s="3">
        <v>40817</v>
      </c>
      <c r="L80" s="4">
        <v>24699811825.130001</v>
      </c>
      <c r="O80" s="3">
        <v>40817</v>
      </c>
      <c r="P80" s="4">
        <v>11864275980.860001</v>
      </c>
    </row>
    <row r="81" spans="3:16" x14ac:dyDescent="0.25">
      <c r="C81" s="1">
        <v>41426</v>
      </c>
      <c r="D81">
        <v>49300765270.18</v>
      </c>
      <c r="G81" s="3">
        <v>40848</v>
      </c>
      <c r="H81" s="4">
        <v>39760085391.100006</v>
      </c>
      <c r="K81" s="3">
        <v>40848</v>
      </c>
      <c r="L81" s="4">
        <v>33459411350.709999</v>
      </c>
      <c r="O81" s="3">
        <v>40848</v>
      </c>
      <c r="P81" s="4">
        <v>14706099941.799999</v>
      </c>
    </row>
    <row r="82" spans="3:16" x14ac:dyDescent="0.25">
      <c r="C82" s="1">
        <v>41456</v>
      </c>
      <c r="D82">
        <v>52421612380.809998</v>
      </c>
      <c r="G82" s="3">
        <v>40878</v>
      </c>
      <c r="H82" s="4">
        <v>50207107917.200005</v>
      </c>
      <c r="K82" s="3">
        <v>40878</v>
      </c>
      <c r="L82" s="4">
        <v>44194497888.770004</v>
      </c>
      <c r="O82" s="3">
        <v>40878</v>
      </c>
      <c r="P82" s="4">
        <v>23937608890.639999</v>
      </c>
    </row>
    <row r="83" spans="3:16" x14ac:dyDescent="0.25">
      <c r="C83" s="1">
        <v>41487</v>
      </c>
      <c r="D83">
        <v>49257088716.150002</v>
      </c>
      <c r="G83" s="3">
        <v>40909</v>
      </c>
      <c r="H83" s="4">
        <v>34362268311.120003</v>
      </c>
      <c r="K83" s="3">
        <v>40909</v>
      </c>
      <c r="L83" s="4">
        <v>29007806067.68</v>
      </c>
      <c r="O83" s="3">
        <v>40909</v>
      </c>
      <c r="P83" s="4">
        <v>15368979575.26</v>
      </c>
    </row>
    <row r="84" spans="3:16" x14ac:dyDescent="0.25">
      <c r="C84" s="1">
        <v>41518</v>
      </c>
      <c r="D84">
        <v>39391146149.239998</v>
      </c>
      <c r="G84" s="3">
        <v>40940</v>
      </c>
      <c r="H84" s="4">
        <v>32906311435.989998</v>
      </c>
      <c r="K84" s="3">
        <v>40940</v>
      </c>
      <c r="L84" s="4">
        <v>27491822121.099998</v>
      </c>
      <c r="O84" s="3">
        <v>40940</v>
      </c>
      <c r="P84" s="4">
        <v>14632091015.389999</v>
      </c>
    </row>
    <row r="85" spans="3:16" x14ac:dyDescent="0.25">
      <c r="C85" s="1">
        <v>41548</v>
      </c>
      <c r="D85">
        <v>33198651558.57</v>
      </c>
      <c r="G85" s="3">
        <v>40969</v>
      </c>
      <c r="H85" s="4">
        <v>56829158720.450005</v>
      </c>
      <c r="K85" s="3">
        <v>40969</v>
      </c>
      <c r="L85" s="4">
        <v>49399023902</v>
      </c>
      <c r="O85" s="3">
        <v>40969</v>
      </c>
      <c r="P85" s="4">
        <v>30737250033.549999</v>
      </c>
    </row>
    <row r="86" spans="3:16" x14ac:dyDescent="0.25">
      <c r="C86" s="1">
        <v>41579</v>
      </c>
      <c r="D86">
        <v>28446423986.060001</v>
      </c>
      <c r="G86" s="3">
        <v>41000</v>
      </c>
      <c r="H86" s="4">
        <v>24204177130.650005</v>
      </c>
      <c r="K86" s="3">
        <v>41000</v>
      </c>
      <c r="L86" s="4">
        <v>20740945194.540001</v>
      </c>
      <c r="O86" s="3">
        <v>41000</v>
      </c>
      <c r="P86" s="4">
        <v>10763728285.6</v>
      </c>
    </row>
    <row r="87" spans="3:16" x14ac:dyDescent="0.25">
      <c r="C87" s="1">
        <v>41609</v>
      </c>
      <c r="D87">
        <v>26415429558.299999</v>
      </c>
      <c r="G87" s="3">
        <v>41030</v>
      </c>
      <c r="H87" s="4">
        <v>39777125640.900002</v>
      </c>
      <c r="K87" s="3">
        <v>41030</v>
      </c>
      <c r="L87" s="4">
        <v>33981143082.620003</v>
      </c>
      <c r="O87" s="3">
        <v>41030</v>
      </c>
      <c r="P87" s="4">
        <v>20542825807.290001</v>
      </c>
    </row>
    <row r="88" spans="3:16" x14ac:dyDescent="0.25">
      <c r="C88" s="1">
        <v>41640</v>
      </c>
      <c r="D88">
        <v>18411853983.279999</v>
      </c>
      <c r="G88" s="3">
        <v>41061</v>
      </c>
      <c r="H88" s="4">
        <v>34861145817.729996</v>
      </c>
      <c r="K88" s="3">
        <v>41061</v>
      </c>
      <c r="L88" s="4">
        <v>26824272069.970001</v>
      </c>
      <c r="O88" s="3">
        <v>41061</v>
      </c>
      <c r="P88" s="4">
        <v>12662763974.040001</v>
      </c>
    </row>
    <row r="89" spans="3:16" x14ac:dyDescent="0.25">
      <c r="C89" s="1">
        <v>41671</v>
      </c>
      <c r="D89">
        <v>19935633999.91</v>
      </c>
      <c r="G89" s="3">
        <v>41091</v>
      </c>
      <c r="H89" s="4">
        <v>39258236449.550011</v>
      </c>
      <c r="K89" s="3">
        <v>41091</v>
      </c>
      <c r="L89" s="4">
        <v>32773125487.220001</v>
      </c>
      <c r="O89" s="3">
        <v>41091</v>
      </c>
      <c r="P89" s="4">
        <v>18046078270.810001</v>
      </c>
    </row>
    <row r="90" spans="3:16" x14ac:dyDescent="0.25">
      <c r="C90" s="1">
        <v>41699</v>
      </c>
      <c r="D90">
        <v>15767666507.709999</v>
      </c>
      <c r="G90" s="3">
        <v>41122</v>
      </c>
      <c r="H90" s="4">
        <v>42521773617.960007</v>
      </c>
      <c r="K90" s="3">
        <v>41122</v>
      </c>
      <c r="L90" s="4">
        <v>34907658402.759995</v>
      </c>
      <c r="O90" s="3">
        <v>41122</v>
      </c>
      <c r="P90" s="4">
        <v>15782096596.040001</v>
      </c>
    </row>
    <row r="91" spans="3:16" x14ac:dyDescent="0.25">
      <c r="C91" s="1">
        <v>41730</v>
      </c>
      <c r="D91">
        <v>18356652614.139999</v>
      </c>
      <c r="G91" s="3">
        <v>41153</v>
      </c>
      <c r="H91" s="4">
        <v>45617387707.220009</v>
      </c>
      <c r="K91" s="3">
        <v>41153</v>
      </c>
      <c r="L91" s="4">
        <v>37833922333.900002</v>
      </c>
      <c r="O91" s="3">
        <v>41153</v>
      </c>
      <c r="P91" s="4">
        <v>16358817450.4</v>
      </c>
    </row>
    <row r="92" spans="3:16" x14ac:dyDescent="0.25">
      <c r="C92" s="1">
        <v>41760</v>
      </c>
      <c r="D92">
        <v>18393524386.580002</v>
      </c>
      <c r="G92" s="3">
        <v>41183</v>
      </c>
      <c r="H92" s="4">
        <v>34976078939.440002</v>
      </c>
      <c r="K92" s="3">
        <v>41183</v>
      </c>
      <c r="L92" s="4">
        <v>27466963094.949997</v>
      </c>
      <c r="O92" s="3">
        <v>41183</v>
      </c>
      <c r="P92" s="4">
        <v>13583725455.1</v>
      </c>
    </row>
    <row r="93" spans="3:16" x14ac:dyDescent="0.25">
      <c r="C93" s="1">
        <v>41791</v>
      </c>
      <c r="D93">
        <v>21379737332.790001</v>
      </c>
      <c r="G93" s="3">
        <v>41214</v>
      </c>
      <c r="H93" s="4">
        <v>48700322876.149994</v>
      </c>
      <c r="K93" s="3">
        <v>41214</v>
      </c>
      <c r="L93" s="4">
        <v>38620874033.32</v>
      </c>
      <c r="O93" s="3">
        <v>41214</v>
      </c>
      <c r="P93" s="4">
        <v>18702888793.82</v>
      </c>
    </row>
    <row r="94" spans="3:16" x14ac:dyDescent="0.25">
      <c r="C94" s="1">
        <v>41821</v>
      </c>
      <c r="D94">
        <v>24558067412.75</v>
      </c>
      <c r="G94" s="3">
        <v>41244</v>
      </c>
      <c r="H94" s="4">
        <v>28819231552.900002</v>
      </c>
      <c r="K94" s="3">
        <v>41244</v>
      </c>
      <c r="L94" s="4">
        <v>22657026327.110001</v>
      </c>
      <c r="O94" s="3">
        <v>41244</v>
      </c>
      <c r="P94" s="4">
        <v>5990993955.3400002</v>
      </c>
    </row>
    <row r="95" spans="3:16" x14ac:dyDescent="0.25">
      <c r="C95" s="1">
        <v>41852</v>
      </c>
      <c r="D95">
        <v>23263321393.029999</v>
      </c>
      <c r="G95" s="3">
        <v>41275</v>
      </c>
      <c r="H95" s="4">
        <v>41056601881.519997</v>
      </c>
      <c r="K95" s="3">
        <v>41275</v>
      </c>
      <c r="L95" s="4">
        <v>32173182892.220001</v>
      </c>
      <c r="O95" s="3">
        <v>41275</v>
      </c>
      <c r="P95" s="4">
        <v>12960800578.620001</v>
      </c>
    </row>
    <row r="96" spans="3:16" x14ac:dyDescent="0.25">
      <c r="C96" s="1">
        <v>41883</v>
      </c>
      <c r="D96">
        <v>30909524137.380001</v>
      </c>
      <c r="G96" s="3">
        <v>41306</v>
      </c>
      <c r="H96" s="4">
        <v>40621858362.690002</v>
      </c>
      <c r="K96" s="3">
        <v>41306</v>
      </c>
      <c r="L96" s="4">
        <v>32295164207.330002</v>
      </c>
      <c r="O96" s="3">
        <v>41306</v>
      </c>
      <c r="P96" s="4">
        <v>12090154945.85</v>
      </c>
    </row>
    <row r="97" spans="3:16" x14ac:dyDescent="0.25">
      <c r="C97" s="1">
        <v>41913</v>
      </c>
      <c r="D97">
        <v>27121779479.330002</v>
      </c>
      <c r="G97" s="3">
        <v>41334</v>
      </c>
      <c r="H97" s="4">
        <v>32588531726.600002</v>
      </c>
      <c r="K97" s="3">
        <v>41334</v>
      </c>
      <c r="L97" s="4">
        <v>26611199048.840004</v>
      </c>
      <c r="O97" s="3">
        <v>41334</v>
      </c>
      <c r="P97" s="4">
        <v>10298222135.870001</v>
      </c>
    </row>
    <row r="98" spans="3:16" x14ac:dyDescent="0.25">
      <c r="C98" s="1">
        <v>41944</v>
      </c>
      <c r="D98">
        <v>27441677368.450001</v>
      </c>
      <c r="G98" s="3">
        <v>41365</v>
      </c>
      <c r="H98" s="4">
        <v>37376512403.469994</v>
      </c>
      <c r="K98" s="3">
        <v>41365</v>
      </c>
      <c r="L98" s="4">
        <v>29789895298.389999</v>
      </c>
      <c r="O98" s="3">
        <v>41365</v>
      </c>
      <c r="P98" s="4">
        <v>10983062364.98</v>
      </c>
    </row>
    <row r="99" spans="3:16" x14ac:dyDescent="0.25">
      <c r="C99" s="1">
        <v>41974</v>
      </c>
      <c r="D99">
        <v>28261394889.049999</v>
      </c>
      <c r="G99" s="3">
        <v>41395</v>
      </c>
      <c r="H99" s="4">
        <v>38541437156.089996</v>
      </c>
      <c r="K99" s="3">
        <v>41395</v>
      </c>
      <c r="L99" s="4">
        <v>31823204951.040001</v>
      </c>
      <c r="O99" s="3">
        <v>41395</v>
      </c>
      <c r="P99" s="4">
        <v>16565187107.59</v>
      </c>
    </row>
    <row r="100" spans="3:16" x14ac:dyDescent="0.25">
      <c r="C100" s="1">
        <v>42005</v>
      </c>
      <c r="D100">
        <v>27432449525.73</v>
      </c>
      <c r="G100" s="3">
        <v>41426</v>
      </c>
      <c r="H100" s="4">
        <v>35492363841.889999</v>
      </c>
      <c r="K100" s="3">
        <v>41426</v>
      </c>
      <c r="L100" s="4">
        <v>29184629174.119999</v>
      </c>
      <c r="O100" s="3">
        <v>41426</v>
      </c>
      <c r="P100" s="4">
        <v>15486832649.959999</v>
      </c>
    </row>
    <row r="101" spans="3:16" x14ac:dyDescent="0.25">
      <c r="C101" s="1">
        <v>42036</v>
      </c>
      <c r="D101">
        <v>26679105875.009998</v>
      </c>
      <c r="G101" s="3">
        <v>41456</v>
      </c>
      <c r="H101" s="4">
        <v>37466696964.239998</v>
      </c>
      <c r="K101" s="3">
        <v>41456</v>
      </c>
      <c r="L101" s="4">
        <v>29824408490.139999</v>
      </c>
      <c r="O101" s="3">
        <v>41456</v>
      </c>
      <c r="P101" s="4">
        <v>16978552578.67</v>
      </c>
    </row>
    <row r="102" spans="3:16" x14ac:dyDescent="0.25">
      <c r="C102" s="1">
        <v>42064</v>
      </c>
      <c r="D102">
        <v>17165685949.08</v>
      </c>
      <c r="G102" s="3">
        <v>41487</v>
      </c>
      <c r="H102" s="4">
        <v>35770897100.520004</v>
      </c>
      <c r="K102" s="3">
        <v>41487</v>
      </c>
      <c r="L102" s="4">
        <v>27875191616.209999</v>
      </c>
      <c r="O102" s="3">
        <v>41487</v>
      </c>
      <c r="P102" s="4">
        <v>16043754924.049999</v>
      </c>
    </row>
    <row r="103" spans="3:16" x14ac:dyDescent="0.25">
      <c r="G103" s="3">
        <v>41518</v>
      </c>
      <c r="H103" s="4">
        <v>28474515807.220001</v>
      </c>
      <c r="K103" s="3">
        <v>41518</v>
      </c>
      <c r="L103" s="4">
        <v>23217757702.279999</v>
      </c>
      <c r="O103" s="3">
        <v>41518</v>
      </c>
      <c r="P103" s="4">
        <v>12954391824.35</v>
      </c>
    </row>
    <row r="104" spans="3:16" x14ac:dyDescent="0.25">
      <c r="G104" s="3">
        <v>41548</v>
      </c>
      <c r="H104" s="4">
        <v>21846439126.260002</v>
      </c>
      <c r="K104" s="3">
        <v>41548</v>
      </c>
      <c r="L104" s="4">
        <v>16622350119.240002</v>
      </c>
      <c r="O104" s="3">
        <v>41548</v>
      </c>
      <c r="P104" s="4">
        <v>9148941452.2000008</v>
      </c>
    </row>
    <row r="105" spans="3:16" x14ac:dyDescent="0.25">
      <c r="G105" s="3">
        <v>41579</v>
      </c>
      <c r="H105" s="4">
        <v>19735518182.900002</v>
      </c>
      <c r="K105" s="3">
        <v>41579</v>
      </c>
      <c r="L105" s="4">
        <v>15129673981.85</v>
      </c>
      <c r="O105" s="3">
        <v>41579</v>
      </c>
      <c r="P105" s="4">
        <v>7277980089.6000004</v>
      </c>
    </row>
    <row r="106" spans="3:16" x14ac:dyDescent="0.25">
      <c r="G106" s="3">
        <v>41609</v>
      </c>
      <c r="H106" s="4">
        <v>17148936693.369997</v>
      </c>
      <c r="K106" s="3">
        <v>41609</v>
      </c>
      <c r="L106" s="4">
        <v>12929026951.82</v>
      </c>
      <c r="O106" s="3">
        <v>41609</v>
      </c>
      <c r="P106" s="4">
        <v>6588450968.0200005</v>
      </c>
    </row>
    <row r="107" spans="3:16" x14ac:dyDescent="0.25">
      <c r="G107" s="3">
        <v>41640</v>
      </c>
      <c r="H107" s="4">
        <v>11561109174.170002</v>
      </c>
      <c r="K107" s="3">
        <v>41640</v>
      </c>
      <c r="L107" s="4">
        <v>8967497119.7200012</v>
      </c>
      <c r="O107" s="3">
        <v>41640</v>
      </c>
      <c r="P107" s="4">
        <v>3105702600.8000002</v>
      </c>
    </row>
    <row r="108" spans="3:16" x14ac:dyDescent="0.25">
      <c r="G108" s="3">
        <v>41671</v>
      </c>
      <c r="H108" s="4">
        <v>13447219374.819998</v>
      </c>
      <c r="K108" s="3">
        <v>41671</v>
      </c>
      <c r="L108" s="4">
        <v>10862978588.139999</v>
      </c>
      <c r="O108" s="3">
        <v>41671</v>
      </c>
      <c r="P108" s="4">
        <v>4228977520.5</v>
      </c>
    </row>
    <row r="109" spans="3:16" x14ac:dyDescent="0.25">
      <c r="G109" s="3">
        <v>41699</v>
      </c>
      <c r="H109" s="4">
        <v>9860110204.4599991</v>
      </c>
      <c r="K109" s="3">
        <v>41699</v>
      </c>
      <c r="L109" s="4">
        <v>7601988463.4200001</v>
      </c>
      <c r="O109" s="3">
        <v>41699</v>
      </c>
      <c r="P109" s="4">
        <v>2771745679.8800001</v>
      </c>
    </row>
    <row r="110" spans="3:16" x14ac:dyDescent="0.25">
      <c r="G110" s="3">
        <v>41730</v>
      </c>
      <c r="H110" s="4">
        <v>12276303521.109999</v>
      </c>
      <c r="K110" s="3">
        <v>41730</v>
      </c>
      <c r="L110" s="4">
        <v>9017573459.2299995</v>
      </c>
      <c r="O110" s="3">
        <v>41730</v>
      </c>
      <c r="P110" s="4">
        <v>3281937556.02</v>
      </c>
    </row>
    <row r="111" spans="3:16" x14ac:dyDescent="0.25">
      <c r="G111" s="3">
        <v>41760</v>
      </c>
      <c r="H111" s="4">
        <v>10540781524.629999</v>
      </c>
      <c r="K111" s="3">
        <v>41760</v>
      </c>
      <c r="L111" s="4">
        <v>7511955198.1200008</v>
      </c>
      <c r="O111" s="3">
        <v>41760</v>
      </c>
      <c r="P111" s="4">
        <v>3701376306.8000002</v>
      </c>
    </row>
    <row r="112" spans="3:16" x14ac:dyDescent="0.25">
      <c r="G112" s="3">
        <v>41791</v>
      </c>
      <c r="H112" s="4">
        <v>13048715246.830002</v>
      </c>
      <c r="K112" s="3">
        <v>41791</v>
      </c>
      <c r="L112" s="4">
        <v>9698417154.789999</v>
      </c>
      <c r="O112" s="3">
        <v>41791</v>
      </c>
      <c r="P112" s="4">
        <v>4119664079.48</v>
      </c>
    </row>
    <row r="113" spans="7:16" x14ac:dyDescent="0.25">
      <c r="G113" s="3">
        <v>41821</v>
      </c>
      <c r="H113" s="4">
        <v>14180443501.41</v>
      </c>
      <c r="K113" s="3">
        <v>41821</v>
      </c>
      <c r="L113" s="4">
        <v>10365356857.860001</v>
      </c>
      <c r="O113" s="3">
        <v>41821</v>
      </c>
      <c r="P113" s="4">
        <v>4404846709.1300001</v>
      </c>
    </row>
    <row r="114" spans="7:16" x14ac:dyDescent="0.25">
      <c r="G114" s="3">
        <v>41852</v>
      </c>
      <c r="H114" s="4">
        <v>13791297844.579998</v>
      </c>
      <c r="K114" s="3">
        <v>41852</v>
      </c>
      <c r="L114" s="4">
        <v>10185763886.950001</v>
      </c>
      <c r="O114" s="3">
        <v>41852</v>
      </c>
      <c r="P114" s="4">
        <v>4351012772.2799997</v>
      </c>
    </row>
    <row r="115" spans="7:16" x14ac:dyDescent="0.25">
      <c r="G115" s="3">
        <v>41883</v>
      </c>
      <c r="H115" s="4">
        <v>20418529374.110001</v>
      </c>
      <c r="K115" s="3">
        <v>41883</v>
      </c>
      <c r="L115" s="4">
        <v>15191127020.780001</v>
      </c>
      <c r="O115" s="3">
        <v>41883</v>
      </c>
      <c r="P115" s="4">
        <v>4282578991.9000001</v>
      </c>
    </row>
    <row r="116" spans="7:16" x14ac:dyDescent="0.25">
      <c r="G116" s="3">
        <v>41913</v>
      </c>
      <c r="H116" s="4">
        <v>16591290665.489998</v>
      </c>
      <c r="K116" s="3">
        <v>41913</v>
      </c>
      <c r="L116" s="4">
        <v>12022533710.82</v>
      </c>
      <c r="O116" s="3">
        <v>41913</v>
      </c>
      <c r="P116" s="4">
        <v>4328284495.8800001</v>
      </c>
    </row>
    <row r="117" spans="7:16" x14ac:dyDescent="0.25">
      <c r="G117" s="3">
        <v>41944</v>
      </c>
      <c r="H117" s="4">
        <v>19050839925.150002</v>
      </c>
      <c r="K117" s="3">
        <v>41944</v>
      </c>
      <c r="L117" s="4">
        <v>15143920247.16</v>
      </c>
      <c r="O117" s="3">
        <v>41944</v>
      </c>
      <c r="P117" s="4">
        <v>4110188403.46</v>
      </c>
    </row>
    <row r="118" spans="7:16" x14ac:dyDescent="0.25">
      <c r="G118" s="3">
        <v>41974</v>
      </c>
      <c r="H118" s="4">
        <v>16969236987.160002</v>
      </c>
      <c r="K118" s="3">
        <v>41974</v>
      </c>
      <c r="L118" s="4">
        <v>12192486905.27</v>
      </c>
      <c r="O118" s="3">
        <v>41974</v>
      </c>
      <c r="P118" s="4">
        <v>3928850698.1300001</v>
      </c>
    </row>
    <row r="119" spans="7:16" x14ac:dyDescent="0.25">
      <c r="G119" s="3">
        <v>42005</v>
      </c>
      <c r="H119" s="4">
        <v>17220019925.009998</v>
      </c>
      <c r="K119" s="3">
        <v>42005</v>
      </c>
      <c r="L119" s="4">
        <v>13355633418.48</v>
      </c>
      <c r="O119" s="3">
        <v>42005</v>
      </c>
      <c r="P119" s="4">
        <v>5489190091.1700001</v>
      </c>
    </row>
    <row r="120" spans="7:16" x14ac:dyDescent="0.25">
      <c r="G120" s="3">
        <v>42036</v>
      </c>
      <c r="H120" s="4">
        <v>16016008212.179998</v>
      </c>
      <c r="K120" s="3">
        <v>42036</v>
      </c>
      <c r="L120" s="4">
        <v>11671526842.16</v>
      </c>
      <c r="O120" s="3">
        <v>42036</v>
      </c>
      <c r="P120" s="4">
        <v>5063985040.1199999</v>
      </c>
    </row>
    <row r="121" spans="7:16" x14ac:dyDescent="0.25">
      <c r="G121" s="3">
        <v>42064</v>
      </c>
      <c r="H121" s="4">
        <v>11103071609.139999</v>
      </c>
      <c r="K121" s="3">
        <v>42064</v>
      </c>
      <c r="L121" s="4">
        <v>8844462338.1399994</v>
      </c>
      <c r="O121" s="3">
        <v>42064</v>
      </c>
      <c r="P121" s="4">
        <v>4009024386</v>
      </c>
    </row>
    <row r="122" spans="7:16" x14ac:dyDescent="0.25">
      <c r="G122" s="3" t="s">
        <v>83</v>
      </c>
      <c r="H122" s="4">
        <v>3055236020959.1802</v>
      </c>
      <c r="K122" s="3" t="s">
        <v>83</v>
      </c>
      <c r="L122" s="4">
        <v>2481766659203.1001</v>
      </c>
      <c r="O122" s="3" t="s">
        <v>83</v>
      </c>
      <c r="P122" s="4">
        <v>1007648441236.5603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179"/>
  <sheetViews>
    <sheetView topLeftCell="A2" workbookViewId="0">
      <selection activeCell="R3" sqref="R3"/>
    </sheetView>
  </sheetViews>
  <sheetFormatPr defaultRowHeight="15" x14ac:dyDescent="0.25"/>
  <cols>
    <col min="2" max="2" width="9.7109375" bestFit="1" customWidth="1"/>
    <col min="3" max="3" width="47" bestFit="1" customWidth="1"/>
    <col min="4" max="4" width="12.28515625" bestFit="1" customWidth="1"/>
    <col min="5" max="5" width="5.28515625" bestFit="1" customWidth="1"/>
    <col min="10" max="10" width="9.7109375" bestFit="1" customWidth="1"/>
    <col min="11" max="11" width="12.28515625" bestFit="1" customWidth="1"/>
    <col min="14" max="14" width="9.7109375" bestFit="1" customWidth="1"/>
    <col min="15" max="15" width="12.28515625" bestFit="1" customWidth="1"/>
    <col min="18" max="18" width="9.7109375" bestFit="1" customWidth="1"/>
    <col min="19" max="19" width="12.28515625" bestFit="1" customWidth="1"/>
  </cols>
  <sheetData>
    <row r="2" spans="2:19" x14ac:dyDescent="0.25">
      <c r="J2" t="s">
        <v>85</v>
      </c>
      <c r="N2" t="s">
        <v>93</v>
      </c>
      <c r="R2" t="s">
        <v>94</v>
      </c>
    </row>
    <row r="3" spans="2:19" x14ac:dyDescent="0.25">
      <c r="B3" t="s">
        <v>1</v>
      </c>
      <c r="C3" t="s">
        <v>0</v>
      </c>
      <c r="D3" t="s">
        <v>2</v>
      </c>
      <c r="E3" t="s">
        <v>3</v>
      </c>
      <c r="J3" t="s">
        <v>1</v>
      </c>
      <c r="K3" t="s">
        <v>2</v>
      </c>
      <c r="N3" t="s">
        <v>1</v>
      </c>
      <c r="O3" t="s">
        <v>2</v>
      </c>
      <c r="R3" s="1" t="s">
        <v>1</v>
      </c>
      <c r="S3" t="s">
        <v>2</v>
      </c>
    </row>
    <row r="4" spans="2:19" x14ac:dyDescent="0.25">
      <c r="B4" s="1">
        <v>38504</v>
      </c>
      <c r="C4" t="s">
        <v>4</v>
      </c>
      <c r="D4">
        <v>9487254</v>
      </c>
      <c r="E4">
        <v>1</v>
      </c>
      <c r="J4" s="1">
        <v>39083</v>
      </c>
      <c r="K4">
        <v>47181482650.029999</v>
      </c>
      <c r="N4" s="1">
        <v>39083</v>
      </c>
      <c r="O4">
        <v>1805491105.6700001</v>
      </c>
      <c r="R4" s="1">
        <v>39083</v>
      </c>
      <c r="S4">
        <v>929023441.75</v>
      </c>
    </row>
    <row r="5" spans="2:19" x14ac:dyDescent="0.25">
      <c r="B5" s="1">
        <v>38504</v>
      </c>
      <c r="C5" t="s">
        <v>5</v>
      </c>
      <c r="D5">
        <v>2584090</v>
      </c>
      <c r="E5">
        <v>2</v>
      </c>
      <c r="J5" s="1">
        <v>39114</v>
      </c>
      <c r="K5">
        <v>50773443458.550003</v>
      </c>
      <c r="N5" s="1">
        <v>39114</v>
      </c>
      <c r="O5">
        <v>1679990333.1500001</v>
      </c>
      <c r="R5" s="1">
        <v>39114</v>
      </c>
      <c r="S5">
        <v>668892203</v>
      </c>
    </row>
    <row r="6" spans="2:19" x14ac:dyDescent="0.25">
      <c r="B6" s="1">
        <v>38504</v>
      </c>
      <c r="C6" t="s">
        <v>6</v>
      </c>
      <c r="D6">
        <v>2473153</v>
      </c>
      <c r="E6">
        <v>3</v>
      </c>
      <c r="J6" s="1">
        <v>39142</v>
      </c>
      <c r="K6">
        <v>46084430789.25</v>
      </c>
      <c r="N6" s="1">
        <v>39142</v>
      </c>
      <c r="O6">
        <v>1672712786.0699999</v>
      </c>
      <c r="R6" s="1">
        <v>39142</v>
      </c>
      <c r="S6">
        <v>754011170.92999995</v>
      </c>
    </row>
    <row r="7" spans="2:19" x14ac:dyDescent="0.25">
      <c r="B7" s="1">
        <v>38504</v>
      </c>
      <c r="C7" t="s">
        <v>7</v>
      </c>
      <c r="D7">
        <v>2473153</v>
      </c>
      <c r="E7">
        <v>3</v>
      </c>
      <c r="J7" s="1">
        <v>39173</v>
      </c>
      <c r="K7">
        <v>50957711699.800003</v>
      </c>
      <c r="N7" s="1">
        <v>39173</v>
      </c>
      <c r="O7">
        <v>1582934759.3800001</v>
      </c>
      <c r="R7" s="1">
        <v>39173</v>
      </c>
      <c r="S7">
        <v>684270187.71000004</v>
      </c>
    </row>
    <row r="8" spans="2:19" x14ac:dyDescent="0.25">
      <c r="B8" s="1">
        <v>38504</v>
      </c>
      <c r="C8" t="s">
        <v>8</v>
      </c>
      <c r="D8">
        <v>653224</v>
      </c>
      <c r="E8">
        <v>5</v>
      </c>
      <c r="J8" s="1">
        <v>39203</v>
      </c>
      <c r="K8">
        <v>52257217825.440002</v>
      </c>
      <c r="N8" s="1">
        <v>39203</v>
      </c>
      <c r="O8">
        <v>2772906165.9000001</v>
      </c>
      <c r="R8" s="1">
        <v>39203</v>
      </c>
      <c r="S8">
        <v>794614133.75</v>
      </c>
    </row>
    <row r="9" spans="2:19" x14ac:dyDescent="0.25">
      <c r="B9" s="1">
        <v>38504</v>
      </c>
      <c r="C9" t="s">
        <v>9</v>
      </c>
      <c r="D9">
        <v>527391.32999999996</v>
      </c>
      <c r="E9">
        <v>6</v>
      </c>
      <c r="J9" s="1">
        <v>39234</v>
      </c>
      <c r="K9">
        <v>60994803879.120003</v>
      </c>
      <c r="N9" s="1">
        <v>39234</v>
      </c>
      <c r="O9">
        <v>2796352573.5599999</v>
      </c>
      <c r="R9" s="1">
        <v>39234</v>
      </c>
      <c r="S9">
        <v>713138493.69000006</v>
      </c>
    </row>
    <row r="10" spans="2:19" x14ac:dyDescent="0.25">
      <c r="B10" s="1">
        <v>38504</v>
      </c>
      <c r="C10" t="s">
        <v>10</v>
      </c>
      <c r="D10">
        <v>344406.07</v>
      </c>
      <c r="E10">
        <v>7</v>
      </c>
      <c r="J10" s="1">
        <v>39264</v>
      </c>
      <c r="K10">
        <v>63564231653.68</v>
      </c>
      <c r="N10" s="1">
        <v>39264</v>
      </c>
      <c r="O10">
        <v>2979151994.4400001</v>
      </c>
      <c r="R10" s="1">
        <v>39264</v>
      </c>
      <c r="S10">
        <v>970794020.49000001</v>
      </c>
    </row>
    <row r="11" spans="2:19" x14ac:dyDescent="0.25">
      <c r="B11" s="1">
        <v>38504</v>
      </c>
      <c r="C11" t="s">
        <v>11</v>
      </c>
      <c r="D11">
        <v>329248.45</v>
      </c>
      <c r="E11">
        <v>8</v>
      </c>
      <c r="J11" s="1">
        <v>39295</v>
      </c>
      <c r="K11">
        <v>63574228225.360001</v>
      </c>
      <c r="N11" s="1">
        <v>39295</v>
      </c>
      <c r="O11">
        <v>3267541007.4200001</v>
      </c>
      <c r="R11" s="1">
        <v>39295</v>
      </c>
      <c r="S11">
        <v>710262083.82000005</v>
      </c>
    </row>
    <row r="12" spans="2:19" x14ac:dyDescent="0.25">
      <c r="B12" s="1">
        <v>38504</v>
      </c>
      <c r="C12" t="s">
        <v>12</v>
      </c>
      <c r="D12">
        <v>315400</v>
      </c>
      <c r="E12">
        <v>9</v>
      </c>
      <c r="J12" s="1">
        <v>39326</v>
      </c>
      <c r="K12">
        <v>56268903346.199997</v>
      </c>
      <c r="N12" s="1">
        <v>39326</v>
      </c>
      <c r="O12">
        <v>2575823371.0500002</v>
      </c>
      <c r="R12" s="1">
        <v>39326</v>
      </c>
      <c r="S12">
        <v>779034200.88999999</v>
      </c>
    </row>
    <row r="13" spans="2:19" x14ac:dyDescent="0.25">
      <c r="B13" s="1">
        <v>38504</v>
      </c>
      <c r="C13" t="s">
        <v>13</v>
      </c>
      <c r="D13">
        <v>225801.62</v>
      </c>
      <c r="E13">
        <v>10</v>
      </c>
      <c r="J13" s="1">
        <v>39356</v>
      </c>
      <c r="K13">
        <v>59150817669.589996</v>
      </c>
      <c r="N13" s="1">
        <v>39356</v>
      </c>
      <c r="O13">
        <v>2569971167.4499998</v>
      </c>
      <c r="R13" s="1">
        <v>39356</v>
      </c>
      <c r="S13">
        <v>707016336.28999996</v>
      </c>
    </row>
    <row r="14" spans="2:19" x14ac:dyDescent="0.25">
      <c r="B14" s="1">
        <v>38534</v>
      </c>
      <c r="C14" t="s">
        <v>6</v>
      </c>
      <c r="D14">
        <v>2250361</v>
      </c>
      <c r="E14">
        <v>1</v>
      </c>
      <c r="J14" s="1">
        <v>39387</v>
      </c>
      <c r="K14">
        <v>54956654103.489998</v>
      </c>
      <c r="N14" s="1">
        <v>39387</v>
      </c>
      <c r="O14">
        <v>2060441341.49</v>
      </c>
      <c r="R14" s="1">
        <v>39387</v>
      </c>
      <c r="S14">
        <v>714635575.74000001</v>
      </c>
    </row>
    <row r="15" spans="2:19" x14ac:dyDescent="0.25">
      <c r="B15" s="1">
        <v>38534</v>
      </c>
      <c r="C15" t="s">
        <v>7</v>
      </c>
      <c r="D15">
        <v>2250361</v>
      </c>
      <c r="E15">
        <v>1</v>
      </c>
      <c r="J15" s="1">
        <v>39417</v>
      </c>
      <c r="K15">
        <v>54697321364.949997</v>
      </c>
      <c r="N15" s="1">
        <v>39417</v>
      </c>
      <c r="O15">
        <v>2642277157.3299999</v>
      </c>
      <c r="R15" s="1">
        <v>39417</v>
      </c>
      <c r="S15">
        <v>632137460.79999995</v>
      </c>
    </row>
    <row r="16" spans="2:19" x14ac:dyDescent="0.25">
      <c r="B16" s="1">
        <v>38534</v>
      </c>
      <c r="C16" t="s">
        <v>9</v>
      </c>
      <c r="D16">
        <v>1615322</v>
      </c>
      <c r="E16">
        <v>3</v>
      </c>
      <c r="J16" s="1">
        <v>39448</v>
      </c>
      <c r="K16">
        <v>74321993823.5</v>
      </c>
      <c r="N16" s="1">
        <v>39448</v>
      </c>
      <c r="O16">
        <v>2742976340.8400002</v>
      </c>
      <c r="R16" s="1">
        <v>39448</v>
      </c>
      <c r="S16">
        <v>806190228.41999996</v>
      </c>
    </row>
    <row r="17" spans="2:19" x14ac:dyDescent="0.25">
      <c r="B17" s="1">
        <v>38534</v>
      </c>
      <c r="C17" t="s">
        <v>14</v>
      </c>
      <c r="D17">
        <v>1229817</v>
      </c>
      <c r="E17">
        <v>4</v>
      </c>
      <c r="J17" s="1">
        <v>39479</v>
      </c>
      <c r="K17">
        <v>55538521993.099998</v>
      </c>
      <c r="N17" s="1">
        <v>39479</v>
      </c>
      <c r="O17">
        <v>3365807073.5500002</v>
      </c>
      <c r="R17" s="1">
        <v>39479</v>
      </c>
      <c r="S17">
        <v>791862987.95000005</v>
      </c>
    </row>
    <row r="18" spans="2:19" x14ac:dyDescent="0.25">
      <c r="B18" s="1">
        <v>38534</v>
      </c>
      <c r="C18" t="s">
        <v>13</v>
      </c>
      <c r="D18">
        <v>1229817</v>
      </c>
      <c r="E18">
        <v>4</v>
      </c>
      <c r="J18" s="1">
        <v>39508</v>
      </c>
      <c r="K18">
        <v>79754243784.559998</v>
      </c>
      <c r="N18" s="1">
        <v>39508</v>
      </c>
      <c r="O18">
        <v>2534262717.98</v>
      </c>
      <c r="R18" s="1">
        <v>39508</v>
      </c>
      <c r="S18">
        <v>705417996.09000003</v>
      </c>
    </row>
    <row r="19" spans="2:19" x14ac:dyDescent="0.25">
      <c r="B19" s="1">
        <v>38534</v>
      </c>
      <c r="C19" t="s">
        <v>15</v>
      </c>
      <c r="D19">
        <v>1140628</v>
      </c>
      <c r="E19">
        <v>6</v>
      </c>
      <c r="J19" s="1">
        <v>39539</v>
      </c>
      <c r="K19">
        <v>52319425155.779999</v>
      </c>
      <c r="N19" s="1">
        <v>39539</v>
      </c>
      <c r="O19">
        <v>4627286735.46</v>
      </c>
      <c r="R19" s="1">
        <v>39539</v>
      </c>
      <c r="S19">
        <v>689568022.57000005</v>
      </c>
    </row>
    <row r="20" spans="2:19" x14ac:dyDescent="0.25">
      <c r="B20" s="1">
        <v>38534</v>
      </c>
      <c r="C20" t="s">
        <v>8</v>
      </c>
      <c r="D20">
        <v>915307</v>
      </c>
      <c r="E20">
        <v>7</v>
      </c>
      <c r="J20" s="1">
        <v>39569</v>
      </c>
      <c r="K20">
        <v>58446366245.900002</v>
      </c>
      <c r="N20" s="1">
        <v>39569</v>
      </c>
      <c r="O20">
        <v>4716019657.6199999</v>
      </c>
      <c r="R20" s="1">
        <v>39569</v>
      </c>
      <c r="S20">
        <v>854349995.38999999</v>
      </c>
    </row>
    <row r="21" spans="2:19" x14ac:dyDescent="0.25">
      <c r="B21" s="1">
        <v>38534</v>
      </c>
      <c r="C21" t="s">
        <v>4</v>
      </c>
      <c r="D21">
        <v>251613</v>
      </c>
      <c r="E21">
        <v>8</v>
      </c>
      <c r="J21" s="1">
        <v>39600</v>
      </c>
      <c r="K21">
        <v>67996182058.290001</v>
      </c>
      <c r="N21" s="1">
        <v>39600</v>
      </c>
      <c r="O21">
        <v>4606226475.4300003</v>
      </c>
      <c r="R21" s="1">
        <v>39600</v>
      </c>
      <c r="S21">
        <v>991873864.08000004</v>
      </c>
    </row>
    <row r="22" spans="2:19" x14ac:dyDescent="0.25">
      <c r="B22" s="1">
        <v>38565</v>
      </c>
      <c r="C22" t="s">
        <v>7</v>
      </c>
      <c r="D22">
        <v>39579332</v>
      </c>
      <c r="E22">
        <v>1</v>
      </c>
      <c r="J22" s="1">
        <v>39630</v>
      </c>
      <c r="K22">
        <v>51122600725.449997</v>
      </c>
      <c r="N22" s="1">
        <v>39630</v>
      </c>
      <c r="O22">
        <v>4590315319.1099997</v>
      </c>
      <c r="R22" s="1">
        <v>39630</v>
      </c>
      <c r="S22">
        <v>838953095.21000004</v>
      </c>
    </row>
    <row r="23" spans="2:19" x14ac:dyDescent="0.25">
      <c r="B23" s="1">
        <v>38565</v>
      </c>
      <c r="C23" t="s">
        <v>6</v>
      </c>
      <c r="D23">
        <v>39579332</v>
      </c>
      <c r="E23">
        <v>1</v>
      </c>
      <c r="J23" s="1">
        <v>39661</v>
      </c>
      <c r="K23">
        <v>36164577043.769997</v>
      </c>
      <c r="N23" s="1">
        <v>39661</v>
      </c>
      <c r="O23">
        <v>2735541204.4699998</v>
      </c>
      <c r="R23" s="1">
        <v>39661</v>
      </c>
      <c r="S23">
        <v>743781943.44000006</v>
      </c>
    </row>
    <row r="24" spans="2:19" x14ac:dyDescent="0.25">
      <c r="B24" s="1">
        <v>38565</v>
      </c>
      <c r="C24" t="s">
        <v>16</v>
      </c>
      <c r="D24">
        <v>38010916.060000002</v>
      </c>
      <c r="E24">
        <v>3</v>
      </c>
      <c r="J24" s="1">
        <v>39692</v>
      </c>
      <c r="K24">
        <v>30218811059.720001</v>
      </c>
      <c r="N24" s="1">
        <v>39692</v>
      </c>
      <c r="O24">
        <v>2494839817.1700001</v>
      </c>
      <c r="R24" s="1">
        <v>39692</v>
      </c>
      <c r="S24">
        <v>861617170.63</v>
      </c>
    </row>
    <row r="25" spans="2:19" x14ac:dyDescent="0.25">
      <c r="B25" s="1">
        <v>38565</v>
      </c>
      <c r="C25" t="s">
        <v>17</v>
      </c>
      <c r="D25">
        <v>36008093.060000002</v>
      </c>
      <c r="E25">
        <v>4</v>
      </c>
      <c r="J25" s="1">
        <v>39722</v>
      </c>
      <c r="K25">
        <v>35068710785</v>
      </c>
      <c r="N25" s="1">
        <v>39722</v>
      </c>
      <c r="O25">
        <v>3909470688.3099999</v>
      </c>
      <c r="R25" s="1">
        <v>39722</v>
      </c>
      <c r="S25">
        <v>863167964.38</v>
      </c>
    </row>
    <row r="26" spans="2:19" x14ac:dyDescent="0.25">
      <c r="B26" s="1">
        <v>38565</v>
      </c>
      <c r="C26" t="s">
        <v>15</v>
      </c>
      <c r="D26">
        <v>3079406</v>
      </c>
      <c r="E26">
        <v>5</v>
      </c>
      <c r="J26" s="1">
        <v>39753</v>
      </c>
      <c r="K26">
        <v>29981534272.830002</v>
      </c>
      <c r="N26" s="1">
        <v>39753</v>
      </c>
      <c r="O26">
        <v>2848084766.9000001</v>
      </c>
      <c r="R26" s="1">
        <v>39753</v>
      </c>
      <c r="S26">
        <v>346449062.85000002</v>
      </c>
    </row>
    <row r="27" spans="2:19" x14ac:dyDescent="0.25">
      <c r="B27" s="1">
        <v>38565</v>
      </c>
      <c r="C27" t="s">
        <v>18</v>
      </c>
      <c r="D27">
        <v>2434551</v>
      </c>
      <c r="E27">
        <v>6</v>
      </c>
      <c r="J27" s="1">
        <v>39783</v>
      </c>
      <c r="K27">
        <v>23541235640.110001</v>
      </c>
      <c r="N27" s="1">
        <v>39783</v>
      </c>
      <c r="O27">
        <v>2716307694.77</v>
      </c>
      <c r="R27" s="1">
        <v>39783</v>
      </c>
      <c r="S27">
        <v>329342548.44</v>
      </c>
    </row>
    <row r="28" spans="2:19" x14ac:dyDescent="0.25">
      <c r="B28" s="1">
        <v>38565</v>
      </c>
      <c r="C28" t="s">
        <v>19</v>
      </c>
      <c r="D28">
        <v>1513553</v>
      </c>
      <c r="E28">
        <v>7</v>
      </c>
      <c r="J28" s="1">
        <v>39814</v>
      </c>
      <c r="K28">
        <v>37747004530.029999</v>
      </c>
      <c r="N28" s="1">
        <v>39814</v>
      </c>
      <c r="O28">
        <v>2341858898.6399999</v>
      </c>
      <c r="R28" s="1">
        <v>39814</v>
      </c>
      <c r="S28">
        <v>352645579.72000003</v>
      </c>
    </row>
    <row r="29" spans="2:19" x14ac:dyDescent="0.25">
      <c r="B29" s="1">
        <v>38565</v>
      </c>
      <c r="C29" t="s">
        <v>20</v>
      </c>
      <c r="D29">
        <v>1129848.47</v>
      </c>
      <c r="E29">
        <v>8</v>
      </c>
      <c r="J29" s="1">
        <v>39845</v>
      </c>
      <c r="K29">
        <v>20365188691.919998</v>
      </c>
      <c r="N29" s="1">
        <v>39845</v>
      </c>
      <c r="O29">
        <v>4022859899.9899998</v>
      </c>
      <c r="R29" s="1">
        <v>39845</v>
      </c>
      <c r="S29">
        <v>291787119.26999998</v>
      </c>
    </row>
    <row r="30" spans="2:19" x14ac:dyDescent="0.25">
      <c r="B30" s="1">
        <v>38565</v>
      </c>
      <c r="C30" t="s">
        <v>4</v>
      </c>
      <c r="D30">
        <v>813550</v>
      </c>
      <c r="E30">
        <v>9</v>
      </c>
      <c r="J30" s="1">
        <v>39873</v>
      </c>
      <c r="K30">
        <v>37470360050.949997</v>
      </c>
      <c r="N30" s="1">
        <v>39873</v>
      </c>
      <c r="O30">
        <v>7282838476.5600004</v>
      </c>
      <c r="R30" s="1">
        <v>39873</v>
      </c>
      <c r="S30">
        <v>708211819.88</v>
      </c>
    </row>
    <row r="31" spans="2:19" x14ac:dyDescent="0.25">
      <c r="B31" s="1">
        <v>38565</v>
      </c>
      <c r="C31" t="s">
        <v>21</v>
      </c>
      <c r="D31">
        <v>206813</v>
      </c>
      <c r="E31">
        <v>10</v>
      </c>
      <c r="J31" s="1">
        <v>39904</v>
      </c>
      <c r="K31">
        <v>75983293100.669998</v>
      </c>
      <c r="N31" s="1">
        <v>39904</v>
      </c>
      <c r="O31">
        <v>13124113584.77</v>
      </c>
      <c r="R31" s="1">
        <v>39904</v>
      </c>
      <c r="S31">
        <v>980343507.52999997</v>
      </c>
    </row>
    <row r="32" spans="2:19" x14ac:dyDescent="0.25">
      <c r="B32" s="1">
        <v>38596</v>
      </c>
      <c r="C32" t="s">
        <v>6</v>
      </c>
      <c r="D32">
        <v>56552979</v>
      </c>
      <c r="E32">
        <v>1</v>
      </c>
      <c r="J32" s="1">
        <v>39934</v>
      </c>
      <c r="K32">
        <v>41425621841.010002</v>
      </c>
      <c r="N32" s="1">
        <v>39934</v>
      </c>
      <c r="O32">
        <v>14916253696.33</v>
      </c>
      <c r="R32" s="1">
        <v>39934</v>
      </c>
      <c r="S32">
        <v>513485115.45999998</v>
      </c>
    </row>
    <row r="33" spans="2:19" x14ac:dyDescent="0.25">
      <c r="B33" s="1">
        <v>38596</v>
      </c>
      <c r="C33" t="s">
        <v>7</v>
      </c>
      <c r="D33">
        <v>16310553</v>
      </c>
      <c r="E33">
        <v>2</v>
      </c>
      <c r="J33" s="1">
        <v>39965</v>
      </c>
      <c r="K33">
        <v>54510213719.889999</v>
      </c>
      <c r="N33" s="1">
        <v>39965</v>
      </c>
      <c r="O33">
        <v>71546121202.240005</v>
      </c>
      <c r="R33" s="1">
        <v>39965</v>
      </c>
      <c r="S33">
        <v>750914738.05999994</v>
      </c>
    </row>
    <row r="34" spans="2:19" x14ac:dyDescent="0.25">
      <c r="B34" s="1">
        <v>38596</v>
      </c>
      <c r="C34" t="s">
        <v>16</v>
      </c>
      <c r="D34">
        <v>12772716</v>
      </c>
      <c r="E34">
        <v>3</v>
      </c>
      <c r="J34" s="1">
        <v>39995</v>
      </c>
      <c r="K34">
        <v>79336649898.679993</v>
      </c>
      <c r="N34" s="1">
        <v>39995</v>
      </c>
      <c r="O34">
        <v>48580167018.220001</v>
      </c>
      <c r="R34" s="1">
        <v>39995</v>
      </c>
      <c r="S34">
        <v>1145026720.3900001</v>
      </c>
    </row>
    <row r="35" spans="2:19" x14ac:dyDescent="0.25">
      <c r="B35" s="1">
        <v>38596</v>
      </c>
      <c r="C35" t="s">
        <v>22</v>
      </c>
      <c r="D35">
        <v>12489330</v>
      </c>
      <c r="E35">
        <v>4</v>
      </c>
      <c r="J35" s="1">
        <v>40026</v>
      </c>
      <c r="K35">
        <v>61794828698.809998</v>
      </c>
      <c r="N35" s="1">
        <v>40026</v>
      </c>
      <c r="O35">
        <v>16641693291.17</v>
      </c>
      <c r="R35" s="1">
        <v>40026</v>
      </c>
      <c r="S35">
        <v>1022514881.83</v>
      </c>
    </row>
    <row r="36" spans="2:19" x14ac:dyDescent="0.25">
      <c r="B36" s="1">
        <v>38596</v>
      </c>
      <c r="C36" t="s">
        <v>23</v>
      </c>
      <c r="D36">
        <v>8828178</v>
      </c>
      <c r="E36">
        <v>5</v>
      </c>
      <c r="J36" s="1">
        <v>40057</v>
      </c>
      <c r="K36">
        <v>45832557138.260002</v>
      </c>
      <c r="N36" s="1">
        <v>40057</v>
      </c>
      <c r="O36">
        <v>13851899196.700001</v>
      </c>
      <c r="R36" s="1">
        <v>40057</v>
      </c>
      <c r="S36">
        <v>1099497321.99</v>
      </c>
    </row>
    <row r="37" spans="2:19" x14ac:dyDescent="0.25">
      <c r="B37" s="1">
        <v>38596</v>
      </c>
      <c r="C37" t="s">
        <v>5</v>
      </c>
      <c r="D37">
        <v>3559467</v>
      </c>
      <c r="E37">
        <v>6</v>
      </c>
      <c r="J37" s="1">
        <v>40087</v>
      </c>
      <c r="K37">
        <v>43788861590.690002</v>
      </c>
      <c r="N37" s="1">
        <v>40087</v>
      </c>
      <c r="O37">
        <v>12597168617.459999</v>
      </c>
      <c r="R37" s="1">
        <v>40087</v>
      </c>
      <c r="S37">
        <v>719266463.65999997</v>
      </c>
    </row>
    <row r="38" spans="2:19" x14ac:dyDescent="0.25">
      <c r="B38" s="1">
        <v>38596</v>
      </c>
      <c r="C38" t="s">
        <v>24</v>
      </c>
      <c r="D38">
        <v>1563360</v>
      </c>
      <c r="E38">
        <v>7</v>
      </c>
      <c r="J38" s="1">
        <v>40118</v>
      </c>
      <c r="K38">
        <v>30442712050.41</v>
      </c>
      <c r="N38" s="1">
        <v>40118</v>
      </c>
      <c r="O38">
        <v>7065936096.5500002</v>
      </c>
      <c r="R38" s="1">
        <v>40118</v>
      </c>
      <c r="S38">
        <v>752409534.13</v>
      </c>
    </row>
    <row r="39" spans="2:19" x14ac:dyDescent="0.25">
      <c r="B39" s="1">
        <v>38596</v>
      </c>
      <c r="C39" t="s">
        <v>4</v>
      </c>
      <c r="D39">
        <v>1418775</v>
      </c>
      <c r="E39">
        <v>8</v>
      </c>
      <c r="J39" s="1">
        <v>40148</v>
      </c>
      <c r="K39">
        <v>30141102076.380001</v>
      </c>
      <c r="N39" s="1">
        <v>40148</v>
      </c>
      <c r="O39">
        <v>6367737885.9099998</v>
      </c>
      <c r="R39" s="1">
        <v>40148</v>
      </c>
      <c r="S39">
        <v>591086562.80999994</v>
      </c>
    </row>
    <row r="40" spans="2:19" x14ac:dyDescent="0.25">
      <c r="B40" s="1">
        <v>38596</v>
      </c>
      <c r="C40" t="s">
        <v>25</v>
      </c>
      <c r="D40">
        <v>1285071</v>
      </c>
      <c r="E40">
        <v>9</v>
      </c>
      <c r="J40" s="1">
        <v>40179</v>
      </c>
      <c r="K40">
        <v>39433551034.650002</v>
      </c>
      <c r="N40" s="1">
        <v>40179</v>
      </c>
      <c r="O40">
        <v>7787526961.9899998</v>
      </c>
      <c r="R40" s="1">
        <v>40179</v>
      </c>
      <c r="S40">
        <v>722138217.29999995</v>
      </c>
    </row>
    <row r="41" spans="2:19" x14ac:dyDescent="0.25">
      <c r="B41" s="1">
        <v>38596</v>
      </c>
      <c r="C41" t="s">
        <v>17</v>
      </c>
      <c r="D41">
        <v>1224860</v>
      </c>
      <c r="E41">
        <v>10</v>
      </c>
      <c r="J41" s="1">
        <v>40210</v>
      </c>
      <c r="K41">
        <v>31932662872.049999</v>
      </c>
      <c r="N41" s="1">
        <v>40210</v>
      </c>
      <c r="O41">
        <v>7313276582.3500004</v>
      </c>
      <c r="R41" s="1">
        <v>40210</v>
      </c>
      <c r="S41">
        <v>730114182.90999997</v>
      </c>
    </row>
    <row r="42" spans="2:19" x14ac:dyDescent="0.25">
      <c r="B42" s="1">
        <v>38626</v>
      </c>
      <c r="C42" t="s">
        <v>6</v>
      </c>
      <c r="D42">
        <v>89226904</v>
      </c>
      <c r="E42">
        <v>1</v>
      </c>
      <c r="J42" s="1">
        <v>40238</v>
      </c>
      <c r="K42">
        <v>35237290881.540001</v>
      </c>
      <c r="N42" s="1">
        <v>40238</v>
      </c>
      <c r="O42">
        <v>5513307940.1800003</v>
      </c>
      <c r="R42" s="1">
        <v>40238</v>
      </c>
      <c r="S42">
        <v>822700181.63999999</v>
      </c>
    </row>
    <row r="43" spans="2:19" x14ac:dyDescent="0.25">
      <c r="B43" s="1">
        <v>38626</v>
      </c>
      <c r="C43" t="s">
        <v>7</v>
      </c>
      <c r="D43">
        <v>73857035</v>
      </c>
      <c r="E43">
        <v>2</v>
      </c>
      <c r="J43" s="1">
        <v>40269</v>
      </c>
      <c r="K43">
        <v>30111043824.299999</v>
      </c>
      <c r="N43" s="1">
        <v>40269</v>
      </c>
      <c r="O43">
        <v>4384186680.7299995</v>
      </c>
      <c r="R43" s="1">
        <v>40269</v>
      </c>
      <c r="S43">
        <v>631906810.01999998</v>
      </c>
    </row>
    <row r="44" spans="2:19" x14ac:dyDescent="0.25">
      <c r="B44" s="1">
        <v>38626</v>
      </c>
      <c r="C44" t="s">
        <v>16</v>
      </c>
      <c r="D44">
        <v>7692253.71</v>
      </c>
      <c r="E44">
        <v>3</v>
      </c>
      <c r="J44" s="1">
        <v>40299</v>
      </c>
      <c r="K44">
        <v>29683095803.759998</v>
      </c>
      <c r="N44" s="1">
        <v>40299</v>
      </c>
      <c r="O44">
        <v>4878666055.8000002</v>
      </c>
      <c r="R44" s="1">
        <v>40299</v>
      </c>
      <c r="S44">
        <v>560343522.29999995</v>
      </c>
    </row>
    <row r="45" spans="2:19" x14ac:dyDescent="0.25">
      <c r="B45" s="1">
        <v>38626</v>
      </c>
      <c r="C45" t="s">
        <v>26</v>
      </c>
      <c r="D45">
        <v>1777190</v>
      </c>
      <c r="E45">
        <v>4</v>
      </c>
      <c r="J45" s="1">
        <v>40330</v>
      </c>
      <c r="K45">
        <v>29388182206.07</v>
      </c>
      <c r="N45" s="1">
        <v>40330</v>
      </c>
      <c r="O45">
        <v>4255466989.4200001</v>
      </c>
      <c r="R45" s="1">
        <v>40330</v>
      </c>
      <c r="S45">
        <v>701407413.24000001</v>
      </c>
    </row>
    <row r="46" spans="2:19" x14ac:dyDescent="0.25">
      <c r="B46" s="1">
        <v>38626</v>
      </c>
      <c r="C46" t="s">
        <v>9</v>
      </c>
      <c r="D46">
        <v>1415552</v>
      </c>
      <c r="E46">
        <v>5</v>
      </c>
      <c r="J46" s="1">
        <v>40360</v>
      </c>
      <c r="K46">
        <v>29660803047.080002</v>
      </c>
      <c r="N46" s="1">
        <v>40360</v>
      </c>
      <c r="O46">
        <v>7398138252.6400003</v>
      </c>
      <c r="R46" s="1">
        <v>40360</v>
      </c>
      <c r="S46">
        <v>526314688.00999999</v>
      </c>
    </row>
    <row r="47" spans="2:19" x14ac:dyDescent="0.25">
      <c r="B47" s="1">
        <v>38626</v>
      </c>
      <c r="C47" t="s">
        <v>27</v>
      </c>
      <c r="D47">
        <v>1248688</v>
      </c>
      <c r="E47">
        <v>6</v>
      </c>
      <c r="J47" s="1">
        <v>40391</v>
      </c>
      <c r="K47">
        <v>31439393000.720001</v>
      </c>
      <c r="N47" s="1">
        <v>40391</v>
      </c>
      <c r="O47">
        <v>7511074364.2700005</v>
      </c>
      <c r="R47" s="1">
        <v>40391</v>
      </c>
      <c r="S47">
        <v>668984431.85000002</v>
      </c>
    </row>
    <row r="48" spans="2:19" x14ac:dyDescent="0.25">
      <c r="B48" s="1">
        <v>38626</v>
      </c>
      <c r="C48" t="s">
        <v>28</v>
      </c>
      <c r="D48">
        <v>1000000</v>
      </c>
      <c r="E48">
        <v>7</v>
      </c>
      <c r="J48" s="1">
        <v>40422</v>
      </c>
      <c r="K48">
        <v>34717672051.139999</v>
      </c>
      <c r="N48" s="1">
        <v>40422</v>
      </c>
      <c r="O48">
        <v>9514071989.3199997</v>
      </c>
      <c r="R48" s="1">
        <v>40422</v>
      </c>
      <c r="S48">
        <v>1042608524.67</v>
      </c>
    </row>
    <row r="49" spans="2:19" x14ac:dyDescent="0.25">
      <c r="B49" s="1">
        <v>38626</v>
      </c>
      <c r="C49" t="s">
        <v>29</v>
      </c>
      <c r="D49">
        <v>416000</v>
      </c>
      <c r="E49">
        <v>8</v>
      </c>
      <c r="J49" s="1">
        <v>40452</v>
      </c>
      <c r="K49">
        <v>55239293692.400002</v>
      </c>
      <c r="N49" s="1">
        <v>40452</v>
      </c>
      <c r="O49">
        <v>11239609971.59</v>
      </c>
      <c r="R49" s="1">
        <v>40452</v>
      </c>
      <c r="S49">
        <v>1340838185.2</v>
      </c>
    </row>
    <row r="50" spans="2:19" x14ac:dyDescent="0.25">
      <c r="B50" s="1">
        <v>38626</v>
      </c>
      <c r="C50" t="s">
        <v>30</v>
      </c>
      <c r="D50">
        <v>274744</v>
      </c>
      <c r="E50">
        <v>9</v>
      </c>
      <c r="J50" s="1">
        <v>40483</v>
      </c>
      <c r="K50">
        <v>51885359259.599998</v>
      </c>
      <c r="N50" s="1">
        <v>40483</v>
      </c>
      <c r="O50">
        <v>14263271296.870001</v>
      </c>
      <c r="R50" s="1">
        <v>40483</v>
      </c>
      <c r="S50">
        <v>1494751501.72</v>
      </c>
    </row>
    <row r="51" spans="2:19" x14ac:dyDescent="0.25">
      <c r="B51" s="1">
        <v>38626</v>
      </c>
      <c r="C51" t="s">
        <v>17</v>
      </c>
      <c r="D51">
        <v>102906.71</v>
      </c>
      <c r="E51">
        <v>10</v>
      </c>
      <c r="J51" s="1">
        <v>40513</v>
      </c>
      <c r="K51">
        <v>52693212525.540001</v>
      </c>
      <c r="N51" s="1">
        <v>40513</v>
      </c>
      <c r="O51">
        <v>16380557214.389999</v>
      </c>
      <c r="R51" s="1">
        <v>40513</v>
      </c>
      <c r="S51">
        <v>1607350392.05</v>
      </c>
    </row>
    <row r="52" spans="2:19" x14ac:dyDescent="0.25">
      <c r="B52" s="1">
        <v>38657</v>
      </c>
      <c r="C52" t="s">
        <v>25</v>
      </c>
      <c r="D52">
        <v>19726775</v>
      </c>
      <c r="E52">
        <v>1</v>
      </c>
      <c r="J52" s="1">
        <v>40544</v>
      </c>
      <c r="K52">
        <v>61709565705.349998</v>
      </c>
      <c r="N52" s="1">
        <v>40544</v>
      </c>
      <c r="O52">
        <v>17444293018.130001</v>
      </c>
      <c r="R52" s="1">
        <v>40544</v>
      </c>
      <c r="S52">
        <v>1869879274.6800001</v>
      </c>
    </row>
    <row r="53" spans="2:19" x14ac:dyDescent="0.25">
      <c r="B53" s="1">
        <v>38657</v>
      </c>
      <c r="C53" t="s">
        <v>6</v>
      </c>
      <c r="D53">
        <v>8014924</v>
      </c>
      <c r="E53">
        <v>2</v>
      </c>
      <c r="J53" s="1">
        <v>40575</v>
      </c>
      <c r="K53">
        <v>52273497066.529999</v>
      </c>
      <c r="N53" s="1">
        <v>40575</v>
      </c>
      <c r="O53">
        <v>11490900350.65</v>
      </c>
      <c r="R53" s="1">
        <v>40575</v>
      </c>
      <c r="S53">
        <v>1481460250.46</v>
      </c>
    </row>
    <row r="54" spans="2:19" x14ac:dyDescent="0.25">
      <c r="B54" s="1">
        <v>38657</v>
      </c>
      <c r="C54" t="s">
        <v>31</v>
      </c>
      <c r="D54">
        <v>7725297</v>
      </c>
      <c r="E54">
        <v>3</v>
      </c>
      <c r="J54" s="1">
        <v>40603</v>
      </c>
      <c r="K54">
        <v>41225554464.540001</v>
      </c>
      <c r="N54" s="1">
        <v>40603</v>
      </c>
      <c r="O54">
        <v>7652424808.5900002</v>
      </c>
      <c r="R54" s="1">
        <v>40603</v>
      </c>
      <c r="S54">
        <v>1085385963.24</v>
      </c>
    </row>
    <row r="55" spans="2:19" x14ac:dyDescent="0.25">
      <c r="B55" s="1">
        <v>38657</v>
      </c>
      <c r="C55" t="s">
        <v>18</v>
      </c>
      <c r="D55">
        <v>2931113</v>
      </c>
      <c r="E55">
        <v>4</v>
      </c>
      <c r="J55" s="1">
        <v>40634</v>
      </c>
      <c r="K55">
        <v>41361598109.220001</v>
      </c>
      <c r="N55" s="1">
        <v>40634</v>
      </c>
      <c r="O55">
        <v>9394709143.4799995</v>
      </c>
      <c r="R55" s="1">
        <v>40634</v>
      </c>
      <c r="S55">
        <v>829446925.97000003</v>
      </c>
    </row>
    <row r="56" spans="2:19" x14ac:dyDescent="0.25">
      <c r="B56" s="1">
        <v>38657</v>
      </c>
      <c r="C56" t="s">
        <v>30</v>
      </c>
      <c r="D56">
        <v>1851555</v>
      </c>
      <c r="E56">
        <v>5</v>
      </c>
      <c r="J56" s="1">
        <v>40664</v>
      </c>
      <c r="K56">
        <v>24971547348.939999</v>
      </c>
      <c r="N56" s="1">
        <v>40664</v>
      </c>
      <c r="O56">
        <v>5833468204.71</v>
      </c>
      <c r="R56" s="1">
        <v>40664</v>
      </c>
      <c r="S56">
        <v>591091643.78999996</v>
      </c>
    </row>
    <row r="57" spans="2:19" x14ac:dyDescent="0.25">
      <c r="B57" s="1">
        <v>38657</v>
      </c>
      <c r="C57" t="s">
        <v>7</v>
      </c>
      <c r="D57">
        <v>1754648</v>
      </c>
      <c r="E57">
        <v>6</v>
      </c>
      <c r="J57" s="1">
        <v>40695</v>
      </c>
      <c r="K57">
        <v>22927020807.419998</v>
      </c>
      <c r="N57" s="1">
        <v>40695</v>
      </c>
      <c r="O57">
        <v>5749274469.8800001</v>
      </c>
      <c r="R57" s="1">
        <v>40695</v>
      </c>
      <c r="S57">
        <v>614267708.50999999</v>
      </c>
    </row>
    <row r="58" spans="2:19" x14ac:dyDescent="0.25">
      <c r="B58" s="1">
        <v>38657</v>
      </c>
      <c r="C58" t="s">
        <v>4</v>
      </c>
      <c r="D58">
        <v>1565938</v>
      </c>
      <c r="E58">
        <v>7</v>
      </c>
      <c r="J58" s="1">
        <v>40725</v>
      </c>
      <c r="K58">
        <v>26922386992.110001</v>
      </c>
      <c r="N58" s="1">
        <v>40725</v>
      </c>
      <c r="O58">
        <v>5857655726.2700005</v>
      </c>
      <c r="R58" s="1">
        <v>40725</v>
      </c>
      <c r="S58">
        <v>757313398.25999999</v>
      </c>
    </row>
    <row r="59" spans="2:19" x14ac:dyDescent="0.25">
      <c r="B59" s="1">
        <v>38657</v>
      </c>
      <c r="C59" t="s">
        <v>32</v>
      </c>
      <c r="D59">
        <v>1017500</v>
      </c>
      <c r="E59">
        <v>8</v>
      </c>
      <c r="J59" s="1">
        <v>40756</v>
      </c>
      <c r="K59">
        <v>22066926046.009998</v>
      </c>
      <c r="N59" s="1">
        <v>40756</v>
      </c>
      <c r="O59">
        <v>6097501802.75</v>
      </c>
      <c r="R59" s="1">
        <v>40756</v>
      </c>
      <c r="S59">
        <v>648715819.03999996</v>
      </c>
    </row>
    <row r="60" spans="2:19" x14ac:dyDescent="0.25">
      <c r="B60" s="1">
        <v>38657</v>
      </c>
      <c r="C60" t="s">
        <v>21</v>
      </c>
      <c r="D60">
        <v>937254</v>
      </c>
      <c r="E60">
        <v>9</v>
      </c>
      <c r="J60" s="1">
        <v>40787</v>
      </c>
      <c r="K60">
        <v>27236343791.790001</v>
      </c>
      <c r="N60" s="1">
        <v>40787</v>
      </c>
      <c r="O60">
        <v>8570383969.2799997</v>
      </c>
      <c r="R60" s="1">
        <v>40787</v>
      </c>
      <c r="S60">
        <v>738808001.14999998</v>
      </c>
    </row>
    <row r="61" spans="2:19" x14ac:dyDescent="0.25">
      <c r="B61" s="1">
        <v>38657</v>
      </c>
      <c r="C61" t="s">
        <v>8</v>
      </c>
      <c r="D61">
        <v>414101</v>
      </c>
      <c r="E61">
        <v>10</v>
      </c>
      <c r="J61" s="1">
        <v>40817</v>
      </c>
      <c r="K61">
        <v>35651163369.57</v>
      </c>
      <c r="N61" s="1">
        <v>40817</v>
      </c>
      <c r="O61">
        <v>8222757284.5900002</v>
      </c>
      <c r="R61" s="1">
        <v>40817</v>
      </c>
      <c r="S61">
        <v>956590474.38</v>
      </c>
    </row>
    <row r="62" spans="2:19" x14ac:dyDescent="0.25">
      <c r="B62" s="1">
        <v>38687</v>
      </c>
      <c r="C62" t="s">
        <v>6</v>
      </c>
      <c r="D62">
        <v>123617884</v>
      </c>
      <c r="E62">
        <v>1</v>
      </c>
      <c r="J62" s="1">
        <v>40848</v>
      </c>
      <c r="K62">
        <v>36413415479.32</v>
      </c>
      <c r="N62" s="1">
        <v>40848</v>
      </c>
      <c r="O62">
        <v>12339709417.91</v>
      </c>
      <c r="R62" s="1">
        <v>40848</v>
      </c>
      <c r="S62">
        <v>1593261256.0899999</v>
      </c>
    </row>
    <row r="63" spans="2:19" x14ac:dyDescent="0.25">
      <c r="B63" s="1">
        <v>38687</v>
      </c>
      <c r="C63" t="s">
        <v>24</v>
      </c>
      <c r="D63">
        <v>31574015</v>
      </c>
      <c r="E63">
        <v>2</v>
      </c>
      <c r="J63" s="1">
        <v>40878</v>
      </c>
      <c r="K63">
        <v>47384086407.980003</v>
      </c>
      <c r="N63" s="1">
        <v>40878</v>
      </c>
      <c r="O63">
        <v>12933874632.5</v>
      </c>
      <c r="R63" s="1">
        <v>40878</v>
      </c>
      <c r="S63">
        <v>2303398729.9200001</v>
      </c>
    </row>
    <row r="64" spans="2:19" x14ac:dyDescent="0.25">
      <c r="B64" s="1">
        <v>38687</v>
      </c>
      <c r="C64" t="s">
        <v>7</v>
      </c>
      <c r="D64">
        <v>2910121</v>
      </c>
      <c r="E64">
        <v>3</v>
      </c>
      <c r="J64" s="1">
        <v>40909</v>
      </c>
      <c r="K64">
        <v>56066681468.849998</v>
      </c>
      <c r="N64" s="1">
        <v>40909</v>
      </c>
      <c r="O64">
        <v>16481604606.09</v>
      </c>
      <c r="R64" s="1">
        <v>40909</v>
      </c>
      <c r="S64">
        <v>1822022545.7</v>
      </c>
    </row>
    <row r="65" spans="2:19" x14ac:dyDescent="0.25">
      <c r="B65" s="1">
        <v>38687</v>
      </c>
      <c r="C65" t="s">
        <v>4</v>
      </c>
      <c r="D65">
        <v>1936126</v>
      </c>
      <c r="E65">
        <v>4</v>
      </c>
      <c r="J65" s="1">
        <v>40940</v>
      </c>
      <c r="K65">
        <v>41922794991.639999</v>
      </c>
      <c r="N65" s="1">
        <v>40940</v>
      </c>
      <c r="O65">
        <v>14136133994.99</v>
      </c>
      <c r="R65" s="1">
        <v>40940</v>
      </c>
      <c r="S65">
        <v>2257480078.21</v>
      </c>
    </row>
    <row r="66" spans="2:19" x14ac:dyDescent="0.25">
      <c r="B66" s="1">
        <v>38687</v>
      </c>
      <c r="C66" t="s">
        <v>16</v>
      </c>
      <c r="D66">
        <v>1313060</v>
      </c>
      <c r="E66">
        <v>5</v>
      </c>
      <c r="J66" s="1">
        <v>40969</v>
      </c>
      <c r="K66">
        <v>39240798844.5</v>
      </c>
      <c r="N66" s="1">
        <v>40969</v>
      </c>
      <c r="O66">
        <v>14574301137.59</v>
      </c>
      <c r="R66" s="1">
        <v>40969</v>
      </c>
      <c r="S66">
        <v>1447607542.4300001</v>
      </c>
    </row>
    <row r="67" spans="2:19" x14ac:dyDescent="0.25">
      <c r="B67" s="1">
        <v>38687</v>
      </c>
      <c r="C67" t="s">
        <v>33</v>
      </c>
      <c r="D67">
        <v>1302822</v>
      </c>
      <c r="E67">
        <v>6</v>
      </c>
      <c r="J67" s="1">
        <v>41000</v>
      </c>
      <c r="K67">
        <v>69774767287.619995</v>
      </c>
      <c r="N67" s="1">
        <v>41000</v>
      </c>
      <c r="O67">
        <v>15564169734.09</v>
      </c>
      <c r="R67" s="1">
        <v>41000</v>
      </c>
      <c r="S67">
        <v>2953526040.23</v>
      </c>
    </row>
    <row r="68" spans="2:19" x14ac:dyDescent="0.25">
      <c r="B68" s="1">
        <v>38687</v>
      </c>
      <c r="C68" t="s">
        <v>15</v>
      </c>
      <c r="D68">
        <v>1279962</v>
      </c>
      <c r="E68">
        <v>7</v>
      </c>
      <c r="J68" s="1">
        <v>41030</v>
      </c>
      <c r="K68">
        <v>30657516853.389999</v>
      </c>
      <c r="N68" s="1">
        <v>41030</v>
      </c>
      <c r="O68">
        <v>15200655634.24</v>
      </c>
      <c r="R68" s="1">
        <v>41030</v>
      </c>
      <c r="S68">
        <v>1245552918.52</v>
      </c>
    </row>
    <row r="69" spans="2:19" x14ac:dyDescent="0.25">
      <c r="B69" s="1">
        <v>38687</v>
      </c>
      <c r="C69" t="s">
        <v>22</v>
      </c>
      <c r="D69">
        <v>1226276</v>
      </c>
      <c r="E69">
        <v>8</v>
      </c>
      <c r="J69" s="1">
        <v>41061</v>
      </c>
      <c r="K69">
        <v>47881017971.43</v>
      </c>
      <c r="N69" s="1">
        <v>41061</v>
      </c>
      <c r="O69">
        <v>16743096910.440001</v>
      </c>
      <c r="R69" s="1">
        <v>41061</v>
      </c>
      <c r="S69">
        <v>1540553806.8800001</v>
      </c>
    </row>
    <row r="70" spans="2:19" x14ac:dyDescent="0.25">
      <c r="B70" s="1">
        <v>38687</v>
      </c>
      <c r="C70" t="s">
        <v>12</v>
      </c>
      <c r="D70">
        <v>1201040</v>
      </c>
      <c r="E70">
        <v>9</v>
      </c>
      <c r="J70" s="1">
        <v>41091</v>
      </c>
      <c r="K70">
        <v>45540467422.709999</v>
      </c>
      <c r="N70" s="1">
        <v>41091</v>
      </c>
      <c r="O70">
        <v>18490738170.709999</v>
      </c>
      <c r="R70" s="1">
        <v>41091</v>
      </c>
      <c r="S70">
        <v>2089196644.4200001</v>
      </c>
    </row>
    <row r="71" spans="2:19" x14ac:dyDescent="0.25">
      <c r="B71" s="1">
        <v>38687</v>
      </c>
      <c r="C71" t="s">
        <v>34</v>
      </c>
      <c r="D71">
        <v>712580</v>
      </c>
      <c r="E71">
        <v>10</v>
      </c>
      <c r="J71" s="1">
        <v>41122</v>
      </c>
      <c r="K71">
        <v>50531958795.970001</v>
      </c>
      <c r="N71" s="1">
        <v>41122</v>
      </c>
      <c r="O71">
        <v>19497067174.220001</v>
      </c>
      <c r="R71" s="1">
        <v>41122</v>
      </c>
      <c r="S71">
        <v>2184176355.4499998</v>
      </c>
    </row>
    <row r="72" spans="2:19" x14ac:dyDescent="0.25">
      <c r="B72" s="1">
        <v>38718</v>
      </c>
      <c r="C72" t="s">
        <v>6</v>
      </c>
      <c r="D72">
        <v>202636497</v>
      </c>
      <c r="E72">
        <v>1</v>
      </c>
      <c r="J72" s="1">
        <v>41153</v>
      </c>
      <c r="K72">
        <v>55224298159.940002</v>
      </c>
      <c r="N72" s="1">
        <v>41153</v>
      </c>
      <c r="O72">
        <v>22876874384.77</v>
      </c>
      <c r="R72" s="1">
        <v>41153</v>
      </c>
      <c r="S72">
        <v>2621325386.98</v>
      </c>
    </row>
    <row r="73" spans="2:19" x14ac:dyDescent="0.25">
      <c r="B73" s="1">
        <v>38718</v>
      </c>
      <c r="C73" t="s">
        <v>7</v>
      </c>
      <c r="D73">
        <v>202636497</v>
      </c>
      <c r="E73">
        <v>1</v>
      </c>
      <c r="J73" s="1">
        <v>41183</v>
      </c>
      <c r="K73">
        <v>57958229525.760002</v>
      </c>
      <c r="N73" s="1">
        <v>41183</v>
      </c>
      <c r="O73">
        <v>24895027083.639999</v>
      </c>
      <c r="R73" s="1">
        <v>41183</v>
      </c>
      <c r="S73">
        <v>2632400688.9699998</v>
      </c>
    </row>
    <row r="74" spans="2:19" x14ac:dyDescent="0.25">
      <c r="B74" s="1">
        <v>38718</v>
      </c>
      <c r="C74" t="s">
        <v>35</v>
      </c>
      <c r="D74">
        <v>1987000</v>
      </c>
      <c r="E74">
        <v>3</v>
      </c>
      <c r="J74" s="1">
        <v>41214</v>
      </c>
      <c r="K74">
        <v>46813788334.019997</v>
      </c>
      <c r="N74" s="1">
        <v>41214</v>
      </c>
      <c r="O74">
        <v>13041567478.99</v>
      </c>
      <c r="R74" s="1">
        <v>41214</v>
      </c>
      <c r="S74">
        <v>1969884029.05</v>
      </c>
    </row>
    <row r="75" spans="2:19" x14ac:dyDescent="0.25">
      <c r="B75" s="1">
        <v>38718</v>
      </c>
      <c r="C75" t="s">
        <v>15</v>
      </c>
      <c r="D75">
        <v>1561677</v>
      </c>
      <c r="E75">
        <v>4</v>
      </c>
      <c r="J75" s="1">
        <v>41244</v>
      </c>
      <c r="K75">
        <v>67940285389.419998</v>
      </c>
      <c r="N75" s="1">
        <v>41244</v>
      </c>
      <c r="O75">
        <v>37186920455.010002</v>
      </c>
      <c r="R75" s="1">
        <v>41244</v>
      </c>
      <c r="S75">
        <v>3221286266.1399999</v>
      </c>
    </row>
    <row r="76" spans="2:19" x14ac:dyDescent="0.25">
      <c r="B76" s="1">
        <v>38718</v>
      </c>
      <c r="C76" t="s">
        <v>8</v>
      </c>
      <c r="D76">
        <v>412374</v>
      </c>
      <c r="E76">
        <v>5</v>
      </c>
      <c r="J76" s="1">
        <v>41275</v>
      </c>
      <c r="K76">
        <v>38196158237.339996</v>
      </c>
      <c r="N76" s="1">
        <v>41275</v>
      </c>
      <c r="O76">
        <v>27443376640.200001</v>
      </c>
      <c r="R76" s="1">
        <v>41275</v>
      </c>
      <c r="S76">
        <v>1423282594.6900001</v>
      </c>
    </row>
    <row r="77" spans="2:19" x14ac:dyDescent="0.25">
      <c r="B77" s="1">
        <v>38718</v>
      </c>
      <c r="C77" t="s">
        <v>4</v>
      </c>
      <c r="D77">
        <v>178484</v>
      </c>
      <c r="E77">
        <v>6</v>
      </c>
      <c r="J77" s="1">
        <v>41306</v>
      </c>
      <c r="K77">
        <v>55436550059.510002</v>
      </c>
      <c r="N77" s="1">
        <v>41306</v>
      </c>
      <c r="O77">
        <v>28358709079.119999</v>
      </c>
      <c r="R77" s="1">
        <v>41306</v>
      </c>
      <c r="S77">
        <v>2283134573.5300002</v>
      </c>
    </row>
    <row r="78" spans="2:19" x14ac:dyDescent="0.25">
      <c r="B78" s="1">
        <v>38718</v>
      </c>
      <c r="C78" t="s">
        <v>36</v>
      </c>
      <c r="D78">
        <v>102393</v>
      </c>
      <c r="E78">
        <v>7</v>
      </c>
      <c r="J78" s="1">
        <v>41334</v>
      </c>
      <c r="K78">
        <v>54661559585.199997</v>
      </c>
      <c r="N78" s="1">
        <v>41334</v>
      </c>
      <c r="O78">
        <v>21016931411.259998</v>
      </c>
      <c r="R78" s="1">
        <v>41334</v>
      </c>
      <c r="S78">
        <v>1853862175.5699999</v>
      </c>
    </row>
    <row r="79" spans="2:19" x14ac:dyDescent="0.25">
      <c r="B79" s="1">
        <v>38718</v>
      </c>
      <c r="C79" t="s">
        <v>21</v>
      </c>
      <c r="D79">
        <v>66784</v>
      </c>
      <c r="E79">
        <v>8</v>
      </c>
      <c r="J79" s="1">
        <v>41365</v>
      </c>
      <c r="K79">
        <v>43517380013.099998</v>
      </c>
      <c r="N79" s="1">
        <v>41365</v>
      </c>
      <c r="O79">
        <v>21972503329.41</v>
      </c>
      <c r="R79" s="1">
        <v>41365</v>
      </c>
      <c r="S79">
        <v>1707781437.2</v>
      </c>
    </row>
    <row r="80" spans="2:19" x14ac:dyDescent="0.25">
      <c r="B80" s="1">
        <v>38749</v>
      </c>
      <c r="C80" t="s">
        <v>16</v>
      </c>
      <c r="D80">
        <v>18989705.91</v>
      </c>
      <c r="E80">
        <v>1</v>
      </c>
      <c r="J80" s="1">
        <v>41395</v>
      </c>
      <c r="K80">
        <v>50086632838.5</v>
      </c>
      <c r="N80" s="1">
        <v>41395</v>
      </c>
      <c r="O80">
        <v>21696546357.110001</v>
      </c>
      <c r="R80" s="1">
        <v>41395</v>
      </c>
      <c r="S80">
        <v>2167430489.98</v>
      </c>
    </row>
    <row r="81" spans="2:19" x14ac:dyDescent="0.25">
      <c r="B81" s="1">
        <v>38749</v>
      </c>
      <c r="C81" t="s">
        <v>17</v>
      </c>
      <c r="D81">
        <v>18699668.960000001</v>
      </c>
      <c r="E81">
        <v>2</v>
      </c>
      <c r="J81" s="1">
        <v>41426</v>
      </c>
      <c r="K81">
        <v>49762935272.370003</v>
      </c>
      <c r="N81" s="1">
        <v>41426</v>
      </c>
      <c r="O81">
        <v>22199417142.48</v>
      </c>
      <c r="R81" s="1">
        <v>41426</v>
      </c>
      <c r="S81">
        <v>1785740932.23</v>
      </c>
    </row>
    <row r="82" spans="2:19" x14ac:dyDescent="0.25">
      <c r="B82" s="1">
        <v>38749</v>
      </c>
      <c r="C82" t="s">
        <v>37</v>
      </c>
      <c r="D82">
        <v>2000506</v>
      </c>
      <c r="E82">
        <v>3</v>
      </c>
      <c r="J82" s="1">
        <v>41456</v>
      </c>
      <c r="K82">
        <v>46151522171.07</v>
      </c>
      <c r="N82" s="1">
        <v>41456</v>
      </c>
      <c r="O82">
        <v>19210507021.110001</v>
      </c>
      <c r="R82" s="1">
        <v>41456</v>
      </c>
      <c r="S82">
        <v>2166891536.6399999</v>
      </c>
    </row>
    <row r="83" spans="2:19" x14ac:dyDescent="0.25">
      <c r="B83" s="1">
        <v>38749</v>
      </c>
      <c r="C83" t="s">
        <v>6</v>
      </c>
      <c r="D83">
        <v>1938990</v>
      </c>
      <c r="E83">
        <v>4</v>
      </c>
      <c r="J83" s="1">
        <v>41487</v>
      </c>
      <c r="K83">
        <v>49453912144.660004</v>
      </c>
      <c r="N83" s="1">
        <v>41487</v>
      </c>
      <c r="O83">
        <v>21283813715.68</v>
      </c>
      <c r="R83" s="1">
        <v>41487</v>
      </c>
      <c r="S83">
        <v>2292046134.2399998</v>
      </c>
    </row>
    <row r="84" spans="2:19" x14ac:dyDescent="0.25">
      <c r="B84" s="1">
        <v>38749</v>
      </c>
      <c r="C84" t="s">
        <v>7</v>
      </c>
      <c r="D84">
        <v>1938990</v>
      </c>
      <c r="E84">
        <v>4</v>
      </c>
      <c r="J84" s="1">
        <v>41518</v>
      </c>
      <c r="K84">
        <v>45627104907.010002</v>
      </c>
      <c r="N84" s="1">
        <v>41518</v>
      </c>
      <c r="O84">
        <v>18067551518.43</v>
      </c>
      <c r="R84" s="1">
        <v>41518</v>
      </c>
      <c r="S84">
        <v>1691558930.4300001</v>
      </c>
    </row>
    <row r="85" spans="2:19" x14ac:dyDescent="0.25">
      <c r="B85" s="1">
        <v>38749</v>
      </c>
      <c r="C85" t="s">
        <v>5</v>
      </c>
      <c r="D85">
        <v>1595813</v>
      </c>
      <c r="E85">
        <v>6</v>
      </c>
      <c r="J85" s="1">
        <v>41548</v>
      </c>
      <c r="K85">
        <v>36892297731.660004</v>
      </c>
      <c r="N85" s="1">
        <v>41548</v>
      </c>
      <c r="O85">
        <v>14225597347.620001</v>
      </c>
      <c r="R85" s="1">
        <v>41548</v>
      </c>
      <c r="S85">
        <v>1368985059.04</v>
      </c>
    </row>
    <row r="86" spans="2:19" x14ac:dyDescent="0.25">
      <c r="B86" s="1">
        <v>38749</v>
      </c>
      <c r="C86" t="s">
        <v>13</v>
      </c>
      <c r="D86">
        <v>929703</v>
      </c>
      <c r="E86">
        <v>7</v>
      </c>
      <c r="J86" s="1">
        <v>41579</v>
      </c>
      <c r="K86">
        <v>30217222410.669998</v>
      </c>
      <c r="N86" s="1">
        <v>41579</v>
      </c>
      <c r="O86">
        <v>15678517420.42</v>
      </c>
      <c r="R86" s="1">
        <v>41579</v>
      </c>
      <c r="S86">
        <v>953042554.79999995</v>
      </c>
    </row>
    <row r="87" spans="2:19" x14ac:dyDescent="0.25">
      <c r="B87" s="1">
        <v>38749</v>
      </c>
      <c r="C87" t="s">
        <v>25</v>
      </c>
      <c r="D87">
        <v>550983.56999999995</v>
      </c>
      <c r="E87">
        <v>8</v>
      </c>
      <c r="J87" s="1">
        <v>41609</v>
      </c>
      <c r="K87">
        <v>26204048867.77</v>
      </c>
      <c r="N87" s="1">
        <v>41609</v>
      </c>
      <c r="O87">
        <v>11069607939.91</v>
      </c>
      <c r="R87" s="1">
        <v>41609</v>
      </c>
      <c r="S87">
        <v>889724629.33000004</v>
      </c>
    </row>
    <row r="88" spans="2:19" x14ac:dyDescent="0.25">
      <c r="B88" s="1">
        <v>38749</v>
      </c>
      <c r="C88" t="s">
        <v>4</v>
      </c>
      <c r="D88">
        <v>410535.46</v>
      </c>
      <c r="E88">
        <v>9</v>
      </c>
      <c r="J88" s="1">
        <v>41640</v>
      </c>
      <c r="K88">
        <v>21280194246.23</v>
      </c>
      <c r="N88" s="1">
        <v>41640</v>
      </c>
      <c r="O88">
        <v>15492498245.49</v>
      </c>
      <c r="R88" s="1">
        <v>41640</v>
      </c>
      <c r="S88">
        <v>682224095.88999999</v>
      </c>
    </row>
    <row r="89" spans="2:19" x14ac:dyDescent="0.25">
      <c r="B89" s="1">
        <v>38749</v>
      </c>
      <c r="C89" t="s">
        <v>8</v>
      </c>
      <c r="D89">
        <v>365925</v>
      </c>
      <c r="E89">
        <v>10</v>
      </c>
      <c r="J89" s="1">
        <v>41671</v>
      </c>
      <c r="K89">
        <v>16373493341.18</v>
      </c>
      <c r="N89" s="1">
        <v>41671</v>
      </c>
      <c r="O89">
        <v>10905734407.190001</v>
      </c>
      <c r="R89" s="1">
        <v>41671</v>
      </c>
      <c r="S89">
        <v>656304826.80999994</v>
      </c>
    </row>
    <row r="90" spans="2:19" x14ac:dyDescent="0.25">
      <c r="B90" s="1">
        <v>38777</v>
      </c>
      <c r="C90" t="s">
        <v>25</v>
      </c>
      <c r="D90">
        <v>16635495</v>
      </c>
      <c r="E90">
        <v>1</v>
      </c>
      <c r="J90" s="1">
        <v>41699</v>
      </c>
      <c r="K90">
        <v>17672008778.02</v>
      </c>
      <c r="N90" s="1">
        <v>41699</v>
      </c>
      <c r="O90">
        <v>9006227464.5200005</v>
      </c>
      <c r="R90" s="1">
        <v>41699</v>
      </c>
      <c r="S90">
        <v>682995391.41999996</v>
      </c>
    </row>
    <row r="91" spans="2:19" x14ac:dyDescent="0.25">
      <c r="B91" s="1">
        <v>38777</v>
      </c>
      <c r="C91" t="s">
        <v>38</v>
      </c>
      <c r="D91">
        <v>11002000</v>
      </c>
      <c r="E91">
        <v>2</v>
      </c>
      <c r="J91" s="1">
        <v>41730</v>
      </c>
      <c r="K91">
        <v>13542300886.83</v>
      </c>
      <c r="N91" s="1">
        <v>41730</v>
      </c>
      <c r="O91">
        <v>9228070670.6800003</v>
      </c>
      <c r="R91" s="1">
        <v>41730</v>
      </c>
      <c r="S91">
        <v>539502272.57000005</v>
      </c>
    </row>
    <row r="92" spans="2:19" x14ac:dyDescent="0.25">
      <c r="B92" s="1">
        <v>38777</v>
      </c>
      <c r="C92" t="s">
        <v>35</v>
      </c>
      <c r="D92">
        <v>6414800</v>
      </c>
      <c r="E92">
        <v>3</v>
      </c>
      <c r="J92" s="1">
        <v>41760</v>
      </c>
      <c r="K92">
        <v>16346718921.33</v>
      </c>
      <c r="N92" s="1">
        <v>41760</v>
      </c>
      <c r="O92">
        <v>9943731080.6599998</v>
      </c>
      <c r="R92" s="1">
        <v>41760</v>
      </c>
      <c r="S92">
        <v>784392049.47000003</v>
      </c>
    </row>
    <row r="93" spans="2:19" x14ac:dyDescent="0.25">
      <c r="B93" s="1">
        <v>38777</v>
      </c>
      <c r="C93" t="s">
        <v>6</v>
      </c>
      <c r="D93">
        <v>6109376</v>
      </c>
      <c r="E93">
        <v>4</v>
      </c>
      <c r="J93" s="1">
        <v>41791</v>
      </c>
      <c r="K93">
        <v>15515257766.15</v>
      </c>
      <c r="N93" s="1">
        <v>41791</v>
      </c>
      <c r="O93">
        <v>11280710955.59</v>
      </c>
      <c r="R93" s="1">
        <v>41791</v>
      </c>
      <c r="S93">
        <v>795592961.65999997</v>
      </c>
    </row>
    <row r="94" spans="2:19" x14ac:dyDescent="0.25">
      <c r="B94" s="1">
        <v>38777</v>
      </c>
      <c r="C94" t="s">
        <v>39</v>
      </c>
      <c r="D94">
        <v>4829000</v>
      </c>
      <c r="E94">
        <v>5</v>
      </c>
      <c r="J94" s="1">
        <v>41821</v>
      </c>
      <c r="K94">
        <v>18051397240.82</v>
      </c>
      <c r="N94" s="1">
        <v>41821</v>
      </c>
      <c r="O94">
        <v>12840798608.01</v>
      </c>
      <c r="R94" s="1">
        <v>41821</v>
      </c>
      <c r="S94">
        <v>714415679.88</v>
      </c>
    </row>
    <row r="95" spans="2:19" x14ac:dyDescent="0.25">
      <c r="B95" s="1">
        <v>38777</v>
      </c>
      <c r="C95" t="s">
        <v>30</v>
      </c>
      <c r="D95">
        <v>4732146</v>
      </c>
      <c r="E95">
        <v>6</v>
      </c>
      <c r="J95" s="1">
        <v>41852</v>
      </c>
      <c r="K95">
        <v>19964896528.419998</v>
      </c>
      <c r="N95" s="1">
        <v>41852</v>
      </c>
      <c r="O95">
        <v>15576559728.469999</v>
      </c>
      <c r="R95" s="1">
        <v>41852</v>
      </c>
      <c r="S95">
        <v>766180521.16999996</v>
      </c>
    </row>
    <row r="96" spans="2:19" x14ac:dyDescent="0.25">
      <c r="B96" s="1">
        <v>38777</v>
      </c>
      <c r="C96" t="s">
        <v>4</v>
      </c>
      <c r="D96">
        <v>3954627</v>
      </c>
      <c r="E96">
        <v>7</v>
      </c>
      <c r="J96" s="1">
        <v>41883</v>
      </c>
      <c r="K96">
        <v>19269078233.209999</v>
      </c>
      <c r="N96" s="1">
        <v>41883</v>
      </c>
      <c r="O96">
        <v>14087004899.709999</v>
      </c>
      <c r="R96" s="1">
        <v>41883</v>
      </c>
      <c r="S96">
        <v>693663556.71000004</v>
      </c>
    </row>
    <row r="97" spans="2:19" x14ac:dyDescent="0.25">
      <c r="B97" s="1">
        <v>38777</v>
      </c>
      <c r="C97" t="s">
        <v>7</v>
      </c>
      <c r="D97">
        <v>2204103</v>
      </c>
      <c r="E97">
        <v>8</v>
      </c>
      <c r="J97" s="1">
        <v>41913</v>
      </c>
      <c r="K97">
        <v>26306838586.91</v>
      </c>
      <c r="N97" s="1">
        <v>41913</v>
      </c>
      <c r="O97">
        <v>13119687804.309999</v>
      </c>
      <c r="R97" s="1">
        <v>41913</v>
      </c>
      <c r="S97">
        <v>757494824.39999998</v>
      </c>
    </row>
    <row r="98" spans="2:19" x14ac:dyDescent="0.25">
      <c r="B98" s="1">
        <v>38777</v>
      </c>
      <c r="C98" t="s">
        <v>37</v>
      </c>
      <c r="D98">
        <v>1035773</v>
      </c>
      <c r="E98">
        <v>9</v>
      </c>
      <c r="J98" s="1">
        <v>41944</v>
      </c>
      <c r="K98">
        <v>20876866762.080002</v>
      </c>
      <c r="N98" s="1">
        <v>41944</v>
      </c>
      <c r="O98">
        <v>17933393094.610001</v>
      </c>
      <c r="R98" s="1">
        <v>41944</v>
      </c>
      <c r="S98">
        <v>755662317.37</v>
      </c>
    </row>
    <row r="99" spans="2:19" x14ac:dyDescent="0.25">
      <c r="B99" s="1">
        <v>38777</v>
      </c>
      <c r="C99" t="s">
        <v>8</v>
      </c>
      <c r="D99">
        <v>898108</v>
      </c>
      <c r="E99">
        <v>10</v>
      </c>
      <c r="J99" s="1">
        <v>41974</v>
      </c>
      <c r="K99">
        <v>24697625492.950001</v>
      </c>
      <c r="N99" s="1">
        <v>41974</v>
      </c>
      <c r="O99">
        <v>6826393495</v>
      </c>
      <c r="R99" s="1">
        <v>41974</v>
      </c>
      <c r="S99">
        <v>784810724.87</v>
      </c>
    </row>
    <row r="100" spans="2:19" x14ac:dyDescent="0.25">
      <c r="B100" s="1">
        <v>38808</v>
      </c>
      <c r="C100" t="s">
        <v>25</v>
      </c>
      <c r="D100">
        <v>41797458.600000001</v>
      </c>
      <c r="E100">
        <v>1</v>
      </c>
      <c r="J100" s="1">
        <v>42005</v>
      </c>
      <c r="K100">
        <v>20692098933.41</v>
      </c>
      <c r="N100" s="1">
        <v>42005</v>
      </c>
      <c r="O100">
        <v>22766112030.75</v>
      </c>
      <c r="R100" s="1">
        <v>42005</v>
      </c>
      <c r="S100">
        <v>993991215.26999998</v>
      </c>
    </row>
    <row r="101" spans="2:19" x14ac:dyDescent="0.25">
      <c r="B101" s="1">
        <v>38808</v>
      </c>
      <c r="C101" t="s">
        <v>38</v>
      </c>
      <c r="D101">
        <v>24576000</v>
      </c>
      <c r="E101">
        <v>2</v>
      </c>
      <c r="J101" s="1">
        <v>42036</v>
      </c>
      <c r="K101">
        <v>22945895444.540001</v>
      </c>
      <c r="N101" s="1">
        <v>42036</v>
      </c>
      <c r="O101">
        <v>13043428717.370001</v>
      </c>
      <c r="R101" s="1">
        <v>42036</v>
      </c>
      <c r="S101">
        <v>923852995.29999995</v>
      </c>
    </row>
    <row r="102" spans="2:19" x14ac:dyDescent="0.25">
      <c r="B102" s="1">
        <v>38808</v>
      </c>
      <c r="C102" t="s">
        <v>13</v>
      </c>
      <c r="D102">
        <v>13371003.699999999</v>
      </c>
      <c r="E102">
        <v>3</v>
      </c>
      <c r="J102" s="1">
        <v>42064</v>
      </c>
      <c r="K102">
        <v>21020607415.66</v>
      </c>
      <c r="N102" s="1">
        <v>42064</v>
      </c>
      <c r="O102">
        <v>14718339614.48</v>
      </c>
      <c r="R102" s="1">
        <v>42064</v>
      </c>
      <c r="S102">
        <v>986969341.98000002</v>
      </c>
    </row>
    <row r="103" spans="2:19" x14ac:dyDescent="0.25">
      <c r="B103" s="1">
        <v>38808</v>
      </c>
      <c r="C103" t="s">
        <v>40</v>
      </c>
      <c r="D103">
        <v>13000000</v>
      </c>
      <c r="E103">
        <v>4</v>
      </c>
      <c r="J103" s="1"/>
    </row>
    <row r="104" spans="2:19" x14ac:dyDescent="0.25">
      <c r="B104" s="1">
        <v>38808</v>
      </c>
      <c r="C104" t="s">
        <v>14</v>
      </c>
      <c r="D104">
        <v>12884249</v>
      </c>
      <c r="E104">
        <v>5</v>
      </c>
      <c r="J104" s="1"/>
    </row>
    <row r="105" spans="2:19" x14ac:dyDescent="0.25">
      <c r="B105" s="1">
        <v>38808</v>
      </c>
      <c r="C105" t="s">
        <v>41</v>
      </c>
      <c r="D105">
        <v>10000000</v>
      </c>
      <c r="E105">
        <v>6</v>
      </c>
      <c r="J105" s="1"/>
    </row>
    <row r="106" spans="2:19" x14ac:dyDescent="0.25">
      <c r="B106" s="1">
        <v>38808</v>
      </c>
      <c r="C106" t="s">
        <v>42</v>
      </c>
      <c r="D106">
        <v>8533433</v>
      </c>
      <c r="E106">
        <v>7</v>
      </c>
      <c r="J106" s="1"/>
    </row>
    <row r="107" spans="2:19" x14ac:dyDescent="0.25">
      <c r="B107" s="1">
        <v>38808</v>
      </c>
      <c r="C107" t="s">
        <v>43</v>
      </c>
      <c r="D107">
        <v>8371000</v>
      </c>
      <c r="E107">
        <v>8</v>
      </c>
      <c r="J107" s="1"/>
    </row>
    <row r="108" spans="2:19" x14ac:dyDescent="0.25">
      <c r="B108" s="1">
        <v>38808</v>
      </c>
      <c r="C108" t="s">
        <v>44</v>
      </c>
      <c r="D108">
        <v>5809000</v>
      </c>
      <c r="E108">
        <v>9</v>
      </c>
      <c r="J108" s="1"/>
    </row>
    <row r="109" spans="2:19" x14ac:dyDescent="0.25">
      <c r="B109" s="1">
        <v>38808</v>
      </c>
      <c r="C109" t="s">
        <v>5</v>
      </c>
      <c r="D109">
        <v>4864686</v>
      </c>
      <c r="E109">
        <v>10</v>
      </c>
      <c r="J109" s="1"/>
    </row>
    <row r="110" spans="2:19" x14ac:dyDescent="0.25">
      <c r="B110" s="1">
        <v>38838</v>
      </c>
      <c r="C110" t="s">
        <v>44</v>
      </c>
      <c r="D110">
        <v>30826920</v>
      </c>
      <c r="E110">
        <v>1</v>
      </c>
      <c r="J110" s="1"/>
    </row>
    <row r="111" spans="2:19" x14ac:dyDescent="0.25">
      <c r="B111" s="1">
        <v>38838</v>
      </c>
      <c r="C111" t="s">
        <v>16</v>
      </c>
      <c r="D111">
        <v>23268574</v>
      </c>
      <c r="E111">
        <v>2</v>
      </c>
      <c r="J111" s="1"/>
    </row>
    <row r="112" spans="2:19" x14ac:dyDescent="0.25">
      <c r="B112" s="1">
        <v>38838</v>
      </c>
      <c r="C112" t="s">
        <v>17</v>
      </c>
      <c r="D112">
        <v>23268574</v>
      </c>
      <c r="E112">
        <v>2</v>
      </c>
      <c r="J112" s="1"/>
    </row>
    <row r="113" spans="2:10" x14ac:dyDescent="0.25">
      <c r="B113" s="1">
        <v>38838</v>
      </c>
      <c r="C113" t="s">
        <v>45</v>
      </c>
      <c r="D113">
        <v>20500000</v>
      </c>
      <c r="E113">
        <v>4</v>
      </c>
      <c r="J113" s="1"/>
    </row>
    <row r="114" spans="2:10" x14ac:dyDescent="0.25">
      <c r="B114" s="1">
        <v>38838</v>
      </c>
      <c r="C114" t="s">
        <v>43</v>
      </c>
      <c r="D114">
        <v>19270000</v>
      </c>
      <c r="E114">
        <v>5</v>
      </c>
      <c r="J114" s="1"/>
    </row>
    <row r="115" spans="2:10" x14ac:dyDescent="0.25">
      <c r="B115" s="1">
        <v>38838</v>
      </c>
      <c r="C115" t="s">
        <v>38</v>
      </c>
      <c r="D115">
        <v>18846064</v>
      </c>
      <c r="E115">
        <v>6</v>
      </c>
      <c r="J115" s="1"/>
    </row>
    <row r="116" spans="2:10" x14ac:dyDescent="0.25">
      <c r="B116" s="1">
        <v>38838</v>
      </c>
      <c r="C116" t="s">
        <v>46</v>
      </c>
      <c r="D116">
        <v>11400000</v>
      </c>
      <c r="E116">
        <v>7</v>
      </c>
      <c r="J116" s="1"/>
    </row>
    <row r="117" spans="2:10" x14ac:dyDescent="0.25">
      <c r="B117" s="1">
        <v>38838</v>
      </c>
      <c r="C117" t="s">
        <v>25</v>
      </c>
      <c r="D117">
        <v>10880000</v>
      </c>
      <c r="E117">
        <v>8</v>
      </c>
      <c r="J117" s="1"/>
    </row>
    <row r="118" spans="2:10" x14ac:dyDescent="0.25">
      <c r="B118" s="1">
        <v>38838</v>
      </c>
      <c r="C118" t="s">
        <v>47</v>
      </c>
      <c r="D118">
        <v>7289000</v>
      </c>
      <c r="E118">
        <v>9</v>
      </c>
      <c r="J118" s="1"/>
    </row>
    <row r="119" spans="2:10" x14ac:dyDescent="0.25">
      <c r="B119" s="1">
        <v>38838</v>
      </c>
      <c r="C119" t="s">
        <v>8</v>
      </c>
      <c r="D119">
        <v>3265290</v>
      </c>
      <c r="E119">
        <v>10</v>
      </c>
      <c r="J119" s="1"/>
    </row>
    <row r="120" spans="2:10" x14ac:dyDescent="0.25">
      <c r="B120" s="1">
        <v>38869</v>
      </c>
      <c r="C120" t="s">
        <v>16</v>
      </c>
      <c r="D120">
        <v>282484153</v>
      </c>
      <c r="E120">
        <v>1</v>
      </c>
      <c r="J120" s="1"/>
    </row>
    <row r="121" spans="2:10" x14ac:dyDescent="0.25">
      <c r="B121" s="1">
        <v>38869</v>
      </c>
      <c r="C121" t="s">
        <v>17</v>
      </c>
      <c r="D121">
        <v>282484153</v>
      </c>
      <c r="E121">
        <v>1</v>
      </c>
      <c r="J121" s="1"/>
    </row>
    <row r="122" spans="2:10" x14ac:dyDescent="0.25">
      <c r="B122" s="1">
        <v>38869</v>
      </c>
      <c r="C122" t="s">
        <v>44</v>
      </c>
      <c r="D122">
        <v>30423043</v>
      </c>
      <c r="E122">
        <v>3</v>
      </c>
    </row>
    <row r="123" spans="2:10" x14ac:dyDescent="0.25">
      <c r="B123" s="1">
        <v>38869</v>
      </c>
      <c r="C123" t="s">
        <v>48</v>
      </c>
      <c r="D123">
        <v>30000000</v>
      </c>
      <c r="E123">
        <v>4</v>
      </c>
    </row>
    <row r="124" spans="2:10" x14ac:dyDescent="0.25">
      <c r="B124" s="1">
        <v>38869</v>
      </c>
      <c r="C124" t="s">
        <v>47</v>
      </c>
      <c r="D124">
        <v>28946000</v>
      </c>
      <c r="E124">
        <v>5</v>
      </c>
    </row>
    <row r="125" spans="2:10" x14ac:dyDescent="0.25">
      <c r="B125" s="1">
        <v>38869</v>
      </c>
      <c r="C125" t="s">
        <v>38</v>
      </c>
      <c r="D125">
        <v>19148434</v>
      </c>
      <c r="E125">
        <v>6</v>
      </c>
    </row>
    <row r="126" spans="2:10" x14ac:dyDescent="0.25">
      <c r="B126" s="1">
        <v>38869</v>
      </c>
      <c r="C126" t="s">
        <v>49</v>
      </c>
      <c r="D126">
        <v>15800000</v>
      </c>
      <c r="E126">
        <v>7</v>
      </c>
    </row>
    <row r="127" spans="2:10" x14ac:dyDescent="0.25">
      <c r="B127" s="1">
        <v>38869</v>
      </c>
      <c r="C127" t="s">
        <v>50</v>
      </c>
      <c r="D127">
        <v>15141618</v>
      </c>
      <c r="E127">
        <v>8</v>
      </c>
    </row>
    <row r="128" spans="2:10" x14ac:dyDescent="0.25">
      <c r="B128" s="1">
        <v>38869</v>
      </c>
      <c r="C128" t="s">
        <v>43</v>
      </c>
      <c r="D128">
        <v>7000000</v>
      </c>
      <c r="E128">
        <v>9</v>
      </c>
    </row>
    <row r="129" spans="2:5" x14ac:dyDescent="0.25">
      <c r="B129" s="1">
        <v>38869</v>
      </c>
      <c r="C129" t="s">
        <v>51</v>
      </c>
      <c r="D129">
        <v>5620000</v>
      </c>
      <c r="E129">
        <v>10</v>
      </c>
    </row>
    <row r="130" spans="2:5" x14ac:dyDescent="0.25">
      <c r="B130" s="1">
        <v>38899</v>
      </c>
      <c r="C130" t="s">
        <v>47</v>
      </c>
      <c r="D130">
        <v>697418800</v>
      </c>
      <c r="E130">
        <v>1</v>
      </c>
    </row>
    <row r="131" spans="2:5" x14ac:dyDescent="0.25">
      <c r="B131" s="1">
        <v>38899</v>
      </c>
      <c r="C131" t="s">
        <v>13</v>
      </c>
      <c r="D131">
        <v>556006373</v>
      </c>
      <c r="E131">
        <v>2</v>
      </c>
    </row>
    <row r="132" spans="2:5" x14ac:dyDescent="0.25">
      <c r="B132" s="1">
        <v>38899</v>
      </c>
      <c r="C132" t="s">
        <v>14</v>
      </c>
      <c r="D132">
        <v>556006373</v>
      </c>
      <c r="E132">
        <v>2</v>
      </c>
    </row>
    <row r="133" spans="2:5" x14ac:dyDescent="0.25">
      <c r="B133" s="1">
        <v>38899</v>
      </c>
      <c r="C133" t="s">
        <v>52</v>
      </c>
      <c r="D133">
        <v>401930000</v>
      </c>
      <c r="E133">
        <v>4</v>
      </c>
    </row>
    <row r="134" spans="2:5" x14ac:dyDescent="0.25">
      <c r="B134" s="1">
        <v>38899</v>
      </c>
      <c r="C134" t="s">
        <v>49</v>
      </c>
      <c r="D134">
        <v>250147849</v>
      </c>
      <c r="E134">
        <v>5</v>
      </c>
    </row>
    <row r="135" spans="2:5" x14ac:dyDescent="0.25">
      <c r="B135" s="1">
        <v>38899</v>
      </c>
      <c r="C135" t="s">
        <v>43</v>
      </c>
      <c r="D135">
        <v>196113000</v>
      </c>
      <c r="E135">
        <v>6</v>
      </c>
    </row>
    <row r="136" spans="2:5" x14ac:dyDescent="0.25">
      <c r="B136" s="1">
        <v>38899</v>
      </c>
      <c r="C136" t="s">
        <v>44</v>
      </c>
      <c r="D136">
        <v>181950000</v>
      </c>
      <c r="E136">
        <v>7</v>
      </c>
    </row>
    <row r="137" spans="2:5" x14ac:dyDescent="0.25">
      <c r="B137" s="1">
        <v>38899</v>
      </c>
      <c r="C137" t="s">
        <v>53</v>
      </c>
      <c r="D137">
        <v>155090000</v>
      </c>
      <c r="E137">
        <v>8</v>
      </c>
    </row>
    <row r="138" spans="2:5" x14ac:dyDescent="0.25">
      <c r="B138" s="1">
        <v>38899</v>
      </c>
      <c r="C138" t="s">
        <v>48</v>
      </c>
      <c r="D138">
        <v>121000000</v>
      </c>
      <c r="E138">
        <v>9</v>
      </c>
    </row>
    <row r="139" spans="2:5" x14ac:dyDescent="0.25">
      <c r="B139" s="1">
        <v>38899</v>
      </c>
      <c r="C139" t="s">
        <v>54</v>
      </c>
      <c r="D139">
        <v>66956000</v>
      </c>
      <c r="E139">
        <v>10</v>
      </c>
    </row>
    <row r="140" spans="2:5" x14ac:dyDescent="0.25">
      <c r="B140" s="1">
        <v>38930</v>
      </c>
      <c r="C140" t="s">
        <v>43</v>
      </c>
      <c r="D140">
        <v>433633000</v>
      </c>
      <c r="E140">
        <v>1</v>
      </c>
    </row>
    <row r="141" spans="2:5" x14ac:dyDescent="0.25">
      <c r="B141" s="1">
        <v>38930</v>
      </c>
      <c r="C141" t="s">
        <v>13</v>
      </c>
      <c r="D141">
        <v>425797000</v>
      </c>
      <c r="E141">
        <v>2</v>
      </c>
    </row>
    <row r="142" spans="2:5" x14ac:dyDescent="0.25">
      <c r="B142" s="1">
        <v>38930</v>
      </c>
      <c r="C142" t="s">
        <v>14</v>
      </c>
      <c r="D142">
        <v>417297000</v>
      </c>
      <c r="E142">
        <v>3</v>
      </c>
    </row>
    <row r="143" spans="2:5" x14ac:dyDescent="0.25">
      <c r="B143" s="1">
        <v>38930</v>
      </c>
      <c r="C143" t="s">
        <v>44</v>
      </c>
      <c r="D143">
        <v>202591831</v>
      </c>
      <c r="E143">
        <v>4</v>
      </c>
    </row>
    <row r="144" spans="2:5" x14ac:dyDescent="0.25">
      <c r="B144" s="1">
        <v>38930</v>
      </c>
      <c r="C144" t="s">
        <v>49</v>
      </c>
      <c r="D144">
        <v>175465313</v>
      </c>
      <c r="E144">
        <v>5</v>
      </c>
    </row>
    <row r="145" spans="2:5" x14ac:dyDescent="0.25">
      <c r="B145" s="1">
        <v>38930</v>
      </c>
      <c r="C145" t="s">
        <v>48</v>
      </c>
      <c r="D145">
        <v>142161257</v>
      </c>
      <c r="E145">
        <v>6</v>
      </c>
    </row>
    <row r="146" spans="2:5" x14ac:dyDescent="0.25">
      <c r="B146" s="1">
        <v>38930</v>
      </c>
      <c r="C146" t="s">
        <v>52</v>
      </c>
      <c r="D146">
        <v>115866000</v>
      </c>
      <c r="E146">
        <v>7</v>
      </c>
    </row>
    <row r="147" spans="2:5" x14ac:dyDescent="0.25">
      <c r="B147" s="1">
        <v>38930</v>
      </c>
      <c r="C147" t="s">
        <v>40</v>
      </c>
      <c r="D147">
        <v>78585700</v>
      </c>
      <c r="E147">
        <v>8</v>
      </c>
    </row>
    <row r="148" spans="2:5" x14ac:dyDescent="0.25">
      <c r="B148" s="1">
        <v>38930</v>
      </c>
      <c r="C148" t="s">
        <v>42</v>
      </c>
      <c r="D148">
        <v>53453723</v>
      </c>
      <c r="E148">
        <v>9</v>
      </c>
    </row>
    <row r="149" spans="2:5" x14ac:dyDescent="0.25">
      <c r="B149" s="1">
        <v>38930</v>
      </c>
      <c r="C149" t="s">
        <v>54</v>
      </c>
      <c r="D149">
        <v>42800000</v>
      </c>
      <c r="E149">
        <v>10</v>
      </c>
    </row>
    <row r="150" spans="2:5" x14ac:dyDescent="0.25">
      <c r="B150" s="1">
        <v>38961</v>
      </c>
      <c r="C150" t="s">
        <v>44</v>
      </c>
      <c r="D150">
        <v>435518921</v>
      </c>
      <c r="E150">
        <v>1</v>
      </c>
    </row>
    <row r="151" spans="2:5" x14ac:dyDescent="0.25">
      <c r="B151" s="1">
        <v>38961</v>
      </c>
      <c r="C151" t="s">
        <v>16</v>
      </c>
      <c r="D151">
        <v>230860088.41999999</v>
      </c>
      <c r="E151">
        <v>2</v>
      </c>
    </row>
    <row r="152" spans="2:5" x14ac:dyDescent="0.25">
      <c r="B152" s="1">
        <v>38961</v>
      </c>
      <c r="C152" t="s">
        <v>17</v>
      </c>
      <c r="D152">
        <v>227973288.41999999</v>
      </c>
      <c r="E152">
        <v>3</v>
      </c>
    </row>
    <row r="153" spans="2:5" x14ac:dyDescent="0.25">
      <c r="B153" s="1">
        <v>38961</v>
      </c>
      <c r="C153" t="s">
        <v>43</v>
      </c>
      <c r="D153">
        <v>187952551</v>
      </c>
      <c r="E153">
        <v>4</v>
      </c>
    </row>
    <row r="154" spans="2:5" x14ac:dyDescent="0.25">
      <c r="B154" s="1">
        <v>38961</v>
      </c>
      <c r="C154" t="s">
        <v>49</v>
      </c>
      <c r="D154">
        <v>169846938</v>
      </c>
      <c r="E154">
        <v>5</v>
      </c>
    </row>
    <row r="155" spans="2:5" x14ac:dyDescent="0.25">
      <c r="B155" s="1">
        <v>38961</v>
      </c>
      <c r="C155" t="s">
        <v>52</v>
      </c>
      <c r="D155">
        <v>154464000</v>
      </c>
      <c r="E155">
        <v>6</v>
      </c>
    </row>
    <row r="156" spans="2:5" x14ac:dyDescent="0.25">
      <c r="B156" s="1">
        <v>38961</v>
      </c>
      <c r="C156" t="s">
        <v>55</v>
      </c>
      <c r="D156">
        <v>121000000</v>
      </c>
      <c r="E156">
        <v>7</v>
      </c>
    </row>
    <row r="157" spans="2:5" x14ac:dyDescent="0.25">
      <c r="B157" s="1">
        <v>38961</v>
      </c>
      <c r="C157" t="s">
        <v>13</v>
      </c>
      <c r="D157">
        <v>108081264</v>
      </c>
      <c r="E157">
        <v>8</v>
      </c>
    </row>
    <row r="158" spans="2:5" x14ac:dyDescent="0.25">
      <c r="B158" s="1">
        <v>38961</v>
      </c>
      <c r="C158" t="s">
        <v>42</v>
      </c>
      <c r="D158">
        <v>107208425</v>
      </c>
      <c r="E158">
        <v>9</v>
      </c>
    </row>
    <row r="159" spans="2:5" x14ac:dyDescent="0.25">
      <c r="B159" s="1">
        <v>38961</v>
      </c>
      <c r="C159" t="s">
        <v>14</v>
      </c>
      <c r="D159">
        <v>95767090</v>
      </c>
      <c r="E159">
        <v>10</v>
      </c>
    </row>
    <row r="160" spans="2:5" x14ac:dyDescent="0.25">
      <c r="B160" s="1">
        <v>38991</v>
      </c>
      <c r="C160" t="s">
        <v>6</v>
      </c>
      <c r="D160">
        <v>962843082.87</v>
      </c>
      <c r="E160">
        <v>1</v>
      </c>
    </row>
    <row r="161" spans="2:5" x14ac:dyDescent="0.25">
      <c r="B161" s="1">
        <v>38991</v>
      </c>
      <c r="C161" t="s">
        <v>14</v>
      </c>
      <c r="D161">
        <v>475918919</v>
      </c>
      <c r="E161">
        <v>2</v>
      </c>
    </row>
    <row r="162" spans="2:5" x14ac:dyDescent="0.25">
      <c r="B162" s="1">
        <v>38991</v>
      </c>
      <c r="C162" t="s">
        <v>13</v>
      </c>
      <c r="D162">
        <v>475918919</v>
      </c>
      <c r="E162">
        <v>2</v>
      </c>
    </row>
    <row r="163" spans="2:5" x14ac:dyDescent="0.25">
      <c r="B163" s="1">
        <v>38991</v>
      </c>
      <c r="C163" t="s">
        <v>47</v>
      </c>
      <c r="D163">
        <v>467127900</v>
      </c>
      <c r="E163">
        <v>4</v>
      </c>
    </row>
    <row r="164" spans="2:5" x14ac:dyDescent="0.25">
      <c r="B164" s="1">
        <v>38991</v>
      </c>
      <c r="C164" t="s">
        <v>52</v>
      </c>
      <c r="D164">
        <v>379466000</v>
      </c>
      <c r="E164">
        <v>5</v>
      </c>
    </row>
    <row r="165" spans="2:5" x14ac:dyDescent="0.25">
      <c r="B165" s="1">
        <v>38991</v>
      </c>
      <c r="C165" t="s">
        <v>5</v>
      </c>
      <c r="D165">
        <v>336213782.29000002</v>
      </c>
      <c r="E165">
        <v>6</v>
      </c>
    </row>
    <row r="166" spans="2:5" x14ac:dyDescent="0.25">
      <c r="B166" s="1">
        <v>38991</v>
      </c>
      <c r="C166" t="s">
        <v>44</v>
      </c>
      <c r="D166">
        <v>216135923</v>
      </c>
      <c r="E166">
        <v>7</v>
      </c>
    </row>
    <row r="167" spans="2:5" x14ac:dyDescent="0.25">
      <c r="B167" s="1">
        <v>38991</v>
      </c>
      <c r="C167" t="s">
        <v>56</v>
      </c>
      <c r="D167">
        <v>155432083.16</v>
      </c>
      <c r="E167">
        <v>8</v>
      </c>
    </row>
    <row r="168" spans="2:5" x14ac:dyDescent="0.25">
      <c r="B168" s="1">
        <v>38991</v>
      </c>
      <c r="C168" t="s">
        <v>21</v>
      </c>
      <c r="D168">
        <v>134701211.13</v>
      </c>
      <c r="E168">
        <v>9</v>
      </c>
    </row>
    <row r="169" spans="2:5" x14ac:dyDescent="0.25">
      <c r="B169" s="1">
        <v>38991</v>
      </c>
      <c r="C169" t="s">
        <v>55</v>
      </c>
      <c r="D169">
        <v>121000000</v>
      </c>
      <c r="E169">
        <v>10</v>
      </c>
    </row>
    <row r="170" spans="2:5" x14ac:dyDescent="0.25">
      <c r="B170" s="1">
        <v>39022</v>
      </c>
      <c r="C170" t="s">
        <v>6</v>
      </c>
      <c r="D170">
        <v>5912182200.0200005</v>
      </c>
      <c r="E170">
        <v>1</v>
      </c>
    </row>
    <row r="171" spans="2:5" x14ac:dyDescent="0.25">
      <c r="B171" s="1">
        <v>39022</v>
      </c>
      <c r="C171" t="s">
        <v>7</v>
      </c>
      <c r="D171">
        <v>4848247830.0200005</v>
      </c>
      <c r="E171">
        <v>2</v>
      </c>
    </row>
    <row r="172" spans="2:5" x14ac:dyDescent="0.25">
      <c r="B172" s="1">
        <v>39022</v>
      </c>
      <c r="C172" t="s">
        <v>13</v>
      </c>
      <c r="D172">
        <v>2892184028.23</v>
      </c>
      <c r="E172">
        <v>3</v>
      </c>
    </row>
    <row r="173" spans="2:5" x14ac:dyDescent="0.25">
      <c r="B173" s="1">
        <v>39022</v>
      </c>
      <c r="C173" t="s">
        <v>25</v>
      </c>
      <c r="D173">
        <v>2343463477.3299999</v>
      </c>
      <c r="E173">
        <v>4</v>
      </c>
    </row>
    <row r="174" spans="2:5" x14ac:dyDescent="0.25">
      <c r="B174" s="1">
        <v>39022</v>
      </c>
      <c r="C174" t="s">
        <v>16</v>
      </c>
      <c r="D174">
        <v>1876822598.0899999</v>
      </c>
      <c r="E174">
        <v>5</v>
      </c>
    </row>
    <row r="175" spans="2:5" x14ac:dyDescent="0.25">
      <c r="B175" s="1">
        <v>39022</v>
      </c>
      <c r="C175" t="s">
        <v>57</v>
      </c>
      <c r="D175">
        <v>1769313652.9300001</v>
      </c>
      <c r="E175">
        <v>6</v>
      </c>
    </row>
    <row r="176" spans="2:5" x14ac:dyDescent="0.25">
      <c r="B176" s="1">
        <v>39022</v>
      </c>
      <c r="C176" t="s">
        <v>4</v>
      </c>
      <c r="D176">
        <v>1201796378.9000001</v>
      </c>
      <c r="E176">
        <v>7</v>
      </c>
    </row>
    <row r="177" spans="2:5" x14ac:dyDescent="0.25">
      <c r="B177" s="1">
        <v>39022</v>
      </c>
      <c r="C177" t="s">
        <v>9</v>
      </c>
      <c r="D177">
        <v>1010452372</v>
      </c>
      <c r="E177">
        <v>8</v>
      </c>
    </row>
    <row r="178" spans="2:5" x14ac:dyDescent="0.25">
      <c r="B178" s="1">
        <v>39022</v>
      </c>
      <c r="C178" t="s">
        <v>12</v>
      </c>
      <c r="D178">
        <v>713636567.05999994</v>
      </c>
      <c r="E178">
        <v>9</v>
      </c>
    </row>
    <row r="179" spans="2:5" x14ac:dyDescent="0.25">
      <c r="B179" s="1">
        <v>39022</v>
      </c>
      <c r="C179" t="s">
        <v>21</v>
      </c>
      <c r="D179">
        <v>699265233.15999997</v>
      </c>
      <c r="E179">
        <v>10</v>
      </c>
    </row>
    <row r="180" spans="2:5" x14ac:dyDescent="0.25">
      <c r="B180" s="1">
        <v>39052</v>
      </c>
      <c r="C180" t="s">
        <v>6</v>
      </c>
      <c r="D180">
        <v>6878861100.71</v>
      </c>
      <c r="E180">
        <v>1</v>
      </c>
    </row>
    <row r="181" spans="2:5" x14ac:dyDescent="0.25">
      <c r="B181" s="1">
        <v>39052</v>
      </c>
      <c r="C181" t="s">
        <v>7</v>
      </c>
      <c r="D181">
        <v>6583757379.71</v>
      </c>
      <c r="E181">
        <v>2</v>
      </c>
    </row>
    <row r="182" spans="2:5" x14ac:dyDescent="0.25">
      <c r="B182" s="1">
        <v>39052</v>
      </c>
      <c r="C182" t="s">
        <v>13</v>
      </c>
      <c r="D182">
        <v>3448879244.6599998</v>
      </c>
      <c r="E182">
        <v>3</v>
      </c>
    </row>
    <row r="183" spans="2:5" x14ac:dyDescent="0.25">
      <c r="B183" s="1">
        <v>39052</v>
      </c>
      <c r="C183" t="s">
        <v>57</v>
      </c>
      <c r="D183">
        <v>2667070610</v>
      </c>
      <c r="E183">
        <v>4</v>
      </c>
    </row>
    <row r="184" spans="2:5" x14ac:dyDescent="0.25">
      <c r="B184" s="1">
        <v>39052</v>
      </c>
      <c r="C184" t="s">
        <v>16</v>
      </c>
      <c r="D184">
        <v>1728863650.1300001</v>
      </c>
      <c r="E184">
        <v>5</v>
      </c>
    </row>
    <row r="185" spans="2:5" x14ac:dyDescent="0.25">
      <c r="B185" s="1">
        <v>39052</v>
      </c>
      <c r="C185" t="s">
        <v>25</v>
      </c>
      <c r="D185">
        <v>1625803944.3599999</v>
      </c>
      <c r="E185">
        <v>6</v>
      </c>
    </row>
    <row r="186" spans="2:5" x14ac:dyDescent="0.25">
      <c r="B186" s="1">
        <v>39052</v>
      </c>
      <c r="C186" t="s">
        <v>4</v>
      </c>
      <c r="D186">
        <v>1356028136.99</v>
      </c>
      <c r="E186">
        <v>7</v>
      </c>
    </row>
    <row r="187" spans="2:5" x14ac:dyDescent="0.25">
      <c r="B187" s="1">
        <v>39052</v>
      </c>
      <c r="C187" t="s">
        <v>14</v>
      </c>
      <c r="D187">
        <v>1145927350</v>
      </c>
      <c r="E187">
        <v>8</v>
      </c>
    </row>
    <row r="188" spans="2:5" x14ac:dyDescent="0.25">
      <c r="B188" s="1">
        <v>39052</v>
      </c>
      <c r="C188" t="s">
        <v>9</v>
      </c>
      <c r="D188">
        <v>1089168739</v>
      </c>
      <c r="E188">
        <v>9</v>
      </c>
    </row>
    <row r="189" spans="2:5" x14ac:dyDescent="0.25">
      <c r="B189" s="1">
        <v>39052</v>
      </c>
      <c r="C189" t="s">
        <v>12</v>
      </c>
      <c r="D189">
        <v>648441682.39999998</v>
      </c>
      <c r="E189">
        <v>10</v>
      </c>
    </row>
    <row r="190" spans="2:5" x14ac:dyDescent="0.25">
      <c r="B190" s="1">
        <v>39083</v>
      </c>
      <c r="C190" t="s">
        <v>6</v>
      </c>
      <c r="D190">
        <v>9008075393</v>
      </c>
      <c r="E190">
        <v>1</v>
      </c>
    </row>
    <row r="191" spans="2:5" x14ac:dyDescent="0.25">
      <c r="B191" s="1">
        <v>39083</v>
      </c>
      <c r="C191" t="s">
        <v>7</v>
      </c>
      <c r="D191">
        <v>8711508813</v>
      </c>
      <c r="E191">
        <v>2</v>
      </c>
    </row>
    <row r="192" spans="2:5" x14ac:dyDescent="0.25">
      <c r="B192" s="1">
        <v>39083</v>
      </c>
      <c r="C192" t="s">
        <v>13</v>
      </c>
      <c r="D192">
        <v>2548529360</v>
      </c>
      <c r="E192">
        <v>3</v>
      </c>
    </row>
    <row r="193" spans="2:5" x14ac:dyDescent="0.25">
      <c r="B193" s="1">
        <v>39083</v>
      </c>
      <c r="C193" t="s">
        <v>25</v>
      </c>
      <c r="D193">
        <v>2473400845.6300001</v>
      </c>
      <c r="E193">
        <v>4</v>
      </c>
    </row>
    <row r="194" spans="2:5" x14ac:dyDescent="0.25">
      <c r="B194" s="1">
        <v>39083</v>
      </c>
      <c r="C194" t="s">
        <v>16</v>
      </c>
      <c r="D194">
        <v>2005484093.8599999</v>
      </c>
      <c r="E194">
        <v>5</v>
      </c>
    </row>
    <row r="195" spans="2:5" x14ac:dyDescent="0.25">
      <c r="B195" s="1">
        <v>39083</v>
      </c>
      <c r="C195" t="s">
        <v>57</v>
      </c>
      <c r="D195">
        <v>1392884745</v>
      </c>
      <c r="E195">
        <v>6</v>
      </c>
    </row>
    <row r="196" spans="2:5" x14ac:dyDescent="0.25">
      <c r="B196" s="1">
        <v>39083</v>
      </c>
      <c r="C196" t="s">
        <v>4</v>
      </c>
      <c r="D196">
        <v>1242926127.8399999</v>
      </c>
      <c r="E196">
        <v>7</v>
      </c>
    </row>
    <row r="197" spans="2:5" x14ac:dyDescent="0.25">
      <c r="B197" s="1">
        <v>39083</v>
      </c>
      <c r="C197" t="s">
        <v>9</v>
      </c>
      <c r="D197">
        <v>1078120428</v>
      </c>
      <c r="E197">
        <v>8</v>
      </c>
    </row>
    <row r="198" spans="2:5" x14ac:dyDescent="0.25">
      <c r="B198" s="1">
        <v>39083</v>
      </c>
      <c r="C198" t="s">
        <v>30</v>
      </c>
      <c r="D198">
        <v>879027187</v>
      </c>
      <c r="E198">
        <v>9</v>
      </c>
    </row>
    <row r="199" spans="2:5" x14ac:dyDescent="0.25">
      <c r="B199" s="1">
        <v>39083</v>
      </c>
      <c r="C199" t="s">
        <v>21</v>
      </c>
      <c r="D199">
        <v>685226876.82000005</v>
      </c>
      <c r="E199">
        <v>10</v>
      </c>
    </row>
    <row r="200" spans="2:5" x14ac:dyDescent="0.25">
      <c r="B200" s="1">
        <v>39114</v>
      </c>
      <c r="C200" t="s">
        <v>6</v>
      </c>
      <c r="D200">
        <v>8625817045</v>
      </c>
      <c r="E200">
        <v>1</v>
      </c>
    </row>
    <row r="201" spans="2:5" x14ac:dyDescent="0.25">
      <c r="B201" s="1">
        <v>39114</v>
      </c>
      <c r="C201" t="s">
        <v>7</v>
      </c>
      <c r="D201">
        <v>5541527303</v>
      </c>
      <c r="E201">
        <v>2</v>
      </c>
    </row>
    <row r="202" spans="2:5" x14ac:dyDescent="0.25">
      <c r="B202" s="1">
        <v>39114</v>
      </c>
      <c r="C202" t="s">
        <v>13</v>
      </c>
      <c r="D202">
        <v>3033979449</v>
      </c>
      <c r="E202">
        <v>3</v>
      </c>
    </row>
    <row r="203" spans="2:5" x14ac:dyDescent="0.25">
      <c r="B203" s="1">
        <v>39114</v>
      </c>
      <c r="C203" t="s">
        <v>16</v>
      </c>
      <c r="D203">
        <v>3014522924.1199999</v>
      </c>
      <c r="E203">
        <v>4</v>
      </c>
    </row>
    <row r="204" spans="2:5" x14ac:dyDescent="0.25">
      <c r="B204" s="1">
        <v>39114</v>
      </c>
      <c r="C204" t="s">
        <v>57</v>
      </c>
      <c r="D204">
        <v>2787288153</v>
      </c>
      <c r="E204">
        <v>5</v>
      </c>
    </row>
    <row r="205" spans="2:5" x14ac:dyDescent="0.25">
      <c r="B205" s="1">
        <v>39114</v>
      </c>
      <c r="C205" t="s">
        <v>4</v>
      </c>
      <c r="D205">
        <v>2239793798.6599998</v>
      </c>
      <c r="E205">
        <v>6</v>
      </c>
    </row>
    <row r="206" spans="2:5" x14ac:dyDescent="0.25">
      <c r="B206" s="1">
        <v>39114</v>
      </c>
      <c r="C206" t="s">
        <v>25</v>
      </c>
      <c r="D206">
        <v>1685524401.6800001</v>
      </c>
      <c r="E206">
        <v>7</v>
      </c>
    </row>
    <row r="207" spans="2:5" x14ac:dyDescent="0.25">
      <c r="B207" s="1">
        <v>39114</v>
      </c>
      <c r="C207" t="s">
        <v>9</v>
      </c>
      <c r="D207">
        <v>1347925403</v>
      </c>
      <c r="E207">
        <v>8</v>
      </c>
    </row>
    <row r="208" spans="2:5" x14ac:dyDescent="0.25">
      <c r="B208" s="1">
        <v>39114</v>
      </c>
      <c r="C208" t="s">
        <v>30</v>
      </c>
      <c r="D208">
        <v>919494049</v>
      </c>
      <c r="E208">
        <v>9</v>
      </c>
    </row>
    <row r="209" spans="2:5" x14ac:dyDescent="0.25">
      <c r="B209" s="1">
        <v>39114</v>
      </c>
      <c r="C209" t="s">
        <v>12</v>
      </c>
      <c r="D209">
        <v>912306666</v>
      </c>
      <c r="E209">
        <v>10</v>
      </c>
    </row>
    <row r="210" spans="2:5" x14ac:dyDescent="0.25">
      <c r="B210" s="1">
        <v>39142</v>
      </c>
      <c r="C210" t="s">
        <v>6</v>
      </c>
      <c r="D210">
        <v>7241357422</v>
      </c>
      <c r="E210">
        <v>1</v>
      </c>
    </row>
    <row r="211" spans="2:5" x14ac:dyDescent="0.25">
      <c r="B211" s="1">
        <v>39142</v>
      </c>
      <c r="C211" t="s">
        <v>7</v>
      </c>
      <c r="D211">
        <v>6789301646</v>
      </c>
      <c r="E211">
        <v>2</v>
      </c>
    </row>
    <row r="212" spans="2:5" x14ac:dyDescent="0.25">
      <c r="B212" s="1">
        <v>39142</v>
      </c>
      <c r="C212" t="s">
        <v>13</v>
      </c>
      <c r="D212">
        <v>2812455484.5799999</v>
      </c>
      <c r="E212">
        <v>3</v>
      </c>
    </row>
    <row r="213" spans="2:5" x14ac:dyDescent="0.25">
      <c r="B213" s="1">
        <v>39142</v>
      </c>
      <c r="C213" t="s">
        <v>16</v>
      </c>
      <c r="D213">
        <v>2508344240.5799999</v>
      </c>
      <c r="E213">
        <v>4</v>
      </c>
    </row>
    <row r="214" spans="2:5" x14ac:dyDescent="0.25">
      <c r="B214" s="1">
        <v>39142</v>
      </c>
      <c r="C214" t="s">
        <v>4</v>
      </c>
      <c r="D214">
        <v>2057675204</v>
      </c>
      <c r="E214">
        <v>5</v>
      </c>
    </row>
    <row r="215" spans="2:5" x14ac:dyDescent="0.25">
      <c r="B215" s="1">
        <v>39142</v>
      </c>
      <c r="C215" t="s">
        <v>25</v>
      </c>
      <c r="D215">
        <v>1782572404.98</v>
      </c>
      <c r="E215">
        <v>6</v>
      </c>
    </row>
    <row r="216" spans="2:5" x14ac:dyDescent="0.25">
      <c r="B216" s="1">
        <v>39142</v>
      </c>
      <c r="C216" t="s">
        <v>57</v>
      </c>
      <c r="D216">
        <v>1580728720</v>
      </c>
      <c r="E216">
        <v>7</v>
      </c>
    </row>
    <row r="217" spans="2:5" x14ac:dyDescent="0.25">
      <c r="B217" s="1">
        <v>39142</v>
      </c>
      <c r="C217" t="s">
        <v>9</v>
      </c>
      <c r="D217">
        <v>1390421450</v>
      </c>
      <c r="E217">
        <v>8</v>
      </c>
    </row>
    <row r="218" spans="2:5" x14ac:dyDescent="0.25">
      <c r="B218" s="1">
        <v>39142</v>
      </c>
      <c r="C218" t="s">
        <v>30</v>
      </c>
      <c r="D218">
        <v>1178120322</v>
      </c>
      <c r="E218">
        <v>9</v>
      </c>
    </row>
    <row r="219" spans="2:5" x14ac:dyDescent="0.25">
      <c r="B219" s="1">
        <v>39142</v>
      </c>
      <c r="C219" t="s">
        <v>21</v>
      </c>
      <c r="D219">
        <v>842320272.16999996</v>
      </c>
      <c r="E219">
        <v>10</v>
      </c>
    </row>
    <row r="220" spans="2:5" x14ac:dyDescent="0.25">
      <c r="B220" s="1">
        <v>39173</v>
      </c>
      <c r="C220" t="s">
        <v>6</v>
      </c>
      <c r="D220">
        <v>8435795278.75</v>
      </c>
      <c r="E220">
        <v>1</v>
      </c>
    </row>
    <row r="221" spans="2:5" x14ac:dyDescent="0.25">
      <c r="B221" s="1">
        <v>39173</v>
      </c>
      <c r="C221" t="s">
        <v>7</v>
      </c>
      <c r="D221">
        <v>8059609431.75</v>
      </c>
      <c r="E221">
        <v>2</v>
      </c>
    </row>
    <row r="222" spans="2:5" x14ac:dyDescent="0.25">
      <c r="B222" s="1">
        <v>39173</v>
      </c>
      <c r="C222" t="s">
        <v>4</v>
      </c>
      <c r="D222">
        <v>3218432922.27</v>
      </c>
      <c r="E222">
        <v>3</v>
      </c>
    </row>
    <row r="223" spans="2:5" x14ac:dyDescent="0.25">
      <c r="B223" s="1">
        <v>39173</v>
      </c>
      <c r="C223" t="s">
        <v>16</v>
      </c>
      <c r="D223">
        <v>2904342886.1500001</v>
      </c>
      <c r="E223">
        <v>4</v>
      </c>
    </row>
    <row r="224" spans="2:5" x14ac:dyDescent="0.25">
      <c r="B224" s="1">
        <v>39173</v>
      </c>
      <c r="C224" t="s">
        <v>13</v>
      </c>
      <c r="D224">
        <v>2719459776.3200002</v>
      </c>
      <c r="E224">
        <v>5</v>
      </c>
    </row>
    <row r="225" spans="2:5" x14ac:dyDescent="0.25">
      <c r="B225" s="1">
        <v>39173</v>
      </c>
      <c r="C225" t="s">
        <v>57</v>
      </c>
      <c r="D225">
        <v>1716124604.6500001</v>
      </c>
      <c r="E225">
        <v>6</v>
      </c>
    </row>
    <row r="226" spans="2:5" x14ac:dyDescent="0.25">
      <c r="B226" s="1">
        <v>39173</v>
      </c>
      <c r="C226" t="s">
        <v>9</v>
      </c>
      <c r="D226">
        <v>1447162932</v>
      </c>
      <c r="E226">
        <v>7</v>
      </c>
    </row>
    <row r="227" spans="2:5" x14ac:dyDescent="0.25">
      <c r="B227" s="1">
        <v>39173</v>
      </c>
      <c r="C227" t="s">
        <v>25</v>
      </c>
      <c r="D227">
        <v>1297147899.78</v>
      </c>
      <c r="E227">
        <v>8</v>
      </c>
    </row>
    <row r="228" spans="2:5" x14ac:dyDescent="0.25">
      <c r="B228" s="1">
        <v>39173</v>
      </c>
      <c r="C228" t="s">
        <v>12</v>
      </c>
      <c r="D228">
        <v>907569900.02999997</v>
      </c>
      <c r="E228">
        <v>9</v>
      </c>
    </row>
    <row r="229" spans="2:5" x14ac:dyDescent="0.25">
      <c r="B229" s="1">
        <v>39173</v>
      </c>
      <c r="C229" t="s">
        <v>30</v>
      </c>
      <c r="D229">
        <v>827685883</v>
      </c>
      <c r="E229">
        <v>10</v>
      </c>
    </row>
    <row r="230" spans="2:5" x14ac:dyDescent="0.25">
      <c r="B230" s="1">
        <v>39203</v>
      </c>
      <c r="C230" t="s">
        <v>6</v>
      </c>
      <c r="D230">
        <v>8757031646.7099991</v>
      </c>
      <c r="E230">
        <v>1</v>
      </c>
    </row>
    <row r="231" spans="2:5" x14ac:dyDescent="0.25">
      <c r="B231" s="1">
        <v>39203</v>
      </c>
      <c r="C231" t="s">
        <v>7</v>
      </c>
      <c r="D231">
        <v>8265482641.71</v>
      </c>
      <c r="E231">
        <v>2</v>
      </c>
    </row>
    <row r="232" spans="2:5" x14ac:dyDescent="0.25">
      <c r="B232" s="1">
        <v>39203</v>
      </c>
      <c r="C232" t="s">
        <v>16</v>
      </c>
      <c r="D232">
        <v>3833114648.75</v>
      </c>
      <c r="E232">
        <v>3</v>
      </c>
    </row>
    <row r="233" spans="2:5" x14ac:dyDescent="0.25">
      <c r="B233" s="1">
        <v>39203</v>
      </c>
      <c r="C233" t="s">
        <v>13</v>
      </c>
      <c r="D233">
        <v>3345271361.5599999</v>
      </c>
      <c r="E233">
        <v>4</v>
      </c>
    </row>
    <row r="234" spans="2:5" x14ac:dyDescent="0.25">
      <c r="B234" s="1">
        <v>39203</v>
      </c>
      <c r="C234" t="s">
        <v>4</v>
      </c>
      <c r="D234">
        <v>2879827673.1599998</v>
      </c>
      <c r="E234">
        <v>5</v>
      </c>
    </row>
    <row r="235" spans="2:5" x14ac:dyDescent="0.25">
      <c r="B235" s="1">
        <v>39203</v>
      </c>
      <c r="C235" t="s">
        <v>57</v>
      </c>
      <c r="D235">
        <v>2817963532.98</v>
      </c>
      <c r="E235">
        <v>6</v>
      </c>
    </row>
    <row r="236" spans="2:5" x14ac:dyDescent="0.25">
      <c r="B236" s="1">
        <v>39203</v>
      </c>
      <c r="C236" t="s">
        <v>25</v>
      </c>
      <c r="D236">
        <v>2391529898.25</v>
      </c>
      <c r="E236">
        <v>7</v>
      </c>
    </row>
    <row r="237" spans="2:5" x14ac:dyDescent="0.25">
      <c r="B237" s="1">
        <v>39203</v>
      </c>
      <c r="C237" t="s">
        <v>58</v>
      </c>
      <c r="D237">
        <v>1500398960</v>
      </c>
      <c r="E237">
        <v>8</v>
      </c>
    </row>
    <row r="238" spans="2:5" x14ac:dyDescent="0.25">
      <c r="B238" s="1">
        <v>39203</v>
      </c>
      <c r="C238" t="s">
        <v>12</v>
      </c>
      <c r="D238">
        <v>1299005761.8</v>
      </c>
      <c r="E238">
        <v>9</v>
      </c>
    </row>
    <row r="239" spans="2:5" x14ac:dyDescent="0.25">
      <c r="B239" s="1">
        <v>39203</v>
      </c>
      <c r="C239" t="s">
        <v>5</v>
      </c>
      <c r="D239">
        <v>1228350512.52</v>
      </c>
      <c r="E239">
        <v>10</v>
      </c>
    </row>
    <row r="240" spans="2:5" x14ac:dyDescent="0.25">
      <c r="B240" s="1">
        <v>39234</v>
      </c>
      <c r="C240" t="s">
        <v>43</v>
      </c>
      <c r="D240">
        <v>529500000</v>
      </c>
      <c r="E240">
        <v>1</v>
      </c>
    </row>
    <row r="241" spans="2:5" x14ac:dyDescent="0.25">
      <c r="B241" s="1">
        <v>39234</v>
      </c>
      <c r="C241" t="s">
        <v>44</v>
      </c>
      <c r="D241">
        <v>525451496</v>
      </c>
      <c r="E241">
        <v>2</v>
      </c>
    </row>
    <row r="242" spans="2:5" x14ac:dyDescent="0.25">
      <c r="B242" s="1">
        <v>39234</v>
      </c>
      <c r="C242" t="s">
        <v>13</v>
      </c>
      <c r="D242">
        <v>199240159</v>
      </c>
      <c r="E242">
        <v>3</v>
      </c>
    </row>
    <row r="243" spans="2:5" x14ac:dyDescent="0.25">
      <c r="B243" s="1">
        <v>39234</v>
      </c>
      <c r="C243" t="s">
        <v>14</v>
      </c>
      <c r="D243">
        <v>199240159</v>
      </c>
      <c r="E243">
        <v>3</v>
      </c>
    </row>
    <row r="244" spans="2:5" x14ac:dyDescent="0.25">
      <c r="B244" s="1">
        <v>39234</v>
      </c>
      <c r="C244" t="s">
        <v>49</v>
      </c>
      <c r="D244">
        <v>186664202</v>
      </c>
      <c r="E244">
        <v>5</v>
      </c>
    </row>
    <row r="245" spans="2:5" x14ac:dyDescent="0.25">
      <c r="B245" s="1">
        <v>39234</v>
      </c>
      <c r="C245" t="s">
        <v>52</v>
      </c>
      <c r="D245">
        <v>128010000</v>
      </c>
      <c r="E245">
        <v>6</v>
      </c>
    </row>
    <row r="246" spans="2:5" x14ac:dyDescent="0.25">
      <c r="B246" s="1">
        <v>39234</v>
      </c>
      <c r="C246" t="s">
        <v>40</v>
      </c>
      <c r="D246">
        <v>88341541</v>
      </c>
      <c r="E246">
        <v>7</v>
      </c>
    </row>
    <row r="247" spans="2:5" x14ac:dyDescent="0.25">
      <c r="B247" s="1">
        <v>39234</v>
      </c>
      <c r="C247" t="s">
        <v>47</v>
      </c>
      <c r="D247">
        <v>78371000</v>
      </c>
      <c r="E247">
        <v>8</v>
      </c>
    </row>
    <row r="248" spans="2:5" x14ac:dyDescent="0.25">
      <c r="B248" s="1">
        <v>39234</v>
      </c>
      <c r="C248" t="s">
        <v>6</v>
      </c>
      <c r="D248">
        <v>49097527.210000001</v>
      </c>
      <c r="E248">
        <v>9</v>
      </c>
    </row>
    <row r="249" spans="2:5" x14ac:dyDescent="0.25">
      <c r="B249" s="1">
        <v>39234</v>
      </c>
      <c r="C249" t="s">
        <v>59</v>
      </c>
      <c r="D249">
        <v>36942000</v>
      </c>
      <c r="E249">
        <v>10</v>
      </c>
    </row>
    <row r="250" spans="2:5" x14ac:dyDescent="0.25">
      <c r="B250" s="1">
        <v>39264</v>
      </c>
      <c r="C250" t="s">
        <v>5</v>
      </c>
      <c r="D250">
        <v>587402404.38</v>
      </c>
      <c r="E250">
        <v>1</v>
      </c>
    </row>
    <row r="251" spans="2:5" x14ac:dyDescent="0.25">
      <c r="B251" s="1">
        <v>39264</v>
      </c>
      <c r="C251" t="s">
        <v>4</v>
      </c>
      <c r="D251">
        <v>289054248.91000003</v>
      </c>
      <c r="E251">
        <v>2</v>
      </c>
    </row>
    <row r="252" spans="2:5" x14ac:dyDescent="0.25">
      <c r="B252" s="1">
        <v>39264</v>
      </c>
      <c r="C252" t="s">
        <v>60</v>
      </c>
      <c r="D252">
        <v>165294713.30000001</v>
      </c>
      <c r="E252">
        <v>3</v>
      </c>
    </row>
    <row r="253" spans="2:5" x14ac:dyDescent="0.25">
      <c r="B253" s="1">
        <v>39264</v>
      </c>
      <c r="C253" t="s">
        <v>25</v>
      </c>
      <c r="D253">
        <v>159905398.22</v>
      </c>
      <c r="E253">
        <v>4</v>
      </c>
    </row>
    <row r="254" spans="2:5" x14ac:dyDescent="0.25">
      <c r="B254" s="1">
        <v>39264</v>
      </c>
      <c r="C254" t="s">
        <v>21</v>
      </c>
      <c r="D254">
        <v>143507290.88</v>
      </c>
      <c r="E254">
        <v>5</v>
      </c>
    </row>
    <row r="255" spans="2:5" x14ac:dyDescent="0.25">
      <c r="B255" s="1">
        <v>39264</v>
      </c>
      <c r="C255" t="s">
        <v>44</v>
      </c>
      <c r="D255">
        <v>126500000</v>
      </c>
      <c r="E255">
        <v>6</v>
      </c>
    </row>
    <row r="256" spans="2:5" x14ac:dyDescent="0.25">
      <c r="B256" s="1">
        <v>39264</v>
      </c>
      <c r="C256" t="s">
        <v>57</v>
      </c>
      <c r="D256">
        <v>121943584.34</v>
      </c>
      <c r="E256">
        <v>7</v>
      </c>
    </row>
    <row r="257" spans="2:5" x14ac:dyDescent="0.25">
      <c r="B257" s="1">
        <v>39264</v>
      </c>
      <c r="C257" t="s">
        <v>52</v>
      </c>
      <c r="D257">
        <v>107554000</v>
      </c>
      <c r="E257">
        <v>8</v>
      </c>
    </row>
    <row r="258" spans="2:5" x14ac:dyDescent="0.25">
      <c r="B258" s="1">
        <v>39264</v>
      </c>
      <c r="C258" t="s">
        <v>14</v>
      </c>
      <c r="D258">
        <v>106526391.84</v>
      </c>
      <c r="E258">
        <v>9</v>
      </c>
    </row>
    <row r="259" spans="2:5" x14ac:dyDescent="0.25">
      <c r="B259" s="1">
        <v>39264</v>
      </c>
      <c r="C259" t="s">
        <v>13</v>
      </c>
      <c r="D259">
        <v>106526391.84</v>
      </c>
      <c r="E259">
        <v>9</v>
      </c>
    </row>
    <row r="260" spans="2:5" x14ac:dyDescent="0.25">
      <c r="B260" s="1">
        <v>39295</v>
      </c>
      <c r="C260" t="s">
        <v>6</v>
      </c>
      <c r="D260">
        <v>7970383527.0900002</v>
      </c>
      <c r="E260">
        <v>1</v>
      </c>
    </row>
    <row r="261" spans="2:5" x14ac:dyDescent="0.25">
      <c r="B261" s="1">
        <v>39295</v>
      </c>
      <c r="C261" t="s">
        <v>7</v>
      </c>
      <c r="D261">
        <v>5549416466.0900002</v>
      </c>
      <c r="E261">
        <v>2</v>
      </c>
    </row>
    <row r="262" spans="2:5" x14ac:dyDescent="0.25">
      <c r="B262" s="1">
        <v>39295</v>
      </c>
      <c r="C262" t="s">
        <v>13</v>
      </c>
      <c r="D262">
        <v>5368827950.8599997</v>
      </c>
      <c r="E262">
        <v>3</v>
      </c>
    </row>
    <row r="263" spans="2:5" x14ac:dyDescent="0.25">
      <c r="B263" s="1">
        <v>39295</v>
      </c>
      <c r="C263" t="s">
        <v>16</v>
      </c>
      <c r="D263">
        <v>4354798481.1899996</v>
      </c>
      <c r="E263">
        <v>4</v>
      </c>
    </row>
    <row r="264" spans="2:5" x14ac:dyDescent="0.25">
      <c r="B264" s="1">
        <v>39295</v>
      </c>
      <c r="C264" t="s">
        <v>4</v>
      </c>
      <c r="D264">
        <v>3653159455.4499998</v>
      </c>
      <c r="E264">
        <v>5</v>
      </c>
    </row>
    <row r="265" spans="2:5" x14ac:dyDescent="0.25">
      <c r="B265" s="1">
        <v>39295</v>
      </c>
      <c r="C265" t="s">
        <v>25</v>
      </c>
      <c r="D265">
        <v>2776259321.4400001</v>
      </c>
      <c r="E265">
        <v>6</v>
      </c>
    </row>
    <row r="266" spans="2:5" x14ac:dyDescent="0.25">
      <c r="B266" s="1">
        <v>39295</v>
      </c>
      <c r="C266" t="s">
        <v>57</v>
      </c>
      <c r="D266">
        <v>2602983126.1300001</v>
      </c>
      <c r="E266">
        <v>7</v>
      </c>
    </row>
    <row r="267" spans="2:5" x14ac:dyDescent="0.25">
      <c r="B267" s="1">
        <v>39295</v>
      </c>
      <c r="C267" t="s">
        <v>58</v>
      </c>
      <c r="D267">
        <v>1376195197</v>
      </c>
      <c r="E267">
        <v>8</v>
      </c>
    </row>
    <row r="268" spans="2:5" x14ac:dyDescent="0.25">
      <c r="B268" s="1">
        <v>39295</v>
      </c>
      <c r="C268" t="s">
        <v>21</v>
      </c>
      <c r="D268">
        <v>1348505248.95</v>
      </c>
      <c r="E268">
        <v>9</v>
      </c>
    </row>
    <row r="269" spans="2:5" x14ac:dyDescent="0.25">
      <c r="B269" s="1">
        <v>39295</v>
      </c>
      <c r="C269" t="s">
        <v>12</v>
      </c>
      <c r="D269">
        <v>1162595939.1300001</v>
      </c>
      <c r="E269">
        <v>10</v>
      </c>
    </row>
    <row r="270" spans="2:5" x14ac:dyDescent="0.25">
      <c r="B270" s="1">
        <v>39326</v>
      </c>
      <c r="C270" t="s">
        <v>6</v>
      </c>
      <c r="D270">
        <v>11906421034.719999</v>
      </c>
      <c r="E270">
        <v>1</v>
      </c>
    </row>
    <row r="271" spans="2:5" x14ac:dyDescent="0.25">
      <c r="B271" s="1">
        <v>39326</v>
      </c>
      <c r="C271" t="s">
        <v>7</v>
      </c>
      <c r="D271">
        <v>8448582032.3299999</v>
      </c>
      <c r="E271">
        <v>2</v>
      </c>
    </row>
    <row r="272" spans="2:5" x14ac:dyDescent="0.25">
      <c r="B272" s="1">
        <v>39326</v>
      </c>
      <c r="C272" t="s">
        <v>13</v>
      </c>
      <c r="D272">
        <v>4931521660.5</v>
      </c>
      <c r="E272">
        <v>3</v>
      </c>
    </row>
    <row r="273" spans="2:5" x14ac:dyDescent="0.25">
      <c r="B273" s="1">
        <v>39326</v>
      </c>
      <c r="C273" t="s">
        <v>4</v>
      </c>
      <c r="D273">
        <v>3402261850.23</v>
      </c>
      <c r="E273">
        <v>4</v>
      </c>
    </row>
    <row r="274" spans="2:5" x14ac:dyDescent="0.25">
      <c r="B274" s="1">
        <v>39326</v>
      </c>
      <c r="C274" t="s">
        <v>16</v>
      </c>
      <c r="D274">
        <v>2698937355.0500002</v>
      </c>
      <c r="E274">
        <v>5</v>
      </c>
    </row>
    <row r="275" spans="2:5" x14ac:dyDescent="0.25">
      <c r="B275" s="1">
        <v>39326</v>
      </c>
      <c r="C275" t="s">
        <v>25</v>
      </c>
      <c r="D275">
        <v>1933443256.51</v>
      </c>
      <c r="E275">
        <v>6</v>
      </c>
    </row>
    <row r="276" spans="2:5" x14ac:dyDescent="0.25">
      <c r="B276" s="1">
        <v>39326</v>
      </c>
      <c r="C276" t="s">
        <v>57</v>
      </c>
      <c r="D276">
        <v>1794706224.6300001</v>
      </c>
      <c r="E276">
        <v>7</v>
      </c>
    </row>
    <row r="277" spans="2:5" x14ac:dyDescent="0.25">
      <c r="B277" s="1">
        <v>39326</v>
      </c>
      <c r="C277" t="s">
        <v>12</v>
      </c>
      <c r="D277">
        <v>1598243031.95</v>
      </c>
      <c r="E277">
        <v>8</v>
      </c>
    </row>
    <row r="278" spans="2:5" x14ac:dyDescent="0.25">
      <c r="B278" s="1">
        <v>39326</v>
      </c>
      <c r="C278" t="s">
        <v>30</v>
      </c>
      <c r="D278">
        <v>1509377032.0999999</v>
      </c>
      <c r="E278">
        <v>9</v>
      </c>
    </row>
    <row r="279" spans="2:5" x14ac:dyDescent="0.25">
      <c r="B279" s="1">
        <v>39326</v>
      </c>
      <c r="C279" t="s">
        <v>22</v>
      </c>
      <c r="D279">
        <v>1504357495.8299999</v>
      </c>
      <c r="E279">
        <v>10</v>
      </c>
    </row>
    <row r="280" spans="2:5" x14ac:dyDescent="0.25">
      <c r="B280" s="1">
        <v>39356</v>
      </c>
      <c r="C280" t="s">
        <v>6</v>
      </c>
      <c r="D280">
        <v>7611233645.2799997</v>
      </c>
      <c r="E280">
        <v>1</v>
      </c>
    </row>
    <row r="281" spans="2:5" x14ac:dyDescent="0.25">
      <c r="B281" s="1">
        <v>39356</v>
      </c>
      <c r="C281" t="s">
        <v>7</v>
      </c>
      <c r="D281">
        <v>6234694095.2799997</v>
      </c>
      <c r="E281">
        <v>2</v>
      </c>
    </row>
    <row r="282" spans="2:5" x14ac:dyDescent="0.25">
      <c r="B282" s="1">
        <v>39356</v>
      </c>
      <c r="C282" t="s">
        <v>13</v>
      </c>
      <c r="D282">
        <v>5542233010.0799999</v>
      </c>
      <c r="E282">
        <v>3</v>
      </c>
    </row>
    <row r="283" spans="2:5" x14ac:dyDescent="0.25">
      <c r="B283" s="1">
        <v>39356</v>
      </c>
      <c r="C283" t="s">
        <v>16</v>
      </c>
      <c r="D283">
        <v>3527666157.7399998</v>
      </c>
      <c r="E283">
        <v>4</v>
      </c>
    </row>
    <row r="284" spans="2:5" x14ac:dyDescent="0.25">
      <c r="B284" s="1">
        <v>39356</v>
      </c>
      <c r="C284" t="s">
        <v>57</v>
      </c>
      <c r="D284">
        <v>2350697844.6399999</v>
      </c>
      <c r="E284">
        <v>5</v>
      </c>
    </row>
    <row r="285" spans="2:5" x14ac:dyDescent="0.25">
      <c r="B285" s="1">
        <v>39356</v>
      </c>
      <c r="C285" t="s">
        <v>4</v>
      </c>
      <c r="D285">
        <v>2279214477</v>
      </c>
      <c r="E285">
        <v>6</v>
      </c>
    </row>
    <row r="286" spans="2:5" x14ac:dyDescent="0.25">
      <c r="B286" s="1">
        <v>39356</v>
      </c>
      <c r="C286" t="s">
        <v>25</v>
      </c>
      <c r="D286">
        <v>1995857574.76</v>
      </c>
      <c r="E286">
        <v>7</v>
      </c>
    </row>
    <row r="287" spans="2:5" x14ac:dyDescent="0.25">
      <c r="B287" s="1">
        <v>39356</v>
      </c>
      <c r="C287" t="s">
        <v>30</v>
      </c>
      <c r="D287">
        <v>1924748303.6900001</v>
      </c>
      <c r="E287">
        <v>8</v>
      </c>
    </row>
    <row r="288" spans="2:5" x14ac:dyDescent="0.25">
      <c r="B288" s="1">
        <v>39356</v>
      </c>
      <c r="C288" t="s">
        <v>12</v>
      </c>
      <c r="D288">
        <v>1724424141.5899999</v>
      </c>
      <c r="E288">
        <v>9</v>
      </c>
    </row>
    <row r="289" spans="2:5" x14ac:dyDescent="0.25">
      <c r="B289" s="1">
        <v>39356</v>
      </c>
      <c r="C289" t="s">
        <v>21</v>
      </c>
      <c r="D289">
        <v>1420438348.6199999</v>
      </c>
      <c r="E289">
        <v>10</v>
      </c>
    </row>
    <row r="290" spans="2:5" x14ac:dyDescent="0.25">
      <c r="B290" s="1">
        <v>39387</v>
      </c>
      <c r="C290" t="s">
        <v>6</v>
      </c>
      <c r="D290">
        <v>9251362639</v>
      </c>
      <c r="E290">
        <v>1</v>
      </c>
    </row>
    <row r="291" spans="2:5" x14ac:dyDescent="0.25">
      <c r="B291" s="1">
        <v>39387</v>
      </c>
      <c r="C291" t="s">
        <v>13</v>
      </c>
      <c r="D291">
        <v>5971674440.9099998</v>
      </c>
      <c r="E291">
        <v>2</v>
      </c>
    </row>
    <row r="292" spans="2:5" x14ac:dyDescent="0.25">
      <c r="B292" s="1">
        <v>39387</v>
      </c>
      <c r="C292" t="s">
        <v>7</v>
      </c>
      <c r="D292">
        <v>5620224592</v>
      </c>
      <c r="E292">
        <v>3</v>
      </c>
    </row>
    <row r="293" spans="2:5" x14ac:dyDescent="0.25">
      <c r="B293" s="1">
        <v>39387</v>
      </c>
      <c r="C293" t="s">
        <v>16</v>
      </c>
      <c r="D293">
        <v>4108599053.3899999</v>
      </c>
      <c r="E293">
        <v>4</v>
      </c>
    </row>
    <row r="294" spans="2:5" x14ac:dyDescent="0.25">
      <c r="B294" s="1">
        <v>39387</v>
      </c>
      <c r="C294" t="s">
        <v>57</v>
      </c>
      <c r="D294">
        <v>2965658446.6199999</v>
      </c>
      <c r="E294">
        <v>5</v>
      </c>
    </row>
    <row r="295" spans="2:5" x14ac:dyDescent="0.25">
      <c r="B295" s="1">
        <v>39387</v>
      </c>
      <c r="C295" t="s">
        <v>4</v>
      </c>
      <c r="D295">
        <v>2860822903</v>
      </c>
      <c r="E295">
        <v>6</v>
      </c>
    </row>
    <row r="296" spans="2:5" x14ac:dyDescent="0.25">
      <c r="B296" s="1">
        <v>39387</v>
      </c>
      <c r="C296" t="s">
        <v>25</v>
      </c>
      <c r="D296">
        <v>2316613344.4400001</v>
      </c>
      <c r="E296">
        <v>7</v>
      </c>
    </row>
    <row r="297" spans="2:5" x14ac:dyDescent="0.25">
      <c r="B297" s="1">
        <v>39387</v>
      </c>
      <c r="C297" t="s">
        <v>21</v>
      </c>
      <c r="D297">
        <v>2288150693</v>
      </c>
      <c r="E297">
        <v>8</v>
      </c>
    </row>
    <row r="298" spans="2:5" x14ac:dyDescent="0.25">
      <c r="B298" s="1">
        <v>39387</v>
      </c>
      <c r="C298" t="s">
        <v>58</v>
      </c>
      <c r="D298">
        <v>1576791161</v>
      </c>
      <c r="E298">
        <v>9</v>
      </c>
    </row>
    <row r="299" spans="2:5" x14ac:dyDescent="0.25">
      <c r="B299" s="1">
        <v>39387</v>
      </c>
      <c r="C299" t="s">
        <v>12</v>
      </c>
      <c r="D299">
        <v>1466684614.3</v>
      </c>
      <c r="E299">
        <v>10</v>
      </c>
    </row>
    <row r="300" spans="2:5" x14ac:dyDescent="0.25">
      <c r="B300" s="1">
        <v>39417</v>
      </c>
      <c r="C300" t="s">
        <v>6</v>
      </c>
      <c r="D300">
        <v>12421827356.389999</v>
      </c>
      <c r="E300">
        <v>1</v>
      </c>
    </row>
    <row r="301" spans="2:5" x14ac:dyDescent="0.25">
      <c r="B301" s="1">
        <v>39417</v>
      </c>
      <c r="C301" t="s">
        <v>7</v>
      </c>
      <c r="D301">
        <v>10045544086.389999</v>
      </c>
      <c r="E301">
        <v>2</v>
      </c>
    </row>
    <row r="302" spans="2:5" x14ac:dyDescent="0.25">
      <c r="B302" s="1">
        <v>39417</v>
      </c>
      <c r="C302" t="s">
        <v>16</v>
      </c>
      <c r="D302">
        <v>5882860464.71</v>
      </c>
      <c r="E302">
        <v>3</v>
      </c>
    </row>
    <row r="303" spans="2:5" x14ac:dyDescent="0.25">
      <c r="B303" s="1">
        <v>39417</v>
      </c>
      <c r="C303" t="s">
        <v>13</v>
      </c>
      <c r="D303">
        <v>4169881135</v>
      </c>
      <c r="E303">
        <v>4</v>
      </c>
    </row>
    <row r="304" spans="2:5" x14ac:dyDescent="0.25">
      <c r="B304" s="1">
        <v>39417</v>
      </c>
      <c r="C304" t="s">
        <v>25</v>
      </c>
      <c r="D304">
        <v>2828027093.6300001</v>
      </c>
      <c r="E304">
        <v>5</v>
      </c>
    </row>
    <row r="305" spans="2:5" x14ac:dyDescent="0.25">
      <c r="B305" s="1">
        <v>39417</v>
      </c>
      <c r="C305" t="s">
        <v>57</v>
      </c>
      <c r="D305">
        <v>2768397368.6799998</v>
      </c>
      <c r="E305">
        <v>6</v>
      </c>
    </row>
    <row r="306" spans="2:5" x14ac:dyDescent="0.25">
      <c r="B306" s="1">
        <v>39417</v>
      </c>
      <c r="C306" t="s">
        <v>4</v>
      </c>
      <c r="D306">
        <v>2580187388</v>
      </c>
      <c r="E306">
        <v>7</v>
      </c>
    </row>
    <row r="307" spans="2:5" x14ac:dyDescent="0.25">
      <c r="B307" s="1">
        <v>39417</v>
      </c>
      <c r="C307" t="s">
        <v>21</v>
      </c>
      <c r="D307">
        <v>1812559084.9200001</v>
      </c>
      <c r="E307">
        <v>8</v>
      </c>
    </row>
    <row r="308" spans="2:5" x14ac:dyDescent="0.25">
      <c r="B308" s="1">
        <v>39417</v>
      </c>
      <c r="C308" t="s">
        <v>30</v>
      </c>
      <c r="D308">
        <v>1736453448</v>
      </c>
      <c r="E308">
        <v>9</v>
      </c>
    </row>
    <row r="309" spans="2:5" x14ac:dyDescent="0.25">
      <c r="B309" s="1">
        <v>39417</v>
      </c>
      <c r="C309" t="s">
        <v>12</v>
      </c>
      <c r="D309">
        <v>1592827444.7</v>
      </c>
      <c r="E309">
        <v>10</v>
      </c>
    </row>
    <row r="310" spans="2:5" x14ac:dyDescent="0.25">
      <c r="B310" s="1">
        <v>39448</v>
      </c>
      <c r="C310" t="s">
        <v>6</v>
      </c>
      <c r="D310">
        <v>8728590817.0499992</v>
      </c>
      <c r="E310">
        <v>1</v>
      </c>
    </row>
    <row r="311" spans="2:5" x14ac:dyDescent="0.25">
      <c r="B311" s="1">
        <v>39448</v>
      </c>
      <c r="C311" t="s">
        <v>7</v>
      </c>
      <c r="D311">
        <v>7108699161</v>
      </c>
      <c r="E311">
        <v>2</v>
      </c>
    </row>
    <row r="312" spans="2:5" x14ac:dyDescent="0.25">
      <c r="B312" s="1">
        <v>39448</v>
      </c>
      <c r="C312" t="s">
        <v>13</v>
      </c>
      <c r="D312">
        <v>5183225453.21</v>
      </c>
      <c r="E312">
        <v>3</v>
      </c>
    </row>
    <row r="313" spans="2:5" x14ac:dyDescent="0.25">
      <c r="B313" s="1">
        <v>39448</v>
      </c>
      <c r="C313" t="s">
        <v>16</v>
      </c>
      <c r="D313">
        <v>3079886257.0799999</v>
      </c>
      <c r="E313">
        <v>4</v>
      </c>
    </row>
    <row r="314" spans="2:5" x14ac:dyDescent="0.25">
      <c r="B314" s="1">
        <v>39448</v>
      </c>
      <c r="C314" t="s">
        <v>25</v>
      </c>
      <c r="D314">
        <v>2858003053.02</v>
      </c>
      <c r="E314">
        <v>5</v>
      </c>
    </row>
    <row r="315" spans="2:5" x14ac:dyDescent="0.25">
      <c r="B315" s="1">
        <v>39448</v>
      </c>
      <c r="C315" t="s">
        <v>4</v>
      </c>
      <c r="D315">
        <v>2753435609.96</v>
      </c>
      <c r="E315">
        <v>6</v>
      </c>
    </row>
    <row r="316" spans="2:5" x14ac:dyDescent="0.25">
      <c r="B316" s="1">
        <v>39448</v>
      </c>
      <c r="C316" t="s">
        <v>57</v>
      </c>
      <c r="D316">
        <v>2721529982.6700001</v>
      </c>
      <c r="E316">
        <v>7</v>
      </c>
    </row>
    <row r="317" spans="2:5" x14ac:dyDescent="0.25">
      <c r="B317" s="1">
        <v>39448</v>
      </c>
      <c r="C317" t="s">
        <v>30</v>
      </c>
      <c r="D317">
        <v>1575464486</v>
      </c>
      <c r="E317">
        <v>8</v>
      </c>
    </row>
    <row r="318" spans="2:5" x14ac:dyDescent="0.25">
      <c r="B318" s="1">
        <v>39448</v>
      </c>
      <c r="C318" t="s">
        <v>58</v>
      </c>
      <c r="D318">
        <v>1438300798</v>
      </c>
      <c r="E318">
        <v>9</v>
      </c>
    </row>
    <row r="319" spans="2:5" x14ac:dyDescent="0.25">
      <c r="B319" s="1">
        <v>39448</v>
      </c>
      <c r="C319" t="s">
        <v>31</v>
      </c>
      <c r="D319">
        <v>1002322471</v>
      </c>
      <c r="E319">
        <v>10</v>
      </c>
    </row>
    <row r="320" spans="2:5" x14ac:dyDescent="0.25">
      <c r="B320" s="1">
        <v>39479</v>
      </c>
      <c r="C320" t="s">
        <v>6</v>
      </c>
      <c r="D320">
        <v>10940578643.9</v>
      </c>
      <c r="E320">
        <v>1</v>
      </c>
    </row>
    <row r="321" spans="2:5" x14ac:dyDescent="0.25">
      <c r="B321" s="1">
        <v>39479</v>
      </c>
      <c r="C321" t="s">
        <v>7</v>
      </c>
      <c r="D321">
        <v>8522227078.8999996</v>
      </c>
      <c r="E321">
        <v>2</v>
      </c>
    </row>
    <row r="322" spans="2:5" x14ac:dyDescent="0.25">
      <c r="B322" s="1">
        <v>39479</v>
      </c>
      <c r="C322" t="s">
        <v>13</v>
      </c>
      <c r="D322">
        <v>6061047145.0900002</v>
      </c>
      <c r="E322">
        <v>3</v>
      </c>
    </row>
    <row r="323" spans="2:5" x14ac:dyDescent="0.25">
      <c r="B323" s="1">
        <v>39479</v>
      </c>
      <c r="C323" t="s">
        <v>16</v>
      </c>
      <c r="D323">
        <v>3648839072.79</v>
      </c>
      <c r="E323">
        <v>4</v>
      </c>
    </row>
    <row r="324" spans="2:5" x14ac:dyDescent="0.25">
      <c r="B324" s="1">
        <v>39479</v>
      </c>
      <c r="C324" t="s">
        <v>57</v>
      </c>
      <c r="D324">
        <v>3383016344.3800001</v>
      </c>
      <c r="E324">
        <v>5</v>
      </c>
    </row>
    <row r="325" spans="2:5" x14ac:dyDescent="0.25">
      <c r="B325" s="1">
        <v>39479</v>
      </c>
      <c r="C325" t="s">
        <v>4</v>
      </c>
      <c r="D325">
        <v>2975112864.3200002</v>
      </c>
      <c r="E325">
        <v>6</v>
      </c>
    </row>
    <row r="326" spans="2:5" x14ac:dyDescent="0.25">
      <c r="B326" s="1">
        <v>39479</v>
      </c>
      <c r="C326" t="s">
        <v>25</v>
      </c>
      <c r="D326">
        <v>2798703942.1700001</v>
      </c>
      <c r="E326">
        <v>7</v>
      </c>
    </row>
    <row r="327" spans="2:5" x14ac:dyDescent="0.25">
      <c r="B327" s="1">
        <v>39479</v>
      </c>
      <c r="C327" t="s">
        <v>12</v>
      </c>
      <c r="D327">
        <v>1512143012.0999999</v>
      </c>
      <c r="E327">
        <v>8</v>
      </c>
    </row>
    <row r="328" spans="2:5" x14ac:dyDescent="0.25">
      <c r="B328" s="1">
        <v>39479</v>
      </c>
      <c r="C328" t="s">
        <v>30</v>
      </c>
      <c r="D328">
        <v>1473943766.0599999</v>
      </c>
      <c r="E328">
        <v>9</v>
      </c>
    </row>
    <row r="329" spans="2:5" x14ac:dyDescent="0.25">
      <c r="B329" s="1">
        <v>39479</v>
      </c>
      <c r="C329" t="s">
        <v>58</v>
      </c>
      <c r="D329">
        <v>1324787937</v>
      </c>
      <c r="E329">
        <v>10</v>
      </c>
    </row>
    <row r="330" spans="2:5" x14ac:dyDescent="0.25">
      <c r="B330" s="1">
        <v>39508</v>
      </c>
      <c r="C330" t="s">
        <v>6</v>
      </c>
      <c r="D330">
        <v>7127437485.3199997</v>
      </c>
      <c r="E330">
        <v>1</v>
      </c>
    </row>
    <row r="331" spans="2:5" x14ac:dyDescent="0.25">
      <c r="B331" s="1">
        <v>39508</v>
      </c>
      <c r="C331" t="s">
        <v>7</v>
      </c>
      <c r="D331">
        <v>6990008893.75</v>
      </c>
      <c r="E331">
        <v>2</v>
      </c>
    </row>
    <row r="332" spans="2:5" x14ac:dyDescent="0.25">
      <c r="B332" s="1">
        <v>39508</v>
      </c>
      <c r="C332" t="s">
        <v>13</v>
      </c>
      <c r="D332">
        <v>3877796837.6100001</v>
      </c>
      <c r="E332">
        <v>3</v>
      </c>
    </row>
    <row r="333" spans="2:5" x14ac:dyDescent="0.25">
      <c r="B333" s="1">
        <v>39508</v>
      </c>
      <c r="C333" t="s">
        <v>4</v>
      </c>
      <c r="D333">
        <v>3475050859</v>
      </c>
      <c r="E333">
        <v>4</v>
      </c>
    </row>
    <row r="334" spans="2:5" x14ac:dyDescent="0.25">
      <c r="B334" s="1">
        <v>39508</v>
      </c>
      <c r="C334" t="s">
        <v>25</v>
      </c>
      <c r="D334">
        <v>2845541368.1100001</v>
      </c>
      <c r="E334">
        <v>5</v>
      </c>
    </row>
    <row r="335" spans="2:5" x14ac:dyDescent="0.25">
      <c r="B335" s="1">
        <v>39508</v>
      </c>
      <c r="C335" t="s">
        <v>58</v>
      </c>
      <c r="D335">
        <v>1371503307</v>
      </c>
      <c r="E335">
        <v>6</v>
      </c>
    </row>
    <row r="336" spans="2:5" x14ac:dyDescent="0.25">
      <c r="B336" s="1">
        <v>39508</v>
      </c>
      <c r="C336" t="s">
        <v>57</v>
      </c>
      <c r="D336">
        <v>1259568820.0799999</v>
      </c>
      <c r="E336">
        <v>7</v>
      </c>
    </row>
    <row r="337" spans="2:5" x14ac:dyDescent="0.25">
      <c r="B337" s="1">
        <v>39508</v>
      </c>
      <c r="C337" t="s">
        <v>16</v>
      </c>
      <c r="D337">
        <v>1043995891.96</v>
      </c>
      <c r="E337">
        <v>8</v>
      </c>
    </row>
    <row r="338" spans="2:5" x14ac:dyDescent="0.25">
      <c r="B338" s="1">
        <v>39508</v>
      </c>
      <c r="C338" t="s">
        <v>5</v>
      </c>
      <c r="D338">
        <v>616279069.29999995</v>
      </c>
      <c r="E338">
        <v>9</v>
      </c>
    </row>
    <row r="339" spans="2:5" x14ac:dyDescent="0.25">
      <c r="B339" s="1">
        <v>39508</v>
      </c>
      <c r="C339" t="s">
        <v>12</v>
      </c>
      <c r="D339">
        <v>585339226</v>
      </c>
      <c r="E339">
        <v>10</v>
      </c>
    </row>
    <row r="340" spans="2:5" x14ac:dyDescent="0.25">
      <c r="B340" s="1">
        <v>39539</v>
      </c>
      <c r="C340" t="s">
        <v>6</v>
      </c>
      <c r="D340">
        <v>9380905884.8600006</v>
      </c>
      <c r="E340">
        <v>1</v>
      </c>
    </row>
    <row r="341" spans="2:5" x14ac:dyDescent="0.25">
      <c r="B341" s="1">
        <v>39539</v>
      </c>
      <c r="C341" t="s">
        <v>13</v>
      </c>
      <c r="D341">
        <v>7330185288.3299999</v>
      </c>
      <c r="E341">
        <v>2</v>
      </c>
    </row>
    <row r="342" spans="2:5" x14ac:dyDescent="0.25">
      <c r="B342" s="1">
        <v>39539</v>
      </c>
      <c r="C342" t="s">
        <v>7</v>
      </c>
      <c r="D342">
        <v>7056504465.8599997</v>
      </c>
      <c r="E342">
        <v>3</v>
      </c>
    </row>
    <row r="343" spans="2:5" x14ac:dyDescent="0.25">
      <c r="B343" s="1">
        <v>39539</v>
      </c>
      <c r="C343" t="s">
        <v>4</v>
      </c>
      <c r="D343">
        <v>4688377142</v>
      </c>
      <c r="E343">
        <v>4</v>
      </c>
    </row>
    <row r="344" spans="2:5" x14ac:dyDescent="0.25">
      <c r="B344" s="1">
        <v>39539</v>
      </c>
      <c r="C344" t="s">
        <v>25</v>
      </c>
      <c r="D344">
        <v>3682275010.96</v>
      </c>
      <c r="E344">
        <v>5</v>
      </c>
    </row>
    <row r="345" spans="2:5" x14ac:dyDescent="0.25">
      <c r="B345" s="1">
        <v>39539</v>
      </c>
      <c r="C345" t="s">
        <v>57</v>
      </c>
      <c r="D345">
        <v>2862737507.9400001</v>
      </c>
      <c r="E345">
        <v>6</v>
      </c>
    </row>
    <row r="346" spans="2:5" x14ac:dyDescent="0.25">
      <c r="B346" s="1">
        <v>39539</v>
      </c>
      <c r="C346" t="s">
        <v>58</v>
      </c>
      <c r="D346">
        <v>1641602106</v>
      </c>
      <c r="E346">
        <v>7</v>
      </c>
    </row>
    <row r="347" spans="2:5" x14ac:dyDescent="0.25">
      <c r="B347" s="1">
        <v>39539</v>
      </c>
      <c r="C347" t="s">
        <v>16</v>
      </c>
      <c r="D347">
        <v>1458591196</v>
      </c>
      <c r="E347">
        <v>8</v>
      </c>
    </row>
    <row r="348" spans="2:5" x14ac:dyDescent="0.25">
      <c r="B348" s="1">
        <v>39539</v>
      </c>
      <c r="C348" t="s">
        <v>12</v>
      </c>
      <c r="D348">
        <v>1254020508.1600001</v>
      </c>
      <c r="E348">
        <v>9</v>
      </c>
    </row>
    <row r="349" spans="2:5" x14ac:dyDescent="0.25">
      <c r="B349" s="1">
        <v>39539</v>
      </c>
      <c r="C349" t="s">
        <v>5</v>
      </c>
      <c r="D349">
        <v>1144391387.9100001</v>
      </c>
      <c r="E349">
        <v>10</v>
      </c>
    </row>
    <row r="350" spans="2:5" x14ac:dyDescent="0.25">
      <c r="B350" s="1">
        <v>39569</v>
      </c>
      <c r="C350" t="s">
        <v>6</v>
      </c>
      <c r="D350">
        <v>12080553097.469999</v>
      </c>
      <c r="E350">
        <v>1</v>
      </c>
    </row>
    <row r="351" spans="2:5" x14ac:dyDescent="0.25">
      <c r="B351" s="1">
        <v>39569</v>
      </c>
      <c r="C351" t="s">
        <v>7</v>
      </c>
      <c r="D351">
        <v>7196631371.5799999</v>
      </c>
      <c r="E351">
        <v>2</v>
      </c>
    </row>
    <row r="352" spans="2:5" x14ac:dyDescent="0.25">
      <c r="B352" s="1">
        <v>39569</v>
      </c>
      <c r="C352" t="s">
        <v>13</v>
      </c>
      <c r="D352">
        <v>5336823509</v>
      </c>
      <c r="E352">
        <v>3</v>
      </c>
    </row>
    <row r="353" spans="2:5" x14ac:dyDescent="0.25">
      <c r="B353" s="1">
        <v>39569</v>
      </c>
      <c r="C353" t="s">
        <v>16</v>
      </c>
      <c r="D353">
        <v>3359247837.3800001</v>
      </c>
      <c r="E353">
        <v>4</v>
      </c>
    </row>
    <row r="354" spans="2:5" x14ac:dyDescent="0.25">
      <c r="B354" s="1">
        <v>39569</v>
      </c>
      <c r="C354" t="s">
        <v>4</v>
      </c>
      <c r="D354">
        <v>2889767287.1399999</v>
      </c>
      <c r="E354">
        <v>5</v>
      </c>
    </row>
    <row r="355" spans="2:5" x14ac:dyDescent="0.25">
      <c r="B355" s="1">
        <v>39569</v>
      </c>
      <c r="C355" t="s">
        <v>25</v>
      </c>
      <c r="D355">
        <v>2135218352.8499999</v>
      </c>
      <c r="E355">
        <v>6</v>
      </c>
    </row>
    <row r="356" spans="2:5" x14ac:dyDescent="0.25">
      <c r="B356" s="1">
        <v>39569</v>
      </c>
      <c r="C356" t="s">
        <v>57</v>
      </c>
      <c r="D356">
        <v>1735953431.48</v>
      </c>
      <c r="E356">
        <v>7</v>
      </c>
    </row>
    <row r="357" spans="2:5" x14ac:dyDescent="0.25">
      <c r="B357" s="1">
        <v>39569</v>
      </c>
      <c r="C357" t="s">
        <v>12</v>
      </c>
      <c r="D357">
        <v>1202353395.3900001</v>
      </c>
      <c r="E357">
        <v>8</v>
      </c>
    </row>
    <row r="358" spans="2:5" x14ac:dyDescent="0.25">
      <c r="B358" s="1">
        <v>39569</v>
      </c>
      <c r="C358" t="s">
        <v>5</v>
      </c>
      <c r="D358">
        <v>1180682631.77</v>
      </c>
      <c r="E358">
        <v>9</v>
      </c>
    </row>
    <row r="359" spans="2:5" x14ac:dyDescent="0.25">
      <c r="B359" s="1">
        <v>39569</v>
      </c>
      <c r="C359" t="s">
        <v>58</v>
      </c>
      <c r="D359">
        <v>1033761031</v>
      </c>
      <c r="E359">
        <v>10</v>
      </c>
    </row>
    <row r="360" spans="2:5" x14ac:dyDescent="0.25">
      <c r="B360" s="1">
        <v>39600</v>
      </c>
      <c r="C360" t="s">
        <v>13</v>
      </c>
      <c r="D360">
        <v>11170458526.360001</v>
      </c>
      <c r="E360">
        <v>1</v>
      </c>
    </row>
    <row r="361" spans="2:5" x14ac:dyDescent="0.25">
      <c r="B361" s="1">
        <v>39600</v>
      </c>
      <c r="C361" t="s">
        <v>6</v>
      </c>
      <c r="D361">
        <v>7158543878.4300003</v>
      </c>
      <c r="E361">
        <v>2</v>
      </c>
    </row>
    <row r="362" spans="2:5" x14ac:dyDescent="0.25">
      <c r="B362" s="1">
        <v>39600</v>
      </c>
      <c r="C362" t="s">
        <v>7</v>
      </c>
      <c r="D362">
        <v>4246827120.4299998</v>
      </c>
      <c r="E362">
        <v>3</v>
      </c>
    </row>
    <row r="363" spans="2:5" x14ac:dyDescent="0.25">
      <c r="B363" s="1">
        <v>39600</v>
      </c>
      <c r="C363" t="s">
        <v>16</v>
      </c>
      <c r="D363">
        <v>4180802344.75</v>
      </c>
      <c r="E363">
        <v>4</v>
      </c>
    </row>
    <row r="364" spans="2:5" x14ac:dyDescent="0.25">
      <c r="B364" s="1">
        <v>39600</v>
      </c>
      <c r="C364" t="s">
        <v>4</v>
      </c>
      <c r="D364">
        <v>3685367093.4400001</v>
      </c>
      <c r="E364">
        <v>5</v>
      </c>
    </row>
    <row r="365" spans="2:5" x14ac:dyDescent="0.25">
      <c r="B365" s="1">
        <v>39600</v>
      </c>
      <c r="C365" t="s">
        <v>58</v>
      </c>
      <c r="D365">
        <v>1731032257</v>
      </c>
      <c r="E365">
        <v>6</v>
      </c>
    </row>
    <row r="366" spans="2:5" x14ac:dyDescent="0.25">
      <c r="B366" s="1">
        <v>39600</v>
      </c>
      <c r="C366" t="s">
        <v>25</v>
      </c>
      <c r="D366">
        <v>1080842069.0799999</v>
      </c>
      <c r="E366">
        <v>7</v>
      </c>
    </row>
    <row r="367" spans="2:5" x14ac:dyDescent="0.25">
      <c r="B367" s="1">
        <v>39600</v>
      </c>
      <c r="C367" t="s">
        <v>17</v>
      </c>
      <c r="D367">
        <v>1060745072.6799999</v>
      </c>
      <c r="E367">
        <v>8</v>
      </c>
    </row>
    <row r="368" spans="2:5" x14ac:dyDescent="0.25">
      <c r="B368" s="1">
        <v>39600</v>
      </c>
      <c r="C368" t="s">
        <v>57</v>
      </c>
      <c r="D368">
        <v>1025803901.03</v>
      </c>
      <c r="E368">
        <v>9</v>
      </c>
    </row>
    <row r="369" spans="2:5" x14ac:dyDescent="0.25">
      <c r="B369" s="1">
        <v>39600</v>
      </c>
      <c r="C369" t="s">
        <v>5</v>
      </c>
      <c r="D369">
        <v>934123233.22000003</v>
      </c>
      <c r="E369">
        <v>10</v>
      </c>
    </row>
    <row r="370" spans="2:5" x14ac:dyDescent="0.25">
      <c r="B370" s="1">
        <v>39630</v>
      </c>
      <c r="C370" t="s">
        <v>6</v>
      </c>
      <c r="D370">
        <v>5246259446.8599997</v>
      </c>
      <c r="E370">
        <v>1</v>
      </c>
    </row>
    <row r="371" spans="2:5" x14ac:dyDescent="0.25">
      <c r="B371" s="1">
        <v>39630</v>
      </c>
      <c r="C371" t="s">
        <v>13</v>
      </c>
      <c r="D371">
        <v>5061020702</v>
      </c>
      <c r="E371">
        <v>2</v>
      </c>
    </row>
    <row r="372" spans="2:5" x14ac:dyDescent="0.25">
      <c r="B372" s="1">
        <v>39630</v>
      </c>
      <c r="C372" t="s">
        <v>7</v>
      </c>
      <c r="D372">
        <v>3677510879.8600001</v>
      </c>
      <c r="E372">
        <v>3</v>
      </c>
    </row>
    <row r="373" spans="2:5" x14ac:dyDescent="0.25">
      <c r="B373" s="1">
        <v>39630</v>
      </c>
      <c r="C373" t="s">
        <v>16</v>
      </c>
      <c r="D373">
        <v>3379179274.5999999</v>
      </c>
      <c r="E373">
        <v>4</v>
      </c>
    </row>
    <row r="374" spans="2:5" x14ac:dyDescent="0.25">
      <c r="B374" s="1">
        <v>39630</v>
      </c>
      <c r="C374" t="s">
        <v>4</v>
      </c>
      <c r="D374">
        <v>2293997579.0900002</v>
      </c>
      <c r="E374">
        <v>5</v>
      </c>
    </row>
    <row r="375" spans="2:5" x14ac:dyDescent="0.25">
      <c r="B375" s="1">
        <v>39630</v>
      </c>
      <c r="C375" t="s">
        <v>57</v>
      </c>
      <c r="D375">
        <v>1370360829.9300001</v>
      </c>
      <c r="E375">
        <v>6</v>
      </c>
    </row>
    <row r="376" spans="2:5" x14ac:dyDescent="0.25">
      <c r="B376" s="1">
        <v>39630</v>
      </c>
      <c r="C376" t="s">
        <v>58</v>
      </c>
      <c r="D376">
        <v>1349863752</v>
      </c>
      <c r="E376">
        <v>7</v>
      </c>
    </row>
    <row r="377" spans="2:5" x14ac:dyDescent="0.25">
      <c r="B377" s="1">
        <v>39630</v>
      </c>
      <c r="C377" t="s">
        <v>25</v>
      </c>
      <c r="D377">
        <v>1296601251.3199999</v>
      </c>
      <c r="E377">
        <v>8</v>
      </c>
    </row>
    <row r="378" spans="2:5" x14ac:dyDescent="0.25">
      <c r="B378" s="1">
        <v>39630</v>
      </c>
      <c r="C378" t="s">
        <v>5</v>
      </c>
      <c r="D378">
        <v>1041107194.3200001</v>
      </c>
      <c r="E378">
        <v>9</v>
      </c>
    </row>
    <row r="379" spans="2:5" x14ac:dyDescent="0.25">
      <c r="B379" s="1">
        <v>39630</v>
      </c>
      <c r="C379" t="s">
        <v>12</v>
      </c>
      <c r="D379">
        <v>945798148.61000001</v>
      </c>
      <c r="E379">
        <v>10</v>
      </c>
    </row>
    <row r="380" spans="2:5" x14ac:dyDescent="0.25">
      <c r="B380" s="1">
        <v>39661</v>
      </c>
      <c r="C380" t="s">
        <v>13</v>
      </c>
      <c r="D380">
        <v>4827258509.6899996</v>
      </c>
      <c r="E380">
        <v>1</v>
      </c>
    </row>
    <row r="381" spans="2:5" x14ac:dyDescent="0.25">
      <c r="B381" s="1">
        <v>39661</v>
      </c>
      <c r="C381" t="s">
        <v>16</v>
      </c>
      <c r="D381">
        <v>3855453030.6300001</v>
      </c>
      <c r="E381">
        <v>2</v>
      </c>
    </row>
    <row r="382" spans="2:5" x14ac:dyDescent="0.25">
      <c r="B382" s="1">
        <v>39661</v>
      </c>
      <c r="C382" t="s">
        <v>6</v>
      </c>
      <c r="D382">
        <v>3724004372.54</v>
      </c>
      <c r="E382">
        <v>3</v>
      </c>
    </row>
    <row r="383" spans="2:5" x14ac:dyDescent="0.25">
      <c r="B383" s="1">
        <v>39661</v>
      </c>
      <c r="C383" t="s">
        <v>7</v>
      </c>
      <c r="D383">
        <v>2510869452.54</v>
      </c>
      <c r="E383">
        <v>4</v>
      </c>
    </row>
    <row r="384" spans="2:5" x14ac:dyDescent="0.25">
      <c r="B384" s="1">
        <v>39661</v>
      </c>
      <c r="C384" t="s">
        <v>4</v>
      </c>
      <c r="D384">
        <v>1811019241.5799999</v>
      </c>
      <c r="E384">
        <v>5</v>
      </c>
    </row>
    <row r="385" spans="2:5" x14ac:dyDescent="0.25">
      <c r="B385" s="1">
        <v>39661</v>
      </c>
      <c r="C385" t="s">
        <v>58</v>
      </c>
      <c r="D385">
        <v>1212308338</v>
      </c>
      <c r="E385">
        <v>6</v>
      </c>
    </row>
    <row r="386" spans="2:5" x14ac:dyDescent="0.25">
      <c r="B386" s="1">
        <v>39661</v>
      </c>
      <c r="C386" t="s">
        <v>57</v>
      </c>
      <c r="D386">
        <v>1137551331.23</v>
      </c>
      <c r="E386">
        <v>7</v>
      </c>
    </row>
    <row r="387" spans="2:5" x14ac:dyDescent="0.25">
      <c r="B387" s="1">
        <v>39661</v>
      </c>
      <c r="C387" t="s">
        <v>5</v>
      </c>
      <c r="D387">
        <v>1050886755.36</v>
      </c>
      <c r="E387">
        <v>8</v>
      </c>
    </row>
    <row r="388" spans="2:5" x14ac:dyDescent="0.25">
      <c r="B388" s="1">
        <v>39661</v>
      </c>
      <c r="C388" t="s">
        <v>25</v>
      </c>
      <c r="D388">
        <v>1009149437.96</v>
      </c>
      <c r="E388">
        <v>9</v>
      </c>
    </row>
    <row r="389" spans="2:5" x14ac:dyDescent="0.25">
      <c r="B389" s="1">
        <v>39661</v>
      </c>
      <c r="C389" t="s">
        <v>12</v>
      </c>
      <c r="D389">
        <v>829290393.58000004</v>
      </c>
      <c r="E389">
        <v>10</v>
      </c>
    </row>
    <row r="390" spans="2:5" x14ac:dyDescent="0.25">
      <c r="B390" s="1">
        <v>39692</v>
      </c>
      <c r="C390" t="s">
        <v>13</v>
      </c>
      <c r="D390">
        <v>6826679614.1599998</v>
      </c>
      <c r="E390">
        <v>1</v>
      </c>
    </row>
    <row r="391" spans="2:5" x14ac:dyDescent="0.25">
      <c r="B391" s="1">
        <v>39692</v>
      </c>
      <c r="C391" t="s">
        <v>16</v>
      </c>
      <c r="D391">
        <v>4576290883.3400002</v>
      </c>
      <c r="E391">
        <v>2</v>
      </c>
    </row>
    <row r="392" spans="2:5" x14ac:dyDescent="0.25">
      <c r="B392" s="1">
        <v>39692</v>
      </c>
      <c r="C392" t="s">
        <v>6</v>
      </c>
      <c r="D392">
        <v>3721284450.75</v>
      </c>
      <c r="E392">
        <v>3</v>
      </c>
    </row>
    <row r="393" spans="2:5" x14ac:dyDescent="0.25">
      <c r="B393" s="1">
        <v>39692</v>
      </c>
      <c r="C393" t="s">
        <v>14</v>
      </c>
      <c r="D393">
        <v>2390970582.23</v>
      </c>
      <c r="E393">
        <v>4</v>
      </c>
    </row>
    <row r="394" spans="2:5" x14ac:dyDescent="0.25">
      <c r="B394" s="1">
        <v>39692</v>
      </c>
      <c r="C394" t="s">
        <v>4</v>
      </c>
      <c r="D394">
        <v>2326562293.4099998</v>
      </c>
      <c r="E394">
        <v>5</v>
      </c>
    </row>
    <row r="395" spans="2:5" x14ac:dyDescent="0.25">
      <c r="B395" s="1">
        <v>39692</v>
      </c>
      <c r="C395" t="s">
        <v>7</v>
      </c>
      <c r="D395">
        <v>1757341434.5</v>
      </c>
      <c r="E395">
        <v>6</v>
      </c>
    </row>
    <row r="396" spans="2:5" x14ac:dyDescent="0.25">
      <c r="B396" s="1">
        <v>39692</v>
      </c>
      <c r="C396" t="s">
        <v>57</v>
      </c>
      <c r="D396">
        <v>1332940093.6900001</v>
      </c>
      <c r="E396">
        <v>7</v>
      </c>
    </row>
    <row r="397" spans="2:5" x14ac:dyDescent="0.25">
      <c r="B397" s="1">
        <v>39692</v>
      </c>
      <c r="C397" t="s">
        <v>58</v>
      </c>
      <c r="D397">
        <v>1097946836.3599999</v>
      </c>
      <c r="E397">
        <v>8</v>
      </c>
    </row>
    <row r="398" spans="2:5" x14ac:dyDescent="0.25">
      <c r="B398" s="1">
        <v>39692</v>
      </c>
      <c r="C398" t="s">
        <v>25</v>
      </c>
      <c r="D398">
        <v>1080669747.9100001</v>
      </c>
      <c r="E398">
        <v>9</v>
      </c>
    </row>
    <row r="399" spans="2:5" x14ac:dyDescent="0.25">
      <c r="B399" s="1">
        <v>39692</v>
      </c>
      <c r="C399" t="s">
        <v>12</v>
      </c>
      <c r="D399">
        <v>711290312.90999997</v>
      </c>
      <c r="E399">
        <v>10</v>
      </c>
    </row>
    <row r="400" spans="2:5" x14ac:dyDescent="0.25">
      <c r="B400" s="1">
        <v>39722</v>
      </c>
      <c r="C400" t="s">
        <v>13</v>
      </c>
      <c r="D400">
        <v>3655203702.7600002</v>
      </c>
      <c r="E400">
        <v>1</v>
      </c>
    </row>
    <row r="401" spans="2:5" x14ac:dyDescent="0.25">
      <c r="B401" s="1">
        <v>39722</v>
      </c>
      <c r="C401" t="s">
        <v>4</v>
      </c>
      <c r="D401">
        <v>3299307846.8800001</v>
      </c>
      <c r="E401">
        <v>2</v>
      </c>
    </row>
    <row r="402" spans="2:5" x14ac:dyDescent="0.25">
      <c r="B402" s="1">
        <v>39722</v>
      </c>
      <c r="C402" t="s">
        <v>6</v>
      </c>
      <c r="D402">
        <v>2740026309.71</v>
      </c>
      <c r="E402">
        <v>3</v>
      </c>
    </row>
    <row r="403" spans="2:5" x14ac:dyDescent="0.25">
      <c r="B403" s="1">
        <v>39722</v>
      </c>
      <c r="C403" t="s">
        <v>7</v>
      </c>
      <c r="D403">
        <v>2029327063.1300001</v>
      </c>
      <c r="E403">
        <v>4</v>
      </c>
    </row>
    <row r="404" spans="2:5" x14ac:dyDescent="0.25">
      <c r="B404" s="1">
        <v>39722</v>
      </c>
      <c r="C404" t="s">
        <v>16</v>
      </c>
      <c r="D404">
        <v>1556910841.1199999</v>
      </c>
      <c r="E404">
        <v>5</v>
      </c>
    </row>
    <row r="405" spans="2:5" x14ac:dyDescent="0.25">
      <c r="B405" s="1">
        <v>39722</v>
      </c>
      <c r="C405" t="s">
        <v>57</v>
      </c>
      <c r="D405">
        <v>1199444316</v>
      </c>
      <c r="E405">
        <v>6</v>
      </c>
    </row>
    <row r="406" spans="2:5" x14ac:dyDescent="0.25">
      <c r="B406" s="1">
        <v>39722</v>
      </c>
      <c r="C406" t="s">
        <v>58</v>
      </c>
      <c r="D406">
        <v>1065916156.21</v>
      </c>
      <c r="E406">
        <v>7</v>
      </c>
    </row>
    <row r="407" spans="2:5" x14ac:dyDescent="0.25">
      <c r="B407" s="1">
        <v>39722</v>
      </c>
      <c r="C407" t="s">
        <v>25</v>
      </c>
      <c r="D407">
        <v>995868510.13</v>
      </c>
      <c r="E407">
        <v>8</v>
      </c>
    </row>
    <row r="408" spans="2:5" x14ac:dyDescent="0.25">
      <c r="B408" s="1">
        <v>39722</v>
      </c>
      <c r="C408" t="s">
        <v>12</v>
      </c>
      <c r="D408">
        <v>681109796</v>
      </c>
      <c r="E408">
        <v>9</v>
      </c>
    </row>
    <row r="409" spans="2:5" x14ac:dyDescent="0.25">
      <c r="B409" s="1">
        <v>39722</v>
      </c>
      <c r="C409" t="s">
        <v>5</v>
      </c>
      <c r="D409">
        <v>548837801.54999995</v>
      </c>
      <c r="E409">
        <v>10</v>
      </c>
    </row>
    <row r="410" spans="2:5" x14ac:dyDescent="0.25">
      <c r="B410" s="1">
        <v>39753</v>
      </c>
      <c r="C410" t="s">
        <v>13</v>
      </c>
      <c r="D410">
        <v>4550926488.3800001</v>
      </c>
      <c r="E410">
        <v>1</v>
      </c>
    </row>
    <row r="411" spans="2:5" x14ac:dyDescent="0.25">
      <c r="B411" s="1">
        <v>39753</v>
      </c>
      <c r="C411" t="s">
        <v>6</v>
      </c>
      <c r="D411">
        <v>2515091694.6199999</v>
      </c>
      <c r="E411">
        <v>2</v>
      </c>
    </row>
    <row r="412" spans="2:5" x14ac:dyDescent="0.25">
      <c r="B412" s="1">
        <v>39753</v>
      </c>
      <c r="C412" t="s">
        <v>4</v>
      </c>
      <c r="D412">
        <v>2424326679.6300001</v>
      </c>
      <c r="E412">
        <v>3</v>
      </c>
    </row>
    <row r="413" spans="2:5" x14ac:dyDescent="0.25">
      <c r="B413" s="1">
        <v>39753</v>
      </c>
      <c r="C413" t="s">
        <v>16</v>
      </c>
      <c r="D413">
        <v>2418760155.1700001</v>
      </c>
      <c r="E413">
        <v>4</v>
      </c>
    </row>
    <row r="414" spans="2:5" x14ac:dyDescent="0.25">
      <c r="B414" s="1">
        <v>39753</v>
      </c>
      <c r="C414" t="s">
        <v>7</v>
      </c>
      <c r="D414">
        <v>1685306018.4400001</v>
      </c>
      <c r="E414">
        <v>5</v>
      </c>
    </row>
    <row r="415" spans="2:5" x14ac:dyDescent="0.25">
      <c r="B415" s="1">
        <v>39753</v>
      </c>
      <c r="C415" t="s">
        <v>57</v>
      </c>
      <c r="D415">
        <v>1232068329</v>
      </c>
      <c r="E415">
        <v>6</v>
      </c>
    </row>
    <row r="416" spans="2:5" x14ac:dyDescent="0.25">
      <c r="B416" s="1">
        <v>39753</v>
      </c>
      <c r="C416" t="s">
        <v>58</v>
      </c>
      <c r="D416">
        <v>715357720.58000004</v>
      </c>
      <c r="E416">
        <v>7</v>
      </c>
    </row>
    <row r="417" spans="2:5" x14ac:dyDescent="0.25">
      <c r="B417" s="1">
        <v>39753</v>
      </c>
      <c r="C417" t="s">
        <v>25</v>
      </c>
      <c r="D417">
        <v>653795272.74000001</v>
      </c>
      <c r="E417">
        <v>8</v>
      </c>
    </row>
    <row r="418" spans="2:5" x14ac:dyDescent="0.25">
      <c r="B418" s="1">
        <v>39753</v>
      </c>
      <c r="C418" t="s">
        <v>5</v>
      </c>
      <c r="D418">
        <v>484912507.41000003</v>
      </c>
      <c r="E418">
        <v>9</v>
      </c>
    </row>
    <row r="419" spans="2:5" x14ac:dyDescent="0.25">
      <c r="B419" s="1">
        <v>39753</v>
      </c>
      <c r="C419" t="s">
        <v>12</v>
      </c>
      <c r="D419">
        <v>401866202.69999999</v>
      </c>
      <c r="E419">
        <v>10</v>
      </c>
    </row>
    <row r="420" spans="2:5" x14ac:dyDescent="0.25">
      <c r="B420" s="1">
        <v>39783</v>
      </c>
      <c r="C420" t="s">
        <v>16</v>
      </c>
      <c r="D420">
        <v>8422014425.4099998</v>
      </c>
      <c r="E420">
        <v>1</v>
      </c>
    </row>
    <row r="421" spans="2:5" x14ac:dyDescent="0.25">
      <c r="B421" s="1">
        <v>39783</v>
      </c>
      <c r="C421" t="s">
        <v>13</v>
      </c>
      <c r="D421">
        <v>5550356551.6300001</v>
      </c>
      <c r="E421">
        <v>2</v>
      </c>
    </row>
    <row r="422" spans="2:5" x14ac:dyDescent="0.25">
      <c r="B422" s="1">
        <v>39783</v>
      </c>
      <c r="C422" t="s">
        <v>6</v>
      </c>
      <c r="D422">
        <v>3106185436.3600001</v>
      </c>
      <c r="E422">
        <v>3</v>
      </c>
    </row>
    <row r="423" spans="2:5" x14ac:dyDescent="0.25">
      <c r="B423" s="1">
        <v>39783</v>
      </c>
      <c r="C423" t="s">
        <v>4</v>
      </c>
      <c r="D423">
        <v>2591575469.4400001</v>
      </c>
      <c r="E423">
        <v>4</v>
      </c>
    </row>
    <row r="424" spans="2:5" x14ac:dyDescent="0.25">
      <c r="B424" s="1">
        <v>39783</v>
      </c>
      <c r="C424" t="s">
        <v>37</v>
      </c>
      <c r="D424">
        <v>2336672835.98</v>
      </c>
      <c r="E424">
        <v>5</v>
      </c>
    </row>
    <row r="425" spans="2:5" x14ac:dyDescent="0.25">
      <c r="B425" s="1">
        <v>39783</v>
      </c>
      <c r="C425" t="s">
        <v>7</v>
      </c>
      <c r="D425">
        <v>2178270115.3600001</v>
      </c>
      <c r="E425">
        <v>6</v>
      </c>
    </row>
    <row r="426" spans="2:5" x14ac:dyDescent="0.25">
      <c r="B426" s="1">
        <v>39783</v>
      </c>
      <c r="C426" t="s">
        <v>61</v>
      </c>
      <c r="D426">
        <v>1530928194.1400001</v>
      </c>
      <c r="E426">
        <v>7</v>
      </c>
    </row>
    <row r="427" spans="2:5" x14ac:dyDescent="0.25">
      <c r="B427" s="1">
        <v>39783</v>
      </c>
      <c r="C427" t="s">
        <v>21</v>
      </c>
      <c r="D427">
        <v>1525277871.1700001</v>
      </c>
      <c r="E427">
        <v>8</v>
      </c>
    </row>
    <row r="428" spans="2:5" x14ac:dyDescent="0.25">
      <c r="B428" s="1">
        <v>39783</v>
      </c>
      <c r="C428" t="s">
        <v>25</v>
      </c>
      <c r="D428">
        <v>1283604308.3099999</v>
      </c>
      <c r="E428">
        <v>9</v>
      </c>
    </row>
    <row r="429" spans="2:5" x14ac:dyDescent="0.25">
      <c r="B429" s="1">
        <v>39783</v>
      </c>
      <c r="C429" t="s">
        <v>57</v>
      </c>
      <c r="D429">
        <v>1081151550.25</v>
      </c>
      <c r="E429">
        <v>10</v>
      </c>
    </row>
    <row r="430" spans="2:5" x14ac:dyDescent="0.25">
      <c r="B430" s="1">
        <v>39814</v>
      </c>
      <c r="C430" t="s">
        <v>13</v>
      </c>
      <c r="D430">
        <v>3756680738.23</v>
      </c>
      <c r="E430">
        <v>1</v>
      </c>
    </row>
    <row r="431" spans="2:5" x14ac:dyDescent="0.25">
      <c r="B431" s="1">
        <v>39814</v>
      </c>
      <c r="C431" t="s">
        <v>6</v>
      </c>
      <c r="D431">
        <v>3537510920.7199998</v>
      </c>
      <c r="E431">
        <v>2</v>
      </c>
    </row>
    <row r="432" spans="2:5" x14ac:dyDescent="0.25">
      <c r="B432" s="1">
        <v>39814</v>
      </c>
      <c r="C432" t="s">
        <v>7</v>
      </c>
      <c r="D432">
        <v>2557155019.7199998</v>
      </c>
      <c r="E432">
        <v>3</v>
      </c>
    </row>
    <row r="433" spans="2:5" x14ac:dyDescent="0.25">
      <c r="B433" s="1">
        <v>39814</v>
      </c>
      <c r="C433" t="s">
        <v>4</v>
      </c>
      <c r="D433">
        <v>1760296401.01</v>
      </c>
      <c r="E433">
        <v>4</v>
      </c>
    </row>
    <row r="434" spans="2:5" x14ac:dyDescent="0.25">
      <c r="B434" s="1">
        <v>39814</v>
      </c>
      <c r="C434" t="s">
        <v>58</v>
      </c>
      <c r="D434">
        <v>923120637.58000004</v>
      </c>
      <c r="E434">
        <v>5</v>
      </c>
    </row>
    <row r="435" spans="2:5" x14ac:dyDescent="0.25">
      <c r="B435" s="1">
        <v>39814</v>
      </c>
      <c r="C435" t="s">
        <v>16</v>
      </c>
      <c r="D435">
        <v>855120211.13</v>
      </c>
      <c r="E435">
        <v>6</v>
      </c>
    </row>
    <row r="436" spans="2:5" x14ac:dyDescent="0.25">
      <c r="B436" s="1">
        <v>39814</v>
      </c>
      <c r="C436" t="s">
        <v>57</v>
      </c>
      <c r="D436">
        <v>724583556.05999994</v>
      </c>
      <c r="E436">
        <v>7</v>
      </c>
    </row>
    <row r="437" spans="2:5" x14ac:dyDescent="0.25">
      <c r="B437" s="1">
        <v>39814</v>
      </c>
      <c r="C437" t="s">
        <v>5</v>
      </c>
      <c r="D437">
        <v>520733159.38</v>
      </c>
      <c r="E437">
        <v>8</v>
      </c>
    </row>
    <row r="438" spans="2:5" x14ac:dyDescent="0.25">
      <c r="B438" s="1">
        <v>39814</v>
      </c>
      <c r="C438" t="s">
        <v>14</v>
      </c>
      <c r="D438">
        <v>478631006.50999999</v>
      </c>
      <c r="E438">
        <v>9</v>
      </c>
    </row>
    <row r="439" spans="2:5" x14ac:dyDescent="0.25">
      <c r="B439" s="1">
        <v>39814</v>
      </c>
      <c r="C439" t="s">
        <v>12</v>
      </c>
      <c r="D439">
        <v>459181459.44</v>
      </c>
      <c r="E439">
        <v>10</v>
      </c>
    </row>
    <row r="440" spans="2:5" x14ac:dyDescent="0.25">
      <c r="B440" s="1">
        <v>39845</v>
      </c>
      <c r="C440" t="s">
        <v>13</v>
      </c>
      <c r="D440">
        <v>9511580945.1800003</v>
      </c>
      <c r="E440">
        <v>1</v>
      </c>
    </row>
    <row r="441" spans="2:5" x14ac:dyDescent="0.25">
      <c r="B441" s="1">
        <v>39845</v>
      </c>
      <c r="C441" t="s">
        <v>6</v>
      </c>
      <c r="D441">
        <v>9257448004.8400002</v>
      </c>
      <c r="E441">
        <v>2</v>
      </c>
    </row>
    <row r="442" spans="2:5" x14ac:dyDescent="0.25">
      <c r="B442" s="1">
        <v>39845</v>
      </c>
      <c r="C442" t="s">
        <v>4</v>
      </c>
      <c r="D442">
        <v>2380664984.6799998</v>
      </c>
      <c r="E442">
        <v>3</v>
      </c>
    </row>
    <row r="443" spans="2:5" x14ac:dyDescent="0.25">
      <c r="B443" s="1">
        <v>39845</v>
      </c>
      <c r="C443" t="s">
        <v>57</v>
      </c>
      <c r="D443">
        <v>2220890353.6799998</v>
      </c>
      <c r="E443">
        <v>4</v>
      </c>
    </row>
    <row r="444" spans="2:5" x14ac:dyDescent="0.25">
      <c r="B444" s="1">
        <v>39845</v>
      </c>
      <c r="C444" t="s">
        <v>12</v>
      </c>
      <c r="D444">
        <v>1405817023</v>
      </c>
      <c r="E444">
        <v>5</v>
      </c>
    </row>
    <row r="445" spans="2:5" x14ac:dyDescent="0.25">
      <c r="B445" s="1">
        <v>39845</v>
      </c>
      <c r="C445" t="s">
        <v>16</v>
      </c>
      <c r="D445">
        <v>1403736406.28</v>
      </c>
      <c r="E445">
        <v>6</v>
      </c>
    </row>
    <row r="446" spans="2:5" x14ac:dyDescent="0.25">
      <c r="B446" s="1">
        <v>39845</v>
      </c>
      <c r="C446" t="s">
        <v>14</v>
      </c>
      <c r="D446">
        <v>1273764070.76</v>
      </c>
      <c r="E446">
        <v>7</v>
      </c>
    </row>
    <row r="447" spans="2:5" x14ac:dyDescent="0.25">
      <c r="B447" s="1">
        <v>39845</v>
      </c>
      <c r="C447" t="s">
        <v>58</v>
      </c>
      <c r="D447">
        <v>1078154854.03</v>
      </c>
      <c r="E447">
        <v>8</v>
      </c>
    </row>
    <row r="448" spans="2:5" x14ac:dyDescent="0.25">
      <c r="B448" s="1">
        <v>39845</v>
      </c>
      <c r="C448" t="s">
        <v>25</v>
      </c>
      <c r="D448">
        <v>715164383.12</v>
      </c>
      <c r="E448">
        <v>9</v>
      </c>
    </row>
    <row r="449" spans="2:5" x14ac:dyDescent="0.25">
      <c r="B449" s="1">
        <v>39845</v>
      </c>
      <c r="C449" t="s">
        <v>5</v>
      </c>
      <c r="D449">
        <v>630938838.39999998</v>
      </c>
      <c r="E449">
        <v>10</v>
      </c>
    </row>
    <row r="450" spans="2:5" x14ac:dyDescent="0.25">
      <c r="B450" s="1">
        <v>39873</v>
      </c>
      <c r="C450" t="s">
        <v>6</v>
      </c>
      <c r="D450">
        <v>14453685921.889999</v>
      </c>
      <c r="E450">
        <v>1</v>
      </c>
    </row>
    <row r="451" spans="2:5" x14ac:dyDescent="0.25">
      <c r="B451" s="1">
        <v>39873</v>
      </c>
      <c r="C451" t="s">
        <v>13</v>
      </c>
      <c r="D451">
        <v>14368376825.32</v>
      </c>
      <c r="E451">
        <v>2</v>
      </c>
    </row>
    <row r="452" spans="2:5" x14ac:dyDescent="0.25">
      <c r="B452" s="1">
        <v>39873</v>
      </c>
      <c r="C452" t="s">
        <v>16</v>
      </c>
      <c r="D452">
        <v>9514998899.3199997</v>
      </c>
      <c r="E452">
        <v>3</v>
      </c>
    </row>
    <row r="453" spans="2:5" x14ac:dyDescent="0.25">
      <c r="B453" s="1">
        <v>39873</v>
      </c>
      <c r="C453" t="s">
        <v>4</v>
      </c>
      <c r="D453">
        <v>3669633504.7399998</v>
      </c>
      <c r="E453">
        <v>4</v>
      </c>
    </row>
    <row r="454" spans="2:5" x14ac:dyDescent="0.25">
      <c r="B454" s="1">
        <v>39873</v>
      </c>
      <c r="C454" t="s">
        <v>57</v>
      </c>
      <c r="D454">
        <v>2581902036.8600001</v>
      </c>
      <c r="E454">
        <v>5</v>
      </c>
    </row>
    <row r="455" spans="2:5" x14ac:dyDescent="0.25">
      <c r="B455" s="1">
        <v>39873</v>
      </c>
      <c r="C455" t="s">
        <v>58</v>
      </c>
      <c r="D455">
        <v>2137733570.1199999</v>
      </c>
      <c r="E455">
        <v>6</v>
      </c>
    </row>
    <row r="456" spans="2:5" x14ac:dyDescent="0.25">
      <c r="B456" s="1">
        <v>39873</v>
      </c>
      <c r="C456" t="s">
        <v>25</v>
      </c>
      <c r="D456">
        <v>1622213766.6099999</v>
      </c>
      <c r="E456">
        <v>7</v>
      </c>
    </row>
    <row r="457" spans="2:5" x14ac:dyDescent="0.25">
      <c r="B457" s="1">
        <v>39873</v>
      </c>
      <c r="C457" t="s">
        <v>14</v>
      </c>
      <c r="D457">
        <v>1427198629.9000001</v>
      </c>
      <c r="E457">
        <v>8</v>
      </c>
    </row>
    <row r="458" spans="2:5" x14ac:dyDescent="0.25">
      <c r="B458" s="1">
        <v>39873</v>
      </c>
      <c r="C458" t="s">
        <v>5</v>
      </c>
      <c r="D458">
        <v>1307784771.1199999</v>
      </c>
      <c r="E458">
        <v>9</v>
      </c>
    </row>
    <row r="459" spans="2:5" x14ac:dyDescent="0.25">
      <c r="B459" s="1">
        <v>39873</v>
      </c>
      <c r="C459" t="s">
        <v>12</v>
      </c>
      <c r="D459">
        <v>1216935785.27</v>
      </c>
      <c r="E459">
        <v>10</v>
      </c>
    </row>
    <row r="460" spans="2:5" x14ac:dyDescent="0.25">
      <c r="B460" s="1">
        <v>39904</v>
      </c>
      <c r="C460" t="s">
        <v>13</v>
      </c>
      <c r="D460">
        <v>10866823472.32</v>
      </c>
      <c r="E460">
        <v>1</v>
      </c>
    </row>
    <row r="461" spans="2:5" x14ac:dyDescent="0.25">
      <c r="B461" s="1">
        <v>39904</v>
      </c>
      <c r="C461" t="s">
        <v>6</v>
      </c>
      <c r="D461">
        <v>6613979565.25</v>
      </c>
      <c r="E461">
        <v>2</v>
      </c>
    </row>
    <row r="462" spans="2:5" x14ac:dyDescent="0.25">
      <c r="B462" s="1">
        <v>39904</v>
      </c>
      <c r="C462" t="s">
        <v>57</v>
      </c>
      <c r="D462">
        <v>2636791196</v>
      </c>
      <c r="E462">
        <v>3</v>
      </c>
    </row>
    <row r="463" spans="2:5" x14ac:dyDescent="0.25">
      <c r="B463" s="1">
        <v>39904</v>
      </c>
      <c r="C463" t="s">
        <v>58</v>
      </c>
      <c r="D463">
        <v>2635227445.8499999</v>
      </c>
      <c r="E463">
        <v>4</v>
      </c>
    </row>
    <row r="464" spans="2:5" x14ac:dyDescent="0.25">
      <c r="B464" s="1">
        <v>39904</v>
      </c>
      <c r="C464" t="s">
        <v>5</v>
      </c>
      <c r="D464">
        <v>2574869351.5599999</v>
      </c>
      <c r="E464">
        <v>5</v>
      </c>
    </row>
    <row r="465" spans="2:5" x14ac:dyDescent="0.25">
      <c r="B465" s="1">
        <v>39904</v>
      </c>
      <c r="C465" t="s">
        <v>4</v>
      </c>
      <c r="D465">
        <v>2214641693.3699999</v>
      </c>
      <c r="E465">
        <v>6</v>
      </c>
    </row>
    <row r="466" spans="2:5" x14ac:dyDescent="0.25">
      <c r="B466" s="1">
        <v>39904</v>
      </c>
      <c r="C466" t="s">
        <v>16</v>
      </c>
      <c r="D466">
        <v>1831852270.22</v>
      </c>
      <c r="E466">
        <v>7</v>
      </c>
    </row>
    <row r="467" spans="2:5" x14ac:dyDescent="0.25">
      <c r="B467" s="1">
        <v>39904</v>
      </c>
      <c r="C467" t="s">
        <v>25</v>
      </c>
      <c r="D467">
        <v>1134925696.8199999</v>
      </c>
      <c r="E467">
        <v>8</v>
      </c>
    </row>
    <row r="468" spans="2:5" x14ac:dyDescent="0.25">
      <c r="B468" s="1">
        <v>39904</v>
      </c>
      <c r="C468" t="s">
        <v>14</v>
      </c>
      <c r="D468">
        <v>1001661409</v>
      </c>
      <c r="E468">
        <v>9</v>
      </c>
    </row>
    <row r="469" spans="2:5" x14ac:dyDescent="0.25">
      <c r="B469" s="1">
        <v>39904</v>
      </c>
      <c r="C469" t="s">
        <v>12</v>
      </c>
      <c r="D469">
        <v>953947303</v>
      </c>
      <c r="E469">
        <v>10</v>
      </c>
    </row>
    <row r="470" spans="2:5" x14ac:dyDescent="0.25">
      <c r="B470" s="1">
        <v>39934</v>
      </c>
      <c r="C470" t="s">
        <v>13</v>
      </c>
      <c r="D470">
        <v>16377153576.040001</v>
      </c>
      <c r="E470">
        <v>1</v>
      </c>
    </row>
    <row r="471" spans="2:5" x14ac:dyDescent="0.25">
      <c r="B471" s="1">
        <v>39934</v>
      </c>
      <c r="C471" t="s">
        <v>6</v>
      </c>
      <c r="D471">
        <v>10980515274.559999</v>
      </c>
      <c r="E471">
        <v>2</v>
      </c>
    </row>
    <row r="472" spans="2:5" x14ac:dyDescent="0.25">
      <c r="B472" s="1">
        <v>39934</v>
      </c>
      <c r="C472" t="s">
        <v>16</v>
      </c>
      <c r="D472">
        <v>7832451449.5500002</v>
      </c>
      <c r="E472">
        <v>3</v>
      </c>
    </row>
    <row r="473" spans="2:5" x14ac:dyDescent="0.25">
      <c r="B473" s="1">
        <v>39934</v>
      </c>
      <c r="C473" t="s">
        <v>4</v>
      </c>
      <c r="D473">
        <v>7694647345.4300003</v>
      </c>
      <c r="E473">
        <v>4</v>
      </c>
    </row>
    <row r="474" spans="2:5" x14ac:dyDescent="0.25">
      <c r="B474" s="1">
        <v>39934</v>
      </c>
      <c r="C474" t="s">
        <v>5</v>
      </c>
      <c r="D474">
        <v>5729582604.1499996</v>
      </c>
      <c r="E474">
        <v>5</v>
      </c>
    </row>
    <row r="475" spans="2:5" x14ac:dyDescent="0.25">
      <c r="B475" s="1">
        <v>39934</v>
      </c>
      <c r="C475" t="s">
        <v>57</v>
      </c>
      <c r="D475">
        <v>3149383417.9400001</v>
      </c>
      <c r="E475">
        <v>6</v>
      </c>
    </row>
    <row r="476" spans="2:5" x14ac:dyDescent="0.25">
      <c r="B476" s="1">
        <v>39934</v>
      </c>
      <c r="C476" t="s">
        <v>58</v>
      </c>
      <c r="D476">
        <v>2568225957.29</v>
      </c>
      <c r="E476">
        <v>7</v>
      </c>
    </row>
    <row r="477" spans="2:5" x14ac:dyDescent="0.25">
      <c r="B477" s="1">
        <v>39934</v>
      </c>
      <c r="C477" t="s">
        <v>25</v>
      </c>
      <c r="D477">
        <v>2007873609.8199999</v>
      </c>
      <c r="E477">
        <v>8</v>
      </c>
    </row>
    <row r="478" spans="2:5" x14ac:dyDescent="0.25">
      <c r="B478" s="1">
        <v>39934</v>
      </c>
      <c r="C478" t="s">
        <v>12</v>
      </c>
      <c r="D478">
        <v>1538541620.98</v>
      </c>
      <c r="E478">
        <v>9</v>
      </c>
    </row>
    <row r="479" spans="2:5" x14ac:dyDescent="0.25">
      <c r="B479" s="1">
        <v>39934</v>
      </c>
      <c r="C479" t="s">
        <v>21</v>
      </c>
      <c r="D479">
        <v>1367891457.2</v>
      </c>
      <c r="E479">
        <v>10</v>
      </c>
    </row>
    <row r="480" spans="2:5" x14ac:dyDescent="0.25">
      <c r="B480" s="1">
        <v>39965</v>
      </c>
      <c r="C480" t="s">
        <v>13</v>
      </c>
      <c r="D480">
        <v>18556306988.82</v>
      </c>
      <c r="E480">
        <v>1</v>
      </c>
    </row>
    <row r="481" spans="2:5" x14ac:dyDescent="0.25">
      <c r="B481" s="1">
        <v>39965</v>
      </c>
      <c r="C481" t="s">
        <v>6</v>
      </c>
      <c r="D481">
        <v>16385859796.799999</v>
      </c>
      <c r="E481">
        <v>2</v>
      </c>
    </row>
    <row r="482" spans="2:5" x14ac:dyDescent="0.25">
      <c r="B482" s="1">
        <v>39965</v>
      </c>
      <c r="C482" t="s">
        <v>16</v>
      </c>
      <c r="D482">
        <v>6300278425.04</v>
      </c>
      <c r="E482">
        <v>3</v>
      </c>
    </row>
    <row r="483" spans="2:5" x14ac:dyDescent="0.25">
      <c r="B483" s="1">
        <v>39965</v>
      </c>
      <c r="C483" t="s">
        <v>4</v>
      </c>
      <c r="D483">
        <v>5504690092.9399996</v>
      </c>
      <c r="E483">
        <v>4</v>
      </c>
    </row>
    <row r="484" spans="2:5" x14ac:dyDescent="0.25">
      <c r="B484" s="1">
        <v>39965</v>
      </c>
      <c r="C484" t="s">
        <v>5</v>
      </c>
      <c r="D484">
        <v>3886793291.8899999</v>
      </c>
      <c r="E484">
        <v>5</v>
      </c>
    </row>
    <row r="485" spans="2:5" x14ac:dyDescent="0.25">
      <c r="B485" s="1">
        <v>39965</v>
      </c>
      <c r="C485" t="s">
        <v>57</v>
      </c>
      <c r="D485">
        <v>3485600189.8299999</v>
      </c>
      <c r="E485">
        <v>6</v>
      </c>
    </row>
    <row r="486" spans="2:5" x14ac:dyDescent="0.25">
      <c r="B486" s="1">
        <v>39965</v>
      </c>
      <c r="C486" t="s">
        <v>25</v>
      </c>
      <c r="D486">
        <v>2890599988.1900001</v>
      </c>
      <c r="E486">
        <v>7</v>
      </c>
    </row>
    <row r="487" spans="2:5" x14ac:dyDescent="0.25">
      <c r="B487" s="1">
        <v>39965</v>
      </c>
      <c r="C487" t="s">
        <v>58</v>
      </c>
      <c r="D487">
        <v>2085681943.29</v>
      </c>
      <c r="E487">
        <v>8</v>
      </c>
    </row>
    <row r="488" spans="2:5" x14ac:dyDescent="0.25">
      <c r="B488" s="1">
        <v>39965</v>
      </c>
      <c r="C488" t="s">
        <v>12</v>
      </c>
      <c r="D488">
        <v>2041508250.48</v>
      </c>
      <c r="E488">
        <v>9</v>
      </c>
    </row>
    <row r="489" spans="2:5" x14ac:dyDescent="0.25">
      <c r="B489" s="1">
        <v>39965</v>
      </c>
      <c r="C489" t="s">
        <v>62</v>
      </c>
      <c r="D489">
        <v>1411001019.22</v>
      </c>
      <c r="E489">
        <v>10</v>
      </c>
    </row>
    <row r="490" spans="2:5" x14ac:dyDescent="0.25">
      <c r="B490" s="1">
        <v>39995</v>
      </c>
      <c r="C490" t="s">
        <v>13</v>
      </c>
      <c r="D490">
        <v>17780279923.57</v>
      </c>
      <c r="E490">
        <v>1</v>
      </c>
    </row>
    <row r="491" spans="2:5" x14ac:dyDescent="0.25">
      <c r="B491" s="1">
        <v>39995</v>
      </c>
      <c r="C491" t="s">
        <v>6</v>
      </c>
      <c r="D491">
        <v>13232923368.200001</v>
      </c>
      <c r="E491">
        <v>2</v>
      </c>
    </row>
    <row r="492" spans="2:5" x14ac:dyDescent="0.25">
      <c r="B492" s="1">
        <v>39995</v>
      </c>
      <c r="C492" t="s">
        <v>4</v>
      </c>
      <c r="D492">
        <v>4078320972.77</v>
      </c>
      <c r="E492">
        <v>3</v>
      </c>
    </row>
    <row r="493" spans="2:5" x14ac:dyDescent="0.25">
      <c r="B493" s="1">
        <v>39995</v>
      </c>
      <c r="C493" t="s">
        <v>57</v>
      </c>
      <c r="D493">
        <v>3555049260.5900002</v>
      </c>
      <c r="E493">
        <v>4</v>
      </c>
    </row>
    <row r="494" spans="2:5" x14ac:dyDescent="0.25">
      <c r="B494" s="1">
        <v>39995</v>
      </c>
      <c r="C494" t="s">
        <v>25</v>
      </c>
      <c r="D494">
        <v>2256690852.2199998</v>
      </c>
      <c r="E494">
        <v>5</v>
      </c>
    </row>
    <row r="495" spans="2:5" x14ac:dyDescent="0.25">
      <c r="B495" s="1">
        <v>39995</v>
      </c>
      <c r="C495" t="s">
        <v>5</v>
      </c>
      <c r="D495">
        <v>1985615127.78</v>
      </c>
      <c r="E495">
        <v>6</v>
      </c>
    </row>
    <row r="496" spans="2:5" x14ac:dyDescent="0.25">
      <c r="B496" s="1">
        <v>39995</v>
      </c>
      <c r="C496" t="s">
        <v>58</v>
      </c>
      <c r="D496">
        <v>1534118490.3199999</v>
      </c>
      <c r="E496">
        <v>7</v>
      </c>
    </row>
    <row r="497" spans="2:5" x14ac:dyDescent="0.25">
      <c r="B497" s="1">
        <v>39995</v>
      </c>
      <c r="C497" t="s">
        <v>12</v>
      </c>
      <c r="D497">
        <v>1252653319.1900001</v>
      </c>
      <c r="E497">
        <v>8</v>
      </c>
    </row>
    <row r="498" spans="2:5" x14ac:dyDescent="0.25">
      <c r="B498" s="1">
        <v>39995</v>
      </c>
      <c r="C498" t="s">
        <v>16</v>
      </c>
      <c r="D498">
        <v>933539103.72000003</v>
      </c>
      <c r="E498">
        <v>9</v>
      </c>
    </row>
    <row r="499" spans="2:5" x14ac:dyDescent="0.25">
      <c r="B499" s="1">
        <v>39995</v>
      </c>
      <c r="C499" t="s">
        <v>19</v>
      </c>
      <c r="D499">
        <v>883282992.5</v>
      </c>
      <c r="E499">
        <v>10</v>
      </c>
    </row>
    <row r="500" spans="2:5" x14ac:dyDescent="0.25">
      <c r="B500" s="1">
        <v>40026</v>
      </c>
      <c r="C500" t="s">
        <v>13</v>
      </c>
      <c r="D500">
        <v>13559469118.879999</v>
      </c>
      <c r="E500">
        <v>1</v>
      </c>
    </row>
    <row r="501" spans="2:5" x14ac:dyDescent="0.25">
      <c r="B501" s="1">
        <v>40026</v>
      </c>
      <c r="C501" t="s">
        <v>6</v>
      </c>
      <c r="D501">
        <v>10631867083.52</v>
      </c>
      <c r="E501">
        <v>2</v>
      </c>
    </row>
    <row r="502" spans="2:5" x14ac:dyDescent="0.25">
      <c r="B502" s="1">
        <v>40026</v>
      </c>
      <c r="C502" t="s">
        <v>4</v>
      </c>
      <c r="D502">
        <v>2226606400.2800002</v>
      </c>
      <c r="E502">
        <v>3</v>
      </c>
    </row>
    <row r="503" spans="2:5" x14ac:dyDescent="0.25">
      <c r="B503" s="1">
        <v>40026</v>
      </c>
      <c r="C503" t="s">
        <v>16</v>
      </c>
      <c r="D503">
        <v>2019788713.0599999</v>
      </c>
      <c r="E503">
        <v>4</v>
      </c>
    </row>
    <row r="504" spans="2:5" x14ac:dyDescent="0.25">
      <c r="B504" s="1">
        <v>40026</v>
      </c>
      <c r="C504" t="s">
        <v>57</v>
      </c>
      <c r="D504">
        <v>1758618024</v>
      </c>
      <c r="E504">
        <v>5</v>
      </c>
    </row>
    <row r="505" spans="2:5" x14ac:dyDescent="0.25">
      <c r="B505" s="1">
        <v>40026</v>
      </c>
      <c r="C505" t="s">
        <v>25</v>
      </c>
      <c r="D505">
        <v>1508806380.53</v>
      </c>
      <c r="E505">
        <v>6</v>
      </c>
    </row>
    <row r="506" spans="2:5" x14ac:dyDescent="0.25">
      <c r="B506" s="1">
        <v>40026</v>
      </c>
      <c r="C506" t="s">
        <v>5</v>
      </c>
      <c r="D506">
        <v>1454096040.6600001</v>
      </c>
      <c r="E506">
        <v>7</v>
      </c>
    </row>
    <row r="507" spans="2:5" x14ac:dyDescent="0.25">
      <c r="B507" s="1">
        <v>40026</v>
      </c>
      <c r="C507" t="s">
        <v>58</v>
      </c>
      <c r="D507">
        <v>1031320812.12</v>
      </c>
      <c r="E507">
        <v>8</v>
      </c>
    </row>
    <row r="508" spans="2:5" x14ac:dyDescent="0.25">
      <c r="B508" s="1">
        <v>40026</v>
      </c>
      <c r="C508" t="s">
        <v>12</v>
      </c>
      <c r="D508">
        <v>954606164.92999995</v>
      </c>
      <c r="E508">
        <v>9</v>
      </c>
    </row>
    <row r="509" spans="2:5" x14ac:dyDescent="0.25">
      <c r="B509" s="1">
        <v>40026</v>
      </c>
      <c r="C509" t="s">
        <v>63</v>
      </c>
      <c r="D509">
        <v>477277200.41000003</v>
      </c>
      <c r="E509">
        <v>10</v>
      </c>
    </row>
    <row r="510" spans="2:5" x14ac:dyDescent="0.25">
      <c r="B510" s="1">
        <v>40057</v>
      </c>
      <c r="C510" t="s">
        <v>6</v>
      </c>
      <c r="D510">
        <v>9711261406.9500008</v>
      </c>
      <c r="E510">
        <v>1</v>
      </c>
    </row>
    <row r="511" spans="2:5" x14ac:dyDescent="0.25">
      <c r="B511" s="1">
        <v>40057</v>
      </c>
      <c r="C511" t="s">
        <v>13</v>
      </c>
      <c r="D511">
        <v>9300876014.7000008</v>
      </c>
      <c r="E511">
        <v>2</v>
      </c>
    </row>
    <row r="512" spans="2:5" x14ac:dyDescent="0.25">
      <c r="B512" s="1">
        <v>40057</v>
      </c>
      <c r="C512" t="s">
        <v>16</v>
      </c>
      <c r="D512">
        <v>3350176866.5500002</v>
      </c>
      <c r="E512">
        <v>3</v>
      </c>
    </row>
    <row r="513" spans="2:5" x14ac:dyDescent="0.25">
      <c r="B513" s="1">
        <v>40057</v>
      </c>
      <c r="C513" t="s">
        <v>57</v>
      </c>
      <c r="D513">
        <v>1540011743</v>
      </c>
      <c r="E513">
        <v>4</v>
      </c>
    </row>
    <row r="514" spans="2:5" x14ac:dyDescent="0.25">
      <c r="B514" s="1">
        <v>40057</v>
      </c>
      <c r="C514" t="s">
        <v>4</v>
      </c>
      <c r="D514">
        <v>1511640714.96</v>
      </c>
      <c r="E514">
        <v>5</v>
      </c>
    </row>
    <row r="515" spans="2:5" x14ac:dyDescent="0.25">
      <c r="B515" s="1">
        <v>40057</v>
      </c>
      <c r="C515" t="s">
        <v>25</v>
      </c>
      <c r="D515">
        <v>1455262864.3900001</v>
      </c>
      <c r="E515">
        <v>6</v>
      </c>
    </row>
    <row r="516" spans="2:5" x14ac:dyDescent="0.25">
      <c r="B516" s="1">
        <v>40057</v>
      </c>
      <c r="C516" t="s">
        <v>5</v>
      </c>
      <c r="D516">
        <v>1386139068.05</v>
      </c>
      <c r="E516">
        <v>7</v>
      </c>
    </row>
    <row r="517" spans="2:5" x14ac:dyDescent="0.25">
      <c r="B517" s="1">
        <v>40057</v>
      </c>
      <c r="C517" t="s">
        <v>12</v>
      </c>
      <c r="D517">
        <v>662314912</v>
      </c>
      <c r="E517">
        <v>8</v>
      </c>
    </row>
    <row r="518" spans="2:5" x14ac:dyDescent="0.25">
      <c r="B518" s="1">
        <v>40057</v>
      </c>
      <c r="C518" t="s">
        <v>58</v>
      </c>
      <c r="D518">
        <v>535204931.82999998</v>
      </c>
      <c r="E518">
        <v>9</v>
      </c>
    </row>
    <row r="519" spans="2:5" x14ac:dyDescent="0.25">
      <c r="B519" s="1">
        <v>40057</v>
      </c>
      <c r="C519" t="s">
        <v>22</v>
      </c>
      <c r="D519">
        <v>392896483</v>
      </c>
      <c r="E519">
        <v>10</v>
      </c>
    </row>
    <row r="520" spans="2:5" x14ac:dyDescent="0.25">
      <c r="B520" s="1">
        <v>40087</v>
      </c>
      <c r="C520" t="s">
        <v>13</v>
      </c>
      <c r="D520">
        <v>7211282362.8500004</v>
      </c>
      <c r="E520">
        <v>1</v>
      </c>
    </row>
    <row r="521" spans="2:5" x14ac:dyDescent="0.25">
      <c r="B521" s="1">
        <v>40087</v>
      </c>
      <c r="C521" t="s">
        <v>6</v>
      </c>
      <c r="D521">
        <v>4625680962.5299997</v>
      </c>
      <c r="E521">
        <v>2</v>
      </c>
    </row>
    <row r="522" spans="2:5" x14ac:dyDescent="0.25">
      <c r="B522" s="1">
        <v>40087</v>
      </c>
      <c r="C522" t="s">
        <v>25</v>
      </c>
      <c r="D522">
        <v>1418743217.1300001</v>
      </c>
      <c r="E522">
        <v>3</v>
      </c>
    </row>
    <row r="523" spans="2:5" x14ac:dyDescent="0.25">
      <c r="B523" s="1">
        <v>40087</v>
      </c>
      <c r="C523" t="s">
        <v>57</v>
      </c>
      <c r="D523">
        <v>953298136</v>
      </c>
      <c r="E523">
        <v>4</v>
      </c>
    </row>
    <row r="524" spans="2:5" x14ac:dyDescent="0.25">
      <c r="B524" s="1">
        <v>40087</v>
      </c>
      <c r="C524" t="s">
        <v>16</v>
      </c>
      <c r="D524">
        <v>904919262.65999997</v>
      </c>
      <c r="E524">
        <v>5</v>
      </c>
    </row>
    <row r="525" spans="2:5" x14ac:dyDescent="0.25">
      <c r="B525" s="1">
        <v>40087</v>
      </c>
      <c r="C525" t="s">
        <v>12</v>
      </c>
      <c r="D525">
        <v>715387862</v>
      </c>
      <c r="E525">
        <v>6</v>
      </c>
    </row>
    <row r="526" spans="2:5" x14ac:dyDescent="0.25">
      <c r="B526" s="1">
        <v>40087</v>
      </c>
      <c r="C526" t="s">
        <v>4</v>
      </c>
      <c r="D526">
        <v>708008708.12</v>
      </c>
      <c r="E526">
        <v>7</v>
      </c>
    </row>
    <row r="527" spans="2:5" x14ac:dyDescent="0.25">
      <c r="B527" s="1">
        <v>40087</v>
      </c>
      <c r="C527" t="s">
        <v>37</v>
      </c>
      <c r="D527">
        <v>601179484.77999997</v>
      </c>
      <c r="E527">
        <v>8</v>
      </c>
    </row>
    <row r="528" spans="2:5" x14ac:dyDescent="0.25">
      <c r="B528" s="1">
        <v>40087</v>
      </c>
      <c r="C528" t="s">
        <v>5</v>
      </c>
      <c r="D528">
        <v>583166238.41999996</v>
      </c>
      <c r="E528">
        <v>9</v>
      </c>
    </row>
    <row r="529" spans="2:5" x14ac:dyDescent="0.25">
      <c r="B529" s="1">
        <v>40087</v>
      </c>
      <c r="C529" t="s">
        <v>58</v>
      </c>
      <c r="D529">
        <v>328546288.49000001</v>
      </c>
      <c r="E529">
        <v>10</v>
      </c>
    </row>
    <row r="530" spans="2:5" x14ac:dyDescent="0.25">
      <c r="B530" s="1">
        <v>40118</v>
      </c>
      <c r="C530" t="s">
        <v>13</v>
      </c>
      <c r="D530">
        <v>7751269955.25</v>
      </c>
      <c r="E530">
        <v>1</v>
      </c>
    </row>
    <row r="531" spans="2:5" x14ac:dyDescent="0.25">
      <c r="B531" s="1">
        <v>40118</v>
      </c>
      <c r="C531" t="s">
        <v>16</v>
      </c>
      <c r="D531">
        <v>4687150253.25</v>
      </c>
      <c r="E531">
        <v>2</v>
      </c>
    </row>
    <row r="532" spans="2:5" x14ac:dyDescent="0.25">
      <c r="B532" s="1">
        <v>40118</v>
      </c>
      <c r="C532" t="s">
        <v>6</v>
      </c>
      <c r="D532">
        <v>2540213073.8200002</v>
      </c>
      <c r="E532">
        <v>3</v>
      </c>
    </row>
    <row r="533" spans="2:5" x14ac:dyDescent="0.25">
      <c r="B533" s="1">
        <v>40118</v>
      </c>
      <c r="C533" t="s">
        <v>25</v>
      </c>
      <c r="D533">
        <v>1807093775.6700001</v>
      </c>
      <c r="E533">
        <v>4</v>
      </c>
    </row>
    <row r="534" spans="2:5" x14ac:dyDescent="0.25">
      <c r="B534" s="1">
        <v>40118</v>
      </c>
      <c r="C534" t="s">
        <v>57</v>
      </c>
      <c r="D534">
        <v>928978146</v>
      </c>
      <c r="E534">
        <v>5</v>
      </c>
    </row>
    <row r="535" spans="2:5" x14ac:dyDescent="0.25">
      <c r="B535" s="1">
        <v>40118</v>
      </c>
      <c r="C535" t="s">
        <v>4</v>
      </c>
      <c r="D535">
        <v>920145976.58000004</v>
      </c>
      <c r="E535">
        <v>6</v>
      </c>
    </row>
    <row r="536" spans="2:5" x14ac:dyDescent="0.25">
      <c r="B536" s="1">
        <v>40118</v>
      </c>
      <c r="C536" t="s">
        <v>12</v>
      </c>
      <c r="D536">
        <v>725941382.64999998</v>
      </c>
      <c r="E536">
        <v>7</v>
      </c>
    </row>
    <row r="537" spans="2:5" x14ac:dyDescent="0.25">
      <c r="B537" s="1">
        <v>40118</v>
      </c>
      <c r="C537" t="s">
        <v>58</v>
      </c>
      <c r="D537">
        <v>677909185.74000001</v>
      </c>
      <c r="E537">
        <v>8</v>
      </c>
    </row>
    <row r="538" spans="2:5" x14ac:dyDescent="0.25">
      <c r="B538" s="1">
        <v>40118</v>
      </c>
      <c r="C538" t="s">
        <v>5</v>
      </c>
      <c r="D538">
        <v>664611984.01999998</v>
      </c>
      <c r="E538">
        <v>9</v>
      </c>
    </row>
    <row r="539" spans="2:5" x14ac:dyDescent="0.25">
      <c r="B539" s="1">
        <v>40118</v>
      </c>
      <c r="C539" t="s">
        <v>37</v>
      </c>
      <c r="D539">
        <v>333607808.50999999</v>
      </c>
      <c r="E539">
        <v>10</v>
      </c>
    </row>
    <row r="540" spans="2:5" x14ac:dyDescent="0.25">
      <c r="B540" s="1">
        <v>40148</v>
      </c>
      <c r="C540" t="s">
        <v>13</v>
      </c>
      <c r="D540">
        <v>11583901052.780001</v>
      </c>
      <c r="E540">
        <v>1</v>
      </c>
    </row>
    <row r="541" spans="2:5" x14ac:dyDescent="0.25">
      <c r="B541" s="1">
        <v>40148</v>
      </c>
      <c r="C541" t="s">
        <v>6</v>
      </c>
      <c r="D541">
        <v>6453958851</v>
      </c>
      <c r="E541">
        <v>2</v>
      </c>
    </row>
    <row r="542" spans="2:5" x14ac:dyDescent="0.25">
      <c r="B542" s="1">
        <v>40148</v>
      </c>
      <c r="C542" t="s">
        <v>16</v>
      </c>
      <c r="D542">
        <v>2038481662.5999999</v>
      </c>
      <c r="E542">
        <v>3</v>
      </c>
    </row>
    <row r="543" spans="2:5" x14ac:dyDescent="0.25">
      <c r="B543" s="1">
        <v>40148</v>
      </c>
      <c r="C543" t="s">
        <v>25</v>
      </c>
      <c r="D543">
        <v>1731178948.49</v>
      </c>
      <c r="E543">
        <v>4</v>
      </c>
    </row>
    <row r="544" spans="2:5" x14ac:dyDescent="0.25">
      <c r="B544" s="1">
        <v>40148</v>
      </c>
      <c r="C544" t="s">
        <v>57</v>
      </c>
      <c r="D544">
        <v>1127780359</v>
      </c>
      <c r="E544">
        <v>5</v>
      </c>
    </row>
    <row r="545" spans="2:5" x14ac:dyDescent="0.25">
      <c r="B545" s="1">
        <v>40148</v>
      </c>
      <c r="C545" t="s">
        <v>12</v>
      </c>
      <c r="D545">
        <v>975997990</v>
      </c>
      <c r="E545">
        <v>6</v>
      </c>
    </row>
    <row r="546" spans="2:5" x14ac:dyDescent="0.25">
      <c r="B546" s="1">
        <v>40148</v>
      </c>
      <c r="C546" t="s">
        <v>37</v>
      </c>
      <c r="D546">
        <v>973330970.29999995</v>
      </c>
      <c r="E546">
        <v>7</v>
      </c>
    </row>
    <row r="547" spans="2:5" x14ac:dyDescent="0.25">
      <c r="B547" s="1">
        <v>40148</v>
      </c>
      <c r="C547" t="s">
        <v>4</v>
      </c>
      <c r="D547">
        <v>852057605.63</v>
      </c>
      <c r="E547">
        <v>8</v>
      </c>
    </row>
    <row r="548" spans="2:5" x14ac:dyDescent="0.25">
      <c r="B548" s="1">
        <v>40148</v>
      </c>
      <c r="C548" t="s">
        <v>5</v>
      </c>
      <c r="D548">
        <v>851642916.98000002</v>
      </c>
      <c r="E548">
        <v>9</v>
      </c>
    </row>
    <row r="549" spans="2:5" x14ac:dyDescent="0.25">
      <c r="B549" s="1">
        <v>40148</v>
      </c>
      <c r="C549" t="s">
        <v>22</v>
      </c>
      <c r="D549">
        <v>421704151</v>
      </c>
      <c r="E549">
        <v>10</v>
      </c>
    </row>
    <row r="550" spans="2:5" x14ac:dyDescent="0.25">
      <c r="B550" s="1">
        <v>40179</v>
      </c>
      <c r="C550" t="s">
        <v>13</v>
      </c>
      <c r="D550">
        <v>9978849287.2000008</v>
      </c>
      <c r="E550">
        <v>1</v>
      </c>
    </row>
    <row r="551" spans="2:5" x14ac:dyDescent="0.25">
      <c r="B551" s="1">
        <v>40179</v>
      </c>
      <c r="C551" t="s">
        <v>6</v>
      </c>
      <c r="D551">
        <v>5521288700.1800003</v>
      </c>
      <c r="E551">
        <v>2</v>
      </c>
    </row>
    <row r="552" spans="2:5" x14ac:dyDescent="0.25">
      <c r="B552" s="1">
        <v>40179</v>
      </c>
      <c r="C552" t="s">
        <v>16</v>
      </c>
      <c r="D552">
        <v>2582467892.6500001</v>
      </c>
      <c r="E552">
        <v>3</v>
      </c>
    </row>
    <row r="553" spans="2:5" x14ac:dyDescent="0.25">
      <c r="B553" s="1">
        <v>40179</v>
      </c>
      <c r="C553" t="s">
        <v>25</v>
      </c>
      <c r="D553">
        <v>1887253190.6600001</v>
      </c>
      <c r="E553">
        <v>4</v>
      </c>
    </row>
    <row r="554" spans="2:5" x14ac:dyDescent="0.25">
      <c r="B554" s="1">
        <v>40179</v>
      </c>
      <c r="C554" t="s">
        <v>57</v>
      </c>
      <c r="D554">
        <v>889060529</v>
      </c>
      <c r="E554">
        <v>5</v>
      </c>
    </row>
    <row r="555" spans="2:5" x14ac:dyDescent="0.25">
      <c r="B555" s="1">
        <v>40179</v>
      </c>
      <c r="C555" t="s">
        <v>4</v>
      </c>
      <c r="D555">
        <v>779839250.55999994</v>
      </c>
      <c r="E555">
        <v>6</v>
      </c>
    </row>
    <row r="556" spans="2:5" x14ac:dyDescent="0.25">
      <c r="B556" s="1">
        <v>40179</v>
      </c>
      <c r="C556" t="s">
        <v>12</v>
      </c>
      <c r="D556">
        <v>736021209.74000001</v>
      </c>
      <c r="E556">
        <v>7</v>
      </c>
    </row>
    <row r="557" spans="2:5" x14ac:dyDescent="0.25">
      <c r="B557" s="1">
        <v>40179</v>
      </c>
      <c r="C557" t="s">
        <v>58</v>
      </c>
      <c r="D557">
        <v>657628874.59000003</v>
      </c>
      <c r="E557">
        <v>8</v>
      </c>
    </row>
    <row r="558" spans="2:5" x14ac:dyDescent="0.25">
      <c r="B558" s="1">
        <v>40179</v>
      </c>
      <c r="C558" t="s">
        <v>22</v>
      </c>
      <c r="D558">
        <v>498952028</v>
      </c>
      <c r="E558">
        <v>9</v>
      </c>
    </row>
    <row r="559" spans="2:5" x14ac:dyDescent="0.25">
      <c r="B559" s="1">
        <v>40179</v>
      </c>
      <c r="C559" t="s">
        <v>64</v>
      </c>
      <c r="D559">
        <v>386823003.75999999</v>
      </c>
      <c r="E559">
        <v>10</v>
      </c>
    </row>
    <row r="560" spans="2:5" x14ac:dyDescent="0.25">
      <c r="B560" s="1">
        <v>40210</v>
      </c>
      <c r="C560" t="s">
        <v>13</v>
      </c>
      <c r="D560">
        <v>9807430995.9200001</v>
      </c>
      <c r="E560">
        <v>1</v>
      </c>
    </row>
    <row r="561" spans="2:5" x14ac:dyDescent="0.25">
      <c r="B561" s="1">
        <v>40210</v>
      </c>
      <c r="C561" t="s">
        <v>6</v>
      </c>
      <c r="D561">
        <v>5305630826.1899996</v>
      </c>
      <c r="E561">
        <v>2</v>
      </c>
    </row>
    <row r="562" spans="2:5" x14ac:dyDescent="0.25">
      <c r="B562" s="1">
        <v>40210</v>
      </c>
      <c r="C562" t="s">
        <v>16</v>
      </c>
      <c r="D562">
        <v>4446325379.8299999</v>
      </c>
      <c r="E562">
        <v>3</v>
      </c>
    </row>
    <row r="563" spans="2:5" x14ac:dyDescent="0.25">
      <c r="B563" s="1">
        <v>40210</v>
      </c>
      <c r="C563" t="s">
        <v>25</v>
      </c>
      <c r="D563">
        <v>2017223525.6800001</v>
      </c>
      <c r="E563">
        <v>4</v>
      </c>
    </row>
    <row r="564" spans="2:5" x14ac:dyDescent="0.25">
      <c r="B564" s="1">
        <v>40210</v>
      </c>
      <c r="C564" t="s">
        <v>4</v>
      </c>
      <c r="D564">
        <v>1155889082.1500001</v>
      </c>
      <c r="E564">
        <v>5</v>
      </c>
    </row>
    <row r="565" spans="2:5" x14ac:dyDescent="0.25">
      <c r="B565" s="1">
        <v>40210</v>
      </c>
      <c r="C565" t="s">
        <v>57</v>
      </c>
      <c r="D565">
        <v>719496863</v>
      </c>
      <c r="E565">
        <v>6</v>
      </c>
    </row>
    <row r="566" spans="2:5" x14ac:dyDescent="0.25">
      <c r="B566" s="1">
        <v>40210</v>
      </c>
      <c r="C566" t="s">
        <v>12</v>
      </c>
      <c r="D566">
        <v>535898276.69</v>
      </c>
      <c r="E566">
        <v>7</v>
      </c>
    </row>
    <row r="567" spans="2:5" x14ac:dyDescent="0.25">
      <c r="B567" s="1">
        <v>40210</v>
      </c>
      <c r="C567" t="s">
        <v>22</v>
      </c>
      <c r="D567">
        <v>442717691</v>
      </c>
      <c r="E567">
        <v>8</v>
      </c>
    </row>
    <row r="568" spans="2:5" x14ac:dyDescent="0.25">
      <c r="B568" s="1">
        <v>40210</v>
      </c>
      <c r="C568" t="s">
        <v>5</v>
      </c>
      <c r="D568">
        <v>415371190.91000003</v>
      </c>
      <c r="E568">
        <v>9</v>
      </c>
    </row>
    <row r="569" spans="2:5" x14ac:dyDescent="0.25">
      <c r="B569" s="1">
        <v>40210</v>
      </c>
      <c r="C569" t="s">
        <v>43</v>
      </c>
      <c r="D569">
        <v>373476000</v>
      </c>
      <c r="E569">
        <v>10</v>
      </c>
    </row>
    <row r="570" spans="2:5" x14ac:dyDescent="0.25">
      <c r="B570" s="1">
        <v>40238</v>
      </c>
      <c r="C570" t="s">
        <v>13</v>
      </c>
      <c r="D570">
        <v>7752148414.0900002</v>
      </c>
      <c r="E570">
        <v>1</v>
      </c>
    </row>
    <row r="571" spans="2:5" x14ac:dyDescent="0.25">
      <c r="B571" s="1">
        <v>40238</v>
      </c>
      <c r="C571" t="s">
        <v>16</v>
      </c>
      <c r="D571">
        <v>3913725904.1500001</v>
      </c>
      <c r="E571">
        <v>2</v>
      </c>
    </row>
    <row r="572" spans="2:5" x14ac:dyDescent="0.25">
      <c r="B572" s="1">
        <v>40238</v>
      </c>
      <c r="C572" t="s">
        <v>6</v>
      </c>
      <c r="D572">
        <v>3199831541.8899999</v>
      </c>
      <c r="E572">
        <v>3</v>
      </c>
    </row>
    <row r="573" spans="2:5" x14ac:dyDescent="0.25">
      <c r="B573" s="1">
        <v>40238</v>
      </c>
      <c r="C573" t="s">
        <v>25</v>
      </c>
      <c r="D573">
        <v>1009165492.87</v>
      </c>
      <c r="E573">
        <v>4</v>
      </c>
    </row>
    <row r="574" spans="2:5" x14ac:dyDescent="0.25">
      <c r="B574" s="1">
        <v>40238</v>
      </c>
      <c r="C574" t="s">
        <v>4</v>
      </c>
      <c r="D574">
        <v>751666992.55999994</v>
      </c>
      <c r="E574">
        <v>5</v>
      </c>
    </row>
    <row r="575" spans="2:5" x14ac:dyDescent="0.25">
      <c r="B575" s="1">
        <v>40238</v>
      </c>
      <c r="C575" t="s">
        <v>57</v>
      </c>
      <c r="D575">
        <v>509344142.41000003</v>
      </c>
      <c r="E575">
        <v>6</v>
      </c>
    </row>
    <row r="576" spans="2:5" x14ac:dyDescent="0.25">
      <c r="B576" s="1">
        <v>40238</v>
      </c>
      <c r="C576" t="s">
        <v>5</v>
      </c>
      <c r="D576">
        <v>489940410.56</v>
      </c>
      <c r="E576">
        <v>7</v>
      </c>
    </row>
    <row r="577" spans="2:5" x14ac:dyDescent="0.25">
      <c r="B577" s="1">
        <v>40238</v>
      </c>
      <c r="C577" t="s">
        <v>12</v>
      </c>
      <c r="D577">
        <v>466248926.74000001</v>
      </c>
      <c r="E577">
        <v>8</v>
      </c>
    </row>
    <row r="578" spans="2:5" x14ac:dyDescent="0.25">
      <c r="B578" s="1">
        <v>40238</v>
      </c>
      <c r="C578" t="s">
        <v>22</v>
      </c>
      <c r="D578">
        <v>357652436</v>
      </c>
      <c r="E578">
        <v>9</v>
      </c>
    </row>
    <row r="579" spans="2:5" x14ac:dyDescent="0.25">
      <c r="B579" s="1">
        <v>40238</v>
      </c>
      <c r="C579" t="s">
        <v>65</v>
      </c>
      <c r="D579">
        <v>280526539.32999998</v>
      </c>
      <c r="E579">
        <v>10</v>
      </c>
    </row>
    <row r="580" spans="2:5" x14ac:dyDescent="0.25">
      <c r="B580" s="1">
        <v>40269</v>
      </c>
      <c r="C580" t="s">
        <v>13</v>
      </c>
      <c r="D580">
        <v>8759856160.0100002</v>
      </c>
      <c r="E580">
        <v>1</v>
      </c>
    </row>
    <row r="581" spans="2:5" x14ac:dyDescent="0.25">
      <c r="B581" s="1">
        <v>40269</v>
      </c>
      <c r="C581" t="s">
        <v>6</v>
      </c>
      <c r="D581">
        <v>6045923010.6400003</v>
      </c>
      <c r="E581">
        <v>2</v>
      </c>
    </row>
    <row r="582" spans="2:5" x14ac:dyDescent="0.25">
      <c r="B582" s="1">
        <v>40269</v>
      </c>
      <c r="C582" t="s">
        <v>16</v>
      </c>
      <c r="D582">
        <v>2196781706.52</v>
      </c>
      <c r="E582">
        <v>3</v>
      </c>
    </row>
    <row r="583" spans="2:5" x14ac:dyDescent="0.25">
      <c r="B583" s="1">
        <v>40269</v>
      </c>
      <c r="C583" t="s">
        <v>25</v>
      </c>
      <c r="D583">
        <v>1206641880.98</v>
      </c>
      <c r="E583">
        <v>4</v>
      </c>
    </row>
    <row r="584" spans="2:5" x14ac:dyDescent="0.25">
      <c r="B584" s="1">
        <v>40269</v>
      </c>
      <c r="C584" t="s">
        <v>4</v>
      </c>
      <c r="D584">
        <v>717269259.21000004</v>
      </c>
      <c r="E584">
        <v>5</v>
      </c>
    </row>
    <row r="585" spans="2:5" x14ac:dyDescent="0.25">
      <c r="B585" s="1">
        <v>40269</v>
      </c>
      <c r="C585" t="s">
        <v>57</v>
      </c>
      <c r="D585">
        <v>622792880</v>
      </c>
      <c r="E585">
        <v>6</v>
      </c>
    </row>
    <row r="586" spans="2:5" x14ac:dyDescent="0.25">
      <c r="B586" s="1">
        <v>40269</v>
      </c>
      <c r="C586" t="s">
        <v>65</v>
      </c>
      <c r="D586">
        <v>566563714.44000006</v>
      </c>
      <c r="E586">
        <v>7</v>
      </c>
    </row>
    <row r="587" spans="2:5" x14ac:dyDescent="0.25">
      <c r="B587" s="1">
        <v>40269</v>
      </c>
      <c r="C587" t="s">
        <v>12</v>
      </c>
      <c r="D587">
        <v>544126887.90999997</v>
      </c>
      <c r="E587">
        <v>8</v>
      </c>
    </row>
    <row r="588" spans="2:5" x14ac:dyDescent="0.25">
      <c r="B588" s="1">
        <v>40269</v>
      </c>
      <c r="C588" t="s">
        <v>22</v>
      </c>
      <c r="D588">
        <v>376001263</v>
      </c>
      <c r="E588">
        <v>9</v>
      </c>
    </row>
    <row r="589" spans="2:5" x14ac:dyDescent="0.25">
      <c r="B589" s="1">
        <v>40269</v>
      </c>
      <c r="C589" t="s">
        <v>66</v>
      </c>
      <c r="D589">
        <v>365340363</v>
      </c>
      <c r="E589">
        <v>10</v>
      </c>
    </row>
    <row r="590" spans="2:5" x14ac:dyDescent="0.25">
      <c r="B590" s="1">
        <v>40299</v>
      </c>
      <c r="C590" t="s">
        <v>13</v>
      </c>
      <c r="D590">
        <v>7983117228.6700001</v>
      </c>
      <c r="E590">
        <v>1</v>
      </c>
    </row>
    <row r="591" spans="2:5" x14ac:dyDescent="0.25">
      <c r="B591" s="1">
        <v>40299</v>
      </c>
      <c r="C591" t="s">
        <v>6</v>
      </c>
      <c r="D591">
        <v>6085851450.0900002</v>
      </c>
      <c r="E591">
        <v>2</v>
      </c>
    </row>
    <row r="592" spans="2:5" x14ac:dyDescent="0.25">
      <c r="B592" s="1">
        <v>40299</v>
      </c>
      <c r="C592" t="s">
        <v>16</v>
      </c>
      <c r="D592">
        <v>3408756489.0999999</v>
      </c>
      <c r="E592">
        <v>3</v>
      </c>
    </row>
    <row r="593" spans="2:5" x14ac:dyDescent="0.25">
      <c r="B593" s="1">
        <v>40299</v>
      </c>
      <c r="C593" t="s">
        <v>25</v>
      </c>
      <c r="D593">
        <v>1280550786.26</v>
      </c>
      <c r="E593">
        <v>4</v>
      </c>
    </row>
    <row r="594" spans="2:5" x14ac:dyDescent="0.25">
      <c r="B594" s="1">
        <v>40299</v>
      </c>
      <c r="C594" t="s">
        <v>4</v>
      </c>
      <c r="D594">
        <v>979069118.75</v>
      </c>
      <c r="E594">
        <v>5</v>
      </c>
    </row>
    <row r="595" spans="2:5" x14ac:dyDescent="0.25">
      <c r="B595" s="1">
        <v>40299</v>
      </c>
      <c r="C595" t="s">
        <v>5</v>
      </c>
      <c r="D595">
        <v>827846631.82000005</v>
      </c>
      <c r="E595">
        <v>6</v>
      </c>
    </row>
    <row r="596" spans="2:5" x14ac:dyDescent="0.25">
      <c r="B596" s="1">
        <v>40299</v>
      </c>
      <c r="C596" t="s">
        <v>57</v>
      </c>
      <c r="D596">
        <v>757778464</v>
      </c>
      <c r="E596">
        <v>7</v>
      </c>
    </row>
    <row r="597" spans="2:5" x14ac:dyDescent="0.25">
      <c r="B597" s="1">
        <v>40299</v>
      </c>
      <c r="C597" t="s">
        <v>12</v>
      </c>
      <c r="D597">
        <v>748562261.27999997</v>
      </c>
      <c r="E597">
        <v>8</v>
      </c>
    </row>
    <row r="598" spans="2:5" x14ac:dyDescent="0.25">
      <c r="B598" s="1">
        <v>40299</v>
      </c>
      <c r="C598" t="s">
        <v>65</v>
      </c>
      <c r="D598">
        <v>397458378.94</v>
      </c>
      <c r="E598">
        <v>9</v>
      </c>
    </row>
    <row r="599" spans="2:5" x14ac:dyDescent="0.25">
      <c r="B599" s="1">
        <v>40299</v>
      </c>
      <c r="C599" t="s">
        <v>21</v>
      </c>
      <c r="D599">
        <v>325610197.19999999</v>
      </c>
      <c r="E599">
        <v>10</v>
      </c>
    </row>
    <row r="600" spans="2:5" x14ac:dyDescent="0.25">
      <c r="B600" s="1">
        <v>40330</v>
      </c>
      <c r="C600" t="s">
        <v>13</v>
      </c>
      <c r="D600">
        <v>8159699856.3800001</v>
      </c>
      <c r="E600">
        <v>1</v>
      </c>
    </row>
    <row r="601" spans="2:5" x14ac:dyDescent="0.25">
      <c r="B601" s="1">
        <v>40330</v>
      </c>
      <c r="C601" t="s">
        <v>6</v>
      </c>
      <c r="D601">
        <v>6657706403.3699999</v>
      </c>
      <c r="E601">
        <v>2</v>
      </c>
    </row>
    <row r="602" spans="2:5" x14ac:dyDescent="0.25">
      <c r="B602" s="1">
        <v>40330</v>
      </c>
      <c r="C602" t="s">
        <v>16</v>
      </c>
      <c r="D602">
        <v>5102381874.5</v>
      </c>
      <c r="E602">
        <v>3</v>
      </c>
    </row>
    <row r="603" spans="2:5" x14ac:dyDescent="0.25">
      <c r="B603" s="1">
        <v>40330</v>
      </c>
      <c r="C603" t="s">
        <v>25</v>
      </c>
      <c r="D603">
        <v>1873141654.6800001</v>
      </c>
      <c r="E603">
        <v>4</v>
      </c>
    </row>
    <row r="604" spans="2:5" x14ac:dyDescent="0.25">
      <c r="B604" s="1">
        <v>40330</v>
      </c>
      <c r="C604" t="s">
        <v>4</v>
      </c>
      <c r="D604">
        <v>1302820990.45</v>
      </c>
      <c r="E604">
        <v>5</v>
      </c>
    </row>
    <row r="605" spans="2:5" x14ac:dyDescent="0.25">
      <c r="B605" s="1">
        <v>40330</v>
      </c>
      <c r="C605" t="s">
        <v>5</v>
      </c>
      <c r="D605">
        <v>987339146.05999994</v>
      </c>
      <c r="E605">
        <v>6</v>
      </c>
    </row>
    <row r="606" spans="2:5" x14ac:dyDescent="0.25">
      <c r="B606" s="1">
        <v>40330</v>
      </c>
      <c r="C606" t="s">
        <v>12</v>
      </c>
      <c r="D606">
        <v>843058237.84000003</v>
      </c>
      <c r="E606">
        <v>7</v>
      </c>
    </row>
    <row r="607" spans="2:5" x14ac:dyDescent="0.25">
      <c r="B607" s="1">
        <v>40330</v>
      </c>
      <c r="C607" t="s">
        <v>57</v>
      </c>
      <c r="D607">
        <v>705883099.42999995</v>
      </c>
      <c r="E607">
        <v>8</v>
      </c>
    </row>
    <row r="608" spans="2:5" x14ac:dyDescent="0.25">
      <c r="B608" s="1">
        <v>40330</v>
      </c>
      <c r="C608" t="s">
        <v>65</v>
      </c>
      <c r="D608">
        <v>418791874.29000002</v>
      </c>
      <c r="E608">
        <v>9</v>
      </c>
    </row>
    <row r="609" spans="2:5" x14ac:dyDescent="0.25">
      <c r="B609" s="1">
        <v>40330</v>
      </c>
      <c r="C609" t="s">
        <v>21</v>
      </c>
      <c r="D609">
        <v>306820436.19</v>
      </c>
      <c r="E609">
        <v>10</v>
      </c>
    </row>
    <row r="610" spans="2:5" x14ac:dyDescent="0.25">
      <c r="B610" s="1">
        <v>40360</v>
      </c>
      <c r="C610" t="s">
        <v>13</v>
      </c>
      <c r="D610">
        <v>8955541938.4400005</v>
      </c>
      <c r="E610">
        <v>1</v>
      </c>
    </row>
    <row r="611" spans="2:5" x14ac:dyDescent="0.25">
      <c r="B611" s="1">
        <v>40360</v>
      </c>
      <c r="C611" t="s">
        <v>6</v>
      </c>
      <c r="D611">
        <v>6566683766.2700005</v>
      </c>
      <c r="E611">
        <v>2</v>
      </c>
    </row>
    <row r="612" spans="2:5" x14ac:dyDescent="0.25">
      <c r="B612" s="1">
        <v>40360</v>
      </c>
      <c r="C612" t="s">
        <v>16</v>
      </c>
      <c r="D612">
        <v>5566835247.3199997</v>
      </c>
      <c r="E612">
        <v>3</v>
      </c>
    </row>
    <row r="613" spans="2:5" x14ac:dyDescent="0.25">
      <c r="B613" s="1">
        <v>40360</v>
      </c>
      <c r="C613" t="s">
        <v>25</v>
      </c>
      <c r="D613">
        <v>2520047942.54</v>
      </c>
      <c r="E613">
        <v>4</v>
      </c>
    </row>
    <row r="614" spans="2:5" x14ac:dyDescent="0.25">
      <c r="B614" s="1">
        <v>40360</v>
      </c>
      <c r="C614" t="s">
        <v>4</v>
      </c>
      <c r="D614">
        <v>1445083188.54</v>
      </c>
      <c r="E614">
        <v>5</v>
      </c>
    </row>
    <row r="615" spans="2:5" x14ac:dyDescent="0.25">
      <c r="B615" s="1">
        <v>40360</v>
      </c>
      <c r="C615" t="s">
        <v>5</v>
      </c>
      <c r="D615">
        <v>974133095.32000005</v>
      </c>
      <c r="E615">
        <v>6</v>
      </c>
    </row>
    <row r="616" spans="2:5" x14ac:dyDescent="0.25">
      <c r="B616" s="1">
        <v>40360</v>
      </c>
      <c r="C616" t="s">
        <v>65</v>
      </c>
      <c r="D616">
        <v>675914527.42999995</v>
      </c>
      <c r="E616">
        <v>7</v>
      </c>
    </row>
    <row r="617" spans="2:5" x14ac:dyDescent="0.25">
      <c r="B617" s="1">
        <v>40360</v>
      </c>
      <c r="C617" t="s">
        <v>57</v>
      </c>
      <c r="D617">
        <v>652414196.23000002</v>
      </c>
      <c r="E617">
        <v>8</v>
      </c>
    </row>
    <row r="618" spans="2:5" x14ac:dyDescent="0.25">
      <c r="B618" s="1">
        <v>40360</v>
      </c>
      <c r="C618" t="s">
        <v>12</v>
      </c>
      <c r="D618">
        <v>621237152.12</v>
      </c>
      <c r="E618">
        <v>9</v>
      </c>
    </row>
    <row r="619" spans="2:5" x14ac:dyDescent="0.25">
      <c r="B619" s="1">
        <v>40360</v>
      </c>
      <c r="C619" t="s">
        <v>67</v>
      </c>
      <c r="D619">
        <v>474094385.06999999</v>
      </c>
      <c r="E619">
        <v>10</v>
      </c>
    </row>
    <row r="620" spans="2:5" x14ac:dyDescent="0.25">
      <c r="B620" s="1">
        <v>40391</v>
      </c>
      <c r="C620" t="s">
        <v>13</v>
      </c>
      <c r="D620">
        <v>10445666888.360001</v>
      </c>
      <c r="E620">
        <v>1</v>
      </c>
    </row>
    <row r="621" spans="2:5" x14ac:dyDescent="0.25">
      <c r="B621" s="1">
        <v>40391</v>
      </c>
      <c r="C621" t="s">
        <v>6</v>
      </c>
      <c r="D621">
        <v>6780683677.4899998</v>
      </c>
      <c r="E621">
        <v>2</v>
      </c>
    </row>
    <row r="622" spans="2:5" x14ac:dyDescent="0.25">
      <c r="B622" s="1">
        <v>40391</v>
      </c>
      <c r="C622" t="s">
        <v>25</v>
      </c>
      <c r="D622">
        <v>2690541294.77</v>
      </c>
      <c r="E622">
        <v>3</v>
      </c>
    </row>
    <row r="623" spans="2:5" x14ac:dyDescent="0.25">
      <c r="B623" s="1">
        <v>40391</v>
      </c>
      <c r="C623" t="s">
        <v>4</v>
      </c>
      <c r="D623">
        <v>2635279121.3899999</v>
      </c>
      <c r="E623">
        <v>4</v>
      </c>
    </row>
    <row r="624" spans="2:5" x14ac:dyDescent="0.25">
      <c r="B624" s="1">
        <v>40391</v>
      </c>
      <c r="C624" t="s">
        <v>16</v>
      </c>
      <c r="D624">
        <v>2469426656.7399998</v>
      </c>
      <c r="E624">
        <v>5</v>
      </c>
    </row>
    <row r="625" spans="2:5" x14ac:dyDescent="0.25">
      <c r="B625" s="1">
        <v>40391</v>
      </c>
      <c r="C625" t="s">
        <v>12</v>
      </c>
      <c r="D625">
        <v>1438161442.27</v>
      </c>
      <c r="E625">
        <v>6</v>
      </c>
    </row>
    <row r="626" spans="2:5" x14ac:dyDescent="0.25">
      <c r="B626" s="1">
        <v>40391</v>
      </c>
      <c r="C626" t="s">
        <v>5</v>
      </c>
      <c r="D626">
        <v>1411205922.8599999</v>
      </c>
      <c r="E626">
        <v>7</v>
      </c>
    </row>
    <row r="627" spans="2:5" x14ac:dyDescent="0.25">
      <c r="B627" s="1">
        <v>40391</v>
      </c>
      <c r="C627" t="s">
        <v>57</v>
      </c>
      <c r="D627">
        <v>1027381931.53</v>
      </c>
      <c r="E627">
        <v>8</v>
      </c>
    </row>
    <row r="628" spans="2:5" x14ac:dyDescent="0.25">
      <c r="B628" s="1">
        <v>40391</v>
      </c>
      <c r="C628" t="s">
        <v>65</v>
      </c>
      <c r="D628">
        <v>679976598.80999994</v>
      </c>
      <c r="E628">
        <v>9</v>
      </c>
    </row>
    <row r="629" spans="2:5" x14ac:dyDescent="0.25">
      <c r="B629" s="1">
        <v>40391</v>
      </c>
      <c r="C629" t="s">
        <v>68</v>
      </c>
      <c r="D629">
        <v>604184628</v>
      </c>
      <c r="E629">
        <v>10</v>
      </c>
    </row>
    <row r="630" spans="2:5" x14ac:dyDescent="0.25">
      <c r="B630" s="1">
        <v>40422</v>
      </c>
      <c r="C630" t="s">
        <v>16</v>
      </c>
      <c r="D630">
        <v>13523481421.540001</v>
      </c>
      <c r="E630">
        <v>1</v>
      </c>
    </row>
    <row r="631" spans="2:5" x14ac:dyDescent="0.25">
      <c r="B631" s="1">
        <v>40422</v>
      </c>
      <c r="C631" t="s">
        <v>13</v>
      </c>
      <c r="D631">
        <v>12647051419.92</v>
      </c>
      <c r="E631">
        <v>2</v>
      </c>
    </row>
    <row r="632" spans="2:5" x14ac:dyDescent="0.25">
      <c r="B632" s="1">
        <v>40422</v>
      </c>
      <c r="C632" t="s">
        <v>6</v>
      </c>
      <c r="D632">
        <v>8801662456.9899998</v>
      </c>
      <c r="E632">
        <v>3</v>
      </c>
    </row>
    <row r="633" spans="2:5" x14ac:dyDescent="0.25">
      <c r="B633" s="1">
        <v>40422</v>
      </c>
      <c r="C633" t="s">
        <v>4</v>
      </c>
      <c r="D633">
        <v>4518559940.5299997</v>
      </c>
      <c r="E633">
        <v>4</v>
      </c>
    </row>
    <row r="634" spans="2:5" x14ac:dyDescent="0.25">
      <c r="B634" s="1">
        <v>40422</v>
      </c>
      <c r="C634" t="s">
        <v>25</v>
      </c>
      <c r="D634">
        <v>3646842839.0100002</v>
      </c>
      <c r="E634">
        <v>5</v>
      </c>
    </row>
    <row r="635" spans="2:5" x14ac:dyDescent="0.25">
      <c r="B635" s="1">
        <v>40422</v>
      </c>
      <c r="C635" t="s">
        <v>12</v>
      </c>
      <c r="D635">
        <v>2082908596.8599999</v>
      </c>
      <c r="E635">
        <v>6</v>
      </c>
    </row>
    <row r="636" spans="2:5" x14ac:dyDescent="0.25">
      <c r="B636" s="1">
        <v>40422</v>
      </c>
      <c r="C636" t="s">
        <v>5</v>
      </c>
      <c r="D636">
        <v>1754955724.47</v>
      </c>
      <c r="E636">
        <v>7</v>
      </c>
    </row>
    <row r="637" spans="2:5" x14ac:dyDescent="0.25">
      <c r="B637" s="1">
        <v>40422</v>
      </c>
      <c r="C637" t="s">
        <v>57</v>
      </c>
      <c r="D637">
        <v>1120073087.9000001</v>
      </c>
      <c r="E637">
        <v>8</v>
      </c>
    </row>
    <row r="638" spans="2:5" x14ac:dyDescent="0.25">
      <c r="B638" s="1">
        <v>40422</v>
      </c>
      <c r="C638" t="s">
        <v>65</v>
      </c>
      <c r="D638">
        <v>1105134409.6900001</v>
      </c>
      <c r="E638">
        <v>9</v>
      </c>
    </row>
    <row r="639" spans="2:5" x14ac:dyDescent="0.25">
      <c r="B639" s="1">
        <v>40422</v>
      </c>
      <c r="C639" t="s">
        <v>69</v>
      </c>
      <c r="D639">
        <v>842265479.03999996</v>
      </c>
      <c r="E639">
        <v>10</v>
      </c>
    </row>
    <row r="640" spans="2:5" x14ac:dyDescent="0.25">
      <c r="B640" s="1">
        <v>40452</v>
      </c>
      <c r="C640" t="s">
        <v>13</v>
      </c>
      <c r="D640">
        <v>13935891180.24</v>
      </c>
      <c r="E640">
        <v>1</v>
      </c>
    </row>
    <row r="641" spans="2:5" x14ac:dyDescent="0.25">
      <c r="B641" s="1">
        <v>40452</v>
      </c>
      <c r="C641" t="s">
        <v>6</v>
      </c>
      <c r="D641">
        <v>7173559851.6000004</v>
      </c>
      <c r="E641">
        <v>2</v>
      </c>
    </row>
    <row r="642" spans="2:5" x14ac:dyDescent="0.25">
      <c r="B642" s="1">
        <v>40452</v>
      </c>
      <c r="C642" t="s">
        <v>16</v>
      </c>
      <c r="D642">
        <v>7032221976</v>
      </c>
      <c r="E642">
        <v>3</v>
      </c>
    </row>
    <row r="643" spans="2:5" x14ac:dyDescent="0.25">
      <c r="B643" s="1">
        <v>40452</v>
      </c>
      <c r="C643" t="s">
        <v>25</v>
      </c>
      <c r="D643">
        <v>4867074403.2299995</v>
      </c>
      <c r="E643">
        <v>4</v>
      </c>
    </row>
    <row r="644" spans="2:5" x14ac:dyDescent="0.25">
      <c r="B644" s="1">
        <v>40452</v>
      </c>
      <c r="C644" t="s">
        <v>4</v>
      </c>
      <c r="D644">
        <v>4545541491.3000002</v>
      </c>
      <c r="E644">
        <v>5</v>
      </c>
    </row>
    <row r="645" spans="2:5" x14ac:dyDescent="0.25">
      <c r="B645" s="1">
        <v>40452</v>
      </c>
      <c r="C645" t="s">
        <v>5</v>
      </c>
      <c r="D645">
        <v>1772716757.7</v>
      </c>
      <c r="E645">
        <v>6</v>
      </c>
    </row>
    <row r="646" spans="2:5" x14ac:dyDescent="0.25">
      <c r="B646" s="1">
        <v>40452</v>
      </c>
      <c r="C646" t="s">
        <v>12</v>
      </c>
      <c r="D646">
        <v>1584815106.8800001</v>
      </c>
      <c r="E646">
        <v>7</v>
      </c>
    </row>
    <row r="647" spans="2:5" x14ac:dyDescent="0.25">
      <c r="B647" s="1">
        <v>40452</v>
      </c>
      <c r="C647" t="s">
        <v>57</v>
      </c>
      <c r="D647">
        <v>1236774477.01</v>
      </c>
      <c r="E647">
        <v>8</v>
      </c>
    </row>
    <row r="648" spans="2:5" x14ac:dyDescent="0.25">
      <c r="B648" s="1">
        <v>40452</v>
      </c>
      <c r="C648" t="s">
        <v>21</v>
      </c>
      <c r="D648">
        <v>1043295632.48</v>
      </c>
      <c r="E648">
        <v>9</v>
      </c>
    </row>
    <row r="649" spans="2:5" x14ac:dyDescent="0.25">
      <c r="B649" s="1">
        <v>40452</v>
      </c>
      <c r="C649" t="s">
        <v>69</v>
      </c>
      <c r="D649">
        <v>985412820.13999999</v>
      </c>
      <c r="E649">
        <v>10</v>
      </c>
    </row>
    <row r="650" spans="2:5" x14ac:dyDescent="0.25">
      <c r="B650" s="1">
        <v>40483</v>
      </c>
      <c r="C650" t="s">
        <v>13</v>
      </c>
      <c r="D650">
        <v>13909502726.82</v>
      </c>
      <c r="E650">
        <v>1</v>
      </c>
    </row>
    <row r="651" spans="2:5" x14ac:dyDescent="0.25">
      <c r="B651" s="1">
        <v>40483</v>
      </c>
      <c r="C651" t="s">
        <v>6</v>
      </c>
      <c r="D651">
        <v>8077232839.9099998</v>
      </c>
      <c r="E651">
        <v>2</v>
      </c>
    </row>
    <row r="652" spans="2:5" x14ac:dyDescent="0.25">
      <c r="B652" s="1">
        <v>40483</v>
      </c>
      <c r="C652" t="s">
        <v>16</v>
      </c>
      <c r="D652">
        <v>5669944072.8400002</v>
      </c>
      <c r="E652">
        <v>3</v>
      </c>
    </row>
    <row r="653" spans="2:5" x14ac:dyDescent="0.25">
      <c r="B653" s="1">
        <v>40483</v>
      </c>
      <c r="C653" t="s">
        <v>25</v>
      </c>
      <c r="D653">
        <v>4631288816.5799999</v>
      </c>
      <c r="E653">
        <v>4</v>
      </c>
    </row>
    <row r="654" spans="2:5" x14ac:dyDescent="0.25">
      <c r="B654" s="1">
        <v>40483</v>
      </c>
      <c r="C654" t="s">
        <v>4</v>
      </c>
      <c r="D654">
        <v>4042775700.8400002</v>
      </c>
      <c r="E654">
        <v>5</v>
      </c>
    </row>
    <row r="655" spans="2:5" x14ac:dyDescent="0.25">
      <c r="B655" s="1">
        <v>40483</v>
      </c>
      <c r="C655" t="s">
        <v>5</v>
      </c>
      <c r="D655">
        <v>2192767460.75</v>
      </c>
      <c r="E655">
        <v>6</v>
      </c>
    </row>
    <row r="656" spans="2:5" x14ac:dyDescent="0.25">
      <c r="B656" s="1">
        <v>40483</v>
      </c>
      <c r="C656" t="s">
        <v>69</v>
      </c>
      <c r="D656">
        <v>1752605955.22</v>
      </c>
      <c r="E656">
        <v>7</v>
      </c>
    </row>
    <row r="657" spans="2:5" x14ac:dyDescent="0.25">
      <c r="B657" s="1">
        <v>40483</v>
      </c>
      <c r="C657" t="s">
        <v>12</v>
      </c>
      <c r="D657">
        <v>1652225345.79</v>
      </c>
      <c r="E657">
        <v>8</v>
      </c>
    </row>
    <row r="658" spans="2:5" x14ac:dyDescent="0.25">
      <c r="B658" s="1">
        <v>40483</v>
      </c>
      <c r="C658" t="s">
        <v>57</v>
      </c>
      <c r="D658">
        <v>1583568018.25</v>
      </c>
      <c r="E658">
        <v>9</v>
      </c>
    </row>
    <row r="659" spans="2:5" x14ac:dyDescent="0.25">
      <c r="B659" s="1">
        <v>40483</v>
      </c>
      <c r="C659" t="s">
        <v>44</v>
      </c>
      <c r="D659">
        <v>1122048685</v>
      </c>
      <c r="E659">
        <v>10</v>
      </c>
    </row>
    <row r="660" spans="2:5" x14ac:dyDescent="0.25">
      <c r="B660" s="1">
        <v>40513</v>
      </c>
      <c r="C660" t="s">
        <v>13</v>
      </c>
      <c r="D660">
        <v>14878642995.780001</v>
      </c>
      <c r="E660">
        <v>1</v>
      </c>
    </row>
    <row r="661" spans="2:5" x14ac:dyDescent="0.25">
      <c r="B661" s="1">
        <v>40513</v>
      </c>
      <c r="C661" t="s">
        <v>16</v>
      </c>
      <c r="D661">
        <v>13177768197.51</v>
      </c>
      <c r="E661">
        <v>2</v>
      </c>
    </row>
    <row r="662" spans="2:5" x14ac:dyDescent="0.25">
      <c r="B662" s="1">
        <v>40513</v>
      </c>
      <c r="C662" t="s">
        <v>6</v>
      </c>
      <c r="D662">
        <v>11678030199.870001</v>
      </c>
      <c r="E662">
        <v>3</v>
      </c>
    </row>
    <row r="663" spans="2:5" x14ac:dyDescent="0.25">
      <c r="B663" s="1">
        <v>40513</v>
      </c>
      <c r="C663" t="s">
        <v>4</v>
      </c>
      <c r="D663">
        <v>4455935640.6099997</v>
      </c>
      <c r="E663">
        <v>4</v>
      </c>
    </row>
    <row r="664" spans="2:5" x14ac:dyDescent="0.25">
      <c r="B664" s="1">
        <v>40513</v>
      </c>
      <c r="C664" t="s">
        <v>25</v>
      </c>
      <c r="D664">
        <v>4077546240.5599999</v>
      </c>
      <c r="E664">
        <v>5</v>
      </c>
    </row>
    <row r="665" spans="2:5" x14ac:dyDescent="0.25">
      <c r="B665" s="1">
        <v>40513</v>
      </c>
      <c r="C665" t="s">
        <v>57</v>
      </c>
      <c r="D665">
        <v>1808961584.6800001</v>
      </c>
      <c r="E665">
        <v>6</v>
      </c>
    </row>
    <row r="666" spans="2:5" x14ac:dyDescent="0.25">
      <c r="B666" s="1">
        <v>40513</v>
      </c>
      <c r="C666" t="s">
        <v>12</v>
      </c>
      <c r="D666">
        <v>1787042808.5599999</v>
      </c>
      <c r="E666">
        <v>7</v>
      </c>
    </row>
    <row r="667" spans="2:5" x14ac:dyDescent="0.25">
      <c r="B667" s="1">
        <v>40513</v>
      </c>
      <c r="C667" t="s">
        <v>34</v>
      </c>
      <c r="D667">
        <v>1232116719.6400001</v>
      </c>
      <c r="E667">
        <v>8</v>
      </c>
    </row>
    <row r="668" spans="2:5" x14ac:dyDescent="0.25">
      <c r="B668" s="1">
        <v>40513</v>
      </c>
      <c r="C668" t="s">
        <v>5</v>
      </c>
      <c r="D668">
        <v>1213409683.3399999</v>
      </c>
      <c r="E668">
        <v>9</v>
      </c>
    </row>
    <row r="669" spans="2:5" x14ac:dyDescent="0.25">
      <c r="B669" s="1">
        <v>40513</v>
      </c>
      <c r="C669" t="s">
        <v>21</v>
      </c>
      <c r="D669">
        <v>1075335371.8499999</v>
      </c>
      <c r="E669">
        <v>10</v>
      </c>
    </row>
    <row r="670" spans="2:5" x14ac:dyDescent="0.25">
      <c r="B670" s="1">
        <v>40544</v>
      </c>
      <c r="C670" t="s">
        <v>13</v>
      </c>
      <c r="D670">
        <v>15157548488.809999</v>
      </c>
      <c r="E670">
        <v>1</v>
      </c>
    </row>
    <row r="671" spans="2:5" x14ac:dyDescent="0.25">
      <c r="B671" s="1">
        <v>40544</v>
      </c>
      <c r="C671" t="s">
        <v>6</v>
      </c>
      <c r="D671">
        <v>10056413197.809999</v>
      </c>
      <c r="E671">
        <v>2</v>
      </c>
    </row>
    <row r="672" spans="2:5" x14ac:dyDescent="0.25">
      <c r="B672" s="1">
        <v>40544</v>
      </c>
      <c r="C672" t="s">
        <v>16</v>
      </c>
      <c r="D672">
        <v>5654825118.79</v>
      </c>
      <c r="E672">
        <v>3</v>
      </c>
    </row>
    <row r="673" spans="2:5" x14ac:dyDescent="0.25">
      <c r="B673" s="1">
        <v>40544</v>
      </c>
      <c r="C673" t="s">
        <v>4</v>
      </c>
      <c r="D673">
        <v>4288064391.23</v>
      </c>
      <c r="E673">
        <v>4</v>
      </c>
    </row>
    <row r="674" spans="2:5" x14ac:dyDescent="0.25">
      <c r="B674" s="1">
        <v>40544</v>
      </c>
      <c r="C674" t="s">
        <v>25</v>
      </c>
      <c r="D674">
        <v>3768046307.4699998</v>
      </c>
      <c r="E674">
        <v>5</v>
      </c>
    </row>
    <row r="675" spans="2:5" x14ac:dyDescent="0.25">
      <c r="B675" s="1">
        <v>40544</v>
      </c>
      <c r="C675" t="s">
        <v>5</v>
      </c>
      <c r="D675">
        <v>2454761687.0100002</v>
      </c>
      <c r="E675">
        <v>6</v>
      </c>
    </row>
    <row r="676" spans="2:5" x14ac:dyDescent="0.25">
      <c r="B676" s="1">
        <v>40544</v>
      </c>
      <c r="C676" t="s">
        <v>12</v>
      </c>
      <c r="D676">
        <v>1652845494.29</v>
      </c>
      <c r="E676">
        <v>7</v>
      </c>
    </row>
    <row r="677" spans="2:5" x14ac:dyDescent="0.25">
      <c r="B677" s="1">
        <v>40544</v>
      </c>
      <c r="C677" t="s">
        <v>57</v>
      </c>
      <c r="D677">
        <v>1553817144.2</v>
      </c>
      <c r="E677">
        <v>8</v>
      </c>
    </row>
    <row r="678" spans="2:5" x14ac:dyDescent="0.25">
      <c r="B678" s="1">
        <v>40544</v>
      </c>
      <c r="C678" t="s">
        <v>65</v>
      </c>
      <c r="D678">
        <v>835486551.41999996</v>
      </c>
      <c r="E678">
        <v>9</v>
      </c>
    </row>
    <row r="679" spans="2:5" x14ac:dyDescent="0.25">
      <c r="B679" s="1">
        <v>40544</v>
      </c>
      <c r="C679" t="s">
        <v>21</v>
      </c>
      <c r="D679">
        <v>805596212.40999997</v>
      </c>
      <c r="E679">
        <v>10</v>
      </c>
    </row>
    <row r="680" spans="2:5" x14ac:dyDescent="0.25">
      <c r="B680" s="1">
        <v>40575</v>
      </c>
      <c r="C680" t="s">
        <v>13</v>
      </c>
      <c r="D680">
        <v>12839332402.040001</v>
      </c>
      <c r="E680">
        <v>1</v>
      </c>
    </row>
    <row r="681" spans="2:5" x14ac:dyDescent="0.25">
      <c r="B681" s="1">
        <v>40575</v>
      </c>
      <c r="C681" t="s">
        <v>6</v>
      </c>
      <c r="D681">
        <v>9579024294.3700008</v>
      </c>
      <c r="E681">
        <v>2</v>
      </c>
    </row>
    <row r="682" spans="2:5" x14ac:dyDescent="0.25">
      <c r="B682" s="1">
        <v>40575</v>
      </c>
      <c r="C682" t="s">
        <v>16</v>
      </c>
      <c r="D682">
        <v>4282742234.9099998</v>
      </c>
      <c r="E682">
        <v>3</v>
      </c>
    </row>
    <row r="683" spans="2:5" x14ac:dyDescent="0.25">
      <c r="B683" s="1">
        <v>40575</v>
      </c>
      <c r="C683" t="s">
        <v>4</v>
      </c>
      <c r="D683">
        <v>2523521818.0799999</v>
      </c>
      <c r="E683">
        <v>4</v>
      </c>
    </row>
    <row r="684" spans="2:5" x14ac:dyDescent="0.25">
      <c r="B684" s="1">
        <v>40575</v>
      </c>
      <c r="C684" t="s">
        <v>5</v>
      </c>
      <c r="D684">
        <v>2208311207.8699999</v>
      </c>
      <c r="E684">
        <v>5</v>
      </c>
    </row>
    <row r="685" spans="2:5" x14ac:dyDescent="0.25">
      <c r="B685" s="1">
        <v>40575</v>
      </c>
      <c r="C685" t="s">
        <v>25</v>
      </c>
      <c r="D685">
        <v>1927727999.48</v>
      </c>
      <c r="E685">
        <v>6</v>
      </c>
    </row>
    <row r="686" spans="2:5" x14ac:dyDescent="0.25">
      <c r="B686" s="1">
        <v>40575</v>
      </c>
      <c r="C686" t="s">
        <v>57</v>
      </c>
      <c r="D686">
        <v>1247167117.3299999</v>
      </c>
      <c r="E686">
        <v>7</v>
      </c>
    </row>
    <row r="687" spans="2:5" x14ac:dyDescent="0.25">
      <c r="B687" s="1">
        <v>40575</v>
      </c>
      <c r="C687" t="s">
        <v>12</v>
      </c>
      <c r="D687">
        <v>855765018.10000002</v>
      </c>
      <c r="E687">
        <v>8</v>
      </c>
    </row>
    <row r="688" spans="2:5" x14ac:dyDescent="0.25">
      <c r="B688" s="1">
        <v>40575</v>
      </c>
      <c r="C688" t="s">
        <v>21</v>
      </c>
      <c r="D688">
        <v>731935459.64999998</v>
      </c>
      <c r="E688">
        <v>9</v>
      </c>
    </row>
    <row r="689" spans="2:5" x14ac:dyDescent="0.25">
      <c r="B689" s="1">
        <v>40575</v>
      </c>
      <c r="C689" t="s">
        <v>65</v>
      </c>
      <c r="D689">
        <v>447638536.25</v>
      </c>
      <c r="E689">
        <v>10</v>
      </c>
    </row>
    <row r="690" spans="2:5" x14ac:dyDescent="0.25">
      <c r="B690" s="1">
        <v>40603</v>
      </c>
      <c r="C690" t="s">
        <v>13</v>
      </c>
      <c r="D690">
        <v>9636191150.4599991</v>
      </c>
      <c r="E690">
        <v>1</v>
      </c>
    </row>
    <row r="691" spans="2:5" x14ac:dyDescent="0.25">
      <c r="B691" s="1">
        <v>40603</v>
      </c>
      <c r="C691" t="s">
        <v>16</v>
      </c>
      <c r="D691">
        <v>9485405797.4699993</v>
      </c>
      <c r="E691">
        <v>2</v>
      </c>
    </row>
    <row r="692" spans="2:5" x14ac:dyDescent="0.25">
      <c r="B692" s="1">
        <v>40603</v>
      </c>
      <c r="C692" t="s">
        <v>6</v>
      </c>
      <c r="D692">
        <v>8683894317.7800007</v>
      </c>
      <c r="E692">
        <v>3</v>
      </c>
    </row>
    <row r="693" spans="2:5" x14ac:dyDescent="0.25">
      <c r="B693" s="1">
        <v>40603</v>
      </c>
      <c r="C693" t="s">
        <v>4</v>
      </c>
      <c r="D693">
        <v>2657649716.0999999</v>
      </c>
      <c r="E693">
        <v>4</v>
      </c>
    </row>
    <row r="694" spans="2:5" x14ac:dyDescent="0.25">
      <c r="B694" s="1">
        <v>40603</v>
      </c>
      <c r="C694" t="s">
        <v>5</v>
      </c>
      <c r="D694">
        <v>2586644966.1999998</v>
      </c>
      <c r="E694">
        <v>5</v>
      </c>
    </row>
    <row r="695" spans="2:5" x14ac:dyDescent="0.25">
      <c r="B695" s="1">
        <v>40603</v>
      </c>
      <c r="C695" t="s">
        <v>25</v>
      </c>
      <c r="D695">
        <v>2121205602.46</v>
      </c>
      <c r="E695">
        <v>6</v>
      </c>
    </row>
    <row r="696" spans="2:5" x14ac:dyDescent="0.25">
      <c r="B696" s="1">
        <v>40603</v>
      </c>
      <c r="C696" t="s">
        <v>57</v>
      </c>
      <c r="D696">
        <v>1186577224.8</v>
      </c>
      <c r="E696">
        <v>7</v>
      </c>
    </row>
    <row r="697" spans="2:5" x14ac:dyDescent="0.25">
      <c r="B697" s="1">
        <v>40603</v>
      </c>
      <c r="C697" t="s">
        <v>12</v>
      </c>
      <c r="D697">
        <v>740800134.88999999</v>
      </c>
      <c r="E697">
        <v>8</v>
      </c>
    </row>
    <row r="698" spans="2:5" x14ac:dyDescent="0.25">
      <c r="B698" s="1">
        <v>40603</v>
      </c>
      <c r="C698" t="s">
        <v>21</v>
      </c>
      <c r="D698">
        <v>705043007.98000002</v>
      </c>
      <c r="E698">
        <v>9</v>
      </c>
    </row>
    <row r="699" spans="2:5" x14ac:dyDescent="0.25">
      <c r="B699" s="1">
        <v>40603</v>
      </c>
      <c r="C699" t="s">
        <v>66</v>
      </c>
      <c r="D699">
        <v>488914060</v>
      </c>
      <c r="E699">
        <v>10</v>
      </c>
    </row>
    <row r="700" spans="2:5" x14ac:dyDescent="0.25">
      <c r="B700" s="1">
        <v>40634</v>
      </c>
      <c r="C700" t="s">
        <v>13</v>
      </c>
      <c r="D700">
        <v>7444150512.3199997</v>
      </c>
      <c r="E700">
        <v>1</v>
      </c>
    </row>
    <row r="701" spans="2:5" x14ac:dyDescent="0.25">
      <c r="B701" s="1">
        <v>40634</v>
      </c>
      <c r="C701" t="s">
        <v>6</v>
      </c>
      <c r="D701">
        <v>4730559226.2700005</v>
      </c>
      <c r="E701">
        <v>2</v>
      </c>
    </row>
    <row r="702" spans="2:5" x14ac:dyDescent="0.25">
      <c r="B702" s="1">
        <v>40634</v>
      </c>
      <c r="C702" t="s">
        <v>16</v>
      </c>
      <c r="D702">
        <v>3767154561.3800001</v>
      </c>
      <c r="E702">
        <v>3</v>
      </c>
    </row>
    <row r="703" spans="2:5" x14ac:dyDescent="0.25">
      <c r="B703" s="1">
        <v>40634</v>
      </c>
      <c r="C703" t="s">
        <v>4</v>
      </c>
      <c r="D703">
        <v>2120004498.6400001</v>
      </c>
      <c r="E703">
        <v>4</v>
      </c>
    </row>
    <row r="704" spans="2:5" x14ac:dyDescent="0.25">
      <c r="B704" s="1">
        <v>40634</v>
      </c>
      <c r="C704" t="s">
        <v>25</v>
      </c>
      <c r="D704">
        <v>1116379416.3</v>
      </c>
      <c r="E704">
        <v>5</v>
      </c>
    </row>
    <row r="705" spans="2:5" x14ac:dyDescent="0.25">
      <c r="B705" s="1">
        <v>40634</v>
      </c>
      <c r="C705" t="s">
        <v>12</v>
      </c>
      <c r="D705">
        <v>811722395.58000004</v>
      </c>
      <c r="E705">
        <v>6</v>
      </c>
    </row>
    <row r="706" spans="2:5" x14ac:dyDescent="0.25">
      <c r="B706" s="1">
        <v>40634</v>
      </c>
      <c r="C706" t="s">
        <v>21</v>
      </c>
      <c r="D706">
        <v>764963730.72000003</v>
      </c>
      <c r="E706">
        <v>7</v>
      </c>
    </row>
    <row r="707" spans="2:5" x14ac:dyDescent="0.25">
      <c r="B707" s="1">
        <v>40634</v>
      </c>
      <c r="C707" t="s">
        <v>57</v>
      </c>
      <c r="D707">
        <v>674113666.69000006</v>
      </c>
      <c r="E707">
        <v>8</v>
      </c>
    </row>
    <row r="708" spans="2:5" x14ac:dyDescent="0.25">
      <c r="B708" s="1">
        <v>40634</v>
      </c>
      <c r="C708" t="s">
        <v>5</v>
      </c>
      <c r="D708">
        <v>581314774.17999995</v>
      </c>
      <c r="E708">
        <v>9</v>
      </c>
    </row>
    <row r="709" spans="2:5" x14ac:dyDescent="0.25">
      <c r="B709" s="1">
        <v>40634</v>
      </c>
      <c r="C709" t="s">
        <v>34</v>
      </c>
      <c r="D709">
        <v>341092933.08999997</v>
      </c>
      <c r="E709">
        <v>10</v>
      </c>
    </row>
    <row r="710" spans="2:5" x14ac:dyDescent="0.25">
      <c r="B710" s="1">
        <v>40664</v>
      </c>
      <c r="C710" t="s">
        <v>13</v>
      </c>
      <c r="D710">
        <v>6796796476.5</v>
      </c>
      <c r="E710">
        <v>1</v>
      </c>
    </row>
    <row r="711" spans="2:5" x14ac:dyDescent="0.25">
      <c r="B711" s="1">
        <v>40664</v>
      </c>
      <c r="C711" t="s">
        <v>16</v>
      </c>
      <c r="D711">
        <v>4462100152.5799999</v>
      </c>
      <c r="E711">
        <v>2</v>
      </c>
    </row>
    <row r="712" spans="2:5" x14ac:dyDescent="0.25">
      <c r="B712" s="1">
        <v>40664</v>
      </c>
      <c r="C712" t="s">
        <v>6</v>
      </c>
      <c r="D712">
        <v>2894353490.4000001</v>
      </c>
      <c r="E712">
        <v>3</v>
      </c>
    </row>
    <row r="713" spans="2:5" x14ac:dyDescent="0.25">
      <c r="B713" s="1">
        <v>40664</v>
      </c>
      <c r="C713" t="s">
        <v>4</v>
      </c>
      <c r="D713">
        <v>1772156272.1099999</v>
      </c>
      <c r="E713">
        <v>4</v>
      </c>
    </row>
    <row r="714" spans="2:5" x14ac:dyDescent="0.25">
      <c r="B714" s="1">
        <v>40664</v>
      </c>
      <c r="C714" t="s">
        <v>25</v>
      </c>
      <c r="D714">
        <v>1714672795.1500001</v>
      </c>
      <c r="E714">
        <v>5</v>
      </c>
    </row>
    <row r="715" spans="2:5" x14ac:dyDescent="0.25">
      <c r="B715" s="1">
        <v>40664</v>
      </c>
      <c r="C715" t="s">
        <v>12</v>
      </c>
      <c r="D715">
        <v>841140321.39999998</v>
      </c>
      <c r="E715">
        <v>6</v>
      </c>
    </row>
    <row r="716" spans="2:5" x14ac:dyDescent="0.25">
      <c r="B716" s="1">
        <v>40664</v>
      </c>
      <c r="C716" t="s">
        <v>5</v>
      </c>
      <c r="D716">
        <v>752156908.72000003</v>
      </c>
      <c r="E716">
        <v>7</v>
      </c>
    </row>
    <row r="717" spans="2:5" x14ac:dyDescent="0.25">
      <c r="B717" s="1">
        <v>40664</v>
      </c>
      <c r="C717" t="s">
        <v>57</v>
      </c>
      <c r="D717">
        <v>563716044.37</v>
      </c>
      <c r="E717">
        <v>8</v>
      </c>
    </row>
    <row r="718" spans="2:5" x14ac:dyDescent="0.25">
      <c r="B718" s="1">
        <v>40664</v>
      </c>
      <c r="C718" t="s">
        <v>21</v>
      </c>
      <c r="D718">
        <v>489084046.74000001</v>
      </c>
      <c r="E718">
        <v>9</v>
      </c>
    </row>
    <row r="719" spans="2:5" x14ac:dyDescent="0.25">
      <c r="B719" s="1">
        <v>40664</v>
      </c>
      <c r="C719" t="s">
        <v>42</v>
      </c>
      <c r="D719">
        <v>284055237</v>
      </c>
      <c r="E719">
        <v>10</v>
      </c>
    </row>
    <row r="720" spans="2:5" x14ac:dyDescent="0.25">
      <c r="B720" s="1">
        <v>40695</v>
      </c>
      <c r="C720" t="s">
        <v>13</v>
      </c>
      <c r="D720">
        <v>8100182361.9399996</v>
      </c>
      <c r="E720">
        <v>1</v>
      </c>
    </row>
    <row r="721" spans="2:5" x14ac:dyDescent="0.25">
      <c r="B721" s="1">
        <v>40695</v>
      </c>
      <c r="C721" t="s">
        <v>16</v>
      </c>
      <c r="D721">
        <v>5545967032.6400003</v>
      </c>
      <c r="E721">
        <v>2</v>
      </c>
    </row>
    <row r="722" spans="2:5" x14ac:dyDescent="0.25">
      <c r="B722" s="1">
        <v>40695</v>
      </c>
      <c r="C722" t="s">
        <v>25</v>
      </c>
      <c r="D722">
        <v>3143184905.6100001</v>
      </c>
      <c r="E722">
        <v>3</v>
      </c>
    </row>
    <row r="723" spans="2:5" x14ac:dyDescent="0.25">
      <c r="B723" s="1">
        <v>40695</v>
      </c>
      <c r="C723" t="s">
        <v>6</v>
      </c>
      <c r="D723">
        <v>2911823738.5799999</v>
      </c>
      <c r="E723">
        <v>4</v>
      </c>
    </row>
    <row r="724" spans="2:5" x14ac:dyDescent="0.25">
      <c r="B724" s="1">
        <v>40695</v>
      </c>
      <c r="C724" t="s">
        <v>4</v>
      </c>
      <c r="D724">
        <v>1549429492.6099999</v>
      </c>
      <c r="E724">
        <v>5</v>
      </c>
    </row>
    <row r="725" spans="2:5" x14ac:dyDescent="0.25">
      <c r="B725" s="1">
        <v>40695</v>
      </c>
      <c r="C725" t="s">
        <v>5</v>
      </c>
      <c r="D725">
        <v>1268561247.9400001</v>
      </c>
      <c r="E725">
        <v>6</v>
      </c>
    </row>
    <row r="726" spans="2:5" x14ac:dyDescent="0.25">
      <c r="B726" s="1">
        <v>40695</v>
      </c>
      <c r="C726" t="s">
        <v>57</v>
      </c>
      <c r="D726">
        <v>602058992.67999995</v>
      </c>
      <c r="E726">
        <v>7</v>
      </c>
    </row>
    <row r="727" spans="2:5" x14ac:dyDescent="0.25">
      <c r="B727" s="1">
        <v>40695</v>
      </c>
      <c r="C727" t="s">
        <v>12</v>
      </c>
      <c r="D727">
        <v>539015420.57000005</v>
      </c>
      <c r="E727">
        <v>8</v>
      </c>
    </row>
    <row r="728" spans="2:5" x14ac:dyDescent="0.25">
      <c r="B728" s="1">
        <v>40695</v>
      </c>
      <c r="C728" t="s">
        <v>59</v>
      </c>
      <c r="D728">
        <v>494592251</v>
      </c>
      <c r="E728">
        <v>9</v>
      </c>
    </row>
    <row r="729" spans="2:5" x14ac:dyDescent="0.25">
      <c r="B729" s="1">
        <v>40695</v>
      </c>
      <c r="C729" t="s">
        <v>21</v>
      </c>
      <c r="D729">
        <v>440788343.07999998</v>
      </c>
      <c r="E729">
        <v>10</v>
      </c>
    </row>
    <row r="730" spans="2:5" x14ac:dyDescent="0.25">
      <c r="B730" s="1">
        <v>40725</v>
      </c>
      <c r="C730" t="s">
        <v>13</v>
      </c>
      <c r="D730">
        <v>5308788048.8400002</v>
      </c>
      <c r="E730">
        <v>1</v>
      </c>
    </row>
    <row r="731" spans="2:5" x14ac:dyDescent="0.25">
      <c r="B731" s="1">
        <v>40725</v>
      </c>
      <c r="C731" t="s">
        <v>16</v>
      </c>
      <c r="D731">
        <v>3552030616.75</v>
      </c>
      <c r="E731">
        <v>2</v>
      </c>
    </row>
    <row r="732" spans="2:5" x14ac:dyDescent="0.25">
      <c r="B732" s="1">
        <v>40725</v>
      </c>
      <c r="C732" t="s">
        <v>4</v>
      </c>
      <c r="D732">
        <v>3451560618.73</v>
      </c>
      <c r="E732">
        <v>3</v>
      </c>
    </row>
    <row r="733" spans="2:5" x14ac:dyDescent="0.25">
      <c r="B733" s="1">
        <v>40725</v>
      </c>
      <c r="C733" t="s">
        <v>6</v>
      </c>
      <c r="D733">
        <v>3164049641.8699999</v>
      </c>
      <c r="E733">
        <v>4</v>
      </c>
    </row>
    <row r="734" spans="2:5" x14ac:dyDescent="0.25">
      <c r="B734" s="1">
        <v>40725</v>
      </c>
      <c r="C734" t="s">
        <v>25</v>
      </c>
      <c r="D734">
        <v>1623998106.96</v>
      </c>
      <c r="E734">
        <v>5</v>
      </c>
    </row>
    <row r="735" spans="2:5" x14ac:dyDescent="0.25">
      <c r="B735" s="1">
        <v>40725</v>
      </c>
      <c r="C735" t="s">
        <v>12</v>
      </c>
      <c r="D735">
        <v>848545824.13999999</v>
      </c>
      <c r="E735">
        <v>6</v>
      </c>
    </row>
    <row r="736" spans="2:5" x14ac:dyDescent="0.25">
      <c r="B736" s="1">
        <v>40725</v>
      </c>
      <c r="C736" t="s">
        <v>57</v>
      </c>
      <c r="D736">
        <v>722217253.57000005</v>
      </c>
      <c r="E736">
        <v>7</v>
      </c>
    </row>
    <row r="737" spans="2:5" x14ac:dyDescent="0.25">
      <c r="B737" s="1">
        <v>40725</v>
      </c>
      <c r="C737" t="s">
        <v>21</v>
      </c>
      <c r="D737">
        <v>598908757.10000002</v>
      </c>
      <c r="E737">
        <v>8</v>
      </c>
    </row>
    <row r="738" spans="2:5" x14ac:dyDescent="0.25">
      <c r="B738" s="1">
        <v>40725</v>
      </c>
      <c r="C738" t="s">
        <v>5</v>
      </c>
      <c r="D738">
        <v>488802884.07999998</v>
      </c>
      <c r="E738">
        <v>9</v>
      </c>
    </row>
    <row r="739" spans="2:5" x14ac:dyDescent="0.25">
      <c r="B739" s="1">
        <v>40725</v>
      </c>
      <c r="C739" t="s">
        <v>70</v>
      </c>
      <c r="D739">
        <v>312614394</v>
      </c>
      <c r="E739">
        <v>10</v>
      </c>
    </row>
    <row r="740" spans="2:5" x14ac:dyDescent="0.25">
      <c r="B740" s="1">
        <v>40756</v>
      </c>
      <c r="C740" t="s">
        <v>13</v>
      </c>
      <c r="D740">
        <v>8975675585.0300007</v>
      </c>
      <c r="E740">
        <v>1</v>
      </c>
    </row>
    <row r="741" spans="2:5" x14ac:dyDescent="0.25">
      <c r="B741" s="1">
        <v>40756</v>
      </c>
      <c r="C741" t="s">
        <v>16</v>
      </c>
      <c r="D741">
        <v>5856036812.3699999</v>
      </c>
      <c r="E741">
        <v>2</v>
      </c>
    </row>
    <row r="742" spans="2:5" x14ac:dyDescent="0.25">
      <c r="B742" s="1">
        <v>40756</v>
      </c>
      <c r="C742" t="s">
        <v>6</v>
      </c>
      <c r="D742">
        <v>3731162831.54</v>
      </c>
      <c r="E742">
        <v>3</v>
      </c>
    </row>
    <row r="743" spans="2:5" x14ac:dyDescent="0.25">
      <c r="B743" s="1">
        <v>40756</v>
      </c>
      <c r="C743" t="s">
        <v>25</v>
      </c>
      <c r="D743">
        <v>2329334472.6700001</v>
      </c>
      <c r="E743">
        <v>4</v>
      </c>
    </row>
    <row r="744" spans="2:5" x14ac:dyDescent="0.25">
      <c r="B744" s="1">
        <v>40756</v>
      </c>
      <c r="C744" t="s">
        <v>4</v>
      </c>
      <c r="D744">
        <v>1558677252.3900001</v>
      </c>
      <c r="E744">
        <v>5</v>
      </c>
    </row>
    <row r="745" spans="2:5" x14ac:dyDescent="0.25">
      <c r="B745" s="1">
        <v>40756</v>
      </c>
      <c r="C745" t="s">
        <v>5</v>
      </c>
      <c r="D745">
        <v>1496155189.5</v>
      </c>
      <c r="E745">
        <v>6</v>
      </c>
    </row>
    <row r="746" spans="2:5" x14ac:dyDescent="0.25">
      <c r="B746" s="1">
        <v>40756</v>
      </c>
      <c r="C746" t="s">
        <v>12</v>
      </c>
      <c r="D746">
        <v>1238482339.3800001</v>
      </c>
      <c r="E746">
        <v>7</v>
      </c>
    </row>
    <row r="747" spans="2:5" x14ac:dyDescent="0.25">
      <c r="B747" s="1">
        <v>40756</v>
      </c>
      <c r="C747" t="s">
        <v>57</v>
      </c>
      <c r="D747">
        <v>725416086.88</v>
      </c>
      <c r="E747">
        <v>8</v>
      </c>
    </row>
    <row r="748" spans="2:5" x14ac:dyDescent="0.25">
      <c r="B748" s="1">
        <v>40756</v>
      </c>
      <c r="C748" t="s">
        <v>21</v>
      </c>
      <c r="D748">
        <v>486453805.94</v>
      </c>
      <c r="E748">
        <v>9</v>
      </c>
    </row>
    <row r="749" spans="2:5" x14ac:dyDescent="0.25">
      <c r="B749" s="1">
        <v>40756</v>
      </c>
      <c r="C749" t="s">
        <v>22</v>
      </c>
      <c r="D749">
        <v>246411781</v>
      </c>
      <c r="E749">
        <v>10</v>
      </c>
    </row>
    <row r="750" spans="2:5" x14ac:dyDescent="0.25">
      <c r="B750" s="1">
        <v>40787</v>
      </c>
      <c r="C750" t="s">
        <v>13</v>
      </c>
      <c r="D750">
        <v>9862037476.5100002</v>
      </c>
      <c r="E750">
        <v>1</v>
      </c>
    </row>
    <row r="751" spans="2:5" x14ac:dyDescent="0.25">
      <c r="B751" s="1">
        <v>40787</v>
      </c>
      <c r="C751" t="s">
        <v>16</v>
      </c>
      <c r="D751">
        <v>8513787528.9200001</v>
      </c>
      <c r="E751">
        <v>2</v>
      </c>
    </row>
    <row r="752" spans="2:5" x14ac:dyDescent="0.25">
      <c r="B752" s="1">
        <v>40787</v>
      </c>
      <c r="C752" t="s">
        <v>25</v>
      </c>
      <c r="D752">
        <v>3396559955.0900002</v>
      </c>
      <c r="E752">
        <v>3</v>
      </c>
    </row>
    <row r="753" spans="2:5" x14ac:dyDescent="0.25">
      <c r="B753" s="1">
        <v>40787</v>
      </c>
      <c r="C753" t="s">
        <v>6</v>
      </c>
      <c r="D753">
        <v>2892361811.9899998</v>
      </c>
      <c r="E753">
        <v>4</v>
      </c>
    </row>
    <row r="754" spans="2:5" x14ac:dyDescent="0.25">
      <c r="B754" s="1">
        <v>40787</v>
      </c>
      <c r="C754" t="s">
        <v>4</v>
      </c>
      <c r="D754">
        <v>2696815028.3899999</v>
      </c>
      <c r="E754">
        <v>5</v>
      </c>
    </row>
    <row r="755" spans="2:5" x14ac:dyDescent="0.25">
      <c r="B755" s="1">
        <v>40787</v>
      </c>
      <c r="C755" t="s">
        <v>12</v>
      </c>
      <c r="D755">
        <v>1481093219.7</v>
      </c>
      <c r="E755">
        <v>6</v>
      </c>
    </row>
    <row r="756" spans="2:5" x14ac:dyDescent="0.25">
      <c r="B756" s="1">
        <v>40787</v>
      </c>
      <c r="C756" t="s">
        <v>5</v>
      </c>
      <c r="D756">
        <v>1068656827.8200001</v>
      </c>
      <c r="E756">
        <v>7</v>
      </c>
    </row>
    <row r="757" spans="2:5" x14ac:dyDescent="0.25">
      <c r="B757" s="1">
        <v>40787</v>
      </c>
      <c r="C757" t="s">
        <v>69</v>
      </c>
      <c r="D757">
        <v>823178100.25</v>
      </c>
      <c r="E757">
        <v>8</v>
      </c>
    </row>
    <row r="758" spans="2:5" x14ac:dyDescent="0.25">
      <c r="B758" s="1">
        <v>40787</v>
      </c>
      <c r="C758" t="s">
        <v>21</v>
      </c>
      <c r="D758">
        <v>634350715.39999998</v>
      </c>
      <c r="E758">
        <v>9</v>
      </c>
    </row>
    <row r="759" spans="2:5" x14ac:dyDescent="0.25">
      <c r="B759" s="1">
        <v>40787</v>
      </c>
      <c r="C759" t="s">
        <v>57</v>
      </c>
      <c r="D759">
        <v>609690927</v>
      </c>
      <c r="E759">
        <v>10</v>
      </c>
    </row>
    <row r="760" spans="2:5" x14ac:dyDescent="0.25">
      <c r="B760" s="1">
        <v>40817</v>
      </c>
      <c r="C760" t="s">
        <v>13</v>
      </c>
      <c r="D760">
        <v>11864275980.860001</v>
      </c>
      <c r="E760">
        <v>1</v>
      </c>
    </row>
    <row r="761" spans="2:5" x14ac:dyDescent="0.25">
      <c r="B761" s="1">
        <v>40817</v>
      </c>
      <c r="C761" t="s">
        <v>16</v>
      </c>
      <c r="D761">
        <v>5145732963.04</v>
      </c>
      <c r="E761">
        <v>2</v>
      </c>
    </row>
    <row r="762" spans="2:5" x14ac:dyDescent="0.25">
      <c r="B762" s="1">
        <v>40817</v>
      </c>
      <c r="C762" t="s">
        <v>4</v>
      </c>
      <c r="D762">
        <v>3368885713.6900001</v>
      </c>
      <c r="E762">
        <v>3</v>
      </c>
    </row>
    <row r="763" spans="2:5" x14ac:dyDescent="0.25">
      <c r="B763" s="1">
        <v>40817</v>
      </c>
      <c r="C763" t="s">
        <v>12</v>
      </c>
      <c r="D763">
        <v>2189275465.2199998</v>
      </c>
      <c r="E763">
        <v>4</v>
      </c>
    </row>
    <row r="764" spans="2:5" x14ac:dyDescent="0.25">
      <c r="B764" s="1">
        <v>40817</v>
      </c>
      <c r="C764" t="s">
        <v>5</v>
      </c>
      <c r="D764">
        <v>2131641702.3199999</v>
      </c>
      <c r="E764">
        <v>5</v>
      </c>
    </row>
    <row r="765" spans="2:5" x14ac:dyDescent="0.25">
      <c r="B765" s="1">
        <v>40817</v>
      </c>
      <c r="C765" t="s">
        <v>6</v>
      </c>
      <c r="D765">
        <v>2008947925.9400001</v>
      </c>
      <c r="E765">
        <v>6</v>
      </c>
    </row>
    <row r="766" spans="2:5" x14ac:dyDescent="0.25">
      <c r="B766" s="1">
        <v>40817</v>
      </c>
      <c r="C766" t="s">
        <v>25</v>
      </c>
      <c r="D766">
        <v>1820954758.3199999</v>
      </c>
      <c r="E766">
        <v>7</v>
      </c>
    </row>
    <row r="767" spans="2:5" x14ac:dyDescent="0.25">
      <c r="B767" s="1">
        <v>40817</v>
      </c>
      <c r="C767" t="s">
        <v>69</v>
      </c>
      <c r="D767">
        <v>1103750509.5999999</v>
      </c>
      <c r="E767">
        <v>8</v>
      </c>
    </row>
    <row r="768" spans="2:5" x14ac:dyDescent="0.25">
      <c r="B768" s="1">
        <v>40817</v>
      </c>
      <c r="C768" t="s">
        <v>57</v>
      </c>
      <c r="D768">
        <v>784533038</v>
      </c>
      <c r="E768">
        <v>9</v>
      </c>
    </row>
    <row r="769" spans="2:5" x14ac:dyDescent="0.25">
      <c r="B769" s="1">
        <v>40817</v>
      </c>
      <c r="C769" t="s">
        <v>71</v>
      </c>
      <c r="D769">
        <v>578361348.02999997</v>
      </c>
      <c r="E769">
        <v>10</v>
      </c>
    </row>
    <row r="770" spans="2:5" x14ac:dyDescent="0.25">
      <c r="B770" s="1">
        <v>40848</v>
      </c>
      <c r="C770" t="s">
        <v>13</v>
      </c>
      <c r="D770">
        <v>14706099941.799999</v>
      </c>
      <c r="E770">
        <v>1</v>
      </c>
    </row>
    <row r="771" spans="2:5" x14ac:dyDescent="0.25">
      <c r="B771" s="1">
        <v>40848</v>
      </c>
      <c r="C771" t="s">
        <v>16</v>
      </c>
      <c r="D771">
        <v>7980975998.8500004</v>
      </c>
      <c r="E771">
        <v>2</v>
      </c>
    </row>
    <row r="772" spans="2:5" x14ac:dyDescent="0.25">
      <c r="B772" s="1">
        <v>40848</v>
      </c>
      <c r="C772" t="s">
        <v>4</v>
      </c>
      <c r="D772">
        <v>4736787040.8299999</v>
      </c>
      <c r="E772">
        <v>3</v>
      </c>
    </row>
    <row r="773" spans="2:5" x14ac:dyDescent="0.25">
      <c r="B773" s="1">
        <v>40848</v>
      </c>
      <c r="C773" t="s">
        <v>25</v>
      </c>
      <c r="D773">
        <v>3660860542.1399999</v>
      </c>
      <c r="E773">
        <v>4</v>
      </c>
    </row>
    <row r="774" spans="2:5" x14ac:dyDescent="0.25">
      <c r="B774" s="1">
        <v>40848</v>
      </c>
      <c r="C774" t="s">
        <v>12</v>
      </c>
      <c r="D774">
        <v>2374687827.0900002</v>
      </c>
      <c r="E774">
        <v>5</v>
      </c>
    </row>
    <row r="775" spans="2:5" x14ac:dyDescent="0.25">
      <c r="B775" s="1">
        <v>40848</v>
      </c>
      <c r="C775" t="s">
        <v>5</v>
      </c>
      <c r="D775">
        <v>2096048439.96</v>
      </c>
      <c r="E775">
        <v>6</v>
      </c>
    </row>
    <row r="776" spans="2:5" x14ac:dyDescent="0.25">
      <c r="B776" s="1">
        <v>40848</v>
      </c>
      <c r="C776" t="s">
        <v>6</v>
      </c>
      <c r="D776">
        <v>1485254304.1099999</v>
      </c>
      <c r="E776">
        <v>7</v>
      </c>
    </row>
    <row r="777" spans="2:5" x14ac:dyDescent="0.25">
      <c r="B777" s="1">
        <v>40848</v>
      </c>
      <c r="C777" t="s">
        <v>69</v>
      </c>
      <c r="D777">
        <v>1418009753.6300001</v>
      </c>
      <c r="E777">
        <v>8</v>
      </c>
    </row>
    <row r="778" spans="2:5" x14ac:dyDescent="0.25">
      <c r="B778" s="1">
        <v>40848</v>
      </c>
      <c r="C778" t="s">
        <v>71</v>
      </c>
      <c r="D778">
        <v>747707839.65999997</v>
      </c>
      <c r="E778">
        <v>9</v>
      </c>
    </row>
    <row r="779" spans="2:5" x14ac:dyDescent="0.25">
      <c r="B779" s="1">
        <v>40848</v>
      </c>
      <c r="C779" t="s">
        <v>8</v>
      </c>
      <c r="D779">
        <v>553653703.02999997</v>
      </c>
      <c r="E779">
        <v>10</v>
      </c>
    </row>
    <row r="780" spans="2:5" x14ac:dyDescent="0.25">
      <c r="B780" s="1">
        <v>40878</v>
      </c>
      <c r="C780" t="s">
        <v>13</v>
      </c>
      <c r="D780">
        <v>23937608890.639999</v>
      </c>
      <c r="E780">
        <v>1</v>
      </c>
    </row>
    <row r="781" spans="2:5" x14ac:dyDescent="0.25">
      <c r="B781" s="1">
        <v>40878</v>
      </c>
      <c r="C781" t="s">
        <v>16</v>
      </c>
      <c r="D781">
        <v>8179192202.6400003</v>
      </c>
      <c r="E781">
        <v>2</v>
      </c>
    </row>
    <row r="782" spans="2:5" x14ac:dyDescent="0.25">
      <c r="B782" s="1">
        <v>40878</v>
      </c>
      <c r="C782" t="s">
        <v>4</v>
      </c>
      <c r="D782">
        <v>4852780436.3599997</v>
      </c>
      <c r="E782">
        <v>3</v>
      </c>
    </row>
    <row r="783" spans="2:5" x14ac:dyDescent="0.25">
      <c r="B783" s="1">
        <v>40878</v>
      </c>
      <c r="C783" t="s">
        <v>25</v>
      </c>
      <c r="D783">
        <v>4076990497.6900001</v>
      </c>
      <c r="E783">
        <v>4</v>
      </c>
    </row>
    <row r="784" spans="2:5" x14ac:dyDescent="0.25">
      <c r="B784" s="1">
        <v>40878</v>
      </c>
      <c r="C784" t="s">
        <v>5</v>
      </c>
      <c r="D784">
        <v>3147925861.4400001</v>
      </c>
      <c r="E784">
        <v>5</v>
      </c>
    </row>
    <row r="785" spans="2:5" x14ac:dyDescent="0.25">
      <c r="B785" s="1">
        <v>40878</v>
      </c>
      <c r="C785" t="s">
        <v>12</v>
      </c>
      <c r="D785">
        <v>2364623596.77</v>
      </c>
      <c r="E785">
        <v>6</v>
      </c>
    </row>
    <row r="786" spans="2:5" x14ac:dyDescent="0.25">
      <c r="B786" s="1">
        <v>40878</v>
      </c>
      <c r="C786" t="s">
        <v>6</v>
      </c>
      <c r="D786">
        <v>1127153197.6199999</v>
      </c>
      <c r="E786">
        <v>7</v>
      </c>
    </row>
    <row r="787" spans="2:5" x14ac:dyDescent="0.25">
      <c r="B787" s="1">
        <v>40878</v>
      </c>
      <c r="C787" t="s">
        <v>69</v>
      </c>
      <c r="D787">
        <v>1125319396.6300001</v>
      </c>
      <c r="E787">
        <v>8</v>
      </c>
    </row>
    <row r="788" spans="2:5" x14ac:dyDescent="0.25">
      <c r="B788" s="1">
        <v>40878</v>
      </c>
      <c r="C788" t="s">
        <v>71</v>
      </c>
      <c r="D788">
        <v>726071421.08000004</v>
      </c>
      <c r="E788">
        <v>9</v>
      </c>
    </row>
    <row r="789" spans="2:5" x14ac:dyDescent="0.25">
      <c r="B789" s="1">
        <v>40878</v>
      </c>
      <c r="C789" t="s">
        <v>21</v>
      </c>
      <c r="D789">
        <v>669442416.33000004</v>
      </c>
      <c r="E789">
        <v>10</v>
      </c>
    </row>
    <row r="790" spans="2:5" x14ac:dyDescent="0.25">
      <c r="B790" s="1">
        <v>40909</v>
      </c>
      <c r="C790" t="s">
        <v>13</v>
      </c>
      <c r="D790">
        <v>15368979575.26</v>
      </c>
      <c r="E790">
        <v>1</v>
      </c>
    </row>
    <row r="791" spans="2:5" x14ac:dyDescent="0.25">
      <c r="B791" s="1">
        <v>40909</v>
      </c>
      <c r="C791" t="s">
        <v>4</v>
      </c>
      <c r="D791">
        <v>4888087268.7600002</v>
      </c>
      <c r="E791">
        <v>2</v>
      </c>
    </row>
    <row r="792" spans="2:5" x14ac:dyDescent="0.25">
      <c r="B792" s="1">
        <v>40909</v>
      </c>
      <c r="C792" t="s">
        <v>16</v>
      </c>
      <c r="D792">
        <v>4842312645.9700003</v>
      </c>
      <c r="E792">
        <v>3</v>
      </c>
    </row>
    <row r="793" spans="2:5" x14ac:dyDescent="0.25">
      <c r="B793" s="1">
        <v>40909</v>
      </c>
      <c r="C793" t="s">
        <v>12</v>
      </c>
      <c r="D793">
        <v>2078917820.78</v>
      </c>
      <c r="E793">
        <v>4</v>
      </c>
    </row>
    <row r="794" spans="2:5" x14ac:dyDescent="0.25">
      <c r="B794" s="1">
        <v>40909</v>
      </c>
      <c r="C794" t="s">
        <v>25</v>
      </c>
      <c r="D794">
        <v>1829508756.9100001</v>
      </c>
      <c r="E794">
        <v>5</v>
      </c>
    </row>
    <row r="795" spans="2:5" x14ac:dyDescent="0.25">
      <c r="B795" s="1">
        <v>40909</v>
      </c>
      <c r="C795" t="s">
        <v>5</v>
      </c>
      <c r="D795">
        <v>1686254886.4100001</v>
      </c>
      <c r="E795">
        <v>6</v>
      </c>
    </row>
    <row r="796" spans="2:5" x14ac:dyDescent="0.25">
      <c r="B796" s="1">
        <v>40909</v>
      </c>
      <c r="C796" t="s">
        <v>69</v>
      </c>
      <c r="D796">
        <v>1325451283.1400001</v>
      </c>
      <c r="E796">
        <v>7</v>
      </c>
    </row>
    <row r="797" spans="2:5" x14ac:dyDescent="0.25">
      <c r="B797" s="1">
        <v>40909</v>
      </c>
      <c r="C797" t="s">
        <v>6</v>
      </c>
      <c r="D797">
        <v>900533697.60000002</v>
      </c>
      <c r="E797">
        <v>8</v>
      </c>
    </row>
    <row r="798" spans="2:5" x14ac:dyDescent="0.25">
      <c r="B798" s="1">
        <v>40909</v>
      </c>
      <c r="C798" t="s">
        <v>57</v>
      </c>
      <c r="D798">
        <v>755828484.13</v>
      </c>
      <c r="E798">
        <v>9</v>
      </c>
    </row>
    <row r="799" spans="2:5" x14ac:dyDescent="0.25">
      <c r="B799" s="1">
        <v>40909</v>
      </c>
      <c r="C799" t="s">
        <v>60</v>
      </c>
      <c r="D799">
        <v>686393892.15999997</v>
      </c>
      <c r="E799">
        <v>10</v>
      </c>
    </row>
    <row r="800" spans="2:5" x14ac:dyDescent="0.25">
      <c r="B800" s="1">
        <v>40940</v>
      </c>
      <c r="C800" t="s">
        <v>13</v>
      </c>
      <c r="D800">
        <v>14632091015.389999</v>
      </c>
      <c r="E800">
        <v>1</v>
      </c>
    </row>
    <row r="801" spans="2:5" x14ac:dyDescent="0.25">
      <c r="B801" s="1">
        <v>40940</v>
      </c>
      <c r="C801" t="s">
        <v>16</v>
      </c>
      <c r="D801">
        <v>6039781731.0699997</v>
      </c>
      <c r="E801">
        <v>2</v>
      </c>
    </row>
    <row r="802" spans="2:5" x14ac:dyDescent="0.25">
      <c r="B802" s="1">
        <v>40940</v>
      </c>
      <c r="C802" t="s">
        <v>12</v>
      </c>
      <c r="D802">
        <v>2741562711.46</v>
      </c>
      <c r="E802">
        <v>3</v>
      </c>
    </row>
    <row r="803" spans="2:5" x14ac:dyDescent="0.25">
      <c r="B803" s="1">
        <v>40940</v>
      </c>
      <c r="C803" t="s">
        <v>4</v>
      </c>
      <c r="D803">
        <v>2226729317.7600002</v>
      </c>
      <c r="E803">
        <v>4</v>
      </c>
    </row>
    <row r="804" spans="2:5" x14ac:dyDescent="0.25">
      <c r="B804" s="1">
        <v>40940</v>
      </c>
      <c r="C804" t="s">
        <v>5</v>
      </c>
      <c r="D804">
        <v>1851657345.4200001</v>
      </c>
      <c r="E804">
        <v>5</v>
      </c>
    </row>
    <row r="805" spans="2:5" x14ac:dyDescent="0.25">
      <c r="B805" s="1">
        <v>40940</v>
      </c>
      <c r="C805" t="s">
        <v>69</v>
      </c>
      <c r="D805">
        <v>1764296230.9100001</v>
      </c>
      <c r="E805">
        <v>6</v>
      </c>
    </row>
    <row r="806" spans="2:5" x14ac:dyDescent="0.25">
      <c r="B806" s="1">
        <v>40940</v>
      </c>
      <c r="C806" t="s">
        <v>25</v>
      </c>
      <c r="D806">
        <v>1397963595.51</v>
      </c>
      <c r="E806">
        <v>7</v>
      </c>
    </row>
    <row r="807" spans="2:5" x14ac:dyDescent="0.25">
      <c r="B807" s="1">
        <v>40940</v>
      </c>
      <c r="C807" t="s">
        <v>57</v>
      </c>
      <c r="D807">
        <v>959494576.99000001</v>
      </c>
      <c r="E807">
        <v>8</v>
      </c>
    </row>
    <row r="808" spans="2:5" x14ac:dyDescent="0.25">
      <c r="B808" s="1">
        <v>40940</v>
      </c>
      <c r="C808" t="s">
        <v>24</v>
      </c>
      <c r="D808">
        <v>672231724.96000004</v>
      </c>
      <c r="E808">
        <v>9</v>
      </c>
    </row>
    <row r="809" spans="2:5" x14ac:dyDescent="0.25">
      <c r="B809" s="1">
        <v>40940</v>
      </c>
      <c r="C809" t="s">
        <v>72</v>
      </c>
      <c r="D809">
        <v>620503186.51999998</v>
      </c>
      <c r="E809">
        <v>10</v>
      </c>
    </row>
    <row r="810" spans="2:5" x14ac:dyDescent="0.25">
      <c r="B810" s="1">
        <v>40969</v>
      </c>
      <c r="C810" t="s">
        <v>13</v>
      </c>
      <c r="D810">
        <v>30737250033.549999</v>
      </c>
      <c r="E810">
        <v>1</v>
      </c>
    </row>
    <row r="811" spans="2:5" x14ac:dyDescent="0.25">
      <c r="B811" s="1">
        <v>40969</v>
      </c>
      <c r="C811" t="s">
        <v>16</v>
      </c>
      <c r="D811">
        <v>9495153084.0799999</v>
      </c>
      <c r="E811">
        <v>2</v>
      </c>
    </row>
    <row r="812" spans="2:5" x14ac:dyDescent="0.25">
      <c r="B812" s="1">
        <v>40969</v>
      </c>
      <c r="C812" t="s">
        <v>4</v>
      </c>
      <c r="D812">
        <v>3358009211.0900002</v>
      </c>
      <c r="E812">
        <v>3</v>
      </c>
    </row>
    <row r="813" spans="2:5" x14ac:dyDescent="0.25">
      <c r="B813" s="1">
        <v>40969</v>
      </c>
      <c r="C813" t="s">
        <v>12</v>
      </c>
      <c r="D813">
        <v>2975788477.54</v>
      </c>
      <c r="E813">
        <v>4</v>
      </c>
    </row>
    <row r="814" spans="2:5" x14ac:dyDescent="0.25">
      <c r="B814" s="1">
        <v>40969</v>
      </c>
      <c r="C814" t="s">
        <v>69</v>
      </c>
      <c r="D814">
        <v>2832823095.7399998</v>
      </c>
      <c r="E814">
        <v>5</v>
      </c>
    </row>
    <row r="815" spans="2:5" x14ac:dyDescent="0.25">
      <c r="B815" s="1">
        <v>40969</v>
      </c>
      <c r="C815" t="s">
        <v>5</v>
      </c>
      <c r="D815">
        <v>1924511400.8299999</v>
      </c>
      <c r="E815">
        <v>6</v>
      </c>
    </row>
    <row r="816" spans="2:5" x14ac:dyDescent="0.25">
      <c r="B816" s="1">
        <v>40969</v>
      </c>
      <c r="C816" t="s">
        <v>25</v>
      </c>
      <c r="D816">
        <v>1504075776.73</v>
      </c>
      <c r="E816">
        <v>7</v>
      </c>
    </row>
    <row r="817" spans="2:5" x14ac:dyDescent="0.25">
      <c r="B817" s="1">
        <v>40969</v>
      </c>
      <c r="C817" t="s">
        <v>57</v>
      </c>
      <c r="D817">
        <v>1482408591.4000001</v>
      </c>
      <c r="E817">
        <v>8</v>
      </c>
    </row>
    <row r="818" spans="2:5" x14ac:dyDescent="0.25">
      <c r="B818" s="1">
        <v>40969</v>
      </c>
      <c r="C818" t="s">
        <v>6</v>
      </c>
      <c r="D818">
        <v>1327709733.49</v>
      </c>
      <c r="E818">
        <v>9</v>
      </c>
    </row>
    <row r="819" spans="2:5" x14ac:dyDescent="0.25">
      <c r="B819" s="1">
        <v>40969</v>
      </c>
      <c r="C819" t="s">
        <v>73</v>
      </c>
      <c r="D819">
        <v>1191429316</v>
      </c>
      <c r="E819">
        <v>10</v>
      </c>
    </row>
    <row r="820" spans="2:5" x14ac:dyDescent="0.25">
      <c r="B820" s="1">
        <v>41000</v>
      </c>
      <c r="C820" t="s">
        <v>13</v>
      </c>
      <c r="D820">
        <v>10763728285.6</v>
      </c>
      <c r="E820">
        <v>1</v>
      </c>
    </row>
    <row r="821" spans="2:5" x14ac:dyDescent="0.25">
      <c r="B821" s="1">
        <v>41000</v>
      </c>
      <c r="C821" t="s">
        <v>16</v>
      </c>
      <c r="D821">
        <v>5066088765.9499998</v>
      </c>
      <c r="E821">
        <v>2</v>
      </c>
    </row>
    <row r="822" spans="2:5" x14ac:dyDescent="0.25">
      <c r="B822" s="1">
        <v>41000</v>
      </c>
      <c r="C822" t="s">
        <v>12</v>
      </c>
      <c r="D822">
        <v>2312712574.1100001</v>
      </c>
      <c r="E822">
        <v>3</v>
      </c>
    </row>
    <row r="823" spans="2:5" x14ac:dyDescent="0.25">
      <c r="B823" s="1">
        <v>41000</v>
      </c>
      <c r="C823" t="s">
        <v>5</v>
      </c>
      <c r="D823">
        <v>1502180272.8599999</v>
      </c>
      <c r="E823">
        <v>4</v>
      </c>
    </row>
    <row r="824" spans="2:5" x14ac:dyDescent="0.25">
      <c r="B824" s="1">
        <v>41000</v>
      </c>
      <c r="C824" t="s">
        <v>4</v>
      </c>
      <c r="D824">
        <v>1096235296.02</v>
      </c>
      <c r="E824">
        <v>5</v>
      </c>
    </row>
    <row r="825" spans="2:5" x14ac:dyDescent="0.25">
      <c r="B825" s="1">
        <v>41000</v>
      </c>
      <c r="C825" t="s">
        <v>25</v>
      </c>
      <c r="D825">
        <v>978164872.58000004</v>
      </c>
      <c r="E825">
        <v>6</v>
      </c>
    </row>
    <row r="826" spans="2:5" x14ac:dyDescent="0.25">
      <c r="B826" s="1">
        <v>41000</v>
      </c>
      <c r="C826" t="s">
        <v>69</v>
      </c>
      <c r="D826">
        <v>751845393.07000005</v>
      </c>
      <c r="E826">
        <v>7</v>
      </c>
    </row>
    <row r="827" spans="2:5" x14ac:dyDescent="0.25">
      <c r="B827" s="1">
        <v>41000</v>
      </c>
      <c r="C827" t="s">
        <v>57</v>
      </c>
      <c r="D827">
        <v>720179506.47000003</v>
      </c>
      <c r="E827">
        <v>8</v>
      </c>
    </row>
    <row r="828" spans="2:5" x14ac:dyDescent="0.25">
      <c r="B828" s="1">
        <v>41000</v>
      </c>
      <c r="C828" t="s">
        <v>24</v>
      </c>
      <c r="D828">
        <v>556381127.55999994</v>
      </c>
      <c r="E828">
        <v>9</v>
      </c>
    </row>
    <row r="829" spans="2:5" x14ac:dyDescent="0.25">
      <c r="B829" s="1">
        <v>41000</v>
      </c>
      <c r="C829" t="s">
        <v>72</v>
      </c>
      <c r="D829">
        <v>456661036.43000001</v>
      </c>
      <c r="E829">
        <v>10</v>
      </c>
    </row>
    <row r="830" spans="2:5" x14ac:dyDescent="0.25">
      <c r="B830" s="1">
        <v>41030</v>
      </c>
      <c r="C830" t="s">
        <v>13</v>
      </c>
      <c r="D830">
        <v>20542825807.290001</v>
      </c>
      <c r="E830">
        <v>1</v>
      </c>
    </row>
    <row r="831" spans="2:5" x14ac:dyDescent="0.25">
      <c r="B831" s="1">
        <v>41030</v>
      </c>
      <c r="C831" t="s">
        <v>16</v>
      </c>
      <c r="D831">
        <v>5710467218.3900003</v>
      </c>
      <c r="E831">
        <v>2</v>
      </c>
    </row>
    <row r="832" spans="2:5" x14ac:dyDescent="0.25">
      <c r="B832" s="1">
        <v>41030</v>
      </c>
      <c r="C832" t="s">
        <v>12</v>
      </c>
      <c r="D832">
        <v>2844809039.77</v>
      </c>
      <c r="E832">
        <v>3</v>
      </c>
    </row>
    <row r="833" spans="2:5" x14ac:dyDescent="0.25">
      <c r="B833" s="1">
        <v>41030</v>
      </c>
      <c r="C833" t="s">
        <v>69</v>
      </c>
      <c r="D833">
        <v>2695975128.2800002</v>
      </c>
      <c r="E833">
        <v>4</v>
      </c>
    </row>
    <row r="834" spans="2:5" x14ac:dyDescent="0.25">
      <c r="B834" s="1">
        <v>41030</v>
      </c>
      <c r="C834" t="s">
        <v>4</v>
      </c>
      <c r="D834">
        <v>2187065888.8899999</v>
      </c>
      <c r="E834">
        <v>5</v>
      </c>
    </row>
    <row r="835" spans="2:5" x14ac:dyDescent="0.25">
      <c r="B835" s="1">
        <v>41030</v>
      </c>
      <c r="C835" t="s">
        <v>6</v>
      </c>
      <c r="D835">
        <v>1384629177.7</v>
      </c>
      <c r="E835">
        <v>6</v>
      </c>
    </row>
    <row r="836" spans="2:5" x14ac:dyDescent="0.25">
      <c r="B836" s="1">
        <v>41030</v>
      </c>
      <c r="C836" t="s">
        <v>8</v>
      </c>
      <c r="D836">
        <v>1158437334</v>
      </c>
      <c r="E836">
        <v>7</v>
      </c>
    </row>
    <row r="837" spans="2:5" x14ac:dyDescent="0.25">
      <c r="B837" s="1">
        <v>41030</v>
      </c>
      <c r="C837" t="s">
        <v>5</v>
      </c>
      <c r="D837">
        <v>1144409990.77</v>
      </c>
      <c r="E837">
        <v>8</v>
      </c>
    </row>
    <row r="838" spans="2:5" x14ac:dyDescent="0.25">
      <c r="B838" s="1">
        <v>41030</v>
      </c>
      <c r="C838" t="s">
        <v>57</v>
      </c>
      <c r="D838">
        <v>1118076494.6500001</v>
      </c>
      <c r="E838">
        <v>9</v>
      </c>
    </row>
    <row r="839" spans="2:5" x14ac:dyDescent="0.25">
      <c r="B839" s="1">
        <v>41030</v>
      </c>
      <c r="C839" t="s">
        <v>74</v>
      </c>
      <c r="D839">
        <v>990429561.15999997</v>
      </c>
      <c r="E839">
        <v>10</v>
      </c>
    </row>
    <row r="840" spans="2:5" x14ac:dyDescent="0.25">
      <c r="B840" s="1">
        <v>41061</v>
      </c>
      <c r="C840" t="s">
        <v>13</v>
      </c>
      <c r="D840">
        <v>12662763974.040001</v>
      </c>
      <c r="E840">
        <v>1</v>
      </c>
    </row>
    <row r="841" spans="2:5" x14ac:dyDescent="0.25">
      <c r="B841" s="1">
        <v>41061</v>
      </c>
      <c r="C841" t="s">
        <v>16</v>
      </c>
      <c r="D841">
        <v>7062009262.0699997</v>
      </c>
      <c r="E841">
        <v>2</v>
      </c>
    </row>
    <row r="842" spans="2:5" x14ac:dyDescent="0.25">
      <c r="B842" s="1">
        <v>41061</v>
      </c>
      <c r="C842" t="s">
        <v>12</v>
      </c>
      <c r="D842">
        <v>2599950568.2399998</v>
      </c>
      <c r="E842">
        <v>3</v>
      </c>
    </row>
    <row r="843" spans="2:5" x14ac:dyDescent="0.25">
      <c r="B843" s="1">
        <v>41061</v>
      </c>
      <c r="C843" t="s">
        <v>4</v>
      </c>
      <c r="D843">
        <v>2411198355.8499999</v>
      </c>
      <c r="E843">
        <v>4</v>
      </c>
    </row>
    <row r="844" spans="2:5" x14ac:dyDescent="0.25">
      <c r="B844" s="1">
        <v>41061</v>
      </c>
      <c r="C844" t="s">
        <v>69</v>
      </c>
      <c r="D844">
        <v>2088349909.77</v>
      </c>
      <c r="E844">
        <v>5</v>
      </c>
    </row>
    <row r="845" spans="2:5" x14ac:dyDescent="0.25">
      <c r="B845" s="1">
        <v>41061</v>
      </c>
      <c r="C845" t="s">
        <v>6</v>
      </c>
      <c r="D845">
        <v>2025978231</v>
      </c>
      <c r="E845">
        <v>6</v>
      </c>
    </row>
    <row r="846" spans="2:5" x14ac:dyDescent="0.25">
      <c r="B846" s="1">
        <v>41061</v>
      </c>
      <c r="C846" t="s">
        <v>57</v>
      </c>
      <c r="D846">
        <v>1850167235.51</v>
      </c>
      <c r="E846">
        <v>7</v>
      </c>
    </row>
    <row r="847" spans="2:5" x14ac:dyDescent="0.25">
      <c r="B847" s="1">
        <v>41061</v>
      </c>
      <c r="C847" t="s">
        <v>25</v>
      </c>
      <c r="D847">
        <v>1717496541.8199999</v>
      </c>
      <c r="E847">
        <v>8</v>
      </c>
    </row>
    <row r="848" spans="2:5" x14ac:dyDescent="0.25">
      <c r="B848" s="1">
        <v>41061</v>
      </c>
      <c r="C848" t="s">
        <v>5</v>
      </c>
      <c r="D848">
        <v>1361383888.96</v>
      </c>
      <c r="E848">
        <v>9</v>
      </c>
    </row>
    <row r="849" spans="2:5" x14ac:dyDescent="0.25">
      <c r="B849" s="1">
        <v>41061</v>
      </c>
      <c r="C849" t="s">
        <v>8</v>
      </c>
      <c r="D849">
        <v>1081847850.47</v>
      </c>
      <c r="E849">
        <v>10</v>
      </c>
    </row>
    <row r="850" spans="2:5" x14ac:dyDescent="0.25">
      <c r="B850" s="1">
        <v>41091</v>
      </c>
      <c r="C850" t="s">
        <v>13</v>
      </c>
      <c r="D850">
        <v>18046078270.810001</v>
      </c>
      <c r="E850">
        <v>1</v>
      </c>
    </row>
    <row r="851" spans="2:5" x14ac:dyDescent="0.25">
      <c r="B851" s="1">
        <v>41091</v>
      </c>
      <c r="C851" t="s">
        <v>16</v>
      </c>
      <c r="D851">
        <v>5842620786.8999996</v>
      </c>
      <c r="E851">
        <v>2</v>
      </c>
    </row>
    <row r="852" spans="2:5" x14ac:dyDescent="0.25">
      <c r="B852" s="1">
        <v>41091</v>
      </c>
      <c r="C852" t="s">
        <v>69</v>
      </c>
      <c r="D852">
        <v>3652881360.4099998</v>
      </c>
      <c r="E852">
        <v>3</v>
      </c>
    </row>
    <row r="853" spans="2:5" x14ac:dyDescent="0.25">
      <c r="B853" s="1">
        <v>41091</v>
      </c>
      <c r="C853" t="s">
        <v>12</v>
      </c>
      <c r="D853">
        <v>3207267837.8099999</v>
      </c>
      <c r="E853">
        <v>4</v>
      </c>
    </row>
    <row r="854" spans="2:5" x14ac:dyDescent="0.25">
      <c r="B854" s="1">
        <v>41091</v>
      </c>
      <c r="C854" t="s">
        <v>4</v>
      </c>
      <c r="D854">
        <v>2024277231.29</v>
      </c>
      <c r="E854">
        <v>5</v>
      </c>
    </row>
    <row r="855" spans="2:5" x14ac:dyDescent="0.25">
      <c r="B855" s="1">
        <v>41091</v>
      </c>
      <c r="C855" t="s">
        <v>25</v>
      </c>
      <c r="D855">
        <v>1549662752.79</v>
      </c>
      <c r="E855">
        <v>6</v>
      </c>
    </row>
    <row r="856" spans="2:5" x14ac:dyDescent="0.25">
      <c r="B856" s="1">
        <v>41091</v>
      </c>
      <c r="C856" t="s">
        <v>5</v>
      </c>
      <c r="D856">
        <v>1398096825.71</v>
      </c>
      <c r="E856">
        <v>7</v>
      </c>
    </row>
    <row r="857" spans="2:5" x14ac:dyDescent="0.25">
      <c r="B857" s="1">
        <v>41091</v>
      </c>
      <c r="C857" t="s">
        <v>57</v>
      </c>
      <c r="D857">
        <v>1319650369.6600001</v>
      </c>
      <c r="E857">
        <v>8</v>
      </c>
    </row>
    <row r="858" spans="2:5" x14ac:dyDescent="0.25">
      <c r="B858" s="1">
        <v>41091</v>
      </c>
      <c r="C858" t="s">
        <v>6</v>
      </c>
      <c r="D858">
        <v>1273015336.48</v>
      </c>
      <c r="E858">
        <v>9</v>
      </c>
    </row>
    <row r="859" spans="2:5" x14ac:dyDescent="0.25">
      <c r="B859" s="1">
        <v>41091</v>
      </c>
      <c r="C859" t="s">
        <v>21</v>
      </c>
      <c r="D859">
        <v>944685677.69000006</v>
      </c>
      <c r="E859">
        <v>10</v>
      </c>
    </row>
    <row r="860" spans="2:5" x14ac:dyDescent="0.25">
      <c r="B860" s="1">
        <v>41122</v>
      </c>
      <c r="C860" t="s">
        <v>13</v>
      </c>
      <c r="D860">
        <v>15782096596.040001</v>
      </c>
      <c r="E860">
        <v>1</v>
      </c>
    </row>
    <row r="861" spans="2:5" x14ac:dyDescent="0.25">
      <c r="B861" s="1">
        <v>41122</v>
      </c>
      <c r="C861" t="s">
        <v>16</v>
      </c>
      <c r="D861">
        <v>8442355092.7799997</v>
      </c>
      <c r="E861">
        <v>2</v>
      </c>
    </row>
    <row r="862" spans="2:5" x14ac:dyDescent="0.25">
      <c r="B862" s="1">
        <v>41122</v>
      </c>
      <c r="C862" t="s">
        <v>69</v>
      </c>
      <c r="D862">
        <v>4795732432.7799997</v>
      </c>
      <c r="E862">
        <v>3</v>
      </c>
    </row>
    <row r="863" spans="2:5" x14ac:dyDescent="0.25">
      <c r="B863" s="1">
        <v>41122</v>
      </c>
      <c r="C863" t="s">
        <v>12</v>
      </c>
      <c r="D863">
        <v>3590695127.9499998</v>
      </c>
      <c r="E863">
        <v>4</v>
      </c>
    </row>
    <row r="864" spans="2:5" x14ac:dyDescent="0.25">
      <c r="B864" s="1">
        <v>41122</v>
      </c>
      <c r="C864" t="s">
        <v>4</v>
      </c>
      <c r="D864">
        <v>2296779153.21</v>
      </c>
      <c r="E864">
        <v>5</v>
      </c>
    </row>
    <row r="865" spans="2:5" x14ac:dyDescent="0.25">
      <c r="B865" s="1">
        <v>41122</v>
      </c>
      <c r="C865" t="s">
        <v>6</v>
      </c>
      <c r="D865">
        <v>2048484161.77</v>
      </c>
      <c r="E865">
        <v>6</v>
      </c>
    </row>
    <row r="866" spans="2:5" x14ac:dyDescent="0.25">
      <c r="B866" s="1">
        <v>41122</v>
      </c>
      <c r="C866" t="s">
        <v>25</v>
      </c>
      <c r="D866">
        <v>1685314349.4100001</v>
      </c>
      <c r="E866">
        <v>7</v>
      </c>
    </row>
    <row r="867" spans="2:5" x14ac:dyDescent="0.25">
      <c r="B867" s="1">
        <v>41122</v>
      </c>
      <c r="C867" t="s">
        <v>57</v>
      </c>
      <c r="D867">
        <v>1448609964.23</v>
      </c>
      <c r="E867">
        <v>8</v>
      </c>
    </row>
    <row r="868" spans="2:5" x14ac:dyDescent="0.25">
      <c r="B868" s="1">
        <v>41122</v>
      </c>
      <c r="C868" t="s">
        <v>5</v>
      </c>
      <c r="D868">
        <v>1337029246.04</v>
      </c>
      <c r="E868">
        <v>9</v>
      </c>
    </row>
    <row r="869" spans="2:5" x14ac:dyDescent="0.25">
      <c r="B869" s="1">
        <v>41122</v>
      </c>
      <c r="C869" t="s">
        <v>75</v>
      </c>
      <c r="D869">
        <v>1094677493.75</v>
      </c>
      <c r="E869">
        <v>10</v>
      </c>
    </row>
    <row r="870" spans="2:5" x14ac:dyDescent="0.25">
      <c r="B870" s="1">
        <v>41153</v>
      </c>
      <c r="C870" t="s">
        <v>13</v>
      </c>
      <c r="D870">
        <v>16358817450.4</v>
      </c>
      <c r="E870">
        <v>1</v>
      </c>
    </row>
    <row r="871" spans="2:5" x14ac:dyDescent="0.25">
      <c r="B871" s="1">
        <v>41153</v>
      </c>
      <c r="C871" t="s">
        <v>16</v>
      </c>
      <c r="D871">
        <v>9641813829.6700001</v>
      </c>
      <c r="E871">
        <v>2</v>
      </c>
    </row>
    <row r="872" spans="2:5" x14ac:dyDescent="0.25">
      <c r="B872" s="1">
        <v>41153</v>
      </c>
      <c r="C872" t="s">
        <v>69</v>
      </c>
      <c r="D872">
        <v>4937311483.1499996</v>
      </c>
      <c r="E872">
        <v>3</v>
      </c>
    </row>
    <row r="873" spans="2:5" x14ac:dyDescent="0.25">
      <c r="B873" s="1">
        <v>41153</v>
      </c>
      <c r="C873" t="s">
        <v>4</v>
      </c>
      <c r="D873">
        <v>3528216594.1500001</v>
      </c>
      <c r="E873">
        <v>4</v>
      </c>
    </row>
    <row r="874" spans="2:5" x14ac:dyDescent="0.25">
      <c r="B874" s="1">
        <v>41153</v>
      </c>
      <c r="C874" t="s">
        <v>12</v>
      </c>
      <c r="D874">
        <v>3367762976.5300002</v>
      </c>
      <c r="E874">
        <v>5</v>
      </c>
    </row>
    <row r="875" spans="2:5" x14ac:dyDescent="0.25">
      <c r="B875" s="1">
        <v>41153</v>
      </c>
      <c r="C875" t="s">
        <v>25</v>
      </c>
      <c r="D875">
        <v>2141757846.5799999</v>
      </c>
      <c r="E875">
        <v>6</v>
      </c>
    </row>
    <row r="876" spans="2:5" x14ac:dyDescent="0.25">
      <c r="B876" s="1">
        <v>41153</v>
      </c>
      <c r="C876" t="s">
        <v>57</v>
      </c>
      <c r="D876">
        <v>1694741437.22</v>
      </c>
      <c r="E876">
        <v>7</v>
      </c>
    </row>
    <row r="877" spans="2:5" x14ac:dyDescent="0.25">
      <c r="B877" s="1">
        <v>41153</v>
      </c>
      <c r="C877" t="s">
        <v>5</v>
      </c>
      <c r="D877">
        <v>1656770244.25</v>
      </c>
      <c r="E877">
        <v>8</v>
      </c>
    </row>
    <row r="878" spans="2:5" x14ac:dyDescent="0.25">
      <c r="B878" s="1">
        <v>41153</v>
      </c>
      <c r="C878" t="s">
        <v>6</v>
      </c>
      <c r="D878">
        <v>1194725137.48</v>
      </c>
      <c r="E878">
        <v>9</v>
      </c>
    </row>
    <row r="879" spans="2:5" x14ac:dyDescent="0.25">
      <c r="B879" s="1">
        <v>41153</v>
      </c>
      <c r="C879" t="s">
        <v>75</v>
      </c>
      <c r="D879">
        <v>1095470707.79</v>
      </c>
      <c r="E879">
        <v>10</v>
      </c>
    </row>
    <row r="880" spans="2:5" x14ac:dyDescent="0.25">
      <c r="B880" s="1">
        <v>41183</v>
      </c>
      <c r="C880" t="s">
        <v>13</v>
      </c>
      <c r="D880">
        <v>13583725455.1</v>
      </c>
      <c r="E880">
        <v>1</v>
      </c>
    </row>
    <row r="881" spans="2:5" x14ac:dyDescent="0.25">
      <c r="B881" s="1">
        <v>41183</v>
      </c>
      <c r="C881" t="s">
        <v>16</v>
      </c>
      <c r="D881">
        <v>4517401460.5299997</v>
      </c>
      <c r="E881">
        <v>2</v>
      </c>
    </row>
    <row r="882" spans="2:5" x14ac:dyDescent="0.25">
      <c r="B882" s="1">
        <v>41183</v>
      </c>
      <c r="C882" t="s">
        <v>69</v>
      </c>
      <c r="D882">
        <v>4269923296.52</v>
      </c>
      <c r="E882">
        <v>3</v>
      </c>
    </row>
    <row r="883" spans="2:5" x14ac:dyDescent="0.25">
      <c r="B883" s="1">
        <v>41183</v>
      </c>
      <c r="C883" t="s">
        <v>12</v>
      </c>
      <c r="D883">
        <v>3102558509.5100002</v>
      </c>
      <c r="E883">
        <v>4</v>
      </c>
    </row>
    <row r="884" spans="2:5" x14ac:dyDescent="0.25">
      <c r="B884" s="1">
        <v>41183</v>
      </c>
      <c r="C884" t="s">
        <v>57</v>
      </c>
      <c r="D884">
        <v>1993354373.29</v>
      </c>
      <c r="E884">
        <v>5</v>
      </c>
    </row>
    <row r="885" spans="2:5" x14ac:dyDescent="0.25">
      <c r="B885" s="1">
        <v>41183</v>
      </c>
      <c r="C885" t="s">
        <v>6</v>
      </c>
      <c r="D885">
        <v>1975668254.21</v>
      </c>
      <c r="E885">
        <v>6</v>
      </c>
    </row>
    <row r="886" spans="2:5" x14ac:dyDescent="0.25">
      <c r="B886" s="1">
        <v>41183</v>
      </c>
      <c r="C886" t="s">
        <v>75</v>
      </c>
      <c r="D886">
        <v>1757170071.4400001</v>
      </c>
      <c r="E886">
        <v>7</v>
      </c>
    </row>
    <row r="887" spans="2:5" x14ac:dyDescent="0.25">
      <c r="B887" s="1">
        <v>41183</v>
      </c>
      <c r="C887" t="s">
        <v>25</v>
      </c>
      <c r="D887">
        <v>1671217469.95</v>
      </c>
      <c r="E887">
        <v>8</v>
      </c>
    </row>
    <row r="888" spans="2:5" x14ac:dyDescent="0.25">
      <c r="B888" s="1">
        <v>41183</v>
      </c>
      <c r="C888" t="s">
        <v>5</v>
      </c>
      <c r="D888">
        <v>1075838630.21</v>
      </c>
      <c r="E888">
        <v>9</v>
      </c>
    </row>
    <row r="889" spans="2:5" x14ac:dyDescent="0.25">
      <c r="B889" s="1">
        <v>41183</v>
      </c>
      <c r="C889" t="s">
        <v>4</v>
      </c>
      <c r="D889">
        <v>1029221418.6799999</v>
      </c>
      <c r="E889">
        <v>10</v>
      </c>
    </row>
    <row r="890" spans="2:5" x14ac:dyDescent="0.25">
      <c r="B890" s="1">
        <v>41214</v>
      </c>
      <c r="C890" t="s">
        <v>13</v>
      </c>
      <c r="D890">
        <v>18702888793.82</v>
      </c>
      <c r="E890">
        <v>1</v>
      </c>
    </row>
    <row r="891" spans="2:5" x14ac:dyDescent="0.25">
      <c r="B891" s="1">
        <v>41214</v>
      </c>
      <c r="C891" t="s">
        <v>16</v>
      </c>
      <c r="D891">
        <v>7664238085.7700005</v>
      </c>
      <c r="E891">
        <v>2</v>
      </c>
    </row>
    <row r="892" spans="2:5" x14ac:dyDescent="0.25">
      <c r="B892" s="1">
        <v>41214</v>
      </c>
      <c r="C892" t="s">
        <v>69</v>
      </c>
      <c r="D892">
        <v>5319861378.3900003</v>
      </c>
      <c r="E892">
        <v>3</v>
      </c>
    </row>
    <row r="893" spans="2:5" x14ac:dyDescent="0.25">
      <c r="B893" s="1">
        <v>41214</v>
      </c>
      <c r="C893" t="s">
        <v>12</v>
      </c>
      <c r="D893">
        <v>3882765467.3400002</v>
      </c>
      <c r="E893">
        <v>4</v>
      </c>
    </row>
    <row r="894" spans="2:5" x14ac:dyDescent="0.25">
      <c r="B894" s="1">
        <v>41214</v>
      </c>
      <c r="C894" t="s">
        <v>4</v>
      </c>
      <c r="D894">
        <v>3051120308</v>
      </c>
      <c r="E894">
        <v>5</v>
      </c>
    </row>
    <row r="895" spans="2:5" x14ac:dyDescent="0.25">
      <c r="B895" s="1">
        <v>41214</v>
      </c>
      <c r="C895" t="s">
        <v>75</v>
      </c>
      <c r="D895">
        <v>2524129754.2800002</v>
      </c>
      <c r="E895">
        <v>6</v>
      </c>
    </row>
    <row r="896" spans="2:5" x14ac:dyDescent="0.25">
      <c r="B896" s="1">
        <v>41214</v>
      </c>
      <c r="C896" t="s">
        <v>6</v>
      </c>
      <c r="D896">
        <v>2418355741.52</v>
      </c>
      <c r="E896">
        <v>7</v>
      </c>
    </row>
    <row r="897" spans="2:5" x14ac:dyDescent="0.25">
      <c r="B897" s="1">
        <v>41214</v>
      </c>
      <c r="C897" t="s">
        <v>25</v>
      </c>
      <c r="D897">
        <v>1998429887.1300001</v>
      </c>
      <c r="E897">
        <v>8</v>
      </c>
    </row>
    <row r="898" spans="2:5" x14ac:dyDescent="0.25">
      <c r="B898" s="1">
        <v>41214</v>
      </c>
      <c r="C898" t="s">
        <v>76</v>
      </c>
      <c r="D898">
        <v>1588213809</v>
      </c>
      <c r="E898">
        <v>9</v>
      </c>
    </row>
    <row r="899" spans="2:5" x14ac:dyDescent="0.25">
      <c r="B899" s="1">
        <v>41214</v>
      </c>
      <c r="C899" t="s">
        <v>57</v>
      </c>
      <c r="D899">
        <v>1550319650.9000001</v>
      </c>
      <c r="E899">
        <v>10</v>
      </c>
    </row>
    <row r="900" spans="2:5" x14ac:dyDescent="0.25">
      <c r="B900" s="1">
        <v>41244</v>
      </c>
      <c r="C900" t="s">
        <v>13</v>
      </c>
      <c r="D900">
        <v>5990993955.3400002</v>
      </c>
      <c r="E900">
        <v>1</v>
      </c>
    </row>
    <row r="901" spans="2:5" x14ac:dyDescent="0.25">
      <c r="B901" s="1">
        <v>41244</v>
      </c>
      <c r="C901" t="s">
        <v>16</v>
      </c>
      <c r="D901">
        <v>5462589667.8999996</v>
      </c>
      <c r="E901">
        <v>2</v>
      </c>
    </row>
    <row r="902" spans="2:5" x14ac:dyDescent="0.25">
      <c r="B902" s="1">
        <v>41244</v>
      </c>
      <c r="C902" t="s">
        <v>69</v>
      </c>
      <c r="D902">
        <v>4866573877.1400003</v>
      </c>
      <c r="E902">
        <v>3</v>
      </c>
    </row>
    <row r="903" spans="2:5" x14ac:dyDescent="0.25">
      <c r="B903" s="1">
        <v>41244</v>
      </c>
      <c r="C903" t="s">
        <v>12</v>
      </c>
      <c r="D903">
        <v>3912376920.6900001</v>
      </c>
      <c r="E903">
        <v>4</v>
      </c>
    </row>
    <row r="904" spans="2:5" x14ac:dyDescent="0.25">
      <c r="B904" s="1">
        <v>41244</v>
      </c>
      <c r="C904" t="s">
        <v>25</v>
      </c>
      <c r="D904">
        <v>2424491906.04</v>
      </c>
      <c r="E904">
        <v>5</v>
      </c>
    </row>
    <row r="905" spans="2:5" x14ac:dyDescent="0.25">
      <c r="B905" s="1">
        <v>41244</v>
      </c>
      <c r="C905" t="s">
        <v>75</v>
      </c>
      <c r="D905">
        <v>1613083367.98</v>
      </c>
      <c r="E905">
        <v>6</v>
      </c>
    </row>
    <row r="906" spans="2:5" x14ac:dyDescent="0.25">
      <c r="B906" s="1">
        <v>41244</v>
      </c>
      <c r="C906" t="s">
        <v>6</v>
      </c>
      <c r="D906">
        <v>1304094351.97</v>
      </c>
      <c r="E906">
        <v>7</v>
      </c>
    </row>
    <row r="907" spans="2:5" x14ac:dyDescent="0.25">
      <c r="B907" s="1">
        <v>41244</v>
      </c>
      <c r="C907" t="s">
        <v>8</v>
      </c>
      <c r="D907">
        <v>1178548513.0699999</v>
      </c>
      <c r="E907">
        <v>8</v>
      </c>
    </row>
    <row r="908" spans="2:5" x14ac:dyDescent="0.25">
      <c r="B908" s="1">
        <v>41244</v>
      </c>
      <c r="C908" t="s">
        <v>4</v>
      </c>
      <c r="D908">
        <v>1082046177.3</v>
      </c>
      <c r="E908">
        <v>9</v>
      </c>
    </row>
    <row r="909" spans="2:5" x14ac:dyDescent="0.25">
      <c r="B909" s="1">
        <v>41244</v>
      </c>
      <c r="C909" t="s">
        <v>57</v>
      </c>
      <c r="D909">
        <v>984432815.47000003</v>
      </c>
      <c r="E909">
        <v>10</v>
      </c>
    </row>
    <row r="910" spans="2:5" x14ac:dyDescent="0.25">
      <c r="B910" s="1">
        <v>41275</v>
      </c>
      <c r="C910" t="s">
        <v>13</v>
      </c>
      <c r="D910">
        <v>12960800578.620001</v>
      </c>
      <c r="E910">
        <v>1</v>
      </c>
    </row>
    <row r="911" spans="2:5" x14ac:dyDescent="0.25">
      <c r="B911" s="1">
        <v>41275</v>
      </c>
      <c r="C911" t="s">
        <v>16</v>
      </c>
      <c r="D911">
        <v>7322099685.6199999</v>
      </c>
      <c r="E911">
        <v>2</v>
      </c>
    </row>
    <row r="912" spans="2:5" x14ac:dyDescent="0.25">
      <c r="B912" s="1">
        <v>41275</v>
      </c>
      <c r="C912" t="s">
        <v>69</v>
      </c>
      <c r="D912">
        <v>5979329449.8800001</v>
      </c>
      <c r="E912">
        <v>3</v>
      </c>
    </row>
    <row r="913" spans="2:5" x14ac:dyDescent="0.25">
      <c r="B913" s="1">
        <v>41275</v>
      </c>
      <c r="C913" t="s">
        <v>12</v>
      </c>
      <c r="D913">
        <v>3555445910.4099998</v>
      </c>
      <c r="E913">
        <v>4</v>
      </c>
    </row>
    <row r="914" spans="2:5" x14ac:dyDescent="0.25">
      <c r="B914" s="1">
        <v>41275</v>
      </c>
      <c r="C914" t="s">
        <v>25</v>
      </c>
      <c r="D914">
        <v>2355507267.6900001</v>
      </c>
      <c r="E914">
        <v>5</v>
      </c>
    </row>
    <row r="915" spans="2:5" x14ac:dyDescent="0.25">
      <c r="B915" s="1">
        <v>41275</v>
      </c>
      <c r="C915" t="s">
        <v>75</v>
      </c>
      <c r="D915">
        <v>2198109024.29</v>
      </c>
      <c r="E915">
        <v>6</v>
      </c>
    </row>
    <row r="916" spans="2:5" x14ac:dyDescent="0.25">
      <c r="B916" s="1">
        <v>41275</v>
      </c>
      <c r="C916" t="s">
        <v>6</v>
      </c>
      <c r="D916">
        <v>1907610161.7</v>
      </c>
      <c r="E916">
        <v>7</v>
      </c>
    </row>
    <row r="917" spans="2:5" x14ac:dyDescent="0.25">
      <c r="B917" s="1">
        <v>41275</v>
      </c>
      <c r="C917" t="s">
        <v>4</v>
      </c>
      <c r="D917">
        <v>1752051096.6099999</v>
      </c>
      <c r="E917">
        <v>8</v>
      </c>
    </row>
    <row r="918" spans="2:5" x14ac:dyDescent="0.25">
      <c r="B918" s="1">
        <v>41275</v>
      </c>
      <c r="C918" t="s">
        <v>5</v>
      </c>
      <c r="D918">
        <v>1602774666.5599999</v>
      </c>
      <c r="E918">
        <v>9</v>
      </c>
    </row>
    <row r="919" spans="2:5" x14ac:dyDescent="0.25">
      <c r="B919" s="1">
        <v>41275</v>
      </c>
      <c r="C919" t="s">
        <v>57</v>
      </c>
      <c r="D919">
        <v>1422874040.1400001</v>
      </c>
      <c r="E919">
        <v>10</v>
      </c>
    </row>
    <row r="920" spans="2:5" x14ac:dyDescent="0.25">
      <c r="B920" s="1">
        <v>41306</v>
      </c>
      <c r="C920" t="s">
        <v>13</v>
      </c>
      <c r="D920">
        <v>12090154945.85</v>
      </c>
      <c r="E920">
        <v>1</v>
      </c>
    </row>
    <row r="921" spans="2:5" x14ac:dyDescent="0.25">
      <c r="B921" s="1">
        <v>41306</v>
      </c>
      <c r="C921" t="s">
        <v>16</v>
      </c>
      <c r="D921">
        <v>7231687296.3800001</v>
      </c>
      <c r="E921">
        <v>2</v>
      </c>
    </row>
    <row r="922" spans="2:5" x14ac:dyDescent="0.25">
      <c r="B922" s="1">
        <v>41306</v>
      </c>
      <c r="C922" t="s">
        <v>69</v>
      </c>
      <c r="D922">
        <v>5069266638.7200003</v>
      </c>
      <c r="E922">
        <v>3</v>
      </c>
    </row>
    <row r="923" spans="2:5" x14ac:dyDescent="0.25">
      <c r="B923" s="1">
        <v>41306</v>
      </c>
      <c r="C923" t="s">
        <v>4</v>
      </c>
      <c r="D923">
        <v>4833507966.8299999</v>
      </c>
      <c r="E923">
        <v>4</v>
      </c>
    </row>
    <row r="924" spans="2:5" x14ac:dyDescent="0.25">
      <c r="B924" s="1">
        <v>41306</v>
      </c>
      <c r="C924" t="s">
        <v>12</v>
      </c>
      <c r="D924">
        <v>3070547359.5500002</v>
      </c>
      <c r="E924">
        <v>5</v>
      </c>
    </row>
    <row r="925" spans="2:5" x14ac:dyDescent="0.25">
      <c r="B925" s="1">
        <v>41306</v>
      </c>
      <c r="C925" t="s">
        <v>6</v>
      </c>
      <c r="D925">
        <v>2029149646.1500001</v>
      </c>
      <c r="E925">
        <v>6</v>
      </c>
    </row>
    <row r="926" spans="2:5" x14ac:dyDescent="0.25">
      <c r="B926" s="1">
        <v>41306</v>
      </c>
      <c r="C926" t="s">
        <v>25</v>
      </c>
      <c r="D926">
        <v>1932080772.45</v>
      </c>
      <c r="E926">
        <v>7</v>
      </c>
    </row>
    <row r="927" spans="2:5" x14ac:dyDescent="0.25">
      <c r="B927" s="1">
        <v>41306</v>
      </c>
      <c r="C927" t="s">
        <v>57</v>
      </c>
      <c r="D927">
        <v>1812863135.98</v>
      </c>
      <c r="E927">
        <v>8</v>
      </c>
    </row>
    <row r="928" spans="2:5" x14ac:dyDescent="0.25">
      <c r="B928" s="1">
        <v>41306</v>
      </c>
      <c r="C928" t="s">
        <v>5</v>
      </c>
      <c r="D928">
        <v>1306980096.78</v>
      </c>
      <c r="E928">
        <v>9</v>
      </c>
    </row>
    <row r="929" spans="2:5" x14ac:dyDescent="0.25">
      <c r="B929" s="1">
        <v>41306</v>
      </c>
      <c r="C929" t="s">
        <v>8</v>
      </c>
      <c r="D929">
        <v>1245620504</v>
      </c>
      <c r="E929">
        <v>10</v>
      </c>
    </row>
    <row r="930" spans="2:5" x14ac:dyDescent="0.25">
      <c r="B930" s="1">
        <v>41334</v>
      </c>
      <c r="C930" t="s">
        <v>13</v>
      </c>
      <c r="D930">
        <v>10298222135.870001</v>
      </c>
      <c r="E930">
        <v>1</v>
      </c>
    </row>
    <row r="931" spans="2:5" x14ac:dyDescent="0.25">
      <c r="B931" s="1">
        <v>41334</v>
      </c>
      <c r="C931" t="s">
        <v>16</v>
      </c>
      <c r="D931">
        <v>6926091191.3800001</v>
      </c>
      <c r="E931">
        <v>2</v>
      </c>
    </row>
    <row r="932" spans="2:5" x14ac:dyDescent="0.25">
      <c r="B932" s="1">
        <v>41334</v>
      </c>
      <c r="C932" t="s">
        <v>69</v>
      </c>
      <c r="D932">
        <v>4567963477.21</v>
      </c>
      <c r="E932">
        <v>3</v>
      </c>
    </row>
    <row r="933" spans="2:5" x14ac:dyDescent="0.25">
      <c r="B933" s="1">
        <v>41334</v>
      </c>
      <c r="C933" t="s">
        <v>4</v>
      </c>
      <c r="D933">
        <v>2511285341.6500001</v>
      </c>
      <c r="E933">
        <v>4</v>
      </c>
    </row>
    <row r="934" spans="2:5" x14ac:dyDescent="0.25">
      <c r="B934" s="1">
        <v>41334</v>
      </c>
      <c r="C934" t="s">
        <v>6</v>
      </c>
      <c r="D934">
        <v>2307636902.73</v>
      </c>
      <c r="E934">
        <v>5</v>
      </c>
    </row>
    <row r="935" spans="2:5" x14ac:dyDescent="0.25">
      <c r="B935" s="1">
        <v>41334</v>
      </c>
      <c r="C935" t="s">
        <v>12</v>
      </c>
      <c r="D935">
        <v>1901922494.5</v>
      </c>
      <c r="E935">
        <v>6</v>
      </c>
    </row>
    <row r="936" spans="2:5" x14ac:dyDescent="0.25">
      <c r="B936" s="1">
        <v>41334</v>
      </c>
      <c r="C936" t="s">
        <v>57</v>
      </c>
      <c r="D936">
        <v>1855493018.1600001</v>
      </c>
      <c r="E936">
        <v>7</v>
      </c>
    </row>
    <row r="937" spans="2:5" x14ac:dyDescent="0.25">
      <c r="B937" s="1">
        <v>41334</v>
      </c>
      <c r="C937" t="s">
        <v>5</v>
      </c>
      <c r="D937">
        <v>799515520.72000003</v>
      </c>
      <c r="E937">
        <v>8</v>
      </c>
    </row>
    <row r="938" spans="2:5" x14ac:dyDescent="0.25">
      <c r="B938" s="1">
        <v>41334</v>
      </c>
      <c r="C938" t="s">
        <v>25</v>
      </c>
      <c r="D938">
        <v>716978597.38</v>
      </c>
      <c r="E938">
        <v>9</v>
      </c>
    </row>
    <row r="939" spans="2:5" x14ac:dyDescent="0.25">
      <c r="B939" s="1">
        <v>41334</v>
      </c>
      <c r="C939" t="s">
        <v>76</v>
      </c>
      <c r="D939">
        <v>703423047</v>
      </c>
      <c r="E939">
        <v>10</v>
      </c>
    </row>
    <row r="940" spans="2:5" x14ac:dyDescent="0.25">
      <c r="B940" s="1">
        <v>41365</v>
      </c>
      <c r="C940" t="s">
        <v>13</v>
      </c>
      <c r="D940">
        <v>10983062364.98</v>
      </c>
      <c r="E940">
        <v>1</v>
      </c>
    </row>
    <row r="941" spans="2:5" x14ac:dyDescent="0.25">
      <c r="B941" s="1">
        <v>41365</v>
      </c>
      <c r="C941" t="s">
        <v>16</v>
      </c>
      <c r="D941">
        <v>6538495087.7299995</v>
      </c>
      <c r="E941">
        <v>2</v>
      </c>
    </row>
    <row r="942" spans="2:5" x14ac:dyDescent="0.25">
      <c r="B942" s="1">
        <v>41365</v>
      </c>
      <c r="C942" t="s">
        <v>4</v>
      </c>
      <c r="D942">
        <v>4621470486.8500004</v>
      </c>
      <c r="E942">
        <v>3</v>
      </c>
    </row>
    <row r="943" spans="2:5" x14ac:dyDescent="0.25">
      <c r="B943" s="1">
        <v>41365</v>
      </c>
      <c r="C943" t="s">
        <v>69</v>
      </c>
      <c r="D943">
        <v>4125896876.8099999</v>
      </c>
      <c r="E943">
        <v>4</v>
      </c>
    </row>
    <row r="944" spans="2:5" x14ac:dyDescent="0.25">
      <c r="B944" s="1">
        <v>41365</v>
      </c>
      <c r="C944" t="s">
        <v>6</v>
      </c>
      <c r="D944">
        <v>3520970482.02</v>
      </c>
      <c r="E944">
        <v>5</v>
      </c>
    </row>
    <row r="945" spans="2:5" x14ac:dyDescent="0.25">
      <c r="B945" s="1">
        <v>41365</v>
      </c>
      <c r="C945" t="s">
        <v>12</v>
      </c>
      <c r="D945">
        <v>2866774138.8499999</v>
      </c>
      <c r="E945">
        <v>6</v>
      </c>
    </row>
    <row r="946" spans="2:5" x14ac:dyDescent="0.25">
      <c r="B946" s="1">
        <v>41365</v>
      </c>
      <c r="C946" t="s">
        <v>8</v>
      </c>
      <c r="D946">
        <v>1599161362.23</v>
      </c>
      <c r="E946">
        <v>7</v>
      </c>
    </row>
    <row r="947" spans="2:5" x14ac:dyDescent="0.25">
      <c r="B947" s="1">
        <v>41365</v>
      </c>
      <c r="C947" t="s">
        <v>5</v>
      </c>
      <c r="D947">
        <v>1051421255.6900001</v>
      </c>
      <c r="E947">
        <v>8</v>
      </c>
    </row>
    <row r="948" spans="2:5" x14ac:dyDescent="0.25">
      <c r="B948" s="1">
        <v>41365</v>
      </c>
      <c r="C948" t="s">
        <v>77</v>
      </c>
      <c r="D948">
        <v>1037437524.3099999</v>
      </c>
      <c r="E948">
        <v>9</v>
      </c>
    </row>
    <row r="949" spans="2:5" x14ac:dyDescent="0.25">
      <c r="B949" s="1">
        <v>41365</v>
      </c>
      <c r="C949" t="s">
        <v>76</v>
      </c>
      <c r="D949">
        <v>1031822824</v>
      </c>
      <c r="E949">
        <v>10</v>
      </c>
    </row>
    <row r="950" spans="2:5" x14ac:dyDescent="0.25">
      <c r="B950" s="1">
        <v>41395</v>
      </c>
      <c r="C950" t="s">
        <v>13</v>
      </c>
      <c r="D950">
        <v>16565187107.59</v>
      </c>
      <c r="E950">
        <v>1</v>
      </c>
    </row>
    <row r="951" spans="2:5" x14ac:dyDescent="0.25">
      <c r="B951" s="1">
        <v>41395</v>
      </c>
      <c r="C951" t="s">
        <v>16</v>
      </c>
      <c r="D951">
        <v>5637410167.5500002</v>
      </c>
      <c r="E951">
        <v>2</v>
      </c>
    </row>
    <row r="952" spans="2:5" x14ac:dyDescent="0.25">
      <c r="B952" s="1">
        <v>41395</v>
      </c>
      <c r="C952" t="s">
        <v>4</v>
      </c>
      <c r="D952">
        <v>3985547277.6199999</v>
      </c>
      <c r="E952">
        <v>3</v>
      </c>
    </row>
    <row r="953" spans="2:5" x14ac:dyDescent="0.25">
      <c r="B953" s="1">
        <v>41395</v>
      </c>
      <c r="C953" t="s">
        <v>69</v>
      </c>
      <c r="D953">
        <v>3459242035.96</v>
      </c>
      <c r="E953">
        <v>4</v>
      </c>
    </row>
    <row r="954" spans="2:5" x14ac:dyDescent="0.25">
      <c r="B954" s="1">
        <v>41395</v>
      </c>
      <c r="C954" t="s">
        <v>6</v>
      </c>
      <c r="D954">
        <v>2175818362.3200002</v>
      </c>
      <c r="E954">
        <v>5</v>
      </c>
    </row>
    <row r="955" spans="2:5" x14ac:dyDescent="0.25">
      <c r="B955" s="1">
        <v>41395</v>
      </c>
      <c r="C955" t="s">
        <v>57</v>
      </c>
      <c r="D955">
        <v>1879426390.98</v>
      </c>
      <c r="E955">
        <v>6</v>
      </c>
    </row>
    <row r="956" spans="2:5" x14ac:dyDescent="0.25">
      <c r="B956" s="1">
        <v>41395</v>
      </c>
      <c r="C956" t="s">
        <v>12</v>
      </c>
      <c r="D956">
        <v>1856516396.73</v>
      </c>
      <c r="E956">
        <v>7</v>
      </c>
    </row>
    <row r="957" spans="2:5" x14ac:dyDescent="0.25">
      <c r="B957" s="1">
        <v>41395</v>
      </c>
      <c r="C957" t="s">
        <v>78</v>
      </c>
      <c r="D957">
        <v>1129016102.25</v>
      </c>
      <c r="E957">
        <v>8</v>
      </c>
    </row>
    <row r="958" spans="2:5" x14ac:dyDescent="0.25">
      <c r="B958" s="1">
        <v>41395</v>
      </c>
      <c r="C958" t="s">
        <v>5</v>
      </c>
      <c r="D958">
        <v>977753136.09000003</v>
      </c>
      <c r="E958">
        <v>9</v>
      </c>
    </row>
    <row r="959" spans="2:5" x14ac:dyDescent="0.25">
      <c r="B959" s="1">
        <v>41395</v>
      </c>
      <c r="C959" t="s">
        <v>76</v>
      </c>
      <c r="D959">
        <v>875520179</v>
      </c>
      <c r="E959">
        <v>10</v>
      </c>
    </row>
    <row r="960" spans="2:5" x14ac:dyDescent="0.25">
      <c r="B960" s="1">
        <v>41426</v>
      </c>
      <c r="C960" t="s">
        <v>13</v>
      </c>
      <c r="D960">
        <v>15486832649.959999</v>
      </c>
      <c r="E960">
        <v>1</v>
      </c>
    </row>
    <row r="961" spans="2:5" x14ac:dyDescent="0.25">
      <c r="B961" s="1">
        <v>41426</v>
      </c>
      <c r="C961" t="s">
        <v>16</v>
      </c>
      <c r="D961">
        <v>4561843788.71</v>
      </c>
      <c r="E961">
        <v>2</v>
      </c>
    </row>
    <row r="962" spans="2:5" x14ac:dyDescent="0.25">
      <c r="B962" s="1">
        <v>41426</v>
      </c>
      <c r="C962" t="s">
        <v>69</v>
      </c>
      <c r="D962">
        <v>4055990638.6799998</v>
      </c>
      <c r="E962">
        <v>3</v>
      </c>
    </row>
    <row r="963" spans="2:5" x14ac:dyDescent="0.25">
      <c r="B963" s="1">
        <v>41426</v>
      </c>
      <c r="C963" t="s">
        <v>4</v>
      </c>
      <c r="D963">
        <v>2681103987.0500002</v>
      </c>
      <c r="E963">
        <v>4</v>
      </c>
    </row>
    <row r="964" spans="2:5" x14ac:dyDescent="0.25">
      <c r="B964" s="1">
        <v>41426</v>
      </c>
      <c r="C964" t="s">
        <v>6</v>
      </c>
      <c r="D964">
        <v>2398858109.7199998</v>
      </c>
      <c r="E964">
        <v>5</v>
      </c>
    </row>
    <row r="965" spans="2:5" x14ac:dyDescent="0.25">
      <c r="B965" s="1">
        <v>41426</v>
      </c>
      <c r="C965" t="s">
        <v>12</v>
      </c>
      <c r="D965">
        <v>1997314246.6300001</v>
      </c>
      <c r="E965">
        <v>6</v>
      </c>
    </row>
    <row r="966" spans="2:5" x14ac:dyDescent="0.25">
      <c r="B966" s="1">
        <v>41426</v>
      </c>
      <c r="C966" t="s">
        <v>78</v>
      </c>
      <c r="D966">
        <v>1573203721.77</v>
      </c>
      <c r="E966">
        <v>7</v>
      </c>
    </row>
    <row r="967" spans="2:5" x14ac:dyDescent="0.25">
      <c r="B967" s="1">
        <v>41426</v>
      </c>
      <c r="C967" t="s">
        <v>76</v>
      </c>
      <c r="D967">
        <v>1169087126</v>
      </c>
      <c r="E967">
        <v>8</v>
      </c>
    </row>
    <row r="968" spans="2:5" x14ac:dyDescent="0.25">
      <c r="B968" s="1">
        <v>41426</v>
      </c>
      <c r="C968" t="s">
        <v>77</v>
      </c>
      <c r="D968">
        <v>1000640774.4400001</v>
      </c>
      <c r="E968">
        <v>9</v>
      </c>
    </row>
    <row r="969" spans="2:5" x14ac:dyDescent="0.25">
      <c r="B969" s="1">
        <v>41426</v>
      </c>
      <c r="C969" t="s">
        <v>5</v>
      </c>
      <c r="D969">
        <v>567488798.92999995</v>
      </c>
      <c r="E969">
        <v>10</v>
      </c>
    </row>
    <row r="970" spans="2:5" x14ac:dyDescent="0.25">
      <c r="B970" s="1">
        <v>41456</v>
      </c>
      <c r="C970" t="s">
        <v>13</v>
      </c>
      <c r="D970">
        <v>16978552578.67</v>
      </c>
      <c r="E970">
        <v>1</v>
      </c>
    </row>
    <row r="971" spans="2:5" x14ac:dyDescent="0.25">
      <c r="B971" s="1">
        <v>41456</v>
      </c>
      <c r="C971" t="s">
        <v>69</v>
      </c>
      <c r="D971">
        <v>4468738110.4300003</v>
      </c>
      <c r="E971">
        <v>2</v>
      </c>
    </row>
    <row r="972" spans="2:5" x14ac:dyDescent="0.25">
      <c r="B972" s="1">
        <v>41456</v>
      </c>
      <c r="C972" t="s">
        <v>16</v>
      </c>
      <c r="D972">
        <v>3148298719.46</v>
      </c>
      <c r="E972">
        <v>3</v>
      </c>
    </row>
    <row r="973" spans="2:5" x14ac:dyDescent="0.25">
      <c r="B973" s="1">
        <v>41456</v>
      </c>
      <c r="C973" t="s">
        <v>4</v>
      </c>
      <c r="D973">
        <v>2941250839.6100001</v>
      </c>
      <c r="E973">
        <v>4</v>
      </c>
    </row>
    <row r="974" spans="2:5" x14ac:dyDescent="0.25">
      <c r="B974" s="1">
        <v>41456</v>
      </c>
      <c r="C974" t="s">
        <v>12</v>
      </c>
      <c r="D974">
        <v>2287568241.9699998</v>
      </c>
      <c r="E974">
        <v>5</v>
      </c>
    </row>
    <row r="975" spans="2:5" x14ac:dyDescent="0.25">
      <c r="B975" s="1">
        <v>41456</v>
      </c>
      <c r="C975" t="s">
        <v>78</v>
      </c>
      <c r="D975">
        <v>2212331897.6900001</v>
      </c>
      <c r="E975">
        <v>6</v>
      </c>
    </row>
    <row r="976" spans="2:5" x14ac:dyDescent="0.25">
      <c r="B976" s="1">
        <v>41456</v>
      </c>
      <c r="C976" t="s">
        <v>6</v>
      </c>
      <c r="D976">
        <v>2001957601.3199999</v>
      </c>
      <c r="E976">
        <v>7</v>
      </c>
    </row>
    <row r="977" spans="2:5" x14ac:dyDescent="0.25">
      <c r="B977" s="1">
        <v>41456</v>
      </c>
      <c r="C977" t="s">
        <v>77</v>
      </c>
      <c r="D977">
        <v>1569984561.9200001</v>
      </c>
      <c r="E977">
        <v>8</v>
      </c>
    </row>
    <row r="978" spans="2:5" x14ac:dyDescent="0.25">
      <c r="B978" s="1">
        <v>41456</v>
      </c>
      <c r="C978" t="s">
        <v>75</v>
      </c>
      <c r="D978">
        <v>1144305792.9000001</v>
      </c>
      <c r="E978">
        <v>9</v>
      </c>
    </row>
    <row r="979" spans="2:5" x14ac:dyDescent="0.25">
      <c r="B979" s="1">
        <v>41456</v>
      </c>
      <c r="C979" t="s">
        <v>5</v>
      </c>
      <c r="D979">
        <v>713708620.26999998</v>
      </c>
      <c r="E979">
        <v>10</v>
      </c>
    </row>
    <row r="980" spans="2:5" x14ac:dyDescent="0.25">
      <c r="B980" s="1">
        <v>41487</v>
      </c>
      <c r="C980" t="s">
        <v>13</v>
      </c>
      <c r="D980">
        <v>16043754924.049999</v>
      </c>
      <c r="E980">
        <v>1</v>
      </c>
    </row>
    <row r="981" spans="2:5" x14ac:dyDescent="0.25">
      <c r="B981" s="1">
        <v>41487</v>
      </c>
      <c r="C981" t="s">
        <v>69</v>
      </c>
      <c r="D981">
        <v>4118976924.3200002</v>
      </c>
      <c r="E981">
        <v>2</v>
      </c>
    </row>
    <row r="982" spans="2:5" x14ac:dyDescent="0.25">
      <c r="B982" s="1">
        <v>41487</v>
      </c>
      <c r="C982" t="s">
        <v>77</v>
      </c>
      <c r="D982">
        <v>2883350418.2600002</v>
      </c>
      <c r="E982">
        <v>3</v>
      </c>
    </row>
    <row r="983" spans="2:5" x14ac:dyDescent="0.25">
      <c r="B983" s="1">
        <v>41487</v>
      </c>
      <c r="C983" t="s">
        <v>16</v>
      </c>
      <c r="D983">
        <v>2572723252.1300001</v>
      </c>
      <c r="E983">
        <v>4</v>
      </c>
    </row>
    <row r="984" spans="2:5" x14ac:dyDescent="0.25">
      <c r="B984" s="1">
        <v>41487</v>
      </c>
      <c r="C984" t="s">
        <v>4</v>
      </c>
      <c r="D984">
        <v>2256386097.4499998</v>
      </c>
      <c r="E984">
        <v>5</v>
      </c>
    </row>
    <row r="985" spans="2:5" x14ac:dyDescent="0.25">
      <c r="B985" s="1">
        <v>41487</v>
      </c>
      <c r="C985" t="s">
        <v>78</v>
      </c>
      <c r="D985">
        <v>2159130451.9000001</v>
      </c>
      <c r="E985">
        <v>6</v>
      </c>
    </row>
    <row r="986" spans="2:5" x14ac:dyDescent="0.25">
      <c r="B986" s="1">
        <v>41487</v>
      </c>
      <c r="C986" t="s">
        <v>12</v>
      </c>
      <c r="D986">
        <v>1796265185.45</v>
      </c>
      <c r="E986">
        <v>7</v>
      </c>
    </row>
    <row r="987" spans="2:5" x14ac:dyDescent="0.25">
      <c r="B987" s="1">
        <v>41487</v>
      </c>
      <c r="C987" t="s">
        <v>6</v>
      </c>
      <c r="D987">
        <v>1724530644.54</v>
      </c>
      <c r="E987">
        <v>8</v>
      </c>
    </row>
    <row r="988" spans="2:5" x14ac:dyDescent="0.25">
      <c r="B988" s="1">
        <v>41487</v>
      </c>
      <c r="C988" t="s">
        <v>73</v>
      </c>
      <c r="D988">
        <v>1299299846</v>
      </c>
      <c r="E988">
        <v>9</v>
      </c>
    </row>
    <row r="989" spans="2:5" x14ac:dyDescent="0.25">
      <c r="B989" s="1">
        <v>41487</v>
      </c>
      <c r="C989" t="s">
        <v>57</v>
      </c>
      <c r="D989">
        <v>916479356.41999996</v>
      </c>
      <c r="E989">
        <v>10</v>
      </c>
    </row>
    <row r="990" spans="2:5" x14ac:dyDescent="0.25">
      <c r="B990" s="1">
        <v>41518</v>
      </c>
      <c r="C990" t="s">
        <v>13</v>
      </c>
      <c r="D990">
        <v>12954391824.35</v>
      </c>
      <c r="E990">
        <v>1</v>
      </c>
    </row>
    <row r="991" spans="2:5" x14ac:dyDescent="0.25">
      <c r="B991" s="1">
        <v>41518</v>
      </c>
      <c r="C991" t="s">
        <v>16</v>
      </c>
      <c r="D991">
        <v>3270291712.54</v>
      </c>
      <c r="E991">
        <v>2</v>
      </c>
    </row>
    <row r="992" spans="2:5" x14ac:dyDescent="0.25">
      <c r="B992" s="1">
        <v>41518</v>
      </c>
      <c r="C992" t="s">
        <v>4</v>
      </c>
      <c r="D992">
        <v>2820572445.3699999</v>
      </c>
      <c r="E992">
        <v>3</v>
      </c>
    </row>
    <row r="993" spans="2:5" x14ac:dyDescent="0.25">
      <c r="B993" s="1">
        <v>41518</v>
      </c>
      <c r="C993" t="s">
        <v>69</v>
      </c>
      <c r="D993">
        <v>2360176115.9099998</v>
      </c>
      <c r="E993">
        <v>4</v>
      </c>
    </row>
    <row r="994" spans="2:5" x14ac:dyDescent="0.25">
      <c r="B994" s="1">
        <v>41518</v>
      </c>
      <c r="C994" t="s">
        <v>78</v>
      </c>
      <c r="D994">
        <v>1812325604.1099999</v>
      </c>
      <c r="E994">
        <v>5</v>
      </c>
    </row>
    <row r="995" spans="2:5" x14ac:dyDescent="0.25">
      <c r="B995" s="1">
        <v>41518</v>
      </c>
      <c r="C995" t="s">
        <v>77</v>
      </c>
      <c r="D995">
        <v>1353122738.8900001</v>
      </c>
      <c r="E995">
        <v>6</v>
      </c>
    </row>
    <row r="996" spans="2:5" x14ac:dyDescent="0.25">
      <c r="B996" s="1">
        <v>41518</v>
      </c>
      <c r="C996" t="s">
        <v>12</v>
      </c>
      <c r="D996">
        <v>1183299223.6300001</v>
      </c>
      <c r="E996">
        <v>7</v>
      </c>
    </row>
    <row r="997" spans="2:5" x14ac:dyDescent="0.25">
      <c r="B997" s="1">
        <v>41518</v>
      </c>
      <c r="C997" t="s">
        <v>6</v>
      </c>
      <c r="D997">
        <v>1080194081.3399999</v>
      </c>
      <c r="E997">
        <v>8</v>
      </c>
    </row>
    <row r="998" spans="2:5" x14ac:dyDescent="0.25">
      <c r="B998" s="1">
        <v>41518</v>
      </c>
      <c r="C998" t="s">
        <v>73</v>
      </c>
      <c r="D998">
        <v>969610409</v>
      </c>
      <c r="E998">
        <v>9</v>
      </c>
    </row>
    <row r="999" spans="2:5" x14ac:dyDescent="0.25">
      <c r="B999" s="1">
        <v>41518</v>
      </c>
      <c r="C999" t="s">
        <v>5</v>
      </c>
      <c r="D999">
        <v>670531652.08000004</v>
      </c>
      <c r="E999">
        <v>10</v>
      </c>
    </row>
    <row r="1000" spans="2:5" x14ac:dyDescent="0.25">
      <c r="B1000" s="1">
        <v>41548</v>
      </c>
      <c r="C1000" t="s">
        <v>13</v>
      </c>
      <c r="D1000">
        <v>9148941452.2000008</v>
      </c>
      <c r="E1000">
        <v>1</v>
      </c>
    </row>
    <row r="1001" spans="2:5" x14ac:dyDescent="0.25">
      <c r="B1001" s="1">
        <v>41548</v>
      </c>
      <c r="C1001" t="s">
        <v>16</v>
      </c>
      <c r="D1001">
        <v>2258522897.0300002</v>
      </c>
      <c r="E1001">
        <v>2</v>
      </c>
    </row>
    <row r="1002" spans="2:5" x14ac:dyDescent="0.25">
      <c r="B1002" s="1">
        <v>41548</v>
      </c>
      <c r="C1002" t="s">
        <v>69</v>
      </c>
      <c r="D1002">
        <v>1853106711.96</v>
      </c>
      <c r="E1002">
        <v>3</v>
      </c>
    </row>
    <row r="1003" spans="2:5" x14ac:dyDescent="0.25">
      <c r="B1003" s="1">
        <v>41548</v>
      </c>
      <c r="C1003" t="s">
        <v>77</v>
      </c>
      <c r="D1003">
        <v>1732002462.3699999</v>
      </c>
      <c r="E1003">
        <v>4</v>
      </c>
    </row>
    <row r="1004" spans="2:5" x14ac:dyDescent="0.25">
      <c r="B1004" s="1">
        <v>41548</v>
      </c>
      <c r="C1004" t="s">
        <v>78</v>
      </c>
      <c r="D1004">
        <v>1629776595.6800001</v>
      </c>
      <c r="E1004">
        <v>5</v>
      </c>
    </row>
    <row r="1005" spans="2:5" x14ac:dyDescent="0.25">
      <c r="B1005" s="1">
        <v>41548</v>
      </c>
      <c r="C1005" t="s">
        <v>4</v>
      </c>
      <c r="D1005">
        <v>1573100292.4300001</v>
      </c>
      <c r="E1005">
        <v>6</v>
      </c>
    </row>
    <row r="1006" spans="2:5" x14ac:dyDescent="0.25">
      <c r="B1006" s="1">
        <v>41548</v>
      </c>
      <c r="C1006" t="s">
        <v>12</v>
      </c>
      <c r="D1006">
        <v>1281505531.45</v>
      </c>
      <c r="E1006">
        <v>7</v>
      </c>
    </row>
    <row r="1007" spans="2:5" x14ac:dyDescent="0.25">
      <c r="B1007" s="1">
        <v>41548</v>
      </c>
      <c r="C1007" t="s">
        <v>6</v>
      </c>
      <c r="D1007">
        <v>866449074.45000005</v>
      </c>
      <c r="E1007">
        <v>8</v>
      </c>
    </row>
    <row r="1008" spans="2:5" x14ac:dyDescent="0.25">
      <c r="B1008" s="1">
        <v>41548</v>
      </c>
      <c r="C1008" t="s">
        <v>73</v>
      </c>
      <c r="D1008">
        <v>768083664</v>
      </c>
      <c r="E1008">
        <v>9</v>
      </c>
    </row>
    <row r="1009" spans="2:5" x14ac:dyDescent="0.25">
      <c r="B1009" s="1">
        <v>41548</v>
      </c>
      <c r="C1009" t="s">
        <v>5</v>
      </c>
      <c r="D1009">
        <v>734950444.69000006</v>
      </c>
      <c r="E1009">
        <v>10</v>
      </c>
    </row>
    <row r="1010" spans="2:5" x14ac:dyDescent="0.25">
      <c r="B1010" s="1">
        <v>41579</v>
      </c>
      <c r="C1010" t="s">
        <v>13</v>
      </c>
      <c r="D1010">
        <v>7277980089.6000004</v>
      </c>
      <c r="E1010">
        <v>1</v>
      </c>
    </row>
    <row r="1011" spans="2:5" x14ac:dyDescent="0.25">
      <c r="B1011" s="1">
        <v>41579</v>
      </c>
      <c r="C1011" t="s">
        <v>16</v>
      </c>
      <c r="D1011">
        <v>3297359031.2800002</v>
      </c>
      <c r="E1011">
        <v>2</v>
      </c>
    </row>
    <row r="1012" spans="2:5" x14ac:dyDescent="0.25">
      <c r="B1012" s="1">
        <v>41579</v>
      </c>
      <c r="C1012" t="s">
        <v>69</v>
      </c>
      <c r="D1012">
        <v>1694525112.9400001</v>
      </c>
      <c r="E1012">
        <v>3</v>
      </c>
    </row>
    <row r="1013" spans="2:5" x14ac:dyDescent="0.25">
      <c r="B1013" s="1">
        <v>41579</v>
      </c>
      <c r="C1013" t="s">
        <v>78</v>
      </c>
      <c r="D1013">
        <v>1443375065.3</v>
      </c>
      <c r="E1013">
        <v>4</v>
      </c>
    </row>
    <row r="1014" spans="2:5" x14ac:dyDescent="0.25">
      <c r="B1014" s="1">
        <v>41579</v>
      </c>
      <c r="C1014" t="s">
        <v>4</v>
      </c>
      <c r="D1014">
        <v>1416434682.73</v>
      </c>
      <c r="E1014">
        <v>5</v>
      </c>
    </row>
    <row r="1015" spans="2:5" x14ac:dyDescent="0.25">
      <c r="B1015" s="1">
        <v>41579</v>
      </c>
      <c r="C1015" t="s">
        <v>12</v>
      </c>
      <c r="D1015">
        <v>1390967449.5</v>
      </c>
      <c r="E1015">
        <v>6</v>
      </c>
    </row>
    <row r="1016" spans="2:5" x14ac:dyDescent="0.25">
      <c r="B1016" s="1">
        <v>41579</v>
      </c>
      <c r="C1016" t="s">
        <v>79</v>
      </c>
      <c r="D1016">
        <v>933820791.04999995</v>
      </c>
      <c r="E1016">
        <v>7</v>
      </c>
    </row>
    <row r="1017" spans="2:5" x14ac:dyDescent="0.25">
      <c r="B1017" s="1">
        <v>41579</v>
      </c>
      <c r="C1017" t="s">
        <v>77</v>
      </c>
      <c r="D1017">
        <v>888998572.20000005</v>
      </c>
      <c r="E1017">
        <v>8</v>
      </c>
    </row>
    <row r="1018" spans="2:5" x14ac:dyDescent="0.25">
      <c r="B1018" s="1">
        <v>41579</v>
      </c>
      <c r="C1018" t="s">
        <v>6</v>
      </c>
      <c r="D1018">
        <v>837105658.42999995</v>
      </c>
      <c r="E1018">
        <v>9</v>
      </c>
    </row>
    <row r="1019" spans="2:5" x14ac:dyDescent="0.25">
      <c r="B1019" s="1">
        <v>41579</v>
      </c>
      <c r="C1019" t="s">
        <v>5</v>
      </c>
      <c r="D1019">
        <v>554951729.87</v>
      </c>
      <c r="E1019">
        <v>10</v>
      </c>
    </row>
    <row r="1020" spans="2:5" x14ac:dyDescent="0.25">
      <c r="B1020" s="1">
        <v>41609</v>
      </c>
      <c r="C1020" t="s">
        <v>13</v>
      </c>
      <c r="D1020">
        <v>6588450968.0200005</v>
      </c>
      <c r="E1020">
        <v>1</v>
      </c>
    </row>
    <row r="1021" spans="2:5" x14ac:dyDescent="0.25">
      <c r="B1021" s="1">
        <v>41609</v>
      </c>
      <c r="C1021" t="s">
        <v>16</v>
      </c>
      <c r="D1021">
        <v>2223527627.8699999</v>
      </c>
      <c r="E1021">
        <v>2</v>
      </c>
    </row>
    <row r="1022" spans="2:5" x14ac:dyDescent="0.25">
      <c r="B1022" s="1">
        <v>41609</v>
      </c>
      <c r="C1022" t="s">
        <v>78</v>
      </c>
      <c r="D1022">
        <v>1561280492.8699999</v>
      </c>
      <c r="E1022">
        <v>3</v>
      </c>
    </row>
    <row r="1023" spans="2:5" x14ac:dyDescent="0.25">
      <c r="B1023" s="1">
        <v>41609</v>
      </c>
      <c r="C1023" t="s">
        <v>69</v>
      </c>
      <c r="D1023">
        <v>1421676922.75</v>
      </c>
      <c r="E1023">
        <v>4</v>
      </c>
    </row>
    <row r="1024" spans="2:5" x14ac:dyDescent="0.25">
      <c r="B1024" s="1">
        <v>41609</v>
      </c>
      <c r="C1024" t="s">
        <v>4</v>
      </c>
      <c r="D1024">
        <v>1134090940.3099999</v>
      </c>
      <c r="E1024">
        <v>5</v>
      </c>
    </row>
    <row r="1025" spans="2:5" x14ac:dyDescent="0.25">
      <c r="B1025" s="1">
        <v>41609</v>
      </c>
      <c r="C1025" t="s">
        <v>77</v>
      </c>
      <c r="D1025">
        <v>1105190231.8399999</v>
      </c>
      <c r="E1025">
        <v>6</v>
      </c>
    </row>
    <row r="1026" spans="2:5" x14ac:dyDescent="0.25">
      <c r="B1026" s="1">
        <v>41609</v>
      </c>
      <c r="C1026" t="s">
        <v>12</v>
      </c>
      <c r="D1026">
        <v>969676537.08000004</v>
      </c>
      <c r="E1026">
        <v>7</v>
      </c>
    </row>
    <row r="1027" spans="2:5" x14ac:dyDescent="0.25">
      <c r="B1027" s="1">
        <v>41609</v>
      </c>
      <c r="C1027" t="s">
        <v>79</v>
      </c>
      <c r="D1027">
        <v>812497002.57000005</v>
      </c>
      <c r="E1027">
        <v>8</v>
      </c>
    </row>
    <row r="1028" spans="2:5" x14ac:dyDescent="0.25">
      <c r="B1028" s="1">
        <v>41609</v>
      </c>
      <c r="C1028" t="s">
        <v>70</v>
      </c>
      <c r="D1028">
        <v>682173000</v>
      </c>
      <c r="E1028">
        <v>9</v>
      </c>
    </row>
    <row r="1029" spans="2:5" x14ac:dyDescent="0.25">
      <c r="B1029" s="1">
        <v>41609</v>
      </c>
      <c r="C1029" t="s">
        <v>6</v>
      </c>
      <c r="D1029">
        <v>650372970.05999994</v>
      </c>
      <c r="E1029">
        <v>10</v>
      </c>
    </row>
    <row r="1030" spans="2:5" x14ac:dyDescent="0.25">
      <c r="B1030" s="1">
        <v>41640</v>
      </c>
      <c r="C1030" t="s">
        <v>13</v>
      </c>
      <c r="D1030">
        <v>3105702600.8000002</v>
      </c>
      <c r="E1030">
        <v>1</v>
      </c>
    </row>
    <row r="1031" spans="2:5" x14ac:dyDescent="0.25">
      <c r="B1031" s="1">
        <v>41640</v>
      </c>
      <c r="C1031" t="s">
        <v>69</v>
      </c>
      <c r="D1031">
        <v>1760019879.1099999</v>
      </c>
      <c r="E1031">
        <v>2</v>
      </c>
    </row>
    <row r="1032" spans="2:5" x14ac:dyDescent="0.25">
      <c r="B1032" s="1">
        <v>41640</v>
      </c>
      <c r="C1032" t="s">
        <v>16</v>
      </c>
      <c r="D1032">
        <v>1699856288.3499999</v>
      </c>
      <c r="E1032">
        <v>3</v>
      </c>
    </row>
    <row r="1033" spans="2:5" x14ac:dyDescent="0.25">
      <c r="B1033" s="1">
        <v>41640</v>
      </c>
      <c r="C1033" t="s">
        <v>78</v>
      </c>
      <c r="D1033">
        <v>1342307631.3399999</v>
      </c>
      <c r="E1033">
        <v>4</v>
      </c>
    </row>
    <row r="1034" spans="2:5" x14ac:dyDescent="0.25">
      <c r="B1034" s="1">
        <v>41640</v>
      </c>
      <c r="C1034" t="s">
        <v>77</v>
      </c>
      <c r="D1034">
        <v>1059610720.12</v>
      </c>
      <c r="E1034">
        <v>5</v>
      </c>
    </row>
    <row r="1035" spans="2:5" x14ac:dyDescent="0.25">
      <c r="B1035" s="1">
        <v>41640</v>
      </c>
      <c r="C1035" t="s">
        <v>4</v>
      </c>
      <c r="D1035">
        <v>774649500.94000006</v>
      </c>
      <c r="E1035">
        <v>6</v>
      </c>
    </row>
    <row r="1036" spans="2:5" x14ac:dyDescent="0.25">
      <c r="B1036" s="1">
        <v>41640</v>
      </c>
      <c r="C1036" t="s">
        <v>12</v>
      </c>
      <c r="D1036">
        <v>609932112.33000004</v>
      </c>
      <c r="E1036">
        <v>7</v>
      </c>
    </row>
    <row r="1037" spans="2:5" x14ac:dyDescent="0.25">
      <c r="B1037" s="1">
        <v>41640</v>
      </c>
      <c r="C1037" t="s">
        <v>6</v>
      </c>
      <c r="D1037">
        <v>439011145.83999997</v>
      </c>
      <c r="E1037">
        <v>8</v>
      </c>
    </row>
    <row r="1038" spans="2:5" x14ac:dyDescent="0.25">
      <c r="B1038" s="1">
        <v>41640</v>
      </c>
      <c r="C1038" t="s">
        <v>21</v>
      </c>
      <c r="D1038">
        <v>386720717.35000002</v>
      </c>
      <c r="E1038">
        <v>9</v>
      </c>
    </row>
    <row r="1039" spans="2:5" x14ac:dyDescent="0.25">
      <c r="B1039" s="1">
        <v>41640</v>
      </c>
      <c r="C1039" t="s">
        <v>32</v>
      </c>
      <c r="D1039">
        <v>383298577.99000001</v>
      </c>
      <c r="E1039">
        <v>10</v>
      </c>
    </row>
    <row r="1040" spans="2:5" x14ac:dyDescent="0.25">
      <c r="B1040" s="1">
        <v>41671</v>
      </c>
      <c r="C1040" t="s">
        <v>13</v>
      </c>
      <c r="D1040">
        <v>4228977520.5</v>
      </c>
      <c r="E1040">
        <v>1</v>
      </c>
    </row>
    <row r="1041" spans="2:5" x14ac:dyDescent="0.25">
      <c r="B1041" s="1">
        <v>41671</v>
      </c>
      <c r="C1041" t="s">
        <v>16</v>
      </c>
      <c r="D1041">
        <v>2141375023.72</v>
      </c>
      <c r="E1041">
        <v>2</v>
      </c>
    </row>
    <row r="1042" spans="2:5" x14ac:dyDescent="0.25">
      <c r="B1042" s="1">
        <v>41671</v>
      </c>
      <c r="C1042" t="s">
        <v>69</v>
      </c>
      <c r="D1042">
        <v>1922831147.77</v>
      </c>
      <c r="E1042">
        <v>3</v>
      </c>
    </row>
    <row r="1043" spans="2:5" x14ac:dyDescent="0.25">
      <c r="B1043" s="1">
        <v>41671</v>
      </c>
      <c r="C1043" t="s">
        <v>77</v>
      </c>
      <c r="D1043">
        <v>1297808997.26</v>
      </c>
      <c r="E1043">
        <v>4</v>
      </c>
    </row>
    <row r="1044" spans="2:5" x14ac:dyDescent="0.25">
      <c r="B1044" s="1">
        <v>41671</v>
      </c>
      <c r="C1044" t="s">
        <v>78</v>
      </c>
      <c r="D1044">
        <v>1271985898.8900001</v>
      </c>
      <c r="E1044">
        <v>5</v>
      </c>
    </row>
    <row r="1045" spans="2:5" x14ac:dyDescent="0.25">
      <c r="B1045" s="1">
        <v>41671</v>
      </c>
      <c r="C1045" t="s">
        <v>4</v>
      </c>
      <c r="D1045">
        <v>697193636.46000004</v>
      </c>
      <c r="E1045">
        <v>6</v>
      </c>
    </row>
    <row r="1046" spans="2:5" x14ac:dyDescent="0.25">
      <c r="B1046" s="1">
        <v>41671</v>
      </c>
      <c r="C1046" t="s">
        <v>12</v>
      </c>
      <c r="D1046">
        <v>627431948.79999995</v>
      </c>
      <c r="E1046">
        <v>7</v>
      </c>
    </row>
    <row r="1047" spans="2:5" x14ac:dyDescent="0.25">
      <c r="B1047" s="1">
        <v>41671</v>
      </c>
      <c r="C1047" t="s">
        <v>6</v>
      </c>
      <c r="D1047">
        <v>471783633.49000001</v>
      </c>
      <c r="E1047">
        <v>8</v>
      </c>
    </row>
    <row r="1048" spans="2:5" x14ac:dyDescent="0.25">
      <c r="B1048" s="1">
        <v>41671</v>
      </c>
      <c r="C1048" t="s">
        <v>32</v>
      </c>
      <c r="D1048">
        <v>410110073.08999997</v>
      </c>
      <c r="E1048">
        <v>9</v>
      </c>
    </row>
    <row r="1049" spans="2:5" x14ac:dyDescent="0.25">
      <c r="B1049" s="1">
        <v>41671</v>
      </c>
      <c r="C1049" t="s">
        <v>79</v>
      </c>
      <c r="D1049">
        <v>377721494.83999997</v>
      </c>
      <c r="E1049">
        <v>10</v>
      </c>
    </row>
    <row r="1050" spans="2:5" x14ac:dyDescent="0.25">
      <c r="B1050" s="1">
        <v>41699</v>
      </c>
      <c r="C1050" t="s">
        <v>13</v>
      </c>
      <c r="D1050">
        <v>2771745679.8800001</v>
      </c>
      <c r="E1050">
        <v>1</v>
      </c>
    </row>
    <row r="1051" spans="2:5" x14ac:dyDescent="0.25">
      <c r="B1051" s="1">
        <v>41699</v>
      </c>
      <c r="C1051" t="s">
        <v>69</v>
      </c>
      <c r="D1051">
        <v>1574474809.8399999</v>
      </c>
      <c r="E1051">
        <v>2</v>
      </c>
    </row>
    <row r="1052" spans="2:5" x14ac:dyDescent="0.25">
      <c r="B1052" s="1">
        <v>41699</v>
      </c>
      <c r="C1052" t="s">
        <v>16</v>
      </c>
      <c r="D1052">
        <v>1404683501.8</v>
      </c>
      <c r="E1052">
        <v>3</v>
      </c>
    </row>
    <row r="1053" spans="2:5" x14ac:dyDescent="0.25">
      <c r="B1053" s="1">
        <v>41699</v>
      </c>
      <c r="C1053" t="s">
        <v>77</v>
      </c>
      <c r="D1053">
        <v>940764804.61000001</v>
      </c>
      <c r="E1053">
        <v>4</v>
      </c>
    </row>
    <row r="1054" spans="2:5" x14ac:dyDescent="0.25">
      <c r="B1054" s="1">
        <v>41699</v>
      </c>
      <c r="C1054" t="s">
        <v>78</v>
      </c>
      <c r="D1054">
        <v>910319667.28999996</v>
      </c>
      <c r="E1054">
        <v>5</v>
      </c>
    </row>
    <row r="1055" spans="2:5" x14ac:dyDescent="0.25">
      <c r="B1055" s="1">
        <v>41699</v>
      </c>
      <c r="C1055" t="s">
        <v>80</v>
      </c>
      <c r="D1055">
        <v>564630562.90999997</v>
      </c>
      <c r="E1055">
        <v>6</v>
      </c>
    </row>
    <row r="1056" spans="2:5" x14ac:dyDescent="0.25">
      <c r="B1056" s="1">
        <v>41699</v>
      </c>
      <c r="C1056" t="s">
        <v>12</v>
      </c>
      <c r="D1056">
        <v>536183752.19</v>
      </c>
      <c r="E1056">
        <v>7</v>
      </c>
    </row>
    <row r="1057" spans="2:5" x14ac:dyDescent="0.25">
      <c r="B1057" s="1">
        <v>41699</v>
      </c>
      <c r="C1057" t="s">
        <v>4</v>
      </c>
      <c r="D1057">
        <v>524009255.14999998</v>
      </c>
      <c r="E1057">
        <v>8</v>
      </c>
    </row>
    <row r="1058" spans="2:5" x14ac:dyDescent="0.25">
      <c r="B1058" s="1">
        <v>41699</v>
      </c>
      <c r="C1058" t="s">
        <v>32</v>
      </c>
      <c r="D1058">
        <v>319855477.95999998</v>
      </c>
      <c r="E1058">
        <v>9</v>
      </c>
    </row>
    <row r="1059" spans="2:5" x14ac:dyDescent="0.25">
      <c r="B1059" s="1">
        <v>41699</v>
      </c>
      <c r="C1059" t="s">
        <v>75</v>
      </c>
      <c r="D1059">
        <v>313442692.82999998</v>
      </c>
      <c r="E1059">
        <v>10</v>
      </c>
    </row>
    <row r="1060" spans="2:5" x14ac:dyDescent="0.25">
      <c r="B1060" s="1">
        <v>41730</v>
      </c>
      <c r="C1060" t="s">
        <v>13</v>
      </c>
      <c r="D1060">
        <v>3281937556.02</v>
      </c>
      <c r="E1060">
        <v>1</v>
      </c>
    </row>
    <row r="1061" spans="2:5" x14ac:dyDescent="0.25">
      <c r="B1061" s="1">
        <v>41730</v>
      </c>
      <c r="C1061" t="s">
        <v>16</v>
      </c>
      <c r="D1061">
        <v>2423937054.6999998</v>
      </c>
      <c r="E1061">
        <v>2</v>
      </c>
    </row>
    <row r="1062" spans="2:5" x14ac:dyDescent="0.25">
      <c r="B1062" s="1">
        <v>41730</v>
      </c>
      <c r="C1062" t="s">
        <v>69</v>
      </c>
      <c r="D1062">
        <v>1578860937.1900001</v>
      </c>
      <c r="E1062">
        <v>3</v>
      </c>
    </row>
    <row r="1063" spans="2:5" x14ac:dyDescent="0.25">
      <c r="B1063" s="1">
        <v>41730</v>
      </c>
      <c r="C1063" t="s">
        <v>78</v>
      </c>
      <c r="D1063">
        <v>870248563.14999998</v>
      </c>
      <c r="E1063">
        <v>4</v>
      </c>
    </row>
    <row r="1064" spans="2:5" x14ac:dyDescent="0.25">
      <c r="B1064" s="1">
        <v>41730</v>
      </c>
      <c r="C1064" t="s">
        <v>77</v>
      </c>
      <c r="D1064">
        <v>862589348.16999996</v>
      </c>
      <c r="E1064">
        <v>5</v>
      </c>
    </row>
    <row r="1065" spans="2:5" x14ac:dyDescent="0.25">
      <c r="B1065" s="1">
        <v>41730</v>
      </c>
      <c r="C1065" t="s">
        <v>12</v>
      </c>
      <c r="D1065">
        <v>837007926.10000002</v>
      </c>
      <c r="E1065">
        <v>6</v>
      </c>
    </row>
    <row r="1066" spans="2:5" x14ac:dyDescent="0.25">
      <c r="B1066" s="1">
        <v>41730</v>
      </c>
      <c r="C1066" t="s">
        <v>80</v>
      </c>
      <c r="D1066">
        <v>732016079.92999995</v>
      </c>
      <c r="E1066">
        <v>7</v>
      </c>
    </row>
    <row r="1067" spans="2:5" x14ac:dyDescent="0.25">
      <c r="B1067" s="1">
        <v>41730</v>
      </c>
      <c r="C1067" t="s">
        <v>4</v>
      </c>
      <c r="D1067">
        <v>632588474.88999999</v>
      </c>
      <c r="E1067">
        <v>8</v>
      </c>
    </row>
    <row r="1068" spans="2:5" x14ac:dyDescent="0.25">
      <c r="B1068" s="1">
        <v>41730</v>
      </c>
      <c r="C1068" t="s">
        <v>79</v>
      </c>
      <c r="D1068">
        <v>587267554.23000002</v>
      </c>
      <c r="E1068">
        <v>9</v>
      </c>
    </row>
    <row r="1069" spans="2:5" x14ac:dyDescent="0.25">
      <c r="B1069" s="1">
        <v>41730</v>
      </c>
      <c r="C1069" t="s">
        <v>32</v>
      </c>
      <c r="D1069">
        <v>469850026.73000002</v>
      </c>
      <c r="E1069">
        <v>10</v>
      </c>
    </row>
    <row r="1070" spans="2:5" x14ac:dyDescent="0.25">
      <c r="B1070" s="1">
        <v>41760</v>
      </c>
      <c r="C1070" t="s">
        <v>13</v>
      </c>
      <c r="D1070">
        <v>3701376306.8000002</v>
      </c>
      <c r="E1070">
        <v>1</v>
      </c>
    </row>
    <row r="1071" spans="2:5" x14ac:dyDescent="0.25">
      <c r="B1071" s="1">
        <v>41760</v>
      </c>
      <c r="C1071" t="s">
        <v>69</v>
      </c>
      <c r="D1071">
        <v>1528205247.9400001</v>
      </c>
      <c r="E1071">
        <v>2</v>
      </c>
    </row>
    <row r="1072" spans="2:5" x14ac:dyDescent="0.25">
      <c r="B1072" s="1">
        <v>41760</v>
      </c>
      <c r="C1072" t="s">
        <v>78</v>
      </c>
      <c r="D1072">
        <v>901247559.58000004</v>
      </c>
      <c r="E1072">
        <v>3</v>
      </c>
    </row>
    <row r="1073" spans="2:5" x14ac:dyDescent="0.25">
      <c r="B1073" s="1">
        <v>41760</v>
      </c>
      <c r="C1073" t="s">
        <v>4</v>
      </c>
      <c r="D1073">
        <v>697483806.19000006</v>
      </c>
      <c r="E1073">
        <v>4</v>
      </c>
    </row>
    <row r="1074" spans="2:5" x14ac:dyDescent="0.25">
      <c r="B1074" s="1">
        <v>41760</v>
      </c>
      <c r="C1074" t="s">
        <v>12</v>
      </c>
      <c r="D1074">
        <v>683642277.61000001</v>
      </c>
      <c r="E1074">
        <v>5</v>
      </c>
    </row>
    <row r="1075" spans="2:5" x14ac:dyDescent="0.25">
      <c r="B1075" s="1">
        <v>41760</v>
      </c>
      <c r="C1075" t="s">
        <v>16</v>
      </c>
      <c r="D1075">
        <v>678517253.62</v>
      </c>
      <c r="E1075">
        <v>6</v>
      </c>
    </row>
    <row r="1076" spans="2:5" x14ac:dyDescent="0.25">
      <c r="B1076" s="1">
        <v>41760</v>
      </c>
      <c r="C1076" t="s">
        <v>79</v>
      </c>
      <c r="D1076">
        <v>651405516.88999999</v>
      </c>
      <c r="E1076">
        <v>7</v>
      </c>
    </row>
    <row r="1077" spans="2:5" x14ac:dyDescent="0.25">
      <c r="B1077" s="1">
        <v>41760</v>
      </c>
      <c r="C1077" t="s">
        <v>80</v>
      </c>
      <c r="D1077">
        <v>586473141.58000004</v>
      </c>
      <c r="E1077">
        <v>8</v>
      </c>
    </row>
    <row r="1078" spans="2:5" x14ac:dyDescent="0.25">
      <c r="B1078" s="1">
        <v>41760</v>
      </c>
      <c r="C1078" t="s">
        <v>77</v>
      </c>
      <c r="D1078">
        <v>585060774.85000002</v>
      </c>
      <c r="E1078">
        <v>9</v>
      </c>
    </row>
    <row r="1079" spans="2:5" x14ac:dyDescent="0.25">
      <c r="B1079" s="1">
        <v>41760</v>
      </c>
      <c r="C1079" t="s">
        <v>32</v>
      </c>
      <c r="D1079">
        <v>527369639.56999999</v>
      </c>
      <c r="E1079">
        <v>10</v>
      </c>
    </row>
    <row r="1080" spans="2:5" x14ac:dyDescent="0.25">
      <c r="B1080" s="1">
        <v>41791</v>
      </c>
      <c r="C1080" t="s">
        <v>13</v>
      </c>
      <c r="D1080">
        <v>4119664079.48</v>
      </c>
      <c r="E1080">
        <v>1</v>
      </c>
    </row>
    <row r="1081" spans="2:5" x14ac:dyDescent="0.25">
      <c r="B1081" s="1">
        <v>41791</v>
      </c>
      <c r="C1081" t="s">
        <v>69</v>
      </c>
      <c r="D1081">
        <v>1822050222.5</v>
      </c>
      <c r="E1081">
        <v>2</v>
      </c>
    </row>
    <row r="1082" spans="2:5" x14ac:dyDescent="0.25">
      <c r="B1082" s="1">
        <v>41791</v>
      </c>
      <c r="C1082" t="s">
        <v>16</v>
      </c>
      <c r="D1082">
        <v>1598605020.27</v>
      </c>
      <c r="E1082">
        <v>3</v>
      </c>
    </row>
    <row r="1083" spans="2:5" x14ac:dyDescent="0.25">
      <c r="B1083" s="1">
        <v>41791</v>
      </c>
      <c r="C1083" t="s">
        <v>78</v>
      </c>
      <c r="D1083">
        <v>1290844061.5799999</v>
      </c>
      <c r="E1083">
        <v>4</v>
      </c>
    </row>
    <row r="1084" spans="2:5" x14ac:dyDescent="0.25">
      <c r="B1084" s="1">
        <v>41791</v>
      </c>
      <c r="C1084" t="s">
        <v>12</v>
      </c>
      <c r="D1084">
        <v>867253770.96000004</v>
      </c>
      <c r="E1084">
        <v>5</v>
      </c>
    </row>
    <row r="1085" spans="2:5" x14ac:dyDescent="0.25">
      <c r="B1085" s="1">
        <v>41791</v>
      </c>
      <c r="C1085" t="s">
        <v>77</v>
      </c>
      <c r="D1085">
        <v>774995345.41999996</v>
      </c>
      <c r="E1085">
        <v>6</v>
      </c>
    </row>
    <row r="1086" spans="2:5" x14ac:dyDescent="0.25">
      <c r="B1086" s="1">
        <v>41791</v>
      </c>
      <c r="C1086" t="s">
        <v>80</v>
      </c>
      <c r="D1086">
        <v>721574813.37</v>
      </c>
      <c r="E1086">
        <v>7</v>
      </c>
    </row>
    <row r="1087" spans="2:5" x14ac:dyDescent="0.25">
      <c r="B1087" s="1">
        <v>41791</v>
      </c>
      <c r="C1087" t="s">
        <v>4</v>
      </c>
      <c r="D1087">
        <v>630908308.03999996</v>
      </c>
      <c r="E1087">
        <v>8</v>
      </c>
    </row>
    <row r="1088" spans="2:5" x14ac:dyDescent="0.25">
      <c r="B1088" s="1">
        <v>41791</v>
      </c>
      <c r="C1088" t="s">
        <v>79</v>
      </c>
      <c r="D1088">
        <v>624925467.57000005</v>
      </c>
      <c r="E1088">
        <v>9</v>
      </c>
    </row>
    <row r="1089" spans="2:5" x14ac:dyDescent="0.25">
      <c r="B1089" s="1">
        <v>41791</v>
      </c>
      <c r="C1089" t="s">
        <v>32</v>
      </c>
      <c r="D1089">
        <v>597894157.63999999</v>
      </c>
      <c r="E1089">
        <v>10</v>
      </c>
    </row>
    <row r="1090" spans="2:5" x14ac:dyDescent="0.25">
      <c r="B1090" s="1">
        <v>41821</v>
      </c>
      <c r="C1090" t="s">
        <v>13</v>
      </c>
      <c r="D1090">
        <v>4404846709.1300001</v>
      </c>
      <c r="E1090">
        <v>1</v>
      </c>
    </row>
    <row r="1091" spans="2:5" x14ac:dyDescent="0.25">
      <c r="B1091" s="1">
        <v>41821</v>
      </c>
      <c r="C1091" t="s">
        <v>69</v>
      </c>
      <c r="D1091">
        <v>2307113272.52</v>
      </c>
      <c r="E1091">
        <v>2</v>
      </c>
    </row>
    <row r="1092" spans="2:5" x14ac:dyDescent="0.25">
      <c r="B1092" s="1">
        <v>41821</v>
      </c>
      <c r="C1092" t="s">
        <v>78</v>
      </c>
      <c r="D1092">
        <v>1448787273.48</v>
      </c>
      <c r="E1092">
        <v>3</v>
      </c>
    </row>
    <row r="1093" spans="2:5" x14ac:dyDescent="0.25">
      <c r="B1093" s="1">
        <v>41821</v>
      </c>
      <c r="C1093" t="s">
        <v>16</v>
      </c>
      <c r="D1093">
        <v>1266367352.4300001</v>
      </c>
      <c r="E1093">
        <v>4</v>
      </c>
    </row>
    <row r="1094" spans="2:5" x14ac:dyDescent="0.25">
      <c r="B1094" s="1">
        <v>41821</v>
      </c>
      <c r="C1094" t="s">
        <v>80</v>
      </c>
      <c r="D1094">
        <v>938242250.29999995</v>
      </c>
      <c r="E1094">
        <v>5</v>
      </c>
    </row>
    <row r="1095" spans="2:5" x14ac:dyDescent="0.25">
      <c r="B1095" s="1">
        <v>41821</v>
      </c>
      <c r="C1095" t="s">
        <v>77</v>
      </c>
      <c r="D1095">
        <v>826115611.47000003</v>
      </c>
      <c r="E1095">
        <v>6</v>
      </c>
    </row>
    <row r="1096" spans="2:5" x14ac:dyDescent="0.25">
      <c r="B1096" s="1">
        <v>41821</v>
      </c>
      <c r="C1096" t="s">
        <v>32</v>
      </c>
      <c r="D1096">
        <v>825523368.76999998</v>
      </c>
      <c r="E1096">
        <v>7</v>
      </c>
    </row>
    <row r="1097" spans="2:5" x14ac:dyDescent="0.25">
      <c r="B1097" s="1">
        <v>41821</v>
      </c>
      <c r="C1097" t="s">
        <v>57</v>
      </c>
      <c r="D1097">
        <v>768797131.27999997</v>
      </c>
      <c r="E1097">
        <v>8</v>
      </c>
    </row>
    <row r="1098" spans="2:5" x14ac:dyDescent="0.25">
      <c r="B1098" s="1">
        <v>41821</v>
      </c>
      <c r="C1098" t="s">
        <v>12</v>
      </c>
      <c r="D1098">
        <v>726777824.34000003</v>
      </c>
      <c r="E1098">
        <v>9</v>
      </c>
    </row>
    <row r="1099" spans="2:5" x14ac:dyDescent="0.25">
      <c r="B1099" s="1">
        <v>41821</v>
      </c>
      <c r="C1099" t="s">
        <v>81</v>
      </c>
      <c r="D1099">
        <v>667872707.69000006</v>
      </c>
      <c r="E1099">
        <v>10</v>
      </c>
    </row>
    <row r="1100" spans="2:5" x14ac:dyDescent="0.25">
      <c r="B1100" s="1">
        <v>41852</v>
      </c>
      <c r="C1100" t="s">
        <v>13</v>
      </c>
      <c r="D1100">
        <v>4351012772.2799997</v>
      </c>
      <c r="E1100">
        <v>1</v>
      </c>
    </row>
    <row r="1101" spans="2:5" x14ac:dyDescent="0.25">
      <c r="B1101" s="1">
        <v>41852</v>
      </c>
      <c r="C1101" t="s">
        <v>69</v>
      </c>
      <c r="D1101">
        <v>2194803673.75</v>
      </c>
      <c r="E1101">
        <v>2</v>
      </c>
    </row>
    <row r="1102" spans="2:5" x14ac:dyDescent="0.25">
      <c r="B1102" s="1">
        <v>41852</v>
      </c>
      <c r="C1102" t="s">
        <v>78</v>
      </c>
      <c r="D1102">
        <v>1540916705.1800001</v>
      </c>
      <c r="E1102">
        <v>3</v>
      </c>
    </row>
    <row r="1103" spans="2:5" x14ac:dyDescent="0.25">
      <c r="B1103" s="1">
        <v>41852</v>
      </c>
      <c r="C1103" t="s">
        <v>16</v>
      </c>
      <c r="D1103">
        <v>1176366465.74</v>
      </c>
      <c r="E1103">
        <v>4</v>
      </c>
    </row>
    <row r="1104" spans="2:5" x14ac:dyDescent="0.25">
      <c r="B1104" s="1">
        <v>41852</v>
      </c>
      <c r="C1104" t="s">
        <v>77</v>
      </c>
      <c r="D1104">
        <v>922664270</v>
      </c>
      <c r="E1104">
        <v>5</v>
      </c>
    </row>
    <row r="1105" spans="2:5" x14ac:dyDescent="0.25">
      <c r="B1105" s="1">
        <v>41852</v>
      </c>
      <c r="C1105" t="s">
        <v>12</v>
      </c>
      <c r="D1105">
        <v>787559163.98000002</v>
      </c>
      <c r="E1105">
        <v>6</v>
      </c>
    </row>
    <row r="1106" spans="2:5" x14ac:dyDescent="0.25">
      <c r="B1106" s="1">
        <v>41852</v>
      </c>
      <c r="C1106" t="s">
        <v>57</v>
      </c>
      <c r="D1106">
        <v>746652178.22000003</v>
      </c>
      <c r="E1106">
        <v>7</v>
      </c>
    </row>
    <row r="1107" spans="2:5" x14ac:dyDescent="0.25">
      <c r="B1107" s="1">
        <v>41852</v>
      </c>
      <c r="C1107" t="s">
        <v>80</v>
      </c>
      <c r="D1107">
        <v>696445840.41999996</v>
      </c>
      <c r="E1107">
        <v>8</v>
      </c>
    </row>
    <row r="1108" spans="2:5" x14ac:dyDescent="0.25">
      <c r="B1108" s="1">
        <v>41852</v>
      </c>
      <c r="C1108" t="s">
        <v>79</v>
      </c>
      <c r="D1108">
        <v>689637671.97000003</v>
      </c>
      <c r="E1108">
        <v>9</v>
      </c>
    </row>
    <row r="1109" spans="2:5" x14ac:dyDescent="0.25">
      <c r="B1109" s="1">
        <v>41852</v>
      </c>
      <c r="C1109" t="s">
        <v>81</v>
      </c>
      <c r="D1109">
        <v>685239103.03999996</v>
      </c>
      <c r="E1109">
        <v>10</v>
      </c>
    </row>
    <row r="1110" spans="2:5" x14ac:dyDescent="0.25">
      <c r="B1110" s="1">
        <v>41883</v>
      </c>
      <c r="C1110" t="s">
        <v>13</v>
      </c>
      <c r="D1110">
        <v>4282578991.9000001</v>
      </c>
      <c r="E1110">
        <v>1</v>
      </c>
    </row>
    <row r="1111" spans="2:5" x14ac:dyDescent="0.25">
      <c r="B1111" s="1">
        <v>41883</v>
      </c>
      <c r="C1111" t="s">
        <v>6</v>
      </c>
      <c r="D1111">
        <v>3595254259.9400001</v>
      </c>
      <c r="E1111">
        <v>2</v>
      </c>
    </row>
    <row r="1112" spans="2:5" x14ac:dyDescent="0.25">
      <c r="B1112" s="1">
        <v>41883</v>
      </c>
      <c r="C1112" t="s">
        <v>57</v>
      </c>
      <c r="D1112">
        <v>2814510250.8400002</v>
      </c>
      <c r="E1112">
        <v>3</v>
      </c>
    </row>
    <row r="1113" spans="2:5" x14ac:dyDescent="0.25">
      <c r="B1113" s="1">
        <v>41883</v>
      </c>
      <c r="C1113" t="s">
        <v>69</v>
      </c>
      <c r="D1113">
        <v>2398305642.0999999</v>
      </c>
      <c r="E1113">
        <v>4</v>
      </c>
    </row>
    <row r="1114" spans="2:5" x14ac:dyDescent="0.25">
      <c r="B1114" s="1">
        <v>41883</v>
      </c>
      <c r="C1114" t="s">
        <v>16</v>
      </c>
      <c r="D1114">
        <v>2100477876</v>
      </c>
      <c r="E1114">
        <v>5</v>
      </c>
    </row>
    <row r="1115" spans="2:5" x14ac:dyDescent="0.25">
      <c r="B1115" s="1">
        <v>41883</v>
      </c>
      <c r="C1115" t="s">
        <v>78</v>
      </c>
      <c r="D1115">
        <v>1540397265.4100001</v>
      </c>
      <c r="E1115">
        <v>6</v>
      </c>
    </row>
    <row r="1116" spans="2:5" x14ac:dyDescent="0.25">
      <c r="B1116" s="1">
        <v>41883</v>
      </c>
      <c r="C1116" t="s">
        <v>77</v>
      </c>
      <c r="D1116">
        <v>1153583979.72</v>
      </c>
      <c r="E1116">
        <v>7</v>
      </c>
    </row>
    <row r="1117" spans="2:5" x14ac:dyDescent="0.25">
      <c r="B1117" s="1">
        <v>41883</v>
      </c>
      <c r="C1117" t="s">
        <v>44</v>
      </c>
      <c r="D1117">
        <v>973320000</v>
      </c>
      <c r="E1117">
        <v>8</v>
      </c>
    </row>
    <row r="1118" spans="2:5" x14ac:dyDescent="0.25">
      <c r="B1118" s="1">
        <v>41883</v>
      </c>
      <c r="C1118" t="s">
        <v>12</v>
      </c>
      <c r="D1118">
        <v>874596962.26999998</v>
      </c>
      <c r="E1118">
        <v>9</v>
      </c>
    </row>
    <row r="1119" spans="2:5" x14ac:dyDescent="0.25">
      <c r="B1119" s="1">
        <v>41883</v>
      </c>
      <c r="C1119" t="s">
        <v>79</v>
      </c>
      <c r="D1119">
        <v>685504145.92999995</v>
      </c>
      <c r="E1119">
        <v>10</v>
      </c>
    </row>
    <row r="1120" spans="2:5" x14ac:dyDescent="0.25">
      <c r="B1120" s="1">
        <v>41913</v>
      </c>
      <c r="C1120" t="s">
        <v>13</v>
      </c>
      <c r="D1120">
        <v>4328284495.8800001</v>
      </c>
      <c r="E1120">
        <v>1</v>
      </c>
    </row>
    <row r="1121" spans="2:5" x14ac:dyDescent="0.25">
      <c r="B1121" s="1">
        <v>41913</v>
      </c>
      <c r="C1121" t="s">
        <v>16</v>
      </c>
      <c r="D1121">
        <v>2885476838.1799998</v>
      </c>
      <c r="E1121">
        <v>2</v>
      </c>
    </row>
    <row r="1122" spans="2:5" x14ac:dyDescent="0.25">
      <c r="B1122" s="1">
        <v>41913</v>
      </c>
      <c r="C1122" t="s">
        <v>69</v>
      </c>
      <c r="D1122">
        <v>2043426912.0999999</v>
      </c>
      <c r="E1122">
        <v>3</v>
      </c>
    </row>
    <row r="1123" spans="2:5" x14ac:dyDescent="0.25">
      <c r="B1123" s="1">
        <v>41913</v>
      </c>
      <c r="C1123" t="s">
        <v>78</v>
      </c>
      <c r="D1123">
        <v>1584140311.48</v>
      </c>
      <c r="E1123">
        <v>4</v>
      </c>
    </row>
    <row r="1124" spans="2:5" x14ac:dyDescent="0.25">
      <c r="B1124" s="1">
        <v>41913</v>
      </c>
      <c r="C1124" t="s">
        <v>79</v>
      </c>
      <c r="D1124">
        <v>1181205153.1800001</v>
      </c>
      <c r="E1124">
        <v>5</v>
      </c>
    </row>
    <row r="1125" spans="2:5" x14ac:dyDescent="0.25">
      <c r="B1125" s="1">
        <v>41913</v>
      </c>
      <c r="C1125" t="s">
        <v>81</v>
      </c>
      <c r="D1125">
        <v>1076952006.8</v>
      </c>
      <c r="E1125">
        <v>6</v>
      </c>
    </row>
    <row r="1126" spans="2:5" x14ac:dyDescent="0.25">
      <c r="B1126" s="1">
        <v>41913</v>
      </c>
      <c r="C1126" t="s">
        <v>77</v>
      </c>
      <c r="D1126">
        <v>978700583.25</v>
      </c>
      <c r="E1126">
        <v>7</v>
      </c>
    </row>
    <row r="1127" spans="2:5" x14ac:dyDescent="0.25">
      <c r="B1127" s="1">
        <v>41913</v>
      </c>
      <c r="C1127" t="s">
        <v>57</v>
      </c>
      <c r="D1127">
        <v>915816431.82000005</v>
      </c>
      <c r="E1127">
        <v>8</v>
      </c>
    </row>
    <row r="1128" spans="2:5" x14ac:dyDescent="0.25">
      <c r="B1128" s="1">
        <v>41913</v>
      </c>
      <c r="C1128" t="s">
        <v>12</v>
      </c>
      <c r="D1128">
        <v>880893025.72000003</v>
      </c>
      <c r="E1128">
        <v>9</v>
      </c>
    </row>
    <row r="1129" spans="2:5" x14ac:dyDescent="0.25">
      <c r="B1129" s="1">
        <v>41913</v>
      </c>
      <c r="C1129" t="s">
        <v>32</v>
      </c>
      <c r="D1129">
        <v>716394907.08000004</v>
      </c>
      <c r="E1129">
        <v>10</v>
      </c>
    </row>
    <row r="1130" spans="2:5" x14ac:dyDescent="0.25">
      <c r="B1130" s="1">
        <v>41944</v>
      </c>
      <c r="C1130" t="s">
        <v>6</v>
      </c>
      <c r="D1130">
        <v>4110188403.46</v>
      </c>
      <c r="E1130">
        <v>1</v>
      </c>
    </row>
    <row r="1131" spans="2:5" x14ac:dyDescent="0.25">
      <c r="B1131" s="1">
        <v>41944</v>
      </c>
      <c r="C1131" t="s">
        <v>13</v>
      </c>
      <c r="D1131">
        <v>3849600798.1199999</v>
      </c>
      <c r="E1131">
        <v>2</v>
      </c>
    </row>
    <row r="1132" spans="2:5" x14ac:dyDescent="0.25">
      <c r="B1132" s="1">
        <v>41944</v>
      </c>
      <c r="C1132" t="s">
        <v>16</v>
      </c>
      <c r="D1132">
        <v>3015072775.0799999</v>
      </c>
      <c r="E1132">
        <v>3</v>
      </c>
    </row>
    <row r="1133" spans="2:5" x14ac:dyDescent="0.25">
      <c r="B1133" s="1">
        <v>41944</v>
      </c>
      <c r="C1133" t="s">
        <v>69</v>
      </c>
      <c r="D1133">
        <v>2775970767.79</v>
      </c>
      <c r="E1133">
        <v>4</v>
      </c>
    </row>
    <row r="1134" spans="2:5" x14ac:dyDescent="0.25">
      <c r="B1134" s="1">
        <v>41944</v>
      </c>
      <c r="C1134" t="s">
        <v>78</v>
      </c>
      <c r="D1134">
        <v>1393087502.71</v>
      </c>
      <c r="E1134">
        <v>5</v>
      </c>
    </row>
    <row r="1135" spans="2:5" x14ac:dyDescent="0.25">
      <c r="B1135" s="1">
        <v>41944</v>
      </c>
      <c r="C1135" t="s">
        <v>79</v>
      </c>
      <c r="D1135">
        <v>998050265.50999999</v>
      </c>
      <c r="E1135">
        <v>6</v>
      </c>
    </row>
    <row r="1136" spans="2:5" x14ac:dyDescent="0.25">
      <c r="B1136" s="1">
        <v>41944</v>
      </c>
      <c r="C1136" t="s">
        <v>77</v>
      </c>
      <c r="D1136">
        <v>810311187.20000005</v>
      </c>
      <c r="E1136">
        <v>7</v>
      </c>
    </row>
    <row r="1137" spans="2:5" x14ac:dyDescent="0.25">
      <c r="B1137" s="1">
        <v>41944</v>
      </c>
      <c r="C1137" t="s">
        <v>57</v>
      </c>
      <c r="D1137">
        <v>773265401.87</v>
      </c>
      <c r="E1137">
        <v>8</v>
      </c>
    </row>
    <row r="1138" spans="2:5" x14ac:dyDescent="0.25">
      <c r="B1138" s="1">
        <v>41944</v>
      </c>
      <c r="C1138" t="s">
        <v>12</v>
      </c>
      <c r="D1138">
        <v>718640760.32000005</v>
      </c>
      <c r="E1138">
        <v>9</v>
      </c>
    </row>
    <row r="1139" spans="2:5" x14ac:dyDescent="0.25">
      <c r="B1139" s="1">
        <v>41944</v>
      </c>
      <c r="C1139" t="s">
        <v>4</v>
      </c>
      <c r="D1139">
        <v>606652063.09000003</v>
      </c>
      <c r="E1139">
        <v>10</v>
      </c>
    </row>
    <row r="1140" spans="2:5" x14ac:dyDescent="0.25">
      <c r="B1140" s="1">
        <v>41974</v>
      </c>
      <c r="C1140" t="s">
        <v>13</v>
      </c>
      <c r="D1140">
        <v>3928850698.1300001</v>
      </c>
      <c r="E1140">
        <v>1</v>
      </c>
    </row>
    <row r="1141" spans="2:5" x14ac:dyDescent="0.25">
      <c r="B1141" s="1">
        <v>41974</v>
      </c>
      <c r="C1141" t="s">
        <v>4</v>
      </c>
      <c r="D1141">
        <v>2913297453.96</v>
      </c>
      <c r="E1141">
        <v>2</v>
      </c>
    </row>
    <row r="1142" spans="2:5" x14ac:dyDescent="0.25">
      <c r="B1142" s="1">
        <v>41974</v>
      </c>
      <c r="C1142" t="s">
        <v>69</v>
      </c>
      <c r="D1142">
        <v>2066146511.47</v>
      </c>
      <c r="E1142">
        <v>3</v>
      </c>
    </row>
    <row r="1143" spans="2:5" x14ac:dyDescent="0.25">
      <c r="B1143" s="1">
        <v>41974</v>
      </c>
      <c r="C1143" t="s">
        <v>79</v>
      </c>
      <c r="D1143">
        <v>1879715467.6099999</v>
      </c>
      <c r="E1143">
        <v>4</v>
      </c>
    </row>
    <row r="1144" spans="2:5" x14ac:dyDescent="0.25">
      <c r="B1144" s="1">
        <v>41974</v>
      </c>
      <c r="C1144" t="s">
        <v>81</v>
      </c>
      <c r="D1144">
        <v>1404476774.0999999</v>
      </c>
      <c r="E1144">
        <v>5</v>
      </c>
    </row>
    <row r="1145" spans="2:5" x14ac:dyDescent="0.25">
      <c r="B1145" s="1">
        <v>41974</v>
      </c>
      <c r="C1145" t="s">
        <v>12</v>
      </c>
      <c r="D1145">
        <v>1117301751.3599999</v>
      </c>
      <c r="E1145">
        <v>6</v>
      </c>
    </row>
    <row r="1146" spans="2:5" x14ac:dyDescent="0.25">
      <c r="B1146" s="1">
        <v>41974</v>
      </c>
      <c r="C1146" t="s">
        <v>78</v>
      </c>
      <c r="D1146">
        <v>1076041614.8099999</v>
      </c>
      <c r="E1146">
        <v>7</v>
      </c>
    </row>
    <row r="1147" spans="2:5" x14ac:dyDescent="0.25">
      <c r="B1147" s="1">
        <v>41974</v>
      </c>
      <c r="C1147" t="s">
        <v>16</v>
      </c>
      <c r="D1147">
        <v>960946838.37</v>
      </c>
      <c r="E1147">
        <v>8</v>
      </c>
    </row>
    <row r="1148" spans="2:5" x14ac:dyDescent="0.25">
      <c r="B1148" s="1">
        <v>41974</v>
      </c>
      <c r="C1148" t="s">
        <v>77</v>
      </c>
      <c r="D1148">
        <v>956205375.35000002</v>
      </c>
      <c r="E1148">
        <v>9</v>
      </c>
    </row>
    <row r="1149" spans="2:5" x14ac:dyDescent="0.25">
      <c r="B1149" s="1">
        <v>41974</v>
      </c>
      <c r="C1149" t="s">
        <v>21</v>
      </c>
      <c r="D1149">
        <v>666254502</v>
      </c>
      <c r="E1149">
        <v>10</v>
      </c>
    </row>
    <row r="1150" spans="2:5" x14ac:dyDescent="0.25">
      <c r="B1150" s="1">
        <v>42005</v>
      </c>
      <c r="C1150" t="s">
        <v>13</v>
      </c>
      <c r="D1150">
        <v>5489190091.1700001</v>
      </c>
      <c r="E1150">
        <v>1</v>
      </c>
    </row>
    <row r="1151" spans="2:5" x14ac:dyDescent="0.25">
      <c r="B1151" s="1">
        <v>42005</v>
      </c>
      <c r="C1151" t="s">
        <v>69</v>
      </c>
      <c r="D1151">
        <v>3191572944.1500001</v>
      </c>
      <c r="E1151">
        <v>2</v>
      </c>
    </row>
    <row r="1152" spans="2:5" x14ac:dyDescent="0.25">
      <c r="B1152" s="1">
        <v>42005</v>
      </c>
      <c r="C1152" t="s">
        <v>16</v>
      </c>
      <c r="D1152">
        <v>1859953180.3399999</v>
      </c>
      <c r="E1152">
        <v>3</v>
      </c>
    </row>
    <row r="1153" spans="2:5" x14ac:dyDescent="0.25">
      <c r="B1153" s="1">
        <v>42005</v>
      </c>
      <c r="C1153" t="s">
        <v>79</v>
      </c>
      <c r="D1153">
        <v>1575481438.27</v>
      </c>
      <c r="E1153">
        <v>4</v>
      </c>
    </row>
    <row r="1154" spans="2:5" x14ac:dyDescent="0.25">
      <c r="B1154" s="1">
        <v>42005</v>
      </c>
      <c r="C1154" t="s">
        <v>78</v>
      </c>
      <c r="D1154">
        <v>1239435764.55</v>
      </c>
      <c r="E1154">
        <v>5</v>
      </c>
    </row>
    <row r="1155" spans="2:5" x14ac:dyDescent="0.25">
      <c r="B1155" s="1">
        <v>42005</v>
      </c>
      <c r="C1155" t="s">
        <v>12</v>
      </c>
      <c r="D1155">
        <v>908465632.36000001</v>
      </c>
      <c r="E1155">
        <v>6</v>
      </c>
    </row>
    <row r="1156" spans="2:5" x14ac:dyDescent="0.25">
      <c r="B1156" s="1">
        <v>42005</v>
      </c>
      <c r="C1156" t="s">
        <v>81</v>
      </c>
      <c r="D1156">
        <v>820018959.46000004</v>
      </c>
      <c r="E1156">
        <v>7</v>
      </c>
    </row>
    <row r="1157" spans="2:5" x14ac:dyDescent="0.25">
      <c r="B1157" s="1">
        <v>42005</v>
      </c>
      <c r="C1157" t="s">
        <v>57</v>
      </c>
      <c r="D1157">
        <v>818350088.14999998</v>
      </c>
      <c r="E1157">
        <v>8</v>
      </c>
    </row>
    <row r="1158" spans="2:5" x14ac:dyDescent="0.25">
      <c r="B1158" s="1">
        <v>42005</v>
      </c>
      <c r="C1158" t="s">
        <v>77</v>
      </c>
      <c r="D1158">
        <v>727299851.34000003</v>
      </c>
      <c r="E1158">
        <v>9</v>
      </c>
    </row>
    <row r="1159" spans="2:5" x14ac:dyDescent="0.25">
      <c r="B1159" s="1">
        <v>42005</v>
      </c>
      <c r="C1159" t="s">
        <v>4</v>
      </c>
      <c r="D1159">
        <v>590251975.22000003</v>
      </c>
      <c r="E1159">
        <v>10</v>
      </c>
    </row>
    <row r="1160" spans="2:5" x14ac:dyDescent="0.25">
      <c r="B1160" s="1">
        <v>42036</v>
      </c>
      <c r="C1160" t="s">
        <v>13</v>
      </c>
      <c r="D1160">
        <v>5063985040.1199999</v>
      </c>
      <c r="E1160">
        <v>1</v>
      </c>
    </row>
    <row r="1161" spans="2:5" x14ac:dyDescent="0.25">
      <c r="B1161" s="1">
        <v>42036</v>
      </c>
      <c r="C1161" t="s">
        <v>69</v>
      </c>
      <c r="D1161">
        <v>2391607148.8299999</v>
      </c>
      <c r="E1161">
        <v>2</v>
      </c>
    </row>
    <row r="1162" spans="2:5" x14ac:dyDescent="0.25">
      <c r="B1162" s="1">
        <v>42036</v>
      </c>
      <c r="C1162" t="s">
        <v>16</v>
      </c>
      <c r="D1162">
        <v>1754464295.02</v>
      </c>
      <c r="E1162">
        <v>3</v>
      </c>
    </row>
    <row r="1163" spans="2:5" x14ac:dyDescent="0.25">
      <c r="B1163" s="1">
        <v>42036</v>
      </c>
      <c r="C1163" t="s">
        <v>79</v>
      </c>
      <c r="D1163">
        <v>1363400170.6300001</v>
      </c>
      <c r="E1163">
        <v>4</v>
      </c>
    </row>
    <row r="1164" spans="2:5" x14ac:dyDescent="0.25">
      <c r="B1164" s="1">
        <v>42036</v>
      </c>
      <c r="C1164" t="s">
        <v>78</v>
      </c>
      <c r="D1164">
        <v>1098070187.5599999</v>
      </c>
      <c r="E1164">
        <v>5</v>
      </c>
    </row>
    <row r="1165" spans="2:5" x14ac:dyDescent="0.25">
      <c r="B1165" s="1">
        <v>42036</v>
      </c>
      <c r="C1165" t="s">
        <v>81</v>
      </c>
      <c r="D1165">
        <v>986818665.65999997</v>
      </c>
      <c r="E1165">
        <v>6</v>
      </c>
    </row>
    <row r="1166" spans="2:5" x14ac:dyDescent="0.25">
      <c r="B1166" s="1">
        <v>42036</v>
      </c>
      <c r="C1166" t="s">
        <v>12</v>
      </c>
      <c r="D1166">
        <v>972342136.94000006</v>
      </c>
      <c r="E1166">
        <v>7</v>
      </c>
    </row>
    <row r="1167" spans="2:5" x14ac:dyDescent="0.25">
      <c r="B1167" s="1">
        <v>42036</v>
      </c>
      <c r="C1167" t="s">
        <v>77</v>
      </c>
      <c r="D1167">
        <v>917470993.57000005</v>
      </c>
      <c r="E1167">
        <v>8</v>
      </c>
    </row>
    <row r="1168" spans="2:5" x14ac:dyDescent="0.25">
      <c r="B1168" s="1">
        <v>42036</v>
      </c>
      <c r="C1168" t="s">
        <v>57</v>
      </c>
      <c r="D1168">
        <v>842065425.11000001</v>
      </c>
      <c r="E1168">
        <v>9</v>
      </c>
    </row>
    <row r="1169" spans="2:5" x14ac:dyDescent="0.25">
      <c r="B1169" s="1">
        <v>42036</v>
      </c>
      <c r="C1169" t="s">
        <v>32</v>
      </c>
      <c r="D1169">
        <v>625784148.74000001</v>
      </c>
      <c r="E1169">
        <v>10</v>
      </c>
    </row>
    <row r="1170" spans="2:5" x14ac:dyDescent="0.25">
      <c r="B1170" s="1">
        <v>42064</v>
      </c>
      <c r="C1170" t="s">
        <v>13</v>
      </c>
      <c r="D1170">
        <v>4009024386</v>
      </c>
      <c r="E1170">
        <v>1</v>
      </c>
    </row>
    <row r="1171" spans="2:5" x14ac:dyDescent="0.25">
      <c r="B1171" s="1">
        <v>42064</v>
      </c>
      <c r="C1171" t="s">
        <v>69</v>
      </c>
      <c r="D1171">
        <v>2642975820</v>
      </c>
      <c r="E1171">
        <v>2</v>
      </c>
    </row>
    <row r="1172" spans="2:5" x14ac:dyDescent="0.25">
      <c r="B1172" s="1">
        <v>42064</v>
      </c>
      <c r="C1172" t="s">
        <v>78</v>
      </c>
      <c r="D1172">
        <v>1133721835.6300001</v>
      </c>
      <c r="E1172">
        <v>3</v>
      </c>
    </row>
    <row r="1173" spans="2:5" x14ac:dyDescent="0.25">
      <c r="B1173" s="1">
        <v>42064</v>
      </c>
      <c r="C1173" t="s">
        <v>12</v>
      </c>
      <c r="D1173">
        <v>550451758</v>
      </c>
      <c r="E1173">
        <v>4</v>
      </c>
    </row>
    <row r="1174" spans="2:5" x14ac:dyDescent="0.25">
      <c r="B1174" s="1">
        <v>42064</v>
      </c>
      <c r="C1174" t="s">
        <v>16</v>
      </c>
      <c r="D1174">
        <v>508288538.50999999</v>
      </c>
      <c r="E1174">
        <v>5</v>
      </c>
    </row>
    <row r="1175" spans="2:5" x14ac:dyDescent="0.25">
      <c r="B1175" s="1">
        <v>42064</v>
      </c>
      <c r="C1175" t="s">
        <v>32</v>
      </c>
      <c r="D1175">
        <v>497809765</v>
      </c>
      <c r="E1175">
        <v>6</v>
      </c>
    </row>
    <row r="1176" spans="2:5" x14ac:dyDescent="0.25">
      <c r="B1176" s="1">
        <v>42064</v>
      </c>
      <c r="C1176" t="s">
        <v>79</v>
      </c>
      <c r="D1176">
        <v>474646155.38999999</v>
      </c>
      <c r="E1176">
        <v>7</v>
      </c>
    </row>
    <row r="1177" spans="2:5" x14ac:dyDescent="0.25">
      <c r="B1177" s="1">
        <v>42064</v>
      </c>
      <c r="C1177" t="s">
        <v>4</v>
      </c>
      <c r="D1177">
        <v>448907763</v>
      </c>
      <c r="E1177">
        <v>8</v>
      </c>
    </row>
    <row r="1178" spans="2:5" x14ac:dyDescent="0.25">
      <c r="B1178" s="1">
        <v>42064</v>
      </c>
      <c r="C1178" t="s">
        <v>81</v>
      </c>
      <c r="D1178">
        <v>441678989.61000001</v>
      </c>
      <c r="E1178">
        <v>9</v>
      </c>
    </row>
    <row r="1179" spans="2:5" x14ac:dyDescent="0.25">
      <c r="B1179" s="1">
        <v>42064</v>
      </c>
      <c r="C1179" t="s">
        <v>73</v>
      </c>
      <c r="D1179">
        <v>395566598</v>
      </c>
      <c r="E117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Result</vt:lpstr>
      <vt:lpstr>Pivot</vt:lpstr>
      <vt:lpstr>Input</vt:lpstr>
      <vt:lpstr>Input!temp</vt:lpstr>
      <vt:lpstr>Pivot!temp_1</vt:lpstr>
      <vt:lpstr>Input!temp_6</vt:lpstr>
      <vt:lpstr>Input!temp_7</vt:lpstr>
      <vt:lpstr>Input!temp_8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2015-03-18T20:16:52Z</dcterms:modified>
</cp:coreProperties>
</file>