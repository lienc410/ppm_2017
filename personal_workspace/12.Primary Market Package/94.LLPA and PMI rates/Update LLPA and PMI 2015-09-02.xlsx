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245" yWindow="165" windowWidth="34155" windowHeight="18645" activeTab="3"/>
  </bookViews>
  <sheets>
    <sheet name="PMI" sheetId="2" r:id="rId1"/>
    <sheet name="PMILoanSize" sheetId="10" r:id="rId2"/>
    <sheet name="PMIOcc" sheetId="9" r:id="rId3"/>
    <sheet name="LLPA" sheetId="1" r:id="rId4"/>
    <sheet name="ADMC" sheetId="3" r:id="rId5"/>
    <sheet name="LLPAOcc" sheetId="4" r:id="rId6"/>
    <sheet name="LLPAUnit" sheetId="5" r:id="rId7"/>
    <sheet name="LLPA High LTV" sheetId="8" r:id="rId8"/>
    <sheet name="LLPA Date" sheetId="11" r:id="rId9"/>
  </sheets>
  <calcPr calcId="145621"/>
</workbook>
</file>

<file path=xl/calcChain.xml><?xml version="1.0" encoding="utf-8"?>
<calcChain xmlns="http://schemas.openxmlformats.org/spreadsheetml/2006/main">
  <c r="B7" i="3" l="1"/>
  <c r="B6" i="3"/>
  <c r="B5" i="3"/>
  <c r="C4" i="3"/>
  <c r="B4" i="3"/>
  <c r="C3" i="3"/>
  <c r="B3" i="3"/>
  <c r="N7" i="11"/>
  <c r="N8" i="11"/>
  <c r="N6" i="11"/>
  <c r="N5" i="11" l="1"/>
  <c r="O5" i="11"/>
  <c r="O4" i="11"/>
  <c r="N4" i="11"/>
  <c r="Q494" i="2" l="1"/>
  <c r="P494" i="2"/>
  <c r="O494" i="2"/>
  <c r="N494" i="2"/>
  <c r="Q493" i="2"/>
  <c r="P493" i="2"/>
  <c r="O493" i="2"/>
  <c r="N493" i="2"/>
  <c r="Q492" i="2"/>
  <c r="P492" i="2"/>
  <c r="O492" i="2"/>
  <c r="N492" i="2"/>
  <c r="Q491" i="2"/>
  <c r="P491" i="2"/>
  <c r="O491" i="2"/>
  <c r="N491" i="2"/>
  <c r="Q490" i="2"/>
  <c r="P490" i="2"/>
  <c r="O490" i="2"/>
  <c r="N490" i="2"/>
  <c r="Q434" i="2"/>
  <c r="P434" i="2"/>
  <c r="O434" i="2"/>
  <c r="N434" i="2"/>
  <c r="Q433" i="2"/>
  <c r="P433" i="2"/>
  <c r="O433" i="2"/>
  <c r="N433" i="2"/>
  <c r="Q432" i="2"/>
  <c r="P432" i="2"/>
  <c r="O432" i="2"/>
  <c r="N432" i="2"/>
  <c r="Q431" i="2"/>
  <c r="P431" i="2"/>
  <c r="O431" i="2"/>
  <c r="N431" i="2"/>
  <c r="Q430" i="2"/>
  <c r="P430" i="2"/>
  <c r="O430" i="2"/>
  <c r="N430" i="2"/>
  <c r="F384" i="2"/>
  <c r="F383" i="2"/>
  <c r="F382" i="2"/>
  <c r="Q373" i="2"/>
  <c r="P373" i="2"/>
  <c r="O373" i="2"/>
  <c r="N373" i="2"/>
  <c r="Q372" i="2"/>
  <c r="P372" i="2"/>
  <c r="O372" i="2"/>
  <c r="N372" i="2"/>
  <c r="Q371" i="2"/>
  <c r="P371" i="2"/>
  <c r="O371" i="2"/>
  <c r="N371" i="2"/>
  <c r="P370" i="2"/>
  <c r="O370" i="2"/>
  <c r="N370" i="2"/>
  <c r="P313" i="2"/>
  <c r="O313" i="2"/>
  <c r="N313" i="2"/>
  <c r="P312" i="2"/>
  <c r="O312" i="2"/>
  <c r="N312" i="2"/>
  <c r="P311" i="2"/>
  <c r="O311" i="2"/>
  <c r="N311" i="2"/>
  <c r="P310" i="2"/>
  <c r="O310" i="2"/>
  <c r="N310" i="2"/>
  <c r="P272" i="2"/>
  <c r="O270" i="2"/>
  <c r="Q267" i="2"/>
  <c r="P267" i="2"/>
  <c r="O267" i="2"/>
  <c r="N267" i="2"/>
  <c r="Q266" i="2"/>
  <c r="Q273" i="2" s="1"/>
  <c r="P266" i="2"/>
  <c r="P273" i="2" s="1"/>
  <c r="O266" i="2"/>
  <c r="O273" i="2" s="1"/>
  <c r="N266" i="2"/>
  <c r="N273" i="2" s="1"/>
  <c r="Q265" i="2"/>
  <c r="Q272" i="2" s="1"/>
  <c r="P265" i="2"/>
  <c r="O265" i="2"/>
  <c r="O272" i="2" s="1"/>
  <c r="N265" i="2"/>
  <c r="N272" i="2" s="1"/>
  <c r="Q264" i="2"/>
  <c r="Q271" i="2" s="1"/>
  <c r="P264" i="2"/>
  <c r="P271" i="2" s="1"/>
  <c r="O264" i="2"/>
  <c r="O271" i="2" s="1"/>
  <c r="N264" i="2"/>
  <c r="N271" i="2" s="1"/>
  <c r="P263" i="2"/>
  <c r="P270" i="2" s="1"/>
  <c r="O263" i="2"/>
  <c r="N263" i="2"/>
  <c r="N270" i="2" s="1"/>
  <c r="Q253" i="2"/>
  <c r="P253" i="2"/>
  <c r="O253" i="2"/>
  <c r="N253" i="2"/>
  <c r="Q252" i="2"/>
  <c r="P252" i="2"/>
  <c r="O252" i="2"/>
  <c r="N252" i="2"/>
  <c r="Q251" i="2"/>
  <c r="P251" i="2"/>
  <c r="O251" i="2"/>
  <c r="N251" i="2"/>
  <c r="P250" i="2"/>
  <c r="O250" i="2"/>
  <c r="N250" i="2"/>
  <c r="Q73" i="2"/>
  <c r="P73" i="2"/>
  <c r="O73" i="2"/>
  <c r="N73" i="2"/>
  <c r="Q72" i="2"/>
  <c r="P72" i="2"/>
  <c r="O72" i="2"/>
  <c r="N72" i="2"/>
  <c r="Q71" i="2"/>
  <c r="P71" i="2"/>
  <c r="O71" i="2"/>
  <c r="N71" i="2"/>
  <c r="Q70" i="2"/>
  <c r="P70" i="2"/>
  <c r="O70" i="2"/>
  <c r="N70" i="2"/>
  <c r="Q133" i="2"/>
  <c r="P133" i="2"/>
  <c r="O133" i="2"/>
  <c r="N133" i="2"/>
  <c r="Q132" i="2"/>
  <c r="P132" i="2"/>
  <c r="O132" i="2"/>
  <c r="N132" i="2"/>
  <c r="Q131" i="2"/>
  <c r="P131" i="2"/>
  <c r="O131" i="2"/>
  <c r="N131" i="2"/>
  <c r="P130" i="2"/>
  <c r="O130" i="2"/>
  <c r="N130" i="2"/>
  <c r="Q186" i="2"/>
  <c r="P186" i="2"/>
  <c r="O186" i="2"/>
  <c r="N186" i="2"/>
  <c r="Q185" i="2"/>
  <c r="P185" i="2"/>
  <c r="O185" i="2"/>
  <c r="N185" i="2"/>
  <c r="Q184" i="2"/>
  <c r="P184" i="2"/>
  <c r="O184" i="2"/>
  <c r="N184" i="2"/>
  <c r="P183" i="2"/>
  <c r="O183" i="2"/>
  <c r="N183" i="2"/>
  <c r="Q13" i="2"/>
  <c r="P13" i="2"/>
  <c r="O13" i="2"/>
  <c r="N13" i="2"/>
  <c r="Q12" i="2"/>
  <c r="P12" i="2"/>
  <c r="O12" i="2"/>
  <c r="N12" i="2"/>
  <c r="Q11" i="2"/>
  <c r="P11" i="2"/>
  <c r="O11" i="2"/>
  <c r="N11" i="2"/>
  <c r="Q10" i="2"/>
  <c r="P10" i="2"/>
  <c r="O10" i="2"/>
  <c r="N10" i="2"/>
</calcChain>
</file>

<file path=xl/sharedStrings.xml><?xml version="1.0" encoding="utf-8"?>
<sst xmlns="http://schemas.openxmlformats.org/spreadsheetml/2006/main" count="2198" uniqueCount="103">
  <si>
    <t>AsOfDate</t>
  </si>
  <si>
    <t>LtvStart</t>
  </si>
  <si>
    <t>LtvEnd</t>
  </si>
  <si>
    <t>LLPA</t>
  </si>
  <si>
    <t>LoanPurpose</t>
  </si>
  <si>
    <t>FICOBucketStart</t>
  </si>
  <si>
    <t>FICOBucketEnd</t>
  </si>
  <si>
    <t>LTVBucketStart</t>
  </si>
  <si>
    <t>LTVBucketEnd</t>
  </si>
  <si>
    <t>PMI</t>
  </si>
  <si>
    <t xml:space="preserve"> </t>
  </si>
  <si>
    <t>760+</t>
  </si>
  <si>
    <t>720-759</t>
  </si>
  <si>
    <t>680-719</t>
  </si>
  <si>
    <t>620-679</t>
  </si>
  <si>
    <t>95-97%</t>
  </si>
  <si>
    <t>90-95%</t>
  </si>
  <si>
    <t>85-90%</t>
  </si>
  <si>
    <t>80-85%</t>
  </si>
  <si>
    <t>&lt; 620</t>
  </si>
  <si>
    <t>New Refi</t>
  </si>
  <si>
    <t>&lt;80%</t>
  </si>
  <si>
    <t>null</t>
  </si>
  <si>
    <t xml:space="preserve">New Purchase 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</si>
  <si>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</si>
  <si>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</si>
  <si>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</si>
  <si>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</si>
  <si>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</si>
  <si>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</si>
  <si>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</si>
  <si>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</si>
  <si>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</si>
  <si>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</si>
  <si>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</si>
  <si>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</si>
  <si>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</si>
  <si>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</si>
  <si>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</si>
  <si>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</si>
  <si>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Old Refi</t>
  </si>
  <si>
    <t>Old Purchase</t>
  </si>
  <si>
    <t>OccType</t>
  </si>
  <si>
    <t xml:space="preserve">Raw Data Found at: </t>
  </si>
  <si>
    <t>Data Loaded in:</t>
  </si>
  <si>
    <t>report.PMI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</si>
  <si>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</si>
  <si>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</si>
  <si>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</si>
  <si>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</si>
  <si>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</si>
  <si>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</si>
  <si>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</si>
  <si>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</si>
  <si>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</si>
  <si>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</si>
  <si>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</si>
  <si>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</si>
  <si>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LTV &gt;80</t>
  </si>
  <si>
    <t>LTV &lt;=80</t>
  </si>
  <si>
    <t>S:\IT\Requirements\FHA Premium Cut</t>
  </si>
  <si>
    <t>report.PMIOCCLTV</t>
  </si>
  <si>
    <t>LoanSizeStart</t>
  </si>
  <si>
    <t>LoanSizeEnd</t>
  </si>
  <si>
    <t>&gt; 417000</t>
  </si>
  <si>
    <t>&lt;= 471000</t>
  </si>
  <si>
    <t>S:\Research\MGIC</t>
  </si>
  <si>
    <t>report.PMILoanSizeLTV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</si>
  <si>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</si>
  <si>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</si>
  <si>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</si>
  <si>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</si>
  <si>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</si>
  <si>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</si>
  <si>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</si>
  <si>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</si>
  <si>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</si>
  <si>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</si>
  <si>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</si>
  <si>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</si>
  <si>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</si>
  <si>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REFI</t>
  </si>
  <si>
    <t>S:\Research\MGIC\MGIC's MI rates_May 2014.pdf</t>
  </si>
  <si>
    <t>PURCH</t>
  </si>
  <si>
    <t>S:\Research\MGIC\MGIC's MI rates_Feb 2013.pdf</t>
  </si>
  <si>
    <t>Monthly</t>
  </si>
  <si>
    <t>S:\Research\MGIC\MGIC's MI rates_Aug 2011.pdf</t>
  </si>
  <si>
    <t>S:\Research\MGIC\MGIC's MI rates_May 2010.pdf</t>
  </si>
  <si>
    <t>http://www.mtgprofessor.com/A%20-%20PMI/sample_mortgage_insurance_premiums.htm</t>
  </si>
  <si>
    <t>Q:\LLPA\LLPA Matrix - Standard - Revised 2012-09-20.pdf</t>
  </si>
  <si>
    <t>AMDC</t>
  </si>
  <si>
    <t>Same</t>
  </si>
  <si>
    <t>File Release</t>
  </si>
  <si>
    <t>Effect Date</t>
  </si>
  <si>
    <t>Files</t>
  </si>
  <si>
    <t>Database - Old</t>
  </si>
  <si>
    <t>Database - New</t>
  </si>
  <si>
    <t>Q:\LLPA\LLPA Matrix - Standard - Revised 2012-11-14.pdf</t>
  </si>
  <si>
    <t>Old</t>
  </si>
  <si>
    <t>New</t>
  </si>
  <si>
    <t>760-779</t>
  </si>
  <si>
    <t>780-800</t>
  </si>
  <si>
    <t>&gt;=800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</si>
</sst>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Fill="1"/>
    <xf numFmtId="0" fontId="1" fillId="0" borderId="0" xfId="1"/>
    <xf numFmtId="0" fontId="0" fillId="0" borderId="0" xfId="0" applyNumberFormat="1"/>
    <xf numFmtId="14" fontId="0" fillId="0" borderId="0" xfId="0" applyNumberFormat="1" applyFill="1"/>
    <xf numFmtId="9" fontId="0" fillId="0" borderId="0" xfId="0" applyNumberFormat="1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1"/>
  <sheetViews>
    <sheetView workbookViewId="0"/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0" width="12.140625" customWidth="1"/>
    <col min="11" max="11" width="20" bestFit="1" customWidth="1"/>
    <col min="12" max="12" width="5" bestFit="1" customWidth="1"/>
    <col min="13" max="15" width="7.7109375" bestFit="1" customWidth="1"/>
    <col min="16" max="16" width="5.42578125" bestFit="1" customWidth="1"/>
    <col min="17" max="17" width="9.7109375" bestFit="1" customWidth="1"/>
  </cols>
  <sheetData>
    <row r="1" spans="1:1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3" t="s">
        <v>0</v>
      </c>
      <c r="H1" s="3" t="s">
        <v>53</v>
      </c>
      <c r="I1" s="3" t="s">
        <v>54</v>
      </c>
    </row>
    <row r="2" spans="1:19" x14ac:dyDescent="0.25">
      <c r="A2" t="s">
        <v>81</v>
      </c>
      <c r="B2">
        <v>760</v>
      </c>
      <c r="C2">
        <v>999</v>
      </c>
      <c r="D2">
        <v>97</v>
      </c>
      <c r="E2">
        <v>999</v>
      </c>
      <c r="G2" s="3">
        <v>41760</v>
      </c>
      <c r="H2" s="3">
        <v>41760</v>
      </c>
      <c r="I2" s="3">
        <v>73051</v>
      </c>
      <c r="M2" s="5" t="s">
        <v>23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19</v>
      </c>
      <c r="S2" s="8">
        <v>41760</v>
      </c>
    </row>
    <row r="3" spans="1:19" x14ac:dyDescent="0.25">
      <c r="A3" t="s">
        <v>81</v>
      </c>
      <c r="B3">
        <v>760</v>
      </c>
      <c r="C3">
        <v>999</v>
      </c>
      <c r="D3">
        <v>95</v>
      </c>
      <c r="E3">
        <v>97</v>
      </c>
      <c r="F3">
        <v>110</v>
      </c>
      <c r="G3" s="3">
        <v>41760</v>
      </c>
      <c r="H3" s="3">
        <v>41760</v>
      </c>
      <c r="I3" s="3">
        <v>73051</v>
      </c>
      <c r="M3" s="9" t="s">
        <v>15</v>
      </c>
      <c r="N3" s="5">
        <v>105</v>
      </c>
      <c r="O3" s="5">
        <v>110</v>
      </c>
      <c r="P3" s="5">
        <v>131</v>
      </c>
      <c r="Q3" s="5">
        <v>148</v>
      </c>
      <c r="R3" s="5" t="s">
        <v>34</v>
      </c>
      <c r="S3" s="5"/>
    </row>
    <row r="4" spans="1:19" x14ac:dyDescent="0.25">
      <c r="A4" t="s">
        <v>81</v>
      </c>
      <c r="B4">
        <v>760</v>
      </c>
      <c r="C4">
        <v>999</v>
      </c>
      <c r="D4">
        <v>90</v>
      </c>
      <c r="E4">
        <v>95</v>
      </c>
      <c r="F4">
        <v>59</v>
      </c>
      <c r="G4" s="3">
        <v>41760</v>
      </c>
      <c r="H4" s="3">
        <v>41760</v>
      </c>
      <c r="I4" s="3">
        <v>73051</v>
      </c>
      <c r="M4" s="5" t="s">
        <v>16</v>
      </c>
      <c r="N4" s="5">
        <v>54</v>
      </c>
      <c r="O4" s="5">
        <v>62</v>
      </c>
      <c r="P4" s="5">
        <v>89</v>
      </c>
      <c r="Q4" s="5">
        <v>115</v>
      </c>
      <c r="R4" s="5" t="s">
        <v>34</v>
      </c>
      <c r="S4" s="5"/>
    </row>
    <row r="5" spans="1:19" x14ac:dyDescent="0.25">
      <c r="A5" t="s">
        <v>81</v>
      </c>
      <c r="B5">
        <v>760</v>
      </c>
      <c r="C5">
        <v>999</v>
      </c>
      <c r="D5">
        <v>85</v>
      </c>
      <c r="E5">
        <v>90</v>
      </c>
      <c r="F5">
        <v>44</v>
      </c>
      <c r="G5" s="3">
        <v>41760</v>
      </c>
      <c r="H5" s="3">
        <v>41760</v>
      </c>
      <c r="I5" s="3">
        <v>73051</v>
      </c>
      <c r="M5" s="5" t="s">
        <v>17</v>
      </c>
      <c r="N5" s="5">
        <v>39</v>
      </c>
      <c r="O5" s="5">
        <v>44</v>
      </c>
      <c r="P5" s="5">
        <v>57</v>
      </c>
      <c r="Q5" s="5">
        <v>71</v>
      </c>
      <c r="R5" s="5" t="s">
        <v>34</v>
      </c>
      <c r="S5" s="5"/>
    </row>
    <row r="6" spans="1:19" x14ac:dyDescent="0.25">
      <c r="A6" t="s">
        <v>81</v>
      </c>
      <c r="B6">
        <v>760</v>
      </c>
      <c r="C6">
        <v>999</v>
      </c>
      <c r="D6">
        <v>80</v>
      </c>
      <c r="E6">
        <v>85</v>
      </c>
      <c r="F6">
        <v>28</v>
      </c>
      <c r="G6" s="3">
        <v>41760</v>
      </c>
      <c r="H6" s="3">
        <v>41760</v>
      </c>
      <c r="I6" s="3">
        <v>73051</v>
      </c>
      <c r="M6" s="5" t="s">
        <v>18</v>
      </c>
      <c r="N6" s="5">
        <v>23</v>
      </c>
      <c r="O6" s="5">
        <v>27</v>
      </c>
      <c r="P6" s="5">
        <v>33</v>
      </c>
      <c r="Q6" s="5">
        <v>39</v>
      </c>
      <c r="R6" s="5" t="s">
        <v>34</v>
      </c>
      <c r="S6" s="5"/>
    </row>
    <row r="7" spans="1:19" x14ac:dyDescent="0.25">
      <c r="A7" t="s">
        <v>81</v>
      </c>
      <c r="B7">
        <v>760</v>
      </c>
      <c r="C7">
        <v>999</v>
      </c>
      <c r="D7">
        <v>0</v>
      </c>
      <c r="E7">
        <v>80</v>
      </c>
      <c r="F7">
        <v>0</v>
      </c>
      <c r="G7" s="3">
        <v>41760</v>
      </c>
      <c r="H7" s="3">
        <v>41760</v>
      </c>
      <c r="I7" s="3">
        <v>73051</v>
      </c>
      <c r="M7" s="5" t="s">
        <v>21</v>
      </c>
      <c r="N7" s="5">
        <v>0</v>
      </c>
      <c r="O7" s="5">
        <v>0</v>
      </c>
      <c r="P7" s="5">
        <v>0</v>
      </c>
      <c r="Q7" s="5">
        <v>0</v>
      </c>
      <c r="R7" s="5" t="s">
        <v>34</v>
      </c>
      <c r="S7" s="5"/>
    </row>
    <row r="8" spans="1:19" x14ac:dyDescent="0.25">
      <c r="A8" t="s">
        <v>81</v>
      </c>
      <c r="B8">
        <v>720</v>
      </c>
      <c r="C8">
        <v>760</v>
      </c>
      <c r="D8">
        <v>97</v>
      </c>
      <c r="E8">
        <v>999</v>
      </c>
      <c r="G8" s="3">
        <v>41760</v>
      </c>
      <c r="H8" s="3">
        <v>41760</v>
      </c>
      <c r="I8" s="3">
        <v>73051</v>
      </c>
      <c r="M8" s="5"/>
      <c r="N8" s="5"/>
      <c r="O8" s="5"/>
      <c r="P8" s="5"/>
      <c r="Q8" s="5"/>
      <c r="R8" s="5"/>
      <c r="S8" s="5"/>
    </row>
    <row r="9" spans="1:19" x14ac:dyDescent="0.25">
      <c r="A9" t="s">
        <v>81</v>
      </c>
      <c r="B9">
        <v>720</v>
      </c>
      <c r="C9">
        <v>760</v>
      </c>
      <c r="D9">
        <v>95</v>
      </c>
      <c r="E9">
        <v>97</v>
      </c>
      <c r="F9">
        <v>120</v>
      </c>
      <c r="G9" s="3">
        <v>41760</v>
      </c>
      <c r="H9" s="3">
        <v>41760</v>
      </c>
      <c r="I9" s="3">
        <v>73051</v>
      </c>
      <c r="M9" s="5" t="s">
        <v>20</v>
      </c>
      <c r="N9" s="5" t="s">
        <v>11</v>
      </c>
      <c r="O9" s="5" t="s">
        <v>12</v>
      </c>
      <c r="P9" s="5" t="s">
        <v>13</v>
      </c>
      <c r="Q9" s="5" t="s">
        <v>14</v>
      </c>
      <c r="R9" s="5" t="s">
        <v>19</v>
      </c>
      <c r="S9" s="8">
        <v>41760</v>
      </c>
    </row>
    <row r="10" spans="1:19" x14ac:dyDescent="0.25">
      <c r="A10" t="s">
        <v>81</v>
      </c>
      <c r="B10">
        <v>720</v>
      </c>
      <c r="C10">
        <v>760</v>
      </c>
      <c r="D10">
        <v>90</v>
      </c>
      <c r="E10">
        <v>95</v>
      </c>
      <c r="F10">
        <v>72</v>
      </c>
      <c r="G10" s="3">
        <v>41760</v>
      </c>
      <c r="H10" s="3">
        <v>41760</v>
      </c>
      <c r="I10" s="3">
        <v>73051</v>
      </c>
      <c r="M10" s="9" t="s">
        <v>15</v>
      </c>
      <c r="N10" s="5">
        <f>N3+5</f>
        <v>110</v>
      </c>
      <c r="O10" s="5">
        <f>O3+10</f>
        <v>120</v>
      </c>
      <c r="P10" s="5">
        <f>P3+15</f>
        <v>146</v>
      </c>
      <c r="Q10" s="5">
        <f>Q3+30</f>
        <v>178</v>
      </c>
      <c r="R10" s="5" t="s">
        <v>34</v>
      </c>
      <c r="S10" s="5"/>
    </row>
    <row r="11" spans="1:19" x14ac:dyDescent="0.25">
      <c r="A11" t="s">
        <v>81</v>
      </c>
      <c r="B11">
        <v>720</v>
      </c>
      <c r="C11">
        <v>760</v>
      </c>
      <c r="D11">
        <v>85</v>
      </c>
      <c r="E11">
        <v>90</v>
      </c>
      <c r="F11">
        <v>54</v>
      </c>
      <c r="G11" s="3">
        <v>41760</v>
      </c>
      <c r="H11" s="3">
        <v>41760</v>
      </c>
      <c r="I11" s="3">
        <v>73051</v>
      </c>
      <c r="M11" s="5" t="s">
        <v>16</v>
      </c>
      <c r="N11" s="5">
        <f t="shared" ref="N11:N13" si="0">N4+5</f>
        <v>59</v>
      </c>
      <c r="O11" s="5">
        <f t="shared" ref="O11:O13" si="1">O4+10</f>
        <v>72</v>
      </c>
      <c r="P11" s="5">
        <f t="shared" ref="P11:P13" si="2">P4+15</f>
        <v>104</v>
      </c>
      <c r="Q11" s="5">
        <f t="shared" ref="Q11:Q13" si="3">Q4+30</f>
        <v>145</v>
      </c>
      <c r="R11" s="5" t="s">
        <v>34</v>
      </c>
      <c r="S11" s="5"/>
    </row>
    <row r="12" spans="1:19" x14ac:dyDescent="0.25">
      <c r="A12" t="s">
        <v>81</v>
      </c>
      <c r="B12">
        <v>720</v>
      </c>
      <c r="C12">
        <v>760</v>
      </c>
      <c r="D12">
        <v>80</v>
      </c>
      <c r="E12">
        <v>85</v>
      </c>
      <c r="F12">
        <v>37</v>
      </c>
      <c r="G12" s="3">
        <v>41760</v>
      </c>
      <c r="H12" s="3">
        <v>41760</v>
      </c>
      <c r="I12" s="3">
        <v>73051</v>
      </c>
      <c r="M12" s="5" t="s">
        <v>17</v>
      </c>
      <c r="N12" s="5">
        <f t="shared" si="0"/>
        <v>44</v>
      </c>
      <c r="O12" s="5">
        <f t="shared" si="1"/>
        <v>54</v>
      </c>
      <c r="P12" s="5">
        <f t="shared" si="2"/>
        <v>72</v>
      </c>
      <c r="Q12" s="5">
        <f t="shared" si="3"/>
        <v>101</v>
      </c>
      <c r="R12" s="5" t="s">
        <v>34</v>
      </c>
      <c r="S12" s="5"/>
    </row>
    <row r="13" spans="1:19" x14ac:dyDescent="0.25">
      <c r="A13" t="s">
        <v>81</v>
      </c>
      <c r="B13">
        <v>720</v>
      </c>
      <c r="C13">
        <v>760</v>
      </c>
      <c r="D13">
        <v>0</v>
      </c>
      <c r="E13">
        <v>80</v>
      </c>
      <c r="F13">
        <v>0</v>
      </c>
      <c r="G13" s="3">
        <v>41760</v>
      </c>
      <c r="H13" s="3">
        <v>41760</v>
      </c>
      <c r="I13" s="3">
        <v>73051</v>
      </c>
      <c r="M13" s="5" t="s">
        <v>18</v>
      </c>
      <c r="N13" s="5">
        <f t="shared" si="0"/>
        <v>28</v>
      </c>
      <c r="O13" s="5">
        <f t="shared" si="1"/>
        <v>37</v>
      </c>
      <c r="P13" s="5">
        <f t="shared" si="2"/>
        <v>48</v>
      </c>
      <c r="Q13" s="5">
        <f t="shared" si="3"/>
        <v>69</v>
      </c>
      <c r="R13" s="5" t="s">
        <v>34</v>
      </c>
      <c r="S13" s="5"/>
    </row>
    <row r="14" spans="1:19" x14ac:dyDescent="0.25">
      <c r="A14" t="s">
        <v>81</v>
      </c>
      <c r="B14">
        <v>680</v>
      </c>
      <c r="C14">
        <v>720</v>
      </c>
      <c r="D14">
        <v>97</v>
      </c>
      <c r="E14">
        <v>999</v>
      </c>
      <c r="G14" s="3">
        <v>41760</v>
      </c>
      <c r="H14" s="3">
        <v>41760</v>
      </c>
      <c r="I14" s="3">
        <v>73051</v>
      </c>
      <c r="M14" s="5" t="s">
        <v>21</v>
      </c>
      <c r="N14" s="5">
        <v>0</v>
      </c>
      <c r="O14" s="5">
        <v>0</v>
      </c>
      <c r="P14" s="5">
        <v>0</v>
      </c>
      <c r="Q14" s="5">
        <v>0</v>
      </c>
      <c r="R14" s="5" t="s">
        <v>34</v>
      </c>
      <c r="S14" s="5"/>
    </row>
    <row r="15" spans="1:19" x14ac:dyDescent="0.25">
      <c r="A15" t="s">
        <v>81</v>
      </c>
      <c r="B15">
        <v>680</v>
      </c>
      <c r="C15">
        <v>720</v>
      </c>
      <c r="D15">
        <v>95</v>
      </c>
      <c r="E15">
        <v>97</v>
      </c>
      <c r="F15">
        <v>146</v>
      </c>
      <c r="G15" s="3">
        <v>41760</v>
      </c>
      <c r="H15" s="3">
        <v>41760</v>
      </c>
      <c r="I15" s="3">
        <v>73051</v>
      </c>
      <c r="M15" s="5"/>
      <c r="N15" s="5"/>
      <c r="O15" s="5"/>
      <c r="P15" s="5"/>
      <c r="Q15" s="5"/>
      <c r="R15" s="5"/>
      <c r="S15" s="5"/>
    </row>
    <row r="16" spans="1:19" x14ac:dyDescent="0.25">
      <c r="A16" t="s">
        <v>81</v>
      </c>
      <c r="B16">
        <v>680</v>
      </c>
      <c r="C16">
        <v>720</v>
      </c>
      <c r="D16">
        <v>90</v>
      </c>
      <c r="E16">
        <v>95</v>
      </c>
      <c r="F16">
        <v>104</v>
      </c>
      <c r="G16" s="3">
        <v>41760</v>
      </c>
      <c r="H16" s="3">
        <v>41760</v>
      </c>
      <c r="I16" s="3">
        <v>73051</v>
      </c>
    </row>
    <row r="17" spans="1:14" x14ac:dyDescent="0.25">
      <c r="A17" t="s">
        <v>81</v>
      </c>
      <c r="B17">
        <v>680</v>
      </c>
      <c r="C17">
        <v>720</v>
      </c>
      <c r="D17">
        <v>85</v>
      </c>
      <c r="E17">
        <v>90</v>
      </c>
      <c r="F17">
        <v>72</v>
      </c>
      <c r="G17" s="3">
        <v>41760</v>
      </c>
      <c r="H17" s="3">
        <v>41760</v>
      </c>
      <c r="I17" s="3">
        <v>73051</v>
      </c>
      <c r="M17" t="s">
        <v>43</v>
      </c>
      <c r="N17" t="s">
        <v>82</v>
      </c>
    </row>
    <row r="18" spans="1:14" x14ac:dyDescent="0.25">
      <c r="A18" t="s">
        <v>81</v>
      </c>
      <c r="B18">
        <v>680</v>
      </c>
      <c r="C18">
        <v>720</v>
      </c>
      <c r="D18">
        <v>80</v>
      </c>
      <c r="E18">
        <v>85</v>
      </c>
      <c r="F18">
        <v>48</v>
      </c>
      <c r="G18" s="3">
        <v>41760</v>
      </c>
      <c r="H18" s="3">
        <v>41760</v>
      </c>
      <c r="I18" s="3">
        <v>73051</v>
      </c>
      <c r="M18" t="s">
        <v>44</v>
      </c>
      <c r="N18" t="s">
        <v>45</v>
      </c>
    </row>
    <row r="19" spans="1:14" x14ac:dyDescent="0.25">
      <c r="A19" t="s">
        <v>81</v>
      </c>
      <c r="B19">
        <v>680</v>
      </c>
      <c r="C19">
        <v>720</v>
      </c>
      <c r="D19">
        <v>0</v>
      </c>
      <c r="E19">
        <v>80</v>
      </c>
      <c r="F19">
        <v>0</v>
      </c>
      <c r="G19" s="3">
        <v>41760</v>
      </c>
      <c r="H19" s="3">
        <v>41760</v>
      </c>
      <c r="I19" s="3">
        <v>73051</v>
      </c>
    </row>
    <row r="20" spans="1:14" x14ac:dyDescent="0.25">
      <c r="A20" t="s">
        <v>81</v>
      </c>
      <c r="B20">
        <v>620</v>
      </c>
      <c r="C20">
        <v>680</v>
      </c>
      <c r="D20">
        <v>97</v>
      </c>
      <c r="E20">
        <v>999</v>
      </c>
      <c r="G20" s="3">
        <v>41760</v>
      </c>
      <c r="H20" s="3">
        <v>41760</v>
      </c>
      <c r="I20" s="3">
        <v>73051</v>
      </c>
    </row>
    <row r="21" spans="1:14" x14ac:dyDescent="0.25">
      <c r="A21" t="s">
        <v>81</v>
      </c>
      <c r="B21">
        <v>620</v>
      </c>
      <c r="C21">
        <v>680</v>
      </c>
      <c r="D21">
        <v>95</v>
      </c>
      <c r="E21">
        <v>97</v>
      </c>
      <c r="F21">
        <v>178</v>
      </c>
      <c r="G21" s="3">
        <v>41760</v>
      </c>
      <c r="H21" s="3">
        <v>41760</v>
      </c>
      <c r="I21" s="3">
        <v>73051</v>
      </c>
    </row>
    <row r="22" spans="1:14" x14ac:dyDescent="0.25">
      <c r="A22" t="s">
        <v>81</v>
      </c>
      <c r="B22">
        <v>620</v>
      </c>
      <c r="C22">
        <v>680</v>
      </c>
      <c r="D22">
        <v>90</v>
      </c>
      <c r="E22">
        <v>95</v>
      </c>
      <c r="F22">
        <v>145</v>
      </c>
      <c r="G22" s="3">
        <v>41760</v>
      </c>
      <c r="H22" s="3">
        <v>41760</v>
      </c>
      <c r="I22" s="3">
        <v>73051</v>
      </c>
    </row>
    <row r="23" spans="1:14" x14ac:dyDescent="0.25">
      <c r="A23" t="s">
        <v>81</v>
      </c>
      <c r="B23">
        <v>620</v>
      </c>
      <c r="C23">
        <v>680</v>
      </c>
      <c r="D23">
        <v>85</v>
      </c>
      <c r="E23">
        <v>90</v>
      </c>
      <c r="F23">
        <v>101</v>
      </c>
      <c r="G23" s="3">
        <v>41760</v>
      </c>
      <c r="H23" s="3">
        <v>41760</v>
      </c>
      <c r="I23" s="3">
        <v>73051</v>
      </c>
    </row>
    <row r="24" spans="1:14" x14ac:dyDescent="0.25">
      <c r="A24" t="s">
        <v>81</v>
      </c>
      <c r="B24">
        <v>620</v>
      </c>
      <c r="C24">
        <v>680</v>
      </c>
      <c r="D24">
        <v>80</v>
      </c>
      <c r="E24">
        <v>85</v>
      </c>
      <c r="F24">
        <v>69</v>
      </c>
      <c r="G24" s="3">
        <v>41760</v>
      </c>
      <c r="H24" s="3">
        <v>41760</v>
      </c>
      <c r="I24" s="3">
        <v>73051</v>
      </c>
    </row>
    <row r="25" spans="1:14" x14ac:dyDescent="0.25">
      <c r="A25" t="s">
        <v>81</v>
      </c>
      <c r="B25">
        <v>620</v>
      </c>
      <c r="C25">
        <v>680</v>
      </c>
      <c r="D25">
        <v>0</v>
      </c>
      <c r="E25">
        <v>80</v>
      </c>
      <c r="F25">
        <v>0</v>
      </c>
      <c r="G25" s="3">
        <v>41760</v>
      </c>
      <c r="H25" s="3">
        <v>41760</v>
      </c>
      <c r="I25" s="3">
        <v>73051</v>
      </c>
    </row>
    <row r="26" spans="1:14" x14ac:dyDescent="0.25">
      <c r="A26" t="s">
        <v>81</v>
      </c>
      <c r="B26">
        <v>300</v>
      </c>
      <c r="C26">
        <v>620</v>
      </c>
      <c r="D26">
        <v>97</v>
      </c>
      <c r="E26">
        <v>999</v>
      </c>
      <c r="G26" s="3">
        <v>41760</v>
      </c>
      <c r="H26" s="3">
        <v>41760</v>
      </c>
      <c r="I26" s="3">
        <v>73051</v>
      </c>
    </row>
    <row r="27" spans="1:14" x14ac:dyDescent="0.25">
      <c r="A27" t="s">
        <v>81</v>
      </c>
      <c r="B27">
        <v>300</v>
      </c>
      <c r="C27">
        <v>620</v>
      </c>
      <c r="D27">
        <v>95</v>
      </c>
      <c r="E27">
        <v>97</v>
      </c>
      <c r="G27" s="3">
        <v>41760</v>
      </c>
      <c r="H27" s="3">
        <v>41760</v>
      </c>
      <c r="I27" s="3">
        <v>73051</v>
      </c>
    </row>
    <row r="28" spans="1:14" x14ac:dyDescent="0.25">
      <c r="A28" t="s">
        <v>81</v>
      </c>
      <c r="B28">
        <v>300</v>
      </c>
      <c r="C28">
        <v>620</v>
      </c>
      <c r="D28">
        <v>90</v>
      </c>
      <c r="E28">
        <v>95</v>
      </c>
      <c r="G28" s="3">
        <v>41760</v>
      </c>
      <c r="H28" s="3">
        <v>41760</v>
      </c>
      <c r="I28" s="3">
        <v>73051</v>
      </c>
    </row>
    <row r="29" spans="1:14" x14ac:dyDescent="0.25">
      <c r="A29" t="s">
        <v>81</v>
      </c>
      <c r="B29">
        <v>300</v>
      </c>
      <c r="C29">
        <v>620</v>
      </c>
      <c r="D29">
        <v>85</v>
      </c>
      <c r="E29">
        <v>90</v>
      </c>
      <c r="G29" s="3">
        <v>41760</v>
      </c>
      <c r="H29" s="3">
        <v>41760</v>
      </c>
      <c r="I29" s="3">
        <v>73051</v>
      </c>
    </row>
    <row r="30" spans="1:14" x14ac:dyDescent="0.25">
      <c r="A30" t="s">
        <v>81</v>
      </c>
      <c r="B30">
        <v>300</v>
      </c>
      <c r="C30">
        <v>620</v>
      </c>
      <c r="D30">
        <v>80</v>
      </c>
      <c r="E30">
        <v>85</v>
      </c>
      <c r="G30" s="3">
        <v>41760</v>
      </c>
      <c r="H30" s="3">
        <v>41760</v>
      </c>
      <c r="I30" s="3">
        <v>73051</v>
      </c>
    </row>
    <row r="31" spans="1:14" x14ac:dyDescent="0.25">
      <c r="A31" t="s">
        <v>81</v>
      </c>
      <c r="B31">
        <v>300</v>
      </c>
      <c r="C31">
        <v>620</v>
      </c>
      <c r="D31">
        <v>0</v>
      </c>
      <c r="E31">
        <v>80</v>
      </c>
      <c r="G31" s="3">
        <v>41760</v>
      </c>
      <c r="H31" s="3">
        <v>41760</v>
      </c>
      <c r="I31" s="3">
        <v>73051</v>
      </c>
    </row>
    <row r="32" spans="1:14" x14ac:dyDescent="0.25">
      <c r="A32" t="s">
        <v>83</v>
      </c>
      <c r="B32">
        <v>760</v>
      </c>
      <c r="C32">
        <v>999</v>
      </c>
      <c r="D32">
        <v>97</v>
      </c>
      <c r="E32">
        <v>999</v>
      </c>
      <c r="G32" s="3">
        <v>41760</v>
      </c>
      <c r="H32" s="3">
        <v>41760</v>
      </c>
      <c r="I32" s="3">
        <v>73051</v>
      </c>
    </row>
    <row r="33" spans="1:9" x14ac:dyDescent="0.25">
      <c r="A33" t="s">
        <v>83</v>
      </c>
      <c r="B33">
        <v>760</v>
      </c>
      <c r="C33">
        <v>999</v>
      </c>
      <c r="D33">
        <v>95</v>
      </c>
      <c r="E33">
        <v>97</v>
      </c>
      <c r="F33">
        <v>105</v>
      </c>
      <c r="G33" s="3">
        <v>41760</v>
      </c>
      <c r="H33" s="3">
        <v>41760</v>
      </c>
      <c r="I33" s="3">
        <v>73051</v>
      </c>
    </row>
    <row r="34" spans="1:9" x14ac:dyDescent="0.25">
      <c r="A34" t="s">
        <v>83</v>
      </c>
      <c r="B34">
        <v>760</v>
      </c>
      <c r="C34">
        <v>999</v>
      </c>
      <c r="D34">
        <v>90</v>
      </c>
      <c r="E34">
        <v>95</v>
      </c>
      <c r="F34">
        <v>54</v>
      </c>
      <c r="G34" s="3">
        <v>41760</v>
      </c>
      <c r="H34" s="3">
        <v>41760</v>
      </c>
      <c r="I34" s="3">
        <v>73051</v>
      </c>
    </row>
    <row r="35" spans="1:9" x14ac:dyDescent="0.25">
      <c r="A35" t="s">
        <v>83</v>
      </c>
      <c r="B35">
        <v>760</v>
      </c>
      <c r="C35">
        <v>999</v>
      </c>
      <c r="D35">
        <v>85</v>
      </c>
      <c r="E35">
        <v>90</v>
      </c>
      <c r="F35">
        <v>39</v>
      </c>
      <c r="G35" s="3">
        <v>41760</v>
      </c>
      <c r="H35" s="3">
        <v>41760</v>
      </c>
      <c r="I35" s="3">
        <v>73051</v>
      </c>
    </row>
    <row r="36" spans="1:9" x14ac:dyDescent="0.25">
      <c r="A36" t="s">
        <v>83</v>
      </c>
      <c r="B36">
        <v>760</v>
      </c>
      <c r="C36">
        <v>999</v>
      </c>
      <c r="D36">
        <v>80</v>
      </c>
      <c r="E36">
        <v>85</v>
      </c>
      <c r="F36">
        <v>23</v>
      </c>
      <c r="G36" s="3">
        <v>41760</v>
      </c>
      <c r="H36" s="3">
        <v>41760</v>
      </c>
      <c r="I36" s="3">
        <v>73051</v>
      </c>
    </row>
    <row r="37" spans="1:9" x14ac:dyDescent="0.25">
      <c r="A37" t="s">
        <v>83</v>
      </c>
      <c r="B37">
        <v>760</v>
      </c>
      <c r="C37">
        <v>999</v>
      </c>
      <c r="D37">
        <v>0</v>
      </c>
      <c r="E37">
        <v>80</v>
      </c>
      <c r="F37">
        <v>0</v>
      </c>
      <c r="G37" s="3">
        <v>41760</v>
      </c>
      <c r="H37" s="3">
        <v>41760</v>
      </c>
      <c r="I37" s="3">
        <v>73051</v>
      </c>
    </row>
    <row r="38" spans="1:9" x14ac:dyDescent="0.25">
      <c r="A38" t="s">
        <v>83</v>
      </c>
      <c r="B38">
        <v>720</v>
      </c>
      <c r="C38">
        <v>760</v>
      </c>
      <c r="D38">
        <v>97</v>
      </c>
      <c r="E38">
        <v>999</v>
      </c>
      <c r="G38" s="3">
        <v>41760</v>
      </c>
      <c r="H38" s="3">
        <v>41760</v>
      </c>
      <c r="I38" s="3">
        <v>73051</v>
      </c>
    </row>
    <row r="39" spans="1:9" x14ac:dyDescent="0.25">
      <c r="A39" t="s">
        <v>83</v>
      </c>
      <c r="B39">
        <v>720</v>
      </c>
      <c r="C39">
        <v>760</v>
      </c>
      <c r="D39">
        <v>95</v>
      </c>
      <c r="E39">
        <v>97</v>
      </c>
      <c r="F39">
        <v>110</v>
      </c>
      <c r="G39" s="3">
        <v>41760</v>
      </c>
      <c r="H39" s="3">
        <v>41760</v>
      </c>
      <c r="I39" s="3">
        <v>73051</v>
      </c>
    </row>
    <row r="40" spans="1:9" x14ac:dyDescent="0.25">
      <c r="A40" t="s">
        <v>83</v>
      </c>
      <c r="B40">
        <v>720</v>
      </c>
      <c r="C40">
        <v>760</v>
      </c>
      <c r="D40">
        <v>90</v>
      </c>
      <c r="E40">
        <v>95</v>
      </c>
      <c r="F40">
        <v>62</v>
      </c>
      <c r="G40" s="3">
        <v>41760</v>
      </c>
      <c r="H40" s="3">
        <v>41760</v>
      </c>
      <c r="I40" s="3">
        <v>73051</v>
      </c>
    </row>
    <row r="41" spans="1:9" x14ac:dyDescent="0.25">
      <c r="A41" t="s">
        <v>83</v>
      </c>
      <c r="B41">
        <v>720</v>
      </c>
      <c r="C41">
        <v>760</v>
      </c>
      <c r="D41">
        <v>85</v>
      </c>
      <c r="E41">
        <v>90</v>
      </c>
      <c r="F41">
        <v>44</v>
      </c>
      <c r="G41" s="3">
        <v>41760</v>
      </c>
      <c r="H41" s="3">
        <v>41760</v>
      </c>
      <c r="I41" s="3">
        <v>73051</v>
      </c>
    </row>
    <row r="42" spans="1:9" x14ac:dyDescent="0.25">
      <c r="A42" t="s">
        <v>83</v>
      </c>
      <c r="B42">
        <v>720</v>
      </c>
      <c r="C42">
        <v>760</v>
      </c>
      <c r="D42">
        <v>80</v>
      </c>
      <c r="E42">
        <v>85</v>
      </c>
      <c r="F42">
        <v>27</v>
      </c>
      <c r="G42" s="3">
        <v>41760</v>
      </c>
      <c r="H42" s="3">
        <v>41760</v>
      </c>
      <c r="I42" s="3">
        <v>73051</v>
      </c>
    </row>
    <row r="43" spans="1:9" x14ac:dyDescent="0.25">
      <c r="A43" t="s">
        <v>83</v>
      </c>
      <c r="B43">
        <v>720</v>
      </c>
      <c r="C43">
        <v>760</v>
      </c>
      <c r="D43">
        <v>0</v>
      </c>
      <c r="E43">
        <v>80</v>
      </c>
      <c r="F43">
        <v>0</v>
      </c>
      <c r="G43" s="3">
        <v>41760</v>
      </c>
      <c r="H43" s="3">
        <v>41760</v>
      </c>
      <c r="I43" s="3">
        <v>73051</v>
      </c>
    </row>
    <row r="44" spans="1:9" x14ac:dyDescent="0.25">
      <c r="A44" t="s">
        <v>83</v>
      </c>
      <c r="B44">
        <v>680</v>
      </c>
      <c r="C44">
        <v>720</v>
      </c>
      <c r="D44">
        <v>97</v>
      </c>
      <c r="E44">
        <v>999</v>
      </c>
      <c r="G44" s="3">
        <v>41760</v>
      </c>
      <c r="H44" s="3">
        <v>41760</v>
      </c>
      <c r="I44" s="3">
        <v>73051</v>
      </c>
    </row>
    <row r="45" spans="1:9" x14ac:dyDescent="0.25">
      <c r="A45" t="s">
        <v>83</v>
      </c>
      <c r="B45">
        <v>680</v>
      </c>
      <c r="C45">
        <v>720</v>
      </c>
      <c r="D45">
        <v>95</v>
      </c>
      <c r="E45">
        <v>97</v>
      </c>
      <c r="F45">
        <v>131</v>
      </c>
      <c r="G45" s="3">
        <v>41760</v>
      </c>
      <c r="H45" s="3">
        <v>41760</v>
      </c>
      <c r="I45" s="3">
        <v>73051</v>
      </c>
    </row>
    <row r="46" spans="1:9" x14ac:dyDescent="0.25">
      <c r="A46" t="s">
        <v>83</v>
      </c>
      <c r="B46">
        <v>680</v>
      </c>
      <c r="C46">
        <v>720</v>
      </c>
      <c r="D46">
        <v>90</v>
      </c>
      <c r="E46">
        <v>95</v>
      </c>
      <c r="F46">
        <v>89</v>
      </c>
      <c r="G46" s="3">
        <v>41760</v>
      </c>
      <c r="H46" s="3">
        <v>41760</v>
      </c>
      <c r="I46" s="3">
        <v>73051</v>
      </c>
    </row>
    <row r="47" spans="1:9" x14ac:dyDescent="0.25">
      <c r="A47" t="s">
        <v>83</v>
      </c>
      <c r="B47">
        <v>680</v>
      </c>
      <c r="C47">
        <v>720</v>
      </c>
      <c r="D47">
        <v>85</v>
      </c>
      <c r="E47">
        <v>90</v>
      </c>
      <c r="F47">
        <v>57</v>
      </c>
      <c r="G47" s="3">
        <v>41760</v>
      </c>
      <c r="H47" s="3">
        <v>41760</v>
      </c>
      <c r="I47" s="3">
        <v>73051</v>
      </c>
    </row>
    <row r="48" spans="1:9" x14ac:dyDescent="0.25">
      <c r="A48" t="s">
        <v>83</v>
      </c>
      <c r="B48">
        <v>680</v>
      </c>
      <c r="C48">
        <v>720</v>
      </c>
      <c r="D48">
        <v>80</v>
      </c>
      <c r="E48">
        <v>85</v>
      </c>
      <c r="F48">
        <v>33</v>
      </c>
      <c r="G48" s="3">
        <v>41760</v>
      </c>
      <c r="H48" s="3">
        <v>41760</v>
      </c>
      <c r="I48" s="3">
        <v>73051</v>
      </c>
    </row>
    <row r="49" spans="1:19" x14ac:dyDescent="0.25">
      <c r="A49" t="s">
        <v>83</v>
      </c>
      <c r="B49">
        <v>680</v>
      </c>
      <c r="C49">
        <v>720</v>
      </c>
      <c r="D49">
        <v>0</v>
      </c>
      <c r="E49">
        <v>80</v>
      </c>
      <c r="F49">
        <v>0</v>
      </c>
      <c r="G49" s="3">
        <v>41760</v>
      </c>
      <c r="H49" s="3">
        <v>41760</v>
      </c>
      <c r="I49" s="3">
        <v>73051</v>
      </c>
    </row>
    <row r="50" spans="1:19" x14ac:dyDescent="0.25">
      <c r="A50" t="s">
        <v>83</v>
      </c>
      <c r="B50">
        <v>620</v>
      </c>
      <c r="C50">
        <v>680</v>
      </c>
      <c r="D50">
        <v>97</v>
      </c>
      <c r="E50">
        <v>999</v>
      </c>
      <c r="G50" s="3">
        <v>41760</v>
      </c>
      <c r="H50" s="3">
        <v>41760</v>
      </c>
      <c r="I50" s="3">
        <v>73051</v>
      </c>
    </row>
    <row r="51" spans="1:19" x14ac:dyDescent="0.25">
      <c r="A51" t="s">
        <v>83</v>
      </c>
      <c r="B51">
        <v>620</v>
      </c>
      <c r="C51">
        <v>680</v>
      </c>
      <c r="D51">
        <v>95</v>
      </c>
      <c r="E51">
        <v>97</v>
      </c>
      <c r="F51">
        <v>148</v>
      </c>
      <c r="G51" s="3">
        <v>41760</v>
      </c>
      <c r="H51" s="3">
        <v>41760</v>
      </c>
      <c r="I51" s="3">
        <v>73051</v>
      </c>
    </row>
    <row r="52" spans="1:19" x14ac:dyDescent="0.25">
      <c r="A52" t="s">
        <v>83</v>
      </c>
      <c r="B52">
        <v>620</v>
      </c>
      <c r="C52">
        <v>680</v>
      </c>
      <c r="D52">
        <v>90</v>
      </c>
      <c r="E52">
        <v>95</v>
      </c>
      <c r="F52">
        <v>115</v>
      </c>
      <c r="G52" s="3">
        <v>41760</v>
      </c>
      <c r="H52" s="3">
        <v>41760</v>
      </c>
      <c r="I52" s="3">
        <v>73051</v>
      </c>
    </row>
    <row r="53" spans="1:19" x14ac:dyDescent="0.25">
      <c r="A53" t="s">
        <v>83</v>
      </c>
      <c r="B53">
        <v>620</v>
      </c>
      <c r="C53">
        <v>680</v>
      </c>
      <c r="D53">
        <v>85</v>
      </c>
      <c r="E53">
        <v>90</v>
      </c>
      <c r="F53">
        <v>71</v>
      </c>
      <c r="G53" s="3">
        <v>41760</v>
      </c>
      <c r="H53" s="3">
        <v>41760</v>
      </c>
      <c r="I53" s="3">
        <v>73051</v>
      </c>
    </row>
    <row r="54" spans="1:19" x14ac:dyDescent="0.25">
      <c r="A54" t="s">
        <v>83</v>
      </c>
      <c r="B54">
        <v>620</v>
      </c>
      <c r="C54">
        <v>680</v>
      </c>
      <c r="D54">
        <v>80</v>
      </c>
      <c r="E54">
        <v>85</v>
      </c>
      <c r="F54">
        <v>39</v>
      </c>
      <c r="G54" s="3">
        <v>41760</v>
      </c>
      <c r="H54" s="3">
        <v>41760</v>
      </c>
      <c r="I54" s="3">
        <v>73051</v>
      </c>
    </row>
    <row r="55" spans="1:19" x14ac:dyDescent="0.25">
      <c r="A55" t="s">
        <v>83</v>
      </c>
      <c r="B55">
        <v>620</v>
      </c>
      <c r="C55">
        <v>680</v>
      </c>
      <c r="D55">
        <v>0</v>
      </c>
      <c r="E55">
        <v>80</v>
      </c>
      <c r="F55">
        <v>0</v>
      </c>
      <c r="G55" s="3">
        <v>41760</v>
      </c>
      <c r="H55" s="3">
        <v>41760</v>
      </c>
      <c r="I55" s="3">
        <v>73051</v>
      </c>
    </row>
    <row r="56" spans="1:19" x14ac:dyDescent="0.25">
      <c r="A56" t="s">
        <v>83</v>
      </c>
      <c r="B56">
        <v>300</v>
      </c>
      <c r="C56">
        <v>620</v>
      </c>
      <c r="D56">
        <v>97</v>
      </c>
      <c r="E56">
        <v>999</v>
      </c>
      <c r="G56" s="3">
        <v>41760</v>
      </c>
      <c r="H56" s="3">
        <v>41760</v>
      </c>
      <c r="I56" s="3">
        <v>73051</v>
      </c>
    </row>
    <row r="57" spans="1:19" x14ac:dyDescent="0.25">
      <c r="A57" t="s">
        <v>83</v>
      </c>
      <c r="B57">
        <v>300</v>
      </c>
      <c r="C57">
        <v>620</v>
      </c>
      <c r="D57">
        <v>95</v>
      </c>
      <c r="E57">
        <v>97</v>
      </c>
      <c r="G57" s="3">
        <v>41760</v>
      </c>
      <c r="H57" s="3">
        <v>41760</v>
      </c>
      <c r="I57" s="3">
        <v>73051</v>
      </c>
    </row>
    <row r="58" spans="1:19" x14ac:dyDescent="0.25">
      <c r="A58" t="s">
        <v>83</v>
      </c>
      <c r="B58">
        <v>300</v>
      </c>
      <c r="C58">
        <v>620</v>
      </c>
      <c r="D58">
        <v>90</v>
      </c>
      <c r="E58">
        <v>95</v>
      </c>
      <c r="G58" s="3">
        <v>41760</v>
      </c>
      <c r="H58" s="3">
        <v>41760</v>
      </c>
      <c r="I58" s="3">
        <v>73051</v>
      </c>
    </row>
    <row r="59" spans="1:19" x14ac:dyDescent="0.25">
      <c r="A59" t="s">
        <v>83</v>
      </c>
      <c r="B59">
        <v>300</v>
      </c>
      <c r="C59">
        <v>620</v>
      </c>
      <c r="D59">
        <v>85</v>
      </c>
      <c r="E59">
        <v>90</v>
      </c>
      <c r="G59" s="3">
        <v>41760</v>
      </c>
      <c r="H59" s="3">
        <v>41760</v>
      </c>
      <c r="I59" s="3">
        <v>73051</v>
      </c>
    </row>
    <row r="60" spans="1:19" x14ac:dyDescent="0.25">
      <c r="A60" t="s">
        <v>83</v>
      </c>
      <c r="B60">
        <v>300</v>
      </c>
      <c r="C60">
        <v>620</v>
      </c>
      <c r="D60">
        <v>80</v>
      </c>
      <c r="E60">
        <v>85</v>
      </c>
      <c r="G60" s="3">
        <v>41760</v>
      </c>
      <c r="H60" s="3">
        <v>41760</v>
      </c>
      <c r="I60" s="3">
        <v>73051</v>
      </c>
    </row>
    <row r="61" spans="1:19" x14ac:dyDescent="0.25">
      <c r="A61" t="s">
        <v>83</v>
      </c>
      <c r="B61">
        <v>300</v>
      </c>
      <c r="C61">
        <v>620</v>
      </c>
      <c r="D61">
        <v>0</v>
      </c>
      <c r="E61">
        <v>80</v>
      </c>
      <c r="G61" s="3">
        <v>41760</v>
      </c>
      <c r="H61" s="3">
        <v>41760</v>
      </c>
      <c r="I61" s="3">
        <v>73051</v>
      </c>
    </row>
    <row r="62" spans="1:19" x14ac:dyDescent="0.25">
      <c r="A62" t="s">
        <v>81</v>
      </c>
      <c r="B62">
        <v>760</v>
      </c>
      <c r="C62">
        <v>999</v>
      </c>
      <c r="D62">
        <v>97</v>
      </c>
      <c r="E62">
        <v>999</v>
      </c>
      <c r="G62" s="3">
        <v>41487</v>
      </c>
      <c r="H62" s="3">
        <v>41487</v>
      </c>
      <c r="I62" s="3">
        <v>41760</v>
      </c>
      <c r="M62" t="s">
        <v>41</v>
      </c>
      <c r="N62" t="s">
        <v>11</v>
      </c>
      <c r="O62" t="s">
        <v>12</v>
      </c>
      <c r="P62" t="s">
        <v>13</v>
      </c>
      <c r="Q62" t="s">
        <v>14</v>
      </c>
      <c r="R62" t="s">
        <v>19</v>
      </c>
      <c r="S62" s="3">
        <v>41487</v>
      </c>
    </row>
    <row r="63" spans="1:19" x14ac:dyDescent="0.25">
      <c r="A63" t="s">
        <v>81</v>
      </c>
      <c r="B63">
        <v>760</v>
      </c>
      <c r="C63">
        <v>999</v>
      </c>
      <c r="D63">
        <v>95</v>
      </c>
      <c r="E63">
        <v>97</v>
      </c>
      <c r="F63">
        <v>115</v>
      </c>
      <c r="G63" s="3">
        <v>41487</v>
      </c>
      <c r="H63" s="3">
        <v>41487</v>
      </c>
      <c r="I63" s="3">
        <v>41760</v>
      </c>
      <c r="M63" s="1" t="s">
        <v>15</v>
      </c>
      <c r="N63">
        <v>110</v>
      </c>
      <c r="O63">
        <v>115</v>
      </c>
      <c r="P63">
        <v>136</v>
      </c>
      <c r="Q63" s="7">
        <v>153</v>
      </c>
      <c r="R63" s="2" t="s">
        <v>34</v>
      </c>
    </row>
    <row r="64" spans="1:19" x14ac:dyDescent="0.25">
      <c r="A64" t="s">
        <v>81</v>
      </c>
      <c r="B64">
        <v>760</v>
      </c>
      <c r="C64">
        <v>999</v>
      </c>
      <c r="D64">
        <v>90</v>
      </c>
      <c r="E64">
        <v>95</v>
      </c>
      <c r="F64">
        <v>64</v>
      </c>
      <c r="G64" s="3">
        <v>41487</v>
      </c>
      <c r="H64" s="3">
        <v>41487</v>
      </c>
      <c r="I64" s="3">
        <v>41760</v>
      </c>
      <c r="M64" t="s">
        <v>16</v>
      </c>
      <c r="N64">
        <v>59</v>
      </c>
      <c r="O64">
        <v>67</v>
      </c>
      <c r="P64">
        <v>94</v>
      </c>
      <c r="Q64">
        <v>120</v>
      </c>
      <c r="R64" s="2" t="s">
        <v>34</v>
      </c>
    </row>
    <row r="65" spans="1:19" x14ac:dyDescent="0.25">
      <c r="A65" t="s">
        <v>81</v>
      </c>
      <c r="B65">
        <v>760</v>
      </c>
      <c r="C65">
        <v>999</v>
      </c>
      <c r="D65">
        <v>85</v>
      </c>
      <c r="E65">
        <v>90</v>
      </c>
      <c r="F65">
        <v>49</v>
      </c>
      <c r="G65" s="3">
        <v>41487</v>
      </c>
      <c r="H65" s="3">
        <v>41487</v>
      </c>
      <c r="I65" s="3">
        <v>41760</v>
      </c>
      <c r="M65" t="s">
        <v>17</v>
      </c>
      <c r="N65">
        <v>44</v>
      </c>
      <c r="O65">
        <v>49</v>
      </c>
      <c r="P65">
        <v>62</v>
      </c>
      <c r="Q65">
        <v>76</v>
      </c>
      <c r="R65" s="2" t="s">
        <v>34</v>
      </c>
    </row>
    <row r="66" spans="1:19" x14ac:dyDescent="0.25">
      <c r="A66" t="s">
        <v>81</v>
      </c>
      <c r="B66">
        <v>760</v>
      </c>
      <c r="C66">
        <v>999</v>
      </c>
      <c r="D66">
        <v>80</v>
      </c>
      <c r="E66">
        <v>85</v>
      </c>
      <c r="F66">
        <v>33</v>
      </c>
      <c r="G66" s="3">
        <v>41487</v>
      </c>
      <c r="H66" s="3">
        <v>41487</v>
      </c>
      <c r="I66" s="3">
        <v>41760</v>
      </c>
      <c r="M66" t="s">
        <v>18</v>
      </c>
      <c r="N66">
        <v>28</v>
      </c>
      <c r="O66">
        <v>32</v>
      </c>
      <c r="P66">
        <v>38</v>
      </c>
      <c r="Q66">
        <v>44</v>
      </c>
      <c r="R66" s="2" t="s">
        <v>34</v>
      </c>
    </row>
    <row r="67" spans="1:19" x14ac:dyDescent="0.25">
      <c r="A67" t="s">
        <v>81</v>
      </c>
      <c r="B67">
        <v>760</v>
      </c>
      <c r="C67">
        <v>999</v>
      </c>
      <c r="D67">
        <v>0</v>
      </c>
      <c r="E67">
        <v>80</v>
      </c>
      <c r="F67">
        <v>0</v>
      </c>
      <c r="G67" s="3">
        <v>41487</v>
      </c>
      <c r="H67" s="3">
        <v>41487</v>
      </c>
      <c r="I67" s="3">
        <v>41760</v>
      </c>
      <c r="M67" t="s">
        <v>21</v>
      </c>
      <c r="N67">
        <v>0</v>
      </c>
      <c r="O67">
        <v>0</v>
      </c>
      <c r="P67">
        <v>0</v>
      </c>
      <c r="Q67">
        <v>0</v>
      </c>
      <c r="R67" s="2" t="s">
        <v>34</v>
      </c>
    </row>
    <row r="68" spans="1:19" x14ac:dyDescent="0.25">
      <c r="A68" t="s">
        <v>81</v>
      </c>
      <c r="B68">
        <v>720</v>
      </c>
      <c r="C68">
        <v>760</v>
      </c>
      <c r="D68">
        <v>97</v>
      </c>
      <c r="E68">
        <v>999</v>
      </c>
      <c r="G68" s="3">
        <v>41487</v>
      </c>
      <c r="H68" s="3">
        <v>41487</v>
      </c>
      <c r="I68" s="3">
        <v>41760</v>
      </c>
    </row>
    <row r="69" spans="1:19" x14ac:dyDescent="0.25">
      <c r="A69" t="s">
        <v>81</v>
      </c>
      <c r="B69">
        <v>720</v>
      </c>
      <c r="C69">
        <v>760</v>
      </c>
      <c r="D69">
        <v>95</v>
      </c>
      <c r="E69">
        <v>97</v>
      </c>
      <c r="F69">
        <v>125</v>
      </c>
      <c r="G69" s="3">
        <v>41487</v>
      </c>
      <c r="H69" s="3">
        <v>41487</v>
      </c>
      <c r="I69" s="3">
        <v>41760</v>
      </c>
      <c r="M69" t="s">
        <v>40</v>
      </c>
      <c r="N69" t="s">
        <v>11</v>
      </c>
      <c r="O69" t="s">
        <v>12</v>
      </c>
      <c r="P69" t="s">
        <v>13</v>
      </c>
      <c r="Q69" t="s">
        <v>14</v>
      </c>
      <c r="R69" t="s">
        <v>19</v>
      </c>
      <c r="S69" s="3">
        <v>41487</v>
      </c>
    </row>
    <row r="70" spans="1:19" x14ac:dyDescent="0.25">
      <c r="A70" t="s">
        <v>81</v>
      </c>
      <c r="B70">
        <v>720</v>
      </c>
      <c r="C70">
        <v>760</v>
      </c>
      <c r="D70">
        <v>90</v>
      </c>
      <c r="E70">
        <v>95</v>
      </c>
      <c r="F70">
        <v>77</v>
      </c>
      <c r="G70" s="3">
        <v>41487</v>
      </c>
      <c r="H70" s="3">
        <v>41487</v>
      </c>
      <c r="I70" s="3">
        <v>41760</v>
      </c>
      <c r="M70" s="1" t="s">
        <v>15</v>
      </c>
      <c r="N70">
        <f>N63+5</f>
        <v>115</v>
      </c>
      <c r="O70">
        <f>O63+10</f>
        <v>125</v>
      </c>
      <c r="P70">
        <f>P63+15</f>
        <v>151</v>
      </c>
      <c r="Q70">
        <f>Q63+30</f>
        <v>183</v>
      </c>
      <c r="R70" s="2" t="s">
        <v>34</v>
      </c>
    </row>
    <row r="71" spans="1:19" x14ac:dyDescent="0.25">
      <c r="A71" t="s">
        <v>81</v>
      </c>
      <c r="B71">
        <v>720</v>
      </c>
      <c r="C71">
        <v>760</v>
      </c>
      <c r="D71">
        <v>85</v>
      </c>
      <c r="E71">
        <v>90</v>
      </c>
      <c r="F71">
        <v>59</v>
      </c>
      <c r="G71" s="3">
        <v>41487</v>
      </c>
      <c r="H71" s="3">
        <v>41487</v>
      </c>
      <c r="I71" s="3">
        <v>41760</v>
      </c>
      <c r="M71" t="s">
        <v>16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2" t="s">
        <v>34</v>
      </c>
    </row>
    <row r="72" spans="1:19" x14ac:dyDescent="0.25">
      <c r="A72" t="s">
        <v>81</v>
      </c>
      <c r="B72">
        <v>720</v>
      </c>
      <c r="C72">
        <v>760</v>
      </c>
      <c r="D72">
        <v>80</v>
      </c>
      <c r="E72">
        <v>85</v>
      </c>
      <c r="F72">
        <v>42</v>
      </c>
      <c r="G72" s="3">
        <v>41487</v>
      </c>
      <c r="H72" s="3">
        <v>41487</v>
      </c>
      <c r="I72" s="3">
        <v>41760</v>
      </c>
      <c r="M72" t="s">
        <v>17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2" t="s">
        <v>34</v>
      </c>
    </row>
    <row r="73" spans="1:19" x14ac:dyDescent="0.25">
      <c r="A73" t="s">
        <v>81</v>
      </c>
      <c r="B73">
        <v>720</v>
      </c>
      <c r="C73">
        <v>760</v>
      </c>
      <c r="D73">
        <v>0</v>
      </c>
      <c r="E73">
        <v>80</v>
      </c>
      <c r="F73">
        <v>0</v>
      </c>
      <c r="G73" s="3">
        <v>41487</v>
      </c>
      <c r="H73" s="3">
        <v>41487</v>
      </c>
      <c r="I73" s="3">
        <v>41760</v>
      </c>
      <c r="M73" t="s">
        <v>18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2" t="s">
        <v>34</v>
      </c>
    </row>
    <row r="74" spans="1:19" x14ac:dyDescent="0.25">
      <c r="A74" t="s">
        <v>81</v>
      </c>
      <c r="B74">
        <v>680</v>
      </c>
      <c r="C74">
        <v>720</v>
      </c>
      <c r="D74">
        <v>97</v>
      </c>
      <c r="E74">
        <v>999</v>
      </c>
      <c r="G74" s="3">
        <v>41487</v>
      </c>
      <c r="H74" s="3">
        <v>41487</v>
      </c>
      <c r="I74" s="3">
        <v>41760</v>
      </c>
      <c r="M74" t="s">
        <v>21</v>
      </c>
      <c r="N74">
        <v>0</v>
      </c>
      <c r="O74">
        <v>0</v>
      </c>
      <c r="P74">
        <v>0</v>
      </c>
      <c r="Q74">
        <v>0</v>
      </c>
      <c r="R74" s="2" t="s">
        <v>34</v>
      </c>
    </row>
    <row r="75" spans="1:19" x14ac:dyDescent="0.25">
      <c r="A75" t="s">
        <v>81</v>
      </c>
      <c r="B75">
        <v>680</v>
      </c>
      <c r="C75">
        <v>720</v>
      </c>
      <c r="D75">
        <v>95</v>
      </c>
      <c r="E75">
        <v>97</v>
      </c>
      <c r="F75">
        <v>151</v>
      </c>
      <c r="G75" s="3">
        <v>41487</v>
      </c>
      <c r="H75" s="3">
        <v>41487</v>
      </c>
      <c r="I75" s="3">
        <v>41760</v>
      </c>
    </row>
    <row r="76" spans="1:19" x14ac:dyDescent="0.25">
      <c r="A76" t="s">
        <v>81</v>
      </c>
      <c r="B76">
        <v>680</v>
      </c>
      <c r="C76">
        <v>720</v>
      </c>
      <c r="D76">
        <v>90</v>
      </c>
      <c r="E76">
        <v>95</v>
      </c>
      <c r="F76">
        <v>109</v>
      </c>
      <c r="G76" s="3">
        <v>41487</v>
      </c>
      <c r="H76" s="3">
        <v>41487</v>
      </c>
      <c r="I76" s="3">
        <v>41760</v>
      </c>
    </row>
    <row r="77" spans="1:19" x14ac:dyDescent="0.25">
      <c r="A77" t="s">
        <v>81</v>
      </c>
      <c r="B77">
        <v>680</v>
      </c>
      <c r="C77">
        <v>720</v>
      </c>
      <c r="D77">
        <v>85</v>
      </c>
      <c r="E77">
        <v>90</v>
      </c>
      <c r="F77">
        <v>77</v>
      </c>
      <c r="G77" s="3">
        <v>41487</v>
      </c>
      <c r="H77" s="3">
        <v>41487</v>
      </c>
      <c r="I77" s="3">
        <v>41760</v>
      </c>
    </row>
    <row r="78" spans="1:19" x14ac:dyDescent="0.25">
      <c r="A78" t="s">
        <v>81</v>
      </c>
      <c r="B78">
        <v>680</v>
      </c>
      <c r="C78">
        <v>720</v>
      </c>
      <c r="D78">
        <v>80</v>
      </c>
      <c r="E78">
        <v>85</v>
      </c>
      <c r="F78">
        <v>53</v>
      </c>
      <c r="G78" s="3">
        <v>41487</v>
      </c>
      <c r="H78" s="3">
        <v>41487</v>
      </c>
      <c r="I78" s="3">
        <v>41760</v>
      </c>
    </row>
    <row r="79" spans="1:19" x14ac:dyDescent="0.25">
      <c r="A79" t="s">
        <v>81</v>
      </c>
      <c r="B79">
        <v>680</v>
      </c>
      <c r="C79">
        <v>720</v>
      </c>
      <c r="D79">
        <v>0</v>
      </c>
      <c r="E79">
        <v>80</v>
      </c>
      <c r="F79">
        <v>0</v>
      </c>
      <c r="G79" s="3">
        <v>41487</v>
      </c>
      <c r="H79" s="3">
        <v>41487</v>
      </c>
      <c r="I79" s="3">
        <v>41760</v>
      </c>
    </row>
    <row r="80" spans="1:19" x14ac:dyDescent="0.25">
      <c r="A80" t="s">
        <v>81</v>
      </c>
      <c r="B80">
        <v>620</v>
      </c>
      <c r="C80">
        <v>680</v>
      </c>
      <c r="D80">
        <v>97</v>
      </c>
      <c r="E80">
        <v>999</v>
      </c>
      <c r="G80" s="3">
        <v>41487</v>
      </c>
      <c r="H80" s="3">
        <v>41487</v>
      </c>
      <c r="I80" s="3">
        <v>41760</v>
      </c>
    </row>
    <row r="81" spans="1:9" x14ac:dyDescent="0.25">
      <c r="A81" t="s">
        <v>81</v>
      </c>
      <c r="B81">
        <v>620</v>
      </c>
      <c r="C81">
        <v>680</v>
      </c>
      <c r="D81">
        <v>95</v>
      </c>
      <c r="E81">
        <v>97</v>
      </c>
      <c r="F81">
        <v>183</v>
      </c>
      <c r="G81" s="3">
        <v>41487</v>
      </c>
      <c r="H81" s="3">
        <v>41487</v>
      </c>
      <c r="I81" s="3">
        <v>41760</v>
      </c>
    </row>
    <row r="82" spans="1:9" x14ac:dyDescent="0.25">
      <c r="A82" t="s">
        <v>81</v>
      </c>
      <c r="B82">
        <v>620</v>
      </c>
      <c r="C82">
        <v>680</v>
      </c>
      <c r="D82">
        <v>90</v>
      </c>
      <c r="E82">
        <v>95</v>
      </c>
      <c r="F82">
        <v>150</v>
      </c>
      <c r="G82" s="3">
        <v>41487</v>
      </c>
      <c r="H82" s="3">
        <v>41487</v>
      </c>
      <c r="I82" s="3">
        <v>41760</v>
      </c>
    </row>
    <row r="83" spans="1:9" x14ac:dyDescent="0.25">
      <c r="A83" t="s">
        <v>81</v>
      </c>
      <c r="B83">
        <v>620</v>
      </c>
      <c r="C83">
        <v>680</v>
      </c>
      <c r="D83">
        <v>85</v>
      </c>
      <c r="E83">
        <v>90</v>
      </c>
      <c r="F83">
        <v>106</v>
      </c>
      <c r="G83" s="3">
        <v>41487</v>
      </c>
      <c r="H83" s="3">
        <v>41487</v>
      </c>
      <c r="I83" s="3">
        <v>41760</v>
      </c>
    </row>
    <row r="84" spans="1:9" x14ac:dyDescent="0.25">
      <c r="A84" t="s">
        <v>81</v>
      </c>
      <c r="B84">
        <v>620</v>
      </c>
      <c r="C84">
        <v>680</v>
      </c>
      <c r="D84">
        <v>80</v>
      </c>
      <c r="E84">
        <v>85</v>
      </c>
      <c r="F84">
        <v>74</v>
      </c>
      <c r="G84" s="3">
        <v>41487</v>
      </c>
      <c r="H84" s="3">
        <v>41487</v>
      </c>
      <c r="I84" s="3">
        <v>41760</v>
      </c>
    </row>
    <row r="85" spans="1:9" x14ac:dyDescent="0.25">
      <c r="A85" t="s">
        <v>81</v>
      </c>
      <c r="B85">
        <v>620</v>
      </c>
      <c r="C85">
        <v>680</v>
      </c>
      <c r="D85">
        <v>0</v>
      </c>
      <c r="E85">
        <v>80</v>
      </c>
      <c r="F85">
        <v>0</v>
      </c>
      <c r="G85" s="3">
        <v>41487</v>
      </c>
      <c r="H85" s="3">
        <v>41487</v>
      </c>
      <c r="I85" s="3">
        <v>41760</v>
      </c>
    </row>
    <row r="86" spans="1:9" x14ac:dyDescent="0.25">
      <c r="A86" t="s">
        <v>81</v>
      </c>
      <c r="B86">
        <v>300</v>
      </c>
      <c r="C86">
        <v>620</v>
      </c>
      <c r="D86">
        <v>97</v>
      </c>
      <c r="E86">
        <v>999</v>
      </c>
      <c r="G86" s="3">
        <v>41487</v>
      </c>
      <c r="H86" s="3">
        <v>41487</v>
      </c>
      <c r="I86" s="3">
        <v>41760</v>
      </c>
    </row>
    <row r="87" spans="1:9" x14ac:dyDescent="0.25">
      <c r="A87" t="s">
        <v>81</v>
      </c>
      <c r="B87">
        <v>300</v>
      </c>
      <c r="C87">
        <v>620</v>
      </c>
      <c r="D87">
        <v>95</v>
      </c>
      <c r="E87">
        <v>97</v>
      </c>
      <c r="G87" s="3">
        <v>41487</v>
      </c>
      <c r="H87" s="3">
        <v>41487</v>
      </c>
      <c r="I87" s="3">
        <v>41760</v>
      </c>
    </row>
    <row r="88" spans="1:9" x14ac:dyDescent="0.25">
      <c r="A88" t="s">
        <v>81</v>
      </c>
      <c r="B88">
        <v>300</v>
      </c>
      <c r="C88">
        <v>620</v>
      </c>
      <c r="D88">
        <v>90</v>
      </c>
      <c r="E88">
        <v>95</v>
      </c>
      <c r="G88" s="3">
        <v>41487</v>
      </c>
      <c r="H88" s="3">
        <v>41487</v>
      </c>
      <c r="I88" s="3">
        <v>41760</v>
      </c>
    </row>
    <row r="89" spans="1:9" x14ac:dyDescent="0.25">
      <c r="A89" t="s">
        <v>81</v>
      </c>
      <c r="B89">
        <v>300</v>
      </c>
      <c r="C89">
        <v>620</v>
      </c>
      <c r="D89">
        <v>85</v>
      </c>
      <c r="E89">
        <v>90</v>
      </c>
      <c r="G89" s="3">
        <v>41487</v>
      </c>
      <c r="H89" s="3">
        <v>41487</v>
      </c>
      <c r="I89" s="3">
        <v>41760</v>
      </c>
    </row>
    <row r="90" spans="1:9" x14ac:dyDescent="0.25">
      <c r="A90" t="s">
        <v>81</v>
      </c>
      <c r="B90">
        <v>300</v>
      </c>
      <c r="C90">
        <v>620</v>
      </c>
      <c r="D90">
        <v>80</v>
      </c>
      <c r="E90">
        <v>85</v>
      </c>
      <c r="G90" s="3">
        <v>41487</v>
      </c>
      <c r="H90" s="3">
        <v>41487</v>
      </c>
      <c r="I90" s="3">
        <v>41760</v>
      </c>
    </row>
    <row r="91" spans="1:9" x14ac:dyDescent="0.25">
      <c r="A91" t="s">
        <v>81</v>
      </c>
      <c r="B91">
        <v>300</v>
      </c>
      <c r="C91">
        <v>620</v>
      </c>
      <c r="D91">
        <v>0</v>
      </c>
      <c r="E91">
        <v>80</v>
      </c>
      <c r="G91" s="3">
        <v>41487</v>
      </c>
      <c r="H91" s="3">
        <v>41487</v>
      </c>
      <c r="I91" s="3">
        <v>41760</v>
      </c>
    </row>
    <row r="92" spans="1:9" x14ac:dyDescent="0.25">
      <c r="A92" t="s">
        <v>83</v>
      </c>
      <c r="B92">
        <v>760</v>
      </c>
      <c r="C92">
        <v>999</v>
      </c>
      <c r="D92">
        <v>97</v>
      </c>
      <c r="E92">
        <v>999</v>
      </c>
      <c r="G92" s="3">
        <v>41487</v>
      </c>
      <c r="H92" s="3">
        <v>41487</v>
      </c>
      <c r="I92" s="3">
        <v>41760</v>
      </c>
    </row>
    <row r="93" spans="1:9" x14ac:dyDescent="0.25">
      <c r="A93" t="s">
        <v>83</v>
      </c>
      <c r="B93">
        <v>760</v>
      </c>
      <c r="C93">
        <v>999</v>
      </c>
      <c r="D93">
        <v>95</v>
      </c>
      <c r="E93">
        <v>97</v>
      </c>
      <c r="F93">
        <v>110</v>
      </c>
      <c r="G93" s="3">
        <v>41487</v>
      </c>
      <c r="H93" s="3">
        <v>41487</v>
      </c>
      <c r="I93" s="3">
        <v>41760</v>
      </c>
    </row>
    <row r="94" spans="1:9" x14ac:dyDescent="0.25">
      <c r="A94" t="s">
        <v>83</v>
      </c>
      <c r="B94">
        <v>760</v>
      </c>
      <c r="C94">
        <v>999</v>
      </c>
      <c r="D94">
        <v>90</v>
      </c>
      <c r="E94">
        <v>95</v>
      </c>
      <c r="F94">
        <v>59</v>
      </c>
      <c r="G94" s="3">
        <v>41487</v>
      </c>
      <c r="H94" s="3">
        <v>41487</v>
      </c>
      <c r="I94" s="3">
        <v>41760</v>
      </c>
    </row>
    <row r="95" spans="1:9" x14ac:dyDescent="0.25">
      <c r="A95" t="s">
        <v>83</v>
      </c>
      <c r="B95">
        <v>760</v>
      </c>
      <c r="C95">
        <v>999</v>
      </c>
      <c r="D95">
        <v>85</v>
      </c>
      <c r="E95">
        <v>90</v>
      </c>
      <c r="F95">
        <v>44</v>
      </c>
      <c r="G95" s="3">
        <v>41487</v>
      </c>
      <c r="H95" s="3">
        <v>41487</v>
      </c>
      <c r="I95" s="3">
        <v>41760</v>
      </c>
    </row>
    <row r="96" spans="1:9" x14ac:dyDescent="0.25">
      <c r="A96" t="s">
        <v>83</v>
      </c>
      <c r="B96">
        <v>760</v>
      </c>
      <c r="C96">
        <v>999</v>
      </c>
      <c r="D96">
        <v>80</v>
      </c>
      <c r="E96">
        <v>85</v>
      </c>
      <c r="F96">
        <v>28</v>
      </c>
      <c r="G96" s="3">
        <v>41487</v>
      </c>
      <c r="H96" s="3">
        <v>41487</v>
      </c>
      <c r="I96" s="3">
        <v>41760</v>
      </c>
    </row>
    <row r="97" spans="1:9" x14ac:dyDescent="0.25">
      <c r="A97" t="s">
        <v>83</v>
      </c>
      <c r="B97">
        <v>760</v>
      </c>
      <c r="C97">
        <v>999</v>
      </c>
      <c r="D97">
        <v>0</v>
      </c>
      <c r="E97">
        <v>80</v>
      </c>
      <c r="F97">
        <v>0</v>
      </c>
      <c r="G97" s="3">
        <v>41487</v>
      </c>
      <c r="H97" s="3">
        <v>41487</v>
      </c>
      <c r="I97" s="3">
        <v>41760</v>
      </c>
    </row>
    <row r="98" spans="1:9" x14ac:dyDescent="0.25">
      <c r="A98" t="s">
        <v>83</v>
      </c>
      <c r="B98">
        <v>720</v>
      </c>
      <c r="C98">
        <v>760</v>
      </c>
      <c r="D98">
        <v>97</v>
      </c>
      <c r="E98">
        <v>999</v>
      </c>
      <c r="G98" s="3">
        <v>41487</v>
      </c>
      <c r="H98" s="3">
        <v>41487</v>
      </c>
      <c r="I98" s="3">
        <v>41760</v>
      </c>
    </row>
    <row r="99" spans="1:9" x14ac:dyDescent="0.25">
      <c r="A99" t="s">
        <v>83</v>
      </c>
      <c r="B99">
        <v>720</v>
      </c>
      <c r="C99">
        <v>760</v>
      </c>
      <c r="D99">
        <v>95</v>
      </c>
      <c r="E99">
        <v>97</v>
      </c>
      <c r="F99">
        <v>115</v>
      </c>
      <c r="G99" s="3">
        <v>41487</v>
      </c>
      <c r="H99" s="3">
        <v>41487</v>
      </c>
      <c r="I99" s="3">
        <v>41760</v>
      </c>
    </row>
    <row r="100" spans="1:9" x14ac:dyDescent="0.25">
      <c r="A100" t="s">
        <v>83</v>
      </c>
      <c r="B100">
        <v>720</v>
      </c>
      <c r="C100">
        <v>760</v>
      </c>
      <c r="D100">
        <v>90</v>
      </c>
      <c r="E100">
        <v>95</v>
      </c>
      <c r="F100">
        <v>67</v>
      </c>
      <c r="G100" s="3">
        <v>41487</v>
      </c>
      <c r="H100" s="3">
        <v>41487</v>
      </c>
      <c r="I100" s="3">
        <v>41760</v>
      </c>
    </row>
    <row r="101" spans="1:9" x14ac:dyDescent="0.25">
      <c r="A101" t="s">
        <v>83</v>
      </c>
      <c r="B101">
        <v>720</v>
      </c>
      <c r="C101">
        <v>760</v>
      </c>
      <c r="D101">
        <v>85</v>
      </c>
      <c r="E101">
        <v>90</v>
      </c>
      <c r="F101">
        <v>49</v>
      </c>
      <c r="G101" s="3">
        <v>41487</v>
      </c>
      <c r="H101" s="3">
        <v>41487</v>
      </c>
      <c r="I101" s="3">
        <v>41760</v>
      </c>
    </row>
    <row r="102" spans="1:9" x14ac:dyDescent="0.25">
      <c r="A102" t="s">
        <v>83</v>
      </c>
      <c r="B102">
        <v>720</v>
      </c>
      <c r="C102">
        <v>760</v>
      </c>
      <c r="D102">
        <v>80</v>
      </c>
      <c r="E102">
        <v>85</v>
      </c>
      <c r="F102">
        <v>32</v>
      </c>
      <c r="G102" s="3">
        <v>41487</v>
      </c>
      <c r="H102" s="3">
        <v>41487</v>
      </c>
      <c r="I102" s="3">
        <v>41760</v>
      </c>
    </row>
    <row r="103" spans="1:9" x14ac:dyDescent="0.25">
      <c r="A103" t="s">
        <v>83</v>
      </c>
      <c r="B103">
        <v>720</v>
      </c>
      <c r="C103">
        <v>760</v>
      </c>
      <c r="D103">
        <v>0</v>
      </c>
      <c r="E103">
        <v>80</v>
      </c>
      <c r="F103">
        <v>0</v>
      </c>
      <c r="G103" s="3">
        <v>41487</v>
      </c>
      <c r="H103" s="3">
        <v>41487</v>
      </c>
      <c r="I103" s="3">
        <v>41760</v>
      </c>
    </row>
    <row r="104" spans="1:9" x14ac:dyDescent="0.25">
      <c r="A104" t="s">
        <v>83</v>
      </c>
      <c r="B104">
        <v>680</v>
      </c>
      <c r="C104">
        <v>720</v>
      </c>
      <c r="D104">
        <v>97</v>
      </c>
      <c r="E104">
        <v>999</v>
      </c>
      <c r="G104" s="3">
        <v>41487</v>
      </c>
      <c r="H104" s="3">
        <v>41487</v>
      </c>
      <c r="I104" s="3">
        <v>41760</v>
      </c>
    </row>
    <row r="105" spans="1:9" x14ac:dyDescent="0.25">
      <c r="A105" t="s">
        <v>83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3">
        <v>41487</v>
      </c>
      <c r="H105" s="3">
        <v>41487</v>
      </c>
      <c r="I105" s="3">
        <v>41760</v>
      </c>
    </row>
    <row r="106" spans="1:9" x14ac:dyDescent="0.25">
      <c r="A106" t="s">
        <v>83</v>
      </c>
      <c r="B106">
        <v>680</v>
      </c>
      <c r="C106">
        <v>720</v>
      </c>
      <c r="D106">
        <v>90</v>
      </c>
      <c r="E106">
        <v>95</v>
      </c>
      <c r="F106">
        <v>94</v>
      </c>
      <c r="G106" s="3">
        <v>41487</v>
      </c>
      <c r="H106" s="3">
        <v>41487</v>
      </c>
      <c r="I106" s="3">
        <v>41760</v>
      </c>
    </row>
    <row r="107" spans="1:9" x14ac:dyDescent="0.25">
      <c r="A107" t="s">
        <v>83</v>
      </c>
      <c r="B107">
        <v>680</v>
      </c>
      <c r="C107">
        <v>720</v>
      </c>
      <c r="D107">
        <v>85</v>
      </c>
      <c r="E107">
        <v>90</v>
      </c>
      <c r="F107">
        <v>62</v>
      </c>
      <c r="G107" s="3">
        <v>41487</v>
      </c>
      <c r="H107" s="3">
        <v>41487</v>
      </c>
      <c r="I107" s="3">
        <v>41760</v>
      </c>
    </row>
    <row r="108" spans="1:9" x14ac:dyDescent="0.25">
      <c r="A108" t="s">
        <v>83</v>
      </c>
      <c r="B108">
        <v>680</v>
      </c>
      <c r="C108">
        <v>720</v>
      </c>
      <c r="D108">
        <v>80</v>
      </c>
      <c r="E108">
        <v>85</v>
      </c>
      <c r="F108">
        <v>38</v>
      </c>
      <c r="G108" s="3">
        <v>41487</v>
      </c>
      <c r="H108" s="3">
        <v>41487</v>
      </c>
      <c r="I108" s="3">
        <v>41760</v>
      </c>
    </row>
    <row r="109" spans="1:9" x14ac:dyDescent="0.25">
      <c r="A109" t="s">
        <v>83</v>
      </c>
      <c r="B109">
        <v>680</v>
      </c>
      <c r="C109">
        <v>720</v>
      </c>
      <c r="D109">
        <v>0</v>
      </c>
      <c r="E109">
        <v>80</v>
      </c>
      <c r="F109">
        <v>0</v>
      </c>
      <c r="G109" s="3">
        <v>41487</v>
      </c>
      <c r="H109" s="3">
        <v>41487</v>
      </c>
      <c r="I109" s="3">
        <v>41760</v>
      </c>
    </row>
    <row r="110" spans="1:9" x14ac:dyDescent="0.25">
      <c r="A110" t="s">
        <v>83</v>
      </c>
      <c r="B110">
        <v>620</v>
      </c>
      <c r="C110">
        <v>680</v>
      </c>
      <c r="D110">
        <v>97</v>
      </c>
      <c r="E110">
        <v>999</v>
      </c>
      <c r="G110" s="3">
        <v>41487</v>
      </c>
      <c r="H110" s="3">
        <v>41487</v>
      </c>
      <c r="I110" s="3">
        <v>41760</v>
      </c>
    </row>
    <row r="111" spans="1:9" x14ac:dyDescent="0.25">
      <c r="A111" t="s">
        <v>83</v>
      </c>
      <c r="B111">
        <v>620</v>
      </c>
      <c r="C111">
        <v>680</v>
      </c>
      <c r="D111">
        <v>95</v>
      </c>
      <c r="E111">
        <v>97</v>
      </c>
      <c r="F111" s="7">
        <v>153</v>
      </c>
      <c r="G111" s="3">
        <v>41487</v>
      </c>
      <c r="H111" s="3">
        <v>41487</v>
      </c>
      <c r="I111" s="3">
        <v>41760</v>
      </c>
    </row>
    <row r="112" spans="1:9" x14ac:dyDescent="0.25">
      <c r="A112" t="s">
        <v>83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3">
        <v>41487</v>
      </c>
      <c r="H112" s="3">
        <v>41487</v>
      </c>
      <c r="I112" s="3">
        <v>41760</v>
      </c>
    </row>
    <row r="113" spans="1:19" x14ac:dyDescent="0.25">
      <c r="A113" t="s">
        <v>83</v>
      </c>
      <c r="B113">
        <v>620</v>
      </c>
      <c r="C113">
        <v>680</v>
      </c>
      <c r="D113">
        <v>85</v>
      </c>
      <c r="E113">
        <v>90</v>
      </c>
      <c r="F113">
        <v>76</v>
      </c>
      <c r="G113" s="3">
        <v>41487</v>
      </c>
      <c r="H113" s="3">
        <v>41487</v>
      </c>
      <c r="I113" s="3">
        <v>41760</v>
      </c>
    </row>
    <row r="114" spans="1:19" x14ac:dyDescent="0.25">
      <c r="A114" t="s">
        <v>83</v>
      </c>
      <c r="B114">
        <v>620</v>
      </c>
      <c r="C114">
        <v>680</v>
      </c>
      <c r="D114">
        <v>80</v>
      </c>
      <c r="E114">
        <v>85</v>
      </c>
      <c r="F114">
        <v>44</v>
      </c>
      <c r="G114" s="3">
        <v>41487</v>
      </c>
      <c r="H114" s="3">
        <v>41487</v>
      </c>
      <c r="I114" s="3">
        <v>41760</v>
      </c>
    </row>
    <row r="115" spans="1:19" x14ac:dyDescent="0.25">
      <c r="A115" t="s">
        <v>83</v>
      </c>
      <c r="B115">
        <v>620</v>
      </c>
      <c r="C115">
        <v>680</v>
      </c>
      <c r="D115">
        <v>0</v>
      </c>
      <c r="E115">
        <v>80</v>
      </c>
      <c r="F115">
        <v>0</v>
      </c>
      <c r="G115" s="3">
        <v>41487</v>
      </c>
      <c r="H115" s="3">
        <v>41487</v>
      </c>
      <c r="I115" s="3">
        <v>41760</v>
      </c>
    </row>
    <row r="116" spans="1:19" x14ac:dyDescent="0.25">
      <c r="A116" t="s">
        <v>83</v>
      </c>
      <c r="B116">
        <v>300</v>
      </c>
      <c r="C116">
        <v>620</v>
      </c>
      <c r="D116">
        <v>97</v>
      </c>
      <c r="E116">
        <v>999</v>
      </c>
      <c r="G116" s="3">
        <v>41487</v>
      </c>
      <c r="H116" s="3">
        <v>41487</v>
      </c>
      <c r="I116" s="3">
        <v>41760</v>
      </c>
    </row>
    <row r="117" spans="1:19" x14ac:dyDescent="0.25">
      <c r="A117" t="s">
        <v>83</v>
      </c>
      <c r="B117">
        <v>300</v>
      </c>
      <c r="C117">
        <v>620</v>
      </c>
      <c r="D117">
        <v>95</v>
      </c>
      <c r="E117">
        <v>97</v>
      </c>
      <c r="G117" s="3">
        <v>41487</v>
      </c>
      <c r="H117" s="3">
        <v>41487</v>
      </c>
      <c r="I117" s="3">
        <v>41760</v>
      </c>
    </row>
    <row r="118" spans="1:19" x14ac:dyDescent="0.25">
      <c r="A118" t="s">
        <v>83</v>
      </c>
      <c r="B118">
        <v>300</v>
      </c>
      <c r="C118">
        <v>620</v>
      </c>
      <c r="D118">
        <v>90</v>
      </c>
      <c r="E118">
        <v>95</v>
      </c>
      <c r="G118" s="3">
        <v>41487</v>
      </c>
      <c r="H118" s="3">
        <v>41487</v>
      </c>
      <c r="I118" s="3">
        <v>41760</v>
      </c>
    </row>
    <row r="119" spans="1:19" x14ac:dyDescent="0.25">
      <c r="A119" t="s">
        <v>83</v>
      </c>
      <c r="B119">
        <v>300</v>
      </c>
      <c r="C119">
        <v>620</v>
      </c>
      <c r="D119">
        <v>85</v>
      </c>
      <c r="E119">
        <v>90</v>
      </c>
      <c r="G119" s="3">
        <v>41487</v>
      </c>
      <c r="H119" s="3">
        <v>41487</v>
      </c>
      <c r="I119" s="3">
        <v>41760</v>
      </c>
    </row>
    <row r="120" spans="1:19" x14ac:dyDescent="0.25">
      <c r="A120" t="s">
        <v>83</v>
      </c>
      <c r="B120">
        <v>300</v>
      </c>
      <c r="C120">
        <v>620</v>
      </c>
      <c r="D120">
        <v>80</v>
      </c>
      <c r="E120">
        <v>85</v>
      </c>
      <c r="G120" s="3">
        <v>41487</v>
      </c>
      <c r="H120" s="3">
        <v>41487</v>
      </c>
      <c r="I120" s="3">
        <v>41760</v>
      </c>
    </row>
    <row r="121" spans="1:19" x14ac:dyDescent="0.25">
      <c r="A121" t="s">
        <v>83</v>
      </c>
      <c r="B121">
        <v>300</v>
      </c>
      <c r="C121">
        <v>620</v>
      </c>
      <c r="D121">
        <v>0</v>
      </c>
      <c r="E121">
        <v>80</v>
      </c>
      <c r="G121" s="3">
        <v>41487</v>
      </c>
      <c r="H121" s="3">
        <v>41487</v>
      </c>
      <c r="I121" s="3">
        <v>41760</v>
      </c>
    </row>
    <row r="122" spans="1:19" x14ac:dyDescent="0.25">
      <c r="A122" t="s">
        <v>81</v>
      </c>
      <c r="B122">
        <v>760</v>
      </c>
      <c r="C122">
        <v>999</v>
      </c>
      <c r="D122">
        <v>97</v>
      </c>
      <c r="E122">
        <v>999</v>
      </c>
      <c r="G122" s="3">
        <v>41395</v>
      </c>
      <c r="H122" s="3">
        <v>41395</v>
      </c>
      <c r="I122" s="3">
        <v>41487</v>
      </c>
      <c r="M122" t="s">
        <v>41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  <c r="S122" s="3">
        <v>41395</v>
      </c>
    </row>
    <row r="123" spans="1:19" x14ac:dyDescent="0.25">
      <c r="A123" t="s">
        <v>81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3">
        <v>41395</v>
      </c>
      <c r="H123" s="3">
        <v>41395</v>
      </c>
      <c r="I123" s="3">
        <v>41487</v>
      </c>
      <c r="M123" s="1" t="s">
        <v>15</v>
      </c>
      <c r="N123">
        <v>110</v>
      </c>
      <c r="O123">
        <v>115</v>
      </c>
      <c r="P123">
        <v>136</v>
      </c>
      <c r="Q123" s="2" t="s">
        <v>34</v>
      </c>
      <c r="R123" s="2" t="s">
        <v>34</v>
      </c>
    </row>
    <row r="124" spans="1:19" x14ac:dyDescent="0.25">
      <c r="A124" t="s">
        <v>81</v>
      </c>
      <c r="B124">
        <v>760</v>
      </c>
      <c r="C124">
        <v>999</v>
      </c>
      <c r="D124">
        <v>90</v>
      </c>
      <c r="E124">
        <v>95</v>
      </c>
      <c r="F124">
        <v>64</v>
      </c>
      <c r="G124" s="3">
        <v>41395</v>
      </c>
      <c r="H124" s="3">
        <v>41395</v>
      </c>
      <c r="I124" s="3">
        <v>41487</v>
      </c>
      <c r="M124" t="s">
        <v>16</v>
      </c>
      <c r="N124">
        <v>59</v>
      </c>
      <c r="O124">
        <v>67</v>
      </c>
      <c r="P124">
        <v>94</v>
      </c>
      <c r="Q124">
        <v>120</v>
      </c>
      <c r="R124" s="2" t="s">
        <v>34</v>
      </c>
    </row>
    <row r="125" spans="1:19" x14ac:dyDescent="0.25">
      <c r="A125" t="s">
        <v>81</v>
      </c>
      <c r="B125">
        <v>760</v>
      </c>
      <c r="C125">
        <v>999</v>
      </c>
      <c r="D125">
        <v>85</v>
      </c>
      <c r="E125">
        <v>90</v>
      </c>
      <c r="F125">
        <v>49</v>
      </c>
      <c r="G125" s="3">
        <v>41395</v>
      </c>
      <c r="H125" s="3">
        <v>41395</v>
      </c>
      <c r="I125" s="3">
        <v>41487</v>
      </c>
      <c r="M125" t="s">
        <v>17</v>
      </c>
      <c r="N125">
        <v>44</v>
      </c>
      <c r="O125">
        <v>49</v>
      </c>
      <c r="P125">
        <v>62</v>
      </c>
      <c r="Q125">
        <v>76</v>
      </c>
      <c r="R125" s="2" t="s">
        <v>34</v>
      </c>
    </row>
    <row r="126" spans="1:19" x14ac:dyDescent="0.25">
      <c r="A126" t="s">
        <v>81</v>
      </c>
      <c r="B126">
        <v>760</v>
      </c>
      <c r="C126">
        <v>999</v>
      </c>
      <c r="D126">
        <v>80</v>
      </c>
      <c r="E126">
        <v>85</v>
      </c>
      <c r="F126">
        <v>33</v>
      </c>
      <c r="G126" s="3">
        <v>41395</v>
      </c>
      <c r="H126" s="3">
        <v>41395</v>
      </c>
      <c r="I126" s="3">
        <v>41487</v>
      </c>
      <c r="M126" t="s">
        <v>18</v>
      </c>
      <c r="N126">
        <v>28</v>
      </c>
      <c r="O126">
        <v>32</v>
      </c>
      <c r="P126">
        <v>38</v>
      </c>
      <c r="Q126">
        <v>44</v>
      </c>
      <c r="R126" s="2" t="s">
        <v>34</v>
      </c>
    </row>
    <row r="127" spans="1:19" x14ac:dyDescent="0.25">
      <c r="A127" t="s">
        <v>81</v>
      </c>
      <c r="B127">
        <v>760</v>
      </c>
      <c r="C127">
        <v>999</v>
      </c>
      <c r="D127">
        <v>0</v>
      </c>
      <c r="E127">
        <v>80</v>
      </c>
      <c r="F127">
        <v>0</v>
      </c>
      <c r="G127" s="3">
        <v>41395</v>
      </c>
      <c r="H127" s="3">
        <v>41395</v>
      </c>
      <c r="I127" s="3">
        <v>41487</v>
      </c>
      <c r="M127" t="s">
        <v>21</v>
      </c>
      <c r="N127">
        <v>0</v>
      </c>
      <c r="O127">
        <v>0</v>
      </c>
      <c r="P127">
        <v>0</v>
      </c>
      <c r="Q127">
        <v>0</v>
      </c>
      <c r="R127" s="2" t="s">
        <v>34</v>
      </c>
    </row>
    <row r="128" spans="1:19" x14ac:dyDescent="0.25">
      <c r="A128" t="s">
        <v>81</v>
      </c>
      <c r="B128">
        <v>720</v>
      </c>
      <c r="C128">
        <v>760</v>
      </c>
      <c r="D128">
        <v>97</v>
      </c>
      <c r="E128">
        <v>999</v>
      </c>
      <c r="G128" s="3">
        <v>41395</v>
      </c>
      <c r="H128" s="3">
        <v>41395</v>
      </c>
      <c r="I128" s="3">
        <v>41487</v>
      </c>
    </row>
    <row r="129" spans="1:19" x14ac:dyDescent="0.25">
      <c r="A129" t="s">
        <v>81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3">
        <v>41395</v>
      </c>
      <c r="H129" s="3">
        <v>41395</v>
      </c>
      <c r="I129" s="3">
        <v>41487</v>
      </c>
      <c r="M129" t="s">
        <v>40</v>
      </c>
      <c r="N129" t="s">
        <v>11</v>
      </c>
      <c r="O129" t="s">
        <v>12</v>
      </c>
      <c r="P129" t="s">
        <v>13</v>
      </c>
      <c r="Q129" t="s">
        <v>14</v>
      </c>
      <c r="R129" t="s">
        <v>19</v>
      </c>
      <c r="S129" s="3">
        <v>41395</v>
      </c>
    </row>
    <row r="130" spans="1:19" x14ac:dyDescent="0.25">
      <c r="A130" t="s">
        <v>81</v>
      </c>
      <c r="B130">
        <v>720</v>
      </c>
      <c r="C130">
        <v>760</v>
      </c>
      <c r="D130">
        <v>90</v>
      </c>
      <c r="E130">
        <v>95</v>
      </c>
      <c r="F130">
        <v>77</v>
      </c>
      <c r="G130" s="3">
        <v>41395</v>
      </c>
      <c r="H130" s="3">
        <v>41395</v>
      </c>
      <c r="I130" s="3">
        <v>41487</v>
      </c>
      <c r="M130" s="1" t="s">
        <v>15</v>
      </c>
      <c r="N130">
        <f>N123+5</f>
        <v>115</v>
      </c>
      <c r="O130">
        <f>O123+10</f>
        <v>125</v>
      </c>
      <c r="P130">
        <f>P123+15</f>
        <v>151</v>
      </c>
      <c r="Q130" s="2" t="s">
        <v>34</v>
      </c>
      <c r="R130" s="2" t="s">
        <v>34</v>
      </c>
    </row>
    <row r="131" spans="1:19" x14ac:dyDescent="0.25">
      <c r="A131" t="s">
        <v>81</v>
      </c>
      <c r="B131">
        <v>720</v>
      </c>
      <c r="C131">
        <v>760</v>
      </c>
      <c r="D131">
        <v>85</v>
      </c>
      <c r="E131">
        <v>90</v>
      </c>
      <c r="F131">
        <v>59</v>
      </c>
      <c r="G131" s="3">
        <v>41395</v>
      </c>
      <c r="H131" s="3">
        <v>41395</v>
      </c>
      <c r="I131" s="3">
        <v>41487</v>
      </c>
      <c r="M131" t="s">
        <v>16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2" t="s">
        <v>34</v>
      </c>
    </row>
    <row r="132" spans="1:19" x14ac:dyDescent="0.25">
      <c r="A132" t="s">
        <v>81</v>
      </c>
      <c r="B132">
        <v>720</v>
      </c>
      <c r="C132">
        <v>760</v>
      </c>
      <c r="D132">
        <v>80</v>
      </c>
      <c r="E132">
        <v>85</v>
      </c>
      <c r="F132">
        <v>42</v>
      </c>
      <c r="G132" s="3">
        <v>41395</v>
      </c>
      <c r="H132" s="3">
        <v>41395</v>
      </c>
      <c r="I132" s="3">
        <v>41487</v>
      </c>
      <c r="M132" t="s">
        <v>17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2" t="s">
        <v>34</v>
      </c>
    </row>
    <row r="133" spans="1:19" x14ac:dyDescent="0.25">
      <c r="A133" t="s">
        <v>81</v>
      </c>
      <c r="B133">
        <v>720</v>
      </c>
      <c r="C133">
        <v>760</v>
      </c>
      <c r="D133">
        <v>0</v>
      </c>
      <c r="E133">
        <v>80</v>
      </c>
      <c r="F133">
        <v>0</v>
      </c>
      <c r="G133" s="3">
        <v>41395</v>
      </c>
      <c r="H133" s="3">
        <v>41395</v>
      </c>
      <c r="I133" s="3">
        <v>41487</v>
      </c>
      <c r="M133" t="s">
        <v>18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2" t="s">
        <v>34</v>
      </c>
    </row>
    <row r="134" spans="1:19" x14ac:dyDescent="0.25">
      <c r="A134" t="s">
        <v>81</v>
      </c>
      <c r="B134">
        <v>680</v>
      </c>
      <c r="C134">
        <v>720</v>
      </c>
      <c r="D134">
        <v>97</v>
      </c>
      <c r="E134">
        <v>999</v>
      </c>
      <c r="G134" s="3">
        <v>41395</v>
      </c>
      <c r="H134" s="3">
        <v>41395</v>
      </c>
      <c r="I134" s="3">
        <v>41487</v>
      </c>
      <c r="M134" t="s">
        <v>21</v>
      </c>
      <c r="N134">
        <v>0</v>
      </c>
      <c r="O134">
        <v>0</v>
      </c>
      <c r="P134">
        <v>0</v>
      </c>
      <c r="Q134">
        <v>0</v>
      </c>
      <c r="R134" s="2" t="s">
        <v>34</v>
      </c>
    </row>
    <row r="135" spans="1:19" x14ac:dyDescent="0.25">
      <c r="A135" t="s">
        <v>81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3">
        <v>41395</v>
      </c>
      <c r="H135" s="3">
        <v>41395</v>
      </c>
      <c r="I135" s="3">
        <v>41487</v>
      </c>
    </row>
    <row r="136" spans="1:19" x14ac:dyDescent="0.25">
      <c r="A136" t="s">
        <v>81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3">
        <v>41395</v>
      </c>
      <c r="H136" s="3">
        <v>41395</v>
      </c>
      <c r="I136" s="3">
        <v>41487</v>
      </c>
    </row>
    <row r="137" spans="1:19" x14ac:dyDescent="0.25">
      <c r="A137" t="s">
        <v>81</v>
      </c>
      <c r="B137">
        <v>680</v>
      </c>
      <c r="C137">
        <v>720</v>
      </c>
      <c r="D137">
        <v>85</v>
      </c>
      <c r="E137">
        <v>90</v>
      </c>
      <c r="F137">
        <v>77</v>
      </c>
      <c r="G137" s="3">
        <v>41395</v>
      </c>
      <c r="H137" s="3">
        <v>41395</v>
      </c>
      <c r="I137" s="3">
        <v>41487</v>
      </c>
    </row>
    <row r="138" spans="1:19" x14ac:dyDescent="0.25">
      <c r="A138" t="s">
        <v>81</v>
      </c>
      <c r="B138">
        <v>680</v>
      </c>
      <c r="C138">
        <v>720</v>
      </c>
      <c r="D138">
        <v>80</v>
      </c>
      <c r="E138">
        <v>85</v>
      </c>
      <c r="F138">
        <v>53</v>
      </c>
      <c r="G138" s="3">
        <v>41395</v>
      </c>
      <c r="H138" s="3">
        <v>41395</v>
      </c>
      <c r="I138" s="3">
        <v>41487</v>
      </c>
    </row>
    <row r="139" spans="1:19" x14ac:dyDescent="0.25">
      <c r="A139" t="s">
        <v>81</v>
      </c>
      <c r="B139">
        <v>680</v>
      </c>
      <c r="C139">
        <v>720</v>
      </c>
      <c r="D139">
        <v>0</v>
      </c>
      <c r="E139">
        <v>80</v>
      </c>
      <c r="F139">
        <v>0</v>
      </c>
      <c r="G139" s="3">
        <v>41395</v>
      </c>
      <c r="H139" s="3">
        <v>41395</v>
      </c>
      <c r="I139" s="3">
        <v>41487</v>
      </c>
    </row>
    <row r="140" spans="1:19" x14ac:dyDescent="0.25">
      <c r="A140" t="s">
        <v>81</v>
      </c>
      <c r="B140">
        <v>620</v>
      </c>
      <c r="C140">
        <v>680</v>
      </c>
      <c r="D140">
        <v>97</v>
      </c>
      <c r="E140">
        <v>999</v>
      </c>
      <c r="G140" s="3">
        <v>41395</v>
      </c>
      <c r="H140" s="3">
        <v>41395</v>
      </c>
      <c r="I140" s="3">
        <v>41487</v>
      </c>
    </row>
    <row r="141" spans="1:19" x14ac:dyDescent="0.25">
      <c r="A141" t="s">
        <v>81</v>
      </c>
      <c r="B141">
        <v>620</v>
      </c>
      <c r="C141">
        <v>680</v>
      </c>
      <c r="D141">
        <v>95</v>
      </c>
      <c r="E141">
        <v>97</v>
      </c>
      <c r="G141" s="3">
        <v>41395</v>
      </c>
      <c r="H141" s="3">
        <v>41395</v>
      </c>
      <c r="I141" s="3">
        <v>41487</v>
      </c>
    </row>
    <row r="142" spans="1:19" x14ac:dyDescent="0.25">
      <c r="A142" t="s">
        <v>81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3">
        <v>41395</v>
      </c>
      <c r="H142" s="3">
        <v>41395</v>
      </c>
      <c r="I142" s="3">
        <v>41487</v>
      </c>
    </row>
    <row r="143" spans="1:19" x14ac:dyDescent="0.25">
      <c r="A143" t="s">
        <v>81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3">
        <v>41395</v>
      </c>
      <c r="H143" s="3">
        <v>41395</v>
      </c>
      <c r="I143" s="3">
        <v>41487</v>
      </c>
    </row>
    <row r="144" spans="1:19" x14ac:dyDescent="0.25">
      <c r="A144" t="s">
        <v>81</v>
      </c>
      <c r="B144">
        <v>620</v>
      </c>
      <c r="C144">
        <v>680</v>
      </c>
      <c r="D144">
        <v>80</v>
      </c>
      <c r="E144">
        <v>85</v>
      </c>
      <c r="F144">
        <v>74</v>
      </c>
      <c r="G144" s="3">
        <v>41395</v>
      </c>
      <c r="H144" s="3">
        <v>41395</v>
      </c>
      <c r="I144" s="3">
        <v>41487</v>
      </c>
    </row>
    <row r="145" spans="1:9" x14ac:dyDescent="0.25">
      <c r="A145" t="s">
        <v>81</v>
      </c>
      <c r="B145">
        <v>620</v>
      </c>
      <c r="C145">
        <v>680</v>
      </c>
      <c r="D145">
        <v>0</v>
      </c>
      <c r="E145">
        <v>80</v>
      </c>
      <c r="F145">
        <v>0</v>
      </c>
      <c r="G145" s="3">
        <v>41395</v>
      </c>
      <c r="H145" s="3">
        <v>41395</v>
      </c>
      <c r="I145" s="3">
        <v>41487</v>
      </c>
    </row>
    <row r="146" spans="1:9" x14ac:dyDescent="0.25">
      <c r="A146" t="s">
        <v>81</v>
      </c>
      <c r="B146">
        <v>300</v>
      </c>
      <c r="C146">
        <v>620</v>
      </c>
      <c r="D146">
        <v>97</v>
      </c>
      <c r="E146">
        <v>999</v>
      </c>
      <c r="G146" s="3">
        <v>41395</v>
      </c>
      <c r="H146" s="3">
        <v>41395</v>
      </c>
      <c r="I146" s="3">
        <v>41487</v>
      </c>
    </row>
    <row r="147" spans="1:9" x14ac:dyDescent="0.25">
      <c r="A147" t="s">
        <v>81</v>
      </c>
      <c r="B147">
        <v>300</v>
      </c>
      <c r="C147">
        <v>620</v>
      </c>
      <c r="D147">
        <v>95</v>
      </c>
      <c r="E147">
        <v>97</v>
      </c>
      <c r="G147" s="3">
        <v>41395</v>
      </c>
      <c r="H147" s="3">
        <v>41395</v>
      </c>
      <c r="I147" s="3">
        <v>41487</v>
      </c>
    </row>
    <row r="148" spans="1:9" x14ac:dyDescent="0.25">
      <c r="A148" t="s">
        <v>81</v>
      </c>
      <c r="B148">
        <v>300</v>
      </c>
      <c r="C148">
        <v>620</v>
      </c>
      <c r="D148">
        <v>90</v>
      </c>
      <c r="E148">
        <v>95</v>
      </c>
      <c r="G148" s="3">
        <v>41395</v>
      </c>
      <c r="H148" s="3">
        <v>41395</v>
      </c>
      <c r="I148" s="3">
        <v>41487</v>
      </c>
    </row>
    <row r="149" spans="1:9" x14ac:dyDescent="0.25">
      <c r="A149" t="s">
        <v>81</v>
      </c>
      <c r="B149">
        <v>300</v>
      </c>
      <c r="C149">
        <v>620</v>
      </c>
      <c r="D149">
        <v>85</v>
      </c>
      <c r="E149">
        <v>90</v>
      </c>
      <c r="G149" s="3">
        <v>41395</v>
      </c>
      <c r="H149" s="3">
        <v>41395</v>
      </c>
      <c r="I149" s="3">
        <v>41487</v>
      </c>
    </row>
    <row r="150" spans="1:9" x14ac:dyDescent="0.25">
      <c r="A150" t="s">
        <v>81</v>
      </c>
      <c r="B150">
        <v>300</v>
      </c>
      <c r="C150">
        <v>620</v>
      </c>
      <c r="D150">
        <v>80</v>
      </c>
      <c r="E150">
        <v>85</v>
      </c>
      <c r="G150" s="3">
        <v>41395</v>
      </c>
      <c r="H150" s="3">
        <v>41395</v>
      </c>
      <c r="I150" s="3">
        <v>41487</v>
      </c>
    </row>
    <row r="151" spans="1:9" x14ac:dyDescent="0.25">
      <c r="A151" t="s">
        <v>81</v>
      </c>
      <c r="B151">
        <v>300</v>
      </c>
      <c r="C151">
        <v>620</v>
      </c>
      <c r="D151">
        <v>0</v>
      </c>
      <c r="E151">
        <v>80</v>
      </c>
      <c r="G151" s="3">
        <v>41395</v>
      </c>
      <c r="H151" s="3">
        <v>41395</v>
      </c>
      <c r="I151" s="3">
        <v>41487</v>
      </c>
    </row>
    <row r="152" spans="1:9" x14ac:dyDescent="0.25">
      <c r="A152" t="s">
        <v>83</v>
      </c>
      <c r="B152">
        <v>760</v>
      </c>
      <c r="C152">
        <v>999</v>
      </c>
      <c r="D152">
        <v>97</v>
      </c>
      <c r="E152">
        <v>999</v>
      </c>
      <c r="G152" s="3">
        <v>41395</v>
      </c>
      <c r="H152" s="3">
        <v>41395</v>
      </c>
      <c r="I152" s="3">
        <v>41487</v>
      </c>
    </row>
    <row r="153" spans="1:9" x14ac:dyDescent="0.25">
      <c r="A153" t="s">
        <v>83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3">
        <v>41395</v>
      </c>
      <c r="H153" s="3">
        <v>41395</v>
      </c>
      <c r="I153" s="3">
        <v>41487</v>
      </c>
    </row>
    <row r="154" spans="1:9" x14ac:dyDescent="0.25">
      <c r="A154" t="s">
        <v>83</v>
      </c>
      <c r="B154">
        <v>760</v>
      </c>
      <c r="C154">
        <v>999</v>
      </c>
      <c r="D154">
        <v>90</v>
      </c>
      <c r="E154">
        <v>95</v>
      </c>
      <c r="F154">
        <v>59</v>
      </c>
      <c r="G154" s="3">
        <v>41395</v>
      </c>
      <c r="H154" s="3">
        <v>41395</v>
      </c>
      <c r="I154" s="3">
        <v>41487</v>
      </c>
    </row>
    <row r="155" spans="1:9" x14ac:dyDescent="0.25">
      <c r="A155" t="s">
        <v>83</v>
      </c>
      <c r="B155">
        <v>760</v>
      </c>
      <c r="C155">
        <v>999</v>
      </c>
      <c r="D155">
        <v>85</v>
      </c>
      <c r="E155">
        <v>90</v>
      </c>
      <c r="F155">
        <v>44</v>
      </c>
      <c r="G155" s="3">
        <v>41395</v>
      </c>
      <c r="H155" s="3">
        <v>41395</v>
      </c>
      <c r="I155" s="3">
        <v>41487</v>
      </c>
    </row>
    <row r="156" spans="1:9" x14ac:dyDescent="0.25">
      <c r="A156" t="s">
        <v>83</v>
      </c>
      <c r="B156">
        <v>760</v>
      </c>
      <c r="C156">
        <v>999</v>
      </c>
      <c r="D156">
        <v>80</v>
      </c>
      <c r="E156">
        <v>85</v>
      </c>
      <c r="F156">
        <v>28</v>
      </c>
      <c r="G156" s="3">
        <v>41395</v>
      </c>
      <c r="H156" s="3">
        <v>41395</v>
      </c>
      <c r="I156" s="3">
        <v>41487</v>
      </c>
    </row>
    <row r="157" spans="1:9" x14ac:dyDescent="0.25">
      <c r="A157" t="s">
        <v>83</v>
      </c>
      <c r="B157">
        <v>760</v>
      </c>
      <c r="C157">
        <v>999</v>
      </c>
      <c r="D157">
        <v>0</v>
      </c>
      <c r="E157">
        <v>80</v>
      </c>
      <c r="F157">
        <v>0</v>
      </c>
      <c r="G157" s="3">
        <v>41395</v>
      </c>
      <c r="H157" s="3">
        <v>41395</v>
      </c>
      <c r="I157" s="3">
        <v>41487</v>
      </c>
    </row>
    <row r="158" spans="1:9" x14ac:dyDescent="0.25">
      <c r="A158" t="s">
        <v>83</v>
      </c>
      <c r="B158">
        <v>720</v>
      </c>
      <c r="C158">
        <v>760</v>
      </c>
      <c r="D158">
        <v>97</v>
      </c>
      <c r="E158">
        <v>999</v>
      </c>
      <c r="G158" s="3">
        <v>41395</v>
      </c>
      <c r="H158" s="3">
        <v>41395</v>
      </c>
      <c r="I158" s="3">
        <v>41487</v>
      </c>
    </row>
    <row r="159" spans="1:9" x14ac:dyDescent="0.25">
      <c r="A159" t="s">
        <v>83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3">
        <v>41395</v>
      </c>
      <c r="H159" s="3">
        <v>41395</v>
      </c>
      <c r="I159" s="3">
        <v>41487</v>
      </c>
    </row>
    <row r="160" spans="1:9" x14ac:dyDescent="0.25">
      <c r="A160" t="s">
        <v>83</v>
      </c>
      <c r="B160">
        <v>720</v>
      </c>
      <c r="C160">
        <v>760</v>
      </c>
      <c r="D160">
        <v>90</v>
      </c>
      <c r="E160">
        <v>95</v>
      </c>
      <c r="F160">
        <v>67</v>
      </c>
      <c r="G160" s="3">
        <v>41395</v>
      </c>
      <c r="H160" s="3">
        <v>41395</v>
      </c>
      <c r="I160" s="3">
        <v>41487</v>
      </c>
    </row>
    <row r="161" spans="1:9" x14ac:dyDescent="0.25">
      <c r="A161" t="s">
        <v>83</v>
      </c>
      <c r="B161">
        <v>720</v>
      </c>
      <c r="C161">
        <v>760</v>
      </c>
      <c r="D161">
        <v>85</v>
      </c>
      <c r="E161">
        <v>90</v>
      </c>
      <c r="F161">
        <v>49</v>
      </c>
      <c r="G161" s="3">
        <v>41395</v>
      </c>
      <c r="H161" s="3">
        <v>41395</v>
      </c>
      <c r="I161" s="3">
        <v>41487</v>
      </c>
    </row>
    <row r="162" spans="1:9" x14ac:dyDescent="0.25">
      <c r="A162" t="s">
        <v>83</v>
      </c>
      <c r="B162">
        <v>720</v>
      </c>
      <c r="C162">
        <v>760</v>
      </c>
      <c r="D162">
        <v>80</v>
      </c>
      <c r="E162">
        <v>85</v>
      </c>
      <c r="F162">
        <v>32</v>
      </c>
      <c r="G162" s="3">
        <v>41395</v>
      </c>
      <c r="H162" s="3">
        <v>41395</v>
      </c>
      <c r="I162" s="3">
        <v>41487</v>
      </c>
    </row>
    <row r="163" spans="1:9" x14ac:dyDescent="0.25">
      <c r="A163" t="s">
        <v>83</v>
      </c>
      <c r="B163">
        <v>720</v>
      </c>
      <c r="C163">
        <v>760</v>
      </c>
      <c r="D163">
        <v>0</v>
      </c>
      <c r="E163">
        <v>80</v>
      </c>
      <c r="F163">
        <v>0</v>
      </c>
      <c r="G163" s="3">
        <v>41395</v>
      </c>
      <c r="H163" s="3">
        <v>41395</v>
      </c>
      <c r="I163" s="3">
        <v>41487</v>
      </c>
    </row>
    <row r="164" spans="1:9" x14ac:dyDescent="0.25">
      <c r="A164" t="s">
        <v>83</v>
      </c>
      <c r="B164">
        <v>680</v>
      </c>
      <c r="C164">
        <v>720</v>
      </c>
      <c r="D164">
        <v>97</v>
      </c>
      <c r="E164">
        <v>999</v>
      </c>
      <c r="G164" s="3">
        <v>41395</v>
      </c>
      <c r="H164" s="3">
        <v>41395</v>
      </c>
      <c r="I164" s="3">
        <v>41487</v>
      </c>
    </row>
    <row r="165" spans="1:9" x14ac:dyDescent="0.25">
      <c r="A165" t="s">
        <v>83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3">
        <v>41395</v>
      </c>
      <c r="H165" s="3">
        <v>41395</v>
      </c>
      <c r="I165" s="3">
        <v>41487</v>
      </c>
    </row>
    <row r="166" spans="1:9" x14ac:dyDescent="0.25">
      <c r="A166" t="s">
        <v>83</v>
      </c>
      <c r="B166">
        <v>680</v>
      </c>
      <c r="C166">
        <v>720</v>
      </c>
      <c r="D166">
        <v>90</v>
      </c>
      <c r="E166">
        <v>95</v>
      </c>
      <c r="F166">
        <v>94</v>
      </c>
      <c r="G166" s="3">
        <v>41395</v>
      </c>
      <c r="H166" s="3">
        <v>41395</v>
      </c>
      <c r="I166" s="3">
        <v>41487</v>
      </c>
    </row>
    <row r="167" spans="1:9" x14ac:dyDescent="0.25">
      <c r="A167" t="s">
        <v>83</v>
      </c>
      <c r="B167">
        <v>680</v>
      </c>
      <c r="C167">
        <v>720</v>
      </c>
      <c r="D167">
        <v>85</v>
      </c>
      <c r="E167">
        <v>90</v>
      </c>
      <c r="F167">
        <v>62</v>
      </c>
      <c r="G167" s="3">
        <v>41395</v>
      </c>
      <c r="H167" s="3">
        <v>41395</v>
      </c>
      <c r="I167" s="3">
        <v>41487</v>
      </c>
    </row>
    <row r="168" spans="1:9" x14ac:dyDescent="0.25">
      <c r="A168" t="s">
        <v>83</v>
      </c>
      <c r="B168">
        <v>680</v>
      </c>
      <c r="C168">
        <v>720</v>
      </c>
      <c r="D168">
        <v>80</v>
      </c>
      <c r="E168">
        <v>85</v>
      </c>
      <c r="F168">
        <v>38</v>
      </c>
      <c r="G168" s="3">
        <v>41395</v>
      </c>
      <c r="H168" s="3">
        <v>41395</v>
      </c>
      <c r="I168" s="3">
        <v>41487</v>
      </c>
    </row>
    <row r="169" spans="1:9" x14ac:dyDescent="0.25">
      <c r="A169" t="s">
        <v>83</v>
      </c>
      <c r="B169">
        <v>680</v>
      </c>
      <c r="C169">
        <v>720</v>
      </c>
      <c r="D169">
        <v>0</v>
      </c>
      <c r="E169">
        <v>80</v>
      </c>
      <c r="F169">
        <v>0</v>
      </c>
      <c r="G169" s="3">
        <v>41395</v>
      </c>
      <c r="H169" s="3">
        <v>41395</v>
      </c>
      <c r="I169" s="3">
        <v>41487</v>
      </c>
    </row>
    <row r="170" spans="1:9" x14ac:dyDescent="0.25">
      <c r="A170" t="s">
        <v>83</v>
      </c>
      <c r="B170">
        <v>620</v>
      </c>
      <c r="C170">
        <v>680</v>
      </c>
      <c r="D170">
        <v>97</v>
      </c>
      <c r="E170">
        <v>999</v>
      </c>
      <c r="G170" s="3">
        <v>41395</v>
      </c>
      <c r="H170" s="3">
        <v>41395</v>
      </c>
      <c r="I170" s="3">
        <v>41487</v>
      </c>
    </row>
    <row r="171" spans="1:9" x14ac:dyDescent="0.25">
      <c r="A171" t="s">
        <v>83</v>
      </c>
      <c r="B171">
        <v>620</v>
      </c>
      <c r="C171">
        <v>680</v>
      </c>
      <c r="D171">
        <v>95</v>
      </c>
      <c r="E171">
        <v>97</v>
      </c>
      <c r="G171" s="3">
        <v>41395</v>
      </c>
      <c r="H171" s="3">
        <v>41395</v>
      </c>
      <c r="I171" s="3">
        <v>41487</v>
      </c>
    </row>
    <row r="172" spans="1:9" x14ac:dyDescent="0.25">
      <c r="A172" t="s">
        <v>83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3">
        <v>41395</v>
      </c>
      <c r="H172" s="3">
        <v>41395</v>
      </c>
      <c r="I172" s="3">
        <v>41487</v>
      </c>
    </row>
    <row r="173" spans="1:9" x14ac:dyDescent="0.25">
      <c r="A173" t="s">
        <v>83</v>
      </c>
      <c r="B173">
        <v>620</v>
      </c>
      <c r="C173">
        <v>680</v>
      </c>
      <c r="D173">
        <v>85</v>
      </c>
      <c r="E173">
        <v>90</v>
      </c>
      <c r="F173">
        <v>76</v>
      </c>
      <c r="G173" s="3">
        <v>41395</v>
      </c>
      <c r="H173" s="3">
        <v>41395</v>
      </c>
      <c r="I173" s="3">
        <v>41487</v>
      </c>
    </row>
    <row r="174" spans="1:9" x14ac:dyDescent="0.25">
      <c r="A174" t="s">
        <v>83</v>
      </c>
      <c r="B174">
        <v>620</v>
      </c>
      <c r="C174">
        <v>680</v>
      </c>
      <c r="D174">
        <v>80</v>
      </c>
      <c r="E174">
        <v>85</v>
      </c>
      <c r="F174">
        <v>44</v>
      </c>
      <c r="G174" s="3">
        <v>41395</v>
      </c>
      <c r="H174" s="3">
        <v>41395</v>
      </c>
      <c r="I174" s="3">
        <v>41487</v>
      </c>
    </row>
    <row r="175" spans="1:9" x14ac:dyDescent="0.25">
      <c r="A175" t="s">
        <v>83</v>
      </c>
      <c r="B175">
        <v>620</v>
      </c>
      <c r="C175">
        <v>680</v>
      </c>
      <c r="D175">
        <v>0</v>
      </c>
      <c r="E175">
        <v>80</v>
      </c>
      <c r="F175">
        <v>0</v>
      </c>
      <c r="G175" s="3">
        <v>41395</v>
      </c>
      <c r="H175" s="3">
        <v>41395</v>
      </c>
      <c r="I175" s="3">
        <v>41487</v>
      </c>
    </row>
    <row r="176" spans="1:9" x14ac:dyDescent="0.25">
      <c r="A176" t="s">
        <v>83</v>
      </c>
      <c r="B176">
        <v>300</v>
      </c>
      <c r="C176">
        <v>620</v>
      </c>
      <c r="D176">
        <v>97</v>
      </c>
      <c r="E176">
        <v>999</v>
      </c>
      <c r="G176" s="3">
        <v>41395</v>
      </c>
      <c r="H176" s="3">
        <v>41395</v>
      </c>
      <c r="I176" s="3">
        <v>41487</v>
      </c>
    </row>
    <row r="177" spans="1:19" x14ac:dyDescent="0.25">
      <c r="A177" t="s">
        <v>83</v>
      </c>
      <c r="B177">
        <v>300</v>
      </c>
      <c r="C177">
        <v>620</v>
      </c>
      <c r="D177">
        <v>95</v>
      </c>
      <c r="E177">
        <v>97</v>
      </c>
      <c r="G177" s="3">
        <v>41395</v>
      </c>
      <c r="H177" s="3">
        <v>41395</v>
      </c>
      <c r="I177" s="3">
        <v>41487</v>
      </c>
    </row>
    <row r="178" spans="1:19" x14ac:dyDescent="0.25">
      <c r="A178" t="s">
        <v>83</v>
      </c>
      <c r="B178">
        <v>300</v>
      </c>
      <c r="C178">
        <v>620</v>
      </c>
      <c r="D178">
        <v>90</v>
      </c>
      <c r="E178">
        <v>95</v>
      </c>
      <c r="G178" s="3">
        <v>41395</v>
      </c>
      <c r="H178" s="3">
        <v>41395</v>
      </c>
      <c r="I178" s="3">
        <v>41487</v>
      </c>
    </row>
    <row r="179" spans="1:19" x14ac:dyDescent="0.25">
      <c r="A179" t="s">
        <v>83</v>
      </c>
      <c r="B179">
        <v>300</v>
      </c>
      <c r="C179">
        <v>620</v>
      </c>
      <c r="D179">
        <v>85</v>
      </c>
      <c r="E179">
        <v>90</v>
      </c>
      <c r="G179" s="3">
        <v>41395</v>
      </c>
      <c r="H179" s="3">
        <v>41395</v>
      </c>
      <c r="I179" s="3">
        <v>41487</v>
      </c>
    </row>
    <row r="180" spans="1:19" x14ac:dyDescent="0.25">
      <c r="A180" t="s">
        <v>83</v>
      </c>
      <c r="B180">
        <v>300</v>
      </c>
      <c r="C180">
        <v>620</v>
      </c>
      <c r="D180">
        <v>80</v>
      </c>
      <c r="E180">
        <v>85</v>
      </c>
      <c r="G180" s="3">
        <v>41395</v>
      </c>
      <c r="H180" s="3">
        <v>41395</v>
      </c>
      <c r="I180" s="3">
        <v>41487</v>
      </c>
    </row>
    <row r="181" spans="1:19" x14ac:dyDescent="0.25">
      <c r="A181" t="s">
        <v>83</v>
      </c>
      <c r="B181">
        <v>300</v>
      </c>
      <c r="C181">
        <v>620</v>
      </c>
      <c r="D181">
        <v>0</v>
      </c>
      <c r="E181">
        <v>80</v>
      </c>
      <c r="G181" s="3">
        <v>41395</v>
      </c>
      <c r="H181" s="3">
        <v>41395</v>
      </c>
      <c r="I181" s="3">
        <v>41487</v>
      </c>
    </row>
    <row r="182" spans="1:19" x14ac:dyDescent="0.25">
      <c r="A182" t="s">
        <v>81</v>
      </c>
      <c r="B182">
        <v>760</v>
      </c>
      <c r="C182">
        <v>999</v>
      </c>
      <c r="D182">
        <v>97</v>
      </c>
      <c r="E182">
        <v>999</v>
      </c>
      <c r="G182" s="3">
        <v>41306</v>
      </c>
      <c r="H182" s="3">
        <v>41306</v>
      </c>
      <c r="I182" s="3">
        <v>41395</v>
      </c>
      <c r="M182" t="s">
        <v>41</v>
      </c>
      <c r="N182" t="s">
        <v>11</v>
      </c>
      <c r="O182" t="s">
        <v>12</v>
      </c>
      <c r="P182" t="s">
        <v>13</v>
      </c>
      <c r="Q182" t="s">
        <v>14</v>
      </c>
      <c r="R182" t="s">
        <v>19</v>
      </c>
      <c r="S182" s="3">
        <v>41306</v>
      </c>
    </row>
    <row r="183" spans="1:19" x14ac:dyDescent="0.25">
      <c r="A183" t="s">
        <v>81</v>
      </c>
      <c r="B183">
        <v>760</v>
      </c>
      <c r="C183">
        <v>999</v>
      </c>
      <c r="D183">
        <v>95</v>
      </c>
      <c r="E183">
        <v>97</v>
      </c>
      <c r="F183">
        <v>86</v>
      </c>
      <c r="G183" s="3">
        <v>41306</v>
      </c>
      <c r="H183" s="3">
        <v>41306</v>
      </c>
      <c r="I183" s="3">
        <v>41395</v>
      </c>
      <c r="M183" s="1" t="s">
        <v>15</v>
      </c>
      <c r="N183">
        <f>N190-5</f>
        <v>81</v>
      </c>
      <c r="O183">
        <f>O190-10</f>
        <v>88</v>
      </c>
      <c r="P183">
        <f>P190-15</f>
        <v>110</v>
      </c>
      <c r="Q183" s="2" t="s">
        <v>34</v>
      </c>
      <c r="R183" s="2" t="s">
        <v>34</v>
      </c>
    </row>
    <row r="184" spans="1:19" x14ac:dyDescent="0.25">
      <c r="A184" t="s">
        <v>81</v>
      </c>
      <c r="B184">
        <v>760</v>
      </c>
      <c r="C184">
        <v>999</v>
      </c>
      <c r="D184">
        <v>90</v>
      </c>
      <c r="E184">
        <v>95</v>
      </c>
      <c r="F184">
        <v>64</v>
      </c>
      <c r="G184" s="3">
        <v>41306</v>
      </c>
      <c r="H184" s="3">
        <v>41306</v>
      </c>
      <c r="I184" s="3">
        <v>41395</v>
      </c>
      <c r="M184" t="s">
        <v>16</v>
      </c>
      <c r="N184">
        <f t="shared" ref="N184:N186" si="12">N191-5</f>
        <v>59</v>
      </c>
      <c r="O184">
        <f t="shared" ref="O184:O186" si="13">O191-10</f>
        <v>67</v>
      </c>
      <c r="P184">
        <f t="shared" ref="P184:P186" si="14">P191-15</f>
        <v>94</v>
      </c>
      <c r="Q184">
        <f>Q191-30</f>
        <v>120</v>
      </c>
      <c r="R184" s="2" t="s">
        <v>34</v>
      </c>
    </row>
    <row r="185" spans="1:19" x14ac:dyDescent="0.25">
      <c r="A185" t="s">
        <v>81</v>
      </c>
      <c r="B185">
        <v>760</v>
      </c>
      <c r="C185">
        <v>999</v>
      </c>
      <c r="D185">
        <v>85</v>
      </c>
      <c r="E185">
        <v>90</v>
      </c>
      <c r="F185">
        <v>49</v>
      </c>
      <c r="G185" s="3">
        <v>41306</v>
      </c>
      <c r="H185" s="3">
        <v>41306</v>
      </c>
      <c r="I185" s="3">
        <v>41395</v>
      </c>
      <c r="M185" t="s">
        <v>17</v>
      </c>
      <c r="N185">
        <f t="shared" si="12"/>
        <v>44</v>
      </c>
      <c r="O185">
        <f t="shared" si="13"/>
        <v>49</v>
      </c>
      <c r="P185">
        <f t="shared" si="14"/>
        <v>62</v>
      </c>
      <c r="Q185">
        <f t="shared" ref="Q185:Q186" si="15">Q192-30</f>
        <v>76</v>
      </c>
      <c r="R185" s="2" t="s">
        <v>34</v>
      </c>
    </row>
    <row r="186" spans="1:19" x14ac:dyDescent="0.25">
      <c r="A186" t="s">
        <v>81</v>
      </c>
      <c r="B186">
        <v>760</v>
      </c>
      <c r="C186">
        <v>999</v>
      </c>
      <c r="D186">
        <v>80</v>
      </c>
      <c r="E186">
        <v>85</v>
      </c>
      <c r="F186">
        <v>33</v>
      </c>
      <c r="G186" s="3">
        <v>41306</v>
      </c>
      <c r="H186" s="3">
        <v>41306</v>
      </c>
      <c r="I186" s="3">
        <v>41395</v>
      </c>
      <c r="M186" t="s">
        <v>18</v>
      </c>
      <c r="N186">
        <f t="shared" si="12"/>
        <v>28</v>
      </c>
      <c r="O186">
        <f t="shared" si="13"/>
        <v>32</v>
      </c>
      <c r="P186">
        <f t="shared" si="14"/>
        <v>38</v>
      </c>
      <c r="Q186">
        <f t="shared" si="15"/>
        <v>44</v>
      </c>
      <c r="R186" s="2" t="s">
        <v>34</v>
      </c>
    </row>
    <row r="187" spans="1:19" x14ac:dyDescent="0.25">
      <c r="A187" t="s">
        <v>81</v>
      </c>
      <c r="B187">
        <v>760</v>
      </c>
      <c r="C187">
        <v>999</v>
      </c>
      <c r="D187">
        <v>0</v>
      </c>
      <c r="E187">
        <v>80</v>
      </c>
      <c r="F187">
        <v>0</v>
      </c>
      <c r="G187" s="3">
        <v>41306</v>
      </c>
      <c r="H187" s="3">
        <v>41306</v>
      </c>
      <c r="I187" s="3">
        <v>41395</v>
      </c>
      <c r="M187" t="s">
        <v>21</v>
      </c>
      <c r="N187">
        <v>0</v>
      </c>
      <c r="O187">
        <v>0</v>
      </c>
      <c r="P187">
        <v>0</v>
      </c>
      <c r="Q187">
        <v>0</v>
      </c>
      <c r="R187" s="2" t="s">
        <v>34</v>
      </c>
    </row>
    <row r="188" spans="1:19" x14ac:dyDescent="0.25">
      <c r="A188" t="s">
        <v>81</v>
      </c>
      <c r="B188">
        <v>720</v>
      </c>
      <c r="C188">
        <v>760</v>
      </c>
      <c r="D188">
        <v>97</v>
      </c>
      <c r="E188">
        <v>999</v>
      </c>
      <c r="G188" s="3">
        <v>41306</v>
      </c>
      <c r="H188" s="3">
        <v>41306</v>
      </c>
      <c r="I188" s="3">
        <v>41395</v>
      </c>
    </row>
    <row r="189" spans="1:19" x14ac:dyDescent="0.25">
      <c r="A189" t="s">
        <v>81</v>
      </c>
      <c r="B189">
        <v>720</v>
      </c>
      <c r="C189">
        <v>760</v>
      </c>
      <c r="D189">
        <v>95</v>
      </c>
      <c r="E189">
        <v>97</v>
      </c>
      <c r="F189">
        <v>98</v>
      </c>
      <c r="G189" s="3">
        <v>41306</v>
      </c>
      <c r="H189" s="3">
        <v>41306</v>
      </c>
      <c r="I189" s="3">
        <v>41395</v>
      </c>
      <c r="M189" t="s">
        <v>40</v>
      </c>
      <c r="N189" t="s">
        <v>11</v>
      </c>
      <c r="O189" t="s">
        <v>12</v>
      </c>
      <c r="P189" t="s">
        <v>13</v>
      </c>
      <c r="Q189" t="s">
        <v>14</v>
      </c>
      <c r="R189" t="s">
        <v>19</v>
      </c>
      <c r="S189" s="3">
        <v>41306</v>
      </c>
    </row>
    <row r="190" spans="1:19" x14ac:dyDescent="0.25">
      <c r="A190" t="s">
        <v>81</v>
      </c>
      <c r="B190">
        <v>720</v>
      </c>
      <c r="C190">
        <v>760</v>
      </c>
      <c r="D190">
        <v>90</v>
      </c>
      <c r="E190">
        <v>95</v>
      </c>
      <c r="F190">
        <v>77</v>
      </c>
      <c r="G190" s="3">
        <v>41306</v>
      </c>
      <c r="H190" s="3">
        <v>41306</v>
      </c>
      <c r="I190" s="3">
        <v>41395</v>
      </c>
      <c r="M190" s="1" t="s">
        <v>15</v>
      </c>
      <c r="N190">
        <v>86</v>
      </c>
      <c r="O190">
        <v>98</v>
      </c>
      <c r="P190">
        <v>125</v>
      </c>
      <c r="Q190" s="2" t="s">
        <v>34</v>
      </c>
      <c r="R190" s="2" t="s">
        <v>34</v>
      </c>
    </row>
    <row r="191" spans="1:19" x14ac:dyDescent="0.25">
      <c r="A191" t="s">
        <v>81</v>
      </c>
      <c r="B191">
        <v>720</v>
      </c>
      <c r="C191">
        <v>760</v>
      </c>
      <c r="D191">
        <v>85</v>
      </c>
      <c r="E191">
        <v>90</v>
      </c>
      <c r="F191">
        <v>59</v>
      </c>
      <c r="G191" s="3">
        <v>41306</v>
      </c>
      <c r="H191" s="3">
        <v>41306</v>
      </c>
      <c r="I191" s="3">
        <v>41395</v>
      </c>
      <c r="M191" t="s">
        <v>16</v>
      </c>
      <c r="N191">
        <v>64</v>
      </c>
      <c r="O191">
        <v>77</v>
      </c>
      <c r="P191">
        <v>109</v>
      </c>
      <c r="Q191">
        <v>150</v>
      </c>
      <c r="R191" s="2" t="s">
        <v>34</v>
      </c>
    </row>
    <row r="192" spans="1:19" x14ac:dyDescent="0.25">
      <c r="A192" t="s">
        <v>81</v>
      </c>
      <c r="B192">
        <v>720</v>
      </c>
      <c r="C192">
        <v>760</v>
      </c>
      <c r="D192">
        <v>80</v>
      </c>
      <c r="E192">
        <v>85</v>
      </c>
      <c r="F192">
        <v>42</v>
      </c>
      <c r="G192" s="3">
        <v>41306</v>
      </c>
      <c r="H192" s="3">
        <v>41306</v>
      </c>
      <c r="I192" s="3">
        <v>41395</v>
      </c>
      <c r="M192" t="s">
        <v>17</v>
      </c>
      <c r="N192">
        <v>49</v>
      </c>
      <c r="O192">
        <v>59</v>
      </c>
      <c r="P192">
        <v>77</v>
      </c>
      <c r="Q192">
        <v>106</v>
      </c>
      <c r="R192" s="2" t="s">
        <v>34</v>
      </c>
    </row>
    <row r="193" spans="1:18" x14ac:dyDescent="0.25">
      <c r="A193" t="s">
        <v>81</v>
      </c>
      <c r="B193">
        <v>720</v>
      </c>
      <c r="C193">
        <v>760</v>
      </c>
      <c r="D193">
        <v>0</v>
      </c>
      <c r="E193">
        <v>80</v>
      </c>
      <c r="F193">
        <v>0</v>
      </c>
      <c r="G193" s="3">
        <v>41306</v>
      </c>
      <c r="H193" s="3">
        <v>41306</v>
      </c>
      <c r="I193" s="3">
        <v>41395</v>
      </c>
      <c r="M193" t="s">
        <v>18</v>
      </c>
      <c r="N193">
        <v>33</v>
      </c>
      <c r="O193">
        <v>42</v>
      </c>
      <c r="P193">
        <v>53</v>
      </c>
      <c r="Q193">
        <v>74</v>
      </c>
      <c r="R193" s="2" t="s">
        <v>34</v>
      </c>
    </row>
    <row r="194" spans="1:18" x14ac:dyDescent="0.25">
      <c r="A194" t="s">
        <v>81</v>
      </c>
      <c r="B194">
        <v>680</v>
      </c>
      <c r="C194">
        <v>720</v>
      </c>
      <c r="D194">
        <v>97</v>
      </c>
      <c r="E194">
        <v>999</v>
      </c>
      <c r="G194" s="3">
        <v>41306</v>
      </c>
      <c r="H194" s="3">
        <v>41306</v>
      </c>
      <c r="I194" s="3">
        <v>41395</v>
      </c>
      <c r="M194" t="s">
        <v>21</v>
      </c>
      <c r="N194">
        <v>0</v>
      </c>
      <c r="O194">
        <v>0</v>
      </c>
      <c r="P194">
        <v>0</v>
      </c>
      <c r="Q194">
        <v>0</v>
      </c>
      <c r="R194" s="2" t="s">
        <v>34</v>
      </c>
    </row>
    <row r="195" spans="1:18" x14ac:dyDescent="0.25">
      <c r="A195" t="s">
        <v>81</v>
      </c>
      <c r="B195">
        <v>680</v>
      </c>
      <c r="C195">
        <v>720</v>
      </c>
      <c r="D195">
        <v>95</v>
      </c>
      <c r="E195">
        <v>97</v>
      </c>
      <c r="F195">
        <v>125</v>
      </c>
      <c r="G195" s="3">
        <v>41306</v>
      </c>
      <c r="H195" s="3">
        <v>41306</v>
      </c>
      <c r="I195" s="3">
        <v>41395</v>
      </c>
    </row>
    <row r="196" spans="1:18" x14ac:dyDescent="0.25">
      <c r="A196" t="s">
        <v>81</v>
      </c>
      <c r="B196">
        <v>680</v>
      </c>
      <c r="C196">
        <v>720</v>
      </c>
      <c r="D196">
        <v>90</v>
      </c>
      <c r="E196">
        <v>95</v>
      </c>
      <c r="F196">
        <v>109</v>
      </c>
      <c r="G196" s="3">
        <v>41306</v>
      </c>
      <c r="H196" s="3">
        <v>41306</v>
      </c>
      <c r="I196" s="3">
        <v>41395</v>
      </c>
      <c r="M196" t="s">
        <v>43</v>
      </c>
      <c r="N196" t="s">
        <v>84</v>
      </c>
    </row>
    <row r="197" spans="1:18" x14ac:dyDescent="0.25">
      <c r="A197" t="s">
        <v>81</v>
      </c>
      <c r="B197">
        <v>680</v>
      </c>
      <c r="C197">
        <v>720</v>
      </c>
      <c r="D197">
        <v>85</v>
      </c>
      <c r="E197">
        <v>90</v>
      </c>
      <c r="F197">
        <v>77</v>
      </c>
      <c r="G197" s="3">
        <v>41306</v>
      </c>
      <c r="H197" s="3">
        <v>41306</v>
      </c>
      <c r="I197" s="3">
        <v>41395</v>
      </c>
      <c r="M197" t="s">
        <v>44</v>
      </c>
      <c r="N197" t="s">
        <v>45</v>
      </c>
    </row>
    <row r="198" spans="1:18" x14ac:dyDescent="0.25">
      <c r="A198" t="s">
        <v>81</v>
      </c>
      <c r="B198">
        <v>680</v>
      </c>
      <c r="C198">
        <v>720</v>
      </c>
      <c r="D198">
        <v>80</v>
      </c>
      <c r="E198">
        <v>85</v>
      </c>
      <c r="F198">
        <v>53</v>
      </c>
      <c r="G198" s="3">
        <v>41306</v>
      </c>
      <c r="H198" s="3">
        <v>41306</v>
      </c>
      <c r="I198" s="3">
        <v>41395</v>
      </c>
    </row>
    <row r="199" spans="1:18" x14ac:dyDescent="0.25">
      <c r="A199" t="s">
        <v>81</v>
      </c>
      <c r="B199">
        <v>680</v>
      </c>
      <c r="C199">
        <v>720</v>
      </c>
      <c r="D199">
        <v>0</v>
      </c>
      <c r="E199">
        <v>80</v>
      </c>
      <c r="F199">
        <v>0</v>
      </c>
      <c r="G199" s="3">
        <v>41306</v>
      </c>
      <c r="H199" s="3">
        <v>41306</v>
      </c>
      <c r="I199" s="3">
        <v>41395</v>
      </c>
    </row>
    <row r="200" spans="1:18" x14ac:dyDescent="0.25">
      <c r="A200" t="s">
        <v>81</v>
      </c>
      <c r="B200">
        <v>620</v>
      </c>
      <c r="C200">
        <v>680</v>
      </c>
      <c r="D200">
        <v>97</v>
      </c>
      <c r="E200">
        <v>999</v>
      </c>
      <c r="G200" s="3">
        <v>41306</v>
      </c>
      <c r="H200" s="3">
        <v>41306</v>
      </c>
      <c r="I200" s="3">
        <v>41395</v>
      </c>
    </row>
    <row r="201" spans="1:18" x14ac:dyDescent="0.25">
      <c r="A201" t="s">
        <v>81</v>
      </c>
      <c r="B201">
        <v>620</v>
      </c>
      <c r="C201">
        <v>680</v>
      </c>
      <c r="D201">
        <v>95</v>
      </c>
      <c r="E201">
        <v>97</v>
      </c>
      <c r="G201" s="3">
        <v>41306</v>
      </c>
      <c r="H201" s="3">
        <v>41306</v>
      </c>
      <c r="I201" s="3">
        <v>41395</v>
      </c>
    </row>
    <row r="202" spans="1:18" x14ac:dyDescent="0.25">
      <c r="A202" t="s">
        <v>81</v>
      </c>
      <c r="B202">
        <v>620</v>
      </c>
      <c r="C202">
        <v>680</v>
      </c>
      <c r="D202">
        <v>90</v>
      </c>
      <c r="E202">
        <v>95</v>
      </c>
      <c r="F202">
        <v>150</v>
      </c>
      <c r="G202" s="3">
        <v>41306</v>
      </c>
      <c r="H202" s="3">
        <v>41306</v>
      </c>
      <c r="I202" s="3">
        <v>41395</v>
      </c>
    </row>
    <row r="203" spans="1:18" x14ac:dyDescent="0.25">
      <c r="A203" t="s">
        <v>81</v>
      </c>
      <c r="B203">
        <v>620</v>
      </c>
      <c r="C203">
        <v>680</v>
      </c>
      <c r="D203">
        <v>85</v>
      </c>
      <c r="E203">
        <v>90</v>
      </c>
      <c r="F203">
        <v>106</v>
      </c>
      <c r="G203" s="3">
        <v>41306</v>
      </c>
      <c r="H203" s="3">
        <v>41306</v>
      </c>
      <c r="I203" s="3">
        <v>41395</v>
      </c>
    </row>
    <row r="204" spans="1:18" x14ac:dyDescent="0.25">
      <c r="A204" t="s">
        <v>81</v>
      </c>
      <c r="B204">
        <v>620</v>
      </c>
      <c r="C204">
        <v>680</v>
      </c>
      <c r="D204">
        <v>80</v>
      </c>
      <c r="E204">
        <v>85</v>
      </c>
      <c r="F204">
        <v>74</v>
      </c>
      <c r="G204" s="3">
        <v>41306</v>
      </c>
      <c r="H204" s="3">
        <v>41306</v>
      </c>
      <c r="I204" s="3">
        <v>41395</v>
      </c>
    </row>
    <row r="205" spans="1:18" x14ac:dyDescent="0.25">
      <c r="A205" t="s">
        <v>81</v>
      </c>
      <c r="B205">
        <v>620</v>
      </c>
      <c r="C205">
        <v>680</v>
      </c>
      <c r="D205">
        <v>0</v>
      </c>
      <c r="E205">
        <v>80</v>
      </c>
      <c r="F205">
        <v>0</v>
      </c>
      <c r="G205" s="3">
        <v>41306</v>
      </c>
      <c r="H205" s="3">
        <v>41306</v>
      </c>
      <c r="I205" s="3">
        <v>41395</v>
      </c>
    </row>
    <row r="206" spans="1:18" x14ac:dyDescent="0.25">
      <c r="A206" t="s">
        <v>81</v>
      </c>
      <c r="B206">
        <v>300</v>
      </c>
      <c r="C206">
        <v>620</v>
      </c>
      <c r="D206">
        <v>97</v>
      </c>
      <c r="E206">
        <v>999</v>
      </c>
      <c r="G206" s="3">
        <v>41306</v>
      </c>
      <c r="H206" s="3">
        <v>41306</v>
      </c>
      <c r="I206" s="3">
        <v>41395</v>
      </c>
    </row>
    <row r="207" spans="1:18" x14ac:dyDescent="0.25">
      <c r="A207" t="s">
        <v>81</v>
      </c>
      <c r="B207">
        <v>300</v>
      </c>
      <c r="C207">
        <v>620</v>
      </c>
      <c r="D207">
        <v>95</v>
      </c>
      <c r="E207">
        <v>97</v>
      </c>
      <c r="G207" s="3">
        <v>41306</v>
      </c>
      <c r="H207" s="3">
        <v>41306</v>
      </c>
      <c r="I207" s="3">
        <v>41395</v>
      </c>
    </row>
    <row r="208" spans="1:18" x14ac:dyDescent="0.25">
      <c r="A208" t="s">
        <v>81</v>
      </c>
      <c r="B208">
        <v>300</v>
      </c>
      <c r="C208">
        <v>620</v>
      </c>
      <c r="D208">
        <v>90</v>
      </c>
      <c r="E208">
        <v>95</v>
      </c>
      <c r="G208" s="3">
        <v>41306</v>
      </c>
      <c r="H208" s="3">
        <v>41306</v>
      </c>
      <c r="I208" s="3">
        <v>41395</v>
      </c>
    </row>
    <row r="209" spans="1:9" x14ac:dyDescent="0.25">
      <c r="A209" t="s">
        <v>81</v>
      </c>
      <c r="B209">
        <v>300</v>
      </c>
      <c r="C209">
        <v>620</v>
      </c>
      <c r="D209">
        <v>85</v>
      </c>
      <c r="E209">
        <v>90</v>
      </c>
      <c r="G209" s="3">
        <v>41306</v>
      </c>
      <c r="H209" s="3">
        <v>41306</v>
      </c>
      <c r="I209" s="3">
        <v>41395</v>
      </c>
    </row>
    <row r="210" spans="1:9" x14ac:dyDescent="0.25">
      <c r="A210" t="s">
        <v>81</v>
      </c>
      <c r="B210">
        <v>300</v>
      </c>
      <c r="C210">
        <v>620</v>
      </c>
      <c r="D210">
        <v>80</v>
      </c>
      <c r="E210">
        <v>85</v>
      </c>
      <c r="G210" s="3">
        <v>41306</v>
      </c>
      <c r="H210" s="3">
        <v>41306</v>
      </c>
      <c r="I210" s="3">
        <v>41395</v>
      </c>
    </row>
    <row r="211" spans="1:9" x14ac:dyDescent="0.25">
      <c r="A211" t="s">
        <v>81</v>
      </c>
      <c r="B211">
        <v>300</v>
      </c>
      <c r="C211">
        <v>620</v>
      </c>
      <c r="D211">
        <v>0</v>
      </c>
      <c r="E211">
        <v>80</v>
      </c>
      <c r="G211" s="3">
        <v>41306</v>
      </c>
      <c r="H211" s="3">
        <v>41306</v>
      </c>
      <c r="I211" s="3">
        <v>41395</v>
      </c>
    </row>
    <row r="212" spans="1:9" x14ac:dyDescent="0.25">
      <c r="A212" t="s">
        <v>83</v>
      </c>
      <c r="B212">
        <v>760</v>
      </c>
      <c r="C212">
        <v>999</v>
      </c>
      <c r="D212">
        <v>97</v>
      </c>
      <c r="E212">
        <v>999</v>
      </c>
      <c r="G212" s="3">
        <v>41306</v>
      </c>
      <c r="H212" s="3">
        <v>41306</v>
      </c>
      <c r="I212" s="3">
        <v>41395</v>
      </c>
    </row>
    <row r="213" spans="1:9" x14ac:dyDescent="0.25">
      <c r="A213" t="s">
        <v>83</v>
      </c>
      <c r="B213">
        <v>760</v>
      </c>
      <c r="C213">
        <v>999</v>
      </c>
      <c r="D213">
        <v>95</v>
      </c>
      <c r="E213">
        <v>97</v>
      </c>
      <c r="F213">
        <v>81</v>
      </c>
      <c r="G213" s="3">
        <v>41306</v>
      </c>
      <c r="H213" s="3">
        <v>41306</v>
      </c>
      <c r="I213" s="3">
        <v>41395</v>
      </c>
    </row>
    <row r="214" spans="1:9" x14ac:dyDescent="0.25">
      <c r="A214" t="s">
        <v>83</v>
      </c>
      <c r="B214">
        <v>760</v>
      </c>
      <c r="C214">
        <v>999</v>
      </c>
      <c r="D214">
        <v>90</v>
      </c>
      <c r="E214">
        <v>95</v>
      </c>
      <c r="F214">
        <v>59</v>
      </c>
      <c r="G214" s="3">
        <v>41306</v>
      </c>
      <c r="H214" s="3">
        <v>41306</v>
      </c>
      <c r="I214" s="3">
        <v>41395</v>
      </c>
    </row>
    <row r="215" spans="1:9" x14ac:dyDescent="0.25">
      <c r="A215" t="s">
        <v>83</v>
      </c>
      <c r="B215">
        <v>760</v>
      </c>
      <c r="C215">
        <v>999</v>
      </c>
      <c r="D215">
        <v>85</v>
      </c>
      <c r="E215">
        <v>90</v>
      </c>
      <c r="F215">
        <v>44</v>
      </c>
      <c r="G215" s="3">
        <v>41306</v>
      </c>
      <c r="H215" s="3">
        <v>41306</v>
      </c>
      <c r="I215" s="3">
        <v>41395</v>
      </c>
    </row>
    <row r="216" spans="1:9" x14ac:dyDescent="0.25">
      <c r="A216" t="s">
        <v>83</v>
      </c>
      <c r="B216">
        <v>760</v>
      </c>
      <c r="C216">
        <v>999</v>
      </c>
      <c r="D216">
        <v>80</v>
      </c>
      <c r="E216">
        <v>85</v>
      </c>
      <c r="F216">
        <v>28</v>
      </c>
      <c r="G216" s="3">
        <v>41306</v>
      </c>
      <c r="H216" s="3">
        <v>41306</v>
      </c>
      <c r="I216" s="3">
        <v>41395</v>
      </c>
    </row>
    <row r="217" spans="1:9" x14ac:dyDescent="0.25">
      <c r="A217" t="s">
        <v>83</v>
      </c>
      <c r="B217">
        <v>760</v>
      </c>
      <c r="C217">
        <v>999</v>
      </c>
      <c r="D217">
        <v>0</v>
      </c>
      <c r="E217">
        <v>80</v>
      </c>
      <c r="F217">
        <v>0</v>
      </c>
      <c r="G217" s="3">
        <v>41306</v>
      </c>
      <c r="H217" s="3">
        <v>41306</v>
      </c>
      <c r="I217" s="3">
        <v>41395</v>
      </c>
    </row>
    <row r="218" spans="1:9" x14ac:dyDescent="0.25">
      <c r="A218" t="s">
        <v>83</v>
      </c>
      <c r="B218">
        <v>720</v>
      </c>
      <c r="C218">
        <v>760</v>
      </c>
      <c r="D218">
        <v>97</v>
      </c>
      <c r="E218">
        <v>999</v>
      </c>
      <c r="G218" s="3">
        <v>41306</v>
      </c>
      <c r="H218" s="3">
        <v>41306</v>
      </c>
      <c r="I218" s="3">
        <v>41395</v>
      </c>
    </row>
    <row r="219" spans="1:9" x14ac:dyDescent="0.25">
      <c r="A219" t="s">
        <v>83</v>
      </c>
      <c r="B219">
        <v>720</v>
      </c>
      <c r="C219">
        <v>760</v>
      </c>
      <c r="D219">
        <v>95</v>
      </c>
      <c r="E219">
        <v>97</v>
      </c>
      <c r="F219">
        <v>88</v>
      </c>
      <c r="G219" s="3">
        <v>41306</v>
      </c>
      <c r="H219" s="3">
        <v>41306</v>
      </c>
      <c r="I219" s="3">
        <v>41395</v>
      </c>
    </row>
    <row r="220" spans="1:9" x14ac:dyDescent="0.25">
      <c r="A220" t="s">
        <v>83</v>
      </c>
      <c r="B220">
        <v>720</v>
      </c>
      <c r="C220">
        <v>760</v>
      </c>
      <c r="D220">
        <v>90</v>
      </c>
      <c r="E220">
        <v>95</v>
      </c>
      <c r="F220">
        <v>67</v>
      </c>
      <c r="G220" s="3">
        <v>41306</v>
      </c>
      <c r="H220" s="3">
        <v>41306</v>
      </c>
      <c r="I220" s="3">
        <v>41395</v>
      </c>
    </row>
    <row r="221" spans="1:9" x14ac:dyDescent="0.25">
      <c r="A221" t="s">
        <v>83</v>
      </c>
      <c r="B221">
        <v>720</v>
      </c>
      <c r="C221">
        <v>760</v>
      </c>
      <c r="D221">
        <v>85</v>
      </c>
      <c r="E221">
        <v>90</v>
      </c>
      <c r="F221">
        <v>49</v>
      </c>
      <c r="G221" s="3">
        <v>41306</v>
      </c>
      <c r="H221" s="3">
        <v>41306</v>
      </c>
      <c r="I221" s="3">
        <v>41395</v>
      </c>
    </row>
    <row r="222" spans="1:9" x14ac:dyDescent="0.25">
      <c r="A222" t="s">
        <v>83</v>
      </c>
      <c r="B222">
        <v>720</v>
      </c>
      <c r="C222">
        <v>760</v>
      </c>
      <c r="D222">
        <v>80</v>
      </c>
      <c r="E222">
        <v>85</v>
      </c>
      <c r="F222">
        <v>32</v>
      </c>
      <c r="G222" s="3">
        <v>41306</v>
      </c>
      <c r="H222" s="3">
        <v>41306</v>
      </c>
      <c r="I222" s="3">
        <v>41395</v>
      </c>
    </row>
    <row r="223" spans="1:9" x14ac:dyDescent="0.25">
      <c r="A223" t="s">
        <v>83</v>
      </c>
      <c r="B223">
        <v>720</v>
      </c>
      <c r="C223">
        <v>760</v>
      </c>
      <c r="D223">
        <v>0</v>
      </c>
      <c r="E223">
        <v>80</v>
      </c>
      <c r="F223">
        <v>0</v>
      </c>
      <c r="G223" s="3">
        <v>41306</v>
      </c>
      <c r="H223" s="3">
        <v>41306</v>
      </c>
      <c r="I223" s="3">
        <v>41395</v>
      </c>
    </row>
    <row r="224" spans="1:9" x14ac:dyDescent="0.25">
      <c r="A224" t="s">
        <v>83</v>
      </c>
      <c r="B224">
        <v>680</v>
      </c>
      <c r="C224">
        <v>720</v>
      </c>
      <c r="D224">
        <v>97</v>
      </c>
      <c r="E224">
        <v>999</v>
      </c>
      <c r="G224" s="3">
        <v>41306</v>
      </c>
      <c r="H224" s="3">
        <v>41306</v>
      </c>
      <c r="I224" s="3">
        <v>41395</v>
      </c>
    </row>
    <row r="225" spans="1:9" x14ac:dyDescent="0.25">
      <c r="A225" t="s">
        <v>83</v>
      </c>
      <c r="B225">
        <v>680</v>
      </c>
      <c r="C225">
        <v>720</v>
      </c>
      <c r="D225">
        <v>95</v>
      </c>
      <c r="E225">
        <v>97</v>
      </c>
      <c r="F225">
        <v>110</v>
      </c>
      <c r="G225" s="3">
        <v>41306</v>
      </c>
      <c r="H225" s="3">
        <v>41306</v>
      </c>
      <c r="I225" s="3">
        <v>41395</v>
      </c>
    </row>
    <row r="226" spans="1:9" x14ac:dyDescent="0.25">
      <c r="A226" t="s">
        <v>83</v>
      </c>
      <c r="B226">
        <v>680</v>
      </c>
      <c r="C226">
        <v>720</v>
      </c>
      <c r="D226">
        <v>90</v>
      </c>
      <c r="E226">
        <v>95</v>
      </c>
      <c r="F226">
        <v>94</v>
      </c>
      <c r="G226" s="3">
        <v>41306</v>
      </c>
      <c r="H226" s="3">
        <v>41306</v>
      </c>
      <c r="I226" s="3">
        <v>41395</v>
      </c>
    </row>
    <row r="227" spans="1:9" x14ac:dyDescent="0.25">
      <c r="A227" t="s">
        <v>83</v>
      </c>
      <c r="B227">
        <v>680</v>
      </c>
      <c r="C227">
        <v>720</v>
      </c>
      <c r="D227">
        <v>85</v>
      </c>
      <c r="E227">
        <v>90</v>
      </c>
      <c r="F227">
        <v>62</v>
      </c>
      <c r="G227" s="3">
        <v>41306</v>
      </c>
      <c r="H227" s="3">
        <v>41306</v>
      </c>
      <c r="I227" s="3">
        <v>41395</v>
      </c>
    </row>
    <row r="228" spans="1:9" x14ac:dyDescent="0.25">
      <c r="A228" t="s">
        <v>83</v>
      </c>
      <c r="B228">
        <v>680</v>
      </c>
      <c r="C228">
        <v>720</v>
      </c>
      <c r="D228">
        <v>80</v>
      </c>
      <c r="E228">
        <v>85</v>
      </c>
      <c r="F228">
        <v>38</v>
      </c>
      <c r="G228" s="3">
        <v>41306</v>
      </c>
      <c r="H228" s="3">
        <v>41306</v>
      </c>
      <c r="I228" s="3">
        <v>41395</v>
      </c>
    </row>
    <row r="229" spans="1:9" x14ac:dyDescent="0.25">
      <c r="A229" t="s">
        <v>83</v>
      </c>
      <c r="B229">
        <v>680</v>
      </c>
      <c r="C229">
        <v>720</v>
      </c>
      <c r="D229">
        <v>0</v>
      </c>
      <c r="E229">
        <v>80</v>
      </c>
      <c r="F229">
        <v>0</v>
      </c>
      <c r="G229" s="3">
        <v>41306</v>
      </c>
      <c r="H229" s="3">
        <v>41306</v>
      </c>
      <c r="I229" s="3">
        <v>41395</v>
      </c>
    </row>
    <row r="230" spans="1:9" x14ac:dyDescent="0.25">
      <c r="A230" t="s">
        <v>83</v>
      </c>
      <c r="B230">
        <v>620</v>
      </c>
      <c r="C230">
        <v>680</v>
      </c>
      <c r="D230">
        <v>97</v>
      </c>
      <c r="E230">
        <v>999</v>
      </c>
      <c r="G230" s="3">
        <v>41306</v>
      </c>
      <c r="H230" s="3">
        <v>41306</v>
      </c>
      <c r="I230" s="3">
        <v>41395</v>
      </c>
    </row>
    <row r="231" spans="1:9" x14ac:dyDescent="0.25">
      <c r="A231" t="s">
        <v>83</v>
      </c>
      <c r="B231">
        <v>620</v>
      </c>
      <c r="C231">
        <v>680</v>
      </c>
      <c r="D231">
        <v>95</v>
      </c>
      <c r="E231">
        <v>97</v>
      </c>
      <c r="G231" s="3">
        <v>41306</v>
      </c>
      <c r="H231" s="3">
        <v>41306</v>
      </c>
      <c r="I231" s="3">
        <v>41395</v>
      </c>
    </row>
    <row r="232" spans="1:9" x14ac:dyDescent="0.25">
      <c r="A232" t="s">
        <v>83</v>
      </c>
      <c r="B232">
        <v>620</v>
      </c>
      <c r="C232">
        <v>680</v>
      </c>
      <c r="D232">
        <v>90</v>
      </c>
      <c r="E232">
        <v>95</v>
      </c>
      <c r="F232">
        <v>120</v>
      </c>
      <c r="G232" s="3">
        <v>41306</v>
      </c>
      <c r="H232" s="3">
        <v>41306</v>
      </c>
      <c r="I232" s="3">
        <v>41395</v>
      </c>
    </row>
    <row r="233" spans="1:9" x14ac:dyDescent="0.25">
      <c r="A233" t="s">
        <v>83</v>
      </c>
      <c r="B233">
        <v>620</v>
      </c>
      <c r="C233">
        <v>680</v>
      </c>
      <c r="D233">
        <v>85</v>
      </c>
      <c r="E233">
        <v>90</v>
      </c>
      <c r="F233">
        <v>76</v>
      </c>
      <c r="G233" s="3">
        <v>41306</v>
      </c>
      <c r="H233" s="3">
        <v>41306</v>
      </c>
      <c r="I233" s="3">
        <v>41395</v>
      </c>
    </row>
    <row r="234" spans="1:9" x14ac:dyDescent="0.25">
      <c r="A234" t="s">
        <v>83</v>
      </c>
      <c r="B234">
        <v>620</v>
      </c>
      <c r="C234">
        <v>680</v>
      </c>
      <c r="D234">
        <v>80</v>
      </c>
      <c r="E234">
        <v>85</v>
      </c>
      <c r="F234">
        <v>44</v>
      </c>
      <c r="G234" s="3">
        <v>41306</v>
      </c>
      <c r="H234" s="3">
        <v>41306</v>
      </c>
      <c r="I234" s="3">
        <v>41395</v>
      </c>
    </row>
    <row r="235" spans="1:9" x14ac:dyDescent="0.25">
      <c r="A235" t="s">
        <v>83</v>
      </c>
      <c r="B235">
        <v>620</v>
      </c>
      <c r="C235">
        <v>680</v>
      </c>
      <c r="D235">
        <v>0</v>
      </c>
      <c r="E235">
        <v>80</v>
      </c>
      <c r="F235">
        <v>0</v>
      </c>
      <c r="G235" s="3">
        <v>41306</v>
      </c>
      <c r="H235" s="3">
        <v>41306</v>
      </c>
      <c r="I235" s="3">
        <v>41395</v>
      </c>
    </row>
    <row r="236" spans="1:9" x14ac:dyDescent="0.25">
      <c r="A236" t="s">
        <v>83</v>
      </c>
      <c r="B236">
        <v>300</v>
      </c>
      <c r="C236">
        <v>620</v>
      </c>
      <c r="D236">
        <v>97</v>
      </c>
      <c r="E236">
        <v>999</v>
      </c>
      <c r="G236" s="3">
        <v>41306</v>
      </c>
      <c r="H236" s="3">
        <v>41306</v>
      </c>
      <c r="I236" s="3">
        <v>41395</v>
      </c>
    </row>
    <row r="237" spans="1:9" x14ac:dyDescent="0.25">
      <c r="A237" t="s">
        <v>83</v>
      </c>
      <c r="B237">
        <v>300</v>
      </c>
      <c r="C237">
        <v>620</v>
      </c>
      <c r="D237">
        <v>95</v>
      </c>
      <c r="E237">
        <v>97</v>
      </c>
      <c r="G237" s="3">
        <v>41306</v>
      </c>
      <c r="H237" s="3">
        <v>41306</v>
      </c>
      <c r="I237" s="3">
        <v>41395</v>
      </c>
    </row>
    <row r="238" spans="1:9" x14ac:dyDescent="0.25">
      <c r="A238" t="s">
        <v>83</v>
      </c>
      <c r="B238">
        <v>300</v>
      </c>
      <c r="C238">
        <v>620</v>
      </c>
      <c r="D238">
        <v>90</v>
      </c>
      <c r="E238">
        <v>95</v>
      </c>
      <c r="G238" s="3">
        <v>41306</v>
      </c>
      <c r="H238" s="3">
        <v>41306</v>
      </c>
      <c r="I238" s="3">
        <v>41395</v>
      </c>
    </row>
    <row r="239" spans="1:9" x14ac:dyDescent="0.25">
      <c r="A239" t="s">
        <v>83</v>
      </c>
      <c r="B239">
        <v>300</v>
      </c>
      <c r="C239">
        <v>620</v>
      </c>
      <c r="D239">
        <v>85</v>
      </c>
      <c r="E239">
        <v>90</v>
      </c>
      <c r="G239" s="3">
        <v>41306</v>
      </c>
      <c r="H239" s="3">
        <v>41306</v>
      </c>
      <c r="I239" s="3">
        <v>41395</v>
      </c>
    </row>
    <row r="240" spans="1:9" x14ac:dyDescent="0.25">
      <c r="A240" t="s">
        <v>83</v>
      </c>
      <c r="B240">
        <v>300</v>
      </c>
      <c r="C240">
        <v>620</v>
      </c>
      <c r="D240">
        <v>80</v>
      </c>
      <c r="E240">
        <v>85</v>
      </c>
      <c r="G240" s="3">
        <v>41306</v>
      </c>
      <c r="H240" s="3">
        <v>41306</v>
      </c>
      <c r="I240" s="3">
        <v>41395</v>
      </c>
    </row>
    <row r="241" spans="1:28" x14ac:dyDescent="0.25">
      <c r="A241" t="s">
        <v>83</v>
      </c>
      <c r="B241">
        <v>300</v>
      </c>
      <c r="C241">
        <v>620</v>
      </c>
      <c r="D241">
        <v>0</v>
      </c>
      <c r="E241">
        <v>80</v>
      </c>
      <c r="G241" s="3">
        <v>41306</v>
      </c>
      <c r="H241" s="3">
        <v>41306</v>
      </c>
      <c r="I241" s="3">
        <v>41395</v>
      </c>
    </row>
    <row r="242" spans="1:28" x14ac:dyDescent="0.25">
      <c r="A242" t="s">
        <v>81</v>
      </c>
      <c r="B242">
        <v>760</v>
      </c>
      <c r="C242">
        <v>999</v>
      </c>
      <c r="D242">
        <v>97</v>
      </c>
      <c r="E242">
        <v>999</v>
      </c>
      <c r="G242" s="3">
        <v>40969</v>
      </c>
      <c r="H242" s="3">
        <v>40969</v>
      </c>
      <c r="I242" s="3">
        <v>41306</v>
      </c>
      <c r="M242" t="s">
        <v>41</v>
      </c>
      <c r="N242" t="s">
        <v>11</v>
      </c>
      <c r="O242" t="s">
        <v>12</v>
      </c>
      <c r="P242" t="s">
        <v>13</v>
      </c>
      <c r="Q242" t="s">
        <v>14</v>
      </c>
      <c r="R242" t="s">
        <v>19</v>
      </c>
      <c r="S242" s="3">
        <v>40969</v>
      </c>
      <c r="V242" t="s">
        <v>41</v>
      </c>
      <c r="W242" t="s">
        <v>11</v>
      </c>
      <c r="X242" t="s">
        <v>12</v>
      </c>
      <c r="Y242" t="s">
        <v>13</v>
      </c>
      <c r="Z242" t="s">
        <v>14</v>
      </c>
      <c r="AA242" t="s">
        <v>19</v>
      </c>
      <c r="AB242" s="3">
        <v>41306</v>
      </c>
    </row>
    <row r="243" spans="1:28" x14ac:dyDescent="0.25">
      <c r="A243" t="s">
        <v>81</v>
      </c>
      <c r="B243">
        <v>760</v>
      </c>
      <c r="C243">
        <v>999</v>
      </c>
      <c r="D243">
        <v>95</v>
      </c>
      <c r="E243">
        <v>97</v>
      </c>
      <c r="F243">
        <v>86</v>
      </c>
      <c r="G243" s="3">
        <v>40969</v>
      </c>
      <c r="H243" s="3">
        <v>40969</v>
      </c>
      <c r="I243" s="3">
        <v>41306</v>
      </c>
      <c r="M243" s="1" t="s">
        <v>15</v>
      </c>
      <c r="N243">
        <v>79</v>
      </c>
      <c r="O243">
        <v>85</v>
      </c>
      <c r="P243">
        <v>106</v>
      </c>
      <c r="Q243" s="2" t="s">
        <v>34</v>
      </c>
      <c r="R243" s="2" t="s">
        <v>34</v>
      </c>
      <c r="V243" s="1" t="s">
        <v>15</v>
      </c>
      <c r="W243">
        <v>2</v>
      </c>
      <c r="X243">
        <v>3</v>
      </c>
      <c r="Y243">
        <v>4</v>
      </c>
      <c r="Z243" s="7">
        <v>5</v>
      </c>
      <c r="AA243" s="2"/>
    </row>
    <row r="244" spans="1:28" x14ac:dyDescent="0.25">
      <c r="A244" t="s">
        <v>81</v>
      </c>
      <c r="B244">
        <v>760</v>
      </c>
      <c r="C244">
        <v>999</v>
      </c>
      <c r="D244">
        <v>90</v>
      </c>
      <c r="E244">
        <v>95</v>
      </c>
      <c r="F244">
        <v>64</v>
      </c>
      <c r="G244" s="3">
        <v>40969</v>
      </c>
      <c r="H244" s="3">
        <v>40969</v>
      </c>
      <c r="I244" s="3">
        <v>41306</v>
      </c>
      <c r="M244" t="s">
        <v>16</v>
      </c>
      <c r="N244">
        <v>57</v>
      </c>
      <c r="O244">
        <v>64</v>
      </c>
      <c r="P244">
        <v>90</v>
      </c>
      <c r="Q244">
        <v>115</v>
      </c>
      <c r="R244" s="2" t="s">
        <v>34</v>
      </c>
      <c r="V244" t="s">
        <v>16</v>
      </c>
      <c r="W244">
        <v>2</v>
      </c>
      <c r="X244">
        <v>3</v>
      </c>
      <c r="Y244">
        <v>4</v>
      </c>
      <c r="Z244">
        <v>5</v>
      </c>
      <c r="AA244" s="2"/>
    </row>
    <row r="245" spans="1:28" x14ac:dyDescent="0.25">
      <c r="A245" t="s">
        <v>81</v>
      </c>
      <c r="B245">
        <v>760</v>
      </c>
      <c r="C245">
        <v>999</v>
      </c>
      <c r="D245">
        <v>85</v>
      </c>
      <c r="E245">
        <v>90</v>
      </c>
      <c r="F245">
        <v>49</v>
      </c>
      <c r="G245" s="3">
        <v>40969</v>
      </c>
      <c r="H245" s="3">
        <v>40969</v>
      </c>
      <c r="I245" s="3">
        <v>41306</v>
      </c>
      <c r="M245" t="s">
        <v>17</v>
      </c>
      <c r="N245">
        <v>42</v>
      </c>
      <c r="O245">
        <v>46</v>
      </c>
      <c r="P245">
        <v>58</v>
      </c>
      <c r="Q245">
        <v>71</v>
      </c>
      <c r="R245" s="2" t="s">
        <v>34</v>
      </c>
      <c r="V245" t="s">
        <v>17</v>
      </c>
      <c r="W245">
        <v>2</v>
      </c>
      <c r="X245">
        <v>3</v>
      </c>
      <c r="Y245">
        <v>4</v>
      </c>
      <c r="Z245">
        <v>5</v>
      </c>
      <c r="AA245" s="2"/>
    </row>
    <row r="246" spans="1:28" x14ac:dyDescent="0.25">
      <c r="A246" t="s">
        <v>81</v>
      </c>
      <c r="B246">
        <v>760</v>
      </c>
      <c r="C246">
        <v>999</v>
      </c>
      <c r="D246">
        <v>80</v>
      </c>
      <c r="E246">
        <v>85</v>
      </c>
      <c r="F246">
        <v>33</v>
      </c>
      <c r="G246" s="3">
        <v>40969</v>
      </c>
      <c r="H246" s="3">
        <v>40969</v>
      </c>
      <c r="I246" s="3">
        <v>41306</v>
      </c>
      <c r="M246" t="s">
        <v>18</v>
      </c>
      <c r="N246">
        <v>26</v>
      </c>
      <c r="O246">
        <v>29</v>
      </c>
      <c r="P246">
        <v>34</v>
      </c>
      <c r="Q246">
        <v>39</v>
      </c>
      <c r="R246" s="2" t="s">
        <v>34</v>
      </c>
      <c r="V246" t="s">
        <v>18</v>
      </c>
      <c r="W246">
        <v>2</v>
      </c>
      <c r="X246">
        <v>3</v>
      </c>
      <c r="Y246">
        <v>4</v>
      </c>
      <c r="Z246">
        <v>5</v>
      </c>
      <c r="AA246" s="2"/>
    </row>
    <row r="247" spans="1:28" x14ac:dyDescent="0.25">
      <c r="A247" t="s">
        <v>81</v>
      </c>
      <c r="B247">
        <v>760</v>
      </c>
      <c r="C247">
        <v>999</v>
      </c>
      <c r="D247">
        <v>0</v>
      </c>
      <c r="E247">
        <v>80</v>
      </c>
      <c r="F247">
        <v>0</v>
      </c>
      <c r="G247" s="3">
        <v>40969</v>
      </c>
      <c r="H247" s="3">
        <v>40969</v>
      </c>
      <c r="I247" s="3">
        <v>41306</v>
      </c>
      <c r="M247" t="s">
        <v>21</v>
      </c>
      <c r="N247">
        <v>0</v>
      </c>
      <c r="O247">
        <v>0</v>
      </c>
      <c r="P247">
        <v>0</v>
      </c>
      <c r="Q247">
        <v>0</v>
      </c>
      <c r="R247" s="2" t="s">
        <v>34</v>
      </c>
      <c r="V247" t="s">
        <v>21</v>
      </c>
      <c r="AA247" s="2"/>
    </row>
    <row r="248" spans="1:28" x14ac:dyDescent="0.25">
      <c r="A248" t="s">
        <v>81</v>
      </c>
      <c r="B248">
        <v>720</v>
      </c>
      <c r="C248">
        <v>760</v>
      </c>
      <c r="D248">
        <v>97</v>
      </c>
      <c r="E248">
        <v>999</v>
      </c>
      <c r="G248" s="3">
        <v>40969</v>
      </c>
      <c r="H248" s="3">
        <v>40969</v>
      </c>
      <c r="I248" s="3">
        <v>41306</v>
      </c>
    </row>
    <row r="249" spans="1:28" x14ac:dyDescent="0.25">
      <c r="A249" t="s">
        <v>81</v>
      </c>
      <c r="B249">
        <v>720</v>
      </c>
      <c r="C249">
        <v>760</v>
      </c>
      <c r="D249">
        <v>95</v>
      </c>
      <c r="E249">
        <v>97</v>
      </c>
      <c r="F249">
        <v>98</v>
      </c>
      <c r="G249" s="3">
        <v>40969</v>
      </c>
      <c r="H249" s="3">
        <v>40969</v>
      </c>
      <c r="I249" s="3">
        <v>41306</v>
      </c>
      <c r="M249" t="s">
        <v>40</v>
      </c>
      <c r="N249" t="s">
        <v>11</v>
      </c>
      <c r="O249" t="s">
        <v>12</v>
      </c>
      <c r="P249" t="s">
        <v>13</v>
      </c>
      <c r="Q249" t="s">
        <v>14</v>
      </c>
      <c r="R249" t="s">
        <v>19</v>
      </c>
      <c r="S249" s="3">
        <v>40969</v>
      </c>
    </row>
    <row r="250" spans="1:28" x14ac:dyDescent="0.25">
      <c r="A250" t="s">
        <v>81</v>
      </c>
      <c r="B250">
        <v>720</v>
      </c>
      <c r="C250">
        <v>760</v>
      </c>
      <c r="D250">
        <v>90</v>
      </c>
      <c r="E250">
        <v>95</v>
      </c>
      <c r="F250">
        <v>77</v>
      </c>
      <c r="G250" s="3">
        <v>40969</v>
      </c>
      <c r="H250" s="3">
        <v>40969</v>
      </c>
      <c r="I250" s="3">
        <v>41306</v>
      </c>
      <c r="M250" s="1" t="s">
        <v>15</v>
      </c>
      <c r="N250">
        <f>N243+5</f>
        <v>84</v>
      </c>
      <c r="O250">
        <f>O243+10</f>
        <v>95</v>
      </c>
      <c r="P250">
        <f>P243+15</f>
        <v>121</v>
      </c>
      <c r="Q250" s="2" t="s">
        <v>34</v>
      </c>
      <c r="R250" s="2" t="s">
        <v>34</v>
      </c>
    </row>
    <row r="251" spans="1:28" x14ac:dyDescent="0.25">
      <c r="A251" t="s">
        <v>81</v>
      </c>
      <c r="B251">
        <v>720</v>
      </c>
      <c r="C251">
        <v>760</v>
      </c>
      <c r="D251">
        <v>85</v>
      </c>
      <c r="E251">
        <v>90</v>
      </c>
      <c r="F251">
        <v>59</v>
      </c>
      <c r="G251" s="3">
        <v>40969</v>
      </c>
      <c r="H251" s="3">
        <v>40969</v>
      </c>
      <c r="I251" s="3">
        <v>41306</v>
      </c>
      <c r="M251" t="s">
        <v>16</v>
      </c>
      <c r="N251">
        <f t="shared" ref="N251:N253" si="16">N244+5</f>
        <v>62</v>
      </c>
      <c r="O251">
        <f t="shared" ref="O251:O253" si="17">O244+10</f>
        <v>74</v>
      </c>
      <c r="P251">
        <f t="shared" ref="P251:P253" si="18">P244+15</f>
        <v>105</v>
      </c>
      <c r="Q251">
        <f>Q244+30</f>
        <v>145</v>
      </c>
      <c r="R251" s="2" t="s">
        <v>34</v>
      </c>
    </row>
    <row r="252" spans="1:28" x14ac:dyDescent="0.25">
      <c r="A252" t="s">
        <v>81</v>
      </c>
      <c r="B252">
        <v>720</v>
      </c>
      <c r="C252">
        <v>760</v>
      </c>
      <c r="D252">
        <v>80</v>
      </c>
      <c r="E252">
        <v>85</v>
      </c>
      <c r="F252">
        <v>42</v>
      </c>
      <c r="G252" s="3">
        <v>40969</v>
      </c>
      <c r="H252" s="3">
        <v>40969</v>
      </c>
      <c r="I252" s="3">
        <v>41306</v>
      </c>
      <c r="M252" t="s">
        <v>17</v>
      </c>
      <c r="N252">
        <f t="shared" si="16"/>
        <v>47</v>
      </c>
      <c r="O252">
        <f t="shared" si="17"/>
        <v>56</v>
      </c>
      <c r="P252">
        <f t="shared" si="18"/>
        <v>73</v>
      </c>
      <c r="Q252">
        <f t="shared" ref="Q252:Q253" si="19">Q245+30</f>
        <v>101</v>
      </c>
      <c r="R252" s="2" t="s">
        <v>34</v>
      </c>
    </row>
    <row r="253" spans="1:28" x14ac:dyDescent="0.25">
      <c r="A253" t="s">
        <v>81</v>
      </c>
      <c r="B253">
        <v>720</v>
      </c>
      <c r="C253">
        <v>760</v>
      </c>
      <c r="D253">
        <v>0</v>
      </c>
      <c r="E253">
        <v>80</v>
      </c>
      <c r="F253">
        <v>0</v>
      </c>
      <c r="G253" s="3">
        <v>40969</v>
      </c>
      <c r="H253" s="3">
        <v>40969</v>
      </c>
      <c r="I253" s="3">
        <v>41306</v>
      </c>
      <c r="M253" t="s">
        <v>18</v>
      </c>
      <c r="N253">
        <f t="shared" si="16"/>
        <v>31</v>
      </c>
      <c r="O253">
        <f t="shared" si="17"/>
        <v>39</v>
      </c>
      <c r="P253">
        <f t="shared" si="18"/>
        <v>49</v>
      </c>
      <c r="Q253">
        <f t="shared" si="19"/>
        <v>69</v>
      </c>
      <c r="R253" s="2" t="s">
        <v>34</v>
      </c>
    </row>
    <row r="254" spans="1:28" x14ac:dyDescent="0.25">
      <c r="A254" t="s">
        <v>81</v>
      </c>
      <c r="B254">
        <v>680</v>
      </c>
      <c r="C254">
        <v>720</v>
      </c>
      <c r="D254">
        <v>97</v>
      </c>
      <c r="E254">
        <v>999</v>
      </c>
      <c r="G254" s="3">
        <v>40969</v>
      </c>
      <c r="H254" s="3">
        <v>40969</v>
      </c>
      <c r="I254" s="3">
        <v>41306</v>
      </c>
      <c r="M254" t="s">
        <v>21</v>
      </c>
      <c r="N254">
        <v>0</v>
      </c>
      <c r="O254">
        <v>0</v>
      </c>
      <c r="P254">
        <v>0</v>
      </c>
      <c r="Q254">
        <v>0</v>
      </c>
      <c r="R254" s="2" t="s">
        <v>34</v>
      </c>
    </row>
    <row r="255" spans="1:28" x14ac:dyDescent="0.25">
      <c r="A255" t="s">
        <v>81</v>
      </c>
      <c r="B255">
        <v>680</v>
      </c>
      <c r="C255">
        <v>720</v>
      </c>
      <c r="D255">
        <v>95</v>
      </c>
      <c r="E255">
        <v>97</v>
      </c>
      <c r="F255">
        <v>125</v>
      </c>
      <c r="G255" s="3">
        <v>40969</v>
      </c>
      <c r="H255" s="3">
        <v>40969</v>
      </c>
      <c r="I255" s="3">
        <v>41306</v>
      </c>
    </row>
    <row r="256" spans="1:28" x14ac:dyDescent="0.25">
      <c r="A256" t="s">
        <v>81</v>
      </c>
      <c r="B256">
        <v>680</v>
      </c>
      <c r="C256">
        <v>720</v>
      </c>
      <c r="D256">
        <v>90</v>
      </c>
      <c r="E256">
        <v>95</v>
      </c>
      <c r="F256">
        <v>109</v>
      </c>
      <c r="G256" s="3">
        <v>40969</v>
      </c>
      <c r="H256" s="3">
        <v>40969</v>
      </c>
      <c r="I256" s="3">
        <v>41306</v>
      </c>
      <c r="M256" t="s">
        <v>43</v>
      </c>
      <c r="N256" t="s">
        <v>84</v>
      </c>
    </row>
    <row r="257" spans="1:19" x14ac:dyDescent="0.25">
      <c r="A257" t="s">
        <v>81</v>
      </c>
      <c r="B257">
        <v>680</v>
      </c>
      <c r="C257">
        <v>720</v>
      </c>
      <c r="D257">
        <v>85</v>
      </c>
      <c r="E257">
        <v>90</v>
      </c>
      <c r="F257">
        <v>77</v>
      </c>
      <c r="G257" s="3">
        <v>40969</v>
      </c>
      <c r="H257" s="3">
        <v>40969</v>
      </c>
      <c r="I257" s="3">
        <v>41306</v>
      </c>
      <c r="M257" t="s">
        <v>44</v>
      </c>
      <c r="N257" t="s">
        <v>45</v>
      </c>
    </row>
    <row r="258" spans="1:19" x14ac:dyDescent="0.25">
      <c r="A258" t="s">
        <v>81</v>
      </c>
      <c r="B258">
        <v>680</v>
      </c>
      <c r="C258">
        <v>720</v>
      </c>
      <c r="D258">
        <v>80</v>
      </c>
      <c r="E258">
        <v>85</v>
      </c>
      <c r="F258">
        <v>53</v>
      </c>
      <c r="G258" s="3">
        <v>40969</v>
      </c>
      <c r="H258" s="3">
        <v>40969</v>
      </c>
      <c r="I258" s="3">
        <v>41306</v>
      </c>
    </row>
    <row r="259" spans="1:19" x14ac:dyDescent="0.25">
      <c r="A259" t="s">
        <v>81</v>
      </c>
      <c r="B259">
        <v>680</v>
      </c>
      <c r="C259">
        <v>720</v>
      </c>
      <c r="D259">
        <v>0</v>
      </c>
      <c r="E259">
        <v>80</v>
      </c>
      <c r="F259">
        <v>0</v>
      </c>
      <c r="G259" s="3">
        <v>40969</v>
      </c>
      <c r="H259" s="3">
        <v>40969</v>
      </c>
      <c r="I259" s="3">
        <v>41306</v>
      </c>
    </row>
    <row r="260" spans="1:19" x14ac:dyDescent="0.25">
      <c r="A260" t="s">
        <v>81</v>
      </c>
      <c r="B260">
        <v>620</v>
      </c>
      <c r="C260">
        <v>680</v>
      </c>
      <c r="D260">
        <v>97</v>
      </c>
      <c r="E260">
        <v>999</v>
      </c>
      <c r="G260" s="3">
        <v>40969</v>
      </c>
      <c r="H260" s="3">
        <v>40969</v>
      </c>
      <c r="I260" s="3">
        <v>41306</v>
      </c>
    </row>
    <row r="261" spans="1:19" x14ac:dyDescent="0.25">
      <c r="A261" t="s">
        <v>81</v>
      </c>
      <c r="B261">
        <v>620</v>
      </c>
      <c r="C261">
        <v>680</v>
      </c>
      <c r="D261">
        <v>95</v>
      </c>
      <c r="E261">
        <v>97</v>
      </c>
      <c r="G261" s="3">
        <v>40969</v>
      </c>
      <c r="H261" s="3">
        <v>40969</v>
      </c>
      <c r="I261" s="3">
        <v>41306</v>
      </c>
      <c r="M261" t="s">
        <v>85</v>
      </c>
    </row>
    <row r="262" spans="1:19" x14ac:dyDescent="0.25">
      <c r="A262" t="s">
        <v>81</v>
      </c>
      <c r="B262">
        <v>620</v>
      </c>
      <c r="C262">
        <v>680</v>
      </c>
      <c r="D262">
        <v>90</v>
      </c>
      <c r="E262">
        <v>95</v>
      </c>
      <c r="F262">
        <v>150</v>
      </c>
      <c r="G262" s="3">
        <v>40969</v>
      </c>
      <c r="H262" s="3">
        <v>40969</v>
      </c>
      <c r="I262" s="3">
        <v>41306</v>
      </c>
      <c r="M262" t="s">
        <v>41</v>
      </c>
      <c r="N262" t="s">
        <v>11</v>
      </c>
      <c r="O262" t="s">
        <v>12</v>
      </c>
      <c r="P262" t="s">
        <v>13</v>
      </c>
      <c r="Q262" t="s">
        <v>14</v>
      </c>
      <c r="R262" t="s">
        <v>19</v>
      </c>
      <c r="S262" s="3">
        <v>40969</v>
      </c>
    </row>
    <row r="263" spans="1:19" x14ac:dyDescent="0.25">
      <c r="A263" t="s">
        <v>81</v>
      </c>
      <c r="B263">
        <v>620</v>
      </c>
      <c r="C263">
        <v>680</v>
      </c>
      <c r="D263">
        <v>85</v>
      </c>
      <c r="E263">
        <v>90</v>
      </c>
      <c r="F263">
        <v>106</v>
      </c>
      <c r="G263" s="3">
        <v>40969</v>
      </c>
      <c r="H263" s="3">
        <v>40969</v>
      </c>
      <c r="I263" s="3">
        <v>41306</v>
      </c>
      <c r="M263" s="1" t="s">
        <v>15</v>
      </c>
      <c r="N263">
        <f>N243+W243</f>
        <v>81</v>
      </c>
      <c r="O263">
        <f t="shared" ref="O263:Q267" si="20">O243+X243</f>
        <v>88</v>
      </c>
      <c r="P263">
        <f t="shared" si="20"/>
        <v>110</v>
      </c>
      <c r="Q263" s="2" t="s">
        <v>34</v>
      </c>
      <c r="R263" s="2" t="s">
        <v>34</v>
      </c>
    </row>
    <row r="264" spans="1:19" x14ac:dyDescent="0.25">
      <c r="A264" t="s">
        <v>81</v>
      </c>
      <c r="B264">
        <v>620</v>
      </c>
      <c r="C264">
        <v>680</v>
      </c>
      <c r="D264">
        <v>80</v>
      </c>
      <c r="E264">
        <v>85</v>
      </c>
      <c r="F264">
        <v>74</v>
      </c>
      <c r="G264" s="3">
        <v>40969</v>
      </c>
      <c r="H264" s="3">
        <v>40969</v>
      </c>
      <c r="I264" s="3">
        <v>41306</v>
      </c>
      <c r="M264" t="s">
        <v>16</v>
      </c>
      <c r="N264">
        <f t="shared" ref="N264:N267" si="21">N244+W244</f>
        <v>59</v>
      </c>
      <c r="O264">
        <f t="shared" si="20"/>
        <v>67</v>
      </c>
      <c r="P264">
        <f t="shared" si="20"/>
        <v>94</v>
      </c>
      <c r="Q264">
        <f t="shared" si="20"/>
        <v>120</v>
      </c>
      <c r="R264" s="2" t="s">
        <v>34</v>
      </c>
    </row>
    <row r="265" spans="1:19" x14ac:dyDescent="0.25">
      <c r="A265" t="s">
        <v>81</v>
      </c>
      <c r="B265">
        <v>620</v>
      </c>
      <c r="C265">
        <v>680</v>
      </c>
      <c r="D265">
        <v>0</v>
      </c>
      <c r="E265">
        <v>80</v>
      </c>
      <c r="F265">
        <v>0</v>
      </c>
      <c r="G265" s="3">
        <v>40969</v>
      </c>
      <c r="H265" s="3">
        <v>40969</v>
      </c>
      <c r="I265" s="3">
        <v>41306</v>
      </c>
      <c r="M265" t="s">
        <v>17</v>
      </c>
      <c r="N265">
        <f t="shared" si="21"/>
        <v>44</v>
      </c>
      <c r="O265">
        <f t="shared" si="20"/>
        <v>49</v>
      </c>
      <c r="P265">
        <f t="shared" si="20"/>
        <v>62</v>
      </c>
      <c r="Q265">
        <f t="shared" si="20"/>
        <v>76</v>
      </c>
      <c r="R265" s="2" t="s">
        <v>34</v>
      </c>
    </row>
    <row r="266" spans="1:19" x14ac:dyDescent="0.25">
      <c r="A266" t="s">
        <v>81</v>
      </c>
      <c r="B266">
        <v>300</v>
      </c>
      <c r="C266">
        <v>620</v>
      </c>
      <c r="D266">
        <v>97</v>
      </c>
      <c r="E266">
        <v>999</v>
      </c>
      <c r="G266" s="3">
        <v>40969</v>
      </c>
      <c r="H266" s="3">
        <v>40969</v>
      </c>
      <c r="I266" s="3">
        <v>41306</v>
      </c>
      <c r="M266" t="s">
        <v>18</v>
      </c>
      <c r="N266">
        <f t="shared" si="21"/>
        <v>28</v>
      </c>
      <c r="O266">
        <f t="shared" si="20"/>
        <v>32</v>
      </c>
      <c r="P266">
        <f t="shared" si="20"/>
        <v>38</v>
      </c>
      <c r="Q266">
        <f t="shared" si="20"/>
        <v>44</v>
      </c>
      <c r="R266" s="2" t="s">
        <v>34</v>
      </c>
    </row>
    <row r="267" spans="1:19" x14ac:dyDescent="0.25">
      <c r="A267" t="s">
        <v>81</v>
      </c>
      <c r="B267">
        <v>300</v>
      </c>
      <c r="C267">
        <v>620</v>
      </c>
      <c r="D267">
        <v>95</v>
      </c>
      <c r="E267">
        <v>97</v>
      </c>
      <c r="G267" s="3">
        <v>40969</v>
      </c>
      <c r="H267" s="3">
        <v>40969</v>
      </c>
      <c r="I267" s="3">
        <v>41306</v>
      </c>
      <c r="M267" t="s">
        <v>21</v>
      </c>
      <c r="N267">
        <f t="shared" si="21"/>
        <v>0</v>
      </c>
      <c r="O267">
        <f t="shared" si="20"/>
        <v>0</v>
      </c>
      <c r="P267">
        <f t="shared" si="20"/>
        <v>0</v>
      </c>
      <c r="Q267">
        <f t="shared" si="20"/>
        <v>0</v>
      </c>
      <c r="R267" s="2" t="s">
        <v>34</v>
      </c>
    </row>
    <row r="268" spans="1:19" x14ac:dyDescent="0.25">
      <c r="A268" t="s">
        <v>81</v>
      </c>
      <c r="B268">
        <v>300</v>
      </c>
      <c r="C268">
        <v>620</v>
      </c>
      <c r="D268">
        <v>90</v>
      </c>
      <c r="E268">
        <v>95</v>
      </c>
      <c r="G268" s="3">
        <v>40969</v>
      </c>
      <c r="H268" s="3">
        <v>40969</v>
      </c>
      <c r="I268" s="3">
        <v>41306</v>
      </c>
    </row>
    <row r="269" spans="1:19" x14ac:dyDescent="0.25">
      <c r="A269" t="s">
        <v>81</v>
      </c>
      <c r="B269">
        <v>300</v>
      </c>
      <c r="C269">
        <v>620</v>
      </c>
      <c r="D269">
        <v>85</v>
      </c>
      <c r="E269">
        <v>90</v>
      </c>
      <c r="G269" s="3">
        <v>40969</v>
      </c>
      <c r="H269" s="3">
        <v>40969</v>
      </c>
      <c r="I269" s="3">
        <v>41306</v>
      </c>
      <c r="M269" t="s">
        <v>40</v>
      </c>
      <c r="N269" t="s">
        <v>11</v>
      </c>
      <c r="O269" t="s">
        <v>12</v>
      </c>
      <c r="P269" t="s">
        <v>13</v>
      </c>
      <c r="Q269" t="s">
        <v>14</v>
      </c>
      <c r="R269" t="s">
        <v>19</v>
      </c>
      <c r="S269" s="3">
        <v>40969</v>
      </c>
    </row>
    <row r="270" spans="1:19" x14ac:dyDescent="0.25">
      <c r="A270" t="s">
        <v>81</v>
      </c>
      <c r="B270">
        <v>300</v>
      </c>
      <c r="C270">
        <v>620</v>
      </c>
      <c r="D270">
        <v>80</v>
      </c>
      <c r="E270">
        <v>85</v>
      </c>
      <c r="G270" s="3">
        <v>40969</v>
      </c>
      <c r="H270" s="3">
        <v>40969</v>
      </c>
      <c r="I270" s="3">
        <v>41306</v>
      </c>
      <c r="M270" s="1" t="s">
        <v>15</v>
      </c>
      <c r="N270">
        <f>N263+5</f>
        <v>86</v>
      </c>
      <c r="O270">
        <f>O263+10</f>
        <v>98</v>
      </c>
      <c r="P270">
        <f>P263+15</f>
        <v>125</v>
      </c>
      <c r="Q270" s="2" t="s">
        <v>34</v>
      </c>
      <c r="R270" s="2" t="s">
        <v>34</v>
      </c>
    </row>
    <row r="271" spans="1:19" x14ac:dyDescent="0.25">
      <c r="A271" t="s">
        <v>81</v>
      </c>
      <c r="B271">
        <v>300</v>
      </c>
      <c r="C271">
        <v>620</v>
      </c>
      <c r="D271">
        <v>0</v>
      </c>
      <c r="E271">
        <v>80</v>
      </c>
      <c r="G271" s="3">
        <v>40969</v>
      </c>
      <c r="H271" s="3">
        <v>40969</v>
      </c>
      <c r="I271" s="3">
        <v>41306</v>
      </c>
      <c r="M271" t="s">
        <v>16</v>
      </c>
      <c r="N271">
        <f t="shared" ref="N271:N273" si="22">N264+5</f>
        <v>64</v>
      </c>
      <c r="O271">
        <f t="shared" ref="O271:O273" si="23">O264+10</f>
        <v>77</v>
      </c>
      <c r="P271">
        <f t="shared" ref="P271:P273" si="24">P264+15</f>
        <v>109</v>
      </c>
      <c r="Q271">
        <f>Q264+30</f>
        <v>150</v>
      </c>
      <c r="R271" s="2" t="s">
        <v>34</v>
      </c>
    </row>
    <row r="272" spans="1:19" x14ac:dyDescent="0.25">
      <c r="A272" t="s">
        <v>83</v>
      </c>
      <c r="B272">
        <v>760</v>
      </c>
      <c r="C272">
        <v>999</v>
      </c>
      <c r="D272">
        <v>97</v>
      </c>
      <c r="E272">
        <v>999</v>
      </c>
      <c r="G272" s="3">
        <v>40969</v>
      </c>
      <c r="H272" s="3">
        <v>40969</v>
      </c>
      <c r="I272" s="3">
        <v>41306</v>
      </c>
      <c r="M272" t="s">
        <v>17</v>
      </c>
      <c r="N272">
        <f t="shared" si="22"/>
        <v>49</v>
      </c>
      <c r="O272">
        <f t="shared" si="23"/>
        <v>59</v>
      </c>
      <c r="P272">
        <f t="shared" si="24"/>
        <v>77</v>
      </c>
      <c r="Q272">
        <f t="shared" ref="Q272:Q273" si="25">Q265+30</f>
        <v>106</v>
      </c>
      <c r="R272" s="2" t="s">
        <v>34</v>
      </c>
    </row>
    <row r="273" spans="1:18" x14ac:dyDescent="0.25">
      <c r="A273" t="s">
        <v>83</v>
      </c>
      <c r="B273">
        <v>760</v>
      </c>
      <c r="C273">
        <v>999</v>
      </c>
      <c r="D273">
        <v>95</v>
      </c>
      <c r="E273">
        <v>97</v>
      </c>
      <c r="F273">
        <v>81</v>
      </c>
      <c r="G273" s="3">
        <v>40969</v>
      </c>
      <c r="H273" s="3">
        <v>40969</v>
      </c>
      <c r="I273" s="3">
        <v>41306</v>
      </c>
      <c r="M273" t="s">
        <v>18</v>
      </c>
      <c r="N273">
        <f t="shared" si="22"/>
        <v>33</v>
      </c>
      <c r="O273">
        <f t="shared" si="23"/>
        <v>42</v>
      </c>
      <c r="P273">
        <f t="shared" si="24"/>
        <v>53</v>
      </c>
      <c r="Q273">
        <f t="shared" si="25"/>
        <v>74</v>
      </c>
      <c r="R273" s="2" t="s">
        <v>34</v>
      </c>
    </row>
    <row r="274" spans="1:18" x14ac:dyDescent="0.25">
      <c r="A274" t="s">
        <v>83</v>
      </c>
      <c r="B274">
        <v>760</v>
      </c>
      <c r="C274">
        <v>999</v>
      </c>
      <c r="D274">
        <v>90</v>
      </c>
      <c r="E274">
        <v>95</v>
      </c>
      <c r="F274">
        <v>59</v>
      </c>
      <c r="G274" s="3">
        <v>40969</v>
      </c>
      <c r="H274" s="3">
        <v>40969</v>
      </c>
      <c r="I274" s="3">
        <v>41306</v>
      </c>
      <c r="M274" t="s">
        <v>21</v>
      </c>
      <c r="N274">
        <v>0</v>
      </c>
      <c r="O274">
        <v>0</v>
      </c>
      <c r="P274">
        <v>0</v>
      </c>
      <c r="Q274">
        <v>0</v>
      </c>
      <c r="R274" s="2" t="s">
        <v>34</v>
      </c>
    </row>
    <row r="275" spans="1:18" x14ac:dyDescent="0.25">
      <c r="A275" t="s">
        <v>83</v>
      </c>
      <c r="B275">
        <v>760</v>
      </c>
      <c r="C275">
        <v>999</v>
      </c>
      <c r="D275">
        <v>85</v>
      </c>
      <c r="E275">
        <v>90</v>
      </c>
      <c r="F275">
        <v>44</v>
      </c>
      <c r="G275" s="3">
        <v>40969</v>
      </c>
      <c r="H275" s="3">
        <v>40969</v>
      </c>
      <c r="I275" s="3">
        <v>41306</v>
      </c>
    </row>
    <row r="276" spans="1:18" x14ac:dyDescent="0.25">
      <c r="A276" t="s">
        <v>83</v>
      </c>
      <c r="B276">
        <v>760</v>
      </c>
      <c r="C276">
        <v>999</v>
      </c>
      <c r="D276">
        <v>80</v>
      </c>
      <c r="E276">
        <v>85</v>
      </c>
      <c r="F276">
        <v>28</v>
      </c>
      <c r="G276" s="3">
        <v>40969</v>
      </c>
      <c r="H276" s="3">
        <v>40969</v>
      </c>
      <c r="I276" s="3">
        <v>41306</v>
      </c>
    </row>
    <row r="277" spans="1:18" x14ac:dyDescent="0.25">
      <c r="A277" t="s">
        <v>83</v>
      </c>
      <c r="B277">
        <v>760</v>
      </c>
      <c r="C277">
        <v>999</v>
      </c>
      <c r="D277">
        <v>0</v>
      </c>
      <c r="E277">
        <v>80</v>
      </c>
      <c r="F277">
        <v>0</v>
      </c>
      <c r="G277" s="3">
        <v>40969</v>
      </c>
      <c r="H277" s="3">
        <v>40969</v>
      </c>
      <c r="I277" s="3">
        <v>41306</v>
      </c>
    </row>
    <row r="278" spans="1:18" x14ac:dyDescent="0.25">
      <c r="A278" t="s">
        <v>83</v>
      </c>
      <c r="B278">
        <v>720</v>
      </c>
      <c r="C278">
        <v>760</v>
      </c>
      <c r="D278">
        <v>97</v>
      </c>
      <c r="E278">
        <v>999</v>
      </c>
      <c r="G278" s="3">
        <v>40969</v>
      </c>
      <c r="H278" s="3">
        <v>40969</v>
      </c>
      <c r="I278" s="3">
        <v>41306</v>
      </c>
    </row>
    <row r="279" spans="1:18" x14ac:dyDescent="0.25">
      <c r="A279" t="s">
        <v>83</v>
      </c>
      <c r="B279">
        <v>720</v>
      </c>
      <c r="C279">
        <v>760</v>
      </c>
      <c r="D279">
        <v>95</v>
      </c>
      <c r="E279">
        <v>97</v>
      </c>
      <c r="F279">
        <v>88</v>
      </c>
      <c r="G279" s="3">
        <v>40969</v>
      </c>
      <c r="H279" s="3">
        <v>40969</v>
      </c>
      <c r="I279" s="3">
        <v>41306</v>
      </c>
    </row>
    <row r="280" spans="1:18" x14ac:dyDescent="0.25">
      <c r="A280" t="s">
        <v>83</v>
      </c>
      <c r="B280">
        <v>720</v>
      </c>
      <c r="C280">
        <v>760</v>
      </c>
      <c r="D280">
        <v>90</v>
      </c>
      <c r="E280">
        <v>95</v>
      </c>
      <c r="F280">
        <v>67</v>
      </c>
      <c r="G280" s="3">
        <v>40969</v>
      </c>
      <c r="H280" s="3">
        <v>40969</v>
      </c>
      <c r="I280" s="3">
        <v>41306</v>
      </c>
    </row>
    <row r="281" spans="1:18" x14ac:dyDescent="0.25">
      <c r="A281" t="s">
        <v>83</v>
      </c>
      <c r="B281">
        <v>720</v>
      </c>
      <c r="C281">
        <v>760</v>
      </c>
      <c r="D281">
        <v>85</v>
      </c>
      <c r="E281">
        <v>90</v>
      </c>
      <c r="F281">
        <v>49</v>
      </c>
      <c r="G281" s="3">
        <v>40969</v>
      </c>
      <c r="H281" s="3">
        <v>40969</v>
      </c>
      <c r="I281" s="3">
        <v>41306</v>
      </c>
    </row>
    <row r="282" spans="1:18" x14ac:dyDescent="0.25">
      <c r="A282" t="s">
        <v>83</v>
      </c>
      <c r="B282">
        <v>720</v>
      </c>
      <c r="C282">
        <v>760</v>
      </c>
      <c r="D282">
        <v>80</v>
      </c>
      <c r="E282">
        <v>85</v>
      </c>
      <c r="F282">
        <v>32</v>
      </c>
      <c r="G282" s="3">
        <v>40969</v>
      </c>
      <c r="H282" s="3">
        <v>40969</v>
      </c>
      <c r="I282" s="3">
        <v>41306</v>
      </c>
    </row>
    <row r="283" spans="1:18" x14ac:dyDescent="0.25">
      <c r="A283" t="s">
        <v>83</v>
      </c>
      <c r="B283">
        <v>720</v>
      </c>
      <c r="C283">
        <v>760</v>
      </c>
      <c r="D283">
        <v>0</v>
      </c>
      <c r="E283">
        <v>80</v>
      </c>
      <c r="F283">
        <v>0</v>
      </c>
      <c r="G283" s="3">
        <v>40969</v>
      </c>
      <c r="H283" s="3">
        <v>40969</v>
      </c>
      <c r="I283" s="3">
        <v>41306</v>
      </c>
    </row>
    <row r="284" spans="1:18" x14ac:dyDescent="0.25">
      <c r="A284" t="s">
        <v>83</v>
      </c>
      <c r="B284">
        <v>680</v>
      </c>
      <c r="C284">
        <v>720</v>
      </c>
      <c r="D284">
        <v>97</v>
      </c>
      <c r="E284">
        <v>999</v>
      </c>
      <c r="G284" s="3">
        <v>40969</v>
      </c>
      <c r="H284" s="3">
        <v>40969</v>
      </c>
      <c r="I284" s="3">
        <v>41306</v>
      </c>
    </row>
    <row r="285" spans="1:18" x14ac:dyDescent="0.25">
      <c r="A285" t="s">
        <v>83</v>
      </c>
      <c r="B285">
        <v>680</v>
      </c>
      <c r="C285">
        <v>720</v>
      </c>
      <c r="D285">
        <v>95</v>
      </c>
      <c r="E285">
        <v>97</v>
      </c>
      <c r="F285">
        <v>110</v>
      </c>
      <c r="G285" s="3">
        <v>40969</v>
      </c>
      <c r="H285" s="3">
        <v>40969</v>
      </c>
      <c r="I285" s="3">
        <v>41306</v>
      </c>
    </row>
    <row r="286" spans="1:18" x14ac:dyDescent="0.25">
      <c r="A286" t="s">
        <v>83</v>
      </c>
      <c r="B286">
        <v>680</v>
      </c>
      <c r="C286">
        <v>720</v>
      </c>
      <c r="D286">
        <v>90</v>
      </c>
      <c r="E286">
        <v>95</v>
      </c>
      <c r="F286">
        <v>94</v>
      </c>
      <c r="G286" s="3">
        <v>40969</v>
      </c>
      <c r="H286" s="3">
        <v>40969</v>
      </c>
      <c r="I286" s="3">
        <v>41306</v>
      </c>
    </row>
    <row r="287" spans="1:18" x14ac:dyDescent="0.25">
      <c r="A287" t="s">
        <v>83</v>
      </c>
      <c r="B287">
        <v>680</v>
      </c>
      <c r="C287">
        <v>720</v>
      </c>
      <c r="D287">
        <v>85</v>
      </c>
      <c r="E287">
        <v>90</v>
      </c>
      <c r="F287">
        <v>62</v>
      </c>
      <c r="G287" s="3">
        <v>40969</v>
      </c>
      <c r="H287" s="3">
        <v>40969</v>
      </c>
      <c r="I287" s="3">
        <v>41306</v>
      </c>
    </row>
    <row r="288" spans="1:18" x14ac:dyDescent="0.25">
      <c r="A288" t="s">
        <v>83</v>
      </c>
      <c r="B288">
        <v>680</v>
      </c>
      <c r="C288">
        <v>720</v>
      </c>
      <c r="D288">
        <v>80</v>
      </c>
      <c r="E288">
        <v>85</v>
      </c>
      <c r="F288">
        <v>38</v>
      </c>
      <c r="G288" s="3">
        <v>40969</v>
      </c>
      <c r="H288" s="3">
        <v>40969</v>
      </c>
      <c r="I288" s="3">
        <v>41306</v>
      </c>
    </row>
    <row r="289" spans="1:19" x14ac:dyDescent="0.25">
      <c r="A289" t="s">
        <v>83</v>
      </c>
      <c r="B289">
        <v>680</v>
      </c>
      <c r="C289">
        <v>720</v>
      </c>
      <c r="D289">
        <v>0</v>
      </c>
      <c r="E289">
        <v>80</v>
      </c>
      <c r="F289">
        <v>0</v>
      </c>
      <c r="G289" s="3">
        <v>40969</v>
      </c>
      <c r="H289" s="3">
        <v>40969</v>
      </c>
      <c r="I289" s="3">
        <v>41306</v>
      </c>
    </row>
    <row r="290" spans="1:19" x14ac:dyDescent="0.25">
      <c r="A290" t="s">
        <v>83</v>
      </c>
      <c r="B290">
        <v>620</v>
      </c>
      <c r="C290">
        <v>680</v>
      </c>
      <c r="D290">
        <v>97</v>
      </c>
      <c r="E290">
        <v>999</v>
      </c>
      <c r="G290" s="3">
        <v>40969</v>
      </c>
      <c r="H290" s="3">
        <v>40969</v>
      </c>
      <c r="I290" s="3">
        <v>41306</v>
      </c>
    </row>
    <row r="291" spans="1:19" x14ac:dyDescent="0.25">
      <c r="A291" t="s">
        <v>83</v>
      </c>
      <c r="B291">
        <v>620</v>
      </c>
      <c r="C291">
        <v>680</v>
      </c>
      <c r="D291">
        <v>95</v>
      </c>
      <c r="E291">
        <v>97</v>
      </c>
      <c r="G291" s="3">
        <v>40969</v>
      </c>
      <c r="H291" s="3">
        <v>40969</v>
      </c>
      <c r="I291" s="3">
        <v>41306</v>
      </c>
    </row>
    <row r="292" spans="1:19" x14ac:dyDescent="0.25">
      <c r="A292" t="s">
        <v>83</v>
      </c>
      <c r="B292">
        <v>620</v>
      </c>
      <c r="C292">
        <v>680</v>
      </c>
      <c r="D292">
        <v>90</v>
      </c>
      <c r="E292">
        <v>95</v>
      </c>
      <c r="F292">
        <v>120</v>
      </c>
      <c r="G292" s="3">
        <v>40969</v>
      </c>
      <c r="H292" s="3">
        <v>40969</v>
      </c>
      <c r="I292" s="3">
        <v>41306</v>
      </c>
    </row>
    <row r="293" spans="1:19" x14ac:dyDescent="0.25">
      <c r="A293" t="s">
        <v>83</v>
      </c>
      <c r="B293">
        <v>620</v>
      </c>
      <c r="C293">
        <v>680</v>
      </c>
      <c r="D293">
        <v>85</v>
      </c>
      <c r="E293">
        <v>90</v>
      </c>
      <c r="F293">
        <v>76</v>
      </c>
      <c r="G293" s="3">
        <v>40969</v>
      </c>
      <c r="H293" s="3">
        <v>40969</v>
      </c>
      <c r="I293" s="3">
        <v>41306</v>
      </c>
    </row>
    <row r="294" spans="1:19" x14ac:dyDescent="0.25">
      <c r="A294" t="s">
        <v>83</v>
      </c>
      <c r="B294">
        <v>620</v>
      </c>
      <c r="C294">
        <v>680</v>
      </c>
      <c r="D294">
        <v>80</v>
      </c>
      <c r="E294">
        <v>85</v>
      </c>
      <c r="F294">
        <v>44</v>
      </c>
      <c r="G294" s="3">
        <v>40969</v>
      </c>
      <c r="H294" s="3">
        <v>40969</v>
      </c>
      <c r="I294" s="3">
        <v>41306</v>
      </c>
    </row>
    <row r="295" spans="1:19" x14ac:dyDescent="0.25">
      <c r="A295" t="s">
        <v>83</v>
      </c>
      <c r="B295">
        <v>620</v>
      </c>
      <c r="C295">
        <v>680</v>
      </c>
      <c r="D295">
        <v>0</v>
      </c>
      <c r="E295">
        <v>80</v>
      </c>
      <c r="F295">
        <v>0</v>
      </c>
      <c r="G295" s="3">
        <v>40969</v>
      </c>
      <c r="H295" s="3">
        <v>40969</v>
      </c>
      <c r="I295" s="3">
        <v>41306</v>
      </c>
    </row>
    <row r="296" spans="1:19" x14ac:dyDescent="0.25">
      <c r="A296" t="s">
        <v>83</v>
      </c>
      <c r="B296">
        <v>300</v>
      </c>
      <c r="C296">
        <v>620</v>
      </c>
      <c r="D296">
        <v>97</v>
      </c>
      <c r="E296">
        <v>999</v>
      </c>
      <c r="G296" s="3">
        <v>40969</v>
      </c>
      <c r="H296" s="3">
        <v>40969</v>
      </c>
      <c r="I296" s="3">
        <v>41306</v>
      </c>
    </row>
    <row r="297" spans="1:19" x14ac:dyDescent="0.25">
      <c r="A297" t="s">
        <v>83</v>
      </c>
      <c r="B297">
        <v>300</v>
      </c>
      <c r="C297">
        <v>620</v>
      </c>
      <c r="D297">
        <v>95</v>
      </c>
      <c r="E297">
        <v>97</v>
      </c>
      <c r="G297" s="3">
        <v>40969</v>
      </c>
      <c r="H297" s="3">
        <v>40969</v>
      </c>
      <c r="I297" s="3">
        <v>41306</v>
      </c>
    </row>
    <row r="298" spans="1:19" x14ac:dyDescent="0.25">
      <c r="A298" t="s">
        <v>83</v>
      </c>
      <c r="B298">
        <v>300</v>
      </c>
      <c r="C298">
        <v>620</v>
      </c>
      <c r="D298">
        <v>90</v>
      </c>
      <c r="E298">
        <v>95</v>
      </c>
      <c r="G298" s="3">
        <v>40969</v>
      </c>
      <c r="H298" s="3">
        <v>40969</v>
      </c>
      <c r="I298" s="3">
        <v>41306</v>
      </c>
    </row>
    <row r="299" spans="1:19" x14ac:dyDescent="0.25">
      <c r="A299" t="s">
        <v>83</v>
      </c>
      <c r="B299">
        <v>300</v>
      </c>
      <c r="C299">
        <v>620</v>
      </c>
      <c r="D299">
        <v>85</v>
      </c>
      <c r="E299">
        <v>90</v>
      </c>
      <c r="G299" s="3">
        <v>40969</v>
      </c>
      <c r="H299" s="3">
        <v>40969</v>
      </c>
      <c r="I299" s="3">
        <v>41306</v>
      </c>
    </row>
    <row r="300" spans="1:19" x14ac:dyDescent="0.25">
      <c r="A300" t="s">
        <v>83</v>
      </c>
      <c r="B300">
        <v>300</v>
      </c>
      <c r="C300">
        <v>620</v>
      </c>
      <c r="D300">
        <v>80</v>
      </c>
      <c r="E300">
        <v>85</v>
      </c>
      <c r="G300" s="3">
        <v>40969</v>
      </c>
      <c r="H300" s="3">
        <v>40969</v>
      </c>
      <c r="I300" s="3">
        <v>41306</v>
      </c>
    </row>
    <row r="301" spans="1:19" x14ac:dyDescent="0.25">
      <c r="A301" t="s">
        <v>83</v>
      </c>
      <c r="B301">
        <v>300</v>
      </c>
      <c r="C301">
        <v>620</v>
      </c>
      <c r="D301">
        <v>0</v>
      </c>
      <c r="E301">
        <v>80</v>
      </c>
      <c r="G301" s="3">
        <v>40969</v>
      </c>
      <c r="H301" s="3">
        <v>40969</v>
      </c>
      <c r="I301" s="3">
        <v>41306</v>
      </c>
    </row>
    <row r="302" spans="1:19" x14ac:dyDescent="0.25">
      <c r="A302" t="s">
        <v>81</v>
      </c>
      <c r="B302">
        <v>760</v>
      </c>
      <c r="C302">
        <v>999</v>
      </c>
      <c r="D302">
        <v>97</v>
      </c>
      <c r="E302">
        <v>999</v>
      </c>
      <c r="G302" s="3">
        <v>38607</v>
      </c>
      <c r="H302" s="3">
        <v>40756</v>
      </c>
      <c r="I302" s="3">
        <v>40969</v>
      </c>
      <c r="M302" t="s">
        <v>41</v>
      </c>
      <c r="N302" t="s">
        <v>11</v>
      </c>
      <c r="O302" t="s">
        <v>12</v>
      </c>
      <c r="P302" t="s">
        <v>13</v>
      </c>
      <c r="Q302" t="s">
        <v>14</v>
      </c>
      <c r="R302" t="s">
        <v>19</v>
      </c>
      <c r="S302" s="3">
        <v>40756</v>
      </c>
    </row>
    <row r="303" spans="1:19" x14ac:dyDescent="0.25">
      <c r="A303" t="s">
        <v>81</v>
      </c>
      <c r="B303">
        <v>760</v>
      </c>
      <c r="C303">
        <v>999</v>
      </c>
      <c r="D303">
        <v>95</v>
      </c>
      <c r="E303">
        <v>97</v>
      </c>
      <c r="F303">
        <v>98</v>
      </c>
      <c r="G303" s="3">
        <v>40756</v>
      </c>
      <c r="H303" s="3">
        <v>40756</v>
      </c>
      <c r="I303" s="3">
        <v>40969</v>
      </c>
      <c r="M303" s="1" t="s">
        <v>15</v>
      </c>
      <c r="N303">
        <v>88</v>
      </c>
      <c r="O303">
        <v>88</v>
      </c>
      <c r="P303">
        <v>110</v>
      </c>
      <c r="Q303" s="2" t="s">
        <v>34</v>
      </c>
      <c r="R303" s="2" t="s">
        <v>34</v>
      </c>
    </row>
    <row r="304" spans="1:19" x14ac:dyDescent="0.25">
      <c r="A304" t="s">
        <v>81</v>
      </c>
      <c r="B304">
        <v>760</v>
      </c>
      <c r="C304">
        <v>999</v>
      </c>
      <c r="D304">
        <v>90</v>
      </c>
      <c r="E304">
        <v>95</v>
      </c>
      <c r="F304">
        <v>77</v>
      </c>
      <c r="G304" s="3">
        <v>40756</v>
      </c>
      <c r="H304" s="3">
        <v>40756</v>
      </c>
      <c r="I304" s="3">
        <v>40969</v>
      </c>
      <c r="M304" t="s">
        <v>16</v>
      </c>
      <c r="N304">
        <v>67</v>
      </c>
      <c r="O304">
        <v>67</v>
      </c>
      <c r="P304">
        <v>94</v>
      </c>
      <c r="Q304">
        <v>120</v>
      </c>
      <c r="R304" s="2" t="s">
        <v>34</v>
      </c>
    </row>
    <row r="305" spans="1:19" x14ac:dyDescent="0.25">
      <c r="A305" t="s">
        <v>81</v>
      </c>
      <c r="B305">
        <v>760</v>
      </c>
      <c r="C305">
        <v>999</v>
      </c>
      <c r="D305">
        <v>85</v>
      </c>
      <c r="E305">
        <v>90</v>
      </c>
      <c r="F305">
        <v>59</v>
      </c>
      <c r="G305" s="3">
        <v>40756</v>
      </c>
      <c r="H305" s="3">
        <v>40756</v>
      </c>
      <c r="I305" s="3">
        <v>40969</v>
      </c>
      <c r="M305" t="s">
        <v>17</v>
      </c>
      <c r="N305">
        <v>49</v>
      </c>
      <c r="O305">
        <v>49</v>
      </c>
      <c r="P305">
        <v>62</v>
      </c>
      <c r="Q305">
        <v>76</v>
      </c>
      <c r="R305" s="2" t="s">
        <v>34</v>
      </c>
    </row>
    <row r="306" spans="1:19" x14ac:dyDescent="0.25">
      <c r="A306" t="s">
        <v>81</v>
      </c>
      <c r="B306">
        <v>760</v>
      </c>
      <c r="C306">
        <v>999</v>
      </c>
      <c r="D306">
        <v>80</v>
      </c>
      <c r="E306">
        <v>85</v>
      </c>
      <c r="F306">
        <v>42</v>
      </c>
      <c r="G306" s="3">
        <v>40756</v>
      </c>
      <c r="H306" s="3">
        <v>40756</v>
      </c>
      <c r="I306" s="3">
        <v>40969</v>
      </c>
      <c r="M306" t="s">
        <v>18</v>
      </c>
      <c r="N306">
        <v>32</v>
      </c>
      <c r="O306">
        <v>32</v>
      </c>
      <c r="P306">
        <v>38</v>
      </c>
      <c r="Q306">
        <v>44</v>
      </c>
      <c r="R306" s="2" t="s">
        <v>34</v>
      </c>
    </row>
    <row r="307" spans="1:19" x14ac:dyDescent="0.25">
      <c r="A307" t="s">
        <v>81</v>
      </c>
      <c r="B307">
        <v>760</v>
      </c>
      <c r="C307">
        <v>999</v>
      </c>
      <c r="D307">
        <v>0</v>
      </c>
      <c r="E307">
        <v>80</v>
      </c>
      <c r="F307">
        <v>0</v>
      </c>
      <c r="G307" s="3">
        <v>40756</v>
      </c>
      <c r="H307" s="3">
        <v>40756</v>
      </c>
      <c r="I307" s="3">
        <v>40969</v>
      </c>
      <c r="M307" t="s">
        <v>21</v>
      </c>
      <c r="N307">
        <v>0</v>
      </c>
      <c r="O307">
        <v>0</v>
      </c>
      <c r="P307">
        <v>0</v>
      </c>
      <c r="Q307">
        <v>0</v>
      </c>
      <c r="R307" s="2" t="s">
        <v>34</v>
      </c>
    </row>
    <row r="308" spans="1:19" x14ac:dyDescent="0.25">
      <c r="A308" t="s">
        <v>81</v>
      </c>
      <c r="B308">
        <v>720</v>
      </c>
      <c r="C308">
        <v>760</v>
      </c>
      <c r="D308">
        <v>97</v>
      </c>
      <c r="E308">
        <v>999</v>
      </c>
      <c r="G308" s="3">
        <v>40756</v>
      </c>
      <c r="H308" s="3">
        <v>40756</v>
      </c>
      <c r="I308" s="3">
        <v>40969</v>
      </c>
    </row>
    <row r="309" spans="1:19" x14ac:dyDescent="0.25">
      <c r="A309" t="s">
        <v>81</v>
      </c>
      <c r="B309">
        <v>720</v>
      </c>
      <c r="C309">
        <v>760</v>
      </c>
      <c r="D309">
        <v>95</v>
      </c>
      <c r="E309">
        <v>97</v>
      </c>
      <c r="F309">
        <v>98</v>
      </c>
      <c r="G309" s="3">
        <v>40756</v>
      </c>
      <c r="H309" s="3">
        <v>40756</v>
      </c>
      <c r="I309" s="3">
        <v>40969</v>
      </c>
      <c r="M309" t="s">
        <v>40</v>
      </c>
      <c r="N309" t="s">
        <v>11</v>
      </c>
      <c r="O309" t="s">
        <v>12</v>
      </c>
      <c r="P309" t="s">
        <v>13</v>
      </c>
      <c r="Q309" t="s">
        <v>14</v>
      </c>
      <c r="R309" t="s">
        <v>19</v>
      </c>
      <c r="S309" s="3">
        <v>40756</v>
      </c>
    </row>
    <row r="310" spans="1:19" x14ac:dyDescent="0.25">
      <c r="A310" t="s">
        <v>81</v>
      </c>
      <c r="B310">
        <v>720</v>
      </c>
      <c r="C310">
        <v>760</v>
      </c>
      <c r="D310">
        <v>90</v>
      </c>
      <c r="E310">
        <v>95</v>
      </c>
      <c r="F310">
        <v>77</v>
      </c>
      <c r="G310" s="3">
        <v>40756</v>
      </c>
      <c r="H310" s="3">
        <v>40756</v>
      </c>
      <c r="I310" s="3">
        <v>40969</v>
      </c>
      <c r="M310" s="1" t="s">
        <v>15</v>
      </c>
      <c r="N310">
        <f>N303+10</f>
        <v>98</v>
      </c>
      <c r="O310">
        <f>O303+10</f>
        <v>98</v>
      </c>
      <c r="P310">
        <f>P303+15</f>
        <v>125</v>
      </c>
      <c r="Q310" s="2" t="s">
        <v>34</v>
      </c>
      <c r="R310" s="2" t="s">
        <v>34</v>
      </c>
    </row>
    <row r="311" spans="1:19" x14ac:dyDescent="0.25">
      <c r="A311" t="s">
        <v>81</v>
      </c>
      <c r="B311">
        <v>720</v>
      </c>
      <c r="C311">
        <v>760</v>
      </c>
      <c r="D311">
        <v>85</v>
      </c>
      <c r="E311">
        <v>90</v>
      </c>
      <c r="F311">
        <v>59</v>
      </c>
      <c r="G311" s="3">
        <v>40756</v>
      </c>
      <c r="H311" s="3">
        <v>40756</v>
      </c>
      <c r="I311" s="3">
        <v>40969</v>
      </c>
      <c r="M311" t="s">
        <v>16</v>
      </c>
      <c r="N311">
        <f t="shared" ref="N311:O313" si="26">N304+10</f>
        <v>77</v>
      </c>
      <c r="O311">
        <f t="shared" si="26"/>
        <v>77</v>
      </c>
      <c r="P311">
        <f t="shared" ref="P311:P313" si="27">P304+15</f>
        <v>109</v>
      </c>
      <c r="Q311" s="2" t="s">
        <v>34</v>
      </c>
      <c r="R311" s="2" t="s">
        <v>34</v>
      </c>
    </row>
    <row r="312" spans="1:19" x14ac:dyDescent="0.25">
      <c r="A312" t="s">
        <v>81</v>
      </c>
      <c r="B312">
        <v>720</v>
      </c>
      <c r="C312">
        <v>760</v>
      </c>
      <c r="D312">
        <v>80</v>
      </c>
      <c r="E312">
        <v>85</v>
      </c>
      <c r="F312">
        <v>42</v>
      </c>
      <c r="G312" s="3">
        <v>40756</v>
      </c>
      <c r="H312" s="3">
        <v>40756</v>
      </c>
      <c r="I312" s="3">
        <v>40969</v>
      </c>
      <c r="M312" t="s">
        <v>17</v>
      </c>
      <c r="N312">
        <f t="shared" si="26"/>
        <v>59</v>
      </c>
      <c r="O312">
        <f t="shared" si="26"/>
        <v>59</v>
      </c>
      <c r="P312">
        <f t="shared" si="27"/>
        <v>77</v>
      </c>
      <c r="Q312" s="2" t="s">
        <v>34</v>
      </c>
      <c r="R312" s="2" t="s">
        <v>34</v>
      </c>
    </row>
    <row r="313" spans="1:19" x14ac:dyDescent="0.25">
      <c r="A313" t="s">
        <v>81</v>
      </c>
      <c r="B313">
        <v>720</v>
      </c>
      <c r="C313">
        <v>760</v>
      </c>
      <c r="D313">
        <v>0</v>
      </c>
      <c r="E313">
        <v>80</v>
      </c>
      <c r="F313">
        <v>0</v>
      </c>
      <c r="G313" s="3">
        <v>40756</v>
      </c>
      <c r="H313" s="3">
        <v>40756</v>
      </c>
      <c r="I313" s="3">
        <v>40969</v>
      </c>
      <c r="M313" t="s">
        <v>18</v>
      </c>
      <c r="N313">
        <f t="shared" si="26"/>
        <v>42</v>
      </c>
      <c r="O313">
        <f t="shared" si="26"/>
        <v>42</v>
      </c>
      <c r="P313">
        <f t="shared" si="27"/>
        <v>53</v>
      </c>
      <c r="Q313" s="2" t="s">
        <v>34</v>
      </c>
      <c r="R313" s="2" t="s">
        <v>34</v>
      </c>
    </row>
    <row r="314" spans="1:19" x14ac:dyDescent="0.25">
      <c r="A314" t="s">
        <v>81</v>
      </c>
      <c r="B314">
        <v>680</v>
      </c>
      <c r="C314">
        <v>720</v>
      </c>
      <c r="D314">
        <v>97</v>
      </c>
      <c r="E314">
        <v>999</v>
      </c>
      <c r="G314" s="3">
        <v>40756</v>
      </c>
      <c r="H314" s="3">
        <v>40756</v>
      </c>
      <c r="I314" s="3">
        <v>40969</v>
      </c>
      <c r="M314" t="s">
        <v>21</v>
      </c>
      <c r="N314">
        <v>0</v>
      </c>
      <c r="O314">
        <v>0</v>
      </c>
      <c r="P314">
        <v>0</v>
      </c>
      <c r="Q314">
        <v>0</v>
      </c>
      <c r="R314" s="2" t="s">
        <v>34</v>
      </c>
    </row>
    <row r="315" spans="1:19" x14ac:dyDescent="0.25">
      <c r="A315" t="s">
        <v>81</v>
      </c>
      <c r="B315">
        <v>680</v>
      </c>
      <c r="C315">
        <v>720</v>
      </c>
      <c r="D315">
        <v>95</v>
      </c>
      <c r="E315">
        <v>97</v>
      </c>
      <c r="F315">
        <v>125</v>
      </c>
      <c r="G315" s="3">
        <v>40756</v>
      </c>
      <c r="H315" s="3">
        <v>40756</v>
      </c>
      <c r="I315" s="3">
        <v>40969</v>
      </c>
    </row>
    <row r="316" spans="1:19" x14ac:dyDescent="0.25">
      <c r="A316" t="s">
        <v>81</v>
      </c>
      <c r="B316">
        <v>680</v>
      </c>
      <c r="C316">
        <v>720</v>
      </c>
      <c r="D316">
        <v>90</v>
      </c>
      <c r="E316">
        <v>95</v>
      </c>
      <c r="F316">
        <v>109</v>
      </c>
      <c r="G316" s="3">
        <v>40756</v>
      </c>
      <c r="H316" s="3">
        <v>40756</v>
      </c>
      <c r="I316" s="3">
        <v>40969</v>
      </c>
      <c r="M316" t="s">
        <v>43</v>
      </c>
      <c r="N316" t="s">
        <v>86</v>
      </c>
    </row>
    <row r="317" spans="1:19" x14ac:dyDescent="0.25">
      <c r="A317" t="s">
        <v>81</v>
      </c>
      <c r="B317">
        <v>680</v>
      </c>
      <c r="C317">
        <v>720</v>
      </c>
      <c r="D317">
        <v>85</v>
      </c>
      <c r="E317">
        <v>90</v>
      </c>
      <c r="F317">
        <v>77</v>
      </c>
      <c r="G317" s="3">
        <v>40756</v>
      </c>
      <c r="H317" s="3">
        <v>40756</v>
      </c>
      <c r="I317" s="3">
        <v>40969</v>
      </c>
      <c r="M317" t="s">
        <v>44</v>
      </c>
      <c r="N317" t="s">
        <v>45</v>
      </c>
    </row>
    <row r="318" spans="1:19" x14ac:dyDescent="0.25">
      <c r="A318" t="s">
        <v>81</v>
      </c>
      <c r="B318">
        <v>680</v>
      </c>
      <c r="C318">
        <v>720</v>
      </c>
      <c r="D318">
        <v>80</v>
      </c>
      <c r="E318">
        <v>85</v>
      </c>
      <c r="F318">
        <v>53</v>
      </c>
      <c r="G318" s="3">
        <v>40756</v>
      </c>
      <c r="H318" s="3">
        <v>40756</v>
      </c>
      <c r="I318" s="3">
        <v>40969</v>
      </c>
    </row>
    <row r="319" spans="1:19" x14ac:dyDescent="0.25">
      <c r="A319" t="s">
        <v>81</v>
      </c>
      <c r="B319">
        <v>680</v>
      </c>
      <c r="C319">
        <v>720</v>
      </c>
      <c r="D319">
        <v>0</v>
      </c>
      <c r="E319">
        <v>80</v>
      </c>
      <c r="F319">
        <v>0</v>
      </c>
      <c r="G319" s="3">
        <v>40756</v>
      </c>
      <c r="H319" s="3">
        <v>40756</v>
      </c>
      <c r="I319" s="3">
        <v>40969</v>
      </c>
    </row>
    <row r="320" spans="1:19" x14ac:dyDescent="0.25">
      <c r="A320" t="s">
        <v>81</v>
      </c>
      <c r="B320">
        <v>620</v>
      </c>
      <c r="C320">
        <v>680</v>
      </c>
      <c r="D320">
        <v>97</v>
      </c>
      <c r="E320">
        <v>999</v>
      </c>
      <c r="G320" s="3">
        <v>40756</v>
      </c>
      <c r="H320" s="3">
        <v>40756</v>
      </c>
      <c r="I320" s="3">
        <v>40969</v>
      </c>
    </row>
    <row r="321" spans="1:9" x14ac:dyDescent="0.25">
      <c r="A321" t="s">
        <v>81</v>
      </c>
      <c r="B321">
        <v>620</v>
      </c>
      <c r="C321">
        <v>680</v>
      </c>
      <c r="D321">
        <v>95</v>
      </c>
      <c r="E321">
        <v>97</v>
      </c>
      <c r="G321" s="3">
        <v>40756</v>
      </c>
      <c r="H321" s="3">
        <v>40756</v>
      </c>
      <c r="I321" s="3">
        <v>40969</v>
      </c>
    </row>
    <row r="322" spans="1:9" x14ac:dyDescent="0.25">
      <c r="A322" t="s">
        <v>81</v>
      </c>
      <c r="B322">
        <v>620</v>
      </c>
      <c r="C322">
        <v>680</v>
      </c>
      <c r="D322">
        <v>90</v>
      </c>
      <c r="E322">
        <v>95</v>
      </c>
      <c r="G322" s="3">
        <v>40756</v>
      </c>
      <c r="H322" s="3">
        <v>40756</v>
      </c>
      <c r="I322" s="3">
        <v>40969</v>
      </c>
    </row>
    <row r="323" spans="1:9" x14ac:dyDescent="0.25">
      <c r="A323" t="s">
        <v>81</v>
      </c>
      <c r="B323">
        <v>620</v>
      </c>
      <c r="C323">
        <v>680</v>
      </c>
      <c r="D323">
        <v>85</v>
      </c>
      <c r="E323">
        <v>90</v>
      </c>
      <c r="G323" s="3">
        <v>40756</v>
      </c>
      <c r="H323" s="3">
        <v>40756</v>
      </c>
      <c r="I323" s="3">
        <v>40969</v>
      </c>
    </row>
    <row r="324" spans="1:9" x14ac:dyDescent="0.25">
      <c r="A324" t="s">
        <v>81</v>
      </c>
      <c r="B324">
        <v>620</v>
      </c>
      <c r="C324">
        <v>680</v>
      </c>
      <c r="D324">
        <v>80</v>
      </c>
      <c r="E324">
        <v>85</v>
      </c>
      <c r="G324" s="3">
        <v>40756</v>
      </c>
      <c r="H324" s="3">
        <v>40756</v>
      </c>
      <c r="I324" s="3">
        <v>40969</v>
      </c>
    </row>
    <row r="325" spans="1:9" x14ac:dyDescent="0.25">
      <c r="A325" t="s">
        <v>81</v>
      </c>
      <c r="B325">
        <v>620</v>
      </c>
      <c r="C325">
        <v>680</v>
      </c>
      <c r="D325">
        <v>0</v>
      </c>
      <c r="E325">
        <v>80</v>
      </c>
      <c r="F325">
        <v>0</v>
      </c>
      <c r="G325" s="3">
        <v>40756</v>
      </c>
      <c r="H325" s="3">
        <v>40756</v>
      </c>
      <c r="I325" s="3">
        <v>40969</v>
      </c>
    </row>
    <row r="326" spans="1:9" x14ac:dyDescent="0.25">
      <c r="A326" t="s">
        <v>81</v>
      </c>
      <c r="B326">
        <v>300</v>
      </c>
      <c r="C326">
        <v>620</v>
      </c>
      <c r="D326">
        <v>97</v>
      </c>
      <c r="E326">
        <v>999</v>
      </c>
      <c r="G326" s="3">
        <v>40756</v>
      </c>
      <c r="H326" s="3">
        <v>40756</v>
      </c>
      <c r="I326" s="3">
        <v>40969</v>
      </c>
    </row>
    <row r="327" spans="1:9" x14ac:dyDescent="0.25">
      <c r="A327" t="s">
        <v>81</v>
      </c>
      <c r="B327">
        <v>300</v>
      </c>
      <c r="C327">
        <v>620</v>
      </c>
      <c r="D327">
        <v>95</v>
      </c>
      <c r="E327">
        <v>97</v>
      </c>
      <c r="G327" s="3">
        <v>40756</v>
      </c>
      <c r="H327" s="3">
        <v>40756</v>
      </c>
      <c r="I327" s="3">
        <v>40969</v>
      </c>
    </row>
    <row r="328" spans="1:9" x14ac:dyDescent="0.25">
      <c r="A328" t="s">
        <v>81</v>
      </c>
      <c r="B328">
        <v>300</v>
      </c>
      <c r="C328">
        <v>620</v>
      </c>
      <c r="D328">
        <v>90</v>
      </c>
      <c r="E328">
        <v>95</v>
      </c>
      <c r="G328" s="3">
        <v>40756</v>
      </c>
      <c r="H328" s="3">
        <v>40756</v>
      </c>
      <c r="I328" s="3">
        <v>40969</v>
      </c>
    </row>
    <row r="329" spans="1:9" x14ac:dyDescent="0.25">
      <c r="A329" t="s">
        <v>81</v>
      </c>
      <c r="B329">
        <v>300</v>
      </c>
      <c r="C329">
        <v>620</v>
      </c>
      <c r="D329">
        <v>85</v>
      </c>
      <c r="E329">
        <v>90</v>
      </c>
      <c r="G329" s="3">
        <v>40756</v>
      </c>
      <c r="H329" s="3">
        <v>40756</v>
      </c>
      <c r="I329" s="3">
        <v>40969</v>
      </c>
    </row>
    <row r="330" spans="1:9" x14ac:dyDescent="0.25">
      <c r="A330" t="s">
        <v>81</v>
      </c>
      <c r="B330">
        <v>300</v>
      </c>
      <c r="C330">
        <v>620</v>
      </c>
      <c r="D330">
        <v>80</v>
      </c>
      <c r="E330">
        <v>85</v>
      </c>
      <c r="G330" s="3">
        <v>40756</v>
      </c>
      <c r="H330" s="3">
        <v>40756</v>
      </c>
      <c r="I330" s="3">
        <v>40969</v>
      </c>
    </row>
    <row r="331" spans="1:9" x14ac:dyDescent="0.25">
      <c r="A331" t="s">
        <v>81</v>
      </c>
      <c r="B331">
        <v>300</v>
      </c>
      <c r="C331">
        <v>620</v>
      </c>
      <c r="D331">
        <v>0</v>
      </c>
      <c r="E331">
        <v>80</v>
      </c>
      <c r="G331" s="3">
        <v>40756</v>
      </c>
      <c r="H331" s="3">
        <v>40756</v>
      </c>
      <c r="I331" s="3">
        <v>40969</v>
      </c>
    </row>
    <row r="332" spans="1:9" x14ac:dyDescent="0.25">
      <c r="A332" t="s">
        <v>83</v>
      </c>
      <c r="B332">
        <v>760</v>
      </c>
      <c r="C332">
        <v>999</v>
      </c>
      <c r="D332">
        <v>97</v>
      </c>
      <c r="E332">
        <v>999</v>
      </c>
      <c r="G332" s="3">
        <v>40756</v>
      </c>
      <c r="H332" s="3">
        <v>40756</v>
      </c>
      <c r="I332" s="3">
        <v>40969</v>
      </c>
    </row>
    <row r="333" spans="1:9" x14ac:dyDescent="0.25">
      <c r="A333" t="s">
        <v>83</v>
      </c>
      <c r="B333">
        <v>760</v>
      </c>
      <c r="C333">
        <v>999</v>
      </c>
      <c r="D333">
        <v>95</v>
      </c>
      <c r="E333">
        <v>97</v>
      </c>
      <c r="F333">
        <v>88</v>
      </c>
      <c r="G333" s="3">
        <v>40756</v>
      </c>
      <c r="H333" s="3">
        <v>40756</v>
      </c>
      <c r="I333" s="3">
        <v>40969</v>
      </c>
    </row>
    <row r="334" spans="1:9" x14ac:dyDescent="0.25">
      <c r="A334" t="s">
        <v>83</v>
      </c>
      <c r="B334">
        <v>760</v>
      </c>
      <c r="C334">
        <v>999</v>
      </c>
      <c r="D334">
        <v>90</v>
      </c>
      <c r="E334">
        <v>95</v>
      </c>
      <c r="F334">
        <v>67</v>
      </c>
      <c r="G334" s="3">
        <v>40756</v>
      </c>
      <c r="H334" s="3">
        <v>40756</v>
      </c>
      <c r="I334" s="3">
        <v>40969</v>
      </c>
    </row>
    <row r="335" spans="1:9" x14ac:dyDescent="0.25">
      <c r="A335" t="s">
        <v>83</v>
      </c>
      <c r="B335">
        <v>760</v>
      </c>
      <c r="C335">
        <v>999</v>
      </c>
      <c r="D335">
        <v>85</v>
      </c>
      <c r="E335">
        <v>90</v>
      </c>
      <c r="F335">
        <v>49</v>
      </c>
      <c r="G335" s="3">
        <v>40756</v>
      </c>
      <c r="H335" s="3">
        <v>40756</v>
      </c>
      <c r="I335" s="3">
        <v>40969</v>
      </c>
    </row>
    <row r="336" spans="1:9" x14ac:dyDescent="0.25">
      <c r="A336" t="s">
        <v>83</v>
      </c>
      <c r="B336">
        <v>760</v>
      </c>
      <c r="C336">
        <v>999</v>
      </c>
      <c r="D336">
        <v>80</v>
      </c>
      <c r="E336">
        <v>85</v>
      </c>
      <c r="F336">
        <v>32</v>
      </c>
      <c r="G336" s="3">
        <v>40756</v>
      </c>
      <c r="H336" s="3">
        <v>40756</v>
      </c>
      <c r="I336" s="3">
        <v>40969</v>
      </c>
    </row>
    <row r="337" spans="1:9" x14ac:dyDescent="0.25">
      <c r="A337" t="s">
        <v>83</v>
      </c>
      <c r="B337">
        <v>760</v>
      </c>
      <c r="C337">
        <v>999</v>
      </c>
      <c r="D337">
        <v>0</v>
      </c>
      <c r="E337">
        <v>80</v>
      </c>
      <c r="F337">
        <v>0</v>
      </c>
      <c r="G337" s="3">
        <v>40756</v>
      </c>
      <c r="H337" s="3">
        <v>40756</v>
      </c>
      <c r="I337" s="3">
        <v>40969</v>
      </c>
    </row>
    <row r="338" spans="1:9" x14ac:dyDescent="0.25">
      <c r="A338" t="s">
        <v>83</v>
      </c>
      <c r="B338">
        <v>720</v>
      </c>
      <c r="C338">
        <v>760</v>
      </c>
      <c r="D338">
        <v>97</v>
      </c>
      <c r="E338">
        <v>999</v>
      </c>
      <c r="G338" s="3">
        <v>40756</v>
      </c>
      <c r="H338" s="3">
        <v>40756</v>
      </c>
      <c r="I338" s="3">
        <v>40969</v>
      </c>
    </row>
    <row r="339" spans="1:9" x14ac:dyDescent="0.25">
      <c r="A339" t="s">
        <v>83</v>
      </c>
      <c r="B339">
        <v>720</v>
      </c>
      <c r="C339">
        <v>760</v>
      </c>
      <c r="D339">
        <v>95</v>
      </c>
      <c r="E339">
        <v>97</v>
      </c>
      <c r="F339">
        <v>88</v>
      </c>
      <c r="G339" s="3">
        <v>40756</v>
      </c>
      <c r="H339" s="3">
        <v>40756</v>
      </c>
      <c r="I339" s="3">
        <v>40969</v>
      </c>
    </row>
    <row r="340" spans="1:9" x14ac:dyDescent="0.25">
      <c r="A340" t="s">
        <v>83</v>
      </c>
      <c r="B340">
        <v>720</v>
      </c>
      <c r="C340">
        <v>760</v>
      </c>
      <c r="D340">
        <v>90</v>
      </c>
      <c r="E340">
        <v>95</v>
      </c>
      <c r="F340">
        <v>67</v>
      </c>
      <c r="G340" s="3">
        <v>40756</v>
      </c>
      <c r="H340" s="3">
        <v>40756</v>
      </c>
      <c r="I340" s="3">
        <v>40969</v>
      </c>
    </row>
    <row r="341" spans="1:9" x14ac:dyDescent="0.25">
      <c r="A341" t="s">
        <v>83</v>
      </c>
      <c r="B341">
        <v>720</v>
      </c>
      <c r="C341">
        <v>760</v>
      </c>
      <c r="D341">
        <v>85</v>
      </c>
      <c r="E341">
        <v>90</v>
      </c>
      <c r="F341">
        <v>49</v>
      </c>
      <c r="G341" s="3">
        <v>40756</v>
      </c>
      <c r="H341" s="3">
        <v>40756</v>
      </c>
      <c r="I341" s="3">
        <v>40969</v>
      </c>
    </row>
    <row r="342" spans="1:9" x14ac:dyDescent="0.25">
      <c r="A342" t="s">
        <v>83</v>
      </c>
      <c r="B342">
        <v>720</v>
      </c>
      <c r="C342">
        <v>760</v>
      </c>
      <c r="D342">
        <v>80</v>
      </c>
      <c r="E342">
        <v>85</v>
      </c>
      <c r="F342">
        <v>32</v>
      </c>
      <c r="G342" s="3">
        <v>40756</v>
      </c>
      <c r="H342" s="3">
        <v>40756</v>
      </c>
      <c r="I342" s="3">
        <v>40969</v>
      </c>
    </row>
    <row r="343" spans="1:9" x14ac:dyDescent="0.25">
      <c r="A343" t="s">
        <v>83</v>
      </c>
      <c r="B343">
        <v>720</v>
      </c>
      <c r="C343">
        <v>760</v>
      </c>
      <c r="D343">
        <v>0</v>
      </c>
      <c r="E343">
        <v>80</v>
      </c>
      <c r="F343">
        <v>0</v>
      </c>
      <c r="G343" s="3">
        <v>40756</v>
      </c>
      <c r="H343" s="3">
        <v>40756</v>
      </c>
      <c r="I343" s="3">
        <v>40969</v>
      </c>
    </row>
    <row r="344" spans="1:9" x14ac:dyDescent="0.25">
      <c r="A344" t="s">
        <v>83</v>
      </c>
      <c r="B344">
        <v>680</v>
      </c>
      <c r="C344">
        <v>720</v>
      </c>
      <c r="D344">
        <v>97</v>
      </c>
      <c r="E344">
        <v>999</v>
      </c>
      <c r="G344" s="3">
        <v>40756</v>
      </c>
      <c r="H344" s="3">
        <v>40756</v>
      </c>
      <c r="I344" s="3">
        <v>40969</v>
      </c>
    </row>
    <row r="345" spans="1:9" x14ac:dyDescent="0.25">
      <c r="A345" t="s">
        <v>83</v>
      </c>
      <c r="B345">
        <v>680</v>
      </c>
      <c r="C345">
        <v>720</v>
      </c>
      <c r="D345">
        <v>95</v>
      </c>
      <c r="E345">
        <v>97</v>
      </c>
      <c r="F345">
        <v>110</v>
      </c>
      <c r="G345" s="3">
        <v>40756</v>
      </c>
      <c r="H345" s="3">
        <v>40756</v>
      </c>
      <c r="I345" s="3">
        <v>40969</v>
      </c>
    </row>
    <row r="346" spans="1:9" x14ac:dyDescent="0.25">
      <c r="A346" t="s">
        <v>83</v>
      </c>
      <c r="B346">
        <v>680</v>
      </c>
      <c r="C346">
        <v>720</v>
      </c>
      <c r="D346">
        <v>90</v>
      </c>
      <c r="E346">
        <v>95</v>
      </c>
      <c r="F346">
        <v>94</v>
      </c>
      <c r="G346" s="3">
        <v>40756</v>
      </c>
      <c r="H346" s="3">
        <v>40756</v>
      </c>
      <c r="I346" s="3">
        <v>40969</v>
      </c>
    </row>
    <row r="347" spans="1:9" x14ac:dyDescent="0.25">
      <c r="A347" t="s">
        <v>83</v>
      </c>
      <c r="B347">
        <v>680</v>
      </c>
      <c r="C347">
        <v>720</v>
      </c>
      <c r="D347">
        <v>85</v>
      </c>
      <c r="E347">
        <v>90</v>
      </c>
      <c r="F347">
        <v>62</v>
      </c>
      <c r="G347" s="3">
        <v>40756</v>
      </c>
      <c r="H347" s="3">
        <v>40756</v>
      </c>
      <c r="I347" s="3">
        <v>40969</v>
      </c>
    </row>
    <row r="348" spans="1:9" x14ac:dyDescent="0.25">
      <c r="A348" t="s">
        <v>83</v>
      </c>
      <c r="B348">
        <v>680</v>
      </c>
      <c r="C348">
        <v>720</v>
      </c>
      <c r="D348">
        <v>80</v>
      </c>
      <c r="E348">
        <v>85</v>
      </c>
      <c r="F348">
        <v>38</v>
      </c>
      <c r="G348" s="3">
        <v>40756</v>
      </c>
      <c r="H348" s="3">
        <v>40756</v>
      </c>
      <c r="I348" s="3">
        <v>40969</v>
      </c>
    </row>
    <row r="349" spans="1:9" x14ac:dyDescent="0.25">
      <c r="A349" t="s">
        <v>83</v>
      </c>
      <c r="B349">
        <v>680</v>
      </c>
      <c r="C349">
        <v>720</v>
      </c>
      <c r="D349">
        <v>0</v>
      </c>
      <c r="E349">
        <v>80</v>
      </c>
      <c r="F349">
        <v>0</v>
      </c>
      <c r="G349" s="3">
        <v>40756</v>
      </c>
      <c r="H349" s="3">
        <v>40756</v>
      </c>
      <c r="I349" s="3">
        <v>40969</v>
      </c>
    </row>
    <row r="350" spans="1:9" x14ac:dyDescent="0.25">
      <c r="A350" t="s">
        <v>83</v>
      </c>
      <c r="B350">
        <v>620</v>
      </c>
      <c r="C350">
        <v>680</v>
      </c>
      <c r="D350">
        <v>97</v>
      </c>
      <c r="E350">
        <v>999</v>
      </c>
      <c r="G350" s="3">
        <v>40756</v>
      </c>
      <c r="H350" s="3">
        <v>40756</v>
      </c>
      <c r="I350" s="3">
        <v>40969</v>
      </c>
    </row>
    <row r="351" spans="1:9" x14ac:dyDescent="0.25">
      <c r="A351" t="s">
        <v>83</v>
      </c>
      <c r="B351">
        <v>620</v>
      </c>
      <c r="C351">
        <v>680</v>
      </c>
      <c r="D351">
        <v>95</v>
      </c>
      <c r="E351">
        <v>97</v>
      </c>
      <c r="G351" s="3">
        <v>40756</v>
      </c>
      <c r="H351" s="3">
        <v>40756</v>
      </c>
      <c r="I351" s="3">
        <v>40969</v>
      </c>
    </row>
    <row r="352" spans="1:9" x14ac:dyDescent="0.25">
      <c r="A352" t="s">
        <v>83</v>
      </c>
      <c r="B352">
        <v>620</v>
      </c>
      <c r="C352">
        <v>680</v>
      </c>
      <c r="D352">
        <v>90</v>
      </c>
      <c r="E352">
        <v>95</v>
      </c>
      <c r="F352">
        <v>120</v>
      </c>
      <c r="G352" s="3">
        <v>40756</v>
      </c>
      <c r="H352" s="3">
        <v>40756</v>
      </c>
      <c r="I352" s="3">
        <v>40969</v>
      </c>
    </row>
    <row r="353" spans="1:19" x14ac:dyDescent="0.25">
      <c r="A353" t="s">
        <v>83</v>
      </c>
      <c r="B353">
        <v>620</v>
      </c>
      <c r="C353">
        <v>680</v>
      </c>
      <c r="D353">
        <v>85</v>
      </c>
      <c r="E353">
        <v>90</v>
      </c>
      <c r="F353">
        <v>76</v>
      </c>
      <c r="G353" s="3">
        <v>40756</v>
      </c>
      <c r="H353" s="3">
        <v>40756</v>
      </c>
      <c r="I353" s="3">
        <v>40969</v>
      </c>
    </row>
    <row r="354" spans="1:19" x14ac:dyDescent="0.25">
      <c r="A354" t="s">
        <v>83</v>
      </c>
      <c r="B354">
        <v>620</v>
      </c>
      <c r="C354">
        <v>680</v>
      </c>
      <c r="D354">
        <v>80</v>
      </c>
      <c r="E354">
        <v>85</v>
      </c>
      <c r="F354">
        <v>44</v>
      </c>
      <c r="G354" s="3">
        <v>40756</v>
      </c>
      <c r="H354" s="3">
        <v>40756</v>
      </c>
      <c r="I354" s="3">
        <v>40969</v>
      </c>
    </row>
    <row r="355" spans="1:19" x14ac:dyDescent="0.25">
      <c r="A355" t="s">
        <v>83</v>
      </c>
      <c r="B355">
        <v>620</v>
      </c>
      <c r="C355">
        <v>680</v>
      </c>
      <c r="D355">
        <v>0</v>
      </c>
      <c r="E355">
        <v>80</v>
      </c>
      <c r="F355">
        <v>0</v>
      </c>
      <c r="G355" s="3">
        <v>40756</v>
      </c>
      <c r="H355" s="3">
        <v>40756</v>
      </c>
      <c r="I355" s="3">
        <v>40969</v>
      </c>
    </row>
    <row r="356" spans="1:19" x14ac:dyDescent="0.25">
      <c r="A356" t="s">
        <v>83</v>
      </c>
      <c r="B356">
        <v>300</v>
      </c>
      <c r="C356">
        <v>620</v>
      </c>
      <c r="D356">
        <v>97</v>
      </c>
      <c r="E356">
        <v>999</v>
      </c>
      <c r="G356" s="3">
        <v>40756</v>
      </c>
      <c r="H356" s="3">
        <v>40756</v>
      </c>
      <c r="I356" s="3">
        <v>40969</v>
      </c>
    </row>
    <row r="357" spans="1:19" x14ac:dyDescent="0.25">
      <c r="A357" t="s">
        <v>83</v>
      </c>
      <c r="B357">
        <v>300</v>
      </c>
      <c r="C357">
        <v>620</v>
      </c>
      <c r="D357">
        <v>95</v>
      </c>
      <c r="E357">
        <v>97</v>
      </c>
      <c r="G357" s="3">
        <v>40756</v>
      </c>
      <c r="H357" s="3">
        <v>40756</v>
      </c>
      <c r="I357" s="3">
        <v>40969</v>
      </c>
    </row>
    <row r="358" spans="1:19" x14ac:dyDescent="0.25">
      <c r="A358" t="s">
        <v>83</v>
      </c>
      <c r="B358">
        <v>300</v>
      </c>
      <c r="C358">
        <v>620</v>
      </c>
      <c r="D358">
        <v>90</v>
      </c>
      <c r="E358">
        <v>95</v>
      </c>
      <c r="G358" s="3">
        <v>40756</v>
      </c>
      <c r="H358" s="3">
        <v>40756</v>
      </c>
      <c r="I358" s="3">
        <v>40969</v>
      </c>
    </row>
    <row r="359" spans="1:19" x14ac:dyDescent="0.25">
      <c r="A359" t="s">
        <v>83</v>
      </c>
      <c r="B359">
        <v>300</v>
      </c>
      <c r="C359">
        <v>620</v>
      </c>
      <c r="D359">
        <v>85</v>
      </c>
      <c r="E359">
        <v>90</v>
      </c>
      <c r="G359" s="3">
        <v>40756</v>
      </c>
      <c r="H359" s="3">
        <v>40756</v>
      </c>
      <c r="I359" s="3">
        <v>40969</v>
      </c>
    </row>
    <row r="360" spans="1:19" x14ac:dyDescent="0.25">
      <c r="A360" t="s">
        <v>83</v>
      </c>
      <c r="B360">
        <v>300</v>
      </c>
      <c r="C360">
        <v>620</v>
      </c>
      <c r="D360">
        <v>80</v>
      </c>
      <c r="E360">
        <v>85</v>
      </c>
      <c r="G360" s="3">
        <v>40756</v>
      </c>
      <c r="H360" s="3">
        <v>40756</v>
      </c>
      <c r="I360" s="3">
        <v>40969</v>
      </c>
    </row>
    <row r="361" spans="1:19" x14ac:dyDescent="0.25">
      <c r="A361" t="s">
        <v>83</v>
      </c>
      <c r="B361">
        <v>300</v>
      </c>
      <c r="C361">
        <v>620</v>
      </c>
      <c r="D361">
        <v>0</v>
      </c>
      <c r="E361">
        <v>80</v>
      </c>
      <c r="G361" s="3">
        <v>40756</v>
      </c>
      <c r="H361" s="3">
        <v>40756</v>
      </c>
      <c r="I361" s="3">
        <v>40969</v>
      </c>
    </row>
    <row r="362" spans="1:19" x14ac:dyDescent="0.25">
      <c r="A362" t="s">
        <v>81</v>
      </c>
      <c r="B362">
        <v>760</v>
      </c>
      <c r="C362">
        <v>999</v>
      </c>
      <c r="D362">
        <v>97</v>
      </c>
      <c r="E362">
        <v>999</v>
      </c>
      <c r="G362" s="3">
        <v>40299</v>
      </c>
      <c r="H362" s="3">
        <v>40299</v>
      </c>
      <c r="I362" s="3">
        <v>40756</v>
      </c>
      <c r="M362" t="s">
        <v>41</v>
      </c>
      <c r="N362" t="s">
        <v>11</v>
      </c>
      <c r="O362" t="s">
        <v>12</v>
      </c>
      <c r="P362" t="s">
        <v>13</v>
      </c>
      <c r="Q362" t="s">
        <v>14</v>
      </c>
      <c r="R362" t="s">
        <v>19</v>
      </c>
      <c r="S362" s="3">
        <v>40299</v>
      </c>
    </row>
    <row r="363" spans="1:19" x14ac:dyDescent="0.25">
      <c r="A363" t="s">
        <v>81</v>
      </c>
      <c r="B363">
        <v>760</v>
      </c>
      <c r="C363">
        <v>999</v>
      </c>
      <c r="D363">
        <v>95</v>
      </c>
      <c r="E363">
        <v>97</v>
      </c>
      <c r="F363">
        <v>98</v>
      </c>
      <c r="G363" s="3">
        <v>40299</v>
      </c>
      <c r="H363" s="3">
        <v>40299</v>
      </c>
      <c r="I363" s="3">
        <v>40756</v>
      </c>
      <c r="M363" s="1" t="s">
        <v>15</v>
      </c>
      <c r="N363">
        <v>88</v>
      </c>
      <c r="O363">
        <v>88</v>
      </c>
      <c r="P363">
        <v>110</v>
      </c>
      <c r="Q363" s="2" t="s">
        <v>34</v>
      </c>
      <c r="R363" s="2" t="s">
        <v>34</v>
      </c>
    </row>
    <row r="364" spans="1:19" x14ac:dyDescent="0.25">
      <c r="A364" t="s">
        <v>81</v>
      </c>
      <c r="B364">
        <v>760</v>
      </c>
      <c r="C364">
        <v>999</v>
      </c>
      <c r="D364">
        <v>90</v>
      </c>
      <c r="E364">
        <v>95</v>
      </c>
      <c r="F364">
        <v>77</v>
      </c>
      <c r="G364" s="3">
        <v>40299</v>
      </c>
      <c r="H364" s="3">
        <v>40299</v>
      </c>
      <c r="I364" s="3">
        <v>40756</v>
      </c>
      <c r="M364" t="s">
        <v>16</v>
      </c>
      <c r="N364">
        <v>67</v>
      </c>
      <c r="O364">
        <v>67</v>
      </c>
      <c r="P364">
        <v>94</v>
      </c>
      <c r="Q364">
        <v>120</v>
      </c>
      <c r="R364" s="2" t="s">
        <v>34</v>
      </c>
    </row>
    <row r="365" spans="1:19" x14ac:dyDescent="0.25">
      <c r="A365" t="s">
        <v>81</v>
      </c>
      <c r="B365">
        <v>760</v>
      </c>
      <c r="C365">
        <v>999</v>
      </c>
      <c r="D365">
        <v>85</v>
      </c>
      <c r="E365">
        <v>90</v>
      </c>
      <c r="F365">
        <v>59</v>
      </c>
      <c r="G365" s="3">
        <v>40299</v>
      </c>
      <c r="H365" s="3">
        <v>40299</v>
      </c>
      <c r="I365" s="3">
        <v>40756</v>
      </c>
      <c r="M365" t="s">
        <v>17</v>
      </c>
      <c r="N365">
        <v>49</v>
      </c>
      <c r="O365">
        <v>49</v>
      </c>
      <c r="P365">
        <v>62</v>
      </c>
      <c r="Q365">
        <v>76</v>
      </c>
      <c r="R365" s="2" t="s">
        <v>34</v>
      </c>
    </row>
    <row r="366" spans="1:19" x14ac:dyDescent="0.25">
      <c r="A366" t="s">
        <v>81</v>
      </c>
      <c r="B366">
        <v>760</v>
      </c>
      <c r="C366">
        <v>999</v>
      </c>
      <c r="D366">
        <v>80</v>
      </c>
      <c r="E366">
        <v>85</v>
      </c>
      <c r="F366">
        <v>42</v>
      </c>
      <c r="G366" s="3">
        <v>40299</v>
      </c>
      <c r="H366" s="3">
        <v>40299</v>
      </c>
      <c r="I366" s="3">
        <v>40756</v>
      </c>
      <c r="M366" t="s">
        <v>18</v>
      </c>
      <c r="N366">
        <v>32</v>
      </c>
      <c r="O366">
        <v>32</v>
      </c>
      <c r="P366">
        <v>38</v>
      </c>
      <c r="Q366">
        <v>44</v>
      </c>
      <c r="R366" s="2" t="s">
        <v>34</v>
      </c>
    </row>
    <row r="367" spans="1:19" x14ac:dyDescent="0.25">
      <c r="A367" t="s">
        <v>81</v>
      </c>
      <c r="B367">
        <v>760</v>
      </c>
      <c r="C367">
        <v>999</v>
      </c>
      <c r="D367">
        <v>0</v>
      </c>
      <c r="E367">
        <v>80</v>
      </c>
      <c r="F367">
        <v>0</v>
      </c>
      <c r="G367" s="3">
        <v>40299</v>
      </c>
      <c r="H367" s="3">
        <v>40299</v>
      </c>
      <c r="I367" s="3">
        <v>40756</v>
      </c>
      <c r="M367" t="s">
        <v>21</v>
      </c>
      <c r="N367">
        <v>0</v>
      </c>
      <c r="O367">
        <v>0</v>
      </c>
      <c r="P367">
        <v>0</v>
      </c>
      <c r="Q367">
        <v>0</v>
      </c>
      <c r="R367" s="2" t="s">
        <v>34</v>
      </c>
    </row>
    <row r="368" spans="1:19" x14ac:dyDescent="0.25">
      <c r="A368" t="s">
        <v>81</v>
      </c>
      <c r="B368">
        <v>720</v>
      </c>
      <c r="C368">
        <v>760</v>
      </c>
      <c r="D368">
        <v>97</v>
      </c>
      <c r="E368">
        <v>999</v>
      </c>
      <c r="G368" s="3">
        <v>40299</v>
      </c>
      <c r="H368" s="3">
        <v>40299</v>
      </c>
      <c r="I368" s="3">
        <v>40756</v>
      </c>
    </row>
    <row r="369" spans="1:19" x14ac:dyDescent="0.25">
      <c r="A369" t="s">
        <v>81</v>
      </c>
      <c r="B369">
        <v>720</v>
      </c>
      <c r="C369">
        <v>760</v>
      </c>
      <c r="D369">
        <v>95</v>
      </c>
      <c r="E369">
        <v>97</v>
      </c>
      <c r="F369">
        <v>98</v>
      </c>
      <c r="G369" s="3">
        <v>40299</v>
      </c>
      <c r="H369" s="3">
        <v>40299</v>
      </c>
      <c r="I369" s="3">
        <v>40756</v>
      </c>
      <c r="M369" t="s">
        <v>40</v>
      </c>
      <c r="N369" t="s">
        <v>11</v>
      </c>
      <c r="O369" t="s">
        <v>12</v>
      </c>
      <c r="P369" t="s">
        <v>13</v>
      </c>
      <c r="Q369" t="s">
        <v>14</v>
      </c>
      <c r="R369" t="s">
        <v>19</v>
      </c>
      <c r="S369" s="3">
        <v>40299</v>
      </c>
    </row>
    <row r="370" spans="1:19" x14ac:dyDescent="0.25">
      <c r="A370" t="s">
        <v>81</v>
      </c>
      <c r="B370">
        <v>720</v>
      </c>
      <c r="C370">
        <v>760</v>
      </c>
      <c r="D370">
        <v>90</v>
      </c>
      <c r="E370">
        <v>95</v>
      </c>
      <c r="F370">
        <v>77</v>
      </c>
      <c r="G370" s="3">
        <v>40299</v>
      </c>
      <c r="H370" s="3">
        <v>40299</v>
      </c>
      <c r="I370" s="3">
        <v>40756</v>
      </c>
      <c r="M370" s="1" t="s">
        <v>15</v>
      </c>
      <c r="N370">
        <f>N363+10</f>
        <v>98</v>
      </c>
      <c r="O370">
        <f>O363+10</f>
        <v>98</v>
      </c>
      <c r="P370">
        <f>P363+15</f>
        <v>125</v>
      </c>
      <c r="Q370" s="2" t="s">
        <v>34</v>
      </c>
      <c r="R370" s="2" t="s">
        <v>34</v>
      </c>
    </row>
    <row r="371" spans="1:19" x14ac:dyDescent="0.25">
      <c r="A371" t="s">
        <v>81</v>
      </c>
      <c r="B371">
        <v>720</v>
      </c>
      <c r="C371">
        <v>760</v>
      </c>
      <c r="D371">
        <v>85</v>
      </c>
      <c r="E371">
        <v>90</v>
      </c>
      <c r="F371">
        <v>59</v>
      </c>
      <c r="G371" s="3">
        <v>40299</v>
      </c>
      <c r="H371" s="3">
        <v>40299</v>
      </c>
      <c r="I371" s="3">
        <v>40756</v>
      </c>
      <c r="M371" t="s">
        <v>16</v>
      </c>
      <c r="N371">
        <f t="shared" ref="N371:O373" si="28">N364+10</f>
        <v>77</v>
      </c>
      <c r="O371">
        <f t="shared" si="28"/>
        <v>77</v>
      </c>
      <c r="P371">
        <f t="shared" ref="P371:P373" si="29">P364+15</f>
        <v>109</v>
      </c>
      <c r="Q371">
        <f>Q364+30</f>
        <v>150</v>
      </c>
      <c r="R371" s="2" t="s">
        <v>34</v>
      </c>
    </row>
    <row r="372" spans="1:19" x14ac:dyDescent="0.25">
      <c r="A372" t="s">
        <v>81</v>
      </c>
      <c r="B372">
        <v>720</v>
      </c>
      <c r="C372">
        <v>760</v>
      </c>
      <c r="D372">
        <v>80</v>
      </c>
      <c r="E372">
        <v>85</v>
      </c>
      <c r="F372">
        <v>42</v>
      </c>
      <c r="G372" s="3">
        <v>40299</v>
      </c>
      <c r="H372" s="3">
        <v>40299</v>
      </c>
      <c r="I372" s="3">
        <v>40756</v>
      </c>
      <c r="M372" t="s">
        <v>17</v>
      </c>
      <c r="N372">
        <f t="shared" si="28"/>
        <v>59</v>
      </c>
      <c r="O372">
        <f t="shared" si="28"/>
        <v>59</v>
      </c>
      <c r="P372">
        <f t="shared" si="29"/>
        <v>77</v>
      </c>
      <c r="Q372">
        <f t="shared" ref="Q372:Q373" si="30">Q365+30</f>
        <v>106</v>
      </c>
      <c r="R372" s="2" t="s">
        <v>34</v>
      </c>
    </row>
    <row r="373" spans="1:19" x14ac:dyDescent="0.25">
      <c r="A373" t="s">
        <v>81</v>
      </c>
      <c r="B373">
        <v>720</v>
      </c>
      <c r="C373">
        <v>760</v>
      </c>
      <c r="D373">
        <v>0</v>
      </c>
      <c r="E373">
        <v>80</v>
      </c>
      <c r="F373">
        <v>0</v>
      </c>
      <c r="G373" s="3">
        <v>40299</v>
      </c>
      <c r="H373" s="3">
        <v>40299</v>
      </c>
      <c r="I373" s="3">
        <v>40756</v>
      </c>
      <c r="M373" t="s">
        <v>18</v>
      </c>
      <c r="N373">
        <f t="shared" si="28"/>
        <v>42</v>
      </c>
      <c r="O373">
        <f t="shared" si="28"/>
        <v>42</v>
      </c>
      <c r="P373">
        <f t="shared" si="29"/>
        <v>53</v>
      </c>
      <c r="Q373">
        <f t="shared" si="30"/>
        <v>74</v>
      </c>
      <c r="R373" s="2" t="s">
        <v>34</v>
      </c>
    </row>
    <row r="374" spans="1:19" x14ac:dyDescent="0.25">
      <c r="A374" t="s">
        <v>81</v>
      </c>
      <c r="B374">
        <v>680</v>
      </c>
      <c r="C374">
        <v>720</v>
      </c>
      <c r="D374">
        <v>97</v>
      </c>
      <c r="E374">
        <v>999</v>
      </c>
      <c r="G374" s="3">
        <v>40299</v>
      </c>
      <c r="H374" s="3">
        <v>40299</v>
      </c>
      <c r="I374" s="3">
        <v>40756</v>
      </c>
      <c r="M374" t="s">
        <v>21</v>
      </c>
      <c r="N374">
        <v>0</v>
      </c>
      <c r="O374">
        <v>0</v>
      </c>
      <c r="P374">
        <v>0</v>
      </c>
      <c r="Q374">
        <v>0</v>
      </c>
      <c r="R374" s="2" t="s">
        <v>34</v>
      </c>
    </row>
    <row r="375" spans="1:19" x14ac:dyDescent="0.25">
      <c r="A375" t="s">
        <v>81</v>
      </c>
      <c r="B375">
        <v>680</v>
      </c>
      <c r="C375">
        <v>720</v>
      </c>
      <c r="D375">
        <v>95</v>
      </c>
      <c r="E375">
        <v>97</v>
      </c>
      <c r="F375">
        <v>125</v>
      </c>
      <c r="G375" s="3">
        <v>40299</v>
      </c>
      <c r="H375" s="3">
        <v>40299</v>
      </c>
      <c r="I375" s="3">
        <v>40756</v>
      </c>
    </row>
    <row r="376" spans="1:19" x14ac:dyDescent="0.25">
      <c r="A376" t="s">
        <v>81</v>
      </c>
      <c r="B376">
        <v>680</v>
      </c>
      <c r="C376">
        <v>720</v>
      </c>
      <c r="D376">
        <v>90</v>
      </c>
      <c r="E376">
        <v>95</v>
      </c>
      <c r="F376">
        <v>109</v>
      </c>
      <c r="G376" s="3">
        <v>40299</v>
      </c>
      <c r="H376" s="3">
        <v>40299</v>
      </c>
      <c r="I376" s="3">
        <v>40756</v>
      </c>
      <c r="M376" t="s">
        <v>43</v>
      </c>
      <c r="N376" t="s">
        <v>87</v>
      </c>
    </row>
    <row r="377" spans="1:19" x14ac:dyDescent="0.25">
      <c r="A377" t="s">
        <v>81</v>
      </c>
      <c r="B377">
        <v>680</v>
      </c>
      <c r="C377">
        <v>720</v>
      </c>
      <c r="D377">
        <v>85</v>
      </c>
      <c r="E377">
        <v>90</v>
      </c>
      <c r="F377">
        <v>77</v>
      </c>
      <c r="G377" s="3">
        <v>40299</v>
      </c>
      <c r="H377" s="3">
        <v>40299</v>
      </c>
      <c r="I377" s="3">
        <v>40756</v>
      </c>
      <c r="M377" t="s">
        <v>44</v>
      </c>
      <c r="N377" t="s">
        <v>45</v>
      </c>
    </row>
    <row r="378" spans="1:19" x14ac:dyDescent="0.25">
      <c r="A378" t="s">
        <v>81</v>
      </c>
      <c r="B378">
        <v>680</v>
      </c>
      <c r="C378">
        <v>720</v>
      </c>
      <c r="D378">
        <v>80</v>
      </c>
      <c r="E378">
        <v>85</v>
      </c>
      <c r="F378">
        <v>53</v>
      </c>
      <c r="G378" s="3">
        <v>40299</v>
      </c>
      <c r="H378" s="3">
        <v>40299</v>
      </c>
      <c r="I378" s="3">
        <v>40756</v>
      </c>
    </row>
    <row r="379" spans="1:19" x14ac:dyDescent="0.25">
      <c r="A379" t="s">
        <v>81</v>
      </c>
      <c r="B379">
        <v>680</v>
      </c>
      <c r="C379">
        <v>720</v>
      </c>
      <c r="D379">
        <v>0</v>
      </c>
      <c r="E379">
        <v>80</v>
      </c>
      <c r="F379">
        <v>0</v>
      </c>
      <c r="G379" s="3">
        <v>40299</v>
      </c>
      <c r="H379" s="3">
        <v>40299</v>
      </c>
      <c r="I379" s="3">
        <v>40756</v>
      </c>
    </row>
    <row r="380" spans="1:19" x14ac:dyDescent="0.25">
      <c r="A380" t="s">
        <v>81</v>
      </c>
      <c r="B380">
        <v>620</v>
      </c>
      <c r="C380">
        <v>680</v>
      </c>
      <c r="D380">
        <v>97</v>
      </c>
      <c r="E380">
        <v>999</v>
      </c>
      <c r="G380" s="3">
        <v>40299</v>
      </c>
      <c r="H380" s="3">
        <v>40299</v>
      </c>
      <c r="I380" s="3">
        <v>40756</v>
      </c>
    </row>
    <row r="381" spans="1:19" x14ac:dyDescent="0.25">
      <c r="A381" t="s">
        <v>81</v>
      </c>
      <c r="B381">
        <v>620</v>
      </c>
      <c r="C381">
        <v>680</v>
      </c>
      <c r="D381">
        <v>95</v>
      </c>
      <c r="E381">
        <v>97</v>
      </c>
      <c r="G381" s="3">
        <v>40299</v>
      </c>
      <c r="H381" s="3">
        <v>40299</v>
      </c>
      <c r="I381" s="3">
        <v>40756</v>
      </c>
    </row>
    <row r="382" spans="1:19" x14ac:dyDescent="0.25">
      <c r="A382" t="s">
        <v>81</v>
      </c>
      <c r="B382">
        <v>620</v>
      </c>
      <c r="C382">
        <v>680</v>
      </c>
      <c r="D382">
        <v>90</v>
      </c>
      <c r="E382">
        <v>95</v>
      </c>
      <c r="F382">
        <f>F375+30</f>
        <v>155</v>
      </c>
      <c r="G382" s="3">
        <v>40299</v>
      </c>
      <c r="H382" s="3">
        <v>40299</v>
      </c>
      <c r="I382" s="3">
        <v>40756</v>
      </c>
    </row>
    <row r="383" spans="1:19" x14ac:dyDescent="0.25">
      <c r="A383" t="s">
        <v>81</v>
      </c>
      <c r="B383">
        <v>620</v>
      </c>
      <c r="C383">
        <v>680</v>
      </c>
      <c r="D383">
        <v>85</v>
      </c>
      <c r="E383">
        <v>90</v>
      </c>
      <c r="F383">
        <f t="shared" ref="F383:F384" si="31">F376+30</f>
        <v>139</v>
      </c>
      <c r="G383" s="3">
        <v>40299</v>
      </c>
      <c r="H383" s="3">
        <v>40299</v>
      </c>
      <c r="I383" s="3">
        <v>40756</v>
      </c>
    </row>
    <row r="384" spans="1:19" x14ac:dyDescent="0.25">
      <c r="A384" t="s">
        <v>81</v>
      </c>
      <c r="B384">
        <v>620</v>
      </c>
      <c r="C384">
        <v>680</v>
      </c>
      <c r="D384">
        <v>80</v>
      </c>
      <c r="E384">
        <v>85</v>
      </c>
      <c r="F384">
        <f t="shared" si="31"/>
        <v>107</v>
      </c>
      <c r="G384" s="3">
        <v>40299</v>
      </c>
      <c r="H384" s="3">
        <v>40299</v>
      </c>
      <c r="I384" s="3">
        <v>40756</v>
      </c>
    </row>
    <row r="385" spans="1:9" x14ac:dyDescent="0.25">
      <c r="A385" t="s">
        <v>81</v>
      </c>
      <c r="B385">
        <v>620</v>
      </c>
      <c r="C385">
        <v>680</v>
      </c>
      <c r="D385">
        <v>0</v>
      </c>
      <c r="E385">
        <v>80</v>
      </c>
      <c r="F385">
        <v>0</v>
      </c>
      <c r="G385" s="3">
        <v>40299</v>
      </c>
      <c r="H385" s="3">
        <v>40299</v>
      </c>
      <c r="I385" s="3">
        <v>40756</v>
      </c>
    </row>
    <row r="386" spans="1:9" x14ac:dyDescent="0.25">
      <c r="A386" t="s">
        <v>81</v>
      </c>
      <c r="B386">
        <v>300</v>
      </c>
      <c r="C386">
        <v>620</v>
      </c>
      <c r="D386">
        <v>97</v>
      </c>
      <c r="E386">
        <v>999</v>
      </c>
      <c r="G386" s="3">
        <v>40299</v>
      </c>
      <c r="H386" s="3">
        <v>40299</v>
      </c>
      <c r="I386" s="3">
        <v>40756</v>
      </c>
    </row>
    <row r="387" spans="1:9" x14ac:dyDescent="0.25">
      <c r="A387" t="s">
        <v>81</v>
      </c>
      <c r="B387">
        <v>300</v>
      </c>
      <c r="C387">
        <v>620</v>
      </c>
      <c r="D387">
        <v>95</v>
      </c>
      <c r="E387">
        <v>97</v>
      </c>
      <c r="G387" s="3">
        <v>40299</v>
      </c>
      <c r="H387" s="3">
        <v>40299</v>
      </c>
      <c r="I387" s="3">
        <v>40756</v>
      </c>
    </row>
    <row r="388" spans="1:9" x14ac:dyDescent="0.25">
      <c r="A388" t="s">
        <v>81</v>
      </c>
      <c r="B388">
        <v>300</v>
      </c>
      <c r="C388">
        <v>620</v>
      </c>
      <c r="D388">
        <v>90</v>
      </c>
      <c r="E388">
        <v>95</v>
      </c>
      <c r="G388" s="3">
        <v>40299</v>
      </c>
      <c r="H388" s="3">
        <v>40299</v>
      </c>
      <c r="I388" s="3">
        <v>40756</v>
      </c>
    </row>
    <row r="389" spans="1:9" x14ac:dyDescent="0.25">
      <c r="A389" t="s">
        <v>81</v>
      </c>
      <c r="B389">
        <v>300</v>
      </c>
      <c r="C389">
        <v>620</v>
      </c>
      <c r="D389">
        <v>85</v>
      </c>
      <c r="E389">
        <v>90</v>
      </c>
      <c r="G389" s="3">
        <v>40299</v>
      </c>
      <c r="H389" s="3">
        <v>40299</v>
      </c>
      <c r="I389" s="3">
        <v>40756</v>
      </c>
    </row>
    <row r="390" spans="1:9" x14ac:dyDescent="0.25">
      <c r="A390" t="s">
        <v>81</v>
      </c>
      <c r="B390">
        <v>300</v>
      </c>
      <c r="C390">
        <v>620</v>
      </c>
      <c r="D390">
        <v>80</v>
      </c>
      <c r="E390">
        <v>85</v>
      </c>
      <c r="G390" s="3">
        <v>40299</v>
      </c>
      <c r="H390" s="3">
        <v>40299</v>
      </c>
      <c r="I390" s="3">
        <v>40756</v>
      </c>
    </row>
    <row r="391" spans="1:9" x14ac:dyDescent="0.25">
      <c r="A391" t="s">
        <v>81</v>
      </c>
      <c r="B391">
        <v>300</v>
      </c>
      <c r="C391">
        <v>620</v>
      </c>
      <c r="D391">
        <v>0</v>
      </c>
      <c r="E391">
        <v>80</v>
      </c>
      <c r="G391" s="3">
        <v>40299</v>
      </c>
      <c r="H391" s="3">
        <v>40299</v>
      </c>
      <c r="I391" s="3">
        <v>40756</v>
      </c>
    </row>
    <row r="392" spans="1:9" x14ac:dyDescent="0.25">
      <c r="A392" t="s">
        <v>83</v>
      </c>
      <c r="B392">
        <v>760</v>
      </c>
      <c r="C392">
        <v>999</v>
      </c>
      <c r="D392">
        <v>97</v>
      </c>
      <c r="E392">
        <v>999</v>
      </c>
      <c r="G392" s="3">
        <v>40299</v>
      </c>
      <c r="H392" s="3">
        <v>40299</v>
      </c>
      <c r="I392" s="3">
        <v>40756</v>
      </c>
    </row>
    <row r="393" spans="1:9" x14ac:dyDescent="0.25">
      <c r="A393" t="s">
        <v>83</v>
      </c>
      <c r="B393">
        <v>760</v>
      </c>
      <c r="C393">
        <v>999</v>
      </c>
      <c r="D393">
        <v>95</v>
      </c>
      <c r="E393">
        <v>97</v>
      </c>
      <c r="F393">
        <v>88</v>
      </c>
      <c r="G393" s="3">
        <v>40299</v>
      </c>
      <c r="H393" s="3">
        <v>40299</v>
      </c>
      <c r="I393" s="3">
        <v>40756</v>
      </c>
    </row>
    <row r="394" spans="1:9" x14ac:dyDescent="0.25">
      <c r="A394" t="s">
        <v>83</v>
      </c>
      <c r="B394">
        <v>760</v>
      </c>
      <c r="C394">
        <v>999</v>
      </c>
      <c r="D394">
        <v>90</v>
      </c>
      <c r="E394">
        <v>95</v>
      </c>
      <c r="F394">
        <v>67</v>
      </c>
      <c r="G394" s="3">
        <v>40299</v>
      </c>
      <c r="H394" s="3">
        <v>40299</v>
      </c>
      <c r="I394" s="3">
        <v>40756</v>
      </c>
    </row>
    <row r="395" spans="1:9" x14ac:dyDescent="0.25">
      <c r="A395" t="s">
        <v>83</v>
      </c>
      <c r="B395">
        <v>760</v>
      </c>
      <c r="C395">
        <v>999</v>
      </c>
      <c r="D395">
        <v>85</v>
      </c>
      <c r="E395">
        <v>90</v>
      </c>
      <c r="F395">
        <v>49</v>
      </c>
      <c r="G395" s="3">
        <v>40299</v>
      </c>
      <c r="H395" s="3">
        <v>40299</v>
      </c>
      <c r="I395" s="3">
        <v>40756</v>
      </c>
    </row>
    <row r="396" spans="1:9" x14ac:dyDescent="0.25">
      <c r="A396" t="s">
        <v>83</v>
      </c>
      <c r="B396">
        <v>760</v>
      </c>
      <c r="C396">
        <v>999</v>
      </c>
      <c r="D396">
        <v>80</v>
      </c>
      <c r="E396">
        <v>85</v>
      </c>
      <c r="F396">
        <v>32</v>
      </c>
      <c r="G396" s="3">
        <v>40299</v>
      </c>
      <c r="H396" s="3">
        <v>40299</v>
      </c>
      <c r="I396" s="3">
        <v>40756</v>
      </c>
    </row>
    <row r="397" spans="1:9" x14ac:dyDescent="0.25">
      <c r="A397" t="s">
        <v>83</v>
      </c>
      <c r="B397">
        <v>760</v>
      </c>
      <c r="C397">
        <v>999</v>
      </c>
      <c r="D397">
        <v>0</v>
      </c>
      <c r="E397">
        <v>80</v>
      </c>
      <c r="F397">
        <v>0</v>
      </c>
      <c r="G397" s="3">
        <v>40299</v>
      </c>
      <c r="H397" s="3">
        <v>40299</v>
      </c>
      <c r="I397" s="3">
        <v>40756</v>
      </c>
    </row>
    <row r="398" spans="1:9" x14ac:dyDescent="0.25">
      <c r="A398" t="s">
        <v>83</v>
      </c>
      <c r="B398">
        <v>720</v>
      </c>
      <c r="C398">
        <v>760</v>
      </c>
      <c r="D398">
        <v>97</v>
      </c>
      <c r="E398">
        <v>999</v>
      </c>
      <c r="G398" s="3">
        <v>40299</v>
      </c>
      <c r="H398" s="3">
        <v>40299</v>
      </c>
      <c r="I398" s="3">
        <v>40756</v>
      </c>
    </row>
    <row r="399" spans="1:9" x14ac:dyDescent="0.25">
      <c r="A399" t="s">
        <v>83</v>
      </c>
      <c r="B399">
        <v>720</v>
      </c>
      <c r="C399">
        <v>760</v>
      </c>
      <c r="D399">
        <v>95</v>
      </c>
      <c r="E399">
        <v>97</v>
      </c>
      <c r="F399">
        <v>88</v>
      </c>
      <c r="G399" s="3">
        <v>40299</v>
      </c>
      <c r="H399" s="3">
        <v>40299</v>
      </c>
      <c r="I399" s="3">
        <v>40756</v>
      </c>
    </row>
    <row r="400" spans="1:9" x14ac:dyDescent="0.25">
      <c r="A400" t="s">
        <v>83</v>
      </c>
      <c r="B400">
        <v>720</v>
      </c>
      <c r="C400">
        <v>760</v>
      </c>
      <c r="D400">
        <v>90</v>
      </c>
      <c r="E400">
        <v>95</v>
      </c>
      <c r="F400">
        <v>67</v>
      </c>
      <c r="G400" s="3">
        <v>40299</v>
      </c>
      <c r="H400" s="3">
        <v>40299</v>
      </c>
      <c r="I400" s="3">
        <v>40756</v>
      </c>
    </row>
    <row r="401" spans="1:9" x14ac:dyDescent="0.25">
      <c r="A401" t="s">
        <v>83</v>
      </c>
      <c r="B401">
        <v>720</v>
      </c>
      <c r="C401">
        <v>760</v>
      </c>
      <c r="D401">
        <v>85</v>
      </c>
      <c r="E401">
        <v>90</v>
      </c>
      <c r="F401">
        <v>49</v>
      </c>
      <c r="G401" s="3">
        <v>40299</v>
      </c>
      <c r="H401" s="3">
        <v>40299</v>
      </c>
      <c r="I401" s="3">
        <v>40756</v>
      </c>
    </row>
    <row r="402" spans="1:9" x14ac:dyDescent="0.25">
      <c r="A402" t="s">
        <v>83</v>
      </c>
      <c r="B402">
        <v>720</v>
      </c>
      <c r="C402">
        <v>760</v>
      </c>
      <c r="D402">
        <v>80</v>
      </c>
      <c r="E402">
        <v>85</v>
      </c>
      <c r="F402">
        <v>32</v>
      </c>
      <c r="G402" s="3">
        <v>40299</v>
      </c>
      <c r="H402" s="3">
        <v>40299</v>
      </c>
      <c r="I402" s="3">
        <v>40756</v>
      </c>
    </row>
    <row r="403" spans="1:9" x14ac:dyDescent="0.25">
      <c r="A403" t="s">
        <v>83</v>
      </c>
      <c r="B403">
        <v>720</v>
      </c>
      <c r="C403">
        <v>760</v>
      </c>
      <c r="D403">
        <v>0</v>
      </c>
      <c r="E403">
        <v>80</v>
      </c>
      <c r="F403">
        <v>0</v>
      </c>
      <c r="G403" s="3">
        <v>40299</v>
      </c>
      <c r="H403" s="3">
        <v>40299</v>
      </c>
      <c r="I403" s="3">
        <v>40756</v>
      </c>
    </row>
    <row r="404" spans="1:9" x14ac:dyDescent="0.25">
      <c r="A404" t="s">
        <v>83</v>
      </c>
      <c r="B404">
        <v>680</v>
      </c>
      <c r="C404">
        <v>720</v>
      </c>
      <c r="D404">
        <v>97</v>
      </c>
      <c r="E404">
        <v>999</v>
      </c>
      <c r="G404" s="3">
        <v>40299</v>
      </c>
      <c r="H404" s="3">
        <v>40299</v>
      </c>
      <c r="I404" s="3">
        <v>40756</v>
      </c>
    </row>
    <row r="405" spans="1:9" x14ac:dyDescent="0.25">
      <c r="A405" t="s">
        <v>83</v>
      </c>
      <c r="B405">
        <v>680</v>
      </c>
      <c r="C405">
        <v>720</v>
      </c>
      <c r="D405">
        <v>95</v>
      </c>
      <c r="E405">
        <v>97</v>
      </c>
      <c r="F405">
        <v>110</v>
      </c>
      <c r="G405" s="3">
        <v>40299</v>
      </c>
      <c r="H405" s="3">
        <v>40299</v>
      </c>
      <c r="I405" s="3">
        <v>40756</v>
      </c>
    </row>
    <row r="406" spans="1:9" x14ac:dyDescent="0.25">
      <c r="A406" t="s">
        <v>83</v>
      </c>
      <c r="B406">
        <v>680</v>
      </c>
      <c r="C406">
        <v>720</v>
      </c>
      <c r="D406">
        <v>90</v>
      </c>
      <c r="E406">
        <v>95</v>
      </c>
      <c r="F406">
        <v>94</v>
      </c>
      <c r="G406" s="3">
        <v>40299</v>
      </c>
      <c r="H406" s="3">
        <v>40299</v>
      </c>
      <c r="I406" s="3">
        <v>40756</v>
      </c>
    </row>
    <row r="407" spans="1:9" x14ac:dyDescent="0.25">
      <c r="A407" t="s">
        <v>83</v>
      </c>
      <c r="B407">
        <v>680</v>
      </c>
      <c r="C407">
        <v>720</v>
      </c>
      <c r="D407">
        <v>85</v>
      </c>
      <c r="E407">
        <v>90</v>
      </c>
      <c r="F407">
        <v>62</v>
      </c>
      <c r="G407" s="3">
        <v>40299</v>
      </c>
      <c r="H407" s="3">
        <v>40299</v>
      </c>
      <c r="I407" s="3">
        <v>40756</v>
      </c>
    </row>
    <row r="408" spans="1:9" x14ac:dyDescent="0.25">
      <c r="A408" t="s">
        <v>83</v>
      </c>
      <c r="B408">
        <v>680</v>
      </c>
      <c r="C408">
        <v>720</v>
      </c>
      <c r="D408">
        <v>80</v>
      </c>
      <c r="E408">
        <v>85</v>
      </c>
      <c r="F408">
        <v>38</v>
      </c>
      <c r="G408" s="3">
        <v>40299</v>
      </c>
      <c r="H408" s="3">
        <v>40299</v>
      </c>
      <c r="I408" s="3">
        <v>40756</v>
      </c>
    </row>
    <row r="409" spans="1:9" x14ac:dyDescent="0.25">
      <c r="A409" t="s">
        <v>83</v>
      </c>
      <c r="B409">
        <v>680</v>
      </c>
      <c r="C409">
        <v>720</v>
      </c>
      <c r="D409">
        <v>0</v>
      </c>
      <c r="E409">
        <v>80</v>
      </c>
      <c r="F409">
        <v>0</v>
      </c>
      <c r="G409" s="3">
        <v>40299</v>
      </c>
      <c r="H409" s="3">
        <v>40299</v>
      </c>
      <c r="I409" s="3">
        <v>40756</v>
      </c>
    </row>
    <row r="410" spans="1:9" x14ac:dyDescent="0.25">
      <c r="A410" t="s">
        <v>83</v>
      </c>
      <c r="B410">
        <v>620</v>
      </c>
      <c r="C410">
        <v>680</v>
      </c>
      <c r="D410">
        <v>97</v>
      </c>
      <c r="E410">
        <v>999</v>
      </c>
      <c r="G410" s="3">
        <v>40299</v>
      </c>
      <c r="H410" s="3">
        <v>40299</v>
      </c>
      <c r="I410" s="3">
        <v>40756</v>
      </c>
    </row>
    <row r="411" spans="1:9" x14ac:dyDescent="0.25">
      <c r="A411" t="s">
        <v>83</v>
      </c>
      <c r="B411">
        <v>620</v>
      </c>
      <c r="C411">
        <v>680</v>
      </c>
      <c r="D411">
        <v>95</v>
      </c>
      <c r="E411">
        <v>97</v>
      </c>
      <c r="G411" s="3">
        <v>40299</v>
      </c>
      <c r="H411" s="3">
        <v>40299</v>
      </c>
      <c r="I411" s="3">
        <v>40756</v>
      </c>
    </row>
    <row r="412" spans="1:9" x14ac:dyDescent="0.25">
      <c r="A412" t="s">
        <v>83</v>
      </c>
      <c r="B412">
        <v>620</v>
      </c>
      <c r="C412">
        <v>680</v>
      </c>
      <c r="D412">
        <v>90</v>
      </c>
      <c r="E412">
        <v>95</v>
      </c>
      <c r="F412">
        <v>120</v>
      </c>
      <c r="G412" s="3">
        <v>40299</v>
      </c>
      <c r="H412" s="3">
        <v>40299</v>
      </c>
      <c r="I412" s="3">
        <v>40756</v>
      </c>
    </row>
    <row r="413" spans="1:9" x14ac:dyDescent="0.25">
      <c r="A413" t="s">
        <v>83</v>
      </c>
      <c r="B413">
        <v>620</v>
      </c>
      <c r="C413">
        <v>680</v>
      </c>
      <c r="D413">
        <v>85</v>
      </c>
      <c r="E413">
        <v>90</v>
      </c>
      <c r="F413">
        <v>76</v>
      </c>
      <c r="G413" s="3">
        <v>40299</v>
      </c>
      <c r="H413" s="3">
        <v>40299</v>
      </c>
      <c r="I413" s="3">
        <v>40756</v>
      </c>
    </row>
    <row r="414" spans="1:9" x14ac:dyDescent="0.25">
      <c r="A414" t="s">
        <v>83</v>
      </c>
      <c r="B414">
        <v>620</v>
      </c>
      <c r="C414">
        <v>680</v>
      </c>
      <c r="D414">
        <v>80</v>
      </c>
      <c r="E414">
        <v>85</v>
      </c>
      <c r="F414">
        <v>44</v>
      </c>
      <c r="G414" s="3">
        <v>40299</v>
      </c>
      <c r="H414" s="3">
        <v>40299</v>
      </c>
      <c r="I414" s="3">
        <v>40756</v>
      </c>
    </row>
    <row r="415" spans="1:9" x14ac:dyDescent="0.25">
      <c r="A415" t="s">
        <v>83</v>
      </c>
      <c r="B415">
        <v>620</v>
      </c>
      <c r="C415">
        <v>680</v>
      </c>
      <c r="D415">
        <v>0</v>
      </c>
      <c r="E415">
        <v>80</v>
      </c>
      <c r="F415">
        <v>0</v>
      </c>
      <c r="G415" s="3">
        <v>40299</v>
      </c>
      <c r="H415" s="3">
        <v>40299</v>
      </c>
      <c r="I415" s="3">
        <v>40756</v>
      </c>
    </row>
    <row r="416" spans="1:9" x14ac:dyDescent="0.25">
      <c r="A416" t="s">
        <v>83</v>
      </c>
      <c r="B416">
        <v>300</v>
      </c>
      <c r="C416">
        <v>620</v>
      </c>
      <c r="D416">
        <v>97</v>
      </c>
      <c r="E416">
        <v>999</v>
      </c>
      <c r="G416" s="3">
        <v>40299</v>
      </c>
      <c r="H416" s="3">
        <v>40299</v>
      </c>
      <c r="I416" s="3">
        <v>40756</v>
      </c>
    </row>
    <row r="417" spans="1:19" x14ac:dyDescent="0.25">
      <c r="A417" t="s">
        <v>83</v>
      </c>
      <c r="B417">
        <v>300</v>
      </c>
      <c r="C417">
        <v>620</v>
      </c>
      <c r="D417">
        <v>95</v>
      </c>
      <c r="E417">
        <v>97</v>
      </c>
      <c r="G417" s="3">
        <v>40299</v>
      </c>
      <c r="H417" s="3">
        <v>40299</v>
      </c>
      <c r="I417" s="3">
        <v>40756</v>
      </c>
    </row>
    <row r="418" spans="1:19" x14ac:dyDescent="0.25">
      <c r="A418" t="s">
        <v>83</v>
      </c>
      <c r="B418">
        <v>300</v>
      </c>
      <c r="C418">
        <v>620</v>
      </c>
      <c r="D418">
        <v>90</v>
      </c>
      <c r="E418">
        <v>95</v>
      </c>
      <c r="G418" s="3">
        <v>40299</v>
      </c>
      <c r="H418" s="3">
        <v>40299</v>
      </c>
      <c r="I418" s="3">
        <v>40756</v>
      </c>
    </row>
    <row r="419" spans="1:19" x14ac:dyDescent="0.25">
      <c r="A419" t="s">
        <v>83</v>
      </c>
      <c r="B419">
        <v>300</v>
      </c>
      <c r="C419">
        <v>620</v>
      </c>
      <c r="D419">
        <v>85</v>
      </c>
      <c r="E419">
        <v>90</v>
      </c>
      <c r="G419" s="3">
        <v>40299</v>
      </c>
      <c r="H419" s="3">
        <v>40299</v>
      </c>
      <c r="I419" s="3">
        <v>40756</v>
      </c>
    </row>
    <row r="420" spans="1:19" x14ac:dyDescent="0.25">
      <c r="A420" t="s">
        <v>83</v>
      </c>
      <c r="B420">
        <v>300</v>
      </c>
      <c r="C420">
        <v>620</v>
      </c>
      <c r="D420">
        <v>80</v>
      </c>
      <c r="E420">
        <v>85</v>
      </c>
      <c r="G420" s="3">
        <v>40299</v>
      </c>
      <c r="H420" s="3">
        <v>40299</v>
      </c>
      <c r="I420" s="3">
        <v>40756</v>
      </c>
    </row>
    <row r="421" spans="1:19" x14ac:dyDescent="0.25">
      <c r="A421" t="s">
        <v>83</v>
      </c>
      <c r="B421">
        <v>300</v>
      </c>
      <c r="C421">
        <v>620</v>
      </c>
      <c r="D421">
        <v>0</v>
      </c>
      <c r="E421">
        <v>80</v>
      </c>
      <c r="G421" s="3">
        <v>40299</v>
      </c>
      <c r="H421" s="3">
        <v>40299</v>
      </c>
      <c r="I421" s="3">
        <v>40756</v>
      </c>
    </row>
    <row r="422" spans="1:19" x14ac:dyDescent="0.25">
      <c r="A422" t="s">
        <v>81</v>
      </c>
      <c r="B422">
        <v>760</v>
      </c>
      <c r="C422">
        <v>999</v>
      </c>
      <c r="D422">
        <v>97</v>
      </c>
      <c r="E422">
        <v>999</v>
      </c>
      <c r="G422" s="3">
        <v>39873</v>
      </c>
      <c r="H422" s="3">
        <v>39873</v>
      </c>
      <c r="I422" s="3">
        <v>40299</v>
      </c>
      <c r="M422" t="s">
        <v>41</v>
      </c>
      <c r="N422" t="s">
        <v>11</v>
      </c>
      <c r="O422" t="s">
        <v>12</v>
      </c>
      <c r="P422" t="s">
        <v>13</v>
      </c>
      <c r="Q422" t="s">
        <v>14</v>
      </c>
      <c r="R422" t="s">
        <v>19</v>
      </c>
      <c r="S422" s="3">
        <v>39873</v>
      </c>
    </row>
    <row r="423" spans="1:19" x14ac:dyDescent="0.25">
      <c r="A423" t="s">
        <v>81</v>
      </c>
      <c r="B423">
        <v>760</v>
      </c>
      <c r="C423">
        <v>999</v>
      </c>
      <c r="D423">
        <v>95</v>
      </c>
      <c r="E423">
        <v>97</v>
      </c>
      <c r="F423">
        <v>98</v>
      </c>
      <c r="G423" s="3">
        <v>39873</v>
      </c>
      <c r="H423" s="3">
        <v>39873</v>
      </c>
      <c r="I423" s="3">
        <v>40299</v>
      </c>
      <c r="M423" s="1" t="s">
        <v>15</v>
      </c>
      <c r="N423">
        <v>98</v>
      </c>
      <c r="O423">
        <v>98</v>
      </c>
      <c r="P423">
        <v>98</v>
      </c>
      <c r="Q423">
        <v>98</v>
      </c>
      <c r="R423" s="2" t="s">
        <v>34</v>
      </c>
    </row>
    <row r="424" spans="1:19" x14ac:dyDescent="0.25">
      <c r="A424" t="s">
        <v>81</v>
      </c>
      <c r="B424">
        <v>760</v>
      </c>
      <c r="C424">
        <v>999</v>
      </c>
      <c r="D424">
        <v>90</v>
      </c>
      <c r="E424">
        <v>95</v>
      </c>
      <c r="F424">
        <v>94</v>
      </c>
      <c r="G424" s="3">
        <v>39873</v>
      </c>
      <c r="H424" s="3">
        <v>39873</v>
      </c>
      <c r="I424" s="3">
        <v>40299</v>
      </c>
      <c r="M424" t="s">
        <v>16</v>
      </c>
      <c r="N424">
        <v>94</v>
      </c>
      <c r="O424">
        <v>94</v>
      </c>
      <c r="P424">
        <v>94</v>
      </c>
      <c r="Q424">
        <v>94</v>
      </c>
      <c r="R424" s="2" t="s">
        <v>34</v>
      </c>
    </row>
    <row r="425" spans="1:19" x14ac:dyDescent="0.25">
      <c r="A425" t="s">
        <v>81</v>
      </c>
      <c r="B425">
        <v>760</v>
      </c>
      <c r="C425">
        <v>999</v>
      </c>
      <c r="D425">
        <v>85</v>
      </c>
      <c r="E425">
        <v>90</v>
      </c>
      <c r="F425">
        <v>62</v>
      </c>
      <c r="G425" s="3">
        <v>39873</v>
      </c>
      <c r="H425" s="3">
        <v>39873</v>
      </c>
      <c r="I425" s="3">
        <v>40299</v>
      </c>
      <c r="M425" t="s">
        <v>17</v>
      </c>
      <c r="N425">
        <v>62</v>
      </c>
      <c r="O425">
        <v>62</v>
      </c>
      <c r="P425">
        <v>62</v>
      </c>
      <c r="Q425">
        <v>62</v>
      </c>
      <c r="R425" s="2" t="s">
        <v>34</v>
      </c>
    </row>
    <row r="426" spans="1:19" x14ac:dyDescent="0.25">
      <c r="A426" t="s">
        <v>81</v>
      </c>
      <c r="B426">
        <v>760</v>
      </c>
      <c r="C426">
        <v>999</v>
      </c>
      <c r="D426">
        <v>80</v>
      </c>
      <c r="E426">
        <v>85</v>
      </c>
      <c r="F426">
        <v>38</v>
      </c>
      <c r="G426" s="3">
        <v>39873</v>
      </c>
      <c r="H426" s="3">
        <v>39873</v>
      </c>
      <c r="I426" s="3">
        <v>40299</v>
      </c>
      <c r="M426" t="s">
        <v>18</v>
      </c>
      <c r="N426">
        <v>38</v>
      </c>
      <c r="O426">
        <v>38</v>
      </c>
      <c r="P426">
        <v>38</v>
      </c>
      <c r="Q426">
        <v>38</v>
      </c>
      <c r="R426" s="2" t="s">
        <v>34</v>
      </c>
    </row>
    <row r="427" spans="1:19" x14ac:dyDescent="0.25">
      <c r="A427" t="s">
        <v>81</v>
      </c>
      <c r="B427">
        <v>760</v>
      </c>
      <c r="C427">
        <v>999</v>
      </c>
      <c r="D427">
        <v>0</v>
      </c>
      <c r="E427">
        <v>80</v>
      </c>
      <c r="F427">
        <v>0</v>
      </c>
      <c r="G427" s="3">
        <v>39873</v>
      </c>
      <c r="H427" s="3">
        <v>39873</v>
      </c>
      <c r="I427" s="3">
        <v>40299</v>
      </c>
      <c r="M427" t="s">
        <v>21</v>
      </c>
      <c r="N427">
        <v>0</v>
      </c>
      <c r="O427">
        <v>0</v>
      </c>
      <c r="P427">
        <v>0</v>
      </c>
      <c r="Q427">
        <v>0</v>
      </c>
      <c r="R427" s="2" t="s">
        <v>34</v>
      </c>
    </row>
    <row r="428" spans="1:19" x14ac:dyDescent="0.25">
      <c r="A428" t="s">
        <v>81</v>
      </c>
      <c r="B428">
        <v>720</v>
      </c>
      <c r="C428">
        <v>760</v>
      </c>
      <c r="D428">
        <v>97</v>
      </c>
      <c r="E428">
        <v>999</v>
      </c>
      <c r="G428" s="3">
        <v>39873</v>
      </c>
      <c r="H428" s="3">
        <v>39873</v>
      </c>
      <c r="I428" s="3">
        <v>40299</v>
      </c>
    </row>
    <row r="429" spans="1:19" x14ac:dyDescent="0.25">
      <c r="A429" t="s">
        <v>81</v>
      </c>
      <c r="B429">
        <v>720</v>
      </c>
      <c r="C429">
        <v>760</v>
      </c>
      <c r="D429">
        <v>95</v>
      </c>
      <c r="E429">
        <v>97</v>
      </c>
      <c r="F429">
        <v>98</v>
      </c>
      <c r="G429" s="3">
        <v>39873</v>
      </c>
      <c r="H429" s="3">
        <v>39873</v>
      </c>
      <c r="I429" s="3">
        <v>40299</v>
      </c>
      <c r="M429" t="s">
        <v>40</v>
      </c>
      <c r="N429" t="s">
        <v>11</v>
      </c>
      <c r="O429" t="s">
        <v>12</v>
      </c>
      <c r="P429" t="s">
        <v>13</v>
      </c>
      <c r="Q429" t="s">
        <v>14</v>
      </c>
      <c r="R429" t="s">
        <v>19</v>
      </c>
      <c r="S429" s="3">
        <v>39873</v>
      </c>
    </row>
    <row r="430" spans="1:19" x14ac:dyDescent="0.25">
      <c r="A430" t="s">
        <v>81</v>
      </c>
      <c r="B430">
        <v>720</v>
      </c>
      <c r="C430">
        <v>760</v>
      </c>
      <c r="D430">
        <v>90</v>
      </c>
      <c r="E430">
        <v>95</v>
      </c>
      <c r="F430">
        <v>94</v>
      </c>
      <c r="G430" s="3">
        <v>39873</v>
      </c>
      <c r="H430" s="3">
        <v>39873</v>
      </c>
      <c r="I430" s="3">
        <v>40299</v>
      </c>
      <c r="M430" s="1" t="s">
        <v>15</v>
      </c>
      <c r="N430">
        <f>N423</f>
        <v>98</v>
      </c>
      <c r="O430">
        <f t="shared" ref="O430:Q430" si="32">O423</f>
        <v>98</v>
      </c>
      <c r="P430">
        <f t="shared" si="32"/>
        <v>98</v>
      </c>
      <c r="Q430">
        <f t="shared" si="32"/>
        <v>98</v>
      </c>
      <c r="R430" s="2" t="s">
        <v>34</v>
      </c>
    </row>
    <row r="431" spans="1:19" x14ac:dyDescent="0.25">
      <c r="A431" t="s">
        <v>81</v>
      </c>
      <c r="B431">
        <v>720</v>
      </c>
      <c r="C431">
        <v>760</v>
      </c>
      <c r="D431">
        <v>85</v>
      </c>
      <c r="E431">
        <v>90</v>
      </c>
      <c r="F431">
        <v>62</v>
      </c>
      <c r="G431" s="3">
        <v>39873</v>
      </c>
      <c r="H431" s="3">
        <v>39873</v>
      </c>
      <c r="I431" s="3">
        <v>40299</v>
      </c>
      <c r="M431" t="s">
        <v>16</v>
      </c>
      <c r="N431">
        <f t="shared" ref="N431:Q434" si="33">N424</f>
        <v>94</v>
      </c>
      <c r="O431">
        <f t="shared" si="33"/>
        <v>94</v>
      </c>
      <c r="P431">
        <f t="shared" si="33"/>
        <v>94</v>
      </c>
      <c r="Q431">
        <f t="shared" si="33"/>
        <v>94</v>
      </c>
      <c r="R431" s="2" t="s">
        <v>34</v>
      </c>
    </row>
    <row r="432" spans="1:19" x14ac:dyDescent="0.25">
      <c r="A432" t="s">
        <v>81</v>
      </c>
      <c r="B432">
        <v>720</v>
      </c>
      <c r="C432">
        <v>760</v>
      </c>
      <c r="D432">
        <v>80</v>
      </c>
      <c r="E432">
        <v>85</v>
      </c>
      <c r="F432">
        <v>38</v>
      </c>
      <c r="G432" s="3">
        <v>39873</v>
      </c>
      <c r="H432" s="3">
        <v>39873</v>
      </c>
      <c r="I432" s="3">
        <v>40299</v>
      </c>
      <c r="M432" t="s">
        <v>17</v>
      </c>
      <c r="N432">
        <f t="shared" si="33"/>
        <v>62</v>
      </c>
      <c r="O432">
        <f t="shared" si="33"/>
        <v>62</v>
      </c>
      <c r="P432">
        <f t="shared" si="33"/>
        <v>62</v>
      </c>
      <c r="Q432">
        <f t="shared" si="33"/>
        <v>62</v>
      </c>
      <c r="R432" s="2" t="s">
        <v>34</v>
      </c>
    </row>
    <row r="433" spans="1:18" x14ac:dyDescent="0.25">
      <c r="A433" t="s">
        <v>81</v>
      </c>
      <c r="B433">
        <v>720</v>
      </c>
      <c r="C433">
        <v>760</v>
      </c>
      <c r="D433">
        <v>0</v>
      </c>
      <c r="E433">
        <v>80</v>
      </c>
      <c r="F433">
        <v>0</v>
      </c>
      <c r="G433" s="3">
        <v>39873</v>
      </c>
      <c r="H433" s="3">
        <v>39873</v>
      </c>
      <c r="I433" s="3">
        <v>40299</v>
      </c>
      <c r="M433" t="s">
        <v>18</v>
      </c>
      <c r="N433">
        <f t="shared" si="33"/>
        <v>38</v>
      </c>
      <c r="O433">
        <f t="shared" si="33"/>
        <v>38</v>
      </c>
      <c r="P433">
        <f t="shared" si="33"/>
        <v>38</v>
      </c>
      <c r="Q433">
        <f t="shared" si="33"/>
        <v>38</v>
      </c>
      <c r="R433" s="2" t="s">
        <v>34</v>
      </c>
    </row>
    <row r="434" spans="1:18" x14ac:dyDescent="0.25">
      <c r="A434" t="s">
        <v>81</v>
      </c>
      <c r="B434">
        <v>680</v>
      </c>
      <c r="C434">
        <v>720</v>
      </c>
      <c r="D434">
        <v>97</v>
      </c>
      <c r="E434">
        <v>999</v>
      </c>
      <c r="G434" s="3">
        <v>39873</v>
      </c>
      <c r="H434" s="3">
        <v>39873</v>
      </c>
      <c r="I434" s="3">
        <v>40299</v>
      </c>
      <c r="M434" t="s">
        <v>21</v>
      </c>
      <c r="N434">
        <f t="shared" si="33"/>
        <v>0</v>
      </c>
      <c r="O434">
        <f t="shared" si="33"/>
        <v>0</v>
      </c>
      <c r="P434">
        <f t="shared" si="33"/>
        <v>0</v>
      </c>
      <c r="Q434">
        <f t="shared" si="33"/>
        <v>0</v>
      </c>
      <c r="R434" s="2" t="s">
        <v>34</v>
      </c>
    </row>
    <row r="435" spans="1:18" x14ac:dyDescent="0.25">
      <c r="A435" t="s">
        <v>81</v>
      </c>
      <c r="B435">
        <v>680</v>
      </c>
      <c r="C435">
        <v>720</v>
      </c>
      <c r="D435">
        <v>95</v>
      </c>
      <c r="E435">
        <v>97</v>
      </c>
      <c r="F435">
        <v>98</v>
      </c>
      <c r="G435" s="3">
        <v>39873</v>
      </c>
      <c r="H435" s="3">
        <v>39873</v>
      </c>
      <c r="I435" s="3">
        <v>40299</v>
      </c>
    </row>
    <row r="436" spans="1:18" x14ac:dyDescent="0.25">
      <c r="A436" t="s">
        <v>81</v>
      </c>
      <c r="B436">
        <v>680</v>
      </c>
      <c r="C436">
        <v>720</v>
      </c>
      <c r="D436">
        <v>90</v>
      </c>
      <c r="E436">
        <v>95</v>
      </c>
      <c r="F436">
        <v>94</v>
      </c>
      <c r="G436" s="3">
        <v>39873</v>
      </c>
      <c r="H436" s="3">
        <v>39873</v>
      </c>
      <c r="I436" s="3">
        <v>40299</v>
      </c>
      <c r="M436" t="s">
        <v>43</v>
      </c>
      <c r="N436" t="s">
        <v>87</v>
      </c>
    </row>
    <row r="437" spans="1:18" x14ac:dyDescent="0.25">
      <c r="A437" t="s">
        <v>81</v>
      </c>
      <c r="B437">
        <v>680</v>
      </c>
      <c r="C437">
        <v>720</v>
      </c>
      <c r="D437">
        <v>85</v>
      </c>
      <c r="E437">
        <v>90</v>
      </c>
      <c r="F437">
        <v>62</v>
      </c>
      <c r="G437" s="3">
        <v>39873</v>
      </c>
      <c r="H437" s="3">
        <v>39873</v>
      </c>
      <c r="I437" s="3">
        <v>40299</v>
      </c>
      <c r="M437" t="s">
        <v>44</v>
      </c>
      <c r="N437" t="s">
        <v>45</v>
      </c>
    </row>
    <row r="438" spans="1:18" x14ac:dyDescent="0.25">
      <c r="A438" t="s">
        <v>81</v>
      </c>
      <c r="B438">
        <v>680</v>
      </c>
      <c r="C438">
        <v>720</v>
      </c>
      <c r="D438">
        <v>80</v>
      </c>
      <c r="E438">
        <v>85</v>
      </c>
      <c r="F438">
        <v>38</v>
      </c>
      <c r="G438" s="3">
        <v>39873</v>
      </c>
      <c r="H438" s="3">
        <v>39873</v>
      </c>
      <c r="I438" s="3">
        <v>40299</v>
      </c>
    </row>
    <row r="439" spans="1:18" x14ac:dyDescent="0.25">
      <c r="A439" t="s">
        <v>81</v>
      </c>
      <c r="B439">
        <v>680</v>
      </c>
      <c r="C439">
        <v>720</v>
      </c>
      <c r="D439">
        <v>0</v>
      </c>
      <c r="E439">
        <v>80</v>
      </c>
      <c r="F439">
        <v>0</v>
      </c>
      <c r="G439" s="3">
        <v>39873</v>
      </c>
      <c r="H439" s="3">
        <v>39873</v>
      </c>
      <c r="I439" s="3">
        <v>40299</v>
      </c>
    </row>
    <row r="440" spans="1:18" x14ac:dyDescent="0.25">
      <c r="A440" t="s">
        <v>81</v>
      </c>
      <c r="B440">
        <v>620</v>
      </c>
      <c r="C440">
        <v>680</v>
      </c>
      <c r="D440">
        <v>97</v>
      </c>
      <c r="E440">
        <v>999</v>
      </c>
      <c r="G440" s="3">
        <v>39873</v>
      </c>
      <c r="H440" s="3">
        <v>39873</v>
      </c>
      <c r="I440" s="3">
        <v>40299</v>
      </c>
    </row>
    <row r="441" spans="1:18" x14ac:dyDescent="0.25">
      <c r="A441" t="s">
        <v>81</v>
      </c>
      <c r="B441">
        <v>620</v>
      </c>
      <c r="C441">
        <v>680</v>
      </c>
      <c r="D441">
        <v>95</v>
      </c>
      <c r="E441">
        <v>97</v>
      </c>
      <c r="F441">
        <v>98</v>
      </c>
      <c r="G441" s="3">
        <v>39873</v>
      </c>
      <c r="H441" s="3">
        <v>39873</v>
      </c>
      <c r="I441" s="3">
        <v>40299</v>
      </c>
    </row>
    <row r="442" spans="1:18" x14ac:dyDescent="0.25">
      <c r="A442" t="s">
        <v>81</v>
      </c>
      <c r="B442">
        <v>620</v>
      </c>
      <c r="C442">
        <v>680</v>
      </c>
      <c r="D442">
        <v>90</v>
      </c>
      <c r="E442">
        <v>95</v>
      </c>
      <c r="F442">
        <v>94</v>
      </c>
      <c r="G442" s="3">
        <v>39873</v>
      </c>
      <c r="H442" s="3">
        <v>39873</v>
      </c>
      <c r="I442" s="3">
        <v>40299</v>
      </c>
    </row>
    <row r="443" spans="1:18" x14ac:dyDescent="0.25">
      <c r="A443" t="s">
        <v>81</v>
      </c>
      <c r="B443">
        <v>620</v>
      </c>
      <c r="C443">
        <v>680</v>
      </c>
      <c r="D443">
        <v>85</v>
      </c>
      <c r="E443">
        <v>90</v>
      </c>
      <c r="F443">
        <v>62</v>
      </c>
      <c r="G443" s="3">
        <v>39873</v>
      </c>
      <c r="H443" s="3">
        <v>39873</v>
      </c>
      <c r="I443" s="3">
        <v>40299</v>
      </c>
    </row>
    <row r="444" spans="1:18" x14ac:dyDescent="0.25">
      <c r="A444" t="s">
        <v>81</v>
      </c>
      <c r="B444">
        <v>620</v>
      </c>
      <c r="C444">
        <v>680</v>
      </c>
      <c r="D444">
        <v>80</v>
      </c>
      <c r="E444">
        <v>85</v>
      </c>
      <c r="F444">
        <v>38</v>
      </c>
      <c r="G444" s="3">
        <v>39873</v>
      </c>
      <c r="H444" s="3">
        <v>39873</v>
      </c>
      <c r="I444" s="3">
        <v>40299</v>
      </c>
    </row>
    <row r="445" spans="1:18" x14ac:dyDescent="0.25">
      <c r="A445" t="s">
        <v>81</v>
      </c>
      <c r="B445">
        <v>620</v>
      </c>
      <c r="C445">
        <v>680</v>
      </c>
      <c r="D445">
        <v>0</v>
      </c>
      <c r="E445">
        <v>80</v>
      </c>
      <c r="F445">
        <v>0</v>
      </c>
      <c r="G445" s="3">
        <v>39873</v>
      </c>
      <c r="H445" s="3">
        <v>39873</v>
      </c>
      <c r="I445" s="3">
        <v>40299</v>
      </c>
    </row>
    <row r="446" spans="1:18" x14ac:dyDescent="0.25">
      <c r="A446" t="s">
        <v>81</v>
      </c>
      <c r="B446">
        <v>300</v>
      </c>
      <c r="C446">
        <v>620</v>
      </c>
      <c r="D446">
        <v>97</v>
      </c>
      <c r="E446">
        <v>999</v>
      </c>
      <c r="G446" s="3">
        <v>39873</v>
      </c>
      <c r="H446" s="3">
        <v>39873</v>
      </c>
      <c r="I446" s="3">
        <v>40299</v>
      </c>
    </row>
    <row r="447" spans="1:18" x14ac:dyDescent="0.25">
      <c r="A447" t="s">
        <v>81</v>
      </c>
      <c r="B447">
        <v>300</v>
      </c>
      <c r="C447">
        <v>620</v>
      </c>
      <c r="D447">
        <v>95</v>
      </c>
      <c r="E447">
        <v>97</v>
      </c>
      <c r="G447" s="3">
        <v>39873</v>
      </c>
      <c r="H447" s="3">
        <v>39873</v>
      </c>
      <c r="I447" s="3">
        <v>40299</v>
      </c>
    </row>
    <row r="448" spans="1:18" x14ac:dyDescent="0.25">
      <c r="A448" t="s">
        <v>81</v>
      </c>
      <c r="B448">
        <v>300</v>
      </c>
      <c r="C448">
        <v>620</v>
      </c>
      <c r="D448">
        <v>90</v>
      </c>
      <c r="E448">
        <v>95</v>
      </c>
      <c r="G448" s="3">
        <v>39873</v>
      </c>
      <c r="H448" s="3">
        <v>39873</v>
      </c>
      <c r="I448" s="3">
        <v>40299</v>
      </c>
    </row>
    <row r="449" spans="1:9" x14ac:dyDescent="0.25">
      <c r="A449" t="s">
        <v>81</v>
      </c>
      <c r="B449">
        <v>300</v>
      </c>
      <c r="C449">
        <v>620</v>
      </c>
      <c r="D449">
        <v>85</v>
      </c>
      <c r="E449">
        <v>90</v>
      </c>
      <c r="G449" s="3">
        <v>39873</v>
      </c>
      <c r="H449" s="3">
        <v>39873</v>
      </c>
      <c r="I449" s="3">
        <v>40299</v>
      </c>
    </row>
    <row r="450" spans="1:9" x14ac:dyDescent="0.25">
      <c r="A450" t="s">
        <v>81</v>
      </c>
      <c r="B450">
        <v>300</v>
      </c>
      <c r="C450">
        <v>620</v>
      </c>
      <c r="D450">
        <v>80</v>
      </c>
      <c r="E450">
        <v>85</v>
      </c>
      <c r="G450" s="3">
        <v>39873</v>
      </c>
      <c r="H450" s="3">
        <v>39873</v>
      </c>
      <c r="I450" s="3">
        <v>40299</v>
      </c>
    </row>
    <row r="451" spans="1:9" x14ac:dyDescent="0.25">
      <c r="A451" t="s">
        <v>81</v>
      </c>
      <c r="B451">
        <v>300</v>
      </c>
      <c r="C451">
        <v>620</v>
      </c>
      <c r="D451">
        <v>0</v>
      </c>
      <c r="E451">
        <v>80</v>
      </c>
      <c r="G451" s="3">
        <v>39873</v>
      </c>
      <c r="H451" s="3">
        <v>39873</v>
      </c>
      <c r="I451" s="3">
        <v>40299</v>
      </c>
    </row>
    <row r="452" spans="1:9" x14ac:dyDescent="0.25">
      <c r="A452" t="s">
        <v>83</v>
      </c>
      <c r="B452">
        <v>760</v>
      </c>
      <c r="C452">
        <v>999</v>
      </c>
      <c r="D452">
        <v>97</v>
      </c>
      <c r="E452">
        <v>999</v>
      </c>
      <c r="G452" s="3">
        <v>39873</v>
      </c>
      <c r="H452" s="3">
        <v>39873</v>
      </c>
      <c r="I452" s="3">
        <v>40299</v>
      </c>
    </row>
    <row r="453" spans="1:9" x14ac:dyDescent="0.25">
      <c r="A453" t="s">
        <v>83</v>
      </c>
      <c r="B453">
        <v>760</v>
      </c>
      <c r="C453">
        <v>999</v>
      </c>
      <c r="D453">
        <v>95</v>
      </c>
      <c r="E453">
        <v>97</v>
      </c>
      <c r="F453">
        <v>98</v>
      </c>
      <c r="G453" s="3">
        <v>39873</v>
      </c>
      <c r="H453" s="3">
        <v>39873</v>
      </c>
      <c r="I453" s="3">
        <v>40299</v>
      </c>
    </row>
    <row r="454" spans="1:9" x14ac:dyDescent="0.25">
      <c r="A454" t="s">
        <v>83</v>
      </c>
      <c r="B454">
        <v>760</v>
      </c>
      <c r="C454">
        <v>999</v>
      </c>
      <c r="D454">
        <v>90</v>
      </c>
      <c r="E454">
        <v>95</v>
      </c>
      <c r="F454">
        <v>94</v>
      </c>
      <c r="G454" s="3">
        <v>39873</v>
      </c>
      <c r="H454" s="3">
        <v>39873</v>
      </c>
      <c r="I454" s="3">
        <v>40299</v>
      </c>
    </row>
    <row r="455" spans="1:9" x14ac:dyDescent="0.25">
      <c r="A455" t="s">
        <v>83</v>
      </c>
      <c r="B455">
        <v>760</v>
      </c>
      <c r="C455">
        <v>999</v>
      </c>
      <c r="D455">
        <v>85</v>
      </c>
      <c r="E455">
        <v>90</v>
      </c>
      <c r="F455">
        <v>62</v>
      </c>
      <c r="G455" s="3">
        <v>39873</v>
      </c>
      <c r="H455" s="3">
        <v>39873</v>
      </c>
      <c r="I455" s="3">
        <v>40299</v>
      </c>
    </row>
    <row r="456" spans="1:9" x14ac:dyDescent="0.25">
      <c r="A456" t="s">
        <v>83</v>
      </c>
      <c r="B456">
        <v>760</v>
      </c>
      <c r="C456">
        <v>999</v>
      </c>
      <c r="D456">
        <v>80</v>
      </c>
      <c r="E456">
        <v>85</v>
      </c>
      <c r="F456">
        <v>38</v>
      </c>
      <c r="G456" s="3">
        <v>39873</v>
      </c>
      <c r="H456" s="3">
        <v>39873</v>
      </c>
      <c r="I456" s="3">
        <v>40299</v>
      </c>
    </row>
    <row r="457" spans="1:9" x14ac:dyDescent="0.25">
      <c r="A457" t="s">
        <v>83</v>
      </c>
      <c r="B457">
        <v>760</v>
      </c>
      <c r="C457">
        <v>999</v>
      </c>
      <c r="D457">
        <v>0</v>
      </c>
      <c r="E457">
        <v>80</v>
      </c>
      <c r="F457">
        <v>0</v>
      </c>
      <c r="G457" s="3">
        <v>39873</v>
      </c>
      <c r="H457" s="3">
        <v>39873</v>
      </c>
      <c r="I457" s="3">
        <v>40299</v>
      </c>
    </row>
    <row r="458" spans="1:9" x14ac:dyDescent="0.25">
      <c r="A458" t="s">
        <v>83</v>
      </c>
      <c r="B458">
        <v>720</v>
      </c>
      <c r="C458">
        <v>760</v>
      </c>
      <c r="D458">
        <v>97</v>
      </c>
      <c r="E458">
        <v>999</v>
      </c>
      <c r="G458" s="3">
        <v>39873</v>
      </c>
      <c r="H458" s="3">
        <v>39873</v>
      </c>
      <c r="I458" s="3">
        <v>40299</v>
      </c>
    </row>
    <row r="459" spans="1:9" x14ac:dyDescent="0.25">
      <c r="A459" t="s">
        <v>83</v>
      </c>
      <c r="B459">
        <v>720</v>
      </c>
      <c r="C459">
        <v>760</v>
      </c>
      <c r="D459">
        <v>95</v>
      </c>
      <c r="E459">
        <v>97</v>
      </c>
      <c r="F459">
        <v>98</v>
      </c>
      <c r="G459" s="3">
        <v>39873</v>
      </c>
      <c r="H459" s="3">
        <v>39873</v>
      </c>
      <c r="I459" s="3">
        <v>40299</v>
      </c>
    </row>
    <row r="460" spans="1:9" x14ac:dyDescent="0.25">
      <c r="A460" t="s">
        <v>83</v>
      </c>
      <c r="B460">
        <v>720</v>
      </c>
      <c r="C460">
        <v>760</v>
      </c>
      <c r="D460">
        <v>90</v>
      </c>
      <c r="E460">
        <v>95</v>
      </c>
      <c r="F460">
        <v>94</v>
      </c>
      <c r="G460" s="3">
        <v>39873</v>
      </c>
      <c r="H460" s="3">
        <v>39873</v>
      </c>
      <c r="I460" s="3">
        <v>40299</v>
      </c>
    </row>
    <row r="461" spans="1:9" x14ac:dyDescent="0.25">
      <c r="A461" t="s">
        <v>83</v>
      </c>
      <c r="B461">
        <v>720</v>
      </c>
      <c r="C461">
        <v>760</v>
      </c>
      <c r="D461">
        <v>85</v>
      </c>
      <c r="E461">
        <v>90</v>
      </c>
      <c r="F461">
        <v>62</v>
      </c>
      <c r="G461" s="3">
        <v>39873</v>
      </c>
      <c r="H461" s="3">
        <v>39873</v>
      </c>
      <c r="I461" s="3">
        <v>40299</v>
      </c>
    </row>
    <row r="462" spans="1:9" x14ac:dyDescent="0.25">
      <c r="A462" t="s">
        <v>83</v>
      </c>
      <c r="B462">
        <v>720</v>
      </c>
      <c r="C462">
        <v>760</v>
      </c>
      <c r="D462">
        <v>80</v>
      </c>
      <c r="E462">
        <v>85</v>
      </c>
      <c r="F462">
        <v>38</v>
      </c>
      <c r="G462" s="3">
        <v>39873</v>
      </c>
      <c r="H462" s="3">
        <v>39873</v>
      </c>
      <c r="I462" s="3">
        <v>40299</v>
      </c>
    </row>
    <row r="463" spans="1:9" x14ac:dyDescent="0.25">
      <c r="A463" t="s">
        <v>83</v>
      </c>
      <c r="B463">
        <v>720</v>
      </c>
      <c r="C463">
        <v>760</v>
      </c>
      <c r="D463">
        <v>0</v>
      </c>
      <c r="E463">
        <v>80</v>
      </c>
      <c r="F463">
        <v>0</v>
      </c>
      <c r="G463" s="3">
        <v>39873</v>
      </c>
      <c r="H463" s="3">
        <v>39873</v>
      </c>
      <c r="I463" s="3">
        <v>40299</v>
      </c>
    </row>
    <row r="464" spans="1:9" x14ac:dyDescent="0.25">
      <c r="A464" t="s">
        <v>83</v>
      </c>
      <c r="B464">
        <v>680</v>
      </c>
      <c r="C464">
        <v>720</v>
      </c>
      <c r="D464">
        <v>97</v>
      </c>
      <c r="E464">
        <v>999</v>
      </c>
      <c r="G464" s="3">
        <v>39873</v>
      </c>
      <c r="H464" s="3">
        <v>39873</v>
      </c>
      <c r="I464" s="3">
        <v>40299</v>
      </c>
    </row>
    <row r="465" spans="1:9" x14ac:dyDescent="0.25">
      <c r="A465" t="s">
        <v>83</v>
      </c>
      <c r="B465">
        <v>680</v>
      </c>
      <c r="C465">
        <v>720</v>
      </c>
      <c r="D465">
        <v>95</v>
      </c>
      <c r="E465">
        <v>97</v>
      </c>
      <c r="F465">
        <v>98</v>
      </c>
      <c r="G465" s="3">
        <v>39873</v>
      </c>
      <c r="H465" s="3">
        <v>39873</v>
      </c>
      <c r="I465" s="3">
        <v>40299</v>
      </c>
    </row>
    <row r="466" spans="1:9" x14ac:dyDescent="0.25">
      <c r="A466" t="s">
        <v>83</v>
      </c>
      <c r="B466">
        <v>680</v>
      </c>
      <c r="C466">
        <v>720</v>
      </c>
      <c r="D466">
        <v>90</v>
      </c>
      <c r="E466">
        <v>95</v>
      </c>
      <c r="F466">
        <v>94</v>
      </c>
      <c r="G466" s="3">
        <v>39873</v>
      </c>
      <c r="H466" s="3">
        <v>39873</v>
      </c>
      <c r="I466" s="3">
        <v>40299</v>
      </c>
    </row>
    <row r="467" spans="1:9" x14ac:dyDescent="0.25">
      <c r="A467" t="s">
        <v>83</v>
      </c>
      <c r="B467">
        <v>680</v>
      </c>
      <c r="C467">
        <v>720</v>
      </c>
      <c r="D467">
        <v>85</v>
      </c>
      <c r="E467">
        <v>90</v>
      </c>
      <c r="F467">
        <v>62</v>
      </c>
      <c r="G467" s="3">
        <v>39873</v>
      </c>
      <c r="H467" s="3">
        <v>39873</v>
      </c>
      <c r="I467" s="3">
        <v>40299</v>
      </c>
    </row>
    <row r="468" spans="1:9" x14ac:dyDescent="0.25">
      <c r="A468" t="s">
        <v>83</v>
      </c>
      <c r="B468">
        <v>680</v>
      </c>
      <c r="C468">
        <v>720</v>
      </c>
      <c r="D468">
        <v>80</v>
      </c>
      <c r="E468">
        <v>85</v>
      </c>
      <c r="F468">
        <v>38</v>
      </c>
      <c r="G468" s="3">
        <v>39873</v>
      </c>
      <c r="H468" s="3">
        <v>39873</v>
      </c>
      <c r="I468" s="3">
        <v>40299</v>
      </c>
    </row>
    <row r="469" spans="1:9" x14ac:dyDescent="0.25">
      <c r="A469" t="s">
        <v>83</v>
      </c>
      <c r="B469">
        <v>680</v>
      </c>
      <c r="C469">
        <v>720</v>
      </c>
      <c r="D469">
        <v>0</v>
      </c>
      <c r="E469">
        <v>80</v>
      </c>
      <c r="F469">
        <v>0</v>
      </c>
      <c r="G469" s="3">
        <v>39873</v>
      </c>
      <c r="H469" s="3">
        <v>39873</v>
      </c>
      <c r="I469" s="3">
        <v>40299</v>
      </c>
    </row>
    <row r="470" spans="1:9" x14ac:dyDescent="0.25">
      <c r="A470" t="s">
        <v>83</v>
      </c>
      <c r="B470">
        <v>620</v>
      </c>
      <c r="C470">
        <v>680</v>
      </c>
      <c r="D470">
        <v>97</v>
      </c>
      <c r="E470">
        <v>999</v>
      </c>
      <c r="G470" s="3">
        <v>39873</v>
      </c>
      <c r="H470" s="3">
        <v>39873</v>
      </c>
      <c r="I470" s="3">
        <v>40299</v>
      </c>
    </row>
    <row r="471" spans="1:9" x14ac:dyDescent="0.25">
      <c r="A471" t="s">
        <v>83</v>
      </c>
      <c r="B471">
        <v>620</v>
      </c>
      <c r="C471">
        <v>680</v>
      </c>
      <c r="D471">
        <v>95</v>
      </c>
      <c r="E471">
        <v>97</v>
      </c>
      <c r="F471">
        <v>98</v>
      </c>
      <c r="G471" s="3">
        <v>39873</v>
      </c>
      <c r="H471" s="3">
        <v>39873</v>
      </c>
      <c r="I471" s="3">
        <v>40299</v>
      </c>
    </row>
    <row r="472" spans="1:9" x14ac:dyDescent="0.25">
      <c r="A472" t="s">
        <v>83</v>
      </c>
      <c r="B472">
        <v>620</v>
      </c>
      <c r="C472">
        <v>680</v>
      </c>
      <c r="D472">
        <v>90</v>
      </c>
      <c r="E472">
        <v>95</v>
      </c>
      <c r="F472">
        <v>94</v>
      </c>
      <c r="G472" s="3">
        <v>39873</v>
      </c>
      <c r="H472" s="3">
        <v>39873</v>
      </c>
      <c r="I472" s="3">
        <v>40299</v>
      </c>
    </row>
    <row r="473" spans="1:9" x14ac:dyDescent="0.25">
      <c r="A473" t="s">
        <v>83</v>
      </c>
      <c r="B473">
        <v>620</v>
      </c>
      <c r="C473">
        <v>680</v>
      </c>
      <c r="D473">
        <v>85</v>
      </c>
      <c r="E473">
        <v>90</v>
      </c>
      <c r="F473">
        <v>62</v>
      </c>
      <c r="G473" s="3">
        <v>39873</v>
      </c>
      <c r="H473" s="3">
        <v>39873</v>
      </c>
      <c r="I473" s="3">
        <v>40299</v>
      </c>
    </row>
    <row r="474" spans="1:9" x14ac:dyDescent="0.25">
      <c r="A474" t="s">
        <v>83</v>
      </c>
      <c r="B474">
        <v>620</v>
      </c>
      <c r="C474">
        <v>680</v>
      </c>
      <c r="D474">
        <v>80</v>
      </c>
      <c r="E474">
        <v>85</v>
      </c>
      <c r="F474">
        <v>38</v>
      </c>
      <c r="G474" s="3">
        <v>39873</v>
      </c>
      <c r="H474" s="3">
        <v>39873</v>
      </c>
      <c r="I474" s="3">
        <v>40299</v>
      </c>
    </row>
    <row r="475" spans="1:9" x14ac:dyDescent="0.25">
      <c r="A475" t="s">
        <v>83</v>
      </c>
      <c r="B475">
        <v>620</v>
      </c>
      <c r="C475">
        <v>680</v>
      </c>
      <c r="D475">
        <v>0</v>
      </c>
      <c r="E475">
        <v>80</v>
      </c>
      <c r="F475">
        <v>0</v>
      </c>
      <c r="G475" s="3">
        <v>39873</v>
      </c>
      <c r="H475" s="3">
        <v>39873</v>
      </c>
      <c r="I475" s="3">
        <v>40299</v>
      </c>
    </row>
    <row r="476" spans="1:9" x14ac:dyDescent="0.25">
      <c r="A476" t="s">
        <v>83</v>
      </c>
      <c r="B476">
        <v>300</v>
      </c>
      <c r="C476">
        <v>620</v>
      </c>
      <c r="D476">
        <v>97</v>
      </c>
      <c r="E476">
        <v>999</v>
      </c>
      <c r="G476" s="3">
        <v>39873</v>
      </c>
      <c r="H476" s="3">
        <v>39873</v>
      </c>
      <c r="I476" s="3">
        <v>40299</v>
      </c>
    </row>
    <row r="477" spans="1:9" x14ac:dyDescent="0.25">
      <c r="A477" t="s">
        <v>83</v>
      </c>
      <c r="B477">
        <v>300</v>
      </c>
      <c r="C477">
        <v>620</v>
      </c>
      <c r="D477">
        <v>95</v>
      </c>
      <c r="E477">
        <v>97</v>
      </c>
      <c r="G477" s="3">
        <v>39873</v>
      </c>
      <c r="H477" s="3">
        <v>39873</v>
      </c>
      <c r="I477" s="3">
        <v>40299</v>
      </c>
    </row>
    <row r="478" spans="1:9" x14ac:dyDescent="0.25">
      <c r="A478" t="s">
        <v>83</v>
      </c>
      <c r="B478">
        <v>300</v>
      </c>
      <c r="C478">
        <v>620</v>
      </c>
      <c r="D478">
        <v>90</v>
      </c>
      <c r="E478">
        <v>95</v>
      </c>
      <c r="G478" s="3">
        <v>39873</v>
      </c>
      <c r="H478" s="3">
        <v>39873</v>
      </c>
      <c r="I478" s="3">
        <v>40299</v>
      </c>
    </row>
    <row r="479" spans="1:9" x14ac:dyDescent="0.25">
      <c r="A479" t="s">
        <v>83</v>
      </c>
      <c r="B479">
        <v>300</v>
      </c>
      <c r="C479">
        <v>620</v>
      </c>
      <c r="D479">
        <v>85</v>
      </c>
      <c r="E479">
        <v>90</v>
      </c>
      <c r="G479" s="3">
        <v>39873</v>
      </c>
      <c r="H479" s="3">
        <v>39873</v>
      </c>
      <c r="I479" s="3">
        <v>40299</v>
      </c>
    </row>
    <row r="480" spans="1:9" x14ac:dyDescent="0.25">
      <c r="A480" t="s">
        <v>83</v>
      </c>
      <c r="B480">
        <v>300</v>
      </c>
      <c r="C480">
        <v>620</v>
      </c>
      <c r="D480">
        <v>80</v>
      </c>
      <c r="E480">
        <v>85</v>
      </c>
      <c r="G480" s="3">
        <v>39873</v>
      </c>
      <c r="H480" s="3">
        <v>39873</v>
      </c>
      <c r="I480" s="3">
        <v>40299</v>
      </c>
    </row>
    <row r="481" spans="1:19" x14ac:dyDescent="0.25">
      <c r="A481" t="s">
        <v>83</v>
      </c>
      <c r="B481">
        <v>300</v>
      </c>
      <c r="C481">
        <v>620</v>
      </c>
      <c r="D481">
        <v>0</v>
      </c>
      <c r="E481">
        <v>80</v>
      </c>
      <c r="G481" s="3">
        <v>39873</v>
      </c>
      <c r="H481" s="3">
        <v>39873</v>
      </c>
      <c r="I481" s="3">
        <v>40299</v>
      </c>
    </row>
    <row r="482" spans="1:19" x14ac:dyDescent="0.25">
      <c r="A482" t="s">
        <v>81</v>
      </c>
      <c r="B482">
        <v>760</v>
      </c>
      <c r="C482">
        <v>999</v>
      </c>
      <c r="D482">
        <v>97</v>
      </c>
      <c r="E482">
        <v>999</v>
      </c>
      <c r="G482" s="3">
        <v>38607</v>
      </c>
      <c r="H482" s="3">
        <v>1</v>
      </c>
      <c r="I482" s="3">
        <v>39873</v>
      </c>
      <c r="M482" s="5" t="s">
        <v>23</v>
      </c>
      <c r="N482" s="5" t="s">
        <v>11</v>
      </c>
      <c r="O482" s="5" t="s">
        <v>12</v>
      </c>
      <c r="P482" s="5" t="s">
        <v>13</v>
      </c>
      <c r="Q482" s="5" t="s">
        <v>14</v>
      </c>
      <c r="R482" s="5" t="s">
        <v>19</v>
      </c>
      <c r="S482" s="3">
        <v>38607</v>
      </c>
    </row>
    <row r="483" spans="1:19" x14ac:dyDescent="0.25">
      <c r="A483" t="s">
        <v>81</v>
      </c>
      <c r="B483">
        <v>760</v>
      </c>
      <c r="C483">
        <v>999</v>
      </c>
      <c r="D483">
        <v>95</v>
      </c>
      <c r="E483">
        <v>97</v>
      </c>
      <c r="F483" s="5">
        <v>96</v>
      </c>
      <c r="G483" s="3">
        <v>38607</v>
      </c>
      <c r="H483" s="3">
        <v>1</v>
      </c>
      <c r="I483" s="3">
        <v>39873</v>
      </c>
      <c r="M483" s="9" t="s">
        <v>15</v>
      </c>
      <c r="N483" s="5">
        <v>96</v>
      </c>
      <c r="O483" s="5">
        <v>96</v>
      </c>
      <c r="P483" s="5">
        <v>96</v>
      </c>
      <c r="Q483" s="5">
        <v>96</v>
      </c>
      <c r="R483" s="5" t="s">
        <v>34</v>
      </c>
      <c r="S483" s="5"/>
    </row>
    <row r="484" spans="1:19" x14ac:dyDescent="0.25">
      <c r="A484" t="s">
        <v>81</v>
      </c>
      <c r="B484">
        <v>760</v>
      </c>
      <c r="C484">
        <v>999</v>
      </c>
      <c r="D484">
        <v>90</v>
      </c>
      <c r="E484">
        <v>95</v>
      </c>
      <c r="F484" s="5">
        <v>78</v>
      </c>
      <c r="G484" s="3">
        <v>38607</v>
      </c>
      <c r="H484" s="3">
        <v>1</v>
      </c>
      <c r="I484" s="3">
        <v>39873</v>
      </c>
      <c r="M484" s="5" t="s">
        <v>16</v>
      </c>
      <c r="N484" s="5">
        <v>78</v>
      </c>
      <c r="O484" s="5">
        <v>78</v>
      </c>
      <c r="P484" s="5">
        <v>78</v>
      </c>
      <c r="Q484" s="5">
        <v>78</v>
      </c>
      <c r="R484" s="5" t="s">
        <v>34</v>
      </c>
      <c r="S484" s="5"/>
    </row>
    <row r="485" spans="1:19" x14ac:dyDescent="0.25">
      <c r="A485" t="s">
        <v>81</v>
      </c>
      <c r="B485">
        <v>760</v>
      </c>
      <c r="C485">
        <v>999</v>
      </c>
      <c r="D485">
        <v>85</v>
      </c>
      <c r="E485">
        <v>90</v>
      </c>
      <c r="F485" s="5">
        <v>52</v>
      </c>
      <c r="G485" s="3">
        <v>38607</v>
      </c>
      <c r="H485" s="3">
        <v>1</v>
      </c>
      <c r="I485" s="3">
        <v>39873</v>
      </c>
      <c r="M485" s="5" t="s">
        <v>17</v>
      </c>
      <c r="N485" s="5">
        <v>52</v>
      </c>
      <c r="O485" s="5">
        <v>52</v>
      </c>
      <c r="P485" s="5">
        <v>52</v>
      </c>
      <c r="Q485" s="5">
        <v>52</v>
      </c>
      <c r="R485" s="5" t="s">
        <v>34</v>
      </c>
      <c r="S485" s="5"/>
    </row>
    <row r="486" spans="1:19" x14ac:dyDescent="0.25">
      <c r="A486" t="s">
        <v>81</v>
      </c>
      <c r="B486">
        <v>760</v>
      </c>
      <c r="C486">
        <v>999</v>
      </c>
      <c r="D486">
        <v>80</v>
      </c>
      <c r="E486">
        <v>85</v>
      </c>
      <c r="F486" s="5">
        <v>32</v>
      </c>
      <c r="G486" s="3">
        <v>38607</v>
      </c>
      <c r="H486" s="3">
        <v>1</v>
      </c>
      <c r="I486" s="3">
        <v>39873</v>
      </c>
      <c r="M486" s="5" t="s">
        <v>18</v>
      </c>
      <c r="N486" s="5">
        <v>32</v>
      </c>
      <c r="O486" s="5">
        <v>32</v>
      </c>
      <c r="P486" s="5">
        <v>32</v>
      </c>
      <c r="Q486" s="5">
        <v>32</v>
      </c>
      <c r="R486" s="5" t="s">
        <v>34</v>
      </c>
      <c r="S486" s="5"/>
    </row>
    <row r="487" spans="1:19" x14ac:dyDescent="0.25">
      <c r="A487" t="s">
        <v>81</v>
      </c>
      <c r="B487">
        <v>760</v>
      </c>
      <c r="C487">
        <v>999</v>
      </c>
      <c r="D487">
        <v>0</v>
      </c>
      <c r="E487">
        <v>80</v>
      </c>
      <c r="F487" s="5">
        <v>0</v>
      </c>
      <c r="G487" s="3">
        <v>38607</v>
      </c>
      <c r="H487" s="3">
        <v>1</v>
      </c>
      <c r="I487" s="3">
        <v>39873</v>
      </c>
      <c r="M487" s="5" t="s">
        <v>21</v>
      </c>
      <c r="N487" s="5">
        <v>0</v>
      </c>
      <c r="O487" s="5">
        <v>0</v>
      </c>
      <c r="P487" s="5">
        <v>0</v>
      </c>
      <c r="Q487" s="5">
        <v>0</v>
      </c>
      <c r="R487" s="5" t="s">
        <v>34</v>
      </c>
      <c r="S487" s="5"/>
    </row>
    <row r="488" spans="1:19" x14ac:dyDescent="0.25">
      <c r="A488" t="s">
        <v>81</v>
      </c>
      <c r="B488">
        <v>720</v>
      </c>
      <c r="C488">
        <v>760</v>
      </c>
      <c r="D488">
        <v>97</v>
      </c>
      <c r="E488">
        <v>999</v>
      </c>
      <c r="G488" s="3">
        <v>38607</v>
      </c>
      <c r="H488" s="3">
        <v>1</v>
      </c>
      <c r="I488" s="3">
        <v>39873</v>
      </c>
      <c r="M488" s="5"/>
      <c r="N488" s="5"/>
      <c r="O488" s="5"/>
      <c r="P488" s="5"/>
      <c r="Q488" s="5"/>
      <c r="R488" s="5"/>
      <c r="S488" s="5"/>
    </row>
    <row r="489" spans="1:19" x14ac:dyDescent="0.25">
      <c r="A489" t="s">
        <v>81</v>
      </c>
      <c r="B489">
        <v>720</v>
      </c>
      <c r="C489">
        <v>760</v>
      </c>
      <c r="D489">
        <v>95</v>
      </c>
      <c r="E489">
        <v>97</v>
      </c>
      <c r="F489" s="5">
        <v>96</v>
      </c>
      <c r="G489" s="3">
        <v>38607</v>
      </c>
      <c r="H489" s="3">
        <v>1</v>
      </c>
      <c r="I489" s="3">
        <v>39873</v>
      </c>
      <c r="M489" s="5" t="s">
        <v>20</v>
      </c>
      <c r="N489" s="5" t="s">
        <v>11</v>
      </c>
      <c r="O489" s="5" t="s">
        <v>12</v>
      </c>
      <c r="P489" s="5" t="s">
        <v>13</v>
      </c>
      <c r="Q489" s="5" t="s">
        <v>14</v>
      </c>
      <c r="R489" s="5" t="s">
        <v>19</v>
      </c>
      <c r="S489" s="3">
        <v>38607</v>
      </c>
    </row>
    <row r="490" spans="1:19" x14ac:dyDescent="0.25">
      <c r="A490" t="s">
        <v>81</v>
      </c>
      <c r="B490">
        <v>720</v>
      </c>
      <c r="C490">
        <v>760</v>
      </c>
      <c r="D490">
        <v>90</v>
      </c>
      <c r="E490">
        <v>95</v>
      </c>
      <c r="F490" s="5">
        <v>78</v>
      </c>
      <c r="G490" s="3">
        <v>38607</v>
      </c>
      <c r="H490" s="3">
        <v>1</v>
      </c>
      <c r="I490" s="3">
        <v>39873</v>
      </c>
      <c r="M490" s="9" t="s">
        <v>15</v>
      </c>
      <c r="N490" s="5">
        <f>N483</f>
        <v>96</v>
      </c>
      <c r="O490" s="5">
        <f t="shared" ref="O490:Q490" si="34">O483</f>
        <v>96</v>
      </c>
      <c r="P490" s="5">
        <f t="shared" si="34"/>
        <v>96</v>
      </c>
      <c r="Q490" s="5">
        <f t="shared" si="34"/>
        <v>96</v>
      </c>
      <c r="R490" s="5" t="s">
        <v>34</v>
      </c>
      <c r="S490" s="5"/>
    </row>
    <row r="491" spans="1:19" x14ac:dyDescent="0.25">
      <c r="A491" t="s">
        <v>81</v>
      </c>
      <c r="B491">
        <v>720</v>
      </c>
      <c r="C491">
        <v>760</v>
      </c>
      <c r="D491">
        <v>85</v>
      </c>
      <c r="E491">
        <v>90</v>
      </c>
      <c r="F491" s="5">
        <v>52</v>
      </c>
      <c r="G491" s="3">
        <v>38607</v>
      </c>
      <c r="H491" s="3">
        <v>1</v>
      </c>
      <c r="I491" s="3">
        <v>39873</v>
      </c>
      <c r="M491" s="5" t="s">
        <v>16</v>
      </c>
      <c r="N491" s="5">
        <f t="shared" ref="N491:Q494" si="35">N484</f>
        <v>78</v>
      </c>
      <c r="O491" s="5">
        <f t="shared" si="35"/>
        <v>78</v>
      </c>
      <c r="P491" s="5">
        <f t="shared" si="35"/>
        <v>78</v>
      </c>
      <c r="Q491" s="5">
        <f t="shared" si="35"/>
        <v>78</v>
      </c>
      <c r="R491" s="5" t="s">
        <v>34</v>
      </c>
      <c r="S491" s="5"/>
    </row>
    <row r="492" spans="1:19" x14ac:dyDescent="0.25">
      <c r="A492" t="s">
        <v>81</v>
      </c>
      <c r="B492">
        <v>720</v>
      </c>
      <c r="C492">
        <v>760</v>
      </c>
      <c r="D492">
        <v>80</v>
      </c>
      <c r="E492">
        <v>85</v>
      </c>
      <c r="F492" s="5">
        <v>32</v>
      </c>
      <c r="G492" s="3">
        <v>38607</v>
      </c>
      <c r="H492" s="3">
        <v>1</v>
      </c>
      <c r="I492" s="3">
        <v>39873</v>
      </c>
      <c r="M492" s="5" t="s">
        <v>17</v>
      </c>
      <c r="N492" s="5">
        <f t="shared" si="35"/>
        <v>52</v>
      </c>
      <c r="O492" s="5">
        <f t="shared" si="35"/>
        <v>52</v>
      </c>
      <c r="P492" s="5">
        <f t="shared" si="35"/>
        <v>52</v>
      </c>
      <c r="Q492" s="5">
        <f t="shared" si="35"/>
        <v>52</v>
      </c>
      <c r="R492" s="5" t="s">
        <v>34</v>
      </c>
      <c r="S492" s="5"/>
    </row>
    <row r="493" spans="1:19" x14ac:dyDescent="0.25">
      <c r="A493" t="s">
        <v>81</v>
      </c>
      <c r="B493">
        <v>720</v>
      </c>
      <c r="C493">
        <v>760</v>
      </c>
      <c r="D493">
        <v>0</v>
      </c>
      <c r="E493">
        <v>80</v>
      </c>
      <c r="F493" s="5">
        <v>0</v>
      </c>
      <c r="G493" s="3">
        <v>38607</v>
      </c>
      <c r="H493" s="3">
        <v>1</v>
      </c>
      <c r="I493" s="3">
        <v>39873</v>
      </c>
      <c r="M493" s="5" t="s">
        <v>18</v>
      </c>
      <c r="N493" s="5">
        <f t="shared" si="35"/>
        <v>32</v>
      </c>
      <c r="O493" s="5">
        <f t="shared" si="35"/>
        <v>32</v>
      </c>
      <c r="P493" s="5">
        <f t="shared" si="35"/>
        <v>32</v>
      </c>
      <c r="Q493" s="5">
        <f t="shared" si="35"/>
        <v>32</v>
      </c>
      <c r="R493" s="5" t="s">
        <v>34</v>
      </c>
      <c r="S493" s="5"/>
    </row>
    <row r="494" spans="1:19" x14ac:dyDescent="0.25">
      <c r="A494" t="s">
        <v>81</v>
      </c>
      <c r="B494">
        <v>680</v>
      </c>
      <c r="C494">
        <v>720</v>
      </c>
      <c r="D494">
        <v>97</v>
      </c>
      <c r="E494">
        <v>999</v>
      </c>
      <c r="G494" s="3">
        <v>38607</v>
      </c>
      <c r="H494" s="3">
        <v>1</v>
      </c>
      <c r="I494" s="3">
        <v>39873</v>
      </c>
      <c r="M494" s="5" t="s">
        <v>21</v>
      </c>
      <c r="N494" s="5">
        <f t="shared" si="35"/>
        <v>0</v>
      </c>
      <c r="O494" s="5">
        <f t="shared" si="35"/>
        <v>0</v>
      </c>
      <c r="P494" s="5">
        <f t="shared" si="35"/>
        <v>0</v>
      </c>
      <c r="Q494" s="5">
        <f t="shared" si="35"/>
        <v>0</v>
      </c>
      <c r="R494" s="5" t="s">
        <v>34</v>
      </c>
      <c r="S494" s="5"/>
    </row>
    <row r="495" spans="1:19" x14ac:dyDescent="0.25">
      <c r="A495" t="s">
        <v>81</v>
      </c>
      <c r="B495">
        <v>680</v>
      </c>
      <c r="C495">
        <v>720</v>
      </c>
      <c r="D495">
        <v>95</v>
      </c>
      <c r="E495">
        <v>97</v>
      </c>
      <c r="F495" s="5">
        <v>96</v>
      </c>
      <c r="G495" s="3">
        <v>38607</v>
      </c>
      <c r="H495" s="3">
        <v>1</v>
      </c>
      <c r="I495" s="3">
        <v>39873</v>
      </c>
      <c r="M495" s="5"/>
      <c r="N495" s="5"/>
      <c r="O495" s="5"/>
      <c r="P495" s="5"/>
      <c r="Q495" s="5"/>
      <c r="R495" s="5"/>
      <c r="S495" s="5"/>
    </row>
    <row r="496" spans="1:19" x14ac:dyDescent="0.25">
      <c r="A496" t="s">
        <v>81</v>
      </c>
      <c r="B496">
        <v>680</v>
      </c>
      <c r="C496">
        <v>720</v>
      </c>
      <c r="D496">
        <v>90</v>
      </c>
      <c r="E496">
        <v>95</v>
      </c>
      <c r="F496" s="5">
        <v>78</v>
      </c>
      <c r="G496" s="3">
        <v>38607</v>
      </c>
      <c r="H496" s="3">
        <v>1</v>
      </c>
      <c r="I496" s="3">
        <v>39873</v>
      </c>
    </row>
    <row r="497" spans="1:14" x14ac:dyDescent="0.25">
      <c r="A497" t="s">
        <v>81</v>
      </c>
      <c r="B497">
        <v>680</v>
      </c>
      <c r="C497">
        <v>720</v>
      </c>
      <c r="D497">
        <v>85</v>
      </c>
      <c r="E497">
        <v>90</v>
      </c>
      <c r="F497" s="5">
        <v>52</v>
      </c>
      <c r="G497" s="3">
        <v>38607</v>
      </c>
      <c r="H497" s="3">
        <v>1</v>
      </c>
      <c r="I497" s="3">
        <v>39873</v>
      </c>
      <c r="M497" t="s">
        <v>43</v>
      </c>
      <c r="N497" s="6" t="s">
        <v>88</v>
      </c>
    </row>
    <row r="498" spans="1:14" x14ac:dyDescent="0.25">
      <c r="A498" t="s">
        <v>81</v>
      </c>
      <c r="B498">
        <v>680</v>
      </c>
      <c r="C498">
        <v>720</v>
      </c>
      <c r="D498">
        <v>80</v>
      </c>
      <c r="E498">
        <v>85</v>
      </c>
      <c r="F498" s="5">
        <v>32</v>
      </c>
      <c r="G498" s="3">
        <v>38607</v>
      </c>
      <c r="H498" s="3">
        <v>1</v>
      </c>
      <c r="I498" s="3">
        <v>39873</v>
      </c>
      <c r="M498" t="s">
        <v>44</v>
      </c>
      <c r="N498" t="s">
        <v>45</v>
      </c>
    </row>
    <row r="499" spans="1:14" x14ac:dyDescent="0.25">
      <c r="A499" t="s">
        <v>81</v>
      </c>
      <c r="B499">
        <v>680</v>
      </c>
      <c r="C499">
        <v>720</v>
      </c>
      <c r="D499">
        <v>0</v>
      </c>
      <c r="E499">
        <v>80</v>
      </c>
      <c r="F499" s="5">
        <v>0</v>
      </c>
      <c r="G499" s="3">
        <v>38607</v>
      </c>
      <c r="H499" s="3">
        <v>1</v>
      </c>
      <c r="I499" s="3">
        <v>39873</v>
      </c>
    </row>
    <row r="500" spans="1:14" x14ac:dyDescent="0.25">
      <c r="A500" t="s">
        <v>81</v>
      </c>
      <c r="B500">
        <v>620</v>
      </c>
      <c r="C500">
        <v>680</v>
      </c>
      <c r="D500">
        <v>97</v>
      </c>
      <c r="E500">
        <v>999</v>
      </c>
      <c r="G500" s="3">
        <v>38607</v>
      </c>
      <c r="H500" s="3">
        <v>1</v>
      </c>
      <c r="I500" s="3">
        <v>39873</v>
      </c>
    </row>
    <row r="501" spans="1:14" x14ac:dyDescent="0.25">
      <c r="A501" t="s">
        <v>81</v>
      </c>
      <c r="B501">
        <v>620</v>
      </c>
      <c r="C501">
        <v>680</v>
      </c>
      <c r="D501">
        <v>95</v>
      </c>
      <c r="E501">
        <v>97</v>
      </c>
      <c r="F501" s="5">
        <v>96</v>
      </c>
      <c r="G501" s="3">
        <v>38607</v>
      </c>
      <c r="H501" s="3">
        <v>1</v>
      </c>
      <c r="I501" s="3">
        <v>39873</v>
      </c>
    </row>
    <row r="502" spans="1:14" x14ac:dyDescent="0.25">
      <c r="A502" t="s">
        <v>81</v>
      </c>
      <c r="B502">
        <v>620</v>
      </c>
      <c r="C502">
        <v>680</v>
      </c>
      <c r="D502">
        <v>90</v>
      </c>
      <c r="E502">
        <v>95</v>
      </c>
      <c r="F502" s="5">
        <v>78</v>
      </c>
      <c r="G502" s="3">
        <v>38607</v>
      </c>
      <c r="H502" s="3">
        <v>1</v>
      </c>
      <c r="I502" s="3">
        <v>39873</v>
      </c>
    </row>
    <row r="503" spans="1:14" x14ac:dyDescent="0.25">
      <c r="A503" t="s">
        <v>81</v>
      </c>
      <c r="B503">
        <v>620</v>
      </c>
      <c r="C503">
        <v>680</v>
      </c>
      <c r="D503">
        <v>85</v>
      </c>
      <c r="E503">
        <v>90</v>
      </c>
      <c r="F503" s="5">
        <v>52</v>
      </c>
      <c r="G503" s="3">
        <v>38607</v>
      </c>
      <c r="H503" s="3">
        <v>1</v>
      </c>
      <c r="I503" s="3">
        <v>39873</v>
      </c>
    </row>
    <row r="504" spans="1:14" x14ac:dyDescent="0.25">
      <c r="A504" t="s">
        <v>81</v>
      </c>
      <c r="B504">
        <v>620</v>
      </c>
      <c r="C504">
        <v>680</v>
      </c>
      <c r="D504">
        <v>80</v>
      </c>
      <c r="E504">
        <v>85</v>
      </c>
      <c r="F504" s="5">
        <v>32</v>
      </c>
      <c r="G504" s="3">
        <v>38607</v>
      </c>
      <c r="H504" s="3">
        <v>1</v>
      </c>
      <c r="I504" s="3">
        <v>39873</v>
      </c>
    </row>
    <row r="505" spans="1:14" x14ac:dyDescent="0.25">
      <c r="A505" t="s">
        <v>81</v>
      </c>
      <c r="B505">
        <v>620</v>
      </c>
      <c r="C505">
        <v>680</v>
      </c>
      <c r="D505">
        <v>0</v>
      </c>
      <c r="E505">
        <v>80</v>
      </c>
      <c r="F505" s="5">
        <v>0</v>
      </c>
      <c r="G505" s="3">
        <v>38607</v>
      </c>
      <c r="H505" s="3">
        <v>1</v>
      </c>
      <c r="I505" s="3">
        <v>39873</v>
      </c>
    </row>
    <row r="506" spans="1:14" x14ac:dyDescent="0.25">
      <c r="A506" t="s">
        <v>81</v>
      </c>
      <c r="B506">
        <v>300</v>
      </c>
      <c r="C506">
        <v>620</v>
      </c>
      <c r="D506">
        <v>97</v>
      </c>
      <c r="E506">
        <v>999</v>
      </c>
      <c r="G506" s="3">
        <v>38607</v>
      </c>
      <c r="H506" s="3">
        <v>1</v>
      </c>
      <c r="I506" s="3">
        <v>39873</v>
      </c>
    </row>
    <row r="507" spans="1:14" x14ac:dyDescent="0.25">
      <c r="A507" t="s">
        <v>81</v>
      </c>
      <c r="B507">
        <v>300</v>
      </c>
      <c r="C507">
        <v>620</v>
      </c>
      <c r="D507">
        <v>95</v>
      </c>
      <c r="E507">
        <v>97</v>
      </c>
      <c r="G507" s="3">
        <v>38607</v>
      </c>
      <c r="H507" s="3">
        <v>1</v>
      </c>
      <c r="I507" s="3">
        <v>39873</v>
      </c>
    </row>
    <row r="508" spans="1:14" x14ac:dyDescent="0.25">
      <c r="A508" t="s">
        <v>81</v>
      </c>
      <c r="B508">
        <v>300</v>
      </c>
      <c r="C508">
        <v>620</v>
      </c>
      <c r="D508">
        <v>90</v>
      </c>
      <c r="E508">
        <v>95</v>
      </c>
      <c r="G508" s="3">
        <v>38607</v>
      </c>
      <c r="H508" s="3">
        <v>1</v>
      </c>
      <c r="I508" s="3">
        <v>39873</v>
      </c>
    </row>
    <row r="509" spans="1:14" x14ac:dyDescent="0.25">
      <c r="A509" t="s">
        <v>81</v>
      </c>
      <c r="B509">
        <v>300</v>
      </c>
      <c r="C509">
        <v>620</v>
      </c>
      <c r="D509">
        <v>85</v>
      </c>
      <c r="E509">
        <v>90</v>
      </c>
      <c r="G509" s="3">
        <v>38607</v>
      </c>
      <c r="H509" s="3">
        <v>1</v>
      </c>
      <c r="I509" s="3">
        <v>39873</v>
      </c>
    </row>
    <row r="510" spans="1:14" x14ac:dyDescent="0.25">
      <c r="A510" t="s">
        <v>81</v>
      </c>
      <c r="B510">
        <v>300</v>
      </c>
      <c r="C510">
        <v>620</v>
      </c>
      <c r="D510">
        <v>80</v>
      </c>
      <c r="E510">
        <v>85</v>
      </c>
      <c r="G510" s="3">
        <v>38607</v>
      </c>
      <c r="H510" s="3">
        <v>1</v>
      </c>
      <c r="I510" s="3">
        <v>39873</v>
      </c>
    </row>
    <row r="511" spans="1:14" x14ac:dyDescent="0.25">
      <c r="A511" t="s">
        <v>81</v>
      </c>
      <c r="B511">
        <v>300</v>
      </c>
      <c r="C511">
        <v>620</v>
      </c>
      <c r="D511">
        <v>0</v>
      </c>
      <c r="E511">
        <v>80</v>
      </c>
      <c r="G511" s="3">
        <v>38607</v>
      </c>
      <c r="H511" s="3">
        <v>1</v>
      </c>
      <c r="I511" s="3">
        <v>39873</v>
      </c>
    </row>
    <row r="512" spans="1:14" x14ac:dyDescent="0.25">
      <c r="A512" t="s">
        <v>83</v>
      </c>
      <c r="B512">
        <v>760</v>
      </c>
      <c r="C512">
        <v>999</v>
      </c>
      <c r="D512">
        <v>97</v>
      </c>
      <c r="E512">
        <v>999</v>
      </c>
      <c r="G512" s="3">
        <v>38607</v>
      </c>
      <c r="H512" s="3">
        <v>1</v>
      </c>
      <c r="I512" s="3">
        <v>39873</v>
      </c>
    </row>
    <row r="513" spans="1:9" x14ac:dyDescent="0.25">
      <c r="A513" t="s">
        <v>83</v>
      </c>
      <c r="B513">
        <v>760</v>
      </c>
      <c r="C513">
        <v>999</v>
      </c>
      <c r="D513">
        <v>95</v>
      </c>
      <c r="E513">
        <v>97</v>
      </c>
      <c r="F513" s="5">
        <v>96</v>
      </c>
      <c r="G513" s="3">
        <v>38607</v>
      </c>
      <c r="H513" s="3">
        <v>1</v>
      </c>
      <c r="I513" s="3">
        <v>39873</v>
      </c>
    </row>
    <row r="514" spans="1:9" x14ac:dyDescent="0.25">
      <c r="A514" t="s">
        <v>83</v>
      </c>
      <c r="B514">
        <v>760</v>
      </c>
      <c r="C514">
        <v>999</v>
      </c>
      <c r="D514">
        <v>90</v>
      </c>
      <c r="E514">
        <v>95</v>
      </c>
      <c r="F514" s="5">
        <v>78</v>
      </c>
      <c r="G514" s="3">
        <v>38607</v>
      </c>
      <c r="H514" s="3">
        <v>1</v>
      </c>
      <c r="I514" s="3">
        <v>39873</v>
      </c>
    </row>
    <row r="515" spans="1:9" x14ac:dyDescent="0.25">
      <c r="A515" t="s">
        <v>83</v>
      </c>
      <c r="B515">
        <v>760</v>
      </c>
      <c r="C515">
        <v>999</v>
      </c>
      <c r="D515">
        <v>85</v>
      </c>
      <c r="E515">
        <v>90</v>
      </c>
      <c r="F515" s="5">
        <v>52</v>
      </c>
      <c r="G515" s="3">
        <v>38607</v>
      </c>
      <c r="H515" s="3">
        <v>1</v>
      </c>
      <c r="I515" s="3">
        <v>39873</v>
      </c>
    </row>
    <row r="516" spans="1:9" x14ac:dyDescent="0.25">
      <c r="A516" t="s">
        <v>83</v>
      </c>
      <c r="B516">
        <v>760</v>
      </c>
      <c r="C516">
        <v>999</v>
      </c>
      <c r="D516">
        <v>80</v>
      </c>
      <c r="E516">
        <v>85</v>
      </c>
      <c r="F516" s="5">
        <v>32</v>
      </c>
      <c r="G516" s="3">
        <v>38607</v>
      </c>
      <c r="H516" s="3">
        <v>1</v>
      </c>
      <c r="I516" s="3">
        <v>39873</v>
      </c>
    </row>
    <row r="517" spans="1:9" x14ac:dyDescent="0.25">
      <c r="A517" t="s">
        <v>83</v>
      </c>
      <c r="B517">
        <v>760</v>
      </c>
      <c r="C517">
        <v>999</v>
      </c>
      <c r="D517">
        <v>0</v>
      </c>
      <c r="E517">
        <v>80</v>
      </c>
      <c r="F517" s="5">
        <v>0</v>
      </c>
      <c r="G517" s="3">
        <v>38607</v>
      </c>
      <c r="H517" s="3">
        <v>1</v>
      </c>
      <c r="I517" s="3">
        <v>39873</v>
      </c>
    </row>
    <row r="518" spans="1:9" x14ac:dyDescent="0.25">
      <c r="A518" t="s">
        <v>83</v>
      </c>
      <c r="B518">
        <v>720</v>
      </c>
      <c r="C518">
        <v>760</v>
      </c>
      <c r="D518">
        <v>97</v>
      </c>
      <c r="E518">
        <v>999</v>
      </c>
      <c r="G518" s="3">
        <v>38607</v>
      </c>
      <c r="H518" s="3">
        <v>1</v>
      </c>
      <c r="I518" s="3">
        <v>39873</v>
      </c>
    </row>
    <row r="519" spans="1:9" x14ac:dyDescent="0.25">
      <c r="A519" t="s">
        <v>83</v>
      </c>
      <c r="B519">
        <v>720</v>
      </c>
      <c r="C519">
        <v>760</v>
      </c>
      <c r="D519">
        <v>95</v>
      </c>
      <c r="E519">
        <v>97</v>
      </c>
      <c r="F519" s="5">
        <v>96</v>
      </c>
      <c r="G519" s="3">
        <v>38607</v>
      </c>
      <c r="H519" s="3">
        <v>1</v>
      </c>
      <c r="I519" s="3">
        <v>39873</v>
      </c>
    </row>
    <row r="520" spans="1:9" x14ac:dyDescent="0.25">
      <c r="A520" t="s">
        <v>83</v>
      </c>
      <c r="B520">
        <v>720</v>
      </c>
      <c r="C520">
        <v>760</v>
      </c>
      <c r="D520">
        <v>90</v>
      </c>
      <c r="E520">
        <v>95</v>
      </c>
      <c r="F520" s="5">
        <v>78</v>
      </c>
      <c r="G520" s="3">
        <v>38607</v>
      </c>
      <c r="H520" s="3">
        <v>1</v>
      </c>
      <c r="I520" s="3">
        <v>39873</v>
      </c>
    </row>
    <row r="521" spans="1:9" x14ac:dyDescent="0.25">
      <c r="A521" t="s">
        <v>83</v>
      </c>
      <c r="B521">
        <v>720</v>
      </c>
      <c r="C521">
        <v>760</v>
      </c>
      <c r="D521">
        <v>85</v>
      </c>
      <c r="E521">
        <v>90</v>
      </c>
      <c r="F521" s="5">
        <v>52</v>
      </c>
      <c r="G521" s="3">
        <v>38607</v>
      </c>
      <c r="H521" s="3">
        <v>1</v>
      </c>
      <c r="I521" s="3">
        <v>39873</v>
      </c>
    </row>
    <row r="522" spans="1:9" x14ac:dyDescent="0.25">
      <c r="A522" t="s">
        <v>83</v>
      </c>
      <c r="B522">
        <v>720</v>
      </c>
      <c r="C522">
        <v>760</v>
      </c>
      <c r="D522">
        <v>80</v>
      </c>
      <c r="E522">
        <v>85</v>
      </c>
      <c r="F522" s="5">
        <v>32</v>
      </c>
      <c r="G522" s="3">
        <v>38607</v>
      </c>
      <c r="H522" s="3">
        <v>1</v>
      </c>
      <c r="I522" s="3">
        <v>39873</v>
      </c>
    </row>
    <row r="523" spans="1:9" x14ac:dyDescent="0.25">
      <c r="A523" t="s">
        <v>83</v>
      </c>
      <c r="B523">
        <v>720</v>
      </c>
      <c r="C523">
        <v>760</v>
      </c>
      <c r="D523">
        <v>0</v>
      </c>
      <c r="E523">
        <v>80</v>
      </c>
      <c r="F523" s="5">
        <v>0</v>
      </c>
      <c r="G523" s="3">
        <v>38607</v>
      </c>
      <c r="H523" s="3">
        <v>1</v>
      </c>
      <c r="I523" s="3">
        <v>39873</v>
      </c>
    </row>
    <row r="524" spans="1:9" x14ac:dyDescent="0.25">
      <c r="A524" t="s">
        <v>83</v>
      </c>
      <c r="B524">
        <v>680</v>
      </c>
      <c r="C524">
        <v>720</v>
      </c>
      <c r="D524">
        <v>97</v>
      </c>
      <c r="E524">
        <v>999</v>
      </c>
      <c r="G524" s="3">
        <v>38607</v>
      </c>
      <c r="H524" s="3">
        <v>1</v>
      </c>
      <c r="I524" s="3">
        <v>39873</v>
      </c>
    </row>
    <row r="525" spans="1:9" x14ac:dyDescent="0.25">
      <c r="A525" t="s">
        <v>83</v>
      </c>
      <c r="B525">
        <v>680</v>
      </c>
      <c r="C525">
        <v>720</v>
      </c>
      <c r="D525">
        <v>95</v>
      </c>
      <c r="E525">
        <v>97</v>
      </c>
      <c r="F525" s="5">
        <v>96</v>
      </c>
      <c r="G525" s="3">
        <v>38607</v>
      </c>
      <c r="H525" s="3">
        <v>1</v>
      </c>
      <c r="I525" s="3">
        <v>39873</v>
      </c>
    </row>
    <row r="526" spans="1:9" x14ac:dyDescent="0.25">
      <c r="A526" t="s">
        <v>83</v>
      </c>
      <c r="B526">
        <v>680</v>
      </c>
      <c r="C526">
        <v>720</v>
      </c>
      <c r="D526">
        <v>90</v>
      </c>
      <c r="E526">
        <v>95</v>
      </c>
      <c r="F526" s="5">
        <v>78</v>
      </c>
      <c r="G526" s="3">
        <v>38607</v>
      </c>
      <c r="H526" s="3">
        <v>1</v>
      </c>
      <c r="I526" s="3">
        <v>39873</v>
      </c>
    </row>
    <row r="527" spans="1:9" x14ac:dyDescent="0.25">
      <c r="A527" t="s">
        <v>83</v>
      </c>
      <c r="B527">
        <v>680</v>
      </c>
      <c r="C527">
        <v>720</v>
      </c>
      <c r="D527">
        <v>85</v>
      </c>
      <c r="E527">
        <v>90</v>
      </c>
      <c r="F527" s="5">
        <v>52</v>
      </c>
      <c r="G527" s="3">
        <v>38607</v>
      </c>
      <c r="H527" s="3">
        <v>1</v>
      </c>
      <c r="I527" s="3">
        <v>39873</v>
      </c>
    </row>
    <row r="528" spans="1:9" x14ac:dyDescent="0.25">
      <c r="A528" t="s">
        <v>83</v>
      </c>
      <c r="B528">
        <v>680</v>
      </c>
      <c r="C528">
        <v>720</v>
      </c>
      <c r="D528">
        <v>80</v>
      </c>
      <c r="E528">
        <v>85</v>
      </c>
      <c r="F528" s="5">
        <v>32</v>
      </c>
      <c r="G528" s="3">
        <v>38607</v>
      </c>
      <c r="H528" s="3">
        <v>1</v>
      </c>
      <c r="I528" s="3">
        <v>39873</v>
      </c>
    </row>
    <row r="529" spans="1:9" x14ac:dyDescent="0.25">
      <c r="A529" t="s">
        <v>83</v>
      </c>
      <c r="B529">
        <v>680</v>
      </c>
      <c r="C529">
        <v>720</v>
      </c>
      <c r="D529">
        <v>0</v>
      </c>
      <c r="E529">
        <v>80</v>
      </c>
      <c r="F529" s="5">
        <v>0</v>
      </c>
      <c r="G529" s="3">
        <v>38607</v>
      </c>
      <c r="H529" s="3">
        <v>1</v>
      </c>
      <c r="I529" s="3">
        <v>39873</v>
      </c>
    </row>
    <row r="530" spans="1:9" x14ac:dyDescent="0.25">
      <c r="A530" t="s">
        <v>83</v>
      </c>
      <c r="B530">
        <v>620</v>
      </c>
      <c r="C530">
        <v>680</v>
      </c>
      <c r="D530">
        <v>97</v>
      </c>
      <c r="E530">
        <v>999</v>
      </c>
      <c r="G530" s="3">
        <v>38607</v>
      </c>
      <c r="H530" s="3">
        <v>1</v>
      </c>
      <c r="I530" s="3">
        <v>39873</v>
      </c>
    </row>
    <row r="531" spans="1:9" x14ac:dyDescent="0.25">
      <c r="A531" t="s">
        <v>83</v>
      </c>
      <c r="B531">
        <v>620</v>
      </c>
      <c r="C531">
        <v>680</v>
      </c>
      <c r="D531">
        <v>95</v>
      </c>
      <c r="E531">
        <v>97</v>
      </c>
      <c r="F531" s="5">
        <v>96</v>
      </c>
      <c r="G531" s="3">
        <v>38607</v>
      </c>
      <c r="H531" s="3">
        <v>1</v>
      </c>
      <c r="I531" s="3">
        <v>39873</v>
      </c>
    </row>
    <row r="532" spans="1:9" x14ac:dyDescent="0.25">
      <c r="A532" t="s">
        <v>83</v>
      </c>
      <c r="B532">
        <v>620</v>
      </c>
      <c r="C532">
        <v>680</v>
      </c>
      <c r="D532">
        <v>90</v>
      </c>
      <c r="E532">
        <v>95</v>
      </c>
      <c r="F532" s="5">
        <v>78</v>
      </c>
      <c r="G532" s="3">
        <v>38607</v>
      </c>
      <c r="H532" s="3">
        <v>1</v>
      </c>
      <c r="I532" s="3">
        <v>39873</v>
      </c>
    </row>
    <row r="533" spans="1:9" x14ac:dyDescent="0.25">
      <c r="A533" t="s">
        <v>83</v>
      </c>
      <c r="B533">
        <v>620</v>
      </c>
      <c r="C533">
        <v>680</v>
      </c>
      <c r="D533">
        <v>85</v>
      </c>
      <c r="E533">
        <v>90</v>
      </c>
      <c r="F533" s="5">
        <v>52</v>
      </c>
      <c r="G533" s="3">
        <v>38607</v>
      </c>
      <c r="H533" s="3">
        <v>1</v>
      </c>
      <c r="I533" s="3">
        <v>39873</v>
      </c>
    </row>
    <row r="534" spans="1:9" x14ac:dyDescent="0.25">
      <c r="A534" t="s">
        <v>83</v>
      </c>
      <c r="B534">
        <v>620</v>
      </c>
      <c r="C534">
        <v>680</v>
      </c>
      <c r="D534">
        <v>80</v>
      </c>
      <c r="E534">
        <v>85</v>
      </c>
      <c r="F534" s="5">
        <v>32</v>
      </c>
      <c r="G534" s="3">
        <v>38607</v>
      </c>
      <c r="H534" s="3">
        <v>1</v>
      </c>
      <c r="I534" s="3">
        <v>39873</v>
      </c>
    </row>
    <row r="535" spans="1:9" x14ac:dyDescent="0.25">
      <c r="A535" t="s">
        <v>83</v>
      </c>
      <c r="B535">
        <v>620</v>
      </c>
      <c r="C535">
        <v>680</v>
      </c>
      <c r="D535">
        <v>0</v>
      </c>
      <c r="E535">
        <v>80</v>
      </c>
      <c r="F535" s="5">
        <v>0</v>
      </c>
      <c r="G535" s="3">
        <v>38607</v>
      </c>
      <c r="H535" s="3">
        <v>1</v>
      </c>
      <c r="I535" s="3">
        <v>39873</v>
      </c>
    </row>
    <row r="536" spans="1:9" x14ac:dyDescent="0.25">
      <c r="A536" t="s">
        <v>83</v>
      </c>
      <c r="B536">
        <v>300</v>
      </c>
      <c r="C536">
        <v>620</v>
      </c>
      <c r="D536">
        <v>97</v>
      </c>
      <c r="E536">
        <v>999</v>
      </c>
      <c r="G536" s="3">
        <v>38607</v>
      </c>
      <c r="H536" s="3">
        <v>1</v>
      </c>
      <c r="I536" s="3">
        <v>39873</v>
      </c>
    </row>
    <row r="537" spans="1:9" x14ac:dyDescent="0.25">
      <c r="A537" t="s">
        <v>83</v>
      </c>
      <c r="B537">
        <v>300</v>
      </c>
      <c r="C537">
        <v>620</v>
      </c>
      <c r="D537">
        <v>95</v>
      </c>
      <c r="E537">
        <v>97</v>
      </c>
      <c r="G537" s="3">
        <v>38607</v>
      </c>
      <c r="H537" s="3">
        <v>1</v>
      </c>
      <c r="I537" s="3">
        <v>39873</v>
      </c>
    </row>
    <row r="538" spans="1:9" x14ac:dyDescent="0.25">
      <c r="A538" t="s">
        <v>83</v>
      </c>
      <c r="B538">
        <v>300</v>
      </c>
      <c r="C538">
        <v>620</v>
      </c>
      <c r="D538">
        <v>90</v>
      </c>
      <c r="E538">
        <v>95</v>
      </c>
      <c r="G538" s="3">
        <v>38607</v>
      </c>
      <c r="H538" s="3">
        <v>1</v>
      </c>
      <c r="I538" s="3">
        <v>39873</v>
      </c>
    </row>
    <row r="539" spans="1:9" x14ac:dyDescent="0.25">
      <c r="A539" t="s">
        <v>83</v>
      </c>
      <c r="B539">
        <v>300</v>
      </c>
      <c r="C539">
        <v>620</v>
      </c>
      <c r="D539">
        <v>85</v>
      </c>
      <c r="E539">
        <v>90</v>
      </c>
      <c r="G539" s="3">
        <v>38607</v>
      </c>
      <c r="H539" s="3">
        <v>1</v>
      </c>
      <c r="I539" s="3">
        <v>39873</v>
      </c>
    </row>
    <row r="540" spans="1:9" x14ac:dyDescent="0.25">
      <c r="A540" t="s">
        <v>83</v>
      </c>
      <c r="B540">
        <v>300</v>
      </c>
      <c r="C540">
        <v>620</v>
      </c>
      <c r="D540">
        <v>80</v>
      </c>
      <c r="E540">
        <v>85</v>
      </c>
      <c r="G540" s="3">
        <v>38607</v>
      </c>
      <c r="H540" s="3">
        <v>1</v>
      </c>
      <c r="I540" s="3">
        <v>39873</v>
      </c>
    </row>
    <row r="541" spans="1:9" x14ac:dyDescent="0.25">
      <c r="A541" t="s">
        <v>83</v>
      </c>
      <c r="B541">
        <v>300</v>
      </c>
      <c r="C541">
        <v>620</v>
      </c>
      <c r="D541">
        <v>0</v>
      </c>
      <c r="E541">
        <v>80</v>
      </c>
      <c r="G541" s="3">
        <v>38607</v>
      </c>
      <c r="H541" s="3">
        <v>1</v>
      </c>
      <c r="I541" s="3">
        <v>39873</v>
      </c>
    </row>
  </sheetData>
  <hyperlinks>
    <hyperlink ref="N497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topLeftCell="A124" workbookViewId="0">
      <selection activeCell="A162" sqref="A162:J181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62</v>
      </c>
      <c r="B1" t="s">
        <v>63</v>
      </c>
      <c r="C1" t="s">
        <v>1</v>
      </c>
      <c r="D1" t="s">
        <v>2</v>
      </c>
      <c r="E1" t="s">
        <v>56</v>
      </c>
      <c r="F1" t="s">
        <v>57</v>
      </c>
      <c r="G1" t="s">
        <v>9</v>
      </c>
      <c r="H1" t="s">
        <v>0</v>
      </c>
      <c r="I1" t="s">
        <v>52</v>
      </c>
      <c r="J1" t="s">
        <v>51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3">
        <v>38607</v>
      </c>
      <c r="I2" s="3">
        <v>1</v>
      </c>
      <c r="J2" s="3">
        <v>39873</v>
      </c>
      <c r="L2" s="3">
        <v>38607</v>
      </c>
      <c r="N2" t="s">
        <v>11</v>
      </c>
      <c r="O2" t="s">
        <v>12</v>
      </c>
      <c r="P2" t="s">
        <v>13</v>
      </c>
      <c r="Q2" t="s">
        <v>14</v>
      </c>
      <c r="R2" t="s">
        <v>19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3">
        <v>38607</v>
      </c>
      <c r="I3" s="3">
        <v>1</v>
      </c>
      <c r="J3" s="3">
        <v>39873</v>
      </c>
      <c r="L3" t="s">
        <v>64</v>
      </c>
      <c r="M3" t="s">
        <v>58</v>
      </c>
      <c r="N3" s="7">
        <v>0</v>
      </c>
      <c r="O3" s="7">
        <v>0</v>
      </c>
      <c r="P3" s="7">
        <v>0</v>
      </c>
      <c r="Q3" s="7">
        <v>0</v>
      </c>
      <c r="R3" t="s">
        <v>34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3">
        <v>38607</v>
      </c>
      <c r="I4" s="3">
        <v>1</v>
      </c>
      <c r="J4" s="3">
        <v>39873</v>
      </c>
      <c r="L4" t="s">
        <v>64</v>
      </c>
      <c r="M4" t="s">
        <v>59</v>
      </c>
      <c r="N4" s="7">
        <v>0</v>
      </c>
      <c r="O4" s="7">
        <v>0</v>
      </c>
      <c r="P4" s="7">
        <v>0</v>
      </c>
      <c r="Q4" s="7">
        <v>0</v>
      </c>
      <c r="R4" t="s">
        <v>34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3">
        <v>38607</v>
      </c>
      <c r="I5" s="3">
        <v>1</v>
      </c>
      <c r="J5" s="3">
        <v>39873</v>
      </c>
      <c r="L5" t="s">
        <v>65</v>
      </c>
      <c r="M5" t="s">
        <v>58</v>
      </c>
      <c r="N5" s="7">
        <v>0</v>
      </c>
      <c r="O5" s="7">
        <v>0</v>
      </c>
      <c r="P5" s="7">
        <v>0</v>
      </c>
      <c r="Q5" s="7">
        <v>0</v>
      </c>
      <c r="R5" t="s">
        <v>34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3">
        <v>38607</v>
      </c>
      <c r="I6" s="3">
        <v>1</v>
      </c>
      <c r="J6" s="3">
        <v>39873</v>
      </c>
      <c r="L6" t="s">
        <v>65</v>
      </c>
      <c r="M6" t="s">
        <v>59</v>
      </c>
      <c r="N6" s="7">
        <v>0</v>
      </c>
      <c r="O6" s="7">
        <v>0</v>
      </c>
      <c r="P6" s="7">
        <v>0</v>
      </c>
      <c r="Q6" s="7">
        <v>0</v>
      </c>
      <c r="R6" t="s">
        <v>34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3">
        <v>38607</v>
      </c>
      <c r="I7" s="3">
        <v>1</v>
      </c>
      <c r="J7" s="3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3">
        <v>38607</v>
      </c>
      <c r="I8" s="3">
        <v>1</v>
      </c>
      <c r="J8" s="3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3">
        <v>38607</v>
      </c>
      <c r="I9" s="3">
        <v>1</v>
      </c>
      <c r="J9" s="3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3">
        <v>38607</v>
      </c>
      <c r="I10" s="3">
        <v>1</v>
      </c>
      <c r="J10" s="3">
        <v>39873</v>
      </c>
      <c r="L10" t="s">
        <v>43</v>
      </c>
      <c r="M10" t="s">
        <v>66</v>
      </c>
      <c r="S10" t="s">
        <v>10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3">
        <v>38607</v>
      </c>
      <c r="I11" s="3">
        <v>1</v>
      </c>
      <c r="J11" s="3">
        <v>39873</v>
      </c>
      <c r="L11" t="s">
        <v>44</v>
      </c>
      <c r="M11" t="s">
        <v>67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3">
        <v>38607</v>
      </c>
      <c r="I12" s="3">
        <v>1</v>
      </c>
      <c r="J12" s="3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3">
        <v>38607</v>
      </c>
      <c r="I13" s="3">
        <v>1</v>
      </c>
      <c r="J13" s="3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3">
        <v>38607</v>
      </c>
      <c r="I14" s="3">
        <v>1</v>
      </c>
      <c r="J14" s="3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3">
        <v>38607</v>
      </c>
      <c r="I15" s="3">
        <v>1</v>
      </c>
      <c r="J15" s="3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3">
        <v>38607</v>
      </c>
      <c r="I16" s="3">
        <v>1</v>
      </c>
      <c r="J16" s="3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3">
        <v>38607</v>
      </c>
      <c r="I17" s="3">
        <v>1</v>
      </c>
      <c r="J17" s="3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3">
        <v>38607</v>
      </c>
      <c r="I18" s="3">
        <v>1</v>
      </c>
      <c r="J18" s="3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3">
        <v>38607</v>
      </c>
      <c r="I19" s="3">
        <v>1</v>
      </c>
      <c r="J19" s="3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3">
        <v>38607</v>
      </c>
      <c r="I20" s="3">
        <v>1</v>
      </c>
      <c r="J20" s="3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3">
        <v>38607</v>
      </c>
      <c r="I21" s="3">
        <v>1</v>
      </c>
      <c r="J21" s="3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7">
        <v>25</v>
      </c>
      <c r="H22" s="3">
        <v>39873</v>
      </c>
      <c r="I22" s="3">
        <v>39873</v>
      </c>
      <c r="J22" s="3">
        <v>40299</v>
      </c>
      <c r="L22" s="3">
        <v>39873</v>
      </c>
      <c r="N22" t="s">
        <v>11</v>
      </c>
      <c r="O22" t="s">
        <v>12</v>
      </c>
      <c r="P22" t="s">
        <v>13</v>
      </c>
      <c r="Q22" t="s">
        <v>14</v>
      </c>
      <c r="R22" t="s">
        <v>19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7">
        <v>25</v>
      </c>
      <c r="H23" s="3">
        <v>39873</v>
      </c>
      <c r="I23" s="3">
        <v>39873</v>
      </c>
      <c r="J23" s="3">
        <v>40299</v>
      </c>
      <c r="L23" t="s">
        <v>64</v>
      </c>
      <c r="M23" t="s">
        <v>58</v>
      </c>
      <c r="N23" s="7">
        <v>25</v>
      </c>
      <c r="O23" s="7">
        <v>25</v>
      </c>
      <c r="P23" s="7">
        <v>25</v>
      </c>
      <c r="Q23" s="7">
        <v>25</v>
      </c>
      <c r="R23" t="s">
        <v>34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7">
        <v>25</v>
      </c>
      <c r="H24" s="3">
        <v>39873</v>
      </c>
      <c r="I24" s="3">
        <v>39873</v>
      </c>
      <c r="J24" s="3">
        <v>40299</v>
      </c>
      <c r="L24" t="s">
        <v>64</v>
      </c>
      <c r="M24" t="s">
        <v>59</v>
      </c>
      <c r="N24" s="7">
        <v>0</v>
      </c>
      <c r="O24" s="7">
        <v>0</v>
      </c>
      <c r="P24" s="7">
        <v>0</v>
      </c>
      <c r="Q24" s="7">
        <v>0</v>
      </c>
      <c r="R24" t="s">
        <v>34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7">
        <v>25</v>
      </c>
      <c r="H25" s="3">
        <v>39873</v>
      </c>
      <c r="I25" s="3">
        <v>39873</v>
      </c>
      <c r="J25" s="3">
        <v>40299</v>
      </c>
      <c r="L25" t="s">
        <v>65</v>
      </c>
      <c r="M25" t="s">
        <v>58</v>
      </c>
      <c r="N25" s="7">
        <v>0</v>
      </c>
      <c r="O25" s="7">
        <v>0</v>
      </c>
      <c r="P25" s="7">
        <v>0</v>
      </c>
      <c r="Q25" s="7">
        <v>0</v>
      </c>
      <c r="R25" t="s">
        <v>34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3">
        <v>39873</v>
      </c>
      <c r="I26" s="3">
        <v>39873</v>
      </c>
      <c r="J26" s="3">
        <v>40299</v>
      </c>
      <c r="L26" t="s">
        <v>65</v>
      </c>
      <c r="M26" t="s">
        <v>59</v>
      </c>
      <c r="N26" s="7">
        <v>0</v>
      </c>
      <c r="O26" s="7">
        <v>0</v>
      </c>
      <c r="P26" s="7">
        <v>0</v>
      </c>
      <c r="Q26" s="7">
        <v>0</v>
      </c>
      <c r="R26" t="s">
        <v>34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3">
        <v>39873</v>
      </c>
      <c r="I27" s="3">
        <v>39873</v>
      </c>
      <c r="J27" s="3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3">
        <v>39873</v>
      </c>
      <c r="I28" s="3">
        <v>39873</v>
      </c>
      <c r="J28" s="3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3">
        <v>39873</v>
      </c>
      <c r="I29" s="3">
        <v>39873</v>
      </c>
      <c r="J29" s="3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3">
        <v>39873</v>
      </c>
      <c r="I30" s="3">
        <v>39873</v>
      </c>
      <c r="J30" s="3">
        <v>40299</v>
      </c>
      <c r="S30" t="s">
        <v>10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3">
        <v>39873</v>
      </c>
      <c r="I31" s="3">
        <v>39873</v>
      </c>
      <c r="J31" s="3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3">
        <v>39873</v>
      </c>
      <c r="I32" s="3">
        <v>39873</v>
      </c>
      <c r="J32" s="3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3">
        <v>39873</v>
      </c>
      <c r="I33" s="3">
        <v>39873</v>
      </c>
      <c r="J33" s="3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3">
        <v>39873</v>
      </c>
      <c r="I34" s="3">
        <v>39873</v>
      </c>
      <c r="J34" s="3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3">
        <v>39873</v>
      </c>
      <c r="I35" s="3">
        <v>39873</v>
      </c>
      <c r="J35" s="3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3">
        <v>39873</v>
      </c>
      <c r="I36" s="3">
        <v>39873</v>
      </c>
      <c r="J36" s="3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3">
        <v>39873</v>
      </c>
      <c r="I37" s="3">
        <v>39873</v>
      </c>
      <c r="J37" s="3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3">
        <v>39873</v>
      </c>
      <c r="I38" s="3">
        <v>39873</v>
      </c>
      <c r="J38" s="3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3">
        <v>39873</v>
      </c>
      <c r="I39" s="3">
        <v>39873</v>
      </c>
      <c r="J39" s="3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3">
        <v>39873</v>
      </c>
      <c r="I40" s="3">
        <v>39873</v>
      </c>
      <c r="J40" s="3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3">
        <v>39873</v>
      </c>
      <c r="I41" s="3">
        <v>39873</v>
      </c>
      <c r="J41" s="3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7">
        <v>25</v>
      </c>
      <c r="H42" s="3">
        <v>40299</v>
      </c>
      <c r="I42" s="3">
        <v>40299</v>
      </c>
      <c r="J42" s="3">
        <v>40756</v>
      </c>
      <c r="L42" s="3">
        <v>40299</v>
      </c>
      <c r="N42" t="s">
        <v>11</v>
      </c>
      <c r="O42" t="s">
        <v>12</v>
      </c>
      <c r="P42" t="s">
        <v>13</v>
      </c>
      <c r="Q42" t="s">
        <v>14</v>
      </c>
      <c r="R42" t="s">
        <v>19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7">
        <v>25</v>
      </c>
      <c r="H43" s="3">
        <v>40299</v>
      </c>
      <c r="I43" s="3">
        <v>40299</v>
      </c>
      <c r="J43" s="3">
        <v>40756</v>
      </c>
      <c r="L43" t="s">
        <v>64</v>
      </c>
      <c r="M43" t="s">
        <v>58</v>
      </c>
      <c r="N43" s="7">
        <v>25</v>
      </c>
      <c r="O43" s="7">
        <v>25</v>
      </c>
      <c r="P43" s="7">
        <v>40</v>
      </c>
      <c r="Q43" s="7">
        <v>60</v>
      </c>
      <c r="R43" t="s">
        <v>34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7">
        <v>40</v>
      </c>
      <c r="H44" s="3">
        <v>40299</v>
      </c>
      <c r="I44" s="3">
        <v>40299</v>
      </c>
      <c r="J44" s="3">
        <v>40756</v>
      </c>
      <c r="L44" t="s">
        <v>64</v>
      </c>
      <c r="M44" t="s">
        <v>59</v>
      </c>
      <c r="N44" s="7">
        <v>0</v>
      </c>
      <c r="O44" s="7">
        <v>0</v>
      </c>
      <c r="P44" s="7">
        <v>0</v>
      </c>
      <c r="Q44" s="7">
        <v>0</v>
      </c>
      <c r="R44" t="s">
        <v>34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7">
        <v>60</v>
      </c>
      <c r="H45" s="3">
        <v>40299</v>
      </c>
      <c r="I45" s="3">
        <v>40299</v>
      </c>
      <c r="J45" s="3">
        <v>40756</v>
      </c>
      <c r="L45" t="s">
        <v>65</v>
      </c>
      <c r="M45" t="s">
        <v>58</v>
      </c>
      <c r="N45" s="7">
        <v>0</v>
      </c>
      <c r="O45" s="7">
        <v>0</v>
      </c>
      <c r="P45" s="7">
        <v>0</v>
      </c>
      <c r="Q45" s="7">
        <v>0</v>
      </c>
      <c r="R45" t="s">
        <v>34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3">
        <v>40299</v>
      </c>
      <c r="I46" s="3">
        <v>40299</v>
      </c>
      <c r="J46" s="3">
        <v>40756</v>
      </c>
      <c r="L46" t="s">
        <v>65</v>
      </c>
      <c r="M46" t="s">
        <v>59</v>
      </c>
      <c r="N46" s="7">
        <v>0</v>
      </c>
      <c r="O46" s="7">
        <v>0</v>
      </c>
      <c r="P46" s="7">
        <v>0</v>
      </c>
      <c r="Q46" s="7">
        <v>0</v>
      </c>
      <c r="R46" t="s">
        <v>34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3">
        <v>40299</v>
      </c>
      <c r="I47" s="3">
        <v>40299</v>
      </c>
      <c r="J47" s="3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3">
        <v>40299</v>
      </c>
      <c r="I48" s="3">
        <v>40299</v>
      </c>
      <c r="J48" s="3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3">
        <v>40299</v>
      </c>
      <c r="I49" s="3">
        <v>40299</v>
      </c>
      <c r="J49" s="3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3">
        <v>40299</v>
      </c>
      <c r="I50" s="3">
        <v>40299</v>
      </c>
      <c r="J50" s="3">
        <v>40756</v>
      </c>
      <c r="S50" t="s">
        <v>10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3">
        <v>40299</v>
      </c>
      <c r="I51" s="3">
        <v>40299</v>
      </c>
      <c r="J51" s="3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3">
        <v>40299</v>
      </c>
      <c r="I52" s="3">
        <v>40299</v>
      </c>
      <c r="J52" s="3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3">
        <v>40299</v>
      </c>
      <c r="I53" s="3">
        <v>40299</v>
      </c>
      <c r="J53" s="3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3">
        <v>40299</v>
      </c>
      <c r="I54" s="3">
        <v>40299</v>
      </c>
      <c r="J54" s="3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3">
        <v>40299</v>
      </c>
      <c r="I55" s="3">
        <v>40299</v>
      </c>
      <c r="J55" s="3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3">
        <v>40299</v>
      </c>
      <c r="I56" s="3">
        <v>40299</v>
      </c>
      <c r="J56" s="3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3">
        <v>40299</v>
      </c>
      <c r="I57" s="3">
        <v>40299</v>
      </c>
      <c r="J57" s="3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3">
        <v>40299</v>
      </c>
      <c r="I58" s="3">
        <v>40299</v>
      </c>
      <c r="J58" s="3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3">
        <v>40299</v>
      </c>
      <c r="I59" s="3">
        <v>40299</v>
      </c>
      <c r="J59" s="3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3">
        <v>40299</v>
      </c>
      <c r="I60" s="3">
        <v>40299</v>
      </c>
      <c r="J60" s="3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3">
        <v>40299</v>
      </c>
      <c r="I61" s="3">
        <v>40299</v>
      </c>
      <c r="J61" s="3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7">
        <v>25</v>
      </c>
      <c r="H62" s="3">
        <v>40756</v>
      </c>
      <c r="I62" s="3">
        <v>40756</v>
      </c>
      <c r="J62" s="3">
        <v>40969</v>
      </c>
      <c r="L62" s="3">
        <v>40756</v>
      </c>
      <c r="N62" t="s">
        <v>11</v>
      </c>
      <c r="O62" t="s">
        <v>12</v>
      </c>
      <c r="P62" t="s">
        <v>13</v>
      </c>
      <c r="Q62" t="s">
        <v>14</v>
      </c>
      <c r="R62" t="s">
        <v>19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7">
        <v>25</v>
      </c>
      <c r="H63" s="3">
        <v>40756</v>
      </c>
      <c r="I63" s="3">
        <v>40756</v>
      </c>
      <c r="J63" s="3">
        <v>40969</v>
      </c>
      <c r="L63" t="s">
        <v>64</v>
      </c>
      <c r="M63" t="s">
        <v>58</v>
      </c>
      <c r="N63" s="7">
        <v>25</v>
      </c>
      <c r="O63" s="7">
        <v>25</v>
      </c>
      <c r="P63" s="7">
        <v>40</v>
      </c>
      <c r="Q63" s="7">
        <v>60</v>
      </c>
      <c r="R63" t="s">
        <v>34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7">
        <v>40</v>
      </c>
      <c r="H64" s="3">
        <v>40756</v>
      </c>
      <c r="I64" s="3">
        <v>40756</v>
      </c>
      <c r="J64" s="3">
        <v>40969</v>
      </c>
      <c r="L64" t="s">
        <v>64</v>
      </c>
      <c r="M64" t="s">
        <v>59</v>
      </c>
      <c r="N64" s="7">
        <v>0</v>
      </c>
      <c r="O64" s="7">
        <v>0</v>
      </c>
      <c r="P64" s="7">
        <v>0</v>
      </c>
      <c r="Q64" s="7">
        <v>0</v>
      </c>
      <c r="R64" t="s">
        <v>34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7">
        <v>60</v>
      </c>
      <c r="H65" s="3">
        <v>40756</v>
      </c>
      <c r="I65" s="3">
        <v>40756</v>
      </c>
      <c r="J65" s="3">
        <v>40969</v>
      </c>
      <c r="L65" t="s">
        <v>65</v>
      </c>
      <c r="M65" t="s">
        <v>58</v>
      </c>
      <c r="N65" s="7">
        <v>0</v>
      </c>
      <c r="O65" s="7">
        <v>0</v>
      </c>
      <c r="P65" s="7">
        <v>0</v>
      </c>
      <c r="Q65" s="7">
        <v>0</v>
      </c>
      <c r="R65" t="s">
        <v>34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3">
        <v>40756</v>
      </c>
      <c r="I66" s="3">
        <v>40756</v>
      </c>
      <c r="J66" s="3">
        <v>40969</v>
      </c>
      <c r="L66" t="s">
        <v>65</v>
      </c>
      <c r="M66" t="s">
        <v>59</v>
      </c>
      <c r="N66" s="7">
        <v>0</v>
      </c>
      <c r="O66" s="7">
        <v>0</v>
      </c>
      <c r="P66" s="7">
        <v>0</v>
      </c>
      <c r="Q66" s="7">
        <v>0</v>
      </c>
      <c r="R66" t="s">
        <v>34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3">
        <v>40756</v>
      </c>
      <c r="I67" s="3">
        <v>40756</v>
      </c>
      <c r="J67" s="3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3">
        <v>40756</v>
      </c>
      <c r="I68" s="3">
        <v>40756</v>
      </c>
      <c r="J68" s="3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3">
        <v>40756</v>
      </c>
      <c r="I69" s="3">
        <v>40756</v>
      </c>
      <c r="J69" s="3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3">
        <v>40756</v>
      </c>
      <c r="I70" s="3">
        <v>40756</v>
      </c>
      <c r="J70" s="3">
        <v>40969</v>
      </c>
      <c r="S70" t="s">
        <v>10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3">
        <v>40756</v>
      </c>
      <c r="I71" s="3">
        <v>40756</v>
      </c>
      <c r="J71" s="3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3">
        <v>40756</v>
      </c>
      <c r="I72" s="3">
        <v>40756</v>
      </c>
      <c r="J72" s="3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3">
        <v>40756</v>
      </c>
      <c r="I73" s="3">
        <v>40756</v>
      </c>
      <c r="J73" s="3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3">
        <v>40756</v>
      </c>
      <c r="I74" s="3">
        <v>40756</v>
      </c>
      <c r="J74" s="3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3">
        <v>40756</v>
      </c>
      <c r="I75" s="3">
        <v>40756</v>
      </c>
      <c r="J75" s="3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3">
        <v>40756</v>
      </c>
      <c r="I76" s="3">
        <v>40756</v>
      </c>
      <c r="J76" s="3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3">
        <v>40756</v>
      </c>
      <c r="I77" s="3">
        <v>40756</v>
      </c>
      <c r="J77" s="3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3">
        <v>40756</v>
      </c>
      <c r="I78" s="3">
        <v>40756</v>
      </c>
      <c r="J78" s="3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3">
        <v>40756</v>
      </c>
      <c r="I79" s="3">
        <v>40756</v>
      </c>
      <c r="J79" s="3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3">
        <v>40756</v>
      </c>
      <c r="I80" s="3">
        <v>40756</v>
      </c>
      <c r="J80" s="3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3">
        <v>40756</v>
      </c>
      <c r="I81" s="3">
        <v>40756</v>
      </c>
      <c r="J81" s="3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7">
        <v>20</v>
      </c>
      <c r="H82" s="3">
        <v>40969</v>
      </c>
      <c r="I82" s="3">
        <v>40969</v>
      </c>
      <c r="J82" s="3">
        <v>41306</v>
      </c>
      <c r="L82" s="3">
        <v>40969</v>
      </c>
      <c r="N82" t="s">
        <v>11</v>
      </c>
      <c r="O82" t="s">
        <v>12</v>
      </c>
      <c r="P82" t="s">
        <v>13</v>
      </c>
      <c r="Q82" t="s">
        <v>14</v>
      </c>
      <c r="R82" t="s">
        <v>19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7">
        <v>25</v>
      </c>
      <c r="H83" s="3">
        <v>40969</v>
      </c>
      <c r="I83" s="3">
        <v>40969</v>
      </c>
      <c r="J83" s="3">
        <v>41306</v>
      </c>
      <c r="L83" t="s">
        <v>64</v>
      </c>
      <c r="M83" t="s">
        <v>58</v>
      </c>
      <c r="N83" s="7">
        <v>20</v>
      </c>
      <c r="O83" s="7">
        <v>25</v>
      </c>
      <c r="P83" s="7">
        <v>40</v>
      </c>
      <c r="Q83" s="7">
        <v>60</v>
      </c>
      <c r="R83" t="s">
        <v>34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7">
        <v>40</v>
      </c>
      <c r="H84" s="3">
        <v>40969</v>
      </c>
      <c r="I84" s="3">
        <v>40969</v>
      </c>
      <c r="J84" s="3">
        <v>41306</v>
      </c>
      <c r="L84" t="s">
        <v>64</v>
      </c>
      <c r="M84" t="s">
        <v>59</v>
      </c>
      <c r="N84" s="7">
        <v>0</v>
      </c>
      <c r="O84" s="7">
        <v>0</v>
      </c>
      <c r="P84" s="7">
        <v>0</v>
      </c>
      <c r="Q84" s="7">
        <v>0</v>
      </c>
      <c r="R84" t="s">
        <v>34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7">
        <v>60</v>
      </c>
      <c r="H85" s="3">
        <v>40969</v>
      </c>
      <c r="I85" s="3">
        <v>40969</v>
      </c>
      <c r="J85" s="3">
        <v>41306</v>
      </c>
      <c r="L85" t="s">
        <v>65</v>
      </c>
      <c r="M85" t="s">
        <v>58</v>
      </c>
      <c r="N85" s="7">
        <v>0</v>
      </c>
      <c r="O85" s="7">
        <v>0</v>
      </c>
      <c r="P85" s="7">
        <v>0</v>
      </c>
      <c r="Q85" s="7">
        <v>0</v>
      </c>
      <c r="R85" t="s">
        <v>34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3">
        <v>40969</v>
      </c>
      <c r="I86" s="3">
        <v>40969</v>
      </c>
      <c r="J86" s="3">
        <v>41306</v>
      </c>
      <c r="L86" t="s">
        <v>65</v>
      </c>
      <c r="M86" t="s">
        <v>59</v>
      </c>
      <c r="N86" s="7">
        <v>0</v>
      </c>
      <c r="O86" s="7">
        <v>0</v>
      </c>
      <c r="P86" s="7">
        <v>0</v>
      </c>
      <c r="Q86" s="7">
        <v>0</v>
      </c>
      <c r="R86" t="s">
        <v>34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3">
        <v>40969</v>
      </c>
      <c r="I87" s="3">
        <v>40969</v>
      </c>
      <c r="J87" s="3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3">
        <v>40969</v>
      </c>
      <c r="I88" s="3">
        <v>40969</v>
      </c>
      <c r="J88" s="3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3">
        <v>40969</v>
      </c>
      <c r="I89" s="3">
        <v>40969</v>
      </c>
      <c r="J89" s="3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3">
        <v>40969</v>
      </c>
      <c r="I90" s="3">
        <v>40969</v>
      </c>
      <c r="J90" s="3">
        <v>41306</v>
      </c>
      <c r="S90" t="s">
        <v>10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3">
        <v>40969</v>
      </c>
      <c r="I91" s="3">
        <v>40969</v>
      </c>
      <c r="J91" s="3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3">
        <v>40969</v>
      </c>
      <c r="I92" s="3">
        <v>40969</v>
      </c>
      <c r="J92" s="3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3">
        <v>40969</v>
      </c>
      <c r="I93" s="3">
        <v>40969</v>
      </c>
      <c r="J93" s="3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3">
        <v>40969</v>
      </c>
      <c r="I94" s="3">
        <v>40969</v>
      </c>
      <c r="J94" s="3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3">
        <v>40969</v>
      </c>
      <c r="I95" s="3">
        <v>40969</v>
      </c>
      <c r="J95" s="3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3">
        <v>40969</v>
      </c>
      <c r="I96" s="3">
        <v>40969</v>
      </c>
      <c r="J96" s="3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3">
        <v>40969</v>
      </c>
      <c r="I97" s="3">
        <v>40969</v>
      </c>
      <c r="J97" s="3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3">
        <v>40969</v>
      </c>
      <c r="I98" s="3">
        <v>40969</v>
      </c>
      <c r="J98" s="3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3">
        <v>40969</v>
      </c>
      <c r="I99" s="3">
        <v>40969</v>
      </c>
      <c r="J99" s="3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3">
        <v>40969</v>
      </c>
      <c r="I100" s="3">
        <v>40969</v>
      </c>
      <c r="J100" s="3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3">
        <v>40969</v>
      </c>
      <c r="I101" s="3">
        <v>40969</v>
      </c>
      <c r="J101" s="3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7">
        <v>20</v>
      </c>
      <c r="H102" s="3">
        <v>41306</v>
      </c>
      <c r="I102" s="3">
        <v>41306</v>
      </c>
      <c r="J102" s="3">
        <v>41395</v>
      </c>
      <c r="L102" s="3">
        <v>41306</v>
      </c>
      <c r="N102" t="s">
        <v>11</v>
      </c>
      <c r="O102" t="s">
        <v>12</v>
      </c>
      <c r="P102" t="s">
        <v>13</v>
      </c>
      <c r="Q102" t="s">
        <v>14</v>
      </c>
      <c r="R102" t="s">
        <v>19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7">
        <v>25</v>
      </c>
      <c r="H103" s="3">
        <v>41306</v>
      </c>
      <c r="I103" s="3">
        <v>41306</v>
      </c>
      <c r="J103" s="3">
        <v>41395</v>
      </c>
      <c r="L103" t="s">
        <v>64</v>
      </c>
      <c r="M103" t="s">
        <v>58</v>
      </c>
      <c r="N103" s="7">
        <v>20</v>
      </c>
      <c r="O103" s="7">
        <v>25</v>
      </c>
      <c r="P103" s="7">
        <v>40</v>
      </c>
      <c r="Q103" s="7">
        <v>60</v>
      </c>
      <c r="R103" t="s">
        <v>34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7">
        <v>40</v>
      </c>
      <c r="H104" s="3">
        <v>41306</v>
      </c>
      <c r="I104" s="3">
        <v>41306</v>
      </c>
      <c r="J104" s="3">
        <v>41395</v>
      </c>
      <c r="L104" t="s">
        <v>64</v>
      </c>
      <c r="M104" t="s">
        <v>59</v>
      </c>
      <c r="N104" s="7">
        <v>0</v>
      </c>
      <c r="O104" s="7">
        <v>0</v>
      </c>
      <c r="P104" s="7">
        <v>0</v>
      </c>
      <c r="Q104" s="7">
        <v>0</v>
      </c>
      <c r="R104" t="s">
        <v>34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7">
        <v>60</v>
      </c>
      <c r="H105" s="3">
        <v>41306</v>
      </c>
      <c r="I105" s="3">
        <v>41306</v>
      </c>
      <c r="J105" s="3">
        <v>41395</v>
      </c>
      <c r="L105" t="s">
        <v>65</v>
      </c>
      <c r="M105" t="s">
        <v>58</v>
      </c>
      <c r="N105" s="7">
        <v>0</v>
      </c>
      <c r="O105" s="7">
        <v>0</v>
      </c>
      <c r="P105" s="7">
        <v>0</v>
      </c>
      <c r="Q105" s="7">
        <v>0</v>
      </c>
      <c r="R105" t="s">
        <v>34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3">
        <v>41306</v>
      </c>
      <c r="I106" s="3">
        <v>41306</v>
      </c>
      <c r="J106" s="3">
        <v>41395</v>
      </c>
      <c r="L106" t="s">
        <v>65</v>
      </c>
      <c r="M106" t="s">
        <v>59</v>
      </c>
      <c r="N106" s="7">
        <v>0</v>
      </c>
      <c r="O106" s="7">
        <v>0</v>
      </c>
      <c r="P106" s="7">
        <v>0</v>
      </c>
      <c r="Q106" s="7">
        <v>0</v>
      </c>
      <c r="R106" t="s">
        <v>34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3">
        <v>41306</v>
      </c>
      <c r="I107" s="3">
        <v>41306</v>
      </c>
      <c r="J107" s="3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3">
        <v>41306</v>
      </c>
      <c r="I108" s="3">
        <v>41306</v>
      </c>
      <c r="J108" s="3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3">
        <v>41306</v>
      </c>
      <c r="I109" s="3">
        <v>41306</v>
      </c>
      <c r="J109" s="3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3">
        <v>41306</v>
      </c>
      <c r="I110" s="3">
        <v>41306</v>
      </c>
      <c r="J110" s="3">
        <v>41395</v>
      </c>
      <c r="S110" t="s">
        <v>10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3">
        <v>41306</v>
      </c>
      <c r="I111" s="3">
        <v>41306</v>
      </c>
      <c r="J111" s="3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3">
        <v>41306</v>
      </c>
      <c r="I112" s="3">
        <v>41306</v>
      </c>
      <c r="J112" s="3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3">
        <v>41306</v>
      </c>
      <c r="I113" s="3">
        <v>41306</v>
      </c>
      <c r="J113" s="3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3">
        <v>41306</v>
      </c>
      <c r="I114" s="3">
        <v>41306</v>
      </c>
      <c r="J114" s="3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3">
        <v>41306</v>
      </c>
      <c r="I115" s="3">
        <v>41306</v>
      </c>
      <c r="J115" s="3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3">
        <v>41306</v>
      </c>
      <c r="I116" s="3">
        <v>41306</v>
      </c>
      <c r="J116" s="3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3">
        <v>41306</v>
      </c>
      <c r="I117" s="3">
        <v>41306</v>
      </c>
      <c r="J117" s="3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3">
        <v>41306</v>
      </c>
      <c r="I118" s="3">
        <v>41306</v>
      </c>
      <c r="J118" s="3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3">
        <v>41306</v>
      </c>
      <c r="I119" s="3">
        <v>41306</v>
      </c>
      <c r="J119" s="3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3">
        <v>41306</v>
      </c>
      <c r="I120" s="3">
        <v>41306</v>
      </c>
      <c r="J120" s="3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3">
        <v>41306</v>
      </c>
      <c r="I121" s="3">
        <v>41306</v>
      </c>
      <c r="J121" s="3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7">
        <v>20</v>
      </c>
      <c r="H122" s="3">
        <v>41395</v>
      </c>
      <c r="I122" s="3">
        <v>41395</v>
      </c>
      <c r="J122" s="3">
        <v>41487</v>
      </c>
      <c r="L122" s="3">
        <v>41395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7">
        <v>25</v>
      </c>
      <c r="H123" s="3">
        <v>41395</v>
      </c>
      <c r="I123" s="3">
        <v>41395</v>
      </c>
      <c r="J123" s="3">
        <v>41487</v>
      </c>
      <c r="L123" t="s">
        <v>64</v>
      </c>
      <c r="M123" t="s">
        <v>58</v>
      </c>
      <c r="N123" s="7">
        <v>20</v>
      </c>
      <c r="O123" s="7">
        <v>25</v>
      </c>
      <c r="P123" s="7">
        <v>40</v>
      </c>
      <c r="Q123" s="7">
        <v>60</v>
      </c>
      <c r="R123" t="s">
        <v>34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7">
        <v>40</v>
      </c>
      <c r="H124" s="3">
        <v>41395</v>
      </c>
      <c r="I124" s="3">
        <v>41395</v>
      </c>
      <c r="J124" s="3">
        <v>41487</v>
      </c>
      <c r="L124" t="s">
        <v>64</v>
      </c>
      <c r="M124" t="s">
        <v>59</v>
      </c>
      <c r="N124" s="7">
        <v>0</v>
      </c>
      <c r="O124" s="7">
        <v>0</v>
      </c>
      <c r="P124" s="7">
        <v>0</v>
      </c>
      <c r="Q124" s="7">
        <v>0</v>
      </c>
      <c r="R124" t="s">
        <v>34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7">
        <v>60</v>
      </c>
      <c r="H125" s="3">
        <v>41395</v>
      </c>
      <c r="I125" s="3">
        <v>41395</v>
      </c>
      <c r="J125" s="3">
        <v>41487</v>
      </c>
      <c r="L125" t="s">
        <v>65</v>
      </c>
      <c r="M125" t="s">
        <v>58</v>
      </c>
      <c r="N125" s="7">
        <v>0</v>
      </c>
      <c r="O125" s="7">
        <v>0</v>
      </c>
      <c r="P125" s="7">
        <v>0</v>
      </c>
      <c r="Q125" s="7">
        <v>0</v>
      </c>
      <c r="R125" t="s">
        <v>34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3">
        <v>41395</v>
      </c>
      <c r="I126" s="3">
        <v>41395</v>
      </c>
      <c r="J126" s="3">
        <v>41487</v>
      </c>
      <c r="L126" t="s">
        <v>65</v>
      </c>
      <c r="M126" t="s">
        <v>59</v>
      </c>
      <c r="N126" s="7">
        <v>0</v>
      </c>
      <c r="O126" s="7">
        <v>0</v>
      </c>
      <c r="P126" s="7">
        <v>0</v>
      </c>
      <c r="Q126" s="7">
        <v>0</v>
      </c>
      <c r="R126" t="s">
        <v>34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3">
        <v>41395</v>
      </c>
      <c r="I127" s="3">
        <v>41395</v>
      </c>
      <c r="J127" s="3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3">
        <v>41395</v>
      </c>
      <c r="I128" s="3">
        <v>41395</v>
      </c>
      <c r="J128" s="3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3">
        <v>41395</v>
      </c>
      <c r="I129" s="3">
        <v>41395</v>
      </c>
      <c r="J129" s="3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3">
        <v>41395</v>
      </c>
      <c r="I130" s="3">
        <v>41395</v>
      </c>
      <c r="J130" s="3">
        <v>41487</v>
      </c>
      <c r="S130" t="s">
        <v>10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3">
        <v>41395</v>
      </c>
      <c r="I131" s="3">
        <v>41395</v>
      </c>
      <c r="J131" s="3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3">
        <v>41395</v>
      </c>
      <c r="I132" s="3">
        <v>41395</v>
      </c>
      <c r="J132" s="3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3">
        <v>41395</v>
      </c>
      <c r="I133" s="3">
        <v>41395</v>
      </c>
      <c r="J133" s="3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3">
        <v>41395</v>
      </c>
      <c r="I134" s="3">
        <v>41395</v>
      </c>
      <c r="J134" s="3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3">
        <v>41395</v>
      </c>
      <c r="I135" s="3">
        <v>41395</v>
      </c>
      <c r="J135" s="3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3">
        <v>41395</v>
      </c>
      <c r="I136" s="3">
        <v>41395</v>
      </c>
      <c r="J136" s="3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3">
        <v>41395</v>
      </c>
      <c r="I137" s="3">
        <v>41395</v>
      </c>
      <c r="J137" s="3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3">
        <v>41395</v>
      </c>
      <c r="I138" s="3">
        <v>41395</v>
      </c>
      <c r="J138" s="3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3">
        <v>41395</v>
      </c>
      <c r="I139" s="3">
        <v>41395</v>
      </c>
      <c r="J139" s="3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3">
        <v>41395</v>
      </c>
      <c r="I140" s="3">
        <v>41395</v>
      </c>
      <c r="J140" s="3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3">
        <v>41395</v>
      </c>
      <c r="I141" s="3">
        <v>41395</v>
      </c>
      <c r="J141" s="3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7">
        <v>20</v>
      </c>
      <c r="H142" s="3">
        <v>41487</v>
      </c>
      <c r="I142" s="3">
        <v>41487</v>
      </c>
      <c r="J142" s="3">
        <v>41760</v>
      </c>
      <c r="L142" s="3">
        <v>41487</v>
      </c>
      <c r="N142" t="s">
        <v>11</v>
      </c>
      <c r="O142" t="s">
        <v>12</v>
      </c>
      <c r="P142" t="s">
        <v>13</v>
      </c>
      <c r="Q142" t="s">
        <v>14</v>
      </c>
      <c r="R142" t="s">
        <v>19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7">
        <v>25</v>
      </c>
      <c r="H143" s="3">
        <v>41487</v>
      </c>
      <c r="I143" s="3">
        <v>41487</v>
      </c>
      <c r="J143" s="3">
        <v>41760</v>
      </c>
      <c r="L143" t="s">
        <v>64</v>
      </c>
      <c r="M143" t="s">
        <v>58</v>
      </c>
      <c r="N143" s="7">
        <v>20</v>
      </c>
      <c r="O143" s="7">
        <v>25</v>
      </c>
      <c r="P143" s="7">
        <v>40</v>
      </c>
      <c r="Q143" s="7">
        <v>60</v>
      </c>
      <c r="R143" t="s">
        <v>34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7">
        <v>40</v>
      </c>
      <c r="H144" s="3">
        <v>41487</v>
      </c>
      <c r="I144" s="3">
        <v>41487</v>
      </c>
      <c r="J144" s="3">
        <v>41760</v>
      </c>
      <c r="L144" t="s">
        <v>64</v>
      </c>
      <c r="M144" t="s">
        <v>59</v>
      </c>
      <c r="N144" s="7">
        <v>0</v>
      </c>
      <c r="O144" s="7">
        <v>0</v>
      </c>
      <c r="P144" s="7">
        <v>0</v>
      </c>
      <c r="Q144" s="7">
        <v>0</v>
      </c>
      <c r="R144" t="s">
        <v>34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7">
        <v>60</v>
      </c>
      <c r="H145" s="3">
        <v>41487</v>
      </c>
      <c r="I145" s="3">
        <v>41487</v>
      </c>
      <c r="J145" s="3">
        <v>41760</v>
      </c>
      <c r="L145" t="s">
        <v>65</v>
      </c>
      <c r="M145" t="s">
        <v>58</v>
      </c>
      <c r="N145" s="7">
        <v>0</v>
      </c>
      <c r="O145" s="7">
        <v>0</v>
      </c>
      <c r="P145" s="7">
        <v>0</v>
      </c>
      <c r="Q145" s="7">
        <v>0</v>
      </c>
      <c r="R145" t="s">
        <v>34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3">
        <v>41487</v>
      </c>
      <c r="I146" s="3">
        <v>41487</v>
      </c>
      <c r="J146" s="3">
        <v>41760</v>
      </c>
      <c r="L146" t="s">
        <v>65</v>
      </c>
      <c r="M146" t="s">
        <v>59</v>
      </c>
      <c r="N146" s="7">
        <v>0</v>
      </c>
      <c r="O146" s="7">
        <v>0</v>
      </c>
      <c r="P146" s="7">
        <v>0</v>
      </c>
      <c r="Q146" s="7">
        <v>0</v>
      </c>
      <c r="R146" t="s">
        <v>34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3">
        <v>41487</v>
      </c>
      <c r="I147" s="3">
        <v>41487</v>
      </c>
      <c r="J147" s="3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3">
        <v>41487</v>
      </c>
      <c r="I148" s="3">
        <v>41487</v>
      </c>
      <c r="J148" s="3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3">
        <v>41487</v>
      </c>
      <c r="I149" s="3">
        <v>41487</v>
      </c>
      <c r="J149" s="3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3">
        <v>41487</v>
      </c>
      <c r="I150" s="3">
        <v>41487</v>
      </c>
      <c r="J150" s="3">
        <v>41760</v>
      </c>
      <c r="S150" t="s">
        <v>10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3">
        <v>41487</v>
      </c>
      <c r="I151" s="3">
        <v>41487</v>
      </c>
      <c r="J151" s="3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3">
        <v>41487</v>
      </c>
      <c r="I152" s="3">
        <v>41487</v>
      </c>
      <c r="J152" s="3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3">
        <v>41487</v>
      </c>
      <c r="I153" s="3">
        <v>41487</v>
      </c>
      <c r="J153" s="3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3">
        <v>41487</v>
      </c>
      <c r="I154" s="3">
        <v>41487</v>
      </c>
      <c r="J154" s="3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3">
        <v>41487</v>
      </c>
      <c r="I155" s="3">
        <v>41487</v>
      </c>
      <c r="J155" s="3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3">
        <v>41487</v>
      </c>
      <c r="I156" s="3">
        <v>41487</v>
      </c>
      <c r="J156" s="3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3">
        <v>41487</v>
      </c>
      <c r="I157" s="3">
        <v>41487</v>
      </c>
      <c r="J157" s="3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3">
        <v>41487</v>
      </c>
      <c r="I158" s="3">
        <v>41487</v>
      </c>
      <c r="J158" s="3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3">
        <v>41487</v>
      </c>
      <c r="I159" s="3">
        <v>41487</v>
      </c>
      <c r="J159" s="3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3">
        <v>41487</v>
      </c>
      <c r="I160" s="3">
        <v>41487</v>
      </c>
      <c r="J160" s="3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3">
        <v>41487</v>
      </c>
      <c r="I161" s="3">
        <v>41487</v>
      </c>
      <c r="J161" s="3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7">
        <v>34</v>
      </c>
      <c r="H162" s="3">
        <v>41760</v>
      </c>
      <c r="I162" s="3">
        <v>41760</v>
      </c>
      <c r="J162" s="3">
        <v>73051</v>
      </c>
      <c r="L162" s="3">
        <v>41760</v>
      </c>
      <c r="N162" t="s">
        <v>11</v>
      </c>
      <c r="O162" t="s">
        <v>12</v>
      </c>
      <c r="P162" t="s">
        <v>13</v>
      </c>
      <c r="Q162" t="s">
        <v>14</v>
      </c>
      <c r="R162" t="s">
        <v>19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7">
        <v>38</v>
      </c>
      <c r="H163" s="3">
        <v>41760</v>
      </c>
      <c r="I163" s="3">
        <v>41760</v>
      </c>
      <c r="J163" s="3">
        <v>73051</v>
      </c>
      <c r="L163" t="s">
        <v>64</v>
      </c>
      <c r="M163" t="s">
        <v>58</v>
      </c>
      <c r="N163" s="7">
        <v>34</v>
      </c>
      <c r="O163" s="7">
        <v>38</v>
      </c>
      <c r="P163" s="7">
        <v>50</v>
      </c>
      <c r="Q163" s="7">
        <v>75</v>
      </c>
      <c r="R163" t="s">
        <v>34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7">
        <v>50</v>
      </c>
      <c r="H164" s="3">
        <v>41760</v>
      </c>
      <c r="I164" s="3">
        <v>41760</v>
      </c>
      <c r="J164" s="3">
        <v>73051</v>
      </c>
      <c r="L164" t="s">
        <v>64</v>
      </c>
      <c r="M164" t="s">
        <v>59</v>
      </c>
      <c r="N164" s="7">
        <v>0</v>
      </c>
      <c r="O164" s="7">
        <v>0</v>
      </c>
      <c r="P164" s="7">
        <v>0</v>
      </c>
      <c r="Q164" s="7">
        <v>0</v>
      </c>
      <c r="R164" t="s">
        <v>34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7">
        <v>75</v>
      </c>
      <c r="H165" s="3">
        <v>41760</v>
      </c>
      <c r="I165" s="3">
        <v>41760</v>
      </c>
      <c r="J165" s="3">
        <v>73051</v>
      </c>
      <c r="L165" t="s">
        <v>65</v>
      </c>
      <c r="M165" t="s">
        <v>58</v>
      </c>
      <c r="N165" s="7">
        <v>0</v>
      </c>
      <c r="O165" s="7">
        <v>0</v>
      </c>
      <c r="P165" s="7">
        <v>0</v>
      </c>
      <c r="Q165" s="7">
        <v>0</v>
      </c>
      <c r="R165" t="s">
        <v>34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3">
        <v>41760</v>
      </c>
      <c r="I166" s="3">
        <v>41760</v>
      </c>
      <c r="J166" s="3">
        <v>73051</v>
      </c>
      <c r="L166" t="s">
        <v>65</v>
      </c>
      <c r="M166" t="s">
        <v>59</v>
      </c>
      <c r="N166" s="7">
        <v>0</v>
      </c>
      <c r="O166" s="7">
        <v>0</v>
      </c>
      <c r="P166" s="7">
        <v>0</v>
      </c>
      <c r="Q166" s="7">
        <v>0</v>
      </c>
      <c r="R166" t="s">
        <v>34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3">
        <v>41760</v>
      </c>
      <c r="I167" s="3">
        <v>41760</v>
      </c>
      <c r="J167" s="3">
        <v>73051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3">
        <v>41760</v>
      </c>
      <c r="I168" s="3">
        <v>41760</v>
      </c>
      <c r="J168" s="3">
        <v>73051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3">
        <v>41760</v>
      </c>
      <c r="I169" s="3">
        <v>41760</v>
      </c>
      <c r="J169" s="3">
        <v>73051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3">
        <v>41760</v>
      </c>
      <c r="I170" s="3">
        <v>41760</v>
      </c>
      <c r="J170" s="3">
        <v>73051</v>
      </c>
      <c r="S170" t="s">
        <v>10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3">
        <v>41760</v>
      </c>
      <c r="I171" s="3">
        <v>41760</v>
      </c>
      <c r="J171" s="3">
        <v>73051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3">
        <v>41760</v>
      </c>
      <c r="I172" s="3">
        <v>41760</v>
      </c>
      <c r="J172" s="3">
        <v>73051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3">
        <v>41760</v>
      </c>
      <c r="I173" s="3">
        <v>41760</v>
      </c>
      <c r="J173" s="3">
        <v>73051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3">
        <v>41760</v>
      </c>
      <c r="I174" s="3">
        <v>41760</v>
      </c>
      <c r="J174" s="3">
        <v>73051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3">
        <v>41760</v>
      </c>
      <c r="I175" s="3">
        <v>41760</v>
      </c>
      <c r="J175" s="3">
        <v>73051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3">
        <v>41760</v>
      </c>
      <c r="I176" s="3">
        <v>41760</v>
      </c>
      <c r="J176" s="3">
        <v>73051</v>
      </c>
    </row>
    <row r="177" spans="1:10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3">
        <v>41760</v>
      </c>
      <c r="I177" s="3">
        <v>41760</v>
      </c>
      <c r="J177" s="3">
        <v>73051</v>
      </c>
    </row>
    <row r="178" spans="1:10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3">
        <v>41760</v>
      </c>
      <c r="I178" s="3">
        <v>41760</v>
      </c>
      <c r="J178" s="3">
        <v>73051</v>
      </c>
    </row>
    <row r="179" spans="1:10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3">
        <v>41760</v>
      </c>
      <c r="I179" s="3">
        <v>41760</v>
      </c>
      <c r="J179" s="3">
        <v>73051</v>
      </c>
    </row>
    <row r="180" spans="1:10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3">
        <v>41760</v>
      </c>
      <c r="I180" s="3">
        <v>41760</v>
      </c>
      <c r="J180" s="3">
        <v>73051</v>
      </c>
    </row>
    <row r="181" spans="1:10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3">
        <v>41760</v>
      </c>
      <c r="I181" s="3">
        <v>41760</v>
      </c>
      <c r="J181" s="3">
        <v>73051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1"/>
  <sheetViews>
    <sheetView topLeftCell="A4"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7" width="7.7109375" bestFit="1" customWidth="1"/>
    <col min="18" max="18" width="5.42578125" bestFit="1" customWidth="1"/>
    <col min="19" max="19" width="1.42578125" bestFit="1" customWidth="1"/>
  </cols>
  <sheetData>
    <row r="1" spans="1:19" x14ac:dyDescent="0.25">
      <c r="A1" t="s">
        <v>42</v>
      </c>
      <c r="B1" t="s">
        <v>1</v>
      </c>
      <c r="C1" t="s">
        <v>2</v>
      </c>
      <c r="D1" t="s">
        <v>56</v>
      </c>
      <c r="E1" t="s">
        <v>57</v>
      </c>
      <c r="F1" t="s">
        <v>9</v>
      </c>
      <c r="G1" t="s">
        <v>0</v>
      </c>
      <c r="H1" t="s">
        <v>52</v>
      </c>
      <c r="I1" t="s">
        <v>51</v>
      </c>
    </row>
    <row r="2" spans="1:19" x14ac:dyDescent="0.25">
      <c r="A2" t="s">
        <v>35</v>
      </c>
      <c r="B2">
        <v>80</v>
      </c>
      <c r="C2">
        <v>999</v>
      </c>
      <c r="D2">
        <v>760</v>
      </c>
      <c r="E2">
        <v>999</v>
      </c>
      <c r="F2">
        <v>0</v>
      </c>
      <c r="G2" s="3">
        <v>38596</v>
      </c>
      <c r="H2" s="3">
        <v>1</v>
      </c>
      <c r="I2" s="3">
        <v>39873</v>
      </c>
      <c r="J2" s="4"/>
      <c r="L2" s="3">
        <v>38596</v>
      </c>
      <c r="N2" t="s">
        <v>11</v>
      </c>
      <c r="O2" t="s">
        <v>12</v>
      </c>
      <c r="P2" t="s">
        <v>13</v>
      </c>
      <c r="Q2" t="s">
        <v>14</v>
      </c>
      <c r="R2" t="s">
        <v>19</v>
      </c>
    </row>
    <row r="3" spans="1:19" x14ac:dyDescent="0.25">
      <c r="A3" t="s">
        <v>35</v>
      </c>
      <c r="B3">
        <v>80</v>
      </c>
      <c r="C3">
        <v>999</v>
      </c>
      <c r="D3">
        <v>720</v>
      </c>
      <c r="E3">
        <v>760</v>
      </c>
      <c r="F3">
        <v>0</v>
      </c>
      <c r="G3" s="3">
        <v>38596</v>
      </c>
      <c r="H3" s="3">
        <v>1</v>
      </c>
      <c r="I3" s="3">
        <v>39873</v>
      </c>
      <c r="J3" s="4"/>
      <c r="L3" t="s">
        <v>35</v>
      </c>
      <c r="M3" t="s">
        <v>58</v>
      </c>
      <c r="N3" s="7">
        <v>0</v>
      </c>
      <c r="O3" s="7">
        <v>0</v>
      </c>
      <c r="P3" s="7">
        <v>0</v>
      </c>
      <c r="Q3" s="7">
        <v>0</v>
      </c>
      <c r="R3" s="2" t="s">
        <v>34</v>
      </c>
    </row>
    <row r="4" spans="1:19" x14ac:dyDescent="0.25">
      <c r="A4" t="s">
        <v>35</v>
      </c>
      <c r="B4">
        <v>80</v>
      </c>
      <c r="C4">
        <v>999</v>
      </c>
      <c r="D4">
        <v>680</v>
      </c>
      <c r="E4">
        <v>720</v>
      </c>
      <c r="F4">
        <v>0</v>
      </c>
      <c r="G4" s="3">
        <v>38596</v>
      </c>
      <c r="H4" s="3">
        <v>1</v>
      </c>
      <c r="I4" s="3">
        <v>39873</v>
      </c>
      <c r="J4" s="4"/>
      <c r="L4" t="s">
        <v>36</v>
      </c>
      <c r="M4" t="s">
        <v>58</v>
      </c>
      <c r="N4" s="7">
        <v>0</v>
      </c>
      <c r="O4" s="7">
        <v>0</v>
      </c>
      <c r="P4" s="7">
        <v>0</v>
      </c>
      <c r="Q4" s="7">
        <v>0</v>
      </c>
      <c r="R4" s="2" t="s">
        <v>34</v>
      </c>
    </row>
    <row r="5" spans="1:19" x14ac:dyDescent="0.25">
      <c r="A5" t="s">
        <v>35</v>
      </c>
      <c r="B5">
        <v>80</v>
      </c>
      <c r="C5">
        <v>999</v>
      </c>
      <c r="D5">
        <v>620</v>
      </c>
      <c r="E5">
        <v>680</v>
      </c>
      <c r="F5">
        <v>0</v>
      </c>
      <c r="G5" s="3">
        <v>38596</v>
      </c>
      <c r="H5" s="3">
        <v>1</v>
      </c>
      <c r="I5" s="3">
        <v>39873</v>
      </c>
      <c r="J5" s="4"/>
      <c r="L5" t="s">
        <v>37</v>
      </c>
      <c r="M5" t="s">
        <v>58</v>
      </c>
      <c r="N5" s="7">
        <v>0</v>
      </c>
      <c r="O5" s="7">
        <v>0</v>
      </c>
      <c r="P5" s="7">
        <v>0</v>
      </c>
      <c r="Q5" s="7">
        <v>0</v>
      </c>
      <c r="R5" s="2" t="s">
        <v>34</v>
      </c>
    </row>
    <row r="6" spans="1:19" x14ac:dyDescent="0.25">
      <c r="A6" t="s">
        <v>35</v>
      </c>
      <c r="B6">
        <v>80</v>
      </c>
      <c r="C6">
        <v>999</v>
      </c>
      <c r="D6">
        <v>300</v>
      </c>
      <c r="E6">
        <v>620</v>
      </c>
      <c r="G6" s="3">
        <v>38596</v>
      </c>
      <c r="H6" s="3">
        <v>1</v>
      </c>
      <c r="I6" s="3">
        <v>39873</v>
      </c>
      <c r="J6" s="4"/>
      <c r="L6" t="s">
        <v>38</v>
      </c>
      <c r="M6" t="s">
        <v>58</v>
      </c>
      <c r="N6" s="7">
        <v>0</v>
      </c>
      <c r="O6" s="7">
        <v>0</v>
      </c>
      <c r="P6" s="7">
        <v>0</v>
      </c>
      <c r="Q6" s="7">
        <v>0</v>
      </c>
      <c r="R6" s="2" t="s">
        <v>34</v>
      </c>
    </row>
    <row r="7" spans="1:19" x14ac:dyDescent="0.25">
      <c r="A7" t="s">
        <v>36</v>
      </c>
      <c r="B7">
        <v>80</v>
      </c>
      <c r="C7">
        <v>999</v>
      </c>
      <c r="D7">
        <v>760</v>
      </c>
      <c r="E7">
        <v>999</v>
      </c>
      <c r="F7">
        <v>0</v>
      </c>
      <c r="G7" s="3">
        <v>38596</v>
      </c>
      <c r="H7" s="3">
        <v>1</v>
      </c>
      <c r="I7" s="3">
        <v>39873</v>
      </c>
      <c r="J7" s="4"/>
      <c r="L7" t="s">
        <v>35</v>
      </c>
      <c r="M7" t="s">
        <v>59</v>
      </c>
      <c r="N7" s="7">
        <v>0</v>
      </c>
      <c r="O7" s="7">
        <v>0</v>
      </c>
      <c r="P7" s="7">
        <v>0</v>
      </c>
      <c r="Q7" s="7">
        <v>0</v>
      </c>
      <c r="R7" s="2" t="s">
        <v>34</v>
      </c>
    </row>
    <row r="8" spans="1:19" x14ac:dyDescent="0.25">
      <c r="A8" t="s">
        <v>36</v>
      </c>
      <c r="B8">
        <v>80</v>
      </c>
      <c r="C8">
        <v>999</v>
      </c>
      <c r="D8">
        <v>720</v>
      </c>
      <c r="E8">
        <v>760</v>
      </c>
      <c r="F8">
        <v>0</v>
      </c>
      <c r="G8" s="3">
        <v>38596</v>
      </c>
      <c r="H8" s="3">
        <v>1</v>
      </c>
      <c r="I8" s="3">
        <v>39873</v>
      </c>
      <c r="J8" s="4"/>
      <c r="L8" t="s">
        <v>36</v>
      </c>
      <c r="M8" t="s">
        <v>59</v>
      </c>
      <c r="N8" s="7">
        <v>0</v>
      </c>
      <c r="O8" s="7">
        <v>0</v>
      </c>
      <c r="P8" s="7">
        <v>0</v>
      </c>
      <c r="Q8" s="7">
        <v>0</v>
      </c>
      <c r="R8" s="2" t="s">
        <v>34</v>
      </c>
    </row>
    <row r="9" spans="1:19" x14ac:dyDescent="0.25">
      <c r="A9" t="s">
        <v>36</v>
      </c>
      <c r="B9">
        <v>80</v>
      </c>
      <c r="C9">
        <v>999</v>
      </c>
      <c r="D9">
        <v>680</v>
      </c>
      <c r="E9">
        <v>720</v>
      </c>
      <c r="F9">
        <v>0</v>
      </c>
      <c r="G9" s="3">
        <v>38596</v>
      </c>
      <c r="H9" s="3">
        <v>1</v>
      </c>
      <c r="I9" s="3">
        <v>39873</v>
      </c>
      <c r="J9" s="4"/>
      <c r="L9" t="s">
        <v>37</v>
      </c>
      <c r="M9" t="s">
        <v>59</v>
      </c>
      <c r="N9" s="7">
        <v>0</v>
      </c>
      <c r="O9" s="7">
        <v>0</v>
      </c>
      <c r="P9" s="7">
        <v>0</v>
      </c>
      <c r="Q9" s="7">
        <v>0</v>
      </c>
      <c r="R9" s="2" t="s">
        <v>34</v>
      </c>
    </row>
    <row r="10" spans="1:19" x14ac:dyDescent="0.25">
      <c r="A10" t="s">
        <v>36</v>
      </c>
      <c r="B10">
        <v>80</v>
      </c>
      <c r="C10">
        <v>999</v>
      </c>
      <c r="D10">
        <v>620</v>
      </c>
      <c r="E10">
        <v>680</v>
      </c>
      <c r="F10">
        <v>0</v>
      </c>
      <c r="G10" s="3">
        <v>38596</v>
      </c>
      <c r="H10" s="3">
        <v>1</v>
      </c>
      <c r="I10" s="3">
        <v>39873</v>
      </c>
      <c r="J10" s="4"/>
      <c r="L10" t="s">
        <v>38</v>
      </c>
      <c r="M10" t="s">
        <v>59</v>
      </c>
      <c r="N10" s="7">
        <v>0</v>
      </c>
      <c r="O10" s="7">
        <v>0</v>
      </c>
      <c r="P10" s="7">
        <v>0</v>
      </c>
      <c r="Q10" s="7">
        <v>0</v>
      </c>
      <c r="R10" s="2" t="s">
        <v>34</v>
      </c>
    </row>
    <row r="11" spans="1:19" x14ac:dyDescent="0.25">
      <c r="A11" t="s">
        <v>36</v>
      </c>
      <c r="B11">
        <v>80</v>
      </c>
      <c r="C11">
        <v>999</v>
      </c>
      <c r="D11">
        <v>300</v>
      </c>
      <c r="E11">
        <v>620</v>
      </c>
      <c r="G11" s="3">
        <v>38596</v>
      </c>
      <c r="H11" s="3">
        <v>1</v>
      </c>
      <c r="I11" s="3">
        <v>39873</v>
      </c>
      <c r="J11" s="4"/>
    </row>
    <row r="12" spans="1:19" x14ac:dyDescent="0.25">
      <c r="A12" t="s">
        <v>37</v>
      </c>
      <c r="B12">
        <v>80</v>
      </c>
      <c r="C12">
        <v>999</v>
      </c>
      <c r="D12">
        <v>760</v>
      </c>
      <c r="E12">
        <v>999</v>
      </c>
      <c r="F12">
        <v>0</v>
      </c>
      <c r="G12" s="3">
        <v>38596</v>
      </c>
      <c r="H12" s="3">
        <v>1</v>
      </c>
      <c r="I12" s="3">
        <v>39873</v>
      </c>
      <c r="J12" s="4"/>
    </row>
    <row r="13" spans="1:19" x14ac:dyDescent="0.25">
      <c r="A13" t="s">
        <v>37</v>
      </c>
      <c r="B13">
        <v>80</v>
      </c>
      <c r="C13">
        <v>999</v>
      </c>
      <c r="D13">
        <v>720</v>
      </c>
      <c r="E13">
        <v>760</v>
      </c>
      <c r="F13">
        <v>0</v>
      </c>
      <c r="G13" s="3">
        <v>38596</v>
      </c>
      <c r="H13" s="3">
        <v>1</v>
      </c>
      <c r="I13" s="3">
        <v>39873</v>
      </c>
      <c r="J13" s="4"/>
      <c r="L13" t="s">
        <v>43</v>
      </c>
      <c r="M13" t="s">
        <v>60</v>
      </c>
    </row>
    <row r="14" spans="1:19" x14ac:dyDescent="0.25">
      <c r="A14" t="s">
        <v>37</v>
      </c>
      <c r="B14">
        <v>80</v>
      </c>
      <c r="C14">
        <v>999</v>
      </c>
      <c r="D14">
        <v>680</v>
      </c>
      <c r="E14">
        <v>720</v>
      </c>
      <c r="F14">
        <v>0</v>
      </c>
      <c r="G14" s="3">
        <v>38596</v>
      </c>
      <c r="H14" s="3">
        <v>1</v>
      </c>
      <c r="I14" s="3">
        <v>39873</v>
      </c>
      <c r="J14" s="4"/>
      <c r="L14" t="s">
        <v>44</v>
      </c>
      <c r="M14" t="s">
        <v>61</v>
      </c>
      <c r="S14" t="s">
        <v>10</v>
      </c>
    </row>
    <row r="15" spans="1:19" x14ac:dyDescent="0.25">
      <c r="A15" t="s">
        <v>37</v>
      </c>
      <c r="B15">
        <v>80</v>
      </c>
      <c r="C15">
        <v>999</v>
      </c>
      <c r="D15">
        <v>620</v>
      </c>
      <c r="E15">
        <v>680</v>
      </c>
      <c r="F15">
        <v>0</v>
      </c>
      <c r="G15" s="3">
        <v>38596</v>
      </c>
      <c r="H15" s="3">
        <v>1</v>
      </c>
      <c r="I15" s="3">
        <v>39873</v>
      </c>
      <c r="J15" s="4"/>
      <c r="N15" s="2"/>
      <c r="O15" s="2"/>
      <c r="P15" s="2"/>
      <c r="Q15" s="2"/>
      <c r="R15" s="2"/>
    </row>
    <row r="16" spans="1:19" x14ac:dyDescent="0.25">
      <c r="A16" t="s">
        <v>37</v>
      </c>
      <c r="B16">
        <v>80</v>
      </c>
      <c r="C16">
        <v>999</v>
      </c>
      <c r="D16">
        <v>300</v>
      </c>
      <c r="E16">
        <v>620</v>
      </c>
      <c r="G16" s="3">
        <v>38596</v>
      </c>
      <c r="H16" s="3">
        <v>1</v>
      </c>
      <c r="I16" s="3">
        <v>39873</v>
      </c>
      <c r="J16" s="4"/>
      <c r="N16" s="7"/>
      <c r="O16" s="7"/>
      <c r="P16" s="7"/>
      <c r="Q16" s="7"/>
      <c r="R16" s="2"/>
    </row>
    <row r="17" spans="1:18" x14ac:dyDescent="0.25">
      <c r="A17" t="s">
        <v>38</v>
      </c>
      <c r="B17">
        <v>80</v>
      </c>
      <c r="C17">
        <v>999</v>
      </c>
      <c r="D17">
        <v>760</v>
      </c>
      <c r="E17">
        <v>999</v>
      </c>
      <c r="F17">
        <v>0</v>
      </c>
      <c r="G17" s="3">
        <v>38596</v>
      </c>
      <c r="H17" s="3">
        <v>1</v>
      </c>
      <c r="I17" s="3">
        <v>39873</v>
      </c>
      <c r="J17" s="4"/>
      <c r="N17" s="7"/>
      <c r="O17" s="7"/>
      <c r="P17" s="7"/>
      <c r="Q17" s="7"/>
      <c r="R17" s="2"/>
    </row>
    <row r="18" spans="1:18" x14ac:dyDescent="0.25">
      <c r="A18" t="s">
        <v>38</v>
      </c>
      <c r="B18">
        <v>80</v>
      </c>
      <c r="C18">
        <v>999</v>
      </c>
      <c r="D18">
        <v>720</v>
      </c>
      <c r="E18">
        <v>760</v>
      </c>
      <c r="F18">
        <v>0</v>
      </c>
      <c r="G18" s="3">
        <v>38596</v>
      </c>
      <c r="H18" s="3">
        <v>1</v>
      </c>
      <c r="I18" s="3">
        <v>39873</v>
      </c>
      <c r="J18" s="4"/>
      <c r="N18" s="7"/>
      <c r="O18" s="7"/>
      <c r="P18" s="7"/>
      <c r="Q18" s="7"/>
      <c r="R18" s="2"/>
    </row>
    <row r="19" spans="1:18" x14ac:dyDescent="0.25">
      <c r="A19" t="s">
        <v>38</v>
      </c>
      <c r="B19">
        <v>80</v>
      </c>
      <c r="C19">
        <v>999</v>
      </c>
      <c r="D19">
        <v>680</v>
      </c>
      <c r="E19">
        <v>720</v>
      </c>
      <c r="F19">
        <v>0</v>
      </c>
      <c r="G19" s="3">
        <v>38596</v>
      </c>
      <c r="H19" s="3">
        <v>1</v>
      </c>
      <c r="I19" s="3">
        <v>39873</v>
      </c>
      <c r="J19" s="4"/>
      <c r="N19" s="7"/>
      <c r="O19" s="7"/>
      <c r="P19" s="7"/>
      <c r="Q19" s="7"/>
      <c r="R19" s="2"/>
    </row>
    <row r="20" spans="1:18" x14ac:dyDescent="0.25">
      <c r="A20" t="s">
        <v>38</v>
      </c>
      <c r="B20">
        <v>80</v>
      </c>
      <c r="C20">
        <v>999</v>
      </c>
      <c r="D20">
        <v>620</v>
      </c>
      <c r="E20">
        <v>680</v>
      </c>
      <c r="F20">
        <v>0</v>
      </c>
      <c r="G20" s="3">
        <v>38596</v>
      </c>
      <c r="H20" s="3">
        <v>1</v>
      </c>
      <c r="I20" s="3">
        <v>39873</v>
      </c>
      <c r="J20" s="4"/>
      <c r="N20" s="7"/>
      <c r="O20" s="7"/>
      <c r="P20" s="7"/>
      <c r="Q20" s="7"/>
      <c r="R20" s="2"/>
    </row>
    <row r="21" spans="1:18" x14ac:dyDescent="0.25">
      <c r="A21" t="s">
        <v>38</v>
      </c>
      <c r="B21">
        <v>80</v>
      </c>
      <c r="C21">
        <v>999</v>
      </c>
      <c r="D21">
        <v>300</v>
      </c>
      <c r="E21">
        <v>620</v>
      </c>
      <c r="G21" s="3">
        <v>38596</v>
      </c>
      <c r="H21" s="3">
        <v>1</v>
      </c>
      <c r="I21" s="3">
        <v>39873</v>
      </c>
      <c r="J21" s="4"/>
      <c r="N21" s="7"/>
      <c r="O21" s="7"/>
      <c r="P21" s="7"/>
      <c r="Q21" s="7"/>
      <c r="R21" s="2"/>
    </row>
    <row r="22" spans="1:18" x14ac:dyDescent="0.25">
      <c r="A22" t="s">
        <v>35</v>
      </c>
      <c r="B22">
        <v>0</v>
      </c>
      <c r="C22">
        <v>80</v>
      </c>
      <c r="D22">
        <v>760</v>
      </c>
      <c r="E22">
        <v>999</v>
      </c>
      <c r="F22">
        <v>0</v>
      </c>
      <c r="G22" s="3">
        <v>38596</v>
      </c>
      <c r="H22" s="3">
        <v>1</v>
      </c>
      <c r="I22" s="3">
        <v>39873</v>
      </c>
      <c r="J22" s="4"/>
      <c r="N22" s="7"/>
      <c r="O22" s="7"/>
      <c r="P22" s="7"/>
      <c r="Q22" s="7"/>
      <c r="R22" s="2"/>
    </row>
    <row r="23" spans="1:18" x14ac:dyDescent="0.25">
      <c r="A23" t="s">
        <v>35</v>
      </c>
      <c r="B23">
        <v>0</v>
      </c>
      <c r="C23">
        <v>80</v>
      </c>
      <c r="D23">
        <v>720</v>
      </c>
      <c r="E23">
        <v>760</v>
      </c>
      <c r="F23">
        <v>0</v>
      </c>
      <c r="G23" s="3">
        <v>38596</v>
      </c>
      <c r="H23" s="3">
        <v>1</v>
      </c>
      <c r="I23" s="3">
        <v>39873</v>
      </c>
      <c r="J23" s="4"/>
      <c r="N23" s="7"/>
      <c r="O23" s="7"/>
      <c r="P23" s="7"/>
      <c r="Q23" s="7"/>
    </row>
    <row r="24" spans="1:18" x14ac:dyDescent="0.25">
      <c r="A24" t="s">
        <v>35</v>
      </c>
      <c r="B24">
        <v>0</v>
      </c>
      <c r="C24">
        <v>80</v>
      </c>
      <c r="D24">
        <v>680</v>
      </c>
      <c r="E24">
        <v>720</v>
      </c>
      <c r="F24">
        <v>0</v>
      </c>
      <c r="G24" s="3">
        <v>38596</v>
      </c>
      <c r="H24" s="3">
        <v>1</v>
      </c>
      <c r="I24" s="3">
        <v>39873</v>
      </c>
      <c r="J24" s="4"/>
      <c r="N24" s="7"/>
      <c r="O24" s="7"/>
      <c r="P24" s="7"/>
      <c r="Q24" s="7"/>
    </row>
    <row r="25" spans="1:18" x14ac:dyDescent="0.25">
      <c r="A25" t="s">
        <v>35</v>
      </c>
      <c r="B25">
        <v>0</v>
      </c>
      <c r="C25">
        <v>80</v>
      </c>
      <c r="D25">
        <v>620</v>
      </c>
      <c r="E25">
        <v>680</v>
      </c>
      <c r="F25">
        <v>0</v>
      </c>
      <c r="G25" s="3">
        <v>38596</v>
      </c>
      <c r="H25" s="3">
        <v>1</v>
      </c>
      <c r="I25" s="3">
        <v>39873</v>
      </c>
      <c r="J25" s="4"/>
      <c r="N25" s="7"/>
      <c r="O25" s="7"/>
      <c r="P25" s="7"/>
      <c r="Q25" s="7"/>
    </row>
    <row r="26" spans="1:18" x14ac:dyDescent="0.25">
      <c r="A26" t="s">
        <v>35</v>
      </c>
      <c r="B26">
        <v>0</v>
      </c>
      <c r="C26">
        <v>80</v>
      </c>
      <c r="D26">
        <v>300</v>
      </c>
      <c r="E26">
        <v>620</v>
      </c>
      <c r="G26" s="3">
        <v>38596</v>
      </c>
      <c r="H26" s="3">
        <v>1</v>
      </c>
      <c r="I26" s="3">
        <v>39873</v>
      </c>
      <c r="J26" s="4"/>
      <c r="N26" s="7"/>
      <c r="O26" s="7"/>
      <c r="P26" s="7"/>
      <c r="Q26" s="7"/>
    </row>
    <row r="27" spans="1:18" x14ac:dyDescent="0.25">
      <c r="A27" t="s">
        <v>36</v>
      </c>
      <c r="B27">
        <v>0</v>
      </c>
      <c r="C27">
        <v>80</v>
      </c>
      <c r="D27">
        <v>760</v>
      </c>
      <c r="E27">
        <v>999</v>
      </c>
      <c r="F27">
        <v>0</v>
      </c>
      <c r="G27" s="3">
        <v>38596</v>
      </c>
      <c r="H27" s="3">
        <v>1</v>
      </c>
      <c r="I27" s="3">
        <v>39873</v>
      </c>
      <c r="J27" s="4"/>
      <c r="N27" s="7"/>
      <c r="O27" s="7"/>
      <c r="P27" s="7"/>
      <c r="Q27" s="7"/>
    </row>
    <row r="28" spans="1:18" x14ac:dyDescent="0.25">
      <c r="A28" t="s">
        <v>36</v>
      </c>
      <c r="B28">
        <v>0</v>
      </c>
      <c r="C28">
        <v>80</v>
      </c>
      <c r="D28">
        <v>720</v>
      </c>
      <c r="E28">
        <v>760</v>
      </c>
      <c r="F28">
        <v>0</v>
      </c>
      <c r="G28" s="3">
        <v>38596</v>
      </c>
      <c r="H28" s="3">
        <v>1</v>
      </c>
      <c r="I28" s="3">
        <v>39873</v>
      </c>
      <c r="J28" s="4"/>
      <c r="N28" s="7"/>
      <c r="O28" s="7"/>
      <c r="P28" s="7"/>
      <c r="Q28" s="7"/>
    </row>
    <row r="29" spans="1:18" x14ac:dyDescent="0.25">
      <c r="A29" t="s">
        <v>36</v>
      </c>
      <c r="B29">
        <v>0</v>
      </c>
      <c r="C29">
        <v>80</v>
      </c>
      <c r="D29">
        <v>680</v>
      </c>
      <c r="E29">
        <v>720</v>
      </c>
      <c r="F29">
        <v>0</v>
      </c>
      <c r="G29" s="3">
        <v>38596</v>
      </c>
      <c r="H29" s="3">
        <v>1</v>
      </c>
      <c r="I29" s="3">
        <v>39873</v>
      </c>
      <c r="J29" s="4"/>
    </row>
    <row r="30" spans="1:18" x14ac:dyDescent="0.25">
      <c r="A30" t="s">
        <v>36</v>
      </c>
      <c r="B30">
        <v>0</v>
      </c>
      <c r="C30">
        <v>80</v>
      </c>
      <c r="D30">
        <v>620</v>
      </c>
      <c r="E30">
        <v>680</v>
      </c>
      <c r="F30">
        <v>0</v>
      </c>
      <c r="G30" s="3">
        <v>38596</v>
      </c>
      <c r="H30" s="3">
        <v>1</v>
      </c>
      <c r="I30" s="3">
        <v>39873</v>
      </c>
      <c r="J30" s="4"/>
    </row>
    <row r="31" spans="1:18" x14ac:dyDescent="0.25">
      <c r="A31" t="s">
        <v>36</v>
      </c>
      <c r="B31">
        <v>0</v>
      </c>
      <c r="C31">
        <v>80</v>
      </c>
      <c r="D31">
        <v>300</v>
      </c>
      <c r="E31">
        <v>620</v>
      </c>
      <c r="G31" s="3">
        <v>38596</v>
      </c>
      <c r="H31" s="3">
        <v>1</v>
      </c>
      <c r="I31" s="3">
        <v>39873</v>
      </c>
      <c r="J31" s="4"/>
    </row>
    <row r="32" spans="1:18" x14ac:dyDescent="0.25">
      <c r="A32" t="s">
        <v>37</v>
      </c>
      <c r="B32">
        <v>0</v>
      </c>
      <c r="C32">
        <v>80</v>
      </c>
      <c r="D32">
        <v>760</v>
      </c>
      <c r="E32">
        <v>999</v>
      </c>
      <c r="F32">
        <v>0</v>
      </c>
      <c r="G32" s="3">
        <v>38596</v>
      </c>
      <c r="H32" s="3">
        <v>1</v>
      </c>
      <c r="I32" s="3">
        <v>39873</v>
      </c>
      <c r="J32" s="4"/>
    </row>
    <row r="33" spans="1:18" x14ac:dyDescent="0.25">
      <c r="A33" t="s">
        <v>37</v>
      </c>
      <c r="B33">
        <v>0</v>
      </c>
      <c r="C33">
        <v>80</v>
      </c>
      <c r="D33">
        <v>720</v>
      </c>
      <c r="E33">
        <v>760</v>
      </c>
      <c r="F33">
        <v>0</v>
      </c>
      <c r="G33" s="3">
        <v>38596</v>
      </c>
      <c r="H33" s="3">
        <v>1</v>
      </c>
      <c r="I33" s="3">
        <v>39873</v>
      </c>
      <c r="J33" s="4"/>
    </row>
    <row r="34" spans="1:18" x14ac:dyDescent="0.25">
      <c r="A34" t="s">
        <v>37</v>
      </c>
      <c r="B34">
        <v>0</v>
      </c>
      <c r="C34">
        <v>80</v>
      </c>
      <c r="D34">
        <v>680</v>
      </c>
      <c r="E34">
        <v>720</v>
      </c>
      <c r="F34">
        <v>0</v>
      </c>
      <c r="G34" s="3">
        <v>38596</v>
      </c>
      <c r="H34" s="3">
        <v>1</v>
      </c>
      <c r="I34" s="3">
        <v>39873</v>
      </c>
      <c r="J34" s="4"/>
    </row>
    <row r="35" spans="1:18" x14ac:dyDescent="0.25">
      <c r="A35" t="s">
        <v>37</v>
      </c>
      <c r="B35">
        <v>0</v>
      </c>
      <c r="C35">
        <v>80</v>
      </c>
      <c r="D35">
        <v>620</v>
      </c>
      <c r="E35">
        <v>680</v>
      </c>
      <c r="F35">
        <v>0</v>
      </c>
      <c r="G35" s="3">
        <v>38596</v>
      </c>
      <c r="H35" s="3">
        <v>1</v>
      </c>
      <c r="I35" s="3">
        <v>39873</v>
      </c>
      <c r="J35" s="4"/>
    </row>
    <row r="36" spans="1:18" x14ac:dyDescent="0.25">
      <c r="A36" t="s">
        <v>37</v>
      </c>
      <c r="B36">
        <v>0</v>
      </c>
      <c r="C36">
        <v>80</v>
      </c>
      <c r="D36">
        <v>300</v>
      </c>
      <c r="E36">
        <v>620</v>
      </c>
      <c r="G36" s="3">
        <v>38596</v>
      </c>
      <c r="H36" s="3">
        <v>1</v>
      </c>
      <c r="I36" s="3">
        <v>39873</v>
      </c>
      <c r="J36" s="4"/>
    </row>
    <row r="37" spans="1:18" x14ac:dyDescent="0.25">
      <c r="A37" t="s">
        <v>38</v>
      </c>
      <c r="B37">
        <v>0</v>
      </c>
      <c r="C37">
        <v>80</v>
      </c>
      <c r="D37">
        <v>760</v>
      </c>
      <c r="E37">
        <v>999</v>
      </c>
      <c r="F37">
        <v>0</v>
      </c>
      <c r="G37" s="3">
        <v>38596</v>
      </c>
      <c r="H37" s="3">
        <v>1</v>
      </c>
      <c r="I37" s="3">
        <v>39873</v>
      </c>
      <c r="J37" s="4"/>
    </row>
    <row r="38" spans="1:18" x14ac:dyDescent="0.25">
      <c r="A38" t="s">
        <v>38</v>
      </c>
      <c r="B38">
        <v>0</v>
      </c>
      <c r="C38">
        <v>80</v>
      </c>
      <c r="D38">
        <v>720</v>
      </c>
      <c r="E38">
        <v>760</v>
      </c>
      <c r="F38">
        <v>0</v>
      </c>
      <c r="G38" s="3">
        <v>38596</v>
      </c>
      <c r="H38" s="3">
        <v>1</v>
      </c>
      <c r="I38" s="3">
        <v>39873</v>
      </c>
      <c r="J38" s="4"/>
    </row>
    <row r="39" spans="1:18" x14ac:dyDescent="0.25">
      <c r="A39" t="s">
        <v>38</v>
      </c>
      <c r="B39">
        <v>0</v>
      </c>
      <c r="C39">
        <v>80</v>
      </c>
      <c r="D39">
        <v>680</v>
      </c>
      <c r="E39">
        <v>720</v>
      </c>
      <c r="F39">
        <v>0</v>
      </c>
      <c r="G39" s="3">
        <v>38596</v>
      </c>
      <c r="H39" s="3">
        <v>1</v>
      </c>
      <c r="I39" s="3">
        <v>39873</v>
      </c>
      <c r="J39" s="4"/>
    </row>
    <row r="40" spans="1:18" x14ac:dyDescent="0.25">
      <c r="A40" t="s">
        <v>38</v>
      </c>
      <c r="B40">
        <v>0</v>
      </c>
      <c r="C40">
        <v>80</v>
      </c>
      <c r="D40">
        <v>620</v>
      </c>
      <c r="E40">
        <v>680</v>
      </c>
      <c r="F40">
        <v>0</v>
      </c>
      <c r="G40" s="3">
        <v>38596</v>
      </c>
      <c r="H40" s="3">
        <v>1</v>
      </c>
      <c r="I40" s="3">
        <v>39873</v>
      </c>
      <c r="J40" s="4"/>
    </row>
    <row r="41" spans="1:18" x14ac:dyDescent="0.25">
      <c r="A41" t="s">
        <v>38</v>
      </c>
      <c r="B41">
        <v>0</v>
      </c>
      <c r="C41">
        <v>80</v>
      </c>
      <c r="D41">
        <v>300</v>
      </c>
      <c r="E41">
        <v>620</v>
      </c>
      <c r="G41" s="3">
        <v>38596</v>
      </c>
      <c r="H41" s="3">
        <v>1</v>
      </c>
      <c r="I41" s="3">
        <v>39873</v>
      </c>
      <c r="J41" s="4"/>
    </row>
    <row r="42" spans="1:18" x14ac:dyDescent="0.25">
      <c r="A42" t="s">
        <v>35</v>
      </c>
      <c r="B42">
        <v>80</v>
      </c>
      <c r="C42">
        <v>999</v>
      </c>
      <c r="D42">
        <v>760</v>
      </c>
      <c r="E42">
        <v>999</v>
      </c>
      <c r="F42">
        <v>0</v>
      </c>
      <c r="G42" s="3">
        <v>39873</v>
      </c>
      <c r="H42" s="3">
        <v>39873</v>
      </c>
      <c r="I42" s="3">
        <v>40299</v>
      </c>
      <c r="J42" s="4"/>
      <c r="L42" s="3">
        <v>39873</v>
      </c>
      <c r="N42" t="s">
        <v>11</v>
      </c>
      <c r="O42" t="s">
        <v>12</v>
      </c>
      <c r="P42" t="s">
        <v>13</v>
      </c>
      <c r="Q42" t="s">
        <v>14</v>
      </c>
      <c r="R42" t="s">
        <v>19</v>
      </c>
    </row>
    <row r="43" spans="1:18" x14ac:dyDescent="0.25">
      <c r="A43" t="s">
        <v>35</v>
      </c>
      <c r="B43">
        <v>80</v>
      </c>
      <c r="C43">
        <v>999</v>
      </c>
      <c r="D43">
        <v>720</v>
      </c>
      <c r="E43">
        <v>760</v>
      </c>
      <c r="F43">
        <v>0</v>
      </c>
      <c r="G43" s="3">
        <v>39873</v>
      </c>
      <c r="H43" s="3">
        <v>39873</v>
      </c>
      <c r="I43" s="3">
        <v>40299</v>
      </c>
      <c r="J43" s="4"/>
      <c r="L43" t="s">
        <v>35</v>
      </c>
      <c r="M43" t="s">
        <v>58</v>
      </c>
      <c r="N43" s="7">
        <v>0</v>
      </c>
      <c r="O43" s="7">
        <v>0</v>
      </c>
      <c r="P43" s="7">
        <v>0</v>
      </c>
      <c r="Q43" s="7">
        <v>0</v>
      </c>
      <c r="R43" s="2" t="s">
        <v>34</v>
      </c>
    </row>
    <row r="44" spans="1:18" x14ac:dyDescent="0.25">
      <c r="A44" t="s">
        <v>35</v>
      </c>
      <c r="B44">
        <v>80</v>
      </c>
      <c r="C44">
        <v>999</v>
      </c>
      <c r="D44">
        <v>680</v>
      </c>
      <c r="E44">
        <v>720</v>
      </c>
      <c r="F44">
        <v>0</v>
      </c>
      <c r="G44" s="3">
        <v>39873</v>
      </c>
      <c r="H44" s="3">
        <v>39873</v>
      </c>
      <c r="I44" s="3">
        <v>40299</v>
      </c>
      <c r="J44" s="4"/>
      <c r="L44" t="s">
        <v>36</v>
      </c>
      <c r="M44" t="s">
        <v>58</v>
      </c>
      <c r="N44" s="7">
        <v>14</v>
      </c>
      <c r="O44" s="7">
        <v>14</v>
      </c>
      <c r="P44" s="7">
        <v>14</v>
      </c>
      <c r="Q44" s="7">
        <v>14</v>
      </c>
      <c r="R44" s="2" t="s">
        <v>34</v>
      </c>
    </row>
    <row r="45" spans="1:18" x14ac:dyDescent="0.25">
      <c r="A45" t="s">
        <v>35</v>
      </c>
      <c r="B45">
        <v>80</v>
      </c>
      <c r="C45">
        <v>999</v>
      </c>
      <c r="D45">
        <v>620</v>
      </c>
      <c r="E45">
        <v>680</v>
      </c>
      <c r="F45">
        <v>0</v>
      </c>
      <c r="G45" s="3">
        <v>39873</v>
      </c>
      <c r="H45" s="3">
        <v>39873</v>
      </c>
      <c r="I45" s="3">
        <v>40299</v>
      </c>
      <c r="J45" s="4"/>
      <c r="L45" t="s">
        <v>37</v>
      </c>
      <c r="M45" t="s">
        <v>58</v>
      </c>
      <c r="N45" s="7">
        <v>0</v>
      </c>
      <c r="O45" s="7">
        <v>0</v>
      </c>
      <c r="P45" s="7">
        <v>0</v>
      </c>
      <c r="Q45" s="7">
        <v>0</v>
      </c>
      <c r="R45" s="2" t="s">
        <v>34</v>
      </c>
    </row>
    <row r="46" spans="1:18" x14ac:dyDescent="0.25">
      <c r="A46" t="s">
        <v>35</v>
      </c>
      <c r="B46">
        <v>80</v>
      </c>
      <c r="C46">
        <v>999</v>
      </c>
      <c r="D46">
        <v>300</v>
      </c>
      <c r="E46">
        <v>620</v>
      </c>
      <c r="G46" s="3">
        <v>39873</v>
      </c>
      <c r="H46" s="3">
        <v>39873</v>
      </c>
      <c r="I46" s="3">
        <v>40299</v>
      </c>
      <c r="J46" s="4"/>
      <c r="L46" t="s">
        <v>38</v>
      </c>
      <c r="M46" t="s">
        <v>58</v>
      </c>
      <c r="N46" s="7">
        <v>0</v>
      </c>
      <c r="O46" s="7">
        <v>0</v>
      </c>
      <c r="P46" s="7">
        <v>0</v>
      </c>
      <c r="Q46" s="7">
        <v>0</v>
      </c>
      <c r="R46" s="2" t="s">
        <v>34</v>
      </c>
    </row>
    <row r="47" spans="1:18" x14ac:dyDescent="0.25">
      <c r="A47" t="s">
        <v>36</v>
      </c>
      <c r="B47">
        <v>80</v>
      </c>
      <c r="C47">
        <v>999</v>
      </c>
      <c r="D47">
        <v>760</v>
      </c>
      <c r="E47">
        <v>999</v>
      </c>
      <c r="F47" s="7">
        <v>14</v>
      </c>
      <c r="G47" s="3">
        <v>39873</v>
      </c>
      <c r="H47" s="3">
        <v>39873</v>
      </c>
      <c r="I47" s="3">
        <v>40299</v>
      </c>
      <c r="J47" s="4"/>
      <c r="L47" t="s">
        <v>35</v>
      </c>
      <c r="M47" t="s">
        <v>59</v>
      </c>
      <c r="N47" s="7">
        <v>0</v>
      </c>
      <c r="O47" s="7">
        <v>0</v>
      </c>
      <c r="P47" s="7">
        <v>0</v>
      </c>
      <c r="Q47" s="7">
        <v>0</v>
      </c>
      <c r="R47" s="2" t="s">
        <v>34</v>
      </c>
    </row>
    <row r="48" spans="1:18" x14ac:dyDescent="0.25">
      <c r="A48" t="s">
        <v>36</v>
      </c>
      <c r="B48">
        <v>80</v>
      </c>
      <c r="C48">
        <v>999</v>
      </c>
      <c r="D48">
        <v>720</v>
      </c>
      <c r="E48">
        <v>760</v>
      </c>
      <c r="F48" s="7">
        <v>14</v>
      </c>
      <c r="G48" s="3">
        <v>39873</v>
      </c>
      <c r="H48" s="3">
        <v>39873</v>
      </c>
      <c r="I48" s="3">
        <v>40299</v>
      </c>
      <c r="J48" s="4"/>
      <c r="L48" t="s">
        <v>36</v>
      </c>
      <c r="M48" t="s">
        <v>59</v>
      </c>
      <c r="N48" s="7">
        <v>0</v>
      </c>
      <c r="O48" s="7">
        <v>0</v>
      </c>
      <c r="P48" s="7">
        <v>0</v>
      </c>
      <c r="Q48" s="7">
        <v>0</v>
      </c>
      <c r="R48" s="2" t="s">
        <v>34</v>
      </c>
    </row>
    <row r="49" spans="1:19" x14ac:dyDescent="0.25">
      <c r="A49" t="s">
        <v>36</v>
      </c>
      <c r="B49">
        <v>80</v>
      </c>
      <c r="C49">
        <v>999</v>
      </c>
      <c r="D49">
        <v>680</v>
      </c>
      <c r="E49">
        <v>720</v>
      </c>
      <c r="F49" s="7">
        <v>14</v>
      </c>
      <c r="G49" s="3">
        <v>39873</v>
      </c>
      <c r="H49" s="3">
        <v>39873</v>
      </c>
      <c r="I49" s="3">
        <v>40299</v>
      </c>
      <c r="J49" s="4"/>
      <c r="L49" t="s">
        <v>37</v>
      </c>
      <c r="M49" t="s">
        <v>59</v>
      </c>
      <c r="N49" s="7">
        <v>0</v>
      </c>
      <c r="O49" s="7">
        <v>0</v>
      </c>
      <c r="P49" s="7">
        <v>0</v>
      </c>
      <c r="Q49" s="7">
        <v>0</v>
      </c>
      <c r="R49" s="2" t="s">
        <v>34</v>
      </c>
    </row>
    <row r="50" spans="1:19" x14ac:dyDescent="0.25">
      <c r="A50" t="s">
        <v>36</v>
      </c>
      <c r="B50">
        <v>80</v>
      </c>
      <c r="C50">
        <v>999</v>
      </c>
      <c r="D50">
        <v>620</v>
      </c>
      <c r="E50">
        <v>680</v>
      </c>
      <c r="F50" s="7">
        <v>14</v>
      </c>
      <c r="G50" s="3">
        <v>39873</v>
      </c>
      <c r="H50" s="3">
        <v>39873</v>
      </c>
      <c r="I50" s="3">
        <v>40299</v>
      </c>
      <c r="J50" s="4"/>
      <c r="L50" t="s">
        <v>38</v>
      </c>
      <c r="M50" t="s">
        <v>59</v>
      </c>
      <c r="N50" s="7">
        <v>0</v>
      </c>
      <c r="O50" s="7">
        <v>0</v>
      </c>
      <c r="P50" s="7">
        <v>0</v>
      </c>
      <c r="Q50" s="7">
        <v>0</v>
      </c>
      <c r="R50" s="2" t="s">
        <v>34</v>
      </c>
    </row>
    <row r="51" spans="1:19" x14ac:dyDescent="0.25">
      <c r="A51" t="s">
        <v>36</v>
      </c>
      <c r="B51">
        <v>80</v>
      </c>
      <c r="C51">
        <v>999</v>
      </c>
      <c r="D51">
        <v>300</v>
      </c>
      <c r="E51">
        <v>620</v>
      </c>
      <c r="G51" s="3">
        <v>39873</v>
      </c>
      <c r="H51" s="3">
        <v>39873</v>
      </c>
      <c r="I51" s="3">
        <v>40299</v>
      </c>
      <c r="J51" s="4"/>
    </row>
    <row r="52" spans="1:19" x14ac:dyDescent="0.25">
      <c r="A52" t="s">
        <v>37</v>
      </c>
      <c r="B52">
        <v>80</v>
      </c>
      <c r="C52">
        <v>999</v>
      </c>
      <c r="D52">
        <v>760</v>
      </c>
      <c r="E52">
        <v>999</v>
      </c>
      <c r="F52">
        <v>0</v>
      </c>
      <c r="G52" s="3">
        <v>39873</v>
      </c>
      <c r="H52" s="3">
        <v>39873</v>
      </c>
      <c r="I52" s="3">
        <v>40299</v>
      </c>
      <c r="J52" s="4"/>
    </row>
    <row r="53" spans="1:19" x14ac:dyDescent="0.25">
      <c r="A53" t="s">
        <v>37</v>
      </c>
      <c r="B53">
        <v>80</v>
      </c>
      <c r="C53">
        <v>999</v>
      </c>
      <c r="D53">
        <v>720</v>
      </c>
      <c r="E53">
        <v>760</v>
      </c>
      <c r="F53">
        <v>0</v>
      </c>
      <c r="G53" s="3">
        <v>39873</v>
      </c>
      <c r="H53" s="3">
        <v>39873</v>
      </c>
      <c r="I53" s="3">
        <v>40299</v>
      </c>
      <c r="J53" s="4"/>
    </row>
    <row r="54" spans="1:19" x14ac:dyDescent="0.25">
      <c r="A54" t="s">
        <v>37</v>
      </c>
      <c r="B54">
        <v>80</v>
      </c>
      <c r="C54">
        <v>999</v>
      </c>
      <c r="D54">
        <v>680</v>
      </c>
      <c r="E54">
        <v>720</v>
      </c>
      <c r="F54">
        <v>0</v>
      </c>
      <c r="G54" s="3">
        <v>39873</v>
      </c>
      <c r="H54" s="3">
        <v>39873</v>
      </c>
      <c r="I54" s="3">
        <v>40299</v>
      </c>
      <c r="J54" s="4"/>
      <c r="S54" t="s">
        <v>10</v>
      </c>
    </row>
    <row r="55" spans="1:19" x14ac:dyDescent="0.25">
      <c r="A55" t="s">
        <v>37</v>
      </c>
      <c r="B55">
        <v>80</v>
      </c>
      <c r="C55">
        <v>999</v>
      </c>
      <c r="D55">
        <v>620</v>
      </c>
      <c r="E55">
        <v>680</v>
      </c>
      <c r="F55">
        <v>0</v>
      </c>
      <c r="G55" s="3">
        <v>39873</v>
      </c>
      <c r="H55" s="3">
        <v>39873</v>
      </c>
      <c r="I55" s="3">
        <v>40299</v>
      </c>
      <c r="J55" s="4"/>
      <c r="N55" s="2"/>
      <c r="O55" s="2"/>
      <c r="P55" s="2"/>
      <c r="Q55" s="2"/>
      <c r="R55" s="2"/>
    </row>
    <row r="56" spans="1:19" x14ac:dyDescent="0.25">
      <c r="A56" t="s">
        <v>37</v>
      </c>
      <c r="B56">
        <v>80</v>
      </c>
      <c r="C56">
        <v>999</v>
      </c>
      <c r="D56">
        <v>300</v>
      </c>
      <c r="E56">
        <v>620</v>
      </c>
      <c r="G56" s="3">
        <v>39873</v>
      </c>
      <c r="H56" s="3">
        <v>39873</v>
      </c>
      <c r="I56" s="3">
        <v>40299</v>
      </c>
      <c r="J56" s="4"/>
      <c r="N56" s="7"/>
      <c r="O56" s="7"/>
      <c r="P56" s="7"/>
      <c r="Q56" s="7"/>
      <c r="R56" s="2"/>
    </row>
    <row r="57" spans="1:19" x14ac:dyDescent="0.25">
      <c r="A57" t="s">
        <v>38</v>
      </c>
      <c r="B57">
        <v>80</v>
      </c>
      <c r="C57">
        <v>999</v>
      </c>
      <c r="D57">
        <v>760</v>
      </c>
      <c r="E57">
        <v>999</v>
      </c>
      <c r="F57">
        <v>0</v>
      </c>
      <c r="G57" s="3">
        <v>39873</v>
      </c>
      <c r="H57" s="3">
        <v>39873</v>
      </c>
      <c r="I57" s="3">
        <v>40299</v>
      </c>
      <c r="J57" s="4"/>
      <c r="N57" s="7"/>
      <c r="O57" s="7"/>
      <c r="P57" s="7"/>
      <c r="Q57" s="7"/>
      <c r="R57" s="2"/>
    </row>
    <row r="58" spans="1:19" x14ac:dyDescent="0.25">
      <c r="A58" t="s">
        <v>38</v>
      </c>
      <c r="B58">
        <v>80</v>
      </c>
      <c r="C58">
        <v>999</v>
      </c>
      <c r="D58">
        <v>720</v>
      </c>
      <c r="E58">
        <v>760</v>
      </c>
      <c r="F58">
        <v>0</v>
      </c>
      <c r="G58" s="3">
        <v>39873</v>
      </c>
      <c r="H58" s="3">
        <v>39873</v>
      </c>
      <c r="I58" s="3">
        <v>40299</v>
      </c>
      <c r="J58" s="4"/>
      <c r="N58" s="7"/>
      <c r="O58" s="7"/>
      <c r="P58" s="7"/>
      <c r="Q58" s="7"/>
      <c r="R58" s="2"/>
    </row>
    <row r="59" spans="1:19" x14ac:dyDescent="0.25">
      <c r="A59" t="s">
        <v>38</v>
      </c>
      <c r="B59">
        <v>80</v>
      </c>
      <c r="C59">
        <v>999</v>
      </c>
      <c r="D59">
        <v>680</v>
      </c>
      <c r="E59">
        <v>720</v>
      </c>
      <c r="F59">
        <v>0</v>
      </c>
      <c r="G59" s="3">
        <v>39873</v>
      </c>
      <c r="H59" s="3">
        <v>39873</v>
      </c>
      <c r="I59" s="3">
        <v>40299</v>
      </c>
      <c r="J59" s="4"/>
      <c r="N59" s="7"/>
      <c r="O59" s="7"/>
      <c r="P59" s="7"/>
      <c r="Q59" s="7"/>
      <c r="R59" s="2"/>
    </row>
    <row r="60" spans="1:19" x14ac:dyDescent="0.25">
      <c r="A60" t="s">
        <v>38</v>
      </c>
      <c r="B60">
        <v>80</v>
      </c>
      <c r="C60">
        <v>999</v>
      </c>
      <c r="D60">
        <v>620</v>
      </c>
      <c r="E60">
        <v>680</v>
      </c>
      <c r="F60">
        <v>0</v>
      </c>
      <c r="G60" s="3">
        <v>39873</v>
      </c>
      <c r="H60" s="3">
        <v>39873</v>
      </c>
      <c r="I60" s="3">
        <v>40299</v>
      </c>
      <c r="J60" s="4"/>
      <c r="N60" s="7"/>
      <c r="O60" s="7"/>
      <c r="P60" s="7"/>
      <c r="Q60" s="7"/>
      <c r="R60" s="2"/>
    </row>
    <row r="61" spans="1:19" x14ac:dyDescent="0.25">
      <c r="A61" t="s">
        <v>38</v>
      </c>
      <c r="B61">
        <v>80</v>
      </c>
      <c r="C61">
        <v>999</v>
      </c>
      <c r="D61">
        <v>300</v>
      </c>
      <c r="E61">
        <v>620</v>
      </c>
      <c r="G61" s="3">
        <v>39873</v>
      </c>
      <c r="H61" s="3">
        <v>39873</v>
      </c>
      <c r="I61" s="3">
        <v>40299</v>
      </c>
      <c r="J61" s="4"/>
      <c r="N61" s="7"/>
      <c r="O61" s="7"/>
      <c r="P61" s="7"/>
      <c r="Q61" s="7"/>
      <c r="R61" s="2"/>
    </row>
    <row r="62" spans="1:19" x14ac:dyDescent="0.25">
      <c r="A62" t="s">
        <v>35</v>
      </c>
      <c r="B62">
        <v>0</v>
      </c>
      <c r="C62">
        <v>80</v>
      </c>
      <c r="D62">
        <v>760</v>
      </c>
      <c r="E62">
        <v>999</v>
      </c>
      <c r="F62">
        <v>0</v>
      </c>
      <c r="G62" s="3">
        <v>39873</v>
      </c>
      <c r="H62" s="3">
        <v>39873</v>
      </c>
      <c r="I62" s="3">
        <v>40299</v>
      </c>
      <c r="J62" s="4"/>
      <c r="N62" s="7"/>
      <c r="O62" s="7"/>
      <c r="P62" s="7"/>
      <c r="Q62" s="7"/>
      <c r="R62" s="2"/>
    </row>
    <row r="63" spans="1:19" x14ac:dyDescent="0.25">
      <c r="A63" t="s">
        <v>35</v>
      </c>
      <c r="B63">
        <v>0</v>
      </c>
      <c r="C63">
        <v>80</v>
      </c>
      <c r="D63">
        <v>720</v>
      </c>
      <c r="E63">
        <v>760</v>
      </c>
      <c r="F63">
        <v>0</v>
      </c>
      <c r="G63" s="3">
        <v>39873</v>
      </c>
      <c r="H63" s="3">
        <v>39873</v>
      </c>
      <c r="I63" s="3">
        <v>40299</v>
      </c>
      <c r="J63" s="4"/>
      <c r="N63" s="7"/>
      <c r="O63" s="7"/>
      <c r="P63" s="7"/>
      <c r="Q63" s="7"/>
    </row>
    <row r="64" spans="1:19" x14ac:dyDescent="0.25">
      <c r="A64" t="s">
        <v>35</v>
      </c>
      <c r="B64">
        <v>0</v>
      </c>
      <c r="C64">
        <v>80</v>
      </c>
      <c r="D64">
        <v>680</v>
      </c>
      <c r="E64">
        <v>720</v>
      </c>
      <c r="F64">
        <v>0</v>
      </c>
      <c r="G64" s="3">
        <v>39873</v>
      </c>
      <c r="H64" s="3">
        <v>39873</v>
      </c>
      <c r="I64" s="3">
        <v>40299</v>
      </c>
      <c r="J64" s="4"/>
      <c r="N64" s="7"/>
      <c r="O64" s="7"/>
      <c r="P64" s="7"/>
      <c r="Q64" s="7"/>
    </row>
    <row r="65" spans="1:17" x14ac:dyDescent="0.25">
      <c r="A65" t="s">
        <v>35</v>
      </c>
      <c r="B65">
        <v>0</v>
      </c>
      <c r="C65">
        <v>80</v>
      </c>
      <c r="D65">
        <v>620</v>
      </c>
      <c r="E65">
        <v>680</v>
      </c>
      <c r="F65">
        <v>0</v>
      </c>
      <c r="G65" s="3">
        <v>39873</v>
      </c>
      <c r="H65" s="3">
        <v>39873</v>
      </c>
      <c r="I65" s="3">
        <v>40299</v>
      </c>
      <c r="J65" s="4"/>
      <c r="N65" s="7"/>
      <c r="O65" s="7"/>
      <c r="P65" s="7"/>
      <c r="Q65" s="7"/>
    </row>
    <row r="66" spans="1:17" x14ac:dyDescent="0.25">
      <c r="A66" t="s">
        <v>35</v>
      </c>
      <c r="B66">
        <v>0</v>
      </c>
      <c r="C66">
        <v>80</v>
      </c>
      <c r="D66">
        <v>300</v>
      </c>
      <c r="E66">
        <v>620</v>
      </c>
      <c r="G66" s="3">
        <v>39873</v>
      </c>
      <c r="H66" s="3">
        <v>39873</v>
      </c>
      <c r="I66" s="3">
        <v>40299</v>
      </c>
      <c r="J66" s="4"/>
      <c r="N66" s="7"/>
      <c r="O66" s="7"/>
      <c r="P66" s="7"/>
      <c r="Q66" s="7"/>
    </row>
    <row r="67" spans="1:17" x14ac:dyDescent="0.25">
      <c r="A67" t="s">
        <v>36</v>
      </c>
      <c r="B67">
        <v>0</v>
      </c>
      <c r="C67">
        <v>80</v>
      </c>
      <c r="D67">
        <v>760</v>
      </c>
      <c r="E67">
        <v>999</v>
      </c>
      <c r="F67">
        <v>0</v>
      </c>
      <c r="G67" s="3">
        <v>39873</v>
      </c>
      <c r="H67" s="3">
        <v>39873</v>
      </c>
      <c r="I67" s="3">
        <v>40299</v>
      </c>
      <c r="J67" s="4"/>
      <c r="N67" s="7"/>
      <c r="O67" s="7"/>
      <c r="P67" s="7"/>
      <c r="Q67" s="7"/>
    </row>
    <row r="68" spans="1:17" x14ac:dyDescent="0.25">
      <c r="A68" t="s">
        <v>36</v>
      </c>
      <c r="B68">
        <v>0</v>
      </c>
      <c r="C68">
        <v>80</v>
      </c>
      <c r="D68">
        <v>720</v>
      </c>
      <c r="E68">
        <v>760</v>
      </c>
      <c r="F68">
        <v>0</v>
      </c>
      <c r="G68" s="3">
        <v>39873</v>
      </c>
      <c r="H68" s="3">
        <v>39873</v>
      </c>
      <c r="I68" s="3">
        <v>40299</v>
      </c>
      <c r="J68" s="4"/>
      <c r="N68" s="7"/>
      <c r="O68" s="7"/>
      <c r="P68" s="7"/>
      <c r="Q68" s="7"/>
    </row>
    <row r="69" spans="1:17" x14ac:dyDescent="0.25">
      <c r="A69" t="s">
        <v>36</v>
      </c>
      <c r="B69">
        <v>0</v>
      </c>
      <c r="C69">
        <v>80</v>
      </c>
      <c r="D69">
        <v>680</v>
      </c>
      <c r="E69">
        <v>720</v>
      </c>
      <c r="F69">
        <v>0</v>
      </c>
      <c r="G69" s="3">
        <v>39873</v>
      </c>
      <c r="H69" s="3">
        <v>39873</v>
      </c>
      <c r="I69" s="3">
        <v>40299</v>
      </c>
      <c r="J69" s="4"/>
    </row>
    <row r="70" spans="1:17" x14ac:dyDescent="0.25">
      <c r="A70" t="s">
        <v>36</v>
      </c>
      <c r="B70">
        <v>0</v>
      </c>
      <c r="C70">
        <v>80</v>
      </c>
      <c r="D70">
        <v>620</v>
      </c>
      <c r="E70">
        <v>680</v>
      </c>
      <c r="F70">
        <v>0</v>
      </c>
      <c r="G70" s="3">
        <v>39873</v>
      </c>
      <c r="H70" s="3">
        <v>39873</v>
      </c>
      <c r="I70" s="3">
        <v>40299</v>
      </c>
      <c r="J70" s="4"/>
    </row>
    <row r="71" spans="1:17" x14ac:dyDescent="0.25">
      <c r="A71" t="s">
        <v>36</v>
      </c>
      <c r="B71">
        <v>0</v>
      </c>
      <c r="C71">
        <v>80</v>
      </c>
      <c r="D71">
        <v>300</v>
      </c>
      <c r="E71">
        <v>620</v>
      </c>
      <c r="G71" s="3">
        <v>39873</v>
      </c>
      <c r="H71" s="3">
        <v>39873</v>
      </c>
      <c r="I71" s="3">
        <v>40299</v>
      </c>
      <c r="J71" s="4"/>
    </row>
    <row r="72" spans="1:17" x14ac:dyDescent="0.25">
      <c r="A72" t="s">
        <v>37</v>
      </c>
      <c r="B72">
        <v>0</v>
      </c>
      <c r="C72">
        <v>80</v>
      </c>
      <c r="D72">
        <v>760</v>
      </c>
      <c r="E72">
        <v>999</v>
      </c>
      <c r="F72">
        <v>0</v>
      </c>
      <c r="G72" s="3">
        <v>39873</v>
      </c>
      <c r="H72" s="3">
        <v>39873</v>
      </c>
      <c r="I72" s="3">
        <v>40299</v>
      </c>
      <c r="J72" s="4"/>
    </row>
    <row r="73" spans="1:17" x14ac:dyDescent="0.25">
      <c r="A73" t="s">
        <v>37</v>
      </c>
      <c r="B73">
        <v>0</v>
      </c>
      <c r="C73">
        <v>80</v>
      </c>
      <c r="D73">
        <v>720</v>
      </c>
      <c r="E73">
        <v>760</v>
      </c>
      <c r="F73">
        <v>0</v>
      </c>
      <c r="G73" s="3">
        <v>39873</v>
      </c>
      <c r="H73" s="3">
        <v>39873</v>
      </c>
      <c r="I73" s="3">
        <v>40299</v>
      </c>
      <c r="J73" s="4"/>
    </row>
    <row r="74" spans="1:17" x14ac:dyDescent="0.25">
      <c r="A74" t="s">
        <v>37</v>
      </c>
      <c r="B74">
        <v>0</v>
      </c>
      <c r="C74">
        <v>80</v>
      </c>
      <c r="D74">
        <v>680</v>
      </c>
      <c r="E74">
        <v>720</v>
      </c>
      <c r="F74">
        <v>0</v>
      </c>
      <c r="G74" s="3">
        <v>39873</v>
      </c>
      <c r="H74" s="3">
        <v>39873</v>
      </c>
      <c r="I74" s="3">
        <v>40299</v>
      </c>
      <c r="J74" s="4"/>
    </row>
    <row r="75" spans="1:17" x14ac:dyDescent="0.25">
      <c r="A75" t="s">
        <v>37</v>
      </c>
      <c r="B75">
        <v>0</v>
      </c>
      <c r="C75">
        <v>80</v>
      </c>
      <c r="D75">
        <v>620</v>
      </c>
      <c r="E75">
        <v>680</v>
      </c>
      <c r="F75">
        <v>0</v>
      </c>
      <c r="G75" s="3">
        <v>39873</v>
      </c>
      <c r="H75" s="3">
        <v>39873</v>
      </c>
      <c r="I75" s="3">
        <v>40299</v>
      </c>
      <c r="J75" s="4"/>
    </row>
    <row r="76" spans="1:17" x14ac:dyDescent="0.25">
      <c r="A76" t="s">
        <v>37</v>
      </c>
      <c r="B76">
        <v>0</v>
      </c>
      <c r="C76">
        <v>80</v>
      </c>
      <c r="D76">
        <v>300</v>
      </c>
      <c r="E76">
        <v>620</v>
      </c>
      <c r="G76" s="3">
        <v>39873</v>
      </c>
      <c r="H76" s="3">
        <v>39873</v>
      </c>
      <c r="I76" s="3">
        <v>40299</v>
      </c>
      <c r="J76" s="4"/>
    </row>
    <row r="77" spans="1:17" x14ac:dyDescent="0.25">
      <c r="A77" t="s">
        <v>38</v>
      </c>
      <c r="B77">
        <v>0</v>
      </c>
      <c r="C77">
        <v>80</v>
      </c>
      <c r="D77">
        <v>760</v>
      </c>
      <c r="E77">
        <v>999</v>
      </c>
      <c r="F77">
        <v>0</v>
      </c>
      <c r="G77" s="3">
        <v>39873</v>
      </c>
      <c r="H77" s="3">
        <v>39873</v>
      </c>
      <c r="I77" s="3">
        <v>40299</v>
      </c>
      <c r="J77" s="4"/>
    </row>
    <row r="78" spans="1:17" x14ac:dyDescent="0.25">
      <c r="A78" t="s">
        <v>38</v>
      </c>
      <c r="B78">
        <v>0</v>
      </c>
      <c r="C78">
        <v>80</v>
      </c>
      <c r="D78">
        <v>720</v>
      </c>
      <c r="E78">
        <v>760</v>
      </c>
      <c r="F78">
        <v>0</v>
      </c>
      <c r="G78" s="3">
        <v>39873</v>
      </c>
      <c r="H78" s="3">
        <v>39873</v>
      </c>
      <c r="I78" s="3">
        <v>40299</v>
      </c>
      <c r="J78" s="4"/>
    </row>
    <row r="79" spans="1:17" x14ac:dyDescent="0.25">
      <c r="A79" t="s">
        <v>38</v>
      </c>
      <c r="B79">
        <v>0</v>
      </c>
      <c r="C79">
        <v>80</v>
      </c>
      <c r="D79">
        <v>680</v>
      </c>
      <c r="E79">
        <v>720</v>
      </c>
      <c r="F79">
        <v>0</v>
      </c>
      <c r="G79" s="3">
        <v>39873</v>
      </c>
      <c r="H79" s="3">
        <v>39873</v>
      </c>
      <c r="I79" s="3">
        <v>40299</v>
      </c>
      <c r="J79" s="4"/>
    </row>
    <row r="80" spans="1:17" x14ac:dyDescent="0.25">
      <c r="A80" t="s">
        <v>38</v>
      </c>
      <c r="B80">
        <v>0</v>
      </c>
      <c r="C80">
        <v>80</v>
      </c>
      <c r="D80">
        <v>620</v>
      </c>
      <c r="E80">
        <v>680</v>
      </c>
      <c r="F80">
        <v>0</v>
      </c>
      <c r="G80" s="3">
        <v>39873</v>
      </c>
      <c r="H80" s="3">
        <v>39873</v>
      </c>
      <c r="I80" s="3">
        <v>40299</v>
      </c>
      <c r="J80" s="4"/>
    </row>
    <row r="81" spans="1:19" x14ac:dyDescent="0.25">
      <c r="A81" t="s">
        <v>38</v>
      </c>
      <c r="B81">
        <v>0</v>
      </c>
      <c r="C81">
        <v>80</v>
      </c>
      <c r="D81">
        <v>300</v>
      </c>
      <c r="E81">
        <v>620</v>
      </c>
      <c r="G81" s="3">
        <v>39873</v>
      </c>
      <c r="H81" s="3">
        <v>39873</v>
      </c>
      <c r="I81" s="3">
        <v>40299</v>
      </c>
      <c r="J81" s="4"/>
    </row>
    <row r="82" spans="1:19" x14ac:dyDescent="0.25">
      <c r="A82" t="s">
        <v>35</v>
      </c>
      <c r="B82">
        <v>80</v>
      </c>
      <c r="C82">
        <v>999</v>
      </c>
      <c r="D82">
        <v>760</v>
      </c>
      <c r="E82">
        <v>999</v>
      </c>
      <c r="F82">
        <v>0</v>
      </c>
      <c r="G82" s="3">
        <v>40299</v>
      </c>
      <c r="H82" s="3">
        <v>40299</v>
      </c>
      <c r="I82" s="3">
        <v>40756</v>
      </c>
      <c r="J82" s="4"/>
      <c r="L82" s="3">
        <v>40299</v>
      </c>
      <c r="N82" t="s">
        <v>11</v>
      </c>
      <c r="O82" t="s">
        <v>12</v>
      </c>
      <c r="P82" t="s">
        <v>13</v>
      </c>
      <c r="Q82" t="s">
        <v>14</v>
      </c>
      <c r="R82" t="s">
        <v>19</v>
      </c>
    </row>
    <row r="83" spans="1:19" x14ac:dyDescent="0.25">
      <c r="A83" t="s">
        <v>35</v>
      </c>
      <c r="B83">
        <v>80</v>
      </c>
      <c r="C83">
        <v>999</v>
      </c>
      <c r="D83">
        <v>720</v>
      </c>
      <c r="E83">
        <v>760</v>
      </c>
      <c r="F83">
        <v>0</v>
      </c>
      <c r="G83" s="3">
        <v>40299</v>
      </c>
      <c r="H83" s="3">
        <v>40299</v>
      </c>
      <c r="I83" s="3">
        <v>40756</v>
      </c>
      <c r="J83" s="4"/>
      <c r="L83" t="s">
        <v>35</v>
      </c>
      <c r="M83" t="s">
        <v>58</v>
      </c>
      <c r="N83" s="7">
        <v>0</v>
      </c>
      <c r="O83" s="7">
        <v>0</v>
      </c>
      <c r="P83" s="7">
        <v>0</v>
      </c>
      <c r="Q83" s="7">
        <v>0</v>
      </c>
      <c r="R83" s="2" t="s">
        <v>34</v>
      </c>
    </row>
    <row r="84" spans="1:19" x14ac:dyDescent="0.25">
      <c r="A84" t="s">
        <v>35</v>
      </c>
      <c r="B84">
        <v>80</v>
      </c>
      <c r="C84">
        <v>999</v>
      </c>
      <c r="D84">
        <v>680</v>
      </c>
      <c r="E84">
        <v>720</v>
      </c>
      <c r="F84">
        <v>0</v>
      </c>
      <c r="G84" s="3">
        <v>40299</v>
      </c>
      <c r="H84" s="3">
        <v>40299</v>
      </c>
      <c r="I84" s="3">
        <v>40756</v>
      </c>
      <c r="J84" s="4"/>
      <c r="L84" t="s">
        <v>36</v>
      </c>
      <c r="M84" t="s">
        <v>58</v>
      </c>
      <c r="N84" s="7">
        <v>14</v>
      </c>
      <c r="O84" s="7">
        <v>14</v>
      </c>
      <c r="P84" s="7">
        <v>20</v>
      </c>
      <c r="Q84" s="7">
        <v>35</v>
      </c>
      <c r="R84" s="2" t="s">
        <v>34</v>
      </c>
    </row>
    <row r="85" spans="1:19" x14ac:dyDescent="0.25">
      <c r="A85" t="s">
        <v>35</v>
      </c>
      <c r="B85">
        <v>80</v>
      </c>
      <c r="C85">
        <v>999</v>
      </c>
      <c r="D85">
        <v>620</v>
      </c>
      <c r="E85">
        <v>680</v>
      </c>
      <c r="F85">
        <v>0</v>
      </c>
      <c r="G85" s="3">
        <v>40299</v>
      </c>
      <c r="H85" s="3">
        <v>40299</v>
      </c>
      <c r="I85" s="3">
        <v>40756</v>
      </c>
      <c r="J85" s="4"/>
      <c r="L85" t="s">
        <v>37</v>
      </c>
      <c r="M85" t="s">
        <v>58</v>
      </c>
      <c r="N85" s="7">
        <v>0</v>
      </c>
      <c r="O85" s="7">
        <v>0</v>
      </c>
      <c r="P85" s="7">
        <v>0</v>
      </c>
      <c r="Q85" s="7">
        <v>0</v>
      </c>
      <c r="R85" s="2" t="s">
        <v>34</v>
      </c>
    </row>
    <row r="86" spans="1:19" x14ac:dyDescent="0.25">
      <c r="A86" t="s">
        <v>35</v>
      </c>
      <c r="B86">
        <v>80</v>
      </c>
      <c r="C86">
        <v>999</v>
      </c>
      <c r="D86">
        <v>300</v>
      </c>
      <c r="E86">
        <v>620</v>
      </c>
      <c r="G86" s="3">
        <v>40299</v>
      </c>
      <c r="H86" s="3">
        <v>40299</v>
      </c>
      <c r="I86" s="3">
        <v>40756</v>
      </c>
      <c r="J86" s="4"/>
      <c r="L86" t="s">
        <v>38</v>
      </c>
      <c r="M86" t="s">
        <v>58</v>
      </c>
      <c r="N86" s="7">
        <v>0</v>
      </c>
      <c r="O86" s="7">
        <v>0</v>
      </c>
      <c r="P86" s="7">
        <v>0</v>
      </c>
      <c r="Q86" s="7">
        <v>0</v>
      </c>
      <c r="R86" s="2" t="s">
        <v>34</v>
      </c>
    </row>
    <row r="87" spans="1:19" x14ac:dyDescent="0.25">
      <c r="A87" t="s">
        <v>36</v>
      </c>
      <c r="B87">
        <v>80</v>
      </c>
      <c r="C87">
        <v>999</v>
      </c>
      <c r="D87">
        <v>760</v>
      </c>
      <c r="E87">
        <v>999</v>
      </c>
      <c r="F87" s="7">
        <v>14</v>
      </c>
      <c r="G87" s="3">
        <v>40299</v>
      </c>
      <c r="H87" s="3">
        <v>40299</v>
      </c>
      <c r="I87" s="3">
        <v>40756</v>
      </c>
      <c r="J87" s="4"/>
      <c r="L87" t="s">
        <v>35</v>
      </c>
      <c r="M87" t="s">
        <v>59</v>
      </c>
      <c r="N87" s="7">
        <v>0</v>
      </c>
      <c r="O87" s="7">
        <v>0</v>
      </c>
      <c r="P87" s="7">
        <v>0</v>
      </c>
      <c r="Q87" s="7">
        <v>0</v>
      </c>
      <c r="R87" s="2" t="s">
        <v>34</v>
      </c>
    </row>
    <row r="88" spans="1:19" x14ac:dyDescent="0.25">
      <c r="A88" t="s">
        <v>36</v>
      </c>
      <c r="B88">
        <v>80</v>
      </c>
      <c r="C88">
        <v>999</v>
      </c>
      <c r="D88">
        <v>720</v>
      </c>
      <c r="E88">
        <v>760</v>
      </c>
      <c r="F88" s="7">
        <v>14</v>
      </c>
      <c r="G88" s="3">
        <v>40299</v>
      </c>
      <c r="H88" s="3">
        <v>40299</v>
      </c>
      <c r="I88" s="3">
        <v>40756</v>
      </c>
      <c r="J88" s="4"/>
      <c r="L88" t="s">
        <v>36</v>
      </c>
      <c r="M88" t="s">
        <v>59</v>
      </c>
      <c r="N88" s="7">
        <v>0</v>
      </c>
      <c r="O88" s="7">
        <v>0</v>
      </c>
      <c r="P88" s="7">
        <v>0</v>
      </c>
      <c r="Q88" s="7">
        <v>0</v>
      </c>
      <c r="R88" s="2" t="s">
        <v>34</v>
      </c>
    </row>
    <row r="89" spans="1:19" x14ac:dyDescent="0.25">
      <c r="A89" t="s">
        <v>36</v>
      </c>
      <c r="B89">
        <v>80</v>
      </c>
      <c r="C89">
        <v>999</v>
      </c>
      <c r="D89">
        <v>680</v>
      </c>
      <c r="E89">
        <v>720</v>
      </c>
      <c r="F89" s="7">
        <v>20</v>
      </c>
      <c r="G89" s="3">
        <v>40299</v>
      </c>
      <c r="H89" s="3">
        <v>40299</v>
      </c>
      <c r="I89" s="3">
        <v>40756</v>
      </c>
      <c r="J89" s="4"/>
      <c r="L89" t="s">
        <v>37</v>
      </c>
      <c r="M89" t="s">
        <v>59</v>
      </c>
      <c r="N89" s="7">
        <v>0</v>
      </c>
      <c r="O89" s="7">
        <v>0</v>
      </c>
      <c r="P89" s="7">
        <v>0</v>
      </c>
      <c r="Q89" s="7">
        <v>0</v>
      </c>
      <c r="R89" s="2" t="s">
        <v>34</v>
      </c>
    </row>
    <row r="90" spans="1:19" x14ac:dyDescent="0.25">
      <c r="A90" t="s">
        <v>36</v>
      </c>
      <c r="B90">
        <v>80</v>
      </c>
      <c r="C90">
        <v>999</v>
      </c>
      <c r="D90">
        <v>620</v>
      </c>
      <c r="E90">
        <v>680</v>
      </c>
      <c r="F90" s="7">
        <v>35</v>
      </c>
      <c r="G90" s="3">
        <v>40299</v>
      </c>
      <c r="H90" s="3">
        <v>40299</v>
      </c>
      <c r="I90" s="3">
        <v>40756</v>
      </c>
      <c r="J90" s="4"/>
      <c r="L90" t="s">
        <v>38</v>
      </c>
      <c r="M90" t="s">
        <v>59</v>
      </c>
      <c r="N90" s="7">
        <v>0</v>
      </c>
      <c r="O90" s="7">
        <v>0</v>
      </c>
      <c r="P90" s="7">
        <v>0</v>
      </c>
      <c r="Q90" s="7">
        <v>0</v>
      </c>
      <c r="R90" s="2" t="s">
        <v>34</v>
      </c>
    </row>
    <row r="91" spans="1:19" x14ac:dyDescent="0.25">
      <c r="A91" t="s">
        <v>36</v>
      </c>
      <c r="B91">
        <v>80</v>
      </c>
      <c r="C91">
        <v>999</v>
      </c>
      <c r="D91">
        <v>300</v>
      </c>
      <c r="E91">
        <v>620</v>
      </c>
      <c r="G91" s="3">
        <v>40299</v>
      </c>
      <c r="H91" s="3">
        <v>40299</v>
      </c>
      <c r="I91" s="3">
        <v>40756</v>
      </c>
      <c r="J91" s="4"/>
    </row>
    <row r="92" spans="1:19" x14ac:dyDescent="0.25">
      <c r="A92" t="s">
        <v>37</v>
      </c>
      <c r="B92">
        <v>80</v>
      </c>
      <c r="C92">
        <v>999</v>
      </c>
      <c r="D92">
        <v>760</v>
      </c>
      <c r="E92">
        <v>999</v>
      </c>
      <c r="F92">
        <v>0</v>
      </c>
      <c r="G92" s="3">
        <v>40299</v>
      </c>
      <c r="H92" s="3">
        <v>40299</v>
      </c>
      <c r="I92" s="3">
        <v>40756</v>
      </c>
      <c r="J92" s="4"/>
    </row>
    <row r="93" spans="1:19" x14ac:dyDescent="0.25">
      <c r="A93" t="s">
        <v>37</v>
      </c>
      <c r="B93">
        <v>80</v>
      </c>
      <c r="C93">
        <v>999</v>
      </c>
      <c r="D93">
        <v>720</v>
      </c>
      <c r="E93">
        <v>760</v>
      </c>
      <c r="F93">
        <v>0</v>
      </c>
      <c r="G93" s="3">
        <v>40299</v>
      </c>
      <c r="H93" s="3">
        <v>40299</v>
      </c>
      <c r="I93" s="3">
        <v>40756</v>
      </c>
      <c r="J93" s="4"/>
    </row>
    <row r="94" spans="1:19" x14ac:dyDescent="0.25">
      <c r="A94" t="s">
        <v>37</v>
      </c>
      <c r="B94">
        <v>80</v>
      </c>
      <c r="C94">
        <v>999</v>
      </c>
      <c r="D94">
        <v>680</v>
      </c>
      <c r="E94">
        <v>720</v>
      </c>
      <c r="F94">
        <v>0</v>
      </c>
      <c r="G94" s="3">
        <v>40299</v>
      </c>
      <c r="H94" s="3">
        <v>40299</v>
      </c>
      <c r="I94" s="3">
        <v>40756</v>
      </c>
      <c r="J94" s="4"/>
      <c r="S94" t="s">
        <v>10</v>
      </c>
    </row>
    <row r="95" spans="1:19" x14ac:dyDescent="0.25">
      <c r="A95" t="s">
        <v>37</v>
      </c>
      <c r="B95">
        <v>80</v>
      </c>
      <c r="C95">
        <v>999</v>
      </c>
      <c r="D95">
        <v>620</v>
      </c>
      <c r="E95">
        <v>680</v>
      </c>
      <c r="F95">
        <v>0</v>
      </c>
      <c r="G95" s="3">
        <v>40299</v>
      </c>
      <c r="H95" s="3">
        <v>40299</v>
      </c>
      <c r="I95" s="3">
        <v>40756</v>
      </c>
      <c r="J95" s="4"/>
      <c r="N95" s="2"/>
      <c r="O95" s="2"/>
      <c r="P95" s="2"/>
      <c r="Q95" s="2"/>
      <c r="R95" s="2"/>
    </row>
    <row r="96" spans="1:19" x14ac:dyDescent="0.25">
      <c r="A96" t="s">
        <v>37</v>
      </c>
      <c r="B96">
        <v>80</v>
      </c>
      <c r="C96">
        <v>999</v>
      </c>
      <c r="D96">
        <v>300</v>
      </c>
      <c r="E96">
        <v>620</v>
      </c>
      <c r="G96" s="3">
        <v>40299</v>
      </c>
      <c r="H96" s="3">
        <v>40299</v>
      </c>
      <c r="I96" s="3">
        <v>40756</v>
      </c>
      <c r="J96" s="4"/>
      <c r="N96" s="7"/>
      <c r="O96" s="7"/>
      <c r="P96" s="7"/>
      <c r="Q96" s="7"/>
      <c r="R96" s="2"/>
    </row>
    <row r="97" spans="1:18" x14ac:dyDescent="0.25">
      <c r="A97" t="s">
        <v>38</v>
      </c>
      <c r="B97">
        <v>80</v>
      </c>
      <c r="C97">
        <v>999</v>
      </c>
      <c r="D97">
        <v>760</v>
      </c>
      <c r="E97">
        <v>999</v>
      </c>
      <c r="F97">
        <v>0</v>
      </c>
      <c r="G97" s="3">
        <v>40299</v>
      </c>
      <c r="H97" s="3">
        <v>40299</v>
      </c>
      <c r="I97" s="3">
        <v>40756</v>
      </c>
      <c r="J97" s="4"/>
      <c r="N97" s="7"/>
      <c r="O97" s="7"/>
      <c r="P97" s="7"/>
      <c r="Q97" s="7"/>
      <c r="R97" s="2"/>
    </row>
    <row r="98" spans="1:18" x14ac:dyDescent="0.25">
      <c r="A98" t="s">
        <v>38</v>
      </c>
      <c r="B98">
        <v>80</v>
      </c>
      <c r="C98">
        <v>999</v>
      </c>
      <c r="D98">
        <v>720</v>
      </c>
      <c r="E98">
        <v>760</v>
      </c>
      <c r="F98">
        <v>0</v>
      </c>
      <c r="G98" s="3">
        <v>40299</v>
      </c>
      <c r="H98" s="3">
        <v>40299</v>
      </c>
      <c r="I98" s="3">
        <v>40756</v>
      </c>
      <c r="J98" s="4"/>
      <c r="N98" s="7"/>
      <c r="O98" s="7"/>
      <c r="P98" s="7"/>
      <c r="Q98" s="7"/>
      <c r="R98" s="2"/>
    </row>
    <row r="99" spans="1:18" x14ac:dyDescent="0.25">
      <c r="A99" t="s">
        <v>38</v>
      </c>
      <c r="B99">
        <v>80</v>
      </c>
      <c r="C99">
        <v>999</v>
      </c>
      <c r="D99">
        <v>680</v>
      </c>
      <c r="E99">
        <v>720</v>
      </c>
      <c r="F99">
        <v>0</v>
      </c>
      <c r="G99" s="3">
        <v>40299</v>
      </c>
      <c r="H99" s="3">
        <v>40299</v>
      </c>
      <c r="I99" s="3">
        <v>40756</v>
      </c>
      <c r="J99" s="4"/>
      <c r="N99" s="7"/>
      <c r="O99" s="7"/>
      <c r="P99" s="7"/>
      <c r="Q99" s="7"/>
      <c r="R99" s="2"/>
    </row>
    <row r="100" spans="1:18" x14ac:dyDescent="0.25">
      <c r="A100" t="s">
        <v>38</v>
      </c>
      <c r="B100">
        <v>80</v>
      </c>
      <c r="C100">
        <v>999</v>
      </c>
      <c r="D100">
        <v>620</v>
      </c>
      <c r="E100">
        <v>680</v>
      </c>
      <c r="F100">
        <v>0</v>
      </c>
      <c r="G100" s="3">
        <v>40299</v>
      </c>
      <c r="H100" s="3">
        <v>40299</v>
      </c>
      <c r="I100" s="3">
        <v>40756</v>
      </c>
      <c r="J100" s="4"/>
      <c r="N100" s="7"/>
      <c r="O100" s="7"/>
      <c r="P100" s="7"/>
      <c r="Q100" s="7"/>
      <c r="R100" s="2"/>
    </row>
    <row r="101" spans="1:18" x14ac:dyDescent="0.25">
      <c r="A101" t="s">
        <v>38</v>
      </c>
      <c r="B101">
        <v>80</v>
      </c>
      <c r="C101">
        <v>999</v>
      </c>
      <c r="D101">
        <v>300</v>
      </c>
      <c r="E101">
        <v>620</v>
      </c>
      <c r="G101" s="3">
        <v>40299</v>
      </c>
      <c r="H101" s="3">
        <v>40299</v>
      </c>
      <c r="I101" s="3">
        <v>40756</v>
      </c>
      <c r="J101" s="4"/>
      <c r="N101" s="7"/>
      <c r="O101" s="7"/>
      <c r="P101" s="7"/>
      <c r="Q101" s="7"/>
      <c r="R101" s="2"/>
    </row>
    <row r="102" spans="1:18" x14ac:dyDescent="0.25">
      <c r="A102" t="s">
        <v>35</v>
      </c>
      <c r="B102">
        <v>0</v>
      </c>
      <c r="C102">
        <v>80</v>
      </c>
      <c r="D102">
        <v>760</v>
      </c>
      <c r="E102">
        <v>999</v>
      </c>
      <c r="F102">
        <v>0</v>
      </c>
      <c r="G102" s="3">
        <v>40299</v>
      </c>
      <c r="H102" s="3">
        <v>40299</v>
      </c>
      <c r="I102" s="3">
        <v>40756</v>
      </c>
      <c r="J102" s="4"/>
      <c r="N102" s="7"/>
      <c r="O102" s="7"/>
      <c r="P102" s="7"/>
      <c r="Q102" s="7"/>
      <c r="R102" s="2"/>
    </row>
    <row r="103" spans="1:18" x14ac:dyDescent="0.25">
      <c r="A103" t="s">
        <v>35</v>
      </c>
      <c r="B103">
        <v>0</v>
      </c>
      <c r="C103">
        <v>80</v>
      </c>
      <c r="D103">
        <v>720</v>
      </c>
      <c r="E103">
        <v>760</v>
      </c>
      <c r="F103">
        <v>0</v>
      </c>
      <c r="G103" s="3">
        <v>40299</v>
      </c>
      <c r="H103" s="3">
        <v>40299</v>
      </c>
      <c r="I103" s="3">
        <v>40756</v>
      </c>
      <c r="J103" s="4"/>
      <c r="N103" s="7"/>
      <c r="O103" s="7"/>
      <c r="P103" s="7"/>
      <c r="Q103" s="7"/>
    </row>
    <row r="104" spans="1:18" x14ac:dyDescent="0.25">
      <c r="A104" t="s">
        <v>35</v>
      </c>
      <c r="B104">
        <v>0</v>
      </c>
      <c r="C104">
        <v>80</v>
      </c>
      <c r="D104">
        <v>680</v>
      </c>
      <c r="E104">
        <v>720</v>
      </c>
      <c r="F104">
        <v>0</v>
      </c>
      <c r="G104" s="3">
        <v>40299</v>
      </c>
      <c r="H104" s="3">
        <v>40299</v>
      </c>
      <c r="I104" s="3">
        <v>40756</v>
      </c>
      <c r="J104" s="4"/>
      <c r="N104" s="7"/>
      <c r="O104" s="7"/>
      <c r="P104" s="7"/>
      <c r="Q104" s="7"/>
    </row>
    <row r="105" spans="1:18" x14ac:dyDescent="0.25">
      <c r="A105" t="s">
        <v>35</v>
      </c>
      <c r="B105">
        <v>0</v>
      </c>
      <c r="C105">
        <v>80</v>
      </c>
      <c r="D105">
        <v>620</v>
      </c>
      <c r="E105">
        <v>680</v>
      </c>
      <c r="F105">
        <v>0</v>
      </c>
      <c r="G105" s="3">
        <v>40299</v>
      </c>
      <c r="H105" s="3">
        <v>40299</v>
      </c>
      <c r="I105" s="3">
        <v>40756</v>
      </c>
      <c r="J105" s="4"/>
      <c r="N105" s="7"/>
      <c r="O105" s="7"/>
      <c r="P105" s="7"/>
      <c r="Q105" s="7"/>
    </row>
    <row r="106" spans="1:18" x14ac:dyDescent="0.25">
      <c r="A106" t="s">
        <v>35</v>
      </c>
      <c r="B106">
        <v>0</v>
      </c>
      <c r="C106">
        <v>80</v>
      </c>
      <c r="D106">
        <v>300</v>
      </c>
      <c r="E106">
        <v>620</v>
      </c>
      <c r="G106" s="3">
        <v>40299</v>
      </c>
      <c r="H106" s="3">
        <v>40299</v>
      </c>
      <c r="I106" s="3">
        <v>40756</v>
      </c>
      <c r="J106" s="4"/>
      <c r="N106" s="7"/>
      <c r="O106" s="7"/>
      <c r="P106" s="7"/>
      <c r="Q106" s="7"/>
    </row>
    <row r="107" spans="1:18" x14ac:dyDescent="0.25">
      <c r="A107" t="s">
        <v>36</v>
      </c>
      <c r="B107">
        <v>0</v>
      </c>
      <c r="C107">
        <v>80</v>
      </c>
      <c r="D107">
        <v>760</v>
      </c>
      <c r="E107">
        <v>999</v>
      </c>
      <c r="F107">
        <v>0</v>
      </c>
      <c r="G107" s="3">
        <v>40299</v>
      </c>
      <c r="H107" s="3">
        <v>40299</v>
      </c>
      <c r="I107" s="3">
        <v>40756</v>
      </c>
      <c r="J107" s="4"/>
      <c r="N107" s="7"/>
      <c r="O107" s="7"/>
      <c r="P107" s="7"/>
      <c r="Q107" s="7"/>
    </row>
    <row r="108" spans="1:18" x14ac:dyDescent="0.25">
      <c r="A108" t="s">
        <v>36</v>
      </c>
      <c r="B108">
        <v>0</v>
      </c>
      <c r="C108">
        <v>80</v>
      </c>
      <c r="D108">
        <v>720</v>
      </c>
      <c r="E108">
        <v>760</v>
      </c>
      <c r="F108">
        <v>0</v>
      </c>
      <c r="G108" s="3">
        <v>40299</v>
      </c>
      <c r="H108" s="3">
        <v>40299</v>
      </c>
      <c r="I108" s="3">
        <v>40756</v>
      </c>
      <c r="J108" s="4"/>
      <c r="N108" s="7"/>
      <c r="O108" s="7"/>
      <c r="P108" s="7"/>
      <c r="Q108" s="7"/>
    </row>
    <row r="109" spans="1:18" x14ac:dyDescent="0.25">
      <c r="A109" t="s">
        <v>36</v>
      </c>
      <c r="B109">
        <v>0</v>
      </c>
      <c r="C109">
        <v>80</v>
      </c>
      <c r="D109">
        <v>680</v>
      </c>
      <c r="E109">
        <v>720</v>
      </c>
      <c r="F109">
        <v>0</v>
      </c>
      <c r="G109" s="3">
        <v>40299</v>
      </c>
      <c r="H109" s="3">
        <v>40299</v>
      </c>
      <c r="I109" s="3">
        <v>40756</v>
      </c>
      <c r="J109" s="4"/>
    </row>
    <row r="110" spans="1:18" x14ac:dyDescent="0.25">
      <c r="A110" t="s">
        <v>36</v>
      </c>
      <c r="B110">
        <v>0</v>
      </c>
      <c r="C110">
        <v>80</v>
      </c>
      <c r="D110">
        <v>620</v>
      </c>
      <c r="E110">
        <v>680</v>
      </c>
      <c r="F110">
        <v>0</v>
      </c>
      <c r="G110" s="3">
        <v>40299</v>
      </c>
      <c r="H110" s="3">
        <v>40299</v>
      </c>
      <c r="I110" s="3">
        <v>40756</v>
      </c>
      <c r="J110" s="4"/>
    </row>
    <row r="111" spans="1:18" x14ac:dyDescent="0.25">
      <c r="A111" t="s">
        <v>36</v>
      </c>
      <c r="B111">
        <v>0</v>
      </c>
      <c r="C111">
        <v>80</v>
      </c>
      <c r="D111">
        <v>300</v>
      </c>
      <c r="E111">
        <v>620</v>
      </c>
      <c r="G111" s="3">
        <v>40299</v>
      </c>
      <c r="H111" s="3">
        <v>40299</v>
      </c>
      <c r="I111" s="3">
        <v>40756</v>
      </c>
      <c r="J111" s="4"/>
    </row>
    <row r="112" spans="1:18" x14ac:dyDescent="0.25">
      <c r="A112" t="s">
        <v>37</v>
      </c>
      <c r="B112">
        <v>0</v>
      </c>
      <c r="C112">
        <v>80</v>
      </c>
      <c r="D112">
        <v>760</v>
      </c>
      <c r="E112">
        <v>999</v>
      </c>
      <c r="F112">
        <v>0</v>
      </c>
      <c r="G112" s="3">
        <v>40299</v>
      </c>
      <c r="H112" s="3">
        <v>40299</v>
      </c>
      <c r="I112" s="3">
        <v>40756</v>
      </c>
      <c r="J112" s="4"/>
    </row>
    <row r="113" spans="1:18" x14ac:dyDescent="0.25">
      <c r="A113" t="s">
        <v>37</v>
      </c>
      <c r="B113">
        <v>0</v>
      </c>
      <c r="C113">
        <v>80</v>
      </c>
      <c r="D113">
        <v>720</v>
      </c>
      <c r="E113">
        <v>760</v>
      </c>
      <c r="F113">
        <v>0</v>
      </c>
      <c r="G113" s="3">
        <v>40299</v>
      </c>
      <c r="H113" s="3">
        <v>40299</v>
      </c>
      <c r="I113" s="3">
        <v>40756</v>
      </c>
      <c r="J113" s="4"/>
    </row>
    <row r="114" spans="1:18" x14ac:dyDescent="0.25">
      <c r="A114" t="s">
        <v>37</v>
      </c>
      <c r="B114">
        <v>0</v>
      </c>
      <c r="C114">
        <v>80</v>
      </c>
      <c r="D114">
        <v>680</v>
      </c>
      <c r="E114">
        <v>720</v>
      </c>
      <c r="F114">
        <v>0</v>
      </c>
      <c r="G114" s="3">
        <v>40299</v>
      </c>
      <c r="H114" s="3">
        <v>40299</v>
      </c>
      <c r="I114" s="3">
        <v>40756</v>
      </c>
      <c r="J114" s="4"/>
    </row>
    <row r="115" spans="1:18" x14ac:dyDescent="0.25">
      <c r="A115" t="s">
        <v>37</v>
      </c>
      <c r="B115">
        <v>0</v>
      </c>
      <c r="C115">
        <v>80</v>
      </c>
      <c r="D115">
        <v>620</v>
      </c>
      <c r="E115">
        <v>680</v>
      </c>
      <c r="F115">
        <v>0</v>
      </c>
      <c r="G115" s="3">
        <v>40299</v>
      </c>
      <c r="H115" s="3">
        <v>40299</v>
      </c>
      <c r="I115" s="3">
        <v>40756</v>
      </c>
      <c r="J115" s="4"/>
    </row>
    <row r="116" spans="1:18" x14ac:dyDescent="0.25">
      <c r="A116" t="s">
        <v>37</v>
      </c>
      <c r="B116">
        <v>0</v>
      </c>
      <c r="C116">
        <v>80</v>
      </c>
      <c r="D116">
        <v>300</v>
      </c>
      <c r="E116">
        <v>620</v>
      </c>
      <c r="G116" s="3">
        <v>40299</v>
      </c>
      <c r="H116" s="3">
        <v>40299</v>
      </c>
      <c r="I116" s="3">
        <v>40756</v>
      </c>
      <c r="J116" s="4"/>
    </row>
    <row r="117" spans="1:18" x14ac:dyDescent="0.25">
      <c r="A117" t="s">
        <v>38</v>
      </c>
      <c r="B117">
        <v>0</v>
      </c>
      <c r="C117">
        <v>80</v>
      </c>
      <c r="D117">
        <v>760</v>
      </c>
      <c r="E117">
        <v>999</v>
      </c>
      <c r="F117">
        <v>0</v>
      </c>
      <c r="G117" s="3">
        <v>40299</v>
      </c>
      <c r="H117" s="3">
        <v>40299</v>
      </c>
      <c r="I117" s="3">
        <v>40756</v>
      </c>
      <c r="J117" s="4"/>
    </row>
    <row r="118" spans="1:18" x14ac:dyDescent="0.25">
      <c r="A118" t="s">
        <v>38</v>
      </c>
      <c r="B118">
        <v>0</v>
      </c>
      <c r="C118">
        <v>80</v>
      </c>
      <c r="D118">
        <v>720</v>
      </c>
      <c r="E118">
        <v>760</v>
      </c>
      <c r="F118">
        <v>0</v>
      </c>
      <c r="G118" s="3">
        <v>40299</v>
      </c>
      <c r="H118" s="3">
        <v>40299</v>
      </c>
      <c r="I118" s="3">
        <v>40756</v>
      </c>
      <c r="J118" s="4"/>
    </row>
    <row r="119" spans="1:18" x14ac:dyDescent="0.25">
      <c r="A119" t="s">
        <v>38</v>
      </c>
      <c r="B119">
        <v>0</v>
      </c>
      <c r="C119">
        <v>80</v>
      </c>
      <c r="D119">
        <v>680</v>
      </c>
      <c r="E119">
        <v>720</v>
      </c>
      <c r="F119">
        <v>0</v>
      </c>
      <c r="G119" s="3">
        <v>40299</v>
      </c>
      <c r="H119" s="3">
        <v>40299</v>
      </c>
      <c r="I119" s="3">
        <v>40756</v>
      </c>
      <c r="J119" s="4"/>
    </row>
    <row r="120" spans="1:18" x14ac:dyDescent="0.25">
      <c r="A120" t="s">
        <v>38</v>
      </c>
      <c r="B120">
        <v>0</v>
      </c>
      <c r="C120">
        <v>80</v>
      </c>
      <c r="D120">
        <v>620</v>
      </c>
      <c r="E120">
        <v>680</v>
      </c>
      <c r="F120">
        <v>0</v>
      </c>
      <c r="G120" s="3">
        <v>40299</v>
      </c>
      <c r="H120" s="3">
        <v>40299</v>
      </c>
      <c r="I120" s="3">
        <v>40756</v>
      </c>
      <c r="J120" s="4"/>
    </row>
    <row r="121" spans="1:18" x14ac:dyDescent="0.25">
      <c r="A121" t="s">
        <v>38</v>
      </c>
      <c r="B121">
        <v>0</v>
      </c>
      <c r="C121">
        <v>80</v>
      </c>
      <c r="D121">
        <v>300</v>
      </c>
      <c r="E121">
        <v>620</v>
      </c>
      <c r="G121" s="3">
        <v>40299</v>
      </c>
      <c r="H121" s="3">
        <v>40299</v>
      </c>
      <c r="I121" s="3">
        <v>40756</v>
      </c>
      <c r="J121" s="4"/>
    </row>
    <row r="122" spans="1:18" x14ac:dyDescent="0.25">
      <c r="A122" t="s">
        <v>35</v>
      </c>
      <c r="B122">
        <v>80</v>
      </c>
      <c r="C122">
        <v>999</v>
      </c>
      <c r="D122">
        <v>760</v>
      </c>
      <c r="E122">
        <v>999</v>
      </c>
      <c r="F122">
        <v>0</v>
      </c>
      <c r="G122" s="3">
        <v>40756</v>
      </c>
      <c r="H122" s="3">
        <v>40756</v>
      </c>
      <c r="I122" s="3">
        <v>40969</v>
      </c>
      <c r="J122" s="4"/>
      <c r="L122" s="3">
        <v>40756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</row>
    <row r="123" spans="1:18" x14ac:dyDescent="0.25">
      <c r="A123" t="s">
        <v>35</v>
      </c>
      <c r="B123">
        <v>80</v>
      </c>
      <c r="C123">
        <v>999</v>
      </c>
      <c r="D123">
        <v>720</v>
      </c>
      <c r="E123">
        <v>760</v>
      </c>
      <c r="F123">
        <v>0</v>
      </c>
      <c r="G123" s="3">
        <v>40756</v>
      </c>
      <c r="H123" s="3">
        <v>40756</v>
      </c>
      <c r="I123" s="3">
        <v>40969</v>
      </c>
      <c r="J123" s="4"/>
      <c r="L123" t="s">
        <v>35</v>
      </c>
      <c r="M123" t="s">
        <v>58</v>
      </c>
      <c r="N123" s="7">
        <v>0</v>
      </c>
      <c r="O123" s="7">
        <v>0</v>
      </c>
      <c r="P123" s="7">
        <v>0</v>
      </c>
      <c r="Q123" s="7">
        <v>0</v>
      </c>
      <c r="R123" s="2" t="s">
        <v>34</v>
      </c>
    </row>
    <row r="124" spans="1:18" x14ac:dyDescent="0.25">
      <c r="A124" t="s">
        <v>35</v>
      </c>
      <c r="B124">
        <v>80</v>
      </c>
      <c r="C124">
        <v>999</v>
      </c>
      <c r="D124">
        <v>680</v>
      </c>
      <c r="E124">
        <v>720</v>
      </c>
      <c r="F124">
        <v>0</v>
      </c>
      <c r="G124" s="3">
        <v>40756</v>
      </c>
      <c r="H124" s="3">
        <v>40756</v>
      </c>
      <c r="I124" s="3">
        <v>40969</v>
      </c>
      <c r="J124" s="4"/>
      <c r="L124" t="s">
        <v>36</v>
      </c>
      <c r="M124" t="s">
        <v>58</v>
      </c>
      <c r="N124" s="7">
        <v>14</v>
      </c>
      <c r="O124" s="7">
        <v>14</v>
      </c>
      <c r="P124" s="7">
        <v>20</v>
      </c>
      <c r="Q124" s="7">
        <v>35</v>
      </c>
      <c r="R124" s="2" t="s">
        <v>34</v>
      </c>
    </row>
    <row r="125" spans="1:18" x14ac:dyDescent="0.25">
      <c r="A125" t="s">
        <v>35</v>
      </c>
      <c r="B125">
        <v>80</v>
      </c>
      <c r="C125">
        <v>999</v>
      </c>
      <c r="D125">
        <v>620</v>
      </c>
      <c r="E125">
        <v>680</v>
      </c>
      <c r="F125">
        <v>0</v>
      </c>
      <c r="G125" s="3">
        <v>40756</v>
      </c>
      <c r="H125" s="3">
        <v>40756</v>
      </c>
      <c r="I125" s="3">
        <v>40969</v>
      </c>
      <c r="J125" s="4"/>
      <c r="L125" t="s">
        <v>37</v>
      </c>
      <c r="M125" t="s">
        <v>58</v>
      </c>
      <c r="N125" s="7">
        <v>0</v>
      </c>
      <c r="O125" s="7">
        <v>0</v>
      </c>
      <c r="P125" s="7">
        <v>0</v>
      </c>
      <c r="Q125" s="7">
        <v>0</v>
      </c>
      <c r="R125" s="2" t="s">
        <v>34</v>
      </c>
    </row>
    <row r="126" spans="1:18" x14ac:dyDescent="0.25">
      <c r="A126" t="s">
        <v>35</v>
      </c>
      <c r="B126">
        <v>80</v>
      </c>
      <c r="C126">
        <v>999</v>
      </c>
      <c r="D126">
        <v>300</v>
      </c>
      <c r="E126">
        <v>620</v>
      </c>
      <c r="G126" s="3">
        <v>40756</v>
      </c>
      <c r="H126" s="3">
        <v>40756</v>
      </c>
      <c r="I126" s="3">
        <v>40969</v>
      </c>
      <c r="J126" s="4"/>
      <c r="L126" t="s">
        <v>38</v>
      </c>
      <c r="M126" t="s">
        <v>58</v>
      </c>
      <c r="N126" s="7">
        <v>0</v>
      </c>
      <c r="O126" s="7">
        <v>0</v>
      </c>
      <c r="P126" s="7">
        <v>0</v>
      </c>
      <c r="Q126" s="7">
        <v>0</v>
      </c>
      <c r="R126" s="2" t="s">
        <v>34</v>
      </c>
    </row>
    <row r="127" spans="1:18" x14ac:dyDescent="0.25">
      <c r="A127" t="s">
        <v>36</v>
      </c>
      <c r="B127">
        <v>80</v>
      </c>
      <c r="C127">
        <v>999</v>
      </c>
      <c r="D127">
        <v>760</v>
      </c>
      <c r="E127">
        <v>999</v>
      </c>
      <c r="F127" s="7">
        <v>14</v>
      </c>
      <c r="G127" s="3">
        <v>40756</v>
      </c>
      <c r="H127" s="3">
        <v>40756</v>
      </c>
      <c r="I127" s="3">
        <v>40969</v>
      </c>
      <c r="J127" s="4"/>
      <c r="L127" t="s">
        <v>35</v>
      </c>
      <c r="M127" t="s">
        <v>59</v>
      </c>
      <c r="N127" s="7">
        <v>0</v>
      </c>
      <c r="O127" s="7">
        <v>0</v>
      </c>
      <c r="P127" s="7">
        <v>0</v>
      </c>
      <c r="Q127" s="7">
        <v>0</v>
      </c>
      <c r="R127" s="2" t="s">
        <v>34</v>
      </c>
    </row>
    <row r="128" spans="1:18" x14ac:dyDescent="0.25">
      <c r="A128" t="s">
        <v>36</v>
      </c>
      <c r="B128">
        <v>80</v>
      </c>
      <c r="C128">
        <v>999</v>
      </c>
      <c r="D128">
        <v>720</v>
      </c>
      <c r="E128">
        <v>760</v>
      </c>
      <c r="F128" s="7">
        <v>14</v>
      </c>
      <c r="G128" s="3">
        <v>40756</v>
      </c>
      <c r="H128" s="3">
        <v>40756</v>
      </c>
      <c r="I128" s="3">
        <v>40969</v>
      </c>
      <c r="J128" s="4"/>
      <c r="L128" t="s">
        <v>36</v>
      </c>
      <c r="M128" t="s">
        <v>59</v>
      </c>
      <c r="N128" s="7">
        <v>0</v>
      </c>
      <c r="O128" s="7">
        <v>0</v>
      </c>
      <c r="P128" s="7">
        <v>0</v>
      </c>
      <c r="Q128" s="7">
        <v>0</v>
      </c>
      <c r="R128" s="2" t="s">
        <v>34</v>
      </c>
    </row>
    <row r="129" spans="1:19" x14ac:dyDescent="0.25">
      <c r="A129" t="s">
        <v>36</v>
      </c>
      <c r="B129">
        <v>80</v>
      </c>
      <c r="C129">
        <v>999</v>
      </c>
      <c r="D129">
        <v>680</v>
      </c>
      <c r="E129">
        <v>720</v>
      </c>
      <c r="F129" s="7">
        <v>20</v>
      </c>
      <c r="G129" s="3">
        <v>40756</v>
      </c>
      <c r="H129" s="3">
        <v>40756</v>
      </c>
      <c r="I129" s="3">
        <v>40969</v>
      </c>
      <c r="J129" s="4"/>
      <c r="L129" t="s">
        <v>37</v>
      </c>
      <c r="M129" t="s">
        <v>59</v>
      </c>
      <c r="N129" s="7">
        <v>0</v>
      </c>
      <c r="O129" s="7">
        <v>0</v>
      </c>
      <c r="P129" s="7">
        <v>0</v>
      </c>
      <c r="Q129" s="7">
        <v>0</v>
      </c>
      <c r="R129" s="2" t="s">
        <v>34</v>
      </c>
    </row>
    <row r="130" spans="1:19" x14ac:dyDescent="0.25">
      <c r="A130" t="s">
        <v>36</v>
      </c>
      <c r="B130">
        <v>80</v>
      </c>
      <c r="C130">
        <v>999</v>
      </c>
      <c r="D130">
        <v>620</v>
      </c>
      <c r="E130">
        <v>680</v>
      </c>
      <c r="F130" s="7">
        <v>35</v>
      </c>
      <c r="G130" s="3">
        <v>40756</v>
      </c>
      <c r="H130" s="3">
        <v>40756</v>
      </c>
      <c r="I130" s="3">
        <v>40969</v>
      </c>
      <c r="J130" s="4"/>
      <c r="L130" t="s">
        <v>38</v>
      </c>
      <c r="M130" t="s">
        <v>59</v>
      </c>
      <c r="N130" s="7">
        <v>0</v>
      </c>
      <c r="O130" s="7">
        <v>0</v>
      </c>
      <c r="P130" s="7">
        <v>0</v>
      </c>
      <c r="Q130" s="7">
        <v>0</v>
      </c>
      <c r="R130" s="2" t="s">
        <v>34</v>
      </c>
    </row>
    <row r="131" spans="1:19" x14ac:dyDescent="0.25">
      <c r="A131" t="s">
        <v>36</v>
      </c>
      <c r="B131">
        <v>80</v>
      </c>
      <c r="C131">
        <v>999</v>
      </c>
      <c r="D131">
        <v>300</v>
      </c>
      <c r="E131">
        <v>620</v>
      </c>
      <c r="G131" s="3">
        <v>40756</v>
      </c>
      <c r="H131" s="3">
        <v>40756</v>
      </c>
      <c r="I131" s="3">
        <v>40969</v>
      </c>
      <c r="J131" s="4"/>
    </row>
    <row r="132" spans="1:19" x14ac:dyDescent="0.25">
      <c r="A132" t="s">
        <v>37</v>
      </c>
      <c r="B132">
        <v>80</v>
      </c>
      <c r="C132">
        <v>999</v>
      </c>
      <c r="D132">
        <v>760</v>
      </c>
      <c r="E132">
        <v>999</v>
      </c>
      <c r="F132">
        <v>0</v>
      </c>
      <c r="G132" s="3">
        <v>40756</v>
      </c>
      <c r="H132" s="3">
        <v>40756</v>
      </c>
      <c r="I132" s="3">
        <v>40969</v>
      </c>
      <c r="J132" s="4"/>
    </row>
    <row r="133" spans="1:19" x14ac:dyDescent="0.25">
      <c r="A133" t="s">
        <v>37</v>
      </c>
      <c r="B133">
        <v>80</v>
      </c>
      <c r="C133">
        <v>999</v>
      </c>
      <c r="D133">
        <v>720</v>
      </c>
      <c r="E133">
        <v>760</v>
      </c>
      <c r="F133">
        <v>0</v>
      </c>
      <c r="G133" s="3">
        <v>40756</v>
      </c>
      <c r="H133" s="3">
        <v>40756</v>
      </c>
      <c r="I133" s="3">
        <v>40969</v>
      </c>
      <c r="J133" s="4"/>
    </row>
    <row r="134" spans="1:19" x14ac:dyDescent="0.25">
      <c r="A134" t="s">
        <v>37</v>
      </c>
      <c r="B134">
        <v>80</v>
      </c>
      <c r="C134">
        <v>999</v>
      </c>
      <c r="D134">
        <v>680</v>
      </c>
      <c r="E134">
        <v>720</v>
      </c>
      <c r="F134">
        <v>0</v>
      </c>
      <c r="G134" s="3">
        <v>40756</v>
      </c>
      <c r="H134" s="3">
        <v>40756</v>
      </c>
      <c r="I134" s="3">
        <v>40969</v>
      </c>
      <c r="J134" s="4"/>
      <c r="S134" t="s">
        <v>10</v>
      </c>
    </row>
    <row r="135" spans="1:19" x14ac:dyDescent="0.25">
      <c r="A135" t="s">
        <v>37</v>
      </c>
      <c r="B135">
        <v>80</v>
      </c>
      <c r="C135">
        <v>999</v>
      </c>
      <c r="D135">
        <v>620</v>
      </c>
      <c r="E135">
        <v>680</v>
      </c>
      <c r="F135">
        <v>0</v>
      </c>
      <c r="G135" s="3">
        <v>40756</v>
      </c>
      <c r="H135" s="3">
        <v>40756</v>
      </c>
      <c r="I135" s="3">
        <v>40969</v>
      </c>
      <c r="J135" s="4"/>
      <c r="N135" s="2"/>
      <c r="O135" s="2"/>
      <c r="P135" s="2"/>
      <c r="Q135" s="2"/>
      <c r="R135" s="2"/>
    </row>
    <row r="136" spans="1:19" x14ac:dyDescent="0.25">
      <c r="A136" t="s">
        <v>37</v>
      </c>
      <c r="B136">
        <v>80</v>
      </c>
      <c r="C136">
        <v>999</v>
      </c>
      <c r="D136">
        <v>300</v>
      </c>
      <c r="E136">
        <v>620</v>
      </c>
      <c r="G136" s="3">
        <v>40756</v>
      </c>
      <c r="H136" s="3">
        <v>40756</v>
      </c>
      <c r="I136" s="3">
        <v>40969</v>
      </c>
      <c r="J136" s="4"/>
      <c r="N136" s="7"/>
      <c r="O136" s="7"/>
      <c r="P136" s="7"/>
      <c r="Q136" s="7"/>
      <c r="R136" s="2"/>
    </row>
    <row r="137" spans="1:19" x14ac:dyDescent="0.25">
      <c r="A137" t="s">
        <v>38</v>
      </c>
      <c r="B137">
        <v>80</v>
      </c>
      <c r="C137">
        <v>999</v>
      </c>
      <c r="D137">
        <v>760</v>
      </c>
      <c r="E137">
        <v>999</v>
      </c>
      <c r="F137">
        <v>0</v>
      </c>
      <c r="G137" s="3">
        <v>40756</v>
      </c>
      <c r="H137" s="3">
        <v>40756</v>
      </c>
      <c r="I137" s="3">
        <v>40969</v>
      </c>
      <c r="J137" s="4"/>
      <c r="N137" s="7"/>
      <c r="O137" s="7"/>
      <c r="P137" s="7"/>
      <c r="Q137" s="7"/>
      <c r="R137" s="2"/>
    </row>
    <row r="138" spans="1:19" x14ac:dyDescent="0.25">
      <c r="A138" t="s">
        <v>38</v>
      </c>
      <c r="B138">
        <v>80</v>
      </c>
      <c r="C138">
        <v>999</v>
      </c>
      <c r="D138">
        <v>720</v>
      </c>
      <c r="E138">
        <v>760</v>
      </c>
      <c r="F138">
        <v>0</v>
      </c>
      <c r="G138" s="3">
        <v>40756</v>
      </c>
      <c r="H138" s="3">
        <v>40756</v>
      </c>
      <c r="I138" s="3">
        <v>40969</v>
      </c>
      <c r="J138" s="4"/>
      <c r="N138" s="7"/>
      <c r="O138" s="7"/>
      <c r="P138" s="7"/>
      <c r="Q138" s="7"/>
      <c r="R138" s="2"/>
    </row>
    <row r="139" spans="1:19" x14ac:dyDescent="0.25">
      <c r="A139" t="s">
        <v>38</v>
      </c>
      <c r="B139">
        <v>80</v>
      </c>
      <c r="C139">
        <v>999</v>
      </c>
      <c r="D139">
        <v>680</v>
      </c>
      <c r="E139">
        <v>720</v>
      </c>
      <c r="F139">
        <v>0</v>
      </c>
      <c r="G139" s="3">
        <v>40756</v>
      </c>
      <c r="H139" s="3">
        <v>40756</v>
      </c>
      <c r="I139" s="3">
        <v>40969</v>
      </c>
      <c r="J139" s="4"/>
      <c r="N139" s="7"/>
      <c r="O139" s="7"/>
      <c r="P139" s="7"/>
      <c r="Q139" s="7"/>
      <c r="R139" s="2"/>
    </row>
    <row r="140" spans="1:19" x14ac:dyDescent="0.25">
      <c r="A140" t="s">
        <v>38</v>
      </c>
      <c r="B140">
        <v>80</v>
      </c>
      <c r="C140">
        <v>999</v>
      </c>
      <c r="D140">
        <v>620</v>
      </c>
      <c r="E140">
        <v>680</v>
      </c>
      <c r="F140">
        <v>0</v>
      </c>
      <c r="G140" s="3">
        <v>40756</v>
      </c>
      <c r="H140" s="3">
        <v>40756</v>
      </c>
      <c r="I140" s="3">
        <v>40969</v>
      </c>
      <c r="J140" s="4"/>
      <c r="N140" s="7"/>
      <c r="O140" s="7"/>
      <c r="P140" s="7"/>
      <c r="Q140" s="7"/>
      <c r="R140" s="2"/>
    </row>
    <row r="141" spans="1:19" x14ac:dyDescent="0.25">
      <c r="A141" t="s">
        <v>38</v>
      </c>
      <c r="B141">
        <v>80</v>
      </c>
      <c r="C141">
        <v>999</v>
      </c>
      <c r="D141">
        <v>300</v>
      </c>
      <c r="E141">
        <v>620</v>
      </c>
      <c r="G141" s="3">
        <v>40756</v>
      </c>
      <c r="H141" s="3">
        <v>40756</v>
      </c>
      <c r="I141" s="3">
        <v>40969</v>
      </c>
      <c r="J141" s="4"/>
      <c r="N141" s="7"/>
      <c r="O141" s="7"/>
      <c r="P141" s="7"/>
      <c r="Q141" s="7"/>
      <c r="R141" s="2"/>
    </row>
    <row r="142" spans="1:19" x14ac:dyDescent="0.25">
      <c r="A142" t="s">
        <v>35</v>
      </c>
      <c r="B142">
        <v>0</v>
      </c>
      <c r="C142">
        <v>80</v>
      </c>
      <c r="D142">
        <v>760</v>
      </c>
      <c r="E142">
        <v>999</v>
      </c>
      <c r="F142">
        <v>0</v>
      </c>
      <c r="G142" s="3">
        <v>40756</v>
      </c>
      <c r="H142" s="3">
        <v>40756</v>
      </c>
      <c r="I142" s="3">
        <v>40969</v>
      </c>
      <c r="J142" s="4"/>
      <c r="N142" s="7"/>
      <c r="O142" s="7"/>
      <c r="P142" s="7"/>
      <c r="Q142" s="7"/>
      <c r="R142" s="2"/>
    </row>
    <row r="143" spans="1:19" x14ac:dyDescent="0.25">
      <c r="A143" t="s">
        <v>35</v>
      </c>
      <c r="B143">
        <v>0</v>
      </c>
      <c r="C143">
        <v>80</v>
      </c>
      <c r="D143">
        <v>720</v>
      </c>
      <c r="E143">
        <v>760</v>
      </c>
      <c r="F143">
        <v>0</v>
      </c>
      <c r="G143" s="3">
        <v>40756</v>
      </c>
      <c r="H143" s="3">
        <v>40756</v>
      </c>
      <c r="I143" s="3">
        <v>40969</v>
      </c>
      <c r="J143" s="4"/>
      <c r="N143" s="7"/>
      <c r="O143" s="7"/>
      <c r="P143" s="7"/>
      <c r="Q143" s="7"/>
    </row>
    <row r="144" spans="1:19" x14ac:dyDescent="0.25">
      <c r="A144" t="s">
        <v>35</v>
      </c>
      <c r="B144">
        <v>0</v>
      </c>
      <c r="C144">
        <v>80</v>
      </c>
      <c r="D144">
        <v>680</v>
      </c>
      <c r="E144">
        <v>720</v>
      </c>
      <c r="F144">
        <v>0</v>
      </c>
      <c r="G144" s="3">
        <v>40756</v>
      </c>
      <c r="H144" s="3">
        <v>40756</v>
      </c>
      <c r="I144" s="3">
        <v>40969</v>
      </c>
      <c r="J144" s="4"/>
      <c r="N144" s="7"/>
      <c r="O144" s="7"/>
      <c r="P144" s="7"/>
      <c r="Q144" s="7"/>
    </row>
    <row r="145" spans="1:17" x14ac:dyDescent="0.25">
      <c r="A145" t="s">
        <v>35</v>
      </c>
      <c r="B145">
        <v>0</v>
      </c>
      <c r="C145">
        <v>80</v>
      </c>
      <c r="D145">
        <v>620</v>
      </c>
      <c r="E145">
        <v>680</v>
      </c>
      <c r="F145">
        <v>0</v>
      </c>
      <c r="G145" s="3">
        <v>40756</v>
      </c>
      <c r="H145" s="3">
        <v>40756</v>
      </c>
      <c r="I145" s="3">
        <v>40969</v>
      </c>
      <c r="J145" s="4"/>
      <c r="N145" s="7"/>
      <c r="O145" s="7"/>
      <c r="P145" s="7"/>
      <c r="Q145" s="7"/>
    </row>
    <row r="146" spans="1:17" x14ac:dyDescent="0.25">
      <c r="A146" t="s">
        <v>35</v>
      </c>
      <c r="B146">
        <v>0</v>
      </c>
      <c r="C146">
        <v>80</v>
      </c>
      <c r="D146">
        <v>300</v>
      </c>
      <c r="E146">
        <v>620</v>
      </c>
      <c r="G146" s="3">
        <v>40756</v>
      </c>
      <c r="H146" s="3">
        <v>40756</v>
      </c>
      <c r="I146" s="3">
        <v>40969</v>
      </c>
      <c r="J146" s="4"/>
      <c r="N146" s="7"/>
      <c r="O146" s="7"/>
      <c r="P146" s="7"/>
      <c r="Q146" s="7"/>
    </row>
    <row r="147" spans="1:17" x14ac:dyDescent="0.25">
      <c r="A147" t="s">
        <v>36</v>
      </c>
      <c r="B147">
        <v>0</v>
      </c>
      <c r="C147">
        <v>80</v>
      </c>
      <c r="D147">
        <v>760</v>
      </c>
      <c r="E147">
        <v>999</v>
      </c>
      <c r="F147">
        <v>0</v>
      </c>
      <c r="G147" s="3">
        <v>40756</v>
      </c>
      <c r="H147" s="3">
        <v>40756</v>
      </c>
      <c r="I147" s="3">
        <v>40969</v>
      </c>
      <c r="J147" s="4"/>
      <c r="N147" s="7"/>
      <c r="O147" s="7"/>
      <c r="P147" s="7"/>
      <c r="Q147" s="7"/>
    </row>
    <row r="148" spans="1:17" x14ac:dyDescent="0.25">
      <c r="A148" t="s">
        <v>36</v>
      </c>
      <c r="B148">
        <v>0</v>
      </c>
      <c r="C148">
        <v>80</v>
      </c>
      <c r="D148">
        <v>720</v>
      </c>
      <c r="E148">
        <v>760</v>
      </c>
      <c r="F148">
        <v>0</v>
      </c>
      <c r="G148" s="3">
        <v>40756</v>
      </c>
      <c r="H148" s="3">
        <v>40756</v>
      </c>
      <c r="I148" s="3">
        <v>40969</v>
      </c>
      <c r="J148" s="4"/>
      <c r="N148" s="7"/>
      <c r="O148" s="7"/>
      <c r="P148" s="7"/>
      <c r="Q148" s="7"/>
    </row>
    <row r="149" spans="1:17" x14ac:dyDescent="0.25">
      <c r="A149" t="s">
        <v>36</v>
      </c>
      <c r="B149">
        <v>0</v>
      </c>
      <c r="C149">
        <v>80</v>
      </c>
      <c r="D149">
        <v>680</v>
      </c>
      <c r="E149">
        <v>720</v>
      </c>
      <c r="F149">
        <v>0</v>
      </c>
      <c r="G149" s="3">
        <v>40756</v>
      </c>
      <c r="H149" s="3">
        <v>40756</v>
      </c>
      <c r="I149" s="3">
        <v>40969</v>
      </c>
      <c r="J149" s="4"/>
    </row>
    <row r="150" spans="1:17" x14ac:dyDescent="0.25">
      <c r="A150" t="s">
        <v>36</v>
      </c>
      <c r="B150">
        <v>0</v>
      </c>
      <c r="C150">
        <v>80</v>
      </c>
      <c r="D150">
        <v>620</v>
      </c>
      <c r="E150">
        <v>680</v>
      </c>
      <c r="F150">
        <v>0</v>
      </c>
      <c r="G150" s="3">
        <v>40756</v>
      </c>
      <c r="H150" s="3">
        <v>40756</v>
      </c>
      <c r="I150" s="3">
        <v>40969</v>
      </c>
      <c r="J150" s="4"/>
    </row>
    <row r="151" spans="1:17" x14ac:dyDescent="0.25">
      <c r="A151" t="s">
        <v>36</v>
      </c>
      <c r="B151">
        <v>0</v>
      </c>
      <c r="C151">
        <v>80</v>
      </c>
      <c r="D151">
        <v>300</v>
      </c>
      <c r="E151">
        <v>620</v>
      </c>
      <c r="G151" s="3">
        <v>40756</v>
      </c>
      <c r="H151" s="3">
        <v>40756</v>
      </c>
      <c r="I151" s="3">
        <v>40969</v>
      </c>
      <c r="J151" s="4"/>
    </row>
    <row r="152" spans="1:17" x14ac:dyDescent="0.25">
      <c r="A152" t="s">
        <v>37</v>
      </c>
      <c r="B152">
        <v>0</v>
      </c>
      <c r="C152">
        <v>80</v>
      </c>
      <c r="D152">
        <v>760</v>
      </c>
      <c r="E152">
        <v>999</v>
      </c>
      <c r="F152">
        <v>0</v>
      </c>
      <c r="G152" s="3">
        <v>40756</v>
      </c>
      <c r="H152" s="3">
        <v>40756</v>
      </c>
      <c r="I152" s="3">
        <v>40969</v>
      </c>
      <c r="J152" s="4"/>
    </row>
    <row r="153" spans="1:17" x14ac:dyDescent="0.25">
      <c r="A153" t="s">
        <v>37</v>
      </c>
      <c r="B153">
        <v>0</v>
      </c>
      <c r="C153">
        <v>80</v>
      </c>
      <c r="D153">
        <v>720</v>
      </c>
      <c r="E153">
        <v>760</v>
      </c>
      <c r="F153">
        <v>0</v>
      </c>
      <c r="G153" s="3">
        <v>40756</v>
      </c>
      <c r="H153" s="3">
        <v>40756</v>
      </c>
      <c r="I153" s="3">
        <v>40969</v>
      </c>
      <c r="J153" s="4"/>
    </row>
    <row r="154" spans="1:17" x14ac:dyDescent="0.25">
      <c r="A154" t="s">
        <v>37</v>
      </c>
      <c r="B154">
        <v>0</v>
      </c>
      <c r="C154">
        <v>80</v>
      </c>
      <c r="D154">
        <v>680</v>
      </c>
      <c r="E154">
        <v>720</v>
      </c>
      <c r="F154">
        <v>0</v>
      </c>
      <c r="G154" s="3">
        <v>40756</v>
      </c>
      <c r="H154" s="3">
        <v>40756</v>
      </c>
      <c r="I154" s="3">
        <v>40969</v>
      </c>
      <c r="J154" s="4"/>
    </row>
    <row r="155" spans="1:17" x14ac:dyDescent="0.25">
      <c r="A155" t="s">
        <v>37</v>
      </c>
      <c r="B155">
        <v>0</v>
      </c>
      <c r="C155">
        <v>80</v>
      </c>
      <c r="D155">
        <v>620</v>
      </c>
      <c r="E155">
        <v>680</v>
      </c>
      <c r="F155">
        <v>0</v>
      </c>
      <c r="G155" s="3">
        <v>40756</v>
      </c>
      <c r="H155" s="3">
        <v>40756</v>
      </c>
      <c r="I155" s="3">
        <v>40969</v>
      </c>
      <c r="J155" s="4"/>
    </row>
    <row r="156" spans="1:17" x14ac:dyDescent="0.25">
      <c r="A156" t="s">
        <v>37</v>
      </c>
      <c r="B156">
        <v>0</v>
      </c>
      <c r="C156">
        <v>80</v>
      </c>
      <c r="D156">
        <v>300</v>
      </c>
      <c r="E156">
        <v>620</v>
      </c>
      <c r="G156" s="3">
        <v>40756</v>
      </c>
      <c r="H156" s="3">
        <v>40756</v>
      </c>
      <c r="I156" s="3">
        <v>40969</v>
      </c>
      <c r="J156" s="4"/>
    </row>
    <row r="157" spans="1:17" x14ac:dyDescent="0.25">
      <c r="A157" t="s">
        <v>38</v>
      </c>
      <c r="B157">
        <v>0</v>
      </c>
      <c r="C157">
        <v>80</v>
      </c>
      <c r="D157">
        <v>760</v>
      </c>
      <c r="E157">
        <v>999</v>
      </c>
      <c r="F157">
        <v>0</v>
      </c>
      <c r="G157" s="3">
        <v>40756</v>
      </c>
      <c r="H157" s="3">
        <v>40756</v>
      </c>
      <c r="I157" s="3">
        <v>40969</v>
      </c>
      <c r="J157" s="4"/>
    </row>
    <row r="158" spans="1:17" x14ac:dyDescent="0.25">
      <c r="A158" t="s">
        <v>38</v>
      </c>
      <c r="B158">
        <v>0</v>
      </c>
      <c r="C158">
        <v>80</v>
      </c>
      <c r="D158">
        <v>720</v>
      </c>
      <c r="E158">
        <v>760</v>
      </c>
      <c r="F158">
        <v>0</v>
      </c>
      <c r="G158" s="3">
        <v>40756</v>
      </c>
      <c r="H158" s="3">
        <v>40756</v>
      </c>
      <c r="I158" s="3">
        <v>40969</v>
      </c>
      <c r="J158" s="4"/>
    </row>
    <row r="159" spans="1:17" x14ac:dyDescent="0.25">
      <c r="A159" t="s">
        <v>38</v>
      </c>
      <c r="B159">
        <v>0</v>
      </c>
      <c r="C159">
        <v>80</v>
      </c>
      <c r="D159">
        <v>680</v>
      </c>
      <c r="E159">
        <v>720</v>
      </c>
      <c r="F159">
        <v>0</v>
      </c>
      <c r="G159" s="3">
        <v>40756</v>
      </c>
      <c r="H159" s="3">
        <v>40756</v>
      </c>
      <c r="I159" s="3">
        <v>40969</v>
      </c>
      <c r="J159" s="4"/>
    </row>
    <row r="160" spans="1:17" x14ac:dyDescent="0.25">
      <c r="A160" t="s">
        <v>38</v>
      </c>
      <c r="B160">
        <v>0</v>
      </c>
      <c r="C160">
        <v>80</v>
      </c>
      <c r="D160">
        <v>620</v>
      </c>
      <c r="E160">
        <v>680</v>
      </c>
      <c r="F160">
        <v>0</v>
      </c>
      <c r="G160" s="3">
        <v>40756</v>
      </c>
      <c r="H160" s="3">
        <v>40756</v>
      </c>
      <c r="I160" s="3">
        <v>40969</v>
      </c>
      <c r="J160" s="4"/>
    </row>
    <row r="161" spans="1:18" x14ac:dyDescent="0.25">
      <c r="A161" t="s">
        <v>38</v>
      </c>
      <c r="B161">
        <v>0</v>
      </c>
      <c r="C161">
        <v>80</v>
      </c>
      <c r="D161">
        <v>300</v>
      </c>
      <c r="E161">
        <v>620</v>
      </c>
      <c r="G161" s="3">
        <v>40756</v>
      </c>
      <c r="H161" s="3">
        <v>40756</v>
      </c>
      <c r="I161" s="3">
        <v>40969</v>
      </c>
      <c r="J161" s="4"/>
    </row>
    <row r="162" spans="1:18" x14ac:dyDescent="0.25">
      <c r="A162" t="s">
        <v>35</v>
      </c>
      <c r="B162">
        <v>80</v>
      </c>
      <c r="C162">
        <v>999</v>
      </c>
      <c r="D162">
        <v>760</v>
      </c>
      <c r="E162">
        <v>999</v>
      </c>
      <c r="F162">
        <v>0</v>
      </c>
      <c r="G162" s="3">
        <v>40969</v>
      </c>
      <c r="H162" s="3">
        <v>40969</v>
      </c>
      <c r="I162" s="3">
        <v>41306</v>
      </c>
      <c r="J162" s="4"/>
      <c r="L162" s="3">
        <v>40969</v>
      </c>
      <c r="N162" t="s">
        <v>11</v>
      </c>
      <c r="O162" t="s">
        <v>12</v>
      </c>
      <c r="P162" t="s">
        <v>13</v>
      </c>
      <c r="Q162" t="s">
        <v>14</v>
      </c>
      <c r="R162" t="s">
        <v>19</v>
      </c>
    </row>
    <row r="163" spans="1:18" x14ac:dyDescent="0.25">
      <c r="A163" t="s">
        <v>35</v>
      </c>
      <c r="B163">
        <v>80</v>
      </c>
      <c r="C163">
        <v>999</v>
      </c>
      <c r="D163">
        <v>720</v>
      </c>
      <c r="E163">
        <v>760</v>
      </c>
      <c r="F163">
        <v>0</v>
      </c>
      <c r="G163" s="3">
        <v>40969</v>
      </c>
      <c r="H163" s="3">
        <v>40969</v>
      </c>
      <c r="I163" s="3">
        <v>41306</v>
      </c>
      <c r="J163" s="4"/>
      <c r="L163" t="s">
        <v>35</v>
      </c>
      <c r="M163" t="s">
        <v>58</v>
      </c>
      <c r="N163" s="7">
        <v>0</v>
      </c>
      <c r="O163" s="7">
        <v>0</v>
      </c>
      <c r="P163" s="7">
        <v>0</v>
      </c>
      <c r="Q163" s="7">
        <v>0</v>
      </c>
      <c r="R163" s="2" t="s">
        <v>34</v>
      </c>
    </row>
    <row r="164" spans="1:18" x14ac:dyDescent="0.25">
      <c r="A164" t="s">
        <v>35</v>
      </c>
      <c r="B164">
        <v>80</v>
      </c>
      <c r="C164">
        <v>999</v>
      </c>
      <c r="D164">
        <v>680</v>
      </c>
      <c r="E164">
        <v>720</v>
      </c>
      <c r="F164">
        <v>0</v>
      </c>
      <c r="G164" s="3">
        <v>40969</v>
      </c>
      <c r="H164" s="3">
        <v>40969</v>
      </c>
      <c r="I164" s="3">
        <v>41306</v>
      </c>
      <c r="J164" s="4"/>
      <c r="L164" t="s">
        <v>36</v>
      </c>
      <c r="M164" t="s">
        <v>58</v>
      </c>
      <c r="N164" s="7">
        <v>11.999999999999998</v>
      </c>
      <c r="O164" s="7">
        <v>14</v>
      </c>
      <c r="P164" s="7">
        <v>20</v>
      </c>
      <c r="Q164" s="7">
        <v>35</v>
      </c>
      <c r="R164" s="2" t="s">
        <v>34</v>
      </c>
    </row>
    <row r="165" spans="1:18" x14ac:dyDescent="0.25">
      <c r="A165" t="s">
        <v>35</v>
      </c>
      <c r="B165">
        <v>80</v>
      </c>
      <c r="C165">
        <v>999</v>
      </c>
      <c r="D165">
        <v>620</v>
      </c>
      <c r="E165">
        <v>680</v>
      </c>
      <c r="F165">
        <v>0</v>
      </c>
      <c r="G165" s="3">
        <v>40969</v>
      </c>
      <c r="H165" s="3">
        <v>40969</v>
      </c>
      <c r="I165" s="3">
        <v>41306</v>
      </c>
      <c r="J165" s="4"/>
      <c r="L165" t="s">
        <v>37</v>
      </c>
      <c r="M165" t="s">
        <v>58</v>
      </c>
      <c r="N165" s="7">
        <v>0</v>
      </c>
      <c r="O165" s="7">
        <v>0</v>
      </c>
      <c r="P165" s="7">
        <v>0</v>
      </c>
      <c r="Q165" s="7">
        <v>0</v>
      </c>
      <c r="R165" s="2" t="s">
        <v>34</v>
      </c>
    </row>
    <row r="166" spans="1:18" x14ac:dyDescent="0.25">
      <c r="A166" t="s">
        <v>35</v>
      </c>
      <c r="B166">
        <v>80</v>
      </c>
      <c r="C166">
        <v>999</v>
      </c>
      <c r="D166">
        <v>300</v>
      </c>
      <c r="E166">
        <v>620</v>
      </c>
      <c r="G166" s="3">
        <v>40969</v>
      </c>
      <c r="H166" s="3">
        <v>40969</v>
      </c>
      <c r="I166" s="3">
        <v>41306</v>
      </c>
      <c r="J166" s="4"/>
      <c r="L166" t="s">
        <v>38</v>
      </c>
      <c r="M166" t="s">
        <v>58</v>
      </c>
      <c r="N166" s="7">
        <v>0</v>
      </c>
      <c r="O166" s="7">
        <v>0</v>
      </c>
      <c r="P166" s="7">
        <v>0</v>
      </c>
      <c r="Q166" s="7">
        <v>0</v>
      </c>
      <c r="R166" s="2" t="s">
        <v>34</v>
      </c>
    </row>
    <row r="167" spans="1:18" x14ac:dyDescent="0.25">
      <c r="A167" t="s">
        <v>36</v>
      </c>
      <c r="B167">
        <v>80</v>
      </c>
      <c r="C167">
        <v>999</v>
      </c>
      <c r="D167">
        <v>760</v>
      </c>
      <c r="E167">
        <v>999</v>
      </c>
      <c r="F167">
        <v>12</v>
      </c>
      <c r="G167" s="3">
        <v>40969</v>
      </c>
      <c r="H167" s="3">
        <v>40969</v>
      </c>
      <c r="I167" s="3">
        <v>41306</v>
      </c>
      <c r="J167" s="4"/>
      <c r="L167" t="s">
        <v>35</v>
      </c>
      <c r="M167" t="s">
        <v>59</v>
      </c>
      <c r="N167" s="7">
        <v>0</v>
      </c>
      <c r="O167" s="7">
        <v>0</v>
      </c>
      <c r="P167" s="7">
        <v>0</v>
      </c>
      <c r="Q167" s="7">
        <v>0</v>
      </c>
      <c r="R167" s="2" t="s">
        <v>34</v>
      </c>
    </row>
    <row r="168" spans="1:18" x14ac:dyDescent="0.25">
      <c r="A168" t="s">
        <v>36</v>
      </c>
      <c r="B168">
        <v>80</v>
      </c>
      <c r="C168">
        <v>999</v>
      </c>
      <c r="D168">
        <v>720</v>
      </c>
      <c r="E168">
        <v>760</v>
      </c>
      <c r="F168">
        <v>14</v>
      </c>
      <c r="G168" s="3">
        <v>40969</v>
      </c>
      <c r="H168" s="3">
        <v>40969</v>
      </c>
      <c r="I168" s="3">
        <v>41306</v>
      </c>
      <c r="J168" s="4"/>
      <c r="L168" t="s">
        <v>36</v>
      </c>
      <c r="M168" t="s">
        <v>59</v>
      </c>
      <c r="N168" s="7">
        <v>0</v>
      </c>
      <c r="O168" s="7">
        <v>0</v>
      </c>
      <c r="P168" s="7">
        <v>0</v>
      </c>
      <c r="Q168" s="7">
        <v>0</v>
      </c>
      <c r="R168" s="2" t="s">
        <v>34</v>
      </c>
    </row>
    <row r="169" spans="1:18" x14ac:dyDescent="0.25">
      <c r="A169" t="s">
        <v>36</v>
      </c>
      <c r="B169">
        <v>80</v>
      </c>
      <c r="C169">
        <v>999</v>
      </c>
      <c r="D169">
        <v>680</v>
      </c>
      <c r="E169">
        <v>720</v>
      </c>
      <c r="F169">
        <v>20</v>
      </c>
      <c r="G169" s="3">
        <v>40969</v>
      </c>
      <c r="H169" s="3">
        <v>40969</v>
      </c>
      <c r="I169" s="3">
        <v>41306</v>
      </c>
      <c r="J169" s="4"/>
      <c r="L169" t="s">
        <v>37</v>
      </c>
      <c r="M169" t="s">
        <v>59</v>
      </c>
      <c r="N169" s="7">
        <v>0</v>
      </c>
      <c r="O169" s="7">
        <v>0</v>
      </c>
      <c r="P169" s="7">
        <v>0</v>
      </c>
      <c r="Q169" s="7">
        <v>0</v>
      </c>
      <c r="R169" s="2" t="s">
        <v>34</v>
      </c>
    </row>
    <row r="170" spans="1:18" x14ac:dyDescent="0.25">
      <c r="A170" t="s">
        <v>36</v>
      </c>
      <c r="B170">
        <v>80</v>
      </c>
      <c r="C170">
        <v>999</v>
      </c>
      <c r="D170">
        <v>620</v>
      </c>
      <c r="E170">
        <v>680</v>
      </c>
      <c r="F170">
        <v>35</v>
      </c>
      <c r="G170" s="3">
        <v>40969</v>
      </c>
      <c r="H170" s="3">
        <v>40969</v>
      </c>
      <c r="I170" s="3">
        <v>41306</v>
      </c>
      <c r="J170" s="4"/>
      <c r="L170" t="s">
        <v>38</v>
      </c>
      <c r="M170" t="s">
        <v>59</v>
      </c>
      <c r="N170" s="7">
        <v>0</v>
      </c>
      <c r="O170" s="7">
        <v>0</v>
      </c>
      <c r="P170" s="7">
        <v>0</v>
      </c>
      <c r="Q170" s="7">
        <v>0</v>
      </c>
      <c r="R170" s="2" t="s">
        <v>34</v>
      </c>
    </row>
    <row r="171" spans="1:18" x14ac:dyDescent="0.25">
      <c r="A171" t="s">
        <v>36</v>
      </c>
      <c r="B171">
        <v>80</v>
      </c>
      <c r="C171">
        <v>999</v>
      </c>
      <c r="D171">
        <v>300</v>
      </c>
      <c r="E171">
        <v>620</v>
      </c>
      <c r="G171" s="3">
        <v>40969</v>
      </c>
      <c r="H171" s="3">
        <v>40969</v>
      </c>
      <c r="I171" s="3">
        <v>41306</v>
      </c>
      <c r="J171" s="4"/>
    </row>
    <row r="172" spans="1:18" x14ac:dyDescent="0.25">
      <c r="A172" t="s">
        <v>37</v>
      </c>
      <c r="B172">
        <v>80</v>
      </c>
      <c r="C172">
        <v>999</v>
      </c>
      <c r="D172">
        <v>760</v>
      </c>
      <c r="E172">
        <v>999</v>
      </c>
      <c r="F172">
        <v>0</v>
      </c>
      <c r="G172" s="3">
        <v>40969</v>
      </c>
      <c r="H172" s="3">
        <v>40969</v>
      </c>
      <c r="I172" s="3">
        <v>41306</v>
      </c>
      <c r="J172" s="4"/>
    </row>
    <row r="173" spans="1:18" x14ac:dyDescent="0.25">
      <c r="A173" t="s">
        <v>37</v>
      </c>
      <c r="B173">
        <v>80</v>
      </c>
      <c r="C173">
        <v>999</v>
      </c>
      <c r="D173">
        <v>720</v>
      </c>
      <c r="E173">
        <v>760</v>
      </c>
      <c r="F173">
        <v>0</v>
      </c>
      <c r="G173" s="3">
        <v>40969</v>
      </c>
      <c r="H173" s="3">
        <v>40969</v>
      </c>
      <c r="I173" s="3">
        <v>41306</v>
      </c>
      <c r="J173" s="4"/>
    </row>
    <row r="174" spans="1:18" x14ac:dyDescent="0.25">
      <c r="A174" t="s">
        <v>37</v>
      </c>
      <c r="B174">
        <v>80</v>
      </c>
      <c r="C174">
        <v>999</v>
      </c>
      <c r="D174">
        <v>680</v>
      </c>
      <c r="E174">
        <v>720</v>
      </c>
      <c r="F174">
        <v>0</v>
      </c>
      <c r="G174" s="3">
        <v>40969</v>
      </c>
      <c r="H174" s="3">
        <v>40969</v>
      </c>
      <c r="I174" s="3">
        <v>41306</v>
      </c>
      <c r="J174" s="4"/>
    </row>
    <row r="175" spans="1:18" x14ac:dyDescent="0.25">
      <c r="A175" t="s">
        <v>37</v>
      </c>
      <c r="B175">
        <v>80</v>
      </c>
      <c r="C175">
        <v>999</v>
      </c>
      <c r="D175">
        <v>620</v>
      </c>
      <c r="E175">
        <v>680</v>
      </c>
      <c r="F175">
        <v>0</v>
      </c>
      <c r="G175" s="3">
        <v>40969</v>
      </c>
      <c r="H175" s="3">
        <v>40969</v>
      </c>
      <c r="I175" s="3">
        <v>41306</v>
      </c>
      <c r="J175" s="4"/>
      <c r="N175" s="2"/>
      <c r="O175" s="2"/>
      <c r="P175" s="2"/>
      <c r="Q175" s="2"/>
      <c r="R175" s="2"/>
    </row>
    <row r="176" spans="1:18" x14ac:dyDescent="0.25">
      <c r="A176" t="s">
        <v>37</v>
      </c>
      <c r="B176">
        <v>80</v>
      </c>
      <c r="C176">
        <v>999</v>
      </c>
      <c r="D176">
        <v>300</v>
      </c>
      <c r="E176">
        <v>620</v>
      </c>
      <c r="G176" s="3">
        <v>40969</v>
      </c>
      <c r="H176" s="3">
        <v>40969</v>
      </c>
      <c r="I176" s="3">
        <v>41306</v>
      </c>
      <c r="J176" s="4"/>
      <c r="N176" s="7"/>
      <c r="O176" s="7"/>
      <c r="P176" s="7"/>
      <c r="Q176" s="7"/>
      <c r="R176" s="2"/>
    </row>
    <row r="177" spans="1:18" x14ac:dyDescent="0.25">
      <c r="A177" t="s">
        <v>38</v>
      </c>
      <c r="B177">
        <v>80</v>
      </c>
      <c r="C177">
        <v>999</v>
      </c>
      <c r="D177">
        <v>760</v>
      </c>
      <c r="E177">
        <v>999</v>
      </c>
      <c r="F177">
        <v>0</v>
      </c>
      <c r="G177" s="3">
        <v>40969</v>
      </c>
      <c r="H177" s="3">
        <v>40969</v>
      </c>
      <c r="I177" s="3">
        <v>41306</v>
      </c>
      <c r="J177" s="4"/>
      <c r="N177" s="7"/>
      <c r="O177" s="7"/>
      <c r="P177" s="7"/>
      <c r="Q177" s="7"/>
      <c r="R177" s="2"/>
    </row>
    <row r="178" spans="1:18" x14ac:dyDescent="0.25">
      <c r="A178" t="s">
        <v>38</v>
      </c>
      <c r="B178">
        <v>80</v>
      </c>
      <c r="C178">
        <v>999</v>
      </c>
      <c r="D178">
        <v>720</v>
      </c>
      <c r="E178">
        <v>760</v>
      </c>
      <c r="F178">
        <v>0</v>
      </c>
      <c r="G178" s="3">
        <v>40969</v>
      </c>
      <c r="H178" s="3">
        <v>40969</v>
      </c>
      <c r="I178" s="3">
        <v>41306</v>
      </c>
      <c r="J178" s="4"/>
      <c r="N178" s="7"/>
      <c r="O178" s="7"/>
      <c r="P178" s="7"/>
      <c r="Q178" s="7"/>
      <c r="R178" s="2"/>
    </row>
    <row r="179" spans="1:18" x14ac:dyDescent="0.25">
      <c r="A179" t="s">
        <v>38</v>
      </c>
      <c r="B179">
        <v>80</v>
      </c>
      <c r="C179">
        <v>999</v>
      </c>
      <c r="D179">
        <v>680</v>
      </c>
      <c r="E179">
        <v>720</v>
      </c>
      <c r="F179">
        <v>0</v>
      </c>
      <c r="G179" s="3">
        <v>40969</v>
      </c>
      <c r="H179" s="3">
        <v>40969</v>
      </c>
      <c r="I179" s="3">
        <v>41306</v>
      </c>
      <c r="J179" s="4"/>
      <c r="N179" s="7"/>
      <c r="O179" s="7"/>
      <c r="P179" s="7"/>
      <c r="Q179" s="7"/>
      <c r="R179" s="2"/>
    </row>
    <row r="180" spans="1:18" x14ac:dyDescent="0.25">
      <c r="A180" t="s">
        <v>38</v>
      </c>
      <c r="B180">
        <v>80</v>
      </c>
      <c r="C180">
        <v>999</v>
      </c>
      <c r="D180">
        <v>620</v>
      </c>
      <c r="E180">
        <v>680</v>
      </c>
      <c r="F180">
        <v>0</v>
      </c>
      <c r="G180" s="3">
        <v>40969</v>
      </c>
      <c r="H180" s="3">
        <v>40969</v>
      </c>
      <c r="I180" s="3">
        <v>41306</v>
      </c>
      <c r="J180" s="4"/>
      <c r="N180" s="7"/>
      <c r="O180" s="7"/>
      <c r="P180" s="7"/>
      <c r="Q180" s="7"/>
      <c r="R180" s="2"/>
    </row>
    <row r="181" spans="1:18" x14ac:dyDescent="0.25">
      <c r="A181" t="s">
        <v>38</v>
      </c>
      <c r="B181">
        <v>80</v>
      </c>
      <c r="C181">
        <v>999</v>
      </c>
      <c r="D181">
        <v>300</v>
      </c>
      <c r="E181">
        <v>620</v>
      </c>
      <c r="G181" s="3">
        <v>40969</v>
      </c>
      <c r="H181" s="3">
        <v>40969</v>
      </c>
      <c r="I181" s="3">
        <v>41306</v>
      </c>
      <c r="J181" s="4"/>
      <c r="N181" s="7"/>
      <c r="O181" s="7"/>
      <c r="P181" s="7"/>
      <c r="Q181" s="7"/>
      <c r="R181" s="2"/>
    </row>
    <row r="182" spans="1:18" x14ac:dyDescent="0.25">
      <c r="A182" t="s">
        <v>35</v>
      </c>
      <c r="B182">
        <v>0</v>
      </c>
      <c r="C182">
        <v>80</v>
      </c>
      <c r="D182">
        <v>760</v>
      </c>
      <c r="E182">
        <v>999</v>
      </c>
      <c r="F182">
        <v>0</v>
      </c>
      <c r="G182" s="3">
        <v>40969</v>
      </c>
      <c r="H182" s="3">
        <v>40969</v>
      </c>
      <c r="I182" s="3">
        <v>41306</v>
      </c>
      <c r="J182" s="4"/>
      <c r="N182" s="7"/>
      <c r="O182" s="7"/>
      <c r="P182" s="7"/>
      <c r="Q182" s="7"/>
      <c r="R182" s="2"/>
    </row>
    <row r="183" spans="1:18" x14ac:dyDescent="0.25">
      <c r="A183" t="s">
        <v>35</v>
      </c>
      <c r="B183">
        <v>0</v>
      </c>
      <c r="C183">
        <v>80</v>
      </c>
      <c r="D183">
        <v>720</v>
      </c>
      <c r="E183">
        <v>760</v>
      </c>
      <c r="F183">
        <v>0</v>
      </c>
      <c r="G183" s="3">
        <v>40969</v>
      </c>
      <c r="H183" s="3">
        <v>40969</v>
      </c>
      <c r="I183" s="3">
        <v>41306</v>
      </c>
      <c r="J183" s="4"/>
      <c r="N183" s="7"/>
      <c r="O183" s="7"/>
      <c r="P183" s="7"/>
      <c r="Q183" s="7"/>
    </row>
    <row r="184" spans="1:18" x14ac:dyDescent="0.25">
      <c r="A184" t="s">
        <v>35</v>
      </c>
      <c r="B184">
        <v>0</v>
      </c>
      <c r="C184">
        <v>80</v>
      </c>
      <c r="D184">
        <v>680</v>
      </c>
      <c r="E184">
        <v>720</v>
      </c>
      <c r="F184">
        <v>0</v>
      </c>
      <c r="G184" s="3">
        <v>40969</v>
      </c>
      <c r="H184" s="3">
        <v>40969</v>
      </c>
      <c r="I184" s="3">
        <v>41306</v>
      </c>
      <c r="J184" s="4"/>
      <c r="N184" s="7"/>
      <c r="O184" s="7"/>
      <c r="P184" s="7"/>
      <c r="Q184" s="7"/>
    </row>
    <row r="185" spans="1:18" x14ac:dyDescent="0.25">
      <c r="A185" t="s">
        <v>35</v>
      </c>
      <c r="B185">
        <v>0</v>
      </c>
      <c r="C185">
        <v>80</v>
      </c>
      <c r="D185">
        <v>620</v>
      </c>
      <c r="E185">
        <v>680</v>
      </c>
      <c r="F185">
        <v>0</v>
      </c>
      <c r="G185" s="3">
        <v>40969</v>
      </c>
      <c r="H185" s="3">
        <v>40969</v>
      </c>
      <c r="I185" s="3">
        <v>41306</v>
      </c>
      <c r="J185" s="4"/>
      <c r="N185" s="7"/>
      <c r="O185" s="7"/>
      <c r="P185" s="7"/>
      <c r="Q185" s="7"/>
    </row>
    <row r="186" spans="1:18" x14ac:dyDescent="0.25">
      <c r="A186" t="s">
        <v>35</v>
      </c>
      <c r="B186">
        <v>0</v>
      </c>
      <c r="C186">
        <v>80</v>
      </c>
      <c r="D186">
        <v>300</v>
      </c>
      <c r="E186">
        <v>620</v>
      </c>
      <c r="G186" s="3">
        <v>40969</v>
      </c>
      <c r="H186" s="3">
        <v>40969</v>
      </c>
      <c r="I186" s="3">
        <v>41306</v>
      </c>
      <c r="J186" s="4"/>
      <c r="N186" s="7"/>
      <c r="O186" s="7"/>
      <c r="P186" s="7"/>
      <c r="Q186" s="7"/>
    </row>
    <row r="187" spans="1:18" x14ac:dyDescent="0.25">
      <c r="A187" t="s">
        <v>36</v>
      </c>
      <c r="B187">
        <v>0</v>
      </c>
      <c r="C187">
        <v>80</v>
      </c>
      <c r="D187">
        <v>760</v>
      </c>
      <c r="E187">
        <v>999</v>
      </c>
      <c r="F187">
        <v>0</v>
      </c>
      <c r="G187" s="3">
        <v>40969</v>
      </c>
      <c r="H187" s="3">
        <v>40969</v>
      </c>
      <c r="I187" s="3">
        <v>41306</v>
      </c>
      <c r="J187" s="4"/>
      <c r="N187" s="7"/>
      <c r="O187" s="7"/>
      <c r="P187" s="7"/>
      <c r="Q187" s="7"/>
    </row>
    <row r="188" spans="1:18" x14ac:dyDescent="0.25">
      <c r="A188" t="s">
        <v>36</v>
      </c>
      <c r="B188">
        <v>0</v>
      </c>
      <c r="C188">
        <v>80</v>
      </c>
      <c r="D188">
        <v>720</v>
      </c>
      <c r="E188">
        <v>760</v>
      </c>
      <c r="F188">
        <v>0</v>
      </c>
      <c r="G188" s="3">
        <v>40969</v>
      </c>
      <c r="H188" s="3">
        <v>40969</v>
      </c>
      <c r="I188" s="3">
        <v>41306</v>
      </c>
      <c r="J188" s="4"/>
      <c r="N188" s="7"/>
      <c r="O188" s="7"/>
      <c r="P188" s="7"/>
      <c r="Q188" s="7"/>
    </row>
    <row r="189" spans="1:18" x14ac:dyDescent="0.25">
      <c r="A189" t="s">
        <v>36</v>
      </c>
      <c r="B189">
        <v>0</v>
      </c>
      <c r="C189">
        <v>80</v>
      </c>
      <c r="D189">
        <v>680</v>
      </c>
      <c r="E189">
        <v>720</v>
      </c>
      <c r="F189">
        <v>0</v>
      </c>
      <c r="G189" s="3">
        <v>40969</v>
      </c>
      <c r="H189" s="3">
        <v>40969</v>
      </c>
      <c r="I189" s="3">
        <v>41306</v>
      </c>
      <c r="J189" s="4"/>
    </row>
    <row r="190" spans="1:18" x14ac:dyDescent="0.25">
      <c r="A190" t="s">
        <v>36</v>
      </c>
      <c r="B190">
        <v>0</v>
      </c>
      <c r="C190">
        <v>80</v>
      </c>
      <c r="D190">
        <v>620</v>
      </c>
      <c r="E190">
        <v>680</v>
      </c>
      <c r="F190">
        <v>0</v>
      </c>
      <c r="G190" s="3">
        <v>40969</v>
      </c>
      <c r="H190" s="3">
        <v>40969</v>
      </c>
      <c r="I190" s="3">
        <v>41306</v>
      </c>
      <c r="J190" s="4"/>
    </row>
    <row r="191" spans="1:18" x14ac:dyDescent="0.25">
      <c r="A191" t="s">
        <v>36</v>
      </c>
      <c r="B191">
        <v>0</v>
      </c>
      <c r="C191">
        <v>80</v>
      </c>
      <c r="D191">
        <v>300</v>
      </c>
      <c r="E191">
        <v>620</v>
      </c>
      <c r="G191" s="3">
        <v>40969</v>
      </c>
      <c r="H191" s="3">
        <v>40969</v>
      </c>
      <c r="I191" s="3">
        <v>41306</v>
      </c>
      <c r="J191" s="4"/>
    </row>
    <row r="192" spans="1:18" x14ac:dyDescent="0.25">
      <c r="A192" t="s">
        <v>37</v>
      </c>
      <c r="B192">
        <v>0</v>
      </c>
      <c r="C192">
        <v>80</v>
      </c>
      <c r="D192">
        <v>760</v>
      </c>
      <c r="E192">
        <v>999</v>
      </c>
      <c r="F192">
        <v>0</v>
      </c>
      <c r="G192" s="3">
        <v>40969</v>
      </c>
      <c r="H192" s="3">
        <v>40969</v>
      </c>
      <c r="I192" s="3">
        <v>41306</v>
      </c>
      <c r="J192" s="4"/>
    </row>
    <row r="193" spans="1:18" x14ac:dyDescent="0.25">
      <c r="A193" t="s">
        <v>37</v>
      </c>
      <c r="B193">
        <v>0</v>
      </c>
      <c r="C193">
        <v>80</v>
      </c>
      <c r="D193">
        <v>720</v>
      </c>
      <c r="E193">
        <v>760</v>
      </c>
      <c r="F193">
        <v>0</v>
      </c>
      <c r="G193" s="3">
        <v>40969</v>
      </c>
      <c r="H193" s="3">
        <v>40969</v>
      </c>
      <c r="I193" s="3">
        <v>41306</v>
      </c>
      <c r="J193" s="4"/>
    </row>
    <row r="194" spans="1:18" x14ac:dyDescent="0.25">
      <c r="A194" t="s">
        <v>37</v>
      </c>
      <c r="B194">
        <v>0</v>
      </c>
      <c r="C194">
        <v>80</v>
      </c>
      <c r="D194">
        <v>680</v>
      </c>
      <c r="E194">
        <v>720</v>
      </c>
      <c r="F194">
        <v>0</v>
      </c>
      <c r="G194" s="3">
        <v>40969</v>
      </c>
      <c r="H194" s="3">
        <v>40969</v>
      </c>
      <c r="I194" s="3">
        <v>41306</v>
      </c>
      <c r="J194" s="4"/>
    </row>
    <row r="195" spans="1:18" x14ac:dyDescent="0.25">
      <c r="A195" t="s">
        <v>37</v>
      </c>
      <c r="B195">
        <v>0</v>
      </c>
      <c r="C195">
        <v>80</v>
      </c>
      <c r="D195">
        <v>620</v>
      </c>
      <c r="E195">
        <v>680</v>
      </c>
      <c r="F195">
        <v>0</v>
      </c>
      <c r="G195" s="3">
        <v>40969</v>
      </c>
      <c r="H195" s="3">
        <v>40969</v>
      </c>
      <c r="I195" s="3">
        <v>41306</v>
      </c>
      <c r="J195" s="4"/>
    </row>
    <row r="196" spans="1:18" x14ac:dyDescent="0.25">
      <c r="A196" t="s">
        <v>37</v>
      </c>
      <c r="B196">
        <v>0</v>
      </c>
      <c r="C196">
        <v>80</v>
      </c>
      <c r="D196">
        <v>300</v>
      </c>
      <c r="E196">
        <v>620</v>
      </c>
      <c r="G196" s="3">
        <v>40969</v>
      </c>
      <c r="H196" s="3">
        <v>40969</v>
      </c>
      <c r="I196" s="3">
        <v>41306</v>
      </c>
      <c r="J196" s="4"/>
    </row>
    <row r="197" spans="1:18" x14ac:dyDescent="0.25">
      <c r="A197" t="s">
        <v>38</v>
      </c>
      <c r="B197">
        <v>0</v>
      </c>
      <c r="C197">
        <v>80</v>
      </c>
      <c r="D197">
        <v>760</v>
      </c>
      <c r="E197">
        <v>999</v>
      </c>
      <c r="F197">
        <v>0</v>
      </c>
      <c r="G197" s="3">
        <v>40969</v>
      </c>
      <c r="H197" s="3">
        <v>40969</v>
      </c>
      <c r="I197" s="3">
        <v>41306</v>
      </c>
      <c r="J197" s="4"/>
    </row>
    <row r="198" spans="1:18" x14ac:dyDescent="0.25">
      <c r="A198" t="s">
        <v>38</v>
      </c>
      <c r="B198">
        <v>0</v>
      </c>
      <c r="C198">
        <v>80</v>
      </c>
      <c r="D198">
        <v>720</v>
      </c>
      <c r="E198">
        <v>760</v>
      </c>
      <c r="F198">
        <v>0</v>
      </c>
      <c r="G198" s="3">
        <v>40969</v>
      </c>
      <c r="H198" s="3">
        <v>40969</v>
      </c>
      <c r="I198" s="3">
        <v>41306</v>
      </c>
      <c r="J198" s="4"/>
    </row>
    <row r="199" spans="1:18" x14ac:dyDescent="0.25">
      <c r="A199" t="s">
        <v>38</v>
      </c>
      <c r="B199">
        <v>0</v>
      </c>
      <c r="C199">
        <v>80</v>
      </c>
      <c r="D199">
        <v>680</v>
      </c>
      <c r="E199">
        <v>720</v>
      </c>
      <c r="F199">
        <v>0</v>
      </c>
      <c r="G199" s="3">
        <v>40969</v>
      </c>
      <c r="H199" s="3">
        <v>40969</v>
      </c>
      <c r="I199" s="3">
        <v>41306</v>
      </c>
      <c r="J199" s="4"/>
    </row>
    <row r="200" spans="1:18" x14ac:dyDescent="0.25">
      <c r="A200" t="s">
        <v>38</v>
      </c>
      <c r="B200">
        <v>0</v>
      </c>
      <c r="C200">
        <v>80</v>
      </c>
      <c r="D200">
        <v>620</v>
      </c>
      <c r="E200">
        <v>680</v>
      </c>
      <c r="F200">
        <v>0</v>
      </c>
      <c r="G200" s="3">
        <v>40969</v>
      </c>
      <c r="H200" s="3">
        <v>40969</v>
      </c>
      <c r="I200" s="3">
        <v>41306</v>
      </c>
      <c r="J200" s="4"/>
    </row>
    <row r="201" spans="1:18" x14ac:dyDescent="0.25">
      <c r="A201" t="s">
        <v>38</v>
      </c>
      <c r="B201">
        <v>0</v>
      </c>
      <c r="C201">
        <v>80</v>
      </c>
      <c r="D201">
        <v>300</v>
      </c>
      <c r="E201">
        <v>620</v>
      </c>
      <c r="G201" s="3">
        <v>40969</v>
      </c>
      <c r="H201" s="3">
        <v>40969</v>
      </c>
      <c r="I201" s="3">
        <v>41306</v>
      </c>
      <c r="J201" s="4"/>
    </row>
    <row r="202" spans="1:18" x14ac:dyDescent="0.25">
      <c r="A202" t="s">
        <v>35</v>
      </c>
      <c r="B202">
        <v>80</v>
      </c>
      <c r="C202">
        <v>999</v>
      </c>
      <c r="D202">
        <v>760</v>
      </c>
      <c r="E202">
        <v>999</v>
      </c>
      <c r="F202">
        <v>0</v>
      </c>
      <c r="G202" s="3">
        <v>41306</v>
      </c>
      <c r="H202" s="3">
        <v>41306</v>
      </c>
      <c r="I202" s="3">
        <v>41395</v>
      </c>
      <c r="J202" s="4"/>
      <c r="L202" s="3">
        <v>41306</v>
      </c>
      <c r="N202" t="s">
        <v>11</v>
      </c>
      <c r="O202" t="s">
        <v>12</v>
      </c>
      <c r="P202" t="s">
        <v>13</v>
      </c>
      <c r="Q202" t="s">
        <v>14</v>
      </c>
      <c r="R202" t="s">
        <v>19</v>
      </c>
    </row>
    <row r="203" spans="1:18" x14ac:dyDescent="0.25">
      <c r="A203" t="s">
        <v>35</v>
      </c>
      <c r="B203">
        <v>80</v>
      </c>
      <c r="C203">
        <v>999</v>
      </c>
      <c r="D203">
        <v>720</v>
      </c>
      <c r="E203">
        <v>760</v>
      </c>
      <c r="F203">
        <v>0</v>
      </c>
      <c r="G203" s="3">
        <v>41306</v>
      </c>
      <c r="H203" s="3">
        <v>41306</v>
      </c>
      <c r="I203" s="3">
        <v>41395</v>
      </c>
      <c r="J203" s="4"/>
      <c r="L203" t="s">
        <v>35</v>
      </c>
      <c r="M203" t="s">
        <v>58</v>
      </c>
      <c r="N203" s="7">
        <v>0</v>
      </c>
      <c r="O203" s="7">
        <v>0</v>
      </c>
      <c r="P203" s="7">
        <v>0</v>
      </c>
      <c r="Q203" s="7">
        <v>0</v>
      </c>
      <c r="R203" s="2" t="s">
        <v>34</v>
      </c>
    </row>
    <row r="204" spans="1:18" x14ac:dyDescent="0.25">
      <c r="A204" t="s">
        <v>35</v>
      </c>
      <c r="B204">
        <v>80</v>
      </c>
      <c r="C204">
        <v>999</v>
      </c>
      <c r="D204">
        <v>680</v>
      </c>
      <c r="E204">
        <v>720</v>
      </c>
      <c r="F204">
        <v>0</v>
      </c>
      <c r="G204" s="3">
        <v>41306</v>
      </c>
      <c r="H204" s="3">
        <v>41306</v>
      </c>
      <c r="I204" s="3">
        <v>41395</v>
      </c>
      <c r="J204" s="4"/>
      <c r="L204" t="s">
        <v>36</v>
      </c>
      <c r="M204" t="s">
        <v>58</v>
      </c>
      <c r="N204" s="7">
        <v>11.999999999999998</v>
      </c>
      <c r="O204" s="7">
        <v>14</v>
      </c>
      <c r="P204" s="7">
        <v>20</v>
      </c>
      <c r="Q204" s="7">
        <v>35</v>
      </c>
      <c r="R204" s="2" t="s">
        <v>34</v>
      </c>
    </row>
    <row r="205" spans="1:18" x14ac:dyDescent="0.25">
      <c r="A205" t="s">
        <v>35</v>
      </c>
      <c r="B205">
        <v>80</v>
      </c>
      <c r="C205">
        <v>999</v>
      </c>
      <c r="D205">
        <v>620</v>
      </c>
      <c r="E205">
        <v>680</v>
      </c>
      <c r="F205">
        <v>0</v>
      </c>
      <c r="G205" s="3">
        <v>41306</v>
      </c>
      <c r="H205" s="3">
        <v>41306</v>
      </c>
      <c r="I205" s="3">
        <v>41395</v>
      </c>
      <c r="J205" s="4"/>
      <c r="L205" t="s">
        <v>37</v>
      </c>
      <c r="M205" t="s">
        <v>58</v>
      </c>
      <c r="N205" s="7">
        <v>0</v>
      </c>
      <c r="O205" s="7">
        <v>0</v>
      </c>
      <c r="P205" s="7">
        <v>0</v>
      </c>
      <c r="Q205" s="7">
        <v>0</v>
      </c>
      <c r="R205" s="2" t="s">
        <v>34</v>
      </c>
    </row>
    <row r="206" spans="1:18" x14ac:dyDescent="0.25">
      <c r="A206" t="s">
        <v>35</v>
      </c>
      <c r="B206">
        <v>80</v>
      </c>
      <c r="C206">
        <v>999</v>
      </c>
      <c r="D206">
        <v>300</v>
      </c>
      <c r="E206">
        <v>620</v>
      </c>
      <c r="G206" s="3">
        <v>41306</v>
      </c>
      <c r="H206" s="3">
        <v>41306</v>
      </c>
      <c r="I206" s="3">
        <v>41395</v>
      </c>
      <c r="J206" s="4"/>
      <c r="L206" t="s">
        <v>38</v>
      </c>
      <c r="M206" t="s">
        <v>58</v>
      </c>
      <c r="N206" s="7">
        <v>0</v>
      </c>
      <c r="O206" s="7">
        <v>0</v>
      </c>
      <c r="P206" s="7">
        <v>0</v>
      </c>
      <c r="Q206" s="7">
        <v>0</v>
      </c>
      <c r="R206" s="2" t="s">
        <v>34</v>
      </c>
    </row>
    <row r="207" spans="1:18" x14ac:dyDescent="0.25">
      <c r="A207" t="s">
        <v>36</v>
      </c>
      <c r="B207">
        <v>80</v>
      </c>
      <c r="C207">
        <v>999</v>
      </c>
      <c r="D207">
        <v>760</v>
      </c>
      <c r="E207">
        <v>999</v>
      </c>
      <c r="F207">
        <v>12</v>
      </c>
      <c r="G207" s="3">
        <v>41306</v>
      </c>
      <c r="H207" s="3">
        <v>41306</v>
      </c>
      <c r="I207" s="3">
        <v>41395</v>
      </c>
      <c r="J207" s="4"/>
      <c r="L207" t="s">
        <v>35</v>
      </c>
      <c r="M207" t="s">
        <v>59</v>
      </c>
      <c r="N207" s="7">
        <v>0</v>
      </c>
      <c r="O207" s="7">
        <v>0</v>
      </c>
      <c r="P207" s="7">
        <v>0</v>
      </c>
      <c r="Q207" s="7">
        <v>0</v>
      </c>
      <c r="R207" s="2" t="s">
        <v>34</v>
      </c>
    </row>
    <row r="208" spans="1:18" x14ac:dyDescent="0.25">
      <c r="A208" t="s">
        <v>36</v>
      </c>
      <c r="B208">
        <v>80</v>
      </c>
      <c r="C208">
        <v>999</v>
      </c>
      <c r="D208">
        <v>720</v>
      </c>
      <c r="E208">
        <v>760</v>
      </c>
      <c r="F208">
        <v>14</v>
      </c>
      <c r="G208" s="3">
        <v>41306</v>
      </c>
      <c r="H208" s="3">
        <v>41306</v>
      </c>
      <c r="I208" s="3">
        <v>41395</v>
      </c>
      <c r="J208" s="4"/>
      <c r="L208" t="s">
        <v>36</v>
      </c>
      <c r="M208" t="s">
        <v>59</v>
      </c>
      <c r="N208" s="7">
        <v>0</v>
      </c>
      <c r="O208" s="7">
        <v>0</v>
      </c>
      <c r="P208" s="7">
        <v>0</v>
      </c>
      <c r="Q208" s="7">
        <v>0</v>
      </c>
      <c r="R208" s="2" t="s">
        <v>34</v>
      </c>
    </row>
    <row r="209" spans="1:18" x14ac:dyDescent="0.25">
      <c r="A209" t="s">
        <v>36</v>
      </c>
      <c r="B209">
        <v>80</v>
      </c>
      <c r="C209">
        <v>999</v>
      </c>
      <c r="D209">
        <v>680</v>
      </c>
      <c r="E209">
        <v>720</v>
      </c>
      <c r="F209">
        <v>20</v>
      </c>
      <c r="G209" s="3">
        <v>41306</v>
      </c>
      <c r="H209" s="3">
        <v>41306</v>
      </c>
      <c r="I209" s="3">
        <v>41395</v>
      </c>
      <c r="J209" s="4"/>
      <c r="L209" t="s">
        <v>37</v>
      </c>
      <c r="M209" t="s">
        <v>59</v>
      </c>
      <c r="N209" s="7">
        <v>0</v>
      </c>
      <c r="O209" s="7">
        <v>0</v>
      </c>
      <c r="P209" s="7">
        <v>0</v>
      </c>
      <c r="Q209" s="7">
        <v>0</v>
      </c>
      <c r="R209" s="2" t="s">
        <v>34</v>
      </c>
    </row>
    <row r="210" spans="1:18" x14ac:dyDescent="0.25">
      <c r="A210" t="s">
        <v>36</v>
      </c>
      <c r="B210">
        <v>80</v>
      </c>
      <c r="C210">
        <v>999</v>
      </c>
      <c r="D210">
        <v>620</v>
      </c>
      <c r="E210">
        <v>680</v>
      </c>
      <c r="F210">
        <v>35</v>
      </c>
      <c r="G210" s="3">
        <v>41306</v>
      </c>
      <c r="H210" s="3">
        <v>41306</v>
      </c>
      <c r="I210" s="3">
        <v>41395</v>
      </c>
      <c r="J210" s="4"/>
      <c r="L210" t="s">
        <v>38</v>
      </c>
      <c r="M210" t="s">
        <v>59</v>
      </c>
      <c r="N210" s="7">
        <v>0</v>
      </c>
      <c r="O210" s="7">
        <v>0</v>
      </c>
      <c r="P210" s="7">
        <v>0</v>
      </c>
      <c r="Q210" s="7">
        <v>0</v>
      </c>
      <c r="R210" s="2" t="s">
        <v>34</v>
      </c>
    </row>
    <row r="211" spans="1:18" x14ac:dyDescent="0.25">
      <c r="A211" t="s">
        <v>36</v>
      </c>
      <c r="B211">
        <v>80</v>
      </c>
      <c r="C211">
        <v>999</v>
      </c>
      <c r="D211">
        <v>300</v>
      </c>
      <c r="E211">
        <v>620</v>
      </c>
      <c r="G211" s="3">
        <v>41306</v>
      </c>
      <c r="H211" s="3">
        <v>41306</v>
      </c>
      <c r="I211" s="3">
        <v>41395</v>
      </c>
      <c r="J211" s="4"/>
    </row>
    <row r="212" spans="1:18" x14ac:dyDescent="0.25">
      <c r="A212" t="s">
        <v>37</v>
      </c>
      <c r="B212">
        <v>80</v>
      </c>
      <c r="C212">
        <v>999</v>
      </c>
      <c r="D212">
        <v>760</v>
      </c>
      <c r="E212">
        <v>999</v>
      </c>
      <c r="F212">
        <v>0</v>
      </c>
      <c r="G212" s="3">
        <v>41306</v>
      </c>
      <c r="H212" s="3">
        <v>41306</v>
      </c>
      <c r="I212" s="3">
        <v>41395</v>
      </c>
      <c r="J212" s="4"/>
    </row>
    <row r="213" spans="1:18" x14ac:dyDescent="0.25">
      <c r="A213" t="s">
        <v>37</v>
      </c>
      <c r="B213">
        <v>80</v>
      </c>
      <c r="C213">
        <v>999</v>
      </c>
      <c r="D213">
        <v>720</v>
      </c>
      <c r="E213">
        <v>760</v>
      </c>
      <c r="F213">
        <v>0</v>
      </c>
      <c r="G213" s="3">
        <v>41306</v>
      </c>
      <c r="H213" s="3">
        <v>41306</v>
      </c>
      <c r="I213" s="3">
        <v>41395</v>
      </c>
      <c r="J213" s="4"/>
    </row>
    <row r="214" spans="1:18" x14ac:dyDescent="0.25">
      <c r="A214" t="s">
        <v>37</v>
      </c>
      <c r="B214">
        <v>80</v>
      </c>
      <c r="C214">
        <v>999</v>
      </c>
      <c r="D214">
        <v>680</v>
      </c>
      <c r="E214">
        <v>720</v>
      </c>
      <c r="F214">
        <v>0</v>
      </c>
      <c r="G214" s="3">
        <v>41306</v>
      </c>
      <c r="H214" s="3">
        <v>41306</v>
      </c>
      <c r="I214" s="3">
        <v>41395</v>
      </c>
      <c r="J214" s="4"/>
    </row>
    <row r="215" spans="1:18" x14ac:dyDescent="0.25">
      <c r="A215" t="s">
        <v>37</v>
      </c>
      <c r="B215">
        <v>80</v>
      </c>
      <c r="C215">
        <v>999</v>
      </c>
      <c r="D215">
        <v>620</v>
      </c>
      <c r="E215">
        <v>680</v>
      </c>
      <c r="F215">
        <v>0</v>
      </c>
      <c r="G215" s="3">
        <v>41306</v>
      </c>
      <c r="H215" s="3">
        <v>41306</v>
      </c>
      <c r="I215" s="3">
        <v>41395</v>
      </c>
      <c r="J215" s="4"/>
      <c r="N215" s="2"/>
      <c r="O215" s="2"/>
      <c r="P215" s="2"/>
      <c r="Q215" s="2"/>
      <c r="R215" s="2"/>
    </row>
    <row r="216" spans="1:18" x14ac:dyDescent="0.25">
      <c r="A216" t="s">
        <v>37</v>
      </c>
      <c r="B216">
        <v>80</v>
      </c>
      <c r="C216">
        <v>999</v>
      </c>
      <c r="D216">
        <v>300</v>
      </c>
      <c r="E216">
        <v>620</v>
      </c>
      <c r="G216" s="3">
        <v>41306</v>
      </c>
      <c r="H216" s="3">
        <v>41306</v>
      </c>
      <c r="I216" s="3">
        <v>41395</v>
      </c>
      <c r="J216" s="4"/>
      <c r="N216" s="7"/>
      <c r="O216" s="7"/>
      <c r="P216" s="7"/>
      <c r="Q216" s="7"/>
      <c r="R216" s="2"/>
    </row>
    <row r="217" spans="1:18" x14ac:dyDescent="0.25">
      <c r="A217" t="s">
        <v>38</v>
      </c>
      <c r="B217">
        <v>80</v>
      </c>
      <c r="C217">
        <v>999</v>
      </c>
      <c r="D217">
        <v>760</v>
      </c>
      <c r="E217">
        <v>999</v>
      </c>
      <c r="F217">
        <v>0</v>
      </c>
      <c r="G217" s="3">
        <v>41306</v>
      </c>
      <c r="H217" s="3">
        <v>41306</v>
      </c>
      <c r="I217" s="3">
        <v>41395</v>
      </c>
      <c r="J217" s="4"/>
      <c r="N217" s="7"/>
      <c r="O217" s="7"/>
      <c r="P217" s="7"/>
      <c r="Q217" s="7"/>
      <c r="R217" s="2"/>
    </row>
    <row r="218" spans="1:18" x14ac:dyDescent="0.25">
      <c r="A218" t="s">
        <v>38</v>
      </c>
      <c r="B218">
        <v>80</v>
      </c>
      <c r="C218">
        <v>999</v>
      </c>
      <c r="D218">
        <v>720</v>
      </c>
      <c r="E218">
        <v>760</v>
      </c>
      <c r="F218">
        <v>0</v>
      </c>
      <c r="G218" s="3">
        <v>41306</v>
      </c>
      <c r="H218" s="3">
        <v>41306</v>
      </c>
      <c r="I218" s="3">
        <v>41395</v>
      </c>
      <c r="J218" s="4"/>
      <c r="N218" s="7"/>
      <c r="O218" s="7"/>
      <c r="P218" s="7"/>
      <c r="Q218" s="7"/>
      <c r="R218" s="2"/>
    </row>
    <row r="219" spans="1:18" x14ac:dyDescent="0.25">
      <c r="A219" t="s">
        <v>38</v>
      </c>
      <c r="B219">
        <v>80</v>
      </c>
      <c r="C219">
        <v>999</v>
      </c>
      <c r="D219">
        <v>680</v>
      </c>
      <c r="E219">
        <v>720</v>
      </c>
      <c r="F219">
        <v>0</v>
      </c>
      <c r="G219" s="3">
        <v>41306</v>
      </c>
      <c r="H219" s="3">
        <v>41306</v>
      </c>
      <c r="I219" s="3">
        <v>41395</v>
      </c>
      <c r="J219" s="4"/>
      <c r="N219" s="7"/>
      <c r="O219" s="7"/>
      <c r="P219" s="7"/>
      <c r="Q219" s="7"/>
      <c r="R219" s="2"/>
    </row>
    <row r="220" spans="1:18" x14ac:dyDescent="0.25">
      <c r="A220" t="s">
        <v>38</v>
      </c>
      <c r="B220">
        <v>80</v>
      </c>
      <c r="C220">
        <v>999</v>
      </c>
      <c r="D220">
        <v>620</v>
      </c>
      <c r="E220">
        <v>680</v>
      </c>
      <c r="F220">
        <v>0</v>
      </c>
      <c r="G220" s="3">
        <v>41306</v>
      </c>
      <c r="H220" s="3">
        <v>41306</v>
      </c>
      <c r="I220" s="3">
        <v>41395</v>
      </c>
      <c r="J220" s="4"/>
      <c r="N220" s="7"/>
      <c r="O220" s="7"/>
      <c r="P220" s="7"/>
      <c r="Q220" s="7"/>
      <c r="R220" s="2"/>
    </row>
    <row r="221" spans="1:18" x14ac:dyDescent="0.25">
      <c r="A221" t="s">
        <v>38</v>
      </c>
      <c r="B221">
        <v>80</v>
      </c>
      <c r="C221">
        <v>999</v>
      </c>
      <c r="D221">
        <v>300</v>
      </c>
      <c r="E221">
        <v>620</v>
      </c>
      <c r="G221" s="3">
        <v>41306</v>
      </c>
      <c r="H221" s="3">
        <v>41306</v>
      </c>
      <c r="I221" s="3">
        <v>41395</v>
      </c>
      <c r="J221" s="4"/>
      <c r="N221" s="7"/>
      <c r="O221" s="7"/>
      <c r="P221" s="7"/>
      <c r="Q221" s="7"/>
      <c r="R221" s="2"/>
    </row>
    <row r="222" spans="1:18" x14ac:dyDescent="0.25">
      <c r="A222" t="s">
        <v>35</v>
      </c>
      <c r="B222">
        <v>0</v>
      </c>
      <c r="C222">
        <v>80</v>
      </c>
      <c r="D222">
        <v>760</v>
      </c>
      <c r="E222">
        <v>999</v>
      </c>
      <c r="F222">
        <v>0</v>
      </c>
      <c r="G222" s="3">
        <v>41306</v>
      </c>
      <c r="H222" s="3">
        <v>41306</v>
      </c>
      <c r="I222" s="3">
        <v>41395</v>
      </c>
      <c r="J222" s="4"/>
      <c r="N222" s="7"/>
      <c r="O222" s="7"/>
      <c r="P222" s="7"/>
      <c r="Q222" s="7"/>
      <c r="R222" s="2"/>
    </row>
    <row r="223" spans="1:18" x14ac:dyDescent="0.25">
      <c r="A223" t="s">
        <v>35</v>
      </c>
      <c r="B223">
        <v>0</v>
      </c>
      <c r="C223">
        <v>80</v>
      </c>
      <c r="D223">
        <v>720</v>
      </c>
      <c r="E223">
        <v>760</v>
      </c>
      <c r="F223">
        <v>0</v>
      </c>
      <c r="G223" s="3">
        <v>41306</v>
      </c>
      <c r="H223" s="3">
        <v>41306</v>
      </c>
      <c r="I223" s="3">
        <v>41395</v>
      </c>
      <c r="J223" s="4"/>
      <c r="N223" s="7"/>
      <c r="O223" s="7"/>
      <c r="P223" s="7"/>
      <c r="Q223" s="7"/>
    </row>
    <row r="224" spans="1:18" x14ac:dyDescent="0.25">
      <c r="A224" t="s">
        <v>35</v>
      </c>
      <c r="B224">
        <v>0</v>
      </c>
      <c r="C224">
        <v>80</v>
      </c>
      <c r="D224">
        <v>680</v>
      </c>
      <c r="E224">
        <v>720</v>
      </c>
      <c r="F224">
        <v>0</v>
      </c>
      <c r="G224" s="3">
        <v>41306</v>
      </c>
      <c r="H224" s="3">
        <v>41306</v>
      </c>
      <c r="I224" s="3">
        <v>41395</v>
      </c>
      <c r="J224" s="4"/>
      <c r="N224" s="7"/>
      <c r="O224" s="7"/>
      <c r="P224" s="7"/>
      <c r="Q224" s="7"/>
    </row>
    <row r="225" spans="1:17" x14ac:dyDescent="0.25">
      <c r="A225" t="s">
        <v>35</v>
      </c>
      <c r="B225">
        <v>0</v>
      </c>
      <c r="C225">
        <v>80</v>
      </c>
      <c r="D225">
        <v>620</v>
      </c>
      <c r="E225">
        <v>680</v>
      </c>
      <c r="F225">
        <v>0</v>
      </c>
      <c r="G225" s="3">
        <v>41306</v>
      </c>
      <c r="H225" s="3">
        <v>41306</v>
      </c>
      <c r="I225" s="3">
        <v>41395</v>
      </c>
      <c r="J225" s="4"/>
      <c r="N225" s="7"/>
      <c r="O225" s="7"/>
      <c r="P225" s="7"/>
      <c r="Q225" s="7"/>
    </row>
    <row r="226" spans="1:17" x14ac:dyDescent="0.25">
      <c r="A226" t="s">
        <v>35</v>
      </c>
      <c r="B226">
        <v>0</v>
      </c>
      <c r="C226">
        <v>80</v>
      </c>
      <c r="D226">
        <v>300</v>
      </c>
      <c r="E226">
        <v>620</v>
      </c>
      <c r="G226" s="3">
        <v>41306</v>
      </c>
      <c r="H226" s="3">
        <v>41306</v>
      </c>
      <c r="I226" s="3">
        <v>41395</v>
      </c>
      <c r="J226" s="4"/>
      <c r="N226" s="7"/>
      <c r="O226" s="7"/>
      <c r="P226" s="7"/>
      <c r="Q226" s="7"/>
    </row>
    <row r="227" spans="1:17" x14ac:dyDescent="0.25">
      <c r="A227" t="s">
        <v>36</v>
      </c>
      <c r="B227">
        <v>0</v>
      </c>
      <c r="C227">
        <v>80</v>
      </c>
      <c r="D227">
        <v>760</v>
      </c>
      <c r="E227">
        <v>999</v>
      </c>
      <c r="F227">
        <v>0</v>
      </c>
      <c r="G227" s="3">
        <v>41306</v>
      </c>
      <c r="H227" s="3">
        <v>41306</v>
      </c>
      <c r="I227" s="3">
        <v>41395</v>
      </c>
      <c r="J227" s="4"/>
      <c r="N227" s="7"/>
      <c r="O227" s="7"/>
      <c r="P227" s="7"/>
      <c r="Q227" s="7"/>
    </row>
    <row r="228" spans="1:17" x14ac:dyDescent="0.25">
      <c r="A228" t="s">
        <v>36</v>
      </c>
      <c r="B228">
        <v>0</v>
      </c>
      <c r="C228">
        <v>80</v>
      </c>
      <c r="D228">
        <v>720</v>
      </c>
      <c r="E228">
        <v>760</v>
      </c>
      <c r="F228">
        <v>0</v>
      </c>
      <c r="G228" s="3">
        <v>41306</v>
      </c>
      <c r="H228" s="3">
        <v>41306</v>
      </c>
      <c r="I228" s="3">
        <v>41395</v>
      </c>
      <c r="J228" s="4"/>
      <c r="N228" s="7"/>
      <c r="O228" s="7"/>
      <c r="P228" s="7"/>
      <c r="Q228" s="7"/>
    </row>
    <row r="229" spans="1:17" x14ac:dyDescent="0.25">
      <c r="A229" t="s">
        <v>36</v>
      </c>
      <c r="B229">
        <v>0</v>
      </c>
      <c r="C229">
        <v>80</v>
      </c>
      <c r="D229">
        <v>680</v>
      </c>
      <c r="E229">
        <v>720</v>
      </c>
      <c r="F229">
        <v>0</v>
      </c>
      <c r="G229" s="3">
        <v>41306</v>
      </c>
      <c r="H229" s="3">
        <v>41306</v>
      </c>
      <c r="I229" s="3">
        <v>41395</v>
      </c>
      <c r="J229" s="4"/>
    </row>
    <row r="230" spans="1:17" x14ac:dyDescent="0.25">
      <c r="A230" t="s">
        <v>36</v>
      </c>
      <c r="B230">
        <v>0</v>
      </c>
      <c r="C230">
        <v>80</v>
      </c>
      <c r="D230">
        <v>620</v>
      </c>
      <c r="E230">
        <v>680</v>
      </c>
      <c r="F230">
        <v>0</v>
      </c>
      <c r="G230" s="3">
        <v>41306</v>
      </c>
      <c r="H230" s="3">
        <v>41306</v>
      </c>
      <c r="I230" s="3">
        <v>41395</v>
      </c>
      <c r="J230" s="4"/>
    </row>
    <row r="231" spans="1:17" x14ac:dyDescent="0.25">
      <c r="A231" t="s">
        <v>36</v>
      </c>
      <c r="B231">
        <v>0</v>
      </c>
      <c r="C231">
        <v>80</v>
      </c>
      <c r="D231">
        <v>300</v>
      </c>
      <c r="E231">
        <v>620</v>
      </c>
      <c r="G231" s="3">
        <v>41306</v>
      </c>
      <c r="H231" s="3">
        <v>41306</v>
      </c>
      <c r="I231" s="3">
        <v>41395</v>
      </c>
      <c r="J231" s="4"/>
    </row>
    <row r="232" spans="1:17" x14ac:dyDescent="0.25">
      <c r="A232" t="s">
        <v>37</v>
      </c>
      <c r="B232">
        <v>0</v>
      </c>
      <c r="C232">
        <v>80</v>
      </c>
      <c r="D232">
        <v>760</v>
      </c>
      <c r="E232">
        <v>999</v>
      </c>
      <c r="F232">
        <v>0</v>
      </c>
      <c r="G232" s="3">
        <v>41306</v>
      </c>
      <c r="H232" s="3">
        <v>41306</v>
      </c>
      <c r="I232" s="3">
        <v>41395</v>
      </c>
      <c r="J232" s="4"/>
    </row>
    <row r="233" spans="1:17" x14ac:dyDescent="0.25">
      <c r="A233" t="s">
        <v>37</v>
      </c>
      <c r="B233">
        <v>0</v>
      </c>
      <c r="C233">
        <v>80</v>
      </c>
      <c r="D233">
        <v>720</v>
      </c>
      <c r="E233">
        <v>760</v>
      </c>
      <c r="F233">
        <v>0</v>
      </c>
      <c r="G233" s="3">
        <v>41306</v>
      </c>
      <c r="H233" s="3">
        <v>41306</v>
      </c>
      <c r="I233" s="3">
        <v>41395</v>
      </c>
      <c r="J233" s="4"/>
    </row>
    <row r="234" spans="1:17" x14ac:dyDescent="0.25">
      <c r="A234" t="s">
        <v>37</v>
      </c>
      <c r="B234">
        <v>0</v>
      </c>
      <c r="C234">
        <v>80</v>
      </c>
      <c r="D234">
        <v>680</v>
      </c>
      <c r="E234">
        <v>720</v>
      </c>
      <c r="F234">
        <v>0</v>
      </c>
      <c r="G234" s="3">
        <v>41306</v>
      </c>
      <c r="H234" s="3">
        <v>41306</v>
      </c>
      <c r="I234" s="3">
        <v>41395</v>
      </c>
      <c r="J234" s="4"/>
    </row>
    <row r="235" spans="1:17" x14ac:dyDescent="0.25">
      <c r="A235" t="s">
        <v>37</v>
      </c>
      <c r="B235">
        <v>0</v>
      </c>
      <c r="C235">
        <v>80</v>
      </c>
      <c r="D235">
        <v>620</v>
      </c>
      <c r="E235">
        <v>680</v>
      </c>
      <c r="F235">
        <v>0</v>
      </c>
      <c r="G235" s="3">
        <v>41306</v>
      </c>
      <c r="H235" s="3">
        <v>41306</v>
      </c>
      <c r="I235" s="3">
        <v>41395</v>
      </c>
      <c r="J235" s="4"/>
    </row>
    <row r="236" spans="1:17" x14ac:dyDescent="0.25">
      <c r="A236" t="s">
        <v>37</v>
      </c>
      <c r="B236">
        <v>0</v>
      </c>
      <c r="C236">
        <v>80</v>
      </c>
      <c r="D236">
        <v>300</v>
      </c>
      <c r="E236">
        <v>620</v>
      </c>
      <c r="G236" s="3">
        <v>41306</v>
      </c>
      <c r="H236" s="3">
        <v>41306</v>
      </c>
      <c r="I236" s="3">
        <v>41395</v>
      </c>
      <c r="J236" s="4"/>
    </row>
    <row r="237" spans="1:17" x14ac:dyDescent="0.25">
      <c r="A237" t="s">
        <v>38</v>
      </c>
      <c r="B237">
        <v>0</v>
      </c>
      <c r="C237">
        <v>80</v>
      </c>
      <c r="D237">
        <v>760</v>
      </c>
      <c r="E237">
        <v>999</v>
      </c>
      <c r="F237">
        <v>0</v>
      </c>
      <c r="G237" s="3">
        <v>41306</v>
      </c>
      <c r="H237" s="3">
        <v>41306</v>
      </c>
      <c r="I237" s="3">
        <v>41395</v>
      </c>
      <c r="J237" s="4"/>
    </row>
    <row r="238" spans="1:17" x14ac:dyDescent="0.25">
      <c r="A238" t="s">
        <v>38</v>
      </c>
      <c r="B238">
        <v>0</v>
      </c>
      <c r="C238">
        <v>80</v>
      </c>
      <c r="D238">
        <v>720</v>
      </c>
      <c r="E238">
        <v>760</v>
      </c>
      <c r="F238">
        <v>0</v>
      </c>
      <c r="G238" s="3">
        <v>41306</v>
      </c>
      <c r="H238" s="3">
        <v>41306</v>
      </c>
      <c r="I238" s="3">
        <v>41395</v>
      </c>
      <c r="J238" s="4"/>
    </row>
    <row r="239" spans="1:17" x14ac:dyDescent="0.25">
      <c r="A239" t="s">
        <v>38</v>
      </c>
      <c r="B239">
        <v>0</v>
      </c>
      <c r="C239">
        <v>80</v>
      </c>
      <c r="D239">
        <v>680</v>
      </c>
      <c r="E239">
        <v>720</v>
      </c>
      <c r="F239">
        <v>0</v>
      </c>
      <c r="G239" s="3">
        <v>41306</v>
      </c>
      <c r="H239" s="3">
        <v>41306</v>
      </c>
      <c r="I239" s="3">
        <v>41395</v>
      </c>
      <c r="J239" s="4"/>
    </row>
    <row r="240" spans="1:17" x14ac:dyDescent="0.25">
      <c r="A240" t="s">
        <v>38</v>
      </c>
      <c r="B240">
        <v>0</v>
      </c>
      <c r="C240">
        <v>80</v>
      </c>
      <c r="D240">
        <v>620</v>
      </c>
      <c r="E240">
        <v>680</v>
      </c>
      <c r="F240">
        <v>0</v>
      </c>
      <c r="G240" s="3">
        <v>41306</v>
      </c>
      <c r="H240" s="3">
        <v>41306</v>
      </c>
      <c r="I240" s="3">
        <v>41395</v>
      </c>
      <c r="J240" s="4"/>
    </row>
    <row r="241" spans="1:18" x14ac:dyDescent="0.25">
      <c r="A241" t="s">
        <v>38</v>
      </c>
      <c r="B241">
        <v>0</v>
      </c>
      <c r="C241">
        <v>80</v>
      </c>
      <c r="D241">
        <v>300</v>
      </c>
      <c r="E241">
        <v>620</v>
      </c>
      <c r="G241" s="3">
        <v>41306</v>
      </c>
      <c r="H241" s="3">
        <v>41306</v>
      </c>
      <c r="I241" s="3">
        <v>41395</v>
      </c>
      <c r="J241" s="4"/>
    </row>
    <row r="242" spans="1:18" x14ac:dyDescent="0.25">
      <c r="A242" t="s">
        <v>35</v>
      </c>
      <c r="B242">
        <v>80</v>
      </c>
      <c r="C242">
        <v>999</v>
      </c>
      <c r="D242">
        <v>760</v>
      </c>
      <c r="E242">
        <v>999</v>
      </c>
      <c r="F242">
        <v>0</v>
      </c>
      <c r="G242" s="3">
        <v>41395</v>
      </c>
      <c r="H242" s="3">
        <v>41395</v>
      </c>
      <c r="I242" s="3">
        <v>41487</v>
      </c>
      <c r="J242" s="4"/>
      <c r="L242" s="3">
        <v>41395</v>
      </c>
      <c r="N242" t="s">
        <v>11</v>
      </c>
      <c r="O242" t="s">
        <v>12</v>
      </c>
      <c r="P242" t="s">
        <v>13</v>
      </c>
      <c r="Q242" t="s">
        <v>14</v>
      </c>
      <c r="R242" t="s">
        <v>19</v>
      </c>
    </row>
    <row r="243" spans="1:18" x14ac:dyDescent="0.25">
      <c r="A243" t="s">
        <v>35</v>
      </c>
      <c r="B243">
        <v>80</v>
      </c>
      <c r="C243">
        <v>999</v>
      </c>
      <c r="D243">
        <v>720</v>
      </c>
      <c r="E243">
        <v>760</v>
      </c>
      <c r="F243">
        <v>0</v>
      </c>
      <c r="G243" s="3">
        <v>41395</v>
      </c>
      <c r="H243" s="3">
        <v>41395</v>
      </c>
      <c r="I243" s="3">
        <v>41487</v>
      </c>
      <c r="J243" s="4"/>
      <c r="L243" t="s">
        <v>35</v>
      </c>
      <c r="M243" t="s">
        <v>58</v>
      </c>
      <c r="N243" s="7">
        <v>0</v>
      </c>
      <c r="O243" s="7">
        <v>0</v>
      </c>
      <c r="P243" s="7">
        <v>0</v>
      </c>
      <c r="Q243" s="7">
        <v>0</v>
      </c>
      <c r="R243" s="2" t="s">
        <v>34</v>
      </c>
    </row>
    <row r="244" spans="1:18" x14ac:dyDescent="0.25">
      <c r="A244" t="s">
        <v>35</v>
      </c>
      <c r="B244">
        <v>80</v>
      </c>
      <c r="C244">
        <v>999</v>
      </c>
      <c r="D244">
        <v>680</v>
      </c>
      <c r="E244">
        <v>720</v>
      </c>
      <c r="F244">
        <v>0</v>
      </c>
      <c r="G244" s="3">
        <v>41395</v>
      </c>
      <c r="H244" s="3">
        <v>41395</v>
      </c>
      <c r="I244" s="3">
        <v>41487</v>
      </c>
      <c r="J244" s="4"/>
      <c r="L244" t="s">
        <v>36</v>
      </c>
      <c r="M244" t="s">
        <v>58</v>
      </c>
      <c r="N244" s="7">
        <v>11.999999999999998</v>
      </c>
      <c r="O244" s="7">
        <v>14</v>
      </c>
      <c r="P244" s="7">
        <v>20</v>
      </c>
      <c r="Q244" s="7">
        <v>35</v>
      </c>
      <c r="R244" s="2" t="s">
        <v>34</v>
      </c>
    </row>
    <row r="245" spans="1:18" x14ac:dyDescent="0.25">
      <c r="A245" t="s">
        <v>35</v>
      </c>
      <c r="B245">
        <v>80</v>
      </c>
      <c r="C245">
        <v>999</v>
      </c>
      <c r="D245">
        <v>620</v>
      </c>
      <c r="E245">
        <v>680</v>
      </c>
      <c r="F245">
        <v>0</v>
      </c>
      <c r="G245" s="3">
        <v>41395</v>
      </c>
      <c r="H245" s="3">
        <v>41395</v>
      </c>
      <c r="I245" s="3">
        <v>41487</v>
      </c>
      <c r="J245" s="4"/>
      <c r="L245" t="s">
        <v>37</v>
      </c>
      <c r="M245" t="s">
        <v>58</v>
      </c>
      <c r="N245" s="7">
        <v>0</v>
      </c>
      <c r="O245" s="7">
        <v>0</v>
      </c>
      <c r="P245" s="7">
        <v>0</v>
      </c>
      <c r="Q245" s="7">
        <v>0</v>
      </c>
      <c r="R245" s="2" t="s">
        <v>34</v>
      </c>
    </row>
    <row r="246" spans="1:18" x14ac:dyDescent="0.25">
      <c r="A246" t="s">
        <v>35</v>
      </c>
      <c r="B246">
        <v>80</v>
      </c>
      <c r="C246">
        <v>999</v>
      </c>
      <c r="D246">
        <v>300</v>
      </c>
      <c r="E246">
        <v>620</v>
      </c>
      <c r="G246" s="3">
        <v>41395</v>
      </c>
      <c r="H246" s="3">
        <v>41395</v>
      </c>
      <c r="I246" s="3">
        <v>41487</v>
      </c>
      <c r="J246" s="4"/>
      <c r="L246" t="s">
        <v>38</v>
      </c>
      <c r="M246" t="s">
        <v>58</v>
      </c>
      <c r="N246" s="7">
        <v>0</v>
      </c>
      <c r="O246" s="7">
        <v>0</v>
      </c>
      <c r="P246" s="7">
        <v>0</v>
      </c>
      <c r="Q246" s="7">
        <v>0</v>
      </c>
      <c r="R246" s="2" t="s">
        <v>34</v>
      </c>
    </row>
    <row r="247" spans="1:18" x14ac:dyDescent="0.25">
      <c r="A247" t="s">
        <v>36</v>
      </c>
      <c r="B247">
        <v>80</v>
      </c>
      <c r="C247">
        <v>999</v>
      </c>
      <c r="D247">
        <v>760</v>
      </c>
      <c r="E247">
        <v>999</v>
      </c>
      <c r="F247">
        <v>12</v>
      </c>
      <c r="G247" s="3">
        <v>41395</v>
      </c>
      <c r="H247" s="3">
        <v>41395</v>
      </c>
      <c r="I247" s="3">
        <v>41487</v>
      </c>
      <c r="J247" s="4"/>
      <c r="L247" t="s">
        <v>35</v>
      </c>
      <c r="M247" t="s">
        <v>59</v>
      </c>
      <c r="N247" s="7">
        <v>0</v>
      </c>
      <c r="O247" s="7">
        <v>0</v>
      </c>
      <c r="P247" s="7">
        <v>0</v>
      </c>
      <c r="Q247" s="7">
        <v>0</v>
      </c>
      <c r="R247" s="2" t="s">
        <v>34</v>
      </c>
    </row>
    <row r="248" spans="1:18" x14ac:dyDescent="0.25">
      <c r="A248" t="s">
        <v>36</v>
      </c>
      <c r="B248">
        <v>80</v>
      </c>
      <c r="C248">
        <v>999</v>
      </c>
      <c r="D248">
        <v>720</v>
      </c>
      <c r="E248">
        <v>760</v>
      </c>
      <c r="F248">
        <v>14</v>
      </c>
      <c r="G248" s="3">
        <v>41395</v>
      </c>
      <c r="H248" s="3">
        <v>41395</v>
      </c>
      <c r="I248" s="3">
        <v>41487</v>
      </c>
      <c r="J248" s="4"/>
      <c r="L248" t="s">
        <v>36</v>
      </c>
      <c r="M248" t="s">
        <v>59</v>
      </c>
      <c r="N248" s="7">
        <v>0</v>
      </c>
      <c r="O248" s="7">
        <v>0</v>
      </c>
      <c r="P248" s="7">
        <v>0</v>
      </c>
      <c r="Q248" s="7">
        <v>0</v>
      </c>
      <c r="R248" s="2" t="s">
        <v>34</v>
      </c>
    </row>
    <row r="249" spans="1:18" x14ac:dyDescent="0.25">
      <c r="A249" t="s">
        <v>36</v>
      </c>
      <c r="B249">
        <v>80</v>
      </c>
      <c r="C249">
        <v>999</v>
      </c>
      <c r="D249">
        <v>680</v>
      </c>
      <c r="E249">
        <v>720</v>
      </c>
      <c r="F249">
        <v>20</v>
      </c>
      <c r="G249" s="3">
        <v>41395</v>
      </c>
      <c r="H249" s="3">
        <v>41395</v>
      </c>
      <c r="I249" s="3">
        <v>41487</v>
      </c>
      <c r="J249" s="4"/>
      <c r="L249" t="s">
        <v>37</v>
      </c>
      <c r="M249" t="s">
        <v>59</v>
      </c>
      <c r="N249" s="7">
        <v>0</v>
      </c>
      <c r="O249" s="7">
        <v>0</v>
      </c>
      <c r="P249" s="7">
        <v>0</v>
      </c>
      <c r="Q249" s="7">
        <v>0</v>
      </c>
      <c r="R249" s="2" t="s">
        <v>34</v>
      </c>
    </row>
    <row r="250" spans="1:18" x14ac:dyDescent="0.25">
      <c r="A250" t="s">
        <v>36</v>
      </c>
      <c r="B250">
        <v>80</v>
      </c>
      <c r="C250">
        <v>999</v>
      </c>
      <c r="D250">
        <v>620</v>
      </c>
      <c r="E250">
        <v>680</v>
      </c>
      <c r="F250">
        <v>35</v>
      </c>
      <c r="G250" s="3">
        <v>41395</v>
      </c>
      <c r="H250" s="3">
        <v>41395</v>
      </c>
      <c r="I250" s="3">
        <v>41487</v>
      </c>
      <c r="J250" s="4"/>
      <c r="L250" t="s">
        <v>38</v>
      </c>
      <c r="M250" t="s">
        <v>59</v>
      </c>
      <c r="N250" s="7">
        <v>0</v>
      </c>
      <c r="O250" s="7">
        <v>0</v>
      </c>
      <c r="P250" s="7">
        <v>0</v>
      </c>
      <c r="Q250" s="7">
        <v>0</v>
      </c>
      <c r="R250" s="2" t="s">
        <v>34</v>
      </c>
    </row>
    <row r="251" spans="1:18" x14ac:dyDescent="0.25">
      <c r="A251" t="s">
        <v>36</v>
      </c>
      <c r="B251">
        <v>80</v>
      </c>
      <c r="C251">
        <v>999</v>
      </c>
      <c r="D251">
        <v>300</v>
      </c>
      <c r="E251">
        <v>620</v>
      </c>
      <c r="G251" s="3">
        <v>41395</v>
      </c>
      <c r="H251" s="3">
        <v>41395</v>
      </c>
      <c r="I251" s="3">
        <v>41487</v>
      </c>
      <c r="J251" s="4"/>
    </row>
    <row r="252" spans="1:18" x14ac:dyDescent="0.25">
      <c r="A252" t="s">
        <v>37</v>
      </c>
      <c r="B252">
        <v>80</v>
      </c>
      <c r="C252">
        <v>999</v>
      </c>
      <c r="D252">
        <v>760</v>
      </c>
      <c r="E252">
        <v>999</v>
      </c>
      <c r="F252">
        <v>0</v>
      </c>
      <c r="G252" s="3">
        <v>41395</v>
      </c>
      <c r="H252" s="3">
        <v>41395</v>
      </c>
      <c r="I252" s="3">
        <v>41487</v>
      </c>
      <c r="J252" s="4"/>
    </row>
    <row r="253" spans="1:18" x14ac:dyDescent="0.25">
      <c r="A253" t="s">
        <v>37</v>
      </c>
      <c r="B253">
        <v>80</v>
      </c>
      <c r="C253">
        <v>999</v>
      </c>
      <c r="D253">
        <v>720</v>
      </c>
      <c r="E253">
        <v>760</v>
      </c>
      <c r="F253">
        <v>0</v>
      </c>
      <c r="G253" s="3">
        <v>41395</v>
      </c>
      <c r="H253" s="3">
        <v>41395</v>
      </c>
      <c r="I253" s="3">
        <v>41487</v>
      </c>
      <c r="J253" s="4"/>
    </row>
    <row r="254" spans="1:18" x14ac:dyDescent="0.25">
      <c r="A254" t="s">
        <v>37</v>
      </c>
      <c r="B254">
        <v>80</v>
      </c>
      <c r="C254">
        <v>999</v>
      </c>
      <c r="D254">
        <v>680</v>
      </c>
      <c r="E254">
        <v>720</v>
      </c>
      <c r="F254">
        <v>0</v>
      </c>
      <c r="G254" s="3">
        <v>41395</v>
      </c>
      <c r="H254" s="3">
        <v>41395</v>
      </c>
      <c r="I254" s="3">
        <v>41487</v>
      </c>
      <c r="J254" s="4"/>
    </row>
    <row r="255" spans="1:18" x14ac:dyDescent="0.25">
      <c r="A255" t="s">
        <v>37</v>
      </c>
      <c r="B255">
        <v>80</v>
      </c>
      <c r="C255">
        <v>999</v>
      </c>
      <c r="D255">
        <v>620</v>
      </c>
      <c r="E255">
        <v>680</v>
      </c>
      <c r="F255">
        <v>0</v>
      </c>
      <c r="G255" s="3">
        <v>41395</v>
      </c>
      <c r="H255" s="3">
        <v>41395</v>
      </c>
      <c r="I255" s="3">
        <v>41487</v>
      </c>
      <c r="J255" s="4"/>
      <c r="N255" s="2"/>
      <c r="O255" s="2"/>
      <c r="P255" s="2"/>
      <c r="Q255" s="2"/>
      <c r="R255" s="2"/>
    </row>
    <row r="256" spans="1:18" x14ac:dyDescent="0.25">
      <c r="A256" t="s">
        <v>37</v>
      </c>
      <c r="B256">
        <v>80</v>
      </c>
      <c r="C256">
        <v>999</v>
      </c>
      <c r="D256">
        <v>300</v>
      </c>
      <c r="E256">
        <v>620</v>
      </c>
      <c r="G256" s="3">
        <v>41395</v>
      </c>
      <c r="H256" s="3">
        <v>41395</v>
      </c>
      <c r="I256" s="3">
        <v>41487</v>
      </c>
      <c r="J256" s="4"/>
      <c r="N256" s="7"/>
      <c r="O256" s="7"/>
      <c r="P256" s="7"/>
      <c r="Q256" s="7"/>
      <c r="R256" s="2"/>
    </row>
    <row r="257" spans="1:18" x14ac:dyDescent="0.25">
      <c r="A257" t="s">
        <v>38</v>
      </c>
      <c r="B257">
        <v>80</v>
      </c>
      <c r="C257">
        <v>999</v>
      </c>
      <c r="D257">
        <v>760</v>
      </c>
      <c r="E257">
        <v>999</v>
      </c>
      <c r="F257">
        <v>0</v>
      </c>
      <c r="G257" s="3">
        <v>41395</v>
      </c>
      <c r="H257" s="3">
        <v>41395</v>
      </c>
      <c r="I257" s="3">
        <v>41487</v>
      </c>
      <c r="J257" s="4"/>
      <c r="N257" s="7"/>
      <c r="O257" s="7"/>
      <c r="P257" s="7"/>
      <c r="Q257" s="7"/>
      <c r="R257" s="2"/>
    </row>
    <row r="258" spans="1:18" x14ac:dyDescent="0.25">
      <c r="A258" t="s">
        <v>38</v>
      </c>
      <c r="B258">
        <v>80</v>
      </c>
      <c r="C258">
        <v>999</v>
      </c>
      <c r="D258">
        <v>720</v>
      </c>
      <c r="E258">
        <v>760</v>
      </c>
      <c r="F258">
        <v>0</v>
      </c>
      <c r="G258" s="3">
        <v>41395</v>
      </c>
      <c r="H258" s="3">
        <v>41395</v>
      </c>
      <c r="I258" s="3">
        <v>41487</v>
      </c>
      <c r="J258" s="4"/>
      <c r="N258" s="7"/>
      <c r="O258" s="7"/>
      <c r="P258" s="7"/>
      <c r="Q258" s="7"/>
      <c r="R258" s="2"/>
    </row>
    <row r="259" spans="1:18" x14ac:dyDescent="0.25">
      <c r="A259" t="s">
        <v>38</v>
      </c>
      <c r="B259">
        <v>80</v>
      </c>
      <c r="C259">
        <v>999</v>
      </c>
      <c r="D259">
        <v>680</v>
      </c>
      <c r="E259">
        <v>720</v>
      </c>
      <c r="F259">
        <v>0</v>
      </c>
      <c r="G259" s="3">
        <v>41395</v>
      </c>
      <c r="H259" s="3">
        <v>41395</v>
      </c>
      <c r="I259" s="3">
        <v>41487</v>
      </c>
      <c r="J259" s="4"/>
      <c r="N259" s="7"/>
      <c r="O259" s="7"/>
      <c r="P259" s="7"/>
      <c r="Q259" s="7"/>
      <c r="R259" s="2"/>
    </row>
    <row r="260" spans="1:18" x14ac:dyDescent="0.25">
      <c r="A260" t="s">
        <v>38</v>
      </c>
      <c r="B260">
        <v>80</v>
      </c>
      <c r="C260">
        <v>999</v>
      </c>
      <c r="D260">
        <v>620</v>
      </c>
      <c r="E260">
        <v>680</v>
      </c>
      <c r="F260">
        <v>0</v>
      </c>
      <c r="G260" s="3">
        <v>41395</v>
      </c>
      <c r="H260" s="3">
        <v>41395</v>
      </c>
      <c r="I260" s="3">
        <v>41487</v>
      </c>
      <c r="J260" s="4"/>
      <c r="N260" s="7"/>
      <c r="O260" s="7"/>
      <c r="P260" s="7"/>
      <c r="Q260" s="7"/>
      <c r="R260" s="2"/>
    </row>
    <row r="261" spans="1:18" x14ac:dyDescent="0.25">
      <c r="A261" t="s">
        <v>38</v>
      </c>
      <c r="B261">
        <v>80</v>
      </c>
      <c r="C261">
        <v>999</v>
      </c>
      <c r="D261">
        <v>300</v>
      </c>
      <c r="E261">
        <v>620</v>
      </c>
      <c r="G261" s="3">
        <v>41395</v>
      </c>
      <c r="H261" s="3">
        <v>41395</v>
      </c>
      <c r="I261" s="3">
        <v>41487</v>
      </c>
      <c r="J261" s="4"/>
      <c r="N261" s="7"/>
      <c r="O261" s="7"/>
      <c r="P261" s="7"/>
      <c r="Q261" s="7"/>
      <c r="R261" s="2"/>
    </row>
    <row r="262" spans="1:18" x14ac:dyDescent="0.25">
      <c r="A262" t="s">
        <v>35</v>
      </c>
      <c r="B262">
        <v>0</v>
      </c>
      <c r="C262">
        <v>80</v>
      </c>
      <c r="D262">
        <v>760</v>
      </c>
      <c r="E262">
        <v>999</v>
      </c>
      <c r="F262">
        <v>0</v>
      </c>
      <c r="G262" s="3">
        <v>41395</v>
      </c>
      <c r="H262" s="3">
        <v>41395</v>
      </c>
      <c r="I262" s="3">
        <v>41487</v>
      </c>
      <c r="J262" s="4"/>
      <c r="N262" s="7"/>
      <c r="O262" s="7"/>
      <c r="P262" s="7"/>
      <c r="Q262" s="7"/>
      <c r="R262" s="2"/>
    </row>
    <row r="263" spans="1:18" x14ac:dyDescent="0.25">
      <c r="A263" t="s">
        <v>35</v>
      </c>
      <c r="B263">
        <v>0</v>
      </c>
      <c r="C263">
        <v>80</v>
      </c>
      <c r="D263">
        <v>720</v>
      </c>
      <c r="E263">
        <v>760</v>
      </c>
      <c r="F263">
        <v>0</v>
      </c>
      <c r="G263" s="3">
        <v>41395</v>
      </c>
      <c r="H263" s="3">
        <v>41395</v>
      </c>
      <c r="I263" s="3">
        <v>41487</v>
      </c>
      <c r="J263" s="4"/>
      <c r="N263" s="7"/>
      <c r="O263" s="7"/>
      <c r="P263" s="7"/>
      <c r="Q263" s="7"/>
    </row>
    <row r="264" spans="1:18" x14ac:dyDescent="0.25">
      <c r="A264" t="s">
        <v>35</v>
      </c>
      <c r="B264">
        <v>0</v>
      </c>
      <c r="C264">
        <v>80</v>
      </c>
      <c r="D264">
        <v>680</v>
      </c>
      <c r="E264">
        <v>720</v>
      </c>
      <c r="F264">
        <v>0</v>
      </c>
      <c r="G264" s="3">
        <v>41395</v>
      </c>
      <c r="H264" s="3">
        <v>41395</v>
      </c>
      <c r="I264" s="3">
        <v>41487</v>
      </c>
      <c r="J264" s="4"/>
      <c r="N264" s="7"/>
      <c r="O264" s="7"/>
      <c r="P264" s="7"/>
      <c r="Q264" s="7"/>
    </row>
    <row r="265" spans="1:18" x14ac:dyDescent="0.25">
      <c r="A265" t="s">
        <v>35</v>
      </c>
      <c r="B265">
        <v>0</v>
      </c>
      <c r="C265">
        <v>80</v>
      </c>
      <c r="D265">
        <v>620</v>
      </c>
      <c r="E265">
        <v>680</v>
      </c>
      <c r="F265">
        <v>0</v>
      </c>
      <c r="G265" s="3">
        <v>41395</v>
      </c>
      <c r="H265" s="3">
        <v>41395</v>
      </c>
      <c r="I265" s="3">
        <v>41487</v>
      </c>
      <c r="J265" s="4"/>
      <c r="N265" s="7"/>
      <c r="O265" s="7"/>
      <c r="P265" s="7"/>
      <c r="Q265" s="7"/>
    </row>
    <row r="266" spans="1:18" x14ac:dyDescent="0.25">
      <c r="A266" t="s">
        <v>35</v>
      </c>
      <c r="B266">
        <v>0</v>
      </c>
      <c r="C266">
        <v>80</v>
      </c>
      <c r="D266">
        <v>300</v>
      </c>
      <c r="E266">
        <v>620</v>
      </c>
      <c r="G266" s="3">
        <v>41395</v>
      </c>
      <c r="H266" s="3">
        <v>41395</v>
      </c>
      <c r="I266" s="3">
        <v>41487</v>
      </c>
      <c r="J266" s="4"/>
      <c r="N266" s="7"/>
      <c r="O266" s="7"/>
      <c r="P266" s="7"/>
      <c r="Q266" s="7"/>
    </row>
    <row r="267" spans="1:18" x14ac:dyDescent="0.25">
      <c r="A267" t="s">
        <v>36</v>
      </c>
      <c r="B267">
        <v>0</v>
      </c>
      <c r="C267">
        <v>80</v>
      </c>
      <c r="D267">
        <v>760</v>
      </c>
      <c r="E267">
        <v>999</v>
      </c>
      <c r="F267">
        <v>0</v>
      </c>
      <c r="G267" s="3">
        <v>41395</v>
      </c>
      <c r="H267" s="3">
        <v>41395</v>
      </c>
      <c r="I267" s="3">
        <v>41487</v>
      </c>
      <c r="J267" s="4"/>
      <c r="N267" s="7"/>
      <c r="O267" s="7"/>
      <c r="P267" s="7"/>
      <c r="Q267" s="7"/>
    </row>
    <row r="268" spans="1:18" x14ac:dyDescent="0.25">
      <c r="A268" t="s">
        <v>36</v>
      </c>
      <c r="B268">
        <v>0</v>
      </c>
      <c r="C268">
        <v>80</v>
      </c>
      <c r="D268">
        <v>720</v>
      </c>
      <c r="E268">
        <v>760</v>
      </c>
      <c r="F268">
        <v>0</v>
      </c>
      <c r="G268" s="3">
        <v>41395</v>
      </c>
      <c r="H268" s="3">
        <v>41395</v>
      </c>
      <c r="I268" s="3">
        <v>41487</v>
      </c>
      <c r="J268" s="4"/>
      <c r="N268" s="7"/>
      <c r="O268" s="7"/>
      <c r="P268" s="7"/>
      <c r="Q268" s="7"/>
    </row>
    <row r="269" spans="1:18" x14ac:dyDescent="0.25">
      <c r="A269" t="s">
        <v>36</v>
      </c>
      <c r="B269">
        <v>0</v>
      </c>
      <c r="C269">
        <v>80</v>
      </c>
      <c r="D269">
        <v>680</v>
      </c>
      <c r="E269">
        <v>720</v>
      </c>
      <c r="F269">
        <v>0</v>
      </c>
      <c r="G269" s="3">
        <v>41395</v>
      </c>
      <c r="H269" s="3">
        <v>41395</v>
      </c>
      <c r="I269" s="3">
        <v>41487</v>
      </c>
      <c r="J269" s="4"/>
    </row>
    <row r="270" spans="1:18" x14ac:dyDescent="0.25">
      <c r="A270" t="s">
        <v>36</v>
      </c>
      <c r="B270">
        <v>0</v>
      </c>
      <c r="C270">
        <v>80</v>
      </c>
      <c r="D270">
        <v>620</v>
      </c>
      <c r="E270">
        <v>680</v>
      </c>
      <c r="F270">
        <v>0</v>
      </c>
      <c r="G270" s="3">
        <v>41395</v>
      </c>
      <c r="H270" s="3">
        <v>41395</v>
      </c>
      <c r="I270" s="3">
        <v>41487</v>
      </c>
      <c r="J270" s="4"/>
    </row>
    <row r="271" spans="1:18" x14ac:dyDescent="0.25">
      <c r="A271" t="s">
        <v>36</v>
      </c>
      <c r="B271">
        <v>0</v>
      </c>
      <c r="C271">
        <v>80</v>
      </c>
      <c r="D271">
        <v>300</v>
      </c>
      <c r="E271">
        <v>620</v>
      </c>
      <c r="G271" s="3">
        <v>41395</v>
      </c>
      <c r="H271" s="3">
        <v>41395</v>
      </c>
      <c r="I271" s="3">
        <v>41487</v>
      </c>
      <c r="J271" s="4"/>
    </row>
    <row r="272" spans="1:18" x14ac:dyDescent="0.25">
      <c r="A272" t="s">
        <v>37</v>
      </c>
      <c r="B272">
        <v>0</v>
      </c>
      <c r="C272">
        <v>80</v>
      </c>
      <c r="D272">
        <v>760</v>
      </c>
      <c r="E272">
        <v>999</v>
      </c>
      <c r="F272">
        <v>0</v>
      </c>
      <c r="G272" s="3">
        <v>41395</v>
      </c>
      <c r="H272" s="3">
        <v>41395</v>
      </c>
      <c r="I272" s="3">
        <v>41487</v>
      </c>
      <c r="J272" s="4"/>
    </row>
    <row r="273" spans="1:18" x14ac:dyDescent="0.25">
      <c r="A273" t="s">
        <v>37</v>
      </c>
      <c r="B273">
        <v>0</v>
      </c>
      <c r="C273">
        <v>80</v>
      </c>
      <c r="D273">
        <v>720</v>
      </c>
      <c r="E273">
        <v>760</v>
      </c>
      <c r="F273">
        <v>0</v>
      </c>
      <c r="G273" s="3">
        <v>41395</v>
      </c>
      <c r="H273" s="3">
        <v>41395</v>
      </c>
      <c r="I273" s="3">
        <v>41487</v>
      </c>
      <c r="J273" s="4"/>
    </row>
    <row r="274" spans="1:18" x14ac:dyDescent="0.25">
      <c r="A274" t="s">
        <v>37</v>
      </c>
      <c r="B274">
        <v>0</v>
      </c>
      <c r="C274">
        <v>80</v>
      </c>
      <c r="D274">
        <v>680</v>
      </c>
      <c r="E274">
        <v>720</v>
      </c>
      <c r="F274">
        <v>0</v>
      </c>
      <c r="G274" s="3">
        <v>41395</v>
      </c>
      <c r="H274" s="3">
        <v>41395</v>
      </c>
      <c r="I274" s="3">
        <v>41487</v>
      </c>
      <c r="J274" s="4"/>
    </row>
    <row r="275" spans="1:18" x14ac:dyDescent="0.25">
      <c r="A275" t="s">
        <v>37</v>
      </c>
      <c r="B275">
        <v>0</v>
      </c>
      <c r="C275">
        <v>80</v>
      </c>
      <c r="D275">
        <v>620</v>
      </c>
      <c r="E275">
        <v>680</v>
      </c>
      <c r="F275">
        <v>0</v>
      </c>
      <c r="G275" s="3">
        <v>41395</v>
      </c>
      <c r="H275" s="3">
        <v>41395</v>
      </c>
      <c r="I275" s="3">
        <v>41487</v>
      </c>
      <c r="J275" s="4"/>
    </row>
    <row r="276" spans="1:18" x14ac:dyDescent="0.25">
      <c r="A276" t="s">
        <v>37</v>
      </c>
      <c r="B276">
        <v>0</v>
      </c>
      <c r="C276">
        <v>80</v>
      </c>
      <c r="D276">
        <v>300</v>
      </c>
      <c r="E276">
        <v>620</v>
      </c>
      <c r="G276" s="3">
        <v>41395</v>
      </c>
      <c r="H276" s="3">
        <v>41395</v>
      </c>
      <c r="I276" s="3">
        <v>41487</v>
      </c>
      <c r="J276" s="4"/>
    </row>
    <row r="277" spans="1:18" x14ac:dyDescent="0.25">
      <c r="A277" t="s">
        <v>38</v>
      </c>
      <c r="B277">
        <v>0</v>
      </c>
      <c r="C277">
        <v>80</v>
      </c>
      <c r="D277">
        <v>760</v>
      </c>
      <c r="E277">
        <v>999</v>
      </c>
      <c r="F277">
        <v>0</v>
      </c>
      <c r="G277" s="3">
        <v>41395</v>
      </c>
      <c r="H277" s="3">
        <v>41395</v>
      </c>
      <c r="I277" s="3">
        <v>41487</v>
      </c>
      <c r="J277" s="4"/>
    </row>
    <row r="278" spans="1:18" x14ac:dyDescent="0.25">
      <c r="A278" t="s">
        <v>38</v>
      </c>
      <c r="B278">
        <v>0</v>
      </c>
      <c r="C278">
        <v>80</v>
      </c>
      <c r="D278">
        <v>720</v>
      </c>
      <c r="E278">
        <v>760</v>
      </c>
      <c r="F278">
        <v>0</v>
      </c>
      <c r="G278" s="3">
        <v>41395</v>
      </c>
      <c r="H278" s="3">
        <v>41395</v>
      </c>
      <c r="I278" s="3">
        <v>41487</v>
      </c>
      <c r="J278" s="4"/>
    </row>
    <row r="279" spans="1:18" x14ac:dyDescent="0.25">
      <c r="A279" t="s">
        <v>38</v>
      </c>
      <c r="B279">
        <v>0</v>
      </c>
      <c r="C279">
        <v>80</v>
      </c>
      <c r="D279">
        <v>680</v>
      </c>
      <c r="E279">
        <v>720</v>
      </c>
      <c r="F279">
        <v>0</v>
      </c>
      <c r="G279" s="3">
        <v>41395</v>
      </c>
      <c r="H279" s="3">
        <v>41395</v>
      </c>
      <c r="I279" s="3">
        <v>41487</v>
      </c>
      <c r="J279" s="4"/>
    </row>
    <row r="280" spans="1:18" x14ac:dyDescent="0.25">
      <c r="A280" t="s">
        <v>38</v>
      </c>
      <c r="B280">
        <v>0</v>
      </c>
      <c r="C280">
        <v>80</v>
      </c>
      <c r="D280">
        <v>620</v>
      </c>
      <c r="E280">
        <v>680</v>
      </c>
      <c r="F280">
        <v>0</v>
      </c>
      <c r="G280" s="3">
        <v>41395</v>
      </c>
      <c r="H280" s="3">
        <v>41395</v>
      </c>
      <c r="I280" s="3">
        <v>41487</v>
      </c>
      <c r="J280" s="4"/>
    </row>
    <row r="281" spans="1:18" x14ac:dyDescent="0.25">
      <c r="A281" t="s">
        <v>38</v>
      </c>
      <c r="B281">
        <v>0</v>
      </c>
      <c r="C281">
        <v>80</v>
      </c>
      <c r="D281">
        <v>300</v>
      </c>
      <c r="E281">
        <v>620</v>
      </c>
      <c r="G281" s="3">
        <v>41395</v>
      </c>
      <c r="H281" s="3">
        <v>41395</v>
      </c>
      <c r="I281" s="3">
        <v>41487</v>
      </c>
      <c r="J281" s="4"/>
    </row>
    <row r="282" spans="1:18" x14ac:dyDescent="0.25">
      <c r="A282" t="s">
        <v>35</v>
      </c>
      <c r="B282">
        <v>80</v>
      </c>
      <c r="C282">
        <v>999</v>
      </c>
      <c r="D282">
        <v>760</v>
      </c>
      <c r="E282">
        <v>999</v>
      </c>
      <c r="F282">
        <v>0</v>
      </c>
      <c r="G282" s="3">
        <v>41487</v>
      </c>
      <c r="H282" s="3">
        <v>41487</v>
      </c>
      <c r="I282" s="3">
        <v>41760</v>
      </c>
      <c r="J282" s="4"/>
      <c r="L282" s="3">
        <v>41487</v>
      </c>
      <c r="N282" t="s">
        <v>11</v>
      </c>
      <c r="O282" t="s">
        <v>12</v>
      </c>
      <c r="P282" t="s">
        <v>13</v>
      </c>
      <c r="Q282" t="s">
        <v>14</v>
      </c>
      <c r="R282" t="s">
        <v>19</v>
      </c>
    </row>
    <row r="283" spans="1:18" x14ac:dyDescent="0.25">
      <c r="A283" t="s">
        <v>35</v>
      </c>
      <c r="B283">
        <v>80</v>
      </c>
      <c r="C283">
        <v>999</v>
      </c>
      <c r="D283">
        <v>720</v>
      </c>
      <c r="E283">
        <v>760</v>
      </c>
      <c r="F283">
        <v>0</v>
      </c>
      <c r="G283" s="3">
        <v>41487</v>
      </c>
      <c r="H283" s="3">
        <v>41487</v>
      </c>
      <c r="I283" s="3">
        <v>41760</v>
      </c>
      <c r="J283" s="4"/>
      <c r="L283" t="s">
        <v>35</v>
      </c>
      <c r="M283" t="s">
        <v>58</v>
      </c>
      <c r="N283" s="7">
        <v>0</v>
      </c>
      <c r="O283" s="7">
        <v>0</v>
      </c>
      <c r="P283" s="7">
        <v>0</v>
      </c>
      <c r="Q283" s="7">
        <v>0</v>
      </c>
      <c r="R283" s="2" t="s">
        <v>34</v>
      </c>
    </row>
    <row r="284" spans="1:18" x14ac:dyDescent="0.25">
      <c r="A284" t="s">
        <v>35</v>
      </c>
      <c r="B284">
        <v>80</v>
      </c>
      <c r="C284">
        <v>999</v>
      </c>
      <c r="D284">
        <v>680</v>
      </c>
      <c r="E284">
        <v>720</v>
      </c>
      <c r="F284">
        <v>0</v>
      </c>
      <c r="G284" s="3">
        <v>41487</v>
      </c>
      <c r="H284" s="3">
        <v>41487</v>
      </c>
      <c r="I284" s="3">
        <v>41760</v>
      </c>
      <c r="J284" s="4"/>
      <c r="L284" t="s">
        <v>36</v>
      </c>
      <c r="M284" t="s">
        <v>58</v>
      </c>
      <c r="N284" s="7">
        <v>11.999999999999998</v>
      </c>
      <c r="O284" s="7">
        <v>14</v>
      </c>
      <c r="P284" s="7">
        <v>20</v>
      </c>
      <c r="Q284" s="7">
        <v>35</v>
      </c>
      <c r="R284" s="2" t="s">
        <v>34</v>
      </c>
    </row>
    <row r="285" spans="1:18" x14ac:dyDescent="0.25">
      <c r="A285" t="s">
        <v>35</v>
      </c>
      <c r="B285">
        <v>80</v>
      </c>
      <c r="C285">
        <v>999</v>
      </c>
      <c r="D285">
        <v>620</v>
      </c>
      <c r="E285">
        <v>680</v>
      </c>
      <c r="F285">
        <v>0</v>
      </c>
      <c r="G285" s="3">
        <v>41487</v>
      </c>
      <c r="H285" s="3">
        <v>41487</v>
      </c>
      <c r="I285" s="3">
        <v>41760</v>
      </c>
      <c r="J285" s="4"/>
      <c r="L285" t="s">
        <v>37</v>
      </c>
      <c r="M285" t="s">
        <v>58</v>
      </c>
      <c r="N285" s="7">
        <v>0</v>
      </c>
      <c r="O285" s="7">
        <v>0</v>
      </c>
      <c r="P285" s="7">
        <v>0</v>
      </c>
      <c r="Q285" s="7">
        <v>0</v>
      </c>
      <c r="R285" s="2" t="s">
        <v>34</v>
      </c>
    </row>
    <row r="286" spans="1:18" x14ac:dyDescent="0.25">
      <c r="A286" t="s">
        <v>35</v>
      </c>
      <c r="B286">
        <v>80</v>
      </c>
      <c r="C286">
        <v>999</v>
      </c>
      <c r="D286">
        <v>300</v>
      </c>
      <c r="E286">
        <v>620</v>
      </c>
      <c r="G286" s="3">
        <v>41487</v>
      </c>
      <c r="H286" s="3">
        <v>41487</v>
      </c>
      <c r="I286" s="3">
        <v>41760</v>
      </c>
      <c r="J286" s="4"/>
      <c r="L286" t="s">
        <v>38</v>
      </c>
      <c r="M286" t="s">
        <v>58</v>
      </c>
      <c r="N286" s="7">
        <v>0</v>
      </c>
      <c r="O286" s="7">
        <v>0</v>
      </c>
      <c r="P286" s="7">
        <v>0</v>
      </c>
      <c r="Q286" s="7">
        <v>0</v>
      </c>
      <c r="R286" s="2" t="s">
        <v>34</v>
      </c>
    </row>
    <row r="287" spans="1:18" x14ac:dyDescent="0.25">
      <c r="A287" t="s">
        <v>36</v>
      </c>
      <c r="B287">
        <v>80</v>
      </c>
      <c r="C287">
        <v>999</v>
      </c>
      <c r="D287">
        <v>760</v>
      </c>
      <c r="E287">
        <v>999</v>
      </c>
      <c r="F287">
        <v>12</v>
      </c>
      <c r="G287" s="3">
        <v>41487</v>
      </c>
      <c r="H287" s="3">
        <v>41487</v>
      </c>
      <c r="I287" s="3">
        <v>41760</v>
      </c>
      <c r="J287" s="4"/>
      <c r="L287" t="s">
        <v>35</v>
      </c>
      <c r="M287" t="s">
        <v>59</v>
      </c>
      <c r="N287" s="7">
        <v>0</v>
      </c>
      <c r="O287" s="7">
        <v>0</v>
      </c>
      <c r="P287" s="7">
        <v>0</v>
      </c>
      <c r="Q287" s="7">
        <v>0</v>
      </c>
      <c r="R287" s="2" t="s">
        <v>34</v>
      </c>
    </row>
    <row r="288" spans="1:18" x14ac:dyDescent="0.25">
      <c r="A288" t="s">
        <v>36</v>
      </c>
      <c r="B288">
        <v>80</v>
      </c>
      <c r="C288">
        <v>999</v>
      </c>
      <c r="D288">
        <v>720</v>
      </c>
      <c r="E288">
        <v>760</v>
      </c>
      <c r="F288">
        <v>14</v>
      </c>
      <c r="G288" s="3">
        <v>41487</v>
      </c>
      <c r="H288" s="3">
        <v>41487</v>
      </c>
      <c r="I288" s="3">
        <v>41760</v>
      </c>
      <c r="J288" s="4"/>
      <c r="L288" t="s">
        <v>36</v>
      </c>
      <c r="M288" t="s">
        <v>59</v>
      </c>
      <c r="N288" s="7">
        <v>0</v>
      </c>
      <c r="O288" s="7">
        <v>0</v>
      </c>
      <c r="P288" s="7">
        <v>0</v>
      </c>
      <c r="Q288" s="7">
        <v>0</v>
      </c>
      <c r="R288" s="2" t="s">
        <v>34</v>
      </c>
    </row>
    <row r="289" spans="1:18" x14ac:dyDescent="0.25">
      <c r="A289" t="s">
        <v>36</v>
      </c>
      <c r="B289">
        <v>80</v>
      </c>
      <c r="C289">
        <v>999</v>
      </c>
      <c r="D289">
        <v>680</v>
      </c>
      <c r="E289">
        <v>720</v>
      </c>
      <c r="F289">
        <v>20</v>
      </c>
      <c r="G289" s="3">
        <v>41487</v>
      </c>
      <c r="H289" s="3">
        <v>41487</v>
      </c>
      <c r="I289" s="3">
        <v>41760</v>
      </c>
      <c r="J289" s="4"/>
      <c r="L289" t="s">
        <v>37</v>
      </c>
      <c r="M289" t="s">
        <v>59</v>
      </c>
      <c r="N289" s="7">
        <v>0</v>
      </c>
      <c r="O289" s="7">
        <v>0</v>
      </c>
      <c r="P289" s="7">
        <v>0</v>
      </c>
      <c r="Q289" s="7">
        <v>0</v>
      </c>
      <c r="R289" s="2" t="s">
        <v>34</v>
      </c>
    </row>
    <row r="290" spans="1:18" x14ac:dyDescent="0.25">
      <c r="A290" t="s">
        <v>36</v>
      </c>
      <c r="B290">
        <v>80</v>
      </c>
      <c r="C290">
        <v>999</v>
      </c>
      <c r="D290">
        <v>620</v>
      </c>
      <c r="E290">
        <v>680</v>
      </c>
      <c r="F290">
        <v>35</v>
      </c>
      <c r="G290" s="3">
        <v>41487</v>
      </c>
      <c r="H290" s="3">
        <v>41487</v>
      </c>
      <c r="I290" s="3">
        <v>41760</v>
      </c>
      <c r="J290" s="4"/>
      <c r="L290" t="s">
        <v>38</v>
      </c>
      <c r="M290" t="s">
        <v>59</v>
      </c>
      <c r="N290" s="7">
        <v>0</v>
      </c>
      <c r="O290" s="7">
        <v>0</v>
      </c>
      <c r="P290" s="7">
        <v>0</v>
      </c>
      <c r="Q290" s="7">
        <v>0</v>
      </c>
      <c r="R290" s="2" t="s">
        <v>34</v>
      </c>
    </row>
    <row r="291" spans="1:18" x14ac:dyDescent="0.25">
      <c r="A291" t="s">
        <v>36</v>
      </c>
      <c r="B291">
        <v>80</v>
      </c>
      <c r="C291">
        <v>999</v>
      </c>
      <c r="D291">
        <v>300</v>
      </c>
      <c r="E291">
        <v>620</v>
      </c>
      <c r="G291" s="3">
        <v>41487</v>
      </c>
      <c r="H291" s="3">
        <v>41487</v>
      </c>
      <c r="I291" s="3">
        <v>41760</v>
      </c>
      <c r="J291" s="4"/>
    </row>
    <row r="292" spans="1:18" x14ac:dyDescent="0.25">
      <c r="A292" t="s">
        <v>37</v>
      </c>
      <c r="B292">
        <v>80</v>
      </c>
      <c r="C292">
        <v>999</v>
      </c>
      <c r="D292">
        <v>760</v>
      </c>
      <c r="E292">
        <v>999</v>
      </c>
      <c r="F292">
        <v>0</v>
      </c>
      <c r="G292" s="3">
        <v>41487</v>
      </c>
      <c r="H292" s="3">
        <v>41487</v>
      </c>
      <c r="I292" s="3">
        <v>41760</v>
      </c>
      <c r="J292" s="4"/>
    </row>
    <row r="293" spans="1:18" x14ac:dyDescent="0.25">
      <c r="A293" t="s">
        <v>37</v>
      </c>
      <c r="B293">
        <v>80</v>
      </c>
      <c r="C293">
        <v>999</v>
      </c>
      <c r="D293">
        <v>720</v>
      </c>
      <c r="E293">
        <v>760</v>
      </c>
      <c r="F293">
        <v>0</v>
      </c>
      <c r="G293" s="3">
        <v>41487</v>
      </c>
      <c r="H293" s="3">
        <v>41487</v>
      </c>
      <c r="I293" s="3">
        <v>41760</v>
      </c>
      <c r="J293" s="4"/>
    </row>
    <row r="294" spans="1:18" x14ac:dyDescent="0.25">
      <c r="A294" t="s">
        <v>37</v>
      </c>
      <c r="B294">
        <v>80</v>
      </c>
      <c r="C294">
        <v>999</v>
      </c>
      <c r="D294">
        <v>680</v>
      </c>
      <c r="E294">
        <v>720</v>
      </c>
      <c r="F294">
        <v>0</v>
      </c>
      <c r="G294" s="3">
        <v>41487</v>
      </c>
      <c r="H294" s="3">
        <v>41487</v>
      </c>
      <c r="I294" s="3">
        <v>41760</v>
      </c>
      <c r="J294" s="4"/>
    </row>
    <row r="295" spans="1:18" x14ac:dyDescent="0.25">
      <c r="A295" t="s">
        <v>37</v>
      </c>
      <c r="B295">
        <v>80</v>
      </c>
      <c r="C295">
        <v>999</v>
      </c>
      <c r="D295">
        <v>620</v>
      </c>
      <c r="E295">
        <v>680</v>
      </c>
      <c r="F295">
        <v>0</v>
      </c>
      <c r="G295" s="3">
        <v>41487</v>
      </c>
      <c r="H295" s="3">
        <v>41487</v>
      </c>
      <c r="I295" s="3">
        <v>41760</v>
      </c>
      <c r="J295" s="4"/>
      <c r="N295" s="2"/>
      <c r="O295" s="2"/>
      <c r="P295" s="2"/>
      <c r="Q295" s="2"/>
      <c r="R295" s="2"/>
    </row>
    <row r="296" spans="1:18" x14ac:dyDescent="0.25">
      <c r="A296" t="s">
        <v>37</v>
      </c>
      <c r="B296">
        <v>80</v>
      </c>
      <c r="C296">
        <v>999</v>
      </c>
      <c r="D296">
        <v>300</v>
      </c>
      <c r="E296">
        <v>620</v>
      </c>
      <c r="G296" s="3">
        <v>41487</v>
      </c>
      <c r="H296" s="3">
        <v>41487</v>
      </c>
      <c r="I296" s="3">
        <v>41760</v>
      </c>
      <c r="J296" s="4"/>
      <c r="N296" s="7"/>
      <c r="O296" s="7"/>
      <c r="P296" s="7"/>
      <c r="Q296" s="7"/>
      <c r="R296" s="2"/>
    </row>
    <row r="297" spans="1:18" x14ac:dyDescent="0.25">
      <c r="A297" t="s">
        <v>38</v>
      </c>
      <c r="B297">
        <v>80</v>
      </c>
      <c r="C297">
        <v>999</v>
      </c>
      <c r="D297">
        <v>760</v>
      </c>
      <c r="E297">
        <v>999</v>
      </c>
      <c r="F297">
        <v>0</v>
      </c>
      <c r="G297" s="3">
        <v>41487</v>
      </c>
      <c r="H297" s="3">
        <v>41487</v>
      </c>
      <c r="I297" s="3">
        <v>41760</v>
      </c>
      <c r="J297" s="4"/>
      <c r="N297" s="7"/>
      <c r="O297" s="7"/>
      <c r="P297" s="7"/>
      <c r="Q297" s="7"/>
      <c r="R297" s="2"/>
    </row>
    <row r="298" spans="1:18" x14ac:dyDescent="0.25">
      <c r="A298" t="s">
        <v>38</v>
      </c>
      <c r="B298">
        <v>80</v>
      </c>
      <c r="C298">
        <v>999</v>
      </c>
      <c r="D298">
        <v>720</v>
      </c>
      <c r="E298">
        <v>760</v>
      </c>
      <c r="F298">
        <v>0</v>
      </c>
      <c r="G298" s="3">
        <v>41487</v>
      </c>
      <c r="H298" s="3">
        <v>41487</v>
      </c>
      <c r="I298" s="3">
        <v>41760</v>
      </c>
      <c r="J298" s="4"/>
      <c r="N298" s="7"/>
      <c r="O298" s="7"/>
      <c r="P298" s="7"/>
      <c r="Q298" s="7"/>
      <c r="R298" s="2"/>
    </row>
    <row r="299" spans="1:18" x14ac:dyDescent="0.25">
      <c r="A299" t="s">
        <v>38</v>
      </c>
      <c r="B299">
        <v>80</v>
      </c>
      <c r="C299">
        <v>999</v>
      </c>
      <c r="D299">
        <v>680</v>
      </c>
      <c r="E299">
        <v>720</v>
      </c>
      <c r="F299">
        <v>0</v>
      </c>
      <c r="G299" s="3">
        <v>41487</v>
      </c>
      <c r="H299" s="3">
        <v>41487</v>
      </c>
      <c r="I299" s="3">
        <v>41760</v>
      </c>
      <c r="J299" s="4"/>
      <c r="N299" s="7"/>
      <c r="O299" s="7"/>
      <c r="P299" s="7"/>
      <c r="Q299" s="7"/>
      <c r="R299" s="2"/>
    </row>
    <row r="300" spans="1:18" x14ac:dyDescent="0.25">
      <c r="A300" t="s">
        <v>38</v>
      </c>
      <c r="B300">
        <v>80</v>
      </c>
      <c r="C300">
        <v>999</v>
      </c>
      <c r="D300">
        <v>620</v>
      </c>
      <c r="E300">
        <v>680</v>
      </c>
      <c r="F300">
        <v>0</v>
      </c>
      <c r="G300" s="3">
        <v>41487</v>
      </c>
      <c r="H300" s="3">
        <v>41487</v>
      </c>
      <c r="I300" s="3">
        <v>41760</v>
      </c>
      <c r="J300" s="4"/>
      <c r="N300" s="7"/>
      <c r="O300" s="7"/>
      <c r="P300" s="7"/>
      <c r="Q300" s="7"/>
      <c r="R300" s="2"/>
    </row>
    <row r="301" spans="1:18" x14ac:dyDescent="0.25">
      <c r="A301" t="s">
        <v>38</v>
      </c>
      <c r="B301">
        <v>80</v>
      </c>
      <c r="C301">
        <v>999</v>
      </c>
      <c r="D301">
        <v>300</v>
      </c>
      <c r="E301">
        <v>620</v>
      </c>
      <c r="G301" s="3">
        <v>41487</v>
      </c>
      <c r="H301" s="3">
        <v>41487</v>
      </c>
      <c r="I301" s="3">
        <v>41760</v>
      </c>
      <c r="J301" s="4"/>
      <c r="N301" s="7"/>
      <c r="O301" s="7"/>
      <c r="P301" s="7"/>
      <c r="Q301" s="7"/>
      <c r="R301" s="2"/>
    </row>
    <row r="302" spans="1:18" x14ac:dyDescent="0.25">
      <c r="A302" t="s">
        <v>35</v>
      </c>
      <c r="B302">
        <v>0</v>
      </c>
      <c r="C302">
        <v>80</v>
      </c>
      <c r="D302">
        <v>760</v>
      </c>
      <c r="E302">
        <v>999</v>
      </c>
      <c r="F302">
        <v>0</v>
      </c>
      <c r="G302" s="3">
        <v>41487</v>
      </c>
      <c r="H302" s="3">
        <v>41487</v>
      </c>
      <c r="I302" s="3">
        <v>41760</v>
      </c>
      <c r="J302" s="4"/>
      <c r="N302" s="7"/>
      <c r="O302" s="7"/>
      <c r="P302" s="7"/>
      <c r="Q302" s="7"/>
      <c r="R302" s="2"/>
    </row>
    <row r="303" spans="1:18" x14ac:dyDescent="0.25">
      <c r="A303" t="s">
        <v>35</v>
      </c>
      <c r="B303">
        <v>0</v>
      </c>
      <c r="C303">
        <v>80</v>
      </c>
      <c r="D303">
        <v>720</v>
      </c>
      <c r="E303">
        <v>760</v>
      </c>
      <c r="F303">
        <v>0</v>
      </c>
      <c r="G303" s="3">
        <v>41487</v>
      </c>
      <c r="H303" s="3">
        <v>41487</v>
      </c>
      <c r="I303" s="3">
        <v>41760</v>
      </c>
      <c r="J303" s="4"/>
      <c r="N303" s="7"/>
      <c r="O303" s="7"/>
      <c r="P303" s="7"/>
      <c r="Q303" s="7"/>
    </row>
    <row r="304" spans="1:18" x14ac:dyDescent="0.25">
      <c r="A304" t="s">
        <v>35</v>
      </c>
      <c r="B304">
        <v>0</v>
      </c>
      <c r="C304">
        <v>80</v>
      </c>
      <c r="D304">
        <v>680</v>
      </c>
      <c r="E304">
        <v>720</v>
      </c>
      <c r="F304">
        <v>0</v>
      </c>
      <c r="G304" s="3">
        <v>41487</v>
      </c>
      <c r="H304" s="3">
        <v>41487</v>
      </c>
      <c r="I304" s="3">
        <v>41760</v>
      </c>
      <c r="J304" s="4"/>
      <c r="N304" s="7"/>
      <c r="O304" s="7"/>
      <c r="P304" s="7"/>
      <c r="Q304" s="7"/>
    </row>
    <row r="305" spans="1:17" x14ac:dyDescent="0.25">
      <c r="A305" t="s">
        <v>35</v>
      </c>
      <c r="B305">
        <v>0</v>
      </c>
      <c r="C305">
        <v>80</v>
      </c>
      <c r="D305">
        <v>620</v>
      </c>
      <c r="E305">
        <v>680</v>
      </c>
      <c r="F305">
        <v>0</v>
      </c>
      <c r="G305" s="3">
        <v>41487</v>
      </c>
      <c r="H305" s="3">
        <v>41487</v>
      </c>
      <c r="I305" s="3">
        <v>41760</v>
      </c>
      <c r="J305" s="4"/>
      <c r="N305" s="7"/>
      <c r="O305" s="7"/>
      <c r="P305" s="7"/>
      <c r="Q305" s="7"/>
    </row>
    <row r="306" spans="1:17" x14ac:dyDescent="0.25">
      <c r="A306" t="s">
        <v>35</v>
      </c>
      <c r="B306">
        <v>0</v>
      </c>
      <c r="C306">
        <v>80</v>
      </c>
      <c r="D306">
        <v>300</v>
      </c>
      <c r="E306">
        <v>620</v>
      </c>
      <c r="G306" s="3">
        <v>41487</v>
      </c>
      <c r="H306" s="3">
        <v>41487</v>
      </c>
      <c r="I306" s="3">
        <v>41760</v>
      </c>
      <c r="J306" s="4"/>
      <c r="N306" s="7"/>
      <c r="O306" s="7"/>
      <c r="P306" s="7"/>
      <c r="Q306" s="7"/>
    </row>
    <row r="307" spans="1:17" x14ac:dyDescent="0.25">
      <c r="A307" t="s">
        <v>36</v>
      </c>
      <c r="B307">
        <v>0</v>
      </c>
      <c r="C307">
        <v>80</v>
      </c>
      <c r="D307">
        <v>760</v>
      </c>
      <c r="E307">
        <v>999</v>
      </c>
      <c r="F307">
        <v>0</v>
      </c>
      <c r="G307" s="3">
        <v>41487</v>
      </c>
      <c r="H307" s="3">
        <v>41487</v>
      </c>
      <c r="I307" s="3">
        <v>41760</v>
      </c>
      <c r="J307" s="4"/>
      <c r="N307" s="7"/>
      <c r="O307" s="7"/>
      <c r="P307" s="7"/>
      <c r="Q307" s="7"/>
    </row>
    <row r="308" spans="1:17" x14ac:dyDescent="0.25">
      <c r="A308" t="s">
        <v>36</v>
      </c>
      <c r="B308">
        <v>0</v>
      </c>
      <c r="C308">
        <v>80</v>
      </c>
      <c r="D308">
        <v>720</v>
      </c>
      <c r="E308">
        <v>760</v>
      </c>
      <c r="F308">
        <v>0</v>
      </c>
      <c r="G308" s="3">
        <v>41487</v>
      </c>
      <c r="H308" s="3">
        <v>41487</v>
      </c>
      <c r="I308" s="3">
        <v>41760</v>
      </c>
      <c r="J308" s="4"/>
      <c r="N308" s="7"/>
      <c r="O308" s="7"/>
      <c r="P308" s="7"/>
      <c r="Q308" s="7"/>
    </row>
    <row r="309" spans="1:17" x14ac:dyDescent="0.25">
      <c r="A309" t="s">
        <v>36</v>
      </c>
      <c r="B309">
        <v>0</v>
      </c>
      <c r="C309">
        <v>80</v>
      </c>
      <c r="D309">
        <v>680</v>
      </c>
      <c r="E309">
        <v>720</v>
      </c>
      <c r="F309">
        <v>0</v>
      </c>
      <c r="G309" s="3">
        <v>41487</v>
      </c>
      <c r="H309" s="3">
        <v>41487</v>
      </c>
      <c r="I309" s="3">
        <v>41760</v>
      </c>
      <c r="J309" s="4"/>
    </row>
    <row r="310" spans="1:17" x14ac:dyDescent="0.25">
      <c r="A310" t="s">
        <v>36</v>
      </c>
      <c r="B310">
        <v>0</v>
      </c>
      <c r="C310">
        <v>80</v>
      </c>
      <c r="D310">
        <v>620</v>
      </c>
      <c r="E310">
        <v>680</v>
      </c>
      <c r="F310">
        <v>0</v>
      </c>
      <c r="G310" s="3">
        <v>41487</v>
      </c>
      <c r="H310" s="3">
        <v>41487</v>
      </c>
      <c r="I310" s="3">
        <v>41760</v>
      </c>
      <c r="J310" s="4"/>
    </row>
    <row r="311" spans="1:17" x14ac:dyDescent="0.25">
      <c r="A311" t="s">
        <v>36</v>
      </c>
      <c r="B311">
        <v>0</v>
      </c>
      <c r="C311">
        <v>80</v>
      </c>
      <c r="D311">
        <v>300</v>
      </c>
      <c r="E311">
        <v>620</v>
      </c>
      <c r="G311" s="3">
        <v>41487</v>
      </c>
      <c r="H311" s="3">
        <v>41487</v>
      </c>
      <c r="I311" s="3">
        <v>41760</v>
      </c>
      <c r="J311" s="4"/>
    </row>
    <row r="312" spans="1:17" x14ac:dyDescent="0.25">
      <c r="A312" t="s">
        <v>37</v>
      </c>
      <c r="B312">
        <v>0</v>
      </c>
      <c r="C312">
        <v>80</v>
      </c>
      <c r="D312">
        <v>760</v>
      </c>
      <c r="E312">
        <v>999</v>
      </c>
      <c r="F312">
        <v>0</v>
      </c>
      <c r="G312" s="3">
        <v>41487</v>
      </c>
      <c r="H312" s="3">
        <v>41487</v>
      </c>
      <c r="I312" s="3">
        <v>41760</v>
      </c>
      <c r="J312" s="4"/>
    </row>
    <row r="313" spans="1:17" x14ac:dyDescent="0.25">
      <c r="A313" t="s">
        <v>37</v>
      </c>
      <c r="B313">
        <v>0</v>
      </c>
      <c r="C313">
        <v>80</v>
      </c>
      <c r="D313">
        <v>720</v>
      </c>
      <c r="E313">
        <v>760</v>
      </c>
      <c r="F313">
        <v>0</v>
      </c>
      <c r="G313" s="3">
        <v>41487</v>
      </c>
      <c r="H313" s="3">
        <v>41487</v>
      </c>
      <c r="I313" s="3">
        <v>41760</v>
      </c>
      <c r="J313" s="4"/>
    </row>
    <row r="314" spans="1:17" x14ac:dyDescent="0.25">
      <c r="A314" t="s">
        <v>37</v>
      </c>
      <c r="B314">
        <v>0</v>
      </c>
      <c r="C314">
        <v>80</v>
      </c>
      <c r="D314">
        <v>680</v>
      </c>
      <c r="E314">
        <v>720</v>
      </c>
      <c r="F314">
        <v>0</v>
      </c>
      <c r="G314" s="3">
        <v>41487</v>
      </c>
      <c r="H314" s="3">
        <v>41487</v>
      </c>
      <c r="I314" s="3">
        <v>41760</v>
      </c>
      <c r="J314" s="4"/>
    </row>
    <row r="315" spans="1:17" x14ac:dyDescent="0.25">
      <c r="A315" t="s">
        <v>37</v>
      </c>
      <c r="B315">
        <v>0</v>
      </c>
      <c r="C315">
        <v>80</v>
      </c>
      <c r="D315">
        <v>620</v>
      </c>
      <c r="E315">
        <v>680</v>
      </c>
      <c r="F315">
        <v>0</v>
      </c>
      <c r="G315" s="3">
        <v>41487</v>
      </c>
      <c r="H315" s="3">
        <v>41487</v>
      </c>
      <c r="I315" s="3">
        <v>41760</v>
      </c>
      <c r="J315" s="4"/>
    </row>
    <row r="316" spans="1:17" x14ac:dyDescent="0.25">
      <c r="A316" t="s">
        <v>37</v>
      </c>
      <c r="B316">
        <v>0</v>
      </c>
      <c r="C316">
        <v>80</v>
      </c>
      <c r="D316">
        <v>300</v>
      </c>
      <c r="E316">
        <v>620</v>
      </c>
      <c r="G316" s="3">
        <v>41487</v>
      </c>
      <c r="H316" s="3">
        <v>41487</v>
      </c>
      <c r="I316" s="3">
        <v>41760</v>
      </c>
      <c r="J316" s="4"/>
    </row>
    <row r="317" spans="1:17" x14ac:dyDescent="0.25">
      <c r="A317" t="s">
        <v>38</v>
      </c>
      <c r="B317">
        <v>0</v>
      </c>
      <c r="C317">
        <v>80</v>
      </c>
      <c r="D317">
        <v>760</v>
      </c>
      <c r="E317">
        <v>999</v>
      </c>
      <c r="F317">
        <v>0</v>
      </c>
      <c r="G317" s="3">
        <v>41487</v>
      </c>
      <c r="H317" s="3">
        <v>41487</v>
      </c>
      <c r="I317" s="3">
        <v>41760</v>
      </c>
      <c r="J317" s="4"/>
    </row>
    <row r="318" spans="1:17" x14ac:dyDescent="0.25">
      <c r="A318" t="s">
        <v>38</v>
      </c>
      <c r="B318">
        <v>0</v>
      </c>
      <c r="C318">
        <v>80</v>
      </c>
      <c r="D318">
        <v>720</v>
      </c>
      <c r="E318">
        <v>760</v>
      </c>
      <c r="F318">
        <v>0</v>
      </c>
      <c r="G318" s="3">
        <v>41487</v>
      </c>
      <c r="H318" s="3">
        <v>41487</v>
      </c>
      <c r="I318" s="3">
        <v>41760</v>
      </c>
      <c r="J318" s="4"/>
    </row>
    <row r="319" spans="1:17" x14ac:dyDescent="0.25">
      <c r="A319" t="s">
        <v>38</v>
      </c>
      <c r="B319">
        <v>0</v>
      </c>
      <c r="C319">
        <v>80</v>
      </c>
      <c r="D319">
        <v>680</v>
      </c>
      <c r="E319">
        <v>720</v>
      </c>
      <c r="F319">
        <v>0</v>
      </c>
      <c r="G319" s="3">
        <v>41487</v>
      </c>
      <c r="H319" s="3">
        <v>41487</v>
      </c>
      <c r="I319" s="3">
        <v>41760</v>
      </c>
      <c r="J319" s="4"/>
    </row>
    <row r="320" spans="1:17" x14ac:dyDescent="0.25">
      <c r="A320" t="s">
        <v>38</v>
      </c>
      <c r="B320">
        <v>0</v>
      </c>
      <c r="C320">
        <v>80</v>
      </c>
      <c r="D320">
        <v>620</v>
      </c>
      <c r="E320">
        <v>680</v>
      </c>
      <c r="F320">
        <v>0</v>
      </c>
      <c r="G320" s="3">
        <v>41487</v>
      </c>
      <c r="H320" s="3">
        <v>41487</v>
      </c>
      <c r="I320" s="3">
        <v>41760</v>
      </c>
      <c r="J320" s="4"/>
    </row>
    <row r="321" spans="1:18" x14ac:dyDescent="0.25">
      <c r="A321" t="s">
        <v>38</v>
      </c>
      <c r="B321">
        <v>0</v>
      </c>
      <c r="C321">
        <v>80</v>
      </c>
      <c r="D321">
        <v>300</v>
      </c>
      <c r="E321">
        <v>620</v>
      </c>
      <c r="G321" s="3">
        <v>41487</v>
      </c>
      <c r="H321" s="3">
        <v>41487</v>
      </c>
      <c r="I321" s="3">
        <v>41760</v>
      </c>
      <c r="J321" s="4"/>
    </row>
    <row r="322" spans="1:18" x14ac:dyDescent="0.25">
      <c r="A322" t="s">
        <v>35</v>
      </c>
      <c r="B322">
        <v>80</v>
      </c>
      <c r="C322">
        <v>999</v>
      </c>
      <c r="D322">
        <v>760</v>
      </c>
      <c r="E322">
        <v>999</v>
      </c>
      <c r="F322">
        <v>0</v>
      </c>
      <c r="G322" s="3">
        <v>41760</v>
      </c>
      <c r="H322" s="3">
        <v>41760</v>
      </c>
      <c r="I322" s="3">
        <v>73051</v>
      </c>
      <c r="J322" s="4"/>
      <c r="L322" s="3">
        <v>41760</v>
      </c>
      <c r="N322" t="s">
        <v>11</v>
      </c>
      <c r="O322" t="s">
        <v>12</v>
      </c>
      <c r="P322" t="s">
        <v>13</v>
      </c>
      <c r="Q322" t="s">
        <v>14</v>
      </c>
      <c r="R322" t="s">
        <v>19</v>
      </c>
    </row>
    <row r="323" spans="1:18" x14ac:dyDescent="0.25">
      <c r="A323" t="s">
        <v>35</v>
      </c>
      <c r="B323">
        <v>80</v>
      </c>
      <c r="C323">
        <v>999</v>
      </c>
      <c r="D323">
        <v>720</v>
      </c>
      <c r="E323">
        <v>760</v>
      </c>
      <c r="F323">
        <v>0</v>
      </c>
      <c r="G323" s="3">
        <v>41760</v>
      </c>
      <c r="H323" s="3">
        <v>41760</v>
      </c>
      <c r="I323" s="3">
        <v>73051</v>
      </c>
      <c r="J323" s="4"/>
      <c r="L323" t="s">
        <v>35</v>
      </c>
      <c r="M323" t="s">
        <v>58</v>
      </c>
      <c r="N323" s="7">
        <v>0</v>
      </c>
      <c r="O323" s="7">
        <v>0</v>
      </c>
      <c r="P323" s="7">
        <v>0</v>
      </c>
      <c r="Q323" s="7">
        <v>0</v>
      </c>
      <c r="R323" s="2" t="s">
        <v>34</v>
      </c>
    </row>
    <row r="324" spans="1:18" x14ac:dyDescent="0.25">
      <c r="A324" t="s">
        <v>35</v>
      </c>
      <c r="B324">
        <v>80</v>
      </c>
      <c r="C324">
        <v>999</v>
      </c>
      <c r="D324">
        <v>680</v>
      </c>
      <c r="E324">
        <v>720</v>
      </c>
      <c r="F324">
        <v>0</v>
      </c>
      <c r="G324" s="3">
        <v>41760</v>
      </c>
      <c r="H324" s="3">
        <v>41760</v>
      </c>
      <c r="I324" s="3">
        <v>73051</v>
      </c>
      <c r="J324" s="4"/>
      <c r="L324" t="s">
        <v>36</v>
      </c>
      <c r="M324" t="s">
        <v>58</v>
      </c>
      <c r="N324" s="7">
        <v>11.999999999999998</v>
      </c>
      <c r="O324" s="7">
        <v>14</v>
      </c>
      <c r="P324" s="7">
        <v>20</v>
      </c>
      <c r="Q324" s="7">
        <v>35</v>
      </c>
      <c r="R324" s="2" t="s">
        <v>34</v>
      </c>
    </row>
    <row r="325" spans="1:18" x14ac:dyDescent="0.25">
      <c r="A325" t="s">
        <v>35</v>
      </c>
      <c r="B325">
        <v>80</v>
      </c>
      <c r="C325">
        <v>999</v>
      </c>
      <c r="D325">
        <v>620</v>
      </c>
      <c r="E325">
        <v>680</v>
      </c>
      <c r="F325">
        <v>0</v>
      </c>
      <c r="G325" s="3">
        <v>41760</v>
      </c>
      <c r="H325" s="3">
        <v>41760</v>
      </c>
      <c r="I325" s="3">
        <v>73051</v>
      </c>
      <c r="J325" s="4"/>
      <c r="L325" t="s">
        <v>37</v>
      </c>
      <c r="M325" t="s">
        <v>58</v>
      </c>
      <c r="N325" s="7">
        <v>34</v>
      </c>
      <c r="O325" s="7">
        <v>38</v>
      </c>
      <c r="P325" s="7">
        <v>50</v>
      </c>
      <c r="Q325" s="7">
        <v>75</v>
      </c>
      <c r="R325" s="2" t="s">
        <v>34</v>
      </c>
    </row>
    <row r="326" spans="1:18" x14ac:dyDescent="0.25">
      <c r="A326" t="s">
        <v>35</v>
      </c>
      <c r="B326">
        <v>80</v>
      </c>
      <c r="C326">
        <v>999</v>
      </c>
      <c r="D326">
        <v>300</v>
      </c>
      <c r="E326">
        <v>620</v>
      </c>
      <c r="G326" s="3">
        <v>41760</v>
      </c>
      <c r="H326" s="3">
        <v>41760</v>
      </c>
      <c r="I326" s="3">
        <v>73051</v>
      </c>
      <c r="J326" s="4"/>
      <c r="L326" t="s">
        <v>38</v>
      </c>
      <c r="M326" t="s">
        <v>58</v>
      </c>
      <c r="N326" s="7">
        <v>0</v>
      </c>
      <c r="O326" s="7">
        <v>0</v>
      </c>
      <c r="P326" s="7">
        <v>0</v>
      </c>
      <c r="Q326" s="7">
        <v>0</v>
      </c>
      <c r="R326" s="2" t="s">
        <v>34</v>
      </c>
    </row>
    <row r="327" spans="1:18" x14ac:dyDescent="0.25">
      <c r="A327" t="s">
        <v>36</v>
      </c>
      <c r="B327">
        <v>80</v>
      </c>
      <c r="C327">
        <v>999</v>
      </c>
      <c r="D327">
        <v>760</v>
      </c>
      <c r="E327">
        <v>999</v>
      </c>
      <c r="F327">
        <v>12</v>
      </c>
      <c r="G327" s="3">
        <v>41760</v>
      </c>
      <c r="H327" s="3">
        <v>41760</v>
      </c>
      <c r="I327" s="3">
        <v>73051</v>
      </c>
      <c r="J327" s="4"/>
      <c r="L327" t="s">
        <v>35</v>
      </c>
      <c r="M327" t="s">
        <v>59</v>
      </c>
      <c r="N327" s="7">
        <v>0</v>
      </c>
      <c r="O327" s="7">
        <v>0</v>
      </c>
      <c r="P327" s="7">
        <v>0</v>
      </c>
      <c r="Q327" s="7">
        <v>0</v>
      </c>
      <c r="R327" s="2" t="s">
        <v>34</v>
      </c>
    </row>
    <row r="328" spans="1:18" x14ac:dyDescent="0.25">
      <c r="A328" t="s">
        <v>36</v>
      </c>
      <c r="B328">
        <v>80</v>
      </c>
      <c r="C328">
        <v>999</v>
      </c>
      <c r="D328">
        <v>720</v>
      </c>
      <c r="E328">
        <v>760</v>
      </c>
      <c r="F328">
        <v>14</v>
      </c>
      <c r="G328" s="3">
        <v>41760</v>
      </c>
      <c r="H328" s="3">
        <v>41760</v>
      </c>
      <c r="I328" s="3">
        <v>73051</v>
      </c>
      <c r="J328" s="4"/>
      <c r="L328" t="s">
        <v>36</v>
      </c>
      <c r="M328" t="s">
        <v>59</v>
      </c>
      <c r="N328" s="7">
        <v>0</v>
      </c>
      <c r="O328" s="7">
        <v>0</v>
      </c>
      <c r="P328" s="7">
        <v>0</v>
      </c>
      <c r="Q328" s="7">
        <v>0</v>
      </c>
      <c r="R328" s="2" t="s">
        <v>34</v>
      </c>
    </row>
    <row r="329" spans="1:18" x14ac:dyDescent="0.25">
      <c r="A329" t="s">
        <v>36</v>
      </c>
      <c r="B329">
        <v>80</v>
      </c>
      <c r="C329">
        <v>999</v>
      </c>
      <c r="D329">
        <v>680</v>
      </c>
      <c r="E329">
        <v>720</v>
      </c>
      <c r="F329">
        <v>20</v>
      </c>
      <c r="G329" s="3">
        <v>41760</v>
      </c>
      <c r="H329" s="3">
        <v>41760</v>
      </c>
      <c r="I329" s="3">
        <v>73051</v>
      </c>
      <c r="J329" s="4"/>
      <c r="L329" t="s">
        <v>37</v>
      </c>
      <c r="M329" t="s">
        <v>59</v>
      </c>
      <c r="N329" s="7">
        <v>0</v>
      </c>
      <c r="O329" s="7">
        <v>0</v>
      </c>
      <c r="P329" s="7">
        <v>0</v>
      </c>
      <c r="Q329" s="7">
        <v>0</v>
      </c>
      <c r="R329" s="2" t="s">
        <v>34</v>
      </c>
    </row>
    <row r="330" spans="1:18" x14ac:dyDescent="0.25">
      <c r="A330" t="s">
        <v>36</v>
      </c>
      <c r="B330">
        <v>80</v>
      </c>
      <c r="C330">
        <v>999</v>
      </c>
      <c r="D330">
        <v>620</v>
      </c>
      <c r="E330">
        <v>680</v>
      </c>
      <c r="F330">
        <v>35</v>
      </c>
      <c r="G330" s="3">
        <v>41760</v>
      </c>
      <c r="H330" s="3">
        <v>41760</v>
      </c>
      <c r="I330" s="3">
        <v>73051</v>
      </c>
      <c r="J330" s="4"/>
      <c r="L330" t="s">
        <v>38</v>
      </c>
      <c r="M330" t="s">
        <v>59</v>
      </c>
      <c r="N330" s="7">
        <v>0</v>
      </c>
      <c r="O330" s="7">
        <v>0</v>
      </c>
      <c r="P330" s="7">
        <v>0</v>
      </c>
      <c r="Q330" s="7">
        <v>0</v>
      </c>
      <c r="R330" s="2" t="s">
        <v>34</v>
      </c>
    </row>
    <row r="331" spans="1:18" x14ac:dyDescent="0.25">
      <c r="A331" t="s">
        <v>36</v>
      </c>
      <c r="B331">
        <v>80</v>
      </c>
      <c r="C331">
        <v>999</v>
      </c>
      <c r="D331">
        <v>300</v>
      </c>
      <c r="E331">
        <v>620</v>
      </c>
      <c r="G331" s="3">
        <v>41760</v>
      </c>
      <c r="H331" s="3">
        <v>41760</v>
      </c>
      <c r="I331" s="3">
        <v>73051</v>
      </c>
      <c r="J331" s="4"/>
    </row>
    <row r="332" spans="1:18" x14ac:dyDescent="0.25">
      <c r="A332" t="s">
        <v>37</v>
      </c>
      <c r="B332">
        <v>80</v>
      </c>
      <c r="C332">
        <v>999</v>
      </c>
      <c r="D332">
        <v>760</v>
      </c>
      <c r="E332">
        <v>999</v>
      </c>
      <c r="F332">
        <v>34</v>
      </c>
      <c r="G332" s="3">
        <v>41760</v>
      </c>
      <c r="H332" s="3">
        <v>41760</v>
      </c>
      <c r="I332" s="3">
        <v>73051</v>
      </c>
      <c r="J332" s="4"/>
    </row>
    <row r="333" spans="1:18" x14ac:dyDescent="0.25">
      <c r="A333" t="s">
        <v>37</v>
      </c>
      <c r="B333">
        <v>80</v>
      </c>
      <c r="C333">
        <v>999</v>
      </c>
      <c r="D333">
        <v>720</v>
      </c>
      <c r="E333">
        <v>760</v>
      </c>
      <c r="F333">
        <v>38</v>
      </c>
      <c r="G333" s="3">
        <v>41760</v>
      </c>
      <c r="H333" s="3">
        <v>41760</v>
      </c>
      <c r="I333" s="3">
        <v>73051</v>
      </c>
      <c r="J333" s="4"/>
    </row>
    <row r="334" spans="1:18" x14ac:dyDescent="0.25">
      <c r="A334" t="s">
        <v>37</v>
      </c>
      <c r="B334">
        <v>80</v>
      </c>
      <c r="C334">
        <v>999</v>
      </c>
      <c r="D334">
        <v>680</v>
      </c>
      <c r="E334">
        <v>720</v>
      </c>
      <c r="F334">
        <v>50</v>
      </c>
      <c r="G334" s="3">
        <v>41760</v>
      </c>
      <c r="H334" s="3">
        <v>41760</v>
      </c>
      <c r="I334" s="3">
        <v>73051</v>
      </c>
      <c r="J334" s="4"/>
    </row>
    <row r="335" spans="1:18" x14ac:dyDescent="0.25">
      <c r="A335" t="s">
        <v>37</v>
      </c>
      <c r="B335">
        <v>80</v>
      </c>
      <c r="C335">
        <v>999</v>
      </c>
      <c r="D335">
        <v>620</v>
      </c>
      <c r="E335">
        <v>680</v>
      </c>
      <c r="F335">
        <v>75</v>
      </c>
      <c r="G335" s="3">
        <v>41760</v>
      </c>
      <c r="H335" s="3">
        <v>41760</v>
      </c>
      <c r="I335" s="3">
        <v>73051</v>
      </c>
      <c r="J335" s="4"/>
      <c r="N335" s="7"/>
      <c r="O335" s="7"/>
      <c r="P335" s="7"/>
      <c r="Q335" s="7"/>
    </row>
    <row r="336" spans="1:18" x14ac:dyDescent="0.25">
      <c r="A336" t="s">
        <v>37</v>
      </c>
      <c r="B336">
        <v>80</v>
      </c>
      <c r="C336">
        <v>999</v>
      </c>
      <c r="D336">
        <v>300</v>
      </c>
      <c r="E336">
        <v>620</v>
      </c>
      <c r="G336" s="3">
        <v>41760</v>
      </c>
      <c r="H336" s="3">
        <v>41760</v>
      </c>
      <c r="I336" s="3">
        <v>73051</v>
      </c>
      <c r="J336" s="4"/>
      <c r="N336" s="7"/>
      <c r="O336" s="7"/>
      <c r="P336" s="7"/>
      <c r="Q336" s="7"/>
    </row>
    <row r="337" spans="1:17" x14ac:dyDescent="0.25">
      <c r="A337" t="s">
        <v>38</v>
      </c>
      <c r="B337">
        <v>80</v>
      </c>
      <c r="C337">
        <v>999</v>
      </c>
      <c r="D337">
        <v>760</v>
      </c>
      <c r="E337">
        <v>999</v>
      </c>
      <c r="F337">
        <v>0</v>
      </c>
      <c r="G337" s="3">
        <v>41760</v>
      </c>
      <c r="H337" s="3">
        <v>41760</v>
      </c>
      <c r="I337" s="3">
        <v>73051</v>
      </c>
      <c r="J337" s="4"/>
      <c r="N337" s="7"/>
      <c r="O337" s="7"/>
      <c r="P337" s="7"/>
      <c r="Q337" s="7"/>
    </row>
    <row r="338" spans="1:17" x14ac:dyDescent="0.25">
      <c r="A338" t="s">
        <v>38</v>
      </c>
      <c r="B338">
        <v>80</v>
      </c>
      <c r="C338">
        <v>999</v>
      </c>
      <c r="D338">
        <v>720</v>
      </c>
      <c r="E338">
        <v>760</v>
      </c>
      <c r="F338">
        <v>0</v>
      </c>
      <c r="G338" s="3">
        <v>41760</v>
      </c>
      <c r="H338" s="3">
        <v>41760</v>
      </c>
      <c r="I338" s="3">
        <v>73051</v>
      </c>
      <c r="J338" s="4"/>
      <c r="N338" s="7"/>
      <c r="O338" s="7"/>
      <c r="P338" s="7"/>
      <c r="Q338" s="7"/>
    </row>
    <row r="339" spans="1:17" x14ac:dyDescent="0.25">
      <c r="A339" t="s">
        <v>38</v>
      </c>
      <c r="B339">
        <v>80</v>
      </c>
      <c r="C339">
        <v>999</v>
      </c>
      <c r="D339">
        <v>680</v>
      </c>
      <c r="E339">
        <v>720</v>
      </c>
      <c r="F339">
        <v>0</v>
      </c>
      <c r="G339" s="3">
        <v>41760</v>
      </c>
      <c r="H339" s="3">
        <v>41760</v>
      </c>
      <c r="I339" s="3">
        <v>73051</v>
      </c>
      <c r="J339" s="4"/>
      <c r="N339" s="7"/>
      <c r="O339" s="7"/>
      <c r="P339" s="7"/>
      <c r="Q339" s="7"/>
    </row>
    <row r="340" spans="1:17" x14ac:dyDescent="0.25">
      <c r="A340" t="s">
        <v>38</v>
      </c>
      <c r="B340">
        <v>80</v>
      </c>
      <c r="C340">
        <v>999</v>
      </c>
      <c r="D340">
        <v>620</v>
      </c>
      <c r="E340">
        <v>680</v>
      </c>
      <c r="F340">
        <v>0</v>
      </c>
      <c r="G340" s="3">
        <v>41760</v>
      </c>
      <c r="H340" s="3">
        <v>41760</v>
      </c>
      <c r="I340" s="3">
        <v>73051</v>
      </c>
      <c r="J340" s="4"/>
      <c r="N340" s="7"/>
      <c r="O340" s="7"/>
      <c r="P340" s="7"/>
      <c r="Q340" s="7"/>
    </row>
    <row r="341" spans="1:17" x14ac:dyDescent="0.25">
      <c r="A341" t="s">
        <v>38</v>
      </c>
      <c r="B341">
        <v>80</v>
      </c>
      <c r="C341">
        <v>999</v>
      </c>
      <c r="D341">
        <v>300</v>
      </c>
      <c r="E341">
        <v>620</v>
      </c>
      <c r="G341" s="3">
        <v>41760</v>
      </c>
      <c r="H341" s="3">
        <v>41760</v>
      </c>
      <c r="I341" s="3">
        <v>73051</v>
      </c>
      <c r="J341" s="4"/>
      <c r="N341" s="7"/>
      <c r="O341" s="7"/>
      <c r="P341" s="7"/>
      <c r="Q341" s="7"/>
    </row>
    <row r="342" spans="1:17" x14ac:dyDescent="0.25">
      <c r="A342" t="s">
        <v>35</v>
      </c>
      <c r="B342">
        <v>0</v>
      </c>
      <c r="C342">
        <v>80</v>
      </c>
      <c r="D342">
        <v>760</v>
      </c>
      <c r="E342">
        <v>999</v>
      </c>
      <c r="F342">
        <v>0</v>
      </c>
      <c r="G342" s="3">
        <v>41760</v>
      </c>
      <c r="H342" s="3">
        <v>41760</v>
      </c>
      <c r="I342" s="3">
        <v>73051</v>
      </c>
      <c r="J342" s="4"/>
      <c r="N342" s="7"/>
      <c r="O342" s="7"/>
      <c r="P342" s="7"/>
      <c r="Q342" s="7"/>
    </row>
    <row r="343" spans="1:17" x14ac:dyDescent="0.25">
      <c r="A343" t="s">
        <v>35</v>
      </c>
      <c r="B343">
        <v>0</v>
      </c>
      <c r="C343">
        <v>80</v>
      </c>
      <c r="D343">
        <v>720</v>
      </c>
      <c r="E343">
        <v>760</v>
      </c>
      <c r="F343">
        <v>0</v>
      </c>
      <c r="G343" s="3">
        <v>41760</v>
      </c>
      <c r="H343" s="3">
        <v>41760</v>
      </c>
      <c r="I343" s="3">
        <v>73051</v>
      </c>
      <c r="J343" s="4"/>
    </row>
    <row r="344" spans="1:17" x14ac:dyDescent="0.25">
      <c r="A344" t="s">
        <v>35</v>
      </c>
      <c r="B344">
        <v>0</v>
      </c>
      <c r="C344">
        <v>80</v>
      </c>
      <c r="D344">
        <v>680</v>
      </c>
      <c r="E344">
        <v>720</v>
      </c>
      <c r="F344">
        <v>0</v>
      </c>
      <c r="G344" s="3">
        <v>41760</v>
      </c>
      <c r="H344" s="3">
        <v>41760</v>
      </c>
      <c r="I344" s="3">
        <v>73051</v>
      </c>
      <c r="J344" s="4"/>
    </row>
    <row r="345" spans="1:17" x14ac:dyDescent="0.25">
      <c r="A345" t="s">
        <v>35</v>
      </c>
      <c r="B345">
        <v>0</v>
      </c>
      <c r="C345">
        <v>80</v>
      </c>
      <c r="D345">
        <v>620</v>
      </c>
      <c r="E345">
        <v>680</v>
      </c>
      <c r="F345">
        <v>0</v>
      </c>
      <c r="G345" s="3">
        <v>41760</v>
      </c>
      <c r="H345" s="3">
        <v>41760</v>
      </c>
      <c r="I345" s="3">
        <v>73051</v>
      </c>
      <c r="J345" s="4"/>
    </row>
    <row r="346" spans="1:17" x14ac:dyDescent="0.25">
      <c r="A346" t="s">
        <v>35</v>
      </c>
      <c r="B346">
        <v>0</v>
      </c>
      <c r="C346">
        <v>80</v>
      </c>
      <c r="D346">
        <v>300</v>
      </c>
      <c r="E346">
        <v>620</v>
      </c>
      <c r="G346" s="3">
        <v>41760</v>
      </c>
      <c r="H346" s="3">
        <v>41760</v>
      </c>
      <c r="I346" s="3">
        <v>73051</v>
      </c>
      <c r="J346" s="4"/>
    </row>
    <row r="347" spans="1:17" x14ac:dyDescent="0.25">
      <c r="A347" t="s">
        <v>36</v>
      </c>
      <c r="B347">
        <v>0</v>
      </c>
      <c r="C347">
        <v>80</v>
      </c>
      <c r="D347">
        <v>760</v>
      </c>
      <c r="E347">
        <v>999</v>
      </c>
      <c r="F347">
        <v>0</v>
      </c>
      <c r="G347" s="3">
        <v>41760</v>
      </c>
      <c r="H347" s="3">
        <v>41760</v>
      </c>
      <c r="I347" s="3">
        <v>73051</v>
      </c>
      <c r="J347" s="4"/>
    </row>
    <row r="348" spans="1:17" x14ac:dyDescent="0.25">
      <c r="A348" t="s">
        <v>36</v>
      </c>
      <c r="B348">
        <v>0</v>
      </c>
      <c r="C348">
        <v>80</v>
      </c>
      <c r="D348">
        <v>720</v>
      </c>
      <c r="E348">
        <v>760</v>
      </c>
      <c r="F348">
        <v>0</v>
      </c>
      <c r="G348" s="3">
        <v>41760</v>
      </c>
      <c r="H348" s="3">
        <v>41760</v>
      </c>
      <c r="I348" s="3">
        <v>73051</v>
      </c>
      <c r="J348" s="4"/>
    </row>
    <row r="349" spans="1:17" x14ac:dyDescent="0.25">
      <c r="A349" t="s">
        <v>36</v>
      </c>
      <c r="B349">
        <v>0</v>
      </c>
      <c r="C349">
        <v>80</v>
      </c>
      <c r="D349">
        <v>680</v>
      </c>
      <c r="E349">
        <v>720</v>
      </c>
      <c r="F349">
        <v>0</v>
      </c>
      <c r="G349" s="3">
        <v>41760</v>
      </c>
      <c r="H349" s="3">
        <v>41760</v>
      </c>
      <c r="I349" s="3">
        <v>73051</v>
      </c>
      <c r="J349" s="4"/>
    </row>
    <row r="350" spans="1:17" x14ac:dyDescent="0.25">
      <c r="A350" t="s">
        <v>36</v>
      </c>
      <c r="B350">
        <v>0</v>
      </c>
      <c r="C350">
        <v>80</v>
      </c>
      <c r="D350">
        <v>620</v>
      </c>
      <c r="E350">
        <v>680</v>
      </c>
      <c r="F350">
        <v>0</v>
      </c>
      <c r="G350" s="3">
        <v>41760</v>
      </c>
      <c r="H350" s="3">
        <v>41760</v>
      </c>
      <c r="I350" s="3">
        <v>73051</v>
      </c>
      <c r="J350" s="4"/>
    </row>
    <row r="351" spans="1:17" x14ac:dyDescent="0.25">
      <c r="A351" t="s">
        <v>36</v>
      </c>
      <c r="B351">
        <v>0</v>
      </c>
      <c r="C351">
        <v>80</v>
      </c>
      <c r="D351">
        <v>300</v>
      </c>
      <c r="E351">
        <v>620</v>
      </c>
      <c r="G351" s="3">
        <v>41760</v>
      </c>
      <c r="H351" s="3">
        <v>41760</v>
      </c>
      <c r="I351" s="3">
        <v>73051</v>
      </c>
      <c r="J351" s="4"/>
    </row>
    <row r="352" spans="1:17" x14ac:dyDescent="0.25">
      <c r="A352" t="s">
        <v>37</v>
      </c>
      <c r="B352">
        <v>0</v>
      </c>
      <c r="C352">
        <v>80</v>
      </c>
      <c r="D352">
        <v>760</v>
      </c>
      <c r="E352">
        <v>999</v>
      </c>
      <c r="F352">
        <v>0</v>
      </c>
      <c r="G352" s="3">
        <v>41760</v>
      </c>
      <c r="H352" s="3">
        <v>41760</v>
      </c>
      <c r="I352" s="3">
        <v>73051</v>
      </c>
      <c r="J352" s="4"/>
    </row>
    <row r="353" spans="1:10" x14ac:dyDescent="0.25">
      <c r="A353" t="s">
        <v>37</v>
      </c>
      <c r="B353">
        <v>0</v>
      </c>
      <c r="C353">
        <v>80</v>
      </c>
      <c r="D353">
        <v>720</v>
      </c>
      <c r="E353">
        <v>760</v>
      </c>
      <c r="F353">
        <v>0</v>
      </c>
      <c r="G353" s="3">
        <v>41760</v>
      </c>
      <c r="H353" s="3">
        <v>41760</v>
      </c>
      <c r="I353" s="3">
        <v>73051</v>
      </c>
      <c r="J353" s="4"/>
    </row>
    <row r="354" spans="1:10" x14ac:dyDescent="0.25">
      <c r="A354" t="s">
        <v>37</v>
      </c>
      <c r="B354">
        <v>0</v>
      </c>
      <c r="C354">
        <v>80</v>
      </c>
      <c r="D354">
        <v>680</v>
      </c>
      <c r="E354">
        <v>720</v>
      </c>
      <c r="F354">
        <v>0</v>
      </c>
      <c r="G354" s="3">
        <v>41760</v>
      </c>
      <c r="H354" s="3">
        <v>41760</v>
      </c>
      <c r="I354" s="3">
        <v>73051</v>
      </c>
      <c r="J354" s="4"/>
    </row>
    <row r="355" spans="1:10" x14ac:dyDescent="0.25">
      <c r="A355" t="s">
        <v>37</v>
      </c>
      <c r="B355">
        <v>0</v>
      </c>
      <c r="C355">
        <v>80</v>
      </c>
      <c r="D355">
        <v>620</v>
      </c>
      <c r="E355">
        <v>680</v>
      </c>
      <c r="F355">
        <v>0</v>
      </c>
      <c r="G355" s="3">
        <v>41760</v>
      </c>
      <c r="H355" s="3">
        <v>41760</v>
      </c>
      <c r="I355" s="3">
        <v>73051</v>
      </c>
      <c r="J355" s="4"/>
    </row>
    <row r="356" spans="1:10" x14ac:dyDescent="0.25">
      <c r="A356" t="s">
        <v>37</v>
      </c>
      <c r="B356">
        <v>0</v>
      </c>
      <c r="C356">
        <v>80</v>
      </c>
      <c r="D356">
        <v>300</v>
      </c>
      <c r="E356">
        <v>620</v>
      </c>
      <c r="G356" s="3">
        <v>41760</v>
      </c>
      <c r="H356" s="3">
        <v>41760</v>
      </c>
      <c r="I356" s="3">
        <v>73051</v>
      </c>
      <c r="J356" s="4"/>
    </row>
    <row r="357" spans="1:10" x14ac:dyDescent="0.25">
      <c r="A357" t="s">
        <v>38</v>
      </c>
      <c r="B357">
        <v>0</v>
      </c>
      <c r="C357">
        <v>80</v>
      </c>
      <c r="D357">
        <v>760</v>
      </c>
      <c r="E357">
        <v>999</v>
      </c>
      <c r="F357">
        <v>0</v>
      </c>
      <c r="G357" s="3">
        <v>41760</v>
      </c>
      <c r="H357" s="3">
        <v>41760</v>
      </c>
      <c r="I357" s="3">
        <v>73051</v>
      </c>
      <c r="J357" s="4"/>
    </row>
    <row r="358" spans="1:10" x14ac:dyDescent="0.25">
      <c r="A358" t="s">
        <v>38</v>
      </c>
      <c r="B358">
        <v>0</v>
      </c>
      <c r="C358">
        <v>80</v>
      </c>
      <c r="D358">
        <v>720</v>
      </c>
      <c r="E358">
        <v>760</v>
      </c>
      <c r="F358">
        <v>0</v>
      </c>
      <c r="G358" s="3">
        <v>41760</v>
      </c>
      <c r="H358" s="3">
        <v>41760</v>
      </c>
      <c r="I358" s="3">
        <v>73051</v>
      </c>
      <c r="J358" s="4"/>
    </row>
    <row r="359" spans="1:10" x14ac:dyDescent="0.25">
      <c r="A359" t="s">
        <v>38</v>
      </c>
      <c r="B359">
        <v>0</v>
      </c>
      <c r="C359">
        <v>80</v>
      </c>
      <c r="D359">
        <v>680</v>
      </c>
      <c r="E359">
        <v>720</v>
      </c>
      <c r="F359">
        <v>0</v>
      </c>
      <c r="G359" s="3">
        <v>41760</v>
      </c>
      <c r="H359" s="3">
        <v>41760</v>
      </c>
      <c r="I359" s="3">
        <v>73051</v>
      </c>
      <c r="J359" s="4"/>
    </row>
    <row r="360" spans="1:10" x14ac:dyDescent="0.25">
      <c r="A360" t="s">
        <v>38</v>
      </c>
      <c r="B360">
        <v>0</v>
      </c>
      <c r="C360">
        <v>80</v>
      </c>
      <c r="D360">
        <v>620</v>
      </c>
      <c r="E360">
        <v>680</v>
      </c>
      <c r="F360">
        <v>0</v>
      </c>
      <c r="G360" s="3">
        <v>41760</v>
      </c>
      <c r="H360" s="3">
        <v>41760</v>
      </c>
      <c r="I360" s="3">
        <v>73051</v>
      </c>
      <c r="J360" s="4"/>
    </row>
    <row r="361" spans="1:10" x14ac:dyDescent="0.25">
      <c r="A361" t="s">
        <v>38</v>
      </c>
      <c r="B361">
        <v>0</v>
      </c>
      <c r="C361">
        <v>80</v>
      </c>
      <c r="D361">
        <v>300</v>
      </c>
      <c r="E361">
        <v>620</v>
      </c>
      <c r="G361" s="3">
        <v>41760</v>
      </c>
      <c r="H361" s="3">
        <v>41760</v>
      </c>
      <c r="I361" s="3">
        <v>73051</v>
      </c>
      <c r="J36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tabSelected="1" topLeftCell="A4" workbookViewId="0">
      <selection activeCell="T23" sqref="T23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56</v>
      </c>
      <c r="B1" t="s">
        <v>57</v>
      </c>
      <c r="C1" t="s">
        <v>1</v>
      </c>
      <c r="D1" t="s">
        <v>2</v>
      </c>
      <c r="E1" t="s">
        <v>3</v>
      </c>
      <c r="F1" t="s">
        <v>0</v>
      </c>
      <c r="G1" t="s">
        <v>52</v>
      </c>
      <c r="H1" t="s">
        <v>51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</v>
      </c>
      <c r="H2" s="4">
        <v>41183</v>
      </c>
      <c r="J2" t="s">
        <v>68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</v>
      </c>
      <c r="H4" s="4">
        <v>41183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</v>
      </c>
      <c r="H5" s="4">
        <v>41183</v>
      </c>
      <c r="J5" t="s">
        <v>69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22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</v>
      </c>
      <c r="H6" s="4">
        <v>41183</v>
      </c>
      <c r="J6" t="s">
        <v>70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22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</v>
      </c>
      <c r="H7" s="4">
        <v>41183</v>
      </c>
      <c r="J7" t="s">
        <v>71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22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</v>
      </c>
      <c r="H8" s="4">
        <v>41183</v>
      </c>
      <c r="J8" t="s">
        <v>72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22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</v>
      </c>
      <c r="H9" s="4">
        <v>41183</v>
      </c>
      <c r="J9" t="s">
        <v>73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22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</v>
      </c>
      <c r="H10" s="4">
        <v>41183</v>
      </c>
      <c r="J10" t="s">
        <v>74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22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</v>
      </c>
      <c r="H11" s="4">
        <v>41183</v>
      </c>
      <c r="J11" t="s">
        <v>75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22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</v>
      </c>
      <c r="H12" s="4">
        <v>41183</v>
      </c>
      <c r="J12" t="s">
        <v>76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22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</v>
      </c>
      <c r="H13" s="4">
        <v>41183</v>
      </c>
      <c r="J13" t="s">
        <v>19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</v>
      </c>
      <c r="H15" s="4">
        <v>41183</v>
      </c>
      <c r="J15" t="s">
        <v>43</v>
      </c>
      <c r="K15" s="6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</v>
      </c>
      <c r="H16" s="4">
        <v>41183</v>
      </c>
      <c r="J16" t="s">
        <v>44</v>
      </c>
      <c r="K16" t="s">
        <v>77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</v>
      </c>
      <c r="H18" s="4">
        <v>41183</v>
      </c>
      <c r="J18" t="s">
        <v>78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</v>
      </c>
      <c r="H27" s="4">
        <v>41183</v>
      </c>
      <c r="X27" s="10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</v>
      </c>
      <c r="H28" s="4">
        <v>41183</v>
      </c>
      <c r="X28" s="10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</v>
      </c>
      <c r="H29" s="4">
        <v>41183</v>
      </c>
      <c r="X29" s="10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</v>
      </c>
      <c r="H30" s="4">
        <v>41183</v>
      </c>
      <c r="X30" s="10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</v>
      </c>
      <c r="H31" s="4">
        <v>41183</v>
      </c>
      <c r="X31" s="10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</v>
      </c>
      <c r="H32" s="4">
        <v>41183</v>
      </c>
      <c r="X32" s="11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</v>
      </c>
      <c r="H33" s="4">
        <v>41183</v>
      </c>
      <c r="X33" s="10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</v>
      </c>
      <c r="H34" s="4">
        <v>41183</v>
      </c>
      <c r="X34" s="11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24</v>
      </c>
      <c r="L103" t="s">
        <v>25</v>
      </c>
      <c r="M103" t="s">
        <v>26</v>
      </c>
      <c r="N103" t="s">
        <v>27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69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22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70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22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71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22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72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22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73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22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74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22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75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22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76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22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t="s">
        <v>19</v>
      </c>
      <c r="K112">
        <v>50</v>
      </c>
      <c r="L112">
        <v>150</v>
      </c>
      <c r="M112">
        <v>300</v>
      </c>
      <c r="N112">
        <v>300</v>
      </c>
      <c r="O112">
        <v>325</v>
      </c>
      <c r="P112">
        <v>325</v>
      </c>
      <c r="Q112">
        <v>325</v>
      </c>
      <c r="R112">
        <v>325</v>
      </c>
      <c r="S112" t="s">
        <v>22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43</v>
      </c>
      <c r="K114" s="6" t="s">
        <v>89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44</v>
      </c>
      <c r="K115" t="s">
        <v>77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78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10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10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10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10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10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11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11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24</v>
      </c>
      <c r="L202" t="s">
        <v>25</v>
      </c>
      <c r="M202" t="s">
        <v>26</v>
      </c>
      <c r="N202" t="s">
        <v>27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69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22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70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22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71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22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72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22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73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22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74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22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75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22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76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22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t="s">
        <v>19</v>
      </c>
      <c r="K211">
        <v>50</v>
      </c>
      <c r="L211">
        <v>150</v>
      </c>
      <c r="M211">
        <v>300</v>
      </c>
      <c r="N211">
        <v>300</v>
      </c>
      <c r="O211">
        <v>325</v>
      </c>
      <c r="P211">
        <v>325</v>
      </c>
      <c r="Q211">
        <v>325</v>
      </c>
      <c r="R211">
        <v>325</v>
      </c>
      <c r="S211" t="s">
        <v>22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43</v>
      </c>
      <c r="K213" s="6" t="s">
        <v>97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78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24</v>
      </c>
      <c r="L301" t="s">
        <v>25</v>
      </c>
      <c r="M301" t="s">
        <v>26</v>
      </c>
      <c r="N301" t="s">
        <v>27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102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22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101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22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100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22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70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22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71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22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72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22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73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22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74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22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75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22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76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22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t="s">
        <v>19</v>
      </c>
      <c r="K312">
        <v>75</v>
      </c>
      <c r="L312">
        <v>175</v>
      </c>
      <c r="M312">
        <v>325</v>
      </c>
      <c r="N312">
        <v>325</v>
      </c>
      <c r="O312">
        <v>350</v>
      </c>
      <c r="P312">
        <v>350</v>
      </c>
      <c r="Q312">
        <v>350</v>
      </c>
      <c r="R312">
        <v>350</v>
      </c>
      <c r="S312" t="s">
        <v>22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43</v>
      </c>
      <c r="K314" s="6" t="s">
        <v>97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78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24</v>
      </c>
      <c r="L400" t="s">
        <v>25</v>
      </c>
      <c r="M400" t="s">
        <v>26</v>
      </c>
      <c r="N400" t="s">
        <v>27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69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22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70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22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71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22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72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22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73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22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74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22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75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22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76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22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t="s">
        <v>19</v>
      </c>
      <c r="K409">
        <v>50</v>
      </c>
      <c r="L409">
        <v>150</v>
      </c>
      <c r="M409">
        <v>300</v>
      </c>
      <c r="N409">
        <v>300</v>
      </c>
      <c r="O409">
        <v>325</v>
      </c>
      <c r="P409">
        <v>325</v>
      </c>
      <c r="Q409">
        <v>325</v>
      </c>
      <c r="R409">
        <v>325</v>
      </c>
      <c r="S409" t="s">
        <v>22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43</v>
      </c>
      <c r="K411" s="6" t="s">
        <v>46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44</v>
      </c>
      <c r="K412" t="s">
        <v>77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78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79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24</v>
      </c>
      <c r="L499" t="s">
        <v>25</v>
      </c>
      <c r="M499" t="s">
        <v>26</v>
      </c>
      <c r="N499" t="s">
        <v>27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69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22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70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22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71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22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72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22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73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22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74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22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75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22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76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22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t="s">
        <v>19</v>
      </c>
      <c r="K508">
        <v>50</v>
      </c>
      <c r="L508">
        <v>150</v>
      </c>
      <c r="M508">
        <v>300</v>
      </c>
      <c r="N508">
        <v>300</v>
      </c>
      <c r="O508">
        <v>325</v>
      </c>
      <c r="P508">
        <v>325</v>
      </c>
      <c r="Q508">
        <v>325</v>
      </c>
      <c r="R508">
        <v>325</v>
      </c>
      <c r="S508" t="s">
        <v>22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78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42011</v>
      </c>
      <c r="G595" s="4">
        <v>42005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80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24</v>
      </c>
      <c r="L598" t="s">
        <v>25</v>
      </c>
      <c r="M598" t="s">
        <v>26</v>
      </c>
      <c r="N598" t="s">
        <v>27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69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22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70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22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71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22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72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22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73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22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74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22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75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22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76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22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t="s">
        <v>19</v>
      </c>
      <c r="K607" s="2">
        <v>5.0000000000000001E-3</v>
      </c>
      <c r="L607" s="2">
        <v>1.4999999999999999E-2</v>
      </c>
      <c r="M607" s="2">
        <v>0.03</v>
      </c>
      <c r="N607" s="2">
        <v>0.03</v>
      </c>
      <c r="O607" s="2">
        <v>3.2500000000000001E-2</v>
      </c>
      <c r="P607" s="2">
        <v>3.2500000000000001E-2</v>
      </c>
      <c r="Q607" s="2">
        <v>3.2500000000000001E-2</v>
      </c>
      <c r="R607" s="2">
        <v>3.7499999999999999E-2</v>
      </c>
      <c r="S607" t="s">
        <v>22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78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G9" sqref="G9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52</v>
      </c>
      <c r="C1" t="s">
        <v>51</v>
      </c>
      <c r="D1" t="s">
        <v>90</v>
      </c>
      <c r="J1" t="s">
        <v>99</v>
      </c>
      <c r="N1" t="s">
        <v>98</v>
      </c>
    </row>
    <row r="2" spans="1:16" x14ac:dyDescent="0.25">
      <c r="A2" s="3">
        <v>40808</v>
      </c>
      <c r="B2" s="3">
        <v>1</v>
      </c>
      <c r="C2" s="3">
        <v>41183</v>
      </c>
      <c r="D2">
        <v>25</v>
      </c>
      <c r="K2" t="s">
        <v>90</v>
      </c>
      <c r="N2" t="s">
        <v>52</v>
      </c>
      <c r="O2" t="s">
        <v>51</v>
      </c>
      <c r="P2" t="s">
        <v>3</v>
      </c>
    </row>
    <row r="3" spans="1:16" x14ac:dyDescent="0.25">
      <c r="A3" s="3">
        <v>41183</v>
      </c>
      <c r="B3" s="3">
        <f>A3</f>
        <v>41183</v>
      </c>
      <c r="C3" s="3">
        <f>A4</f>
        <v>41609</v>
      </c>
      <c r="D3">
        <v>25</v>
      </c>
      <c r="J3" s="3">
        <v>41153</v>
      </c>
      <c r="K3">
        <v>25</v>
      </c>
      <c r="N3" s="4">
        <v>1</v>
      </c>
      <c r="O3" s="4">
        <v>40787</v>
      </c>
      <c r="P3">
        <v>0</v>
      </c>
    </row>
    <row r="4" spans="1:16" x14ac:dyDescent="0.25">
      <c r="A4" s="3">
        <v>41609</v>
      </c>
      <c r="B4" s="3">
        <f>A4</f>
        <v>41609</v>
      </c>
      <c r="C4" s="3">
        <f>A5</f>
        <v>41730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41730</v>
      </c>
      <c r="B5" s="3">
        <f>A5</f>
        <v>41730</v>
      </c>
      <c r="C5" s="3">
        <v>42248</v>
      </c>
      <c r="D5">
        <v>0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42005</v>
      </c>
      <c r="B6" s="3">
        <f t="shared" ref="B6:B7" si="0">A6</f>
        <v>42005</v>
      </c>
      <c r="C6" s="3">
        <v>42249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42095</v>
      </c>
      <c r="B7" s="3">
        <f t="shared" si="0"/>
        <v>42095</v>
      </c>
      <c r="C7" s="3">
        <v>42250</v>
      </c>
      <c r="D7">
        <v>25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42248</v>
      </c>
      <c r="B8" s="3">
        <v>42248</v>
      </c>
      <c r="C8" s="3">
        <v>73051</v>
      </c>
      <c r="D8">
        <v>0</v>
      </c>
      <c r="J8" s="3">
        <v>42248</v>
      </c>
      <c r="K8">
        <v>0</v>
      </c>
    </row>
    <row r="12" spans="1:16" x14ac:dyDescent="0.25">
      <c r="A12" t="s">
        <v>43</v>
      </c>
      <c r="C12" t="s">
        <v>46</v>
      </c>
    </row>
    <row r="13" spans="1:16" x14ac:dyDescent="0.25">
      <c r="A13" t="s">
        <v>44</v>
      </c>
      <c r="C13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>
      <selection activeCell="I15" sqref="I15:J16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42</v>
      </c>
      <c r="B1" t="s">
        <v>1</v>
      </c>
      <c r="C1" t="s">
        <v>2</v>
      </c>
      <c r="D1" t="s">
        <v>3</v>
      </c>
      <c r="E1" t="s">
        <v>0</v>
      </c>
      <c r="F1" t="s">
        <v>52</v>
      </c>
      <c r="G1" t="s">
        <v>51</v>
      </c>
    </row>
    <row r="2" spans="1:19" x14ac:dyDescent="0.25">
      <c r="A2" t="s">
        <v>35</v>
      </c>
      <c r="B2">
        <v>0</v>
      </c>
      <c r="C2">
        <v>60</v>
      </c>
      <c r="D2">
        <v>0</v>
      </c>
      <c r="E2" s="4">
        <v>41183</v>
      </c>
      <c r="F2" s="4">
        <v>1</v>
      </c>
      <c r="G2" s="4">
        <v>42248</v>
      </c>
      <c r="I2" s="4">
        <v>41183</v>
      </c>
      <c r="J2" t="s">
        <v>39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35</v>
      </c>
      <c r="B3">
        <v>60</v>
      </c>
      <c r="C3">
        <v>70</v>
      </c>
      <c r="D3">
        <v>0</v>
      </c>
      <c r="E3" s="4">
        <v>41183</v>
      </c>
      <c r="F3" s="4">
        <v>1</v>
      </c>
      <c r="G3" s="4">
        <v>42248</v>
      </c>
      <c r="J3" t="s">
        <v>35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34</v>
      </c>
    </row>
    <row r="4" spans="1:19" x14ac:dyDescent="0.25">
      <c r="A4" t="s">
        <v>35</v>
      </c>
      <c r="B4">
        <v>70</v>
      </c>
      <c r="C4">
        <v>75</v>
      </c>
      <c r="D4">
        <v>0</v>
      </c>
      <c r="E4" s="4">
        <v>41183</v>
      </c>
      <c r="F4" s="4">
        <v>1</v>
      </c>
      <c r="G4" s="4">
        <v>42248</v>
      </c>
      <c r="J4" t="s">
        <v>36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34</v>
      </c>
    </row>
    <row r="5" spans="1:19" x14ac:dyDescent="0.25">
      <c r="A5" t="s">
        <v>35</v>
      </c>
      <c r="B5">
        <v>75</v>
      </c>
      <c r="C5">
        <v>80</v>
      </c>
      <c r="D5">
        <v>0</v>
      </c>
      <c r="E5" s="4">
        <v>41183</v>
      </c>
      <c r="F5" s="4">
        <v>1</v>
      </c>
      <c r="G5" s="4">
        <v>42248</v>
      </c>
      <c r="J5" t="s">
        <v>37</v>
      </c>
      <c r="K5" s="7">
        <v>175</v>
      </c>
      <c r="L5" s="7">
        <v>175</v>
      </c>
      <c r="M5" s="7">
        <v>175</v>
      </c>
      <c r="N5" s="7">
        <v>300</v>
      </c>
      <c r="O5" s="7">
        <v>375</v>
      </c>
      <c r="P5" s="2" t="s">
        <v>34</v>
      </c>
      <c r="Q5" s="2" t="s">
        <v>34</v>
      </c>
      <c r="R5" s="2" t="s">
        <v>34</v>
      </c>
      <c r="S5" s="2" t="s">
        <v>34</v>
      </c>
    </row>
    <row r="6" spans="1:19" x14ac:dyDescent="0.25">
      <c r="A6" t="s">
        <v>35</v>
      </c>
      <c r="B6">
        <v>80</v>
      </c>
      <c r="C6">
        <v>85</v>
      </c>
      <c r="D6">
        <v>0</v>
      </c>
      <c r="E6" s="4">
        <v>41183</v>
      </c>
      <c r="F6" s="4">
        <v>1</v>
      </c>
      <c r="G6" s="4">
        <v>42248</v>
      </c>
      <c r="J6" t="s">
        <v>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34</v>
      </c>
    </row>
    <row r="7" spans="1:19" x14ac:dyDescent="0.25">
      <c r="A7" t="s">
        <v>35</v>
      </c>
      <c r="B7">
        <v>85</v>
      </c>
      <c r="C7">
        <v>90</v>
      </c>
      <c r="D7">
        <v>0</v>
      </c>
      <c r="E7" s="4">
        <v>41183</v>
      </c>
      <c r="F7" s="4">
        <v>1</v>
      </c>
      <c r="G7" s="4">
        <v>42248</v>
      </c>
    </row>
    <row r="8" spans="1:19" x14ac:dyDescent="0.25">
      <c r="A8" t="s">
        <v>35</v>
      </c>
      <c r="B8">
        <v>90</v>
      </c>
      <c r="C8">
        <v>95</v>
      </c>
      <c r="D8">
        <v>0</v>
      </c>
      <c r="E8" s="4">
        <v>41183</v>
      </c>
      <c r="F8" s="4">
        <v>1</v>
      </c>
      <c r="G8" s="4">
        <v>42248</v>
      </c>
    </row>
    <row r="9" spans="1:19" x14ac:dyDescent="0.25">
      <c r="A9" t="s">
        <v>35</v>
      </c>
      <c r="B9">
        <v>95</v>
      </c>
      <c r="C9">
        <v>97</v>
      </c>
      <c r="D9">
        <v>0</v>
      </c>
      <c r="E9" s="4">
        <v>41183</v>
      </c>
      <c r="F9" s="4">
        <v>1</v>
      </c>
      <c r="G9" s="4">
        <v>42248</v>
      </c>
      <c r="I9" t="s">
        <v>43</v>
      </c>
      <c r="J9" t="s">
        <v>46</v>
      </c>
    </row>
    <row r="10" spans="1:19" x14ac:dyDescent="0.25">
      <c r="A10" t="s">
        <v>35</v>
      </c>
      <c r="B10">
        <v>97</v>
      </c>
      <c r="C10">
        <v>999</v>
      </c>
      <c r="E10" s="4">
        <v>41183</v>
      </c>
      <c r="F10" s="4">
        <v>1</v>
      </c>
      <c r="G10" s="4">
        <v>42248</v>
      </c>
      <c r="I10" t="s">
        <v>44</v>
      </c>
      <c r="J10" t="s">
        <v>47</v>
      </c>
    </row>
    <row r="11" spans="1:19" x14ac:dyDescent="0.25">
      <c r="A11" t="s">
        <v>38</v>
      </c>
      <c r="B11">
        <v>0</v>
      </c>
      <c r="C11">
        <v>60</v>
      </c>
      <c r="D11">
        <v>0</v>
      </c>
      <c r="E11" s="4">
        <v>41183</v>
      </c>
      <c r="F11" s="4">
        <v>1</v>
      </c>
      <c r="G11" s="4">
        <v>42248</v>
      </c>
    </row>
    <row r="12" spans="1:19" x14ac:dyDescent="0.25">
      <c r="A12" t="s">
        <v>38</v>
      </c>
      <c r="B12">
        <v>60</v>
      </c>
      <c r="C12">
        <v>70</v>
      </c>
      <c r="D12">
        <v>0</v>
      </c>
      <c r="E12" s="4">
        <v>41183</v>
      </c>
      <c r="F12" s="4">
        <v>1</v>
      </c>
      <c r="G12" s="4">
        <v>42248</v>
      </c>
    </row>
    <row r="13" spans="1:19" x14ac:dyDescent="0.25">
      <c r="A13" t="s">
        <v>38</v>
      </c>
      <c r="B13">
        <v>70</v>
      </c>
      <c r="C13">
        <v>75</v>
      </c>
      <c r="D13">
        <v>0</v>
      </c>
      <c r="E13" s="4">
        <v>41183</v>
      </c>
      <c r="F13" s="4">
        <v>1</v>
      </c>
      <c r="G13" s="4">
        <v>42248</v>
      </c>
      <c r="I13" s="4">
        <v>41609</v>
      </c>
      <c r="J13" t="s">
        <v>91</v>
      </c>
    </row>
    <row r="14" spans="1:19" x14ac:dyDescent="0.25">
      <c r="A14" t="s">
        <v>38</v>
      </c>
      <c r="B14">
        <v>75</v>
      </c>
      <c r="C14">
        <v>80</v>
      </c>
      <c r="D14">
        <v>0</v>
      </c>
      <c r="E14" s="4">
        <v>41183</v>
      </c>
      <c r="F14" s="4">
        <v>1</v>
      </c>
      <c r="G14" s="4">
        <v>42248</v>
      </c>
      <c r="I14" s="4">
        <v>41730</v>
      </c>
      <c r="J14" t="s">
        <v>91</v>
      </c>
      <c r="S14" s="2"/>
    </row>
    <row r="15" spans="1:19" x14ac:dyDescent="0.25">
      <c r="A15" t="s">
        <v>38</v>
      </c>
      <c r="B15">
        <v>80</v>
      </c>
      <c r="C15">
        <v>85</v>
      </c>
      <c r="D15">
        <v>0</v>
      </c>
      <c r="E15" s="4">
        <v>41183</v>
      </c>
      <c r="F15" s="4">
        <v>1</v>
      </c>
      <c r="G15" s="4">
        <v>42248</v>
      </c>
      <c r="I15" s="4">
        <v>42005</v>
      </c>
      <c r="J15" t="s">
        <v>91</v>
      </c>
      <c r="S15" s="2"/>
    </row>
    <row r="16" spans="1:19" x14ac:dyDescent="0.25">
      <c r="A16" t="s">
        <v>38</v>
      </c>
      <c r="B16">
        <v>85</v>
      </c>
      <c r="C16">
        <v>90</v>
      </c>
      <c r="D16">
        <v>0</v>
      </c>
      <c r="E16" s="4">
        <v>41183</v>
      </c>
      <c r="F16" s="4">
        <v>1</v>
      </c>
      <c r="G16" s="4">
        <v>42248</v>
      </c>
      <c r="I16" s="4">
        <v>42095</v>
      </c>
      <c r="J16" t="s">
        <v>91</v>
      </c>
      <c r="K16" s="7"/>
      <c r="L16" s="7"/>
      <c r="M16" s="7"/>
      <c r="N16" s="7"/>
      <c r="O16" s="7"/>
      <c r="P16" s="2"/>
      <c r="Q16" s="2"/>
      <c r="R16" s="2"/>
      <c r="S16" s="2"/>
    </row>
    <row r="17" spans="1:19" x14ac:dyDescent="0.25">
      <c r="A17" t="s">
        <v>38</v>
      </c>
      <c r="B17">
        <v>90</v>
      </c>
      <c r="C17">
        <v>95</v>
      </c>
      <c r="D17">
        <v>0</v>
      </c>
      <c r="E17" s="4">
        <v>41183</v>
      </c>
      <c r="F17" s="4">
        <v>1</v>
      </c>
      <c r="G17" s="4">
        <v>42248</v>
      </c>
      <c r="S17" s="2"/>
    </row>
    <row r="18" spans="1:19" x14ac:dyDescent="0.25">
      <c r="A18" t="s">
        <v>38</v>
      </c>
      <c r="B18">
        <v>95</v>
      </c>
      <c r="C18">
        <v>97</v>
      </c>
      <c r="D18">
        <v>0</v>
      </c>
      <c r="E18" s="4">
        <v>41183</v>
      </c>
      <c r="F18" s="4">
        <v>1</v>
      </c>
      <c r="G18" s="4">
        <v>42248</v>
      </c>
    </row>
    <row r="19" spans="1:19" x14ac:dyDescent="0.25">
      <c r="A19" t="s">
        <v>38</v>
      </c>
      <c r="B19">
        <v>97</v>
      </c>
      <c r="C19">
        <v>999</v>
      </c>
      <c r="E19" s="4">
        <v>41183</v>
      </c>
      <c r="F19" s="4">
        <v>1</v>
      </c>
      <c r="G19" s="4">
        <v>42248</v>
      </c>
    </row>
    <row r="20" spans="1:19" x14ac:dyDescent="0.25">
      <c r="A20" t="s">
        <v>37</v>
      </c>
      <c r="B20">
        <v>0</v>
      </c>
      <c r="C20">
        <v>60</v>
      </c>
      <c r="D20">
        <v>175</v>
      </c>
      <c r="E20" s="4">
        <v>41183</v>
      </c>
      <c r="F20" s="4">
        <v>1</v>
      </c>
      <c r="G20" s="4">
        <v>42248</v>
      </c>
    </row>
    <row r="21" spans="1:19" x14ac:dyDescent="0.25">
      <c r="A21" t="s">
        <v>37</v>
      </c>
      <c r="B21">
        <v>60</v>
      </c>
      <c r="C21">
        <v>70</v>
      </c>
      <c r="D21">
        <v>175</v>
      </c>
      <c r="E21" s="4">
        <v>41183</v>
      </c>
      <c r="F21" s="4">
        <v>1</v>
      </c>
      <c r="G21" s="4">
        <v>42248</v>
      </c>
    </row>
    <row r="22" spans="1:19" x14ac:dyDescent="0.25">
      <c r="A22" t="s">
        <v>37</v>
      </c>
      <c r="B22">
        <v>70</v>
      </c>
      <c r="C22">
        <v>75</v>
      </c>
      <c r="D22">
        <v>175</v>
      </c>
      <c r="E22" s="4">
        <v>41183</v>
      </c>
      <c r="F22" s="4">
        <v>1</v>
      </c>
      <c r="G22" s="4">
        <v>42248</v>
      </c>
    </row>
    <row r="23" spans="1:19" x14ac:dyDescent="0.25">
      <c r="A23" t="s">
        <v>37</v>
      </c>
      <c r="B23">
        <v>75</v>
      </c>
      <c r="C23">
        <v>80</v>
      </c>
      <c r="D23">
        <v>300</v>
      </c>
      <c r="E23" s="4">
        <v>41183</v>
      </c>
      <c r="F23" s="4">
        <v>1</v>
      </c>
      <c r="G23" s="4">
        <v>42248</v>
      </c>
    </row>
    <row r="24" spans="1:19" x14ac:dyDescent="0.25">
      <c r="A24" t="s">
        <v>37</v>
      </c>
      <c r="B24">
        <v>80</v>
      </c>
      <c r="C24">
        <v>85</v>
      </c>
      <c r="D24">
        <v>375</v>
      </c>
      <c r="E24" s="4">
        <v>41183</v>
      </c>
      <c r="F24" s="4">
        <v>1</v>
      </c>
      <c r="G24" s="4">
        <v>42248</v>
      </c>
    </row>
    <row r="25" spans="1:19" x14ac:dyDescent="0.25">
      <c r="A25" t="s">
        <v>37</v>
      </c>
      <c r="B25">
        <v>85</v>
      </c>
      <c r="C25">
        <v>90</v>
      </c>
      <c r="E25" s="4">
        <v>41183</v>
      </c>
      <c r="F25" s="4">
        <v>1</v>
      </c>
      <c r="G25" s="4">
        <v>42248</v>
      </c>
    </row>
    <row r="26" spans="1:19" x14ac:dyDescent="0.25">
      <c r="A26" t="s">
        <v>37</v>
      </c>
      <c r="B26">
        <v>90</v>
      </c>
      <c r="C26">
        <v>95</v>
      </c>
      <c r="E26" s="4">
        <v>41183</v>
      </c>
      <c r="F26" s="4">
        <v>1</v>
      </c>
      <c r="G26" s="4">
        <v>42248</v>
      </c>
    </row>
    <row r="27" spans="1:19" x14ac:dyDescent="0.25">
      <c r="A27" t="s">
        <v>37</v>
      </c>
      <c r="B27">
        <v>95</v>
      </c>
      <c r="C27">
        <v>97</v>
      </c>
      <c r="E27" s="4">
        <v>41183</v>
      </c>
      <c r="F27" s="4">
        <v>1</v>
      </c>
      <c r="G27" s="4">
        <v>42248</v>
      </c>
    </row>
    <row r="28" spans="1:19" x14ac:dyDescent="0.25">
      <c r="A28" t="s">
        <v>37</v>
      </c>
      <c r="B28">
        <v>97</v>
      </c>
      <c r="C28">
        <v>999</v>
      </c>
      <c r="E28" s="4">
        <v>41183</v>
      </c>
      <c r="F28" s="4">
        <v>1</v>
      </c>
      <c r="G28" s="4">
        <v>42248</v>
      </c>
    </row>
    <row r="29" spans="1:19" x14ac:dyDescent="0.25">
      <c r="A29" t="s">
        <v>36</v>
      </c>
      <c r="B29">
        <v>0</v>
      </c>
      <c r="C29">
        <v>60</v>
      </c>
      <c r="D29">
        <v>0</v>
      </c>
      <c r="E29" s="4">
        <v>41183</v>
      </c>
      <c r="F29" s="4">
        <v>1</v>
      </c>
      <c r="G29" s="4">
        <v>42248</v>
      </c>
    </row>
    <row r="30" spans="1:19" x14ac:dyDescent="0.25">
      <c r="A30" t="s">
        <v>36</v>
      </c>
      <c r="B30">
        <v>60</v>
      </c>
      <c r="C30">
        <v>70</v>
      </c>
      <c r="D30">
        <v>0</v>
      </c>
      <c r="E30" s="4">
        <v>41183</v>
      </c>
      <c r="F30" s="4">
        <v>1</v>
      </c>
      <c r="G30" s="4">
        <v>42248</v>
      </c>
    </row>
    <row r="31" spans="1:19" x14ac:dyDescent="0.25">
      <c r="A31" t="s">
        <v>36</v>
      </c>
      <c r="B31">
        <v>70</v>
      </c>
      <c r="C31">
        <v>75</v>
      </c>
      <c r="D31">
        <v>0</v>
      </c>
      <c r="E31" s="4">
        <v>41183</v>
      </c>
      <c r="F31" s="4">
        <v>1</v>
      </c>
      <c r="G31" s="4">
        <v>42248</v>
      </c>
    </row>
    <row r="32" spans="1:19" x14ac:dyDescent="0.25">
      <c r="A32" t="s">
        <v>36</v>
      </c>
      <c r="B32">
        <v>75</v>
      </c>
      <c r="C32">
        <v>80</v>
      </c>
      <c r="D32">
        <v>0</v>
      </c>
      <c r="E32" s="4">
        <v>41183</v>
      </c>
      <c r="F32" s="4">
        <v>1</v>
      </c>
      <c r="G32" s="4">
        <v>42248</v>
      </c>
    </row>
    <row r="33" spans="1:19" x14ac:dyDescent="0.25">
      <c r="A33" t="s">
        <v>36</v>
      </c>
      <c r="B33">
        <v>80</v>
      </c>
      <c r="C33">
        <v>85</v>
      </c>
      <c r="D33">
        <v>0</v>
      </c>
      <c r="E33" s="4">
        <v>41183</v>
      </c>
      <c r="F33" s="4">
        <v>1</v>
      </c>
      <c r="G33" s="4">
        <v>42248</v>
      </c>
    </row>
    <row r="34" spans="1:19" x14ac:dyDescent="0.25">
      <c r="A34" t="s">
        <v>36</v>
      </c>
      <c r="B34">
        <v>85</v>
      </c>
      <c r="C34">
        <v>90</v>
      </c>
      <c r="D34">
        <v>0</v>
      </c>
      <c r="E34" s="4">
        <v>41183</v>
      </c>
      <c r="F34" s="4">
        <v>1</v>
      </c>
      <c r="G34" s="4">
        <v>42248</v>
      </c>
    </row>
    <row r="35" spans="1:19" x14ac:dyDescent="0.25">
      <c r="A35" t="s">
        <v>36</v>
      </c>
      <c r="B35">
        <v>90</v>
      </c>
      <c r="C35">
        <v>95</v>
      </c>
      <c r="D35">
        <v>0</v>
      </c>
      <c r="E35" s="4">
        <v>41183</v>
      </c>
      <c r="F35" s="4">
        <v>1</v>
      </c>
      <c r="G35" s="4">
        <v>42248</v>
      </c>
    </row>
    <row r="36" spans="1:19" x14ac:dyDescent="0.25">
      <c r="A36" t="s">
        <v>36</v>
      </c>
      <c r="B36">
        <v>95</v>
      </c>
      <c r="C36">
        <v>97</v>
      </c>
      <c r="D36">
        <v>0</v>
      </c>
      <c r="E36" s="4">
        <v>41183</v>
      </c>
      <c r="F36" s="4">
        <v>1</v>
      </c>
      <c r="G36" s="4">
        <v>42248</v>
      </c>
    </row>
    <row r="37" spans="1:19" x14ac:dyDescent="0.25">
      <c r="A37" t="s">
        <v>36</v>
      </c>
      <c r="B37">
        <v>97</v>
      </c>
      <c r="C37">
        <v>999</v>
      </c>
      <c r="E37" s="4">
        <v>41183</v>
      </c>
      <c r="F37" s="4">
        <v>1</v>
      </c>
      <c r="G37" s="4">
        <v>42248</v>
      </c>
    </row>
    <row r="38" spans="1:19" x14ac:dyDescent="0.25">
      <c r="A38" t="s">
        <v>35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39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</row>
    <row r="39" spans="1:19" x14ac:dyDescent="0.25">
      <c r="A39" t="s">
        <v>35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34</v>
      </c>
    </row>
    <row r="40" spans="1:19" x14ac:dyDescent="0.25">
      <c r="A40" t="s">
        <v>35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34</v>
      </c>
    </row>
    <row r="41" spans="1:19" x14ac:dyDescent="0.25">
      <c r="A41" t="s">
        <v>35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37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34</v>
      </c>
      <c r="Q41" s="2" t="s">
        <v>34</v>
      </c>
      <c r="R41" s="2" t="s">
        <v>34</v>
      </c>
      <c r="S41" s="2" t="s">
        <v>34</v>
      </c>
    </row>
    <row r="42" spans="1:19" x14ac:dyDescent="0.25">
      <c r="A42" t="s">
        <v>35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34</v>
      </c>
    </row>
    <row r="43" spans="1:19" x14ac:dyDescent="0.25">
      <c r="A43" t="s">
        <v>35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35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35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35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38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38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38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38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38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38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38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38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38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37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37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37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37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37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37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37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37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37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36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36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36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36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36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36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36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36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36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>
      <selection activeCell="I19" sqref="I19"/>
    </sheetView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33</v>
      </c>
      <c r="B1" t="s">
        <v>1</v>
      </c>
      <c r="C1" t="s">
        <v>2</v>
      </c>
      <c r="D1" t="s">
        <v>3</v>
      </c>
      <c r="E1" t="s">
        <v>0</v>
      </c>
      <c r="F1" t="s">
        <v>52</v>
      </c>
      <c r="G1" t="s">
        <v>51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</v>
      </c>
      <c r="G2" s="4">
        <v>73051</v>
      </c>
      <c r="I2" s="4">
        <v>41592</v>
      </c>
      <c r="J2" t="s">
        <v>33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34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34</v>
      </c>
      <c r="Q4" s="2" t="s">
        <v>34</v>
      </c>
      <c r="R4" s="2" t="s">
        <v>34</v>
      </c>
      <c r="S4" s="2" t="s">
        <v>34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34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</v>
      </c>
      <c r="G10" s="4">
        <v>73051</v>
      </c>
      <c r="I10" t="s">
        <v>43</v>
      </c>
      <c r="J10" t="s">
        <v>46</v>
      </c>
      <c r="R10" t="s">
        <v>10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</v>
      </c>
      <c r="G11" s="4">
        <v>73051</v>
      </c>
      <c r="I11" t="s">
        <v>44</v>
      </c>
      <c r="J11" t="s">
        <v>48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</v>
      </c>
      <c r="G13" s="4">
        <v>73051</v>
      </c>
      <c r="I13" s="4">
        <v>41183</v>
      </c>
      <c r="J13" t="s">
        <v>91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</v>
      </c>
      <c r="G14" s="4">
        <v>73051</v>
      </c>
      <c r="I14" s="4">
        <v>41609</v>
      </c>
      <c r="J14" s="4" t="s">
        <v>91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</v>
      </c>
      <c r="G15" s="4">
        <v>73051</v>
      </c>
      <c r="I15" s="4">
        <v>41730</v>
      </c>
      <c r="J15" t="s">
        <v>91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</v>
      </c>
      <c r="G16" s="4">
        <v>73051</v>
      </c>
      <c r="I16" s="4">
        <v>42005</v>
      </c>
      <c r="J16" t="s">
        <v>91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</v>
      </c>
      <c r="G17" s="4">
        <v>73051</v>
      </c>
      <c r="I17" s="4">
        <v>42095</v>
      </c>
      <c r="J17" t="s">
        <v>91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</v>
      </c>
      <c r="G18" s="4">
        <v>73051</v>
      </c>
      <c r="I18" s="4">
        <v>42248</v>
      </c>
      <c r="J18" t="s">
        <v>91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</v>
      </c>
      <c r="G46" s="4">
        <v>73051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P20" sqref="P20"/>
    </sheetView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54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</v>
      </c>
      <c r="F4" s="3">
        <v>42248</v>
      </c>
      <c r="H4" s="3"/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22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22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22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22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22</v>
      </c>
    </row>
    <row r="10" spans="1:17" x14ac:dyDescent="0.25">
      <c r="A10" s="3">
        <v>42011</v>
      </c>
      <c r="B10">
        <v>97</v>
      </c>
      <c r="C10">
        <v>999</v>
      </c>
      <c r="D10" t="s">
        <v>55</v>
      </c>
      <c r="E10" s="3">
        <v>1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43</v>
      </c>
      <c r="I11" s="6" t="s">
        <v>46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44</v>
      </c>
      <c r="I12" t="s">
        <v>49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55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M3" sqref="M3:O9"/>
    </sheetView>
  </sheetViews>
  <sheetFormatPr defaultRowHeight="15" x14ac:dyDescent="0.25"/>
  <cols>
    <col min="1" max="1" width="10.7109375" bestFit="1" customWidth="1"/>
    <col min="2" max="2" width="9.7109375" bestFit="1" customWidth="1"/>
    <col min="7" max="7" width="10.7109375" bestFit="1" customWidth="1"/>
    <col min="8" max="8" width="9.7109375" bestFit="1" customWidth="1"/>
    <col min="9" max="9" width="10.7109375" bestFit="1" customWidth="1"/>
    <col min="13" max="13" width="12.7109375" customWidth="1"/>
    <col min="14" max="15" width="9.7109375" bestFit="1" customWidth="1"/>
  </cols>
  <sheetData>
    <row r="1" spans="1:15" x14ac:dyDescent="0.25">
      <c r="A1" t="s">
        <v>94</v>
      </c>
      <c r="G1" t="s">
        <v>95</v>
      </c>
      <c r="M1" t="s">
        <v>96</v>
      </c>
    </row>
    <row r="2" spans="1:15" x14ac:dyDescent="0.25">
      <c r="A2" t="s">
        <v>92</v>
      </c>
      <c r="B2" t="s">
        <v>93</v>
      </c>
      <c r="G2" t="s">
        <v>0</v>
      </c>
      <c r="H2" t="s">
        <v>52</v>
      </c>
      <c r="I2" t="s">
        <v>51</v>
      </c>
      <c r="M2" t="s">
        <v>0</v>
      </c>
      <c r="N2" t="s">
        <v>52</v>
      </c>
      <c r="O2" t="s">
        <v>51</v>
      </c>
    </row>
    <row r="3" spans="1:15" x14ac:dyDescent="0.25">
      <c r="A3" s="3">
        <v>41172</v>
      </c>
      <c r="B3" s="3">
        <v>41183</v>
      </c>
      <c r="G3" s="3">
        <v>40808</v>
      </c>
      <c r="H3" s="3">
        <v>1</v>
      </c>
      <c r="I3" s="3">
        <v>41624</v>
      </c>
      <c r="M3" s="3">
        <v>40808</v>
      </c>
      <c r="N3" s="3">
        <v>1</v>
      </c>
      <c r="O3" s="3">
        <v>41183</v>
      </c>
    </row>
    <row r="4" spans="1:15" x14ac:dyDescent="0.25">
      <c r="A4" s="3">
        <v>41592</v>
      </c>
      <c r="B4" s="3">
        <v>41609</v>
      </c>
      <c r="G4" s="3">
        <v>41624</v>
      </c>
      <c r="H4" s="3">
        <v>41609</v>
      </c>
      <c r="I4" s="3">
        <v>41640</v>
      </c>
      <c r="M4" s="3">
        <v>41183</v>
      </c>
      <c r="N4" s="3">
        <f>M4</f>
        <v>41183</v>
      </c>
      <c r="O4" s="3">
        <f>M5</f>
        <v>41609</v>
      </c>
    </row>
    <row r="5" spans="1:15" x14ac:dyDescent="0.25">
      <c r="A5" s="3">
        <v>41624</v>
      </c>
      <c r="B5" s="3">
        <v>41730</v>
      </c>
      <c r="G5" s="3">
        <v>41647</v>
      </c>
      <c r="H5" s="3">
        <v>41640</v>
      </c>
      <c r="I5" s="3">
        <v>42005</v>
      </c>
      <c r="M5" s="3">
        <v>41609</v>
      </c>
      <c r="N5" s="3">
        <f>M5</f>
        <v>41609</v>
      </c>
      <c r="O5" s="3">
        <f>M6</f>
        <v>41730</v>
      </c>
    </row>
    <row r="6" spans="1:15" x14ac:dyDescent="0.25">
      <c r="A6" s="3">
        <v>41981</v>
      </c>
      <c r="B6" s="3">
        <v>42005</v>
      </c>
      <c r="G6" s="3">
        <v>42011</v>
      </c>
      <c r="H6" s="3">
        <v>42005</v>
      </c>
      <c r="I6" s="3">
        <v>42248</v>
      </c>
      <c r="M6" s="3">
        <v>41730</v>
      </c>
      <c r="N6" s="3">
        <f>M6</f>
        <v>41730</v>
      </c>
      <c r="O6" s="3">
        <v>42248</v>
      </c>
    </row>
    <row r="7" spans="1:15" x14ac:dyDescent="0.25">
      <c r="A7" s="3">
        <v>42080</v>
      </c>
      <c r="B7" s="3">
        <v>42095</v>
      </c>
      <c r="G7" s="3">
        <v>42248</v>
      </c>
      <c r="H7" s="3">
        <v>42248</v>
      </c>
      <c r="I7" s="3">
        <v>73051</v>
      </c>
      <c r="M7" s="3">
        <v>42005</v>
      </c>
      <c r="N7" s="3">
        <f t="shared" ref="N7:N8" si="0">M7</f>
        <v>42005</v>
      </c>
      <c r="O7" s="3">
        <v>42249</v>
      </c>
    </row>
    <row r="8" spans="1:15" x14ac:dyDescent="0.25">
      <c r="A8" s="3">
        <v>42095</v>
      </c>
      <c r="B8" s="3">
        <v>42248</v>
      </c>
      <c r="G8" s="3"/>
      <c r="M8" s="3">
        <v>42095</v>
      </c>
      <c r="N8" s="3">
        <f t="shared" si="0"/>
        <v>42095</v>
      </c>
      <c r="O8" s="3">
        <v>42250</v>
      </c>
    </row>
    <row r="9" spans="1:15" x14ac:dyDescent="0.25">
      <c r="M9" s="3">
        <v>42248</v>
      </c>
      <c r="N9" s="3">
        <v>42248</v>
      </c>
      <c r="O9" s="3">
        <v>73051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PMI</vt:lpstr>
      <vt:lpstr>PMILoanSize</vt:lpstr>
      <vt:lpstr>PMIOcc</vt:lpstr>
      <vt:lpstr>LLPA</vt:lpstr>
      <vt:lpstr>ADMC</vt:lpstr>
      <vt:lpstr>LLPAOcc</vt:lpstr>
      <vt:lpstr>LLPAUnit</vt:lpstr>
      <vt:lpstr>LLPA High LTV</vt:lpstr>
      <vt:lpstr>LLPA Date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dcterms:created xsi:type="dcterms:W3CDTF">2015-01-14T17:29:38Z</dcterms:created>
  <dcterms:modified xsi:type="dcterms:W3CDTF">2015-09-03T19:22:17Z</dcterms:modified>
</cp:coreProperties>
</file>