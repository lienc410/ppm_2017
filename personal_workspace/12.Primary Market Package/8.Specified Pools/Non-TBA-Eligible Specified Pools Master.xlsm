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Report" sheetId="16" r:id="rId1"/>
    <sheet name="Historical" sheetId="19" r:id="rId2"/>
    <sheet name="Input-equal" sheetId="9" r:id="rId3"/>
  </sheets>
  <functionGroups builtInGroupCount="17"/>
  <externalReferences>
    <externalReference r:id="rId4"/>
    <externalReference r:id="rId5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Report!$U$2</definedName>
    <definedName name="DatabaseEnv">Report!$U$1</definedName>
    <definedName name="DateToChangeLag">Report!$U$12</definedName>
    <definedName name="HistoricalMtgRatesDataTable">#REF!</definedName>
    <definedName name="IR">#REF!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Report!$U$3</definedName>
    <definedName name="PDFReportName">Report!$U$4</definedName>
    <definedName name="PivotTable10">#REF!</definedName>
    <definedName name="PivotTable11">#REF!</definedName>
    <definedName name="PivotTable12">#REF!</definedName>
    <definedName name="_xlnm.Print_Area" localSheetId="0">Report!$C$1:$Q$58</definedName>
    <definedName name="Query_from_Agency" localSheetId="2" hidden="1">'Input-equal'!#REF!</definedName>
    <definedName name="Query_from_Agency_1" localSheetId="2" hidden="1">'Input-equal'!#REF!</definedName>
    <definedName name="Query_from_Agency_10" localSheetId="2" hidden="1">'Input-equal'!$O$3:$R$38</definedName>
    <definedName name="Query_from_Agency_4" localSheetId="2" hidden="1">'Input-equal'!#REF!</definedName>
    <definedName name="Query_from_Agency_5" localSheetId="2" hidden="1">'Input-equal'!#REF!</definedName>
    <definedName name="Query_from_Agency_6" localSheetId="2" hidden="1">'Input-equal'!$B$3:$E$85</definedName>
    <definedName name="Query_from_Agency_7" localSheetId="2" hidden="1">'Input-equal'!#REF!</definedName>
    <definedName name="Query_from_Agency_8" localSheetId="2" hidden="1">'Input-equal'!#REF!</definedName>
    <definedName name="Query_from_Agency_9" localSheetId="2" hidden="1">'Input-equal'!$I$3:$L$70</definedName>
    <definedName name="SaveRatesToDB">Report!$W$1</definedName>
    <definedName name="temp_13" localSheetId="2">'Input-equal'!#REF!</definedName>
    <definedName name="temp_14" localSheetId="2">'Input-equal'!#REF!</definedName>
    <definedName name="temp_17">#REF!</definedName>
    <definedName name="temp_8">#REF!</definedName>
    <definedName name="temp_9" localSheetId="2">'Input-equal'!#REF!</definedName>
  </definedNames>
  <calcPr calcId="145621"/>
</workbook>
</file>

<file path=xl/calcChain.xml><?xml version="1.0" encoding="utf-8"?>
<calcChain xmlns="http://schemas.openxmlformats.org/spreadsheetml/2006/main">
  <c r="F4" i="9" l="1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U4" i="16"/>
  <c r="U9" i="16"/>
  <c r="D3" i="19"/>
  <c r="D5" i="19"/>
  <c r="E46" i="16"/>
  <c r="D4" i="19"/>
  <c r="E3" i="19"/>
  <c r="E44" i="16"/>
  <c r="F44" i="16"/>
  <c r="G44" i="16"/>
  <c r="H44" i="16"/>
  <c r="I44" i="16"/>
  <c r="J44" i="16"/>
  <c r="K44" i="16"/>
  <c r="L44" i="16"/>
  <c r="M44" i="16"/>
  <c r="N44" i="16"/>
  <c r="O44" i="16"/>
  <c r="P44" i="16"/>
  <c r="D6" i="19"/>
  <c r="E47" i="16"/>
  <c r="E56" i="16"/>
  <c r="E55" i="16"/>
  <c r="F3" i="19"/>
  <c r="E6" i="19"/>
  <c r="E4" i="19"/>
  <c r="F45" i="16"/>
  <c r="E5" i="19"/>
  <c r="F46" i="16"/>
  <c r="F55" i="16"/>
  <c r="E45" i="16"/>
  <c r="D7" i="19"/>
  <c r="U10" i="16"/>
  <c r="E48" i="16"/>
  <c r="F54" i="16"/>
  <c r="E54" i="16"/>
  <c r="E57" i="16"/>
  <c r="E7" i="19"/>
  <c r="F47" i="16"/>
  <c r="F56" i="16"/>
  <c r="F5" i="19"/>
  <c r="G46" i="16"/>
  <c r="F4" i="19"/>
  <c r="G45" i="16"/>
  <c r="G3" i="19"/>
  <c r="F6" i="19"/>
  <c r="F48" i="16"/>
  <c r="F57" i="16"/>
  <c r="F7" i="19"/>
  <c r="G47" i="16"/>
  <c r="G48" i="16"/>
  <c r="H3" i="19"/>
  <c r="G5" i="19"/>
  <c r="H46" i="16"/>
  <c r="G55" i="16"/>
  <c r="G6" i="19"/>
  <c r="H47" i="16"/>
  <c r="G56" i="16"/>
  <c r="G4" i="19"/>
  <c r="G7" i="19"/>
  <c r="H45" i="16"/>
  <c r="H6" i="19"/>
  <c r="I47" i="16"/>
  <c r="H4" i="19"/>
  <c r="I45" i="16"/>
  <c r="H5" i="19"/>
  <c r="I3" i="19"/>
  <c r="H48" i="16"/>
  <c r="G54" i="16"/>
  <c r="G57" i="16"/>
  <c r="I4" i="19"/>
  <c r="J45" i="16"/>
  <c r="I5" i="19"/>
  <c r="J3" i="19"/>
  <c r="I6" i="19"/>
  <c r="J47" i="16"/>
  <c r="H7" i="19"/>
  <c r="I46" i="16"/>
  <c r="I48" i="16"/>
  <c r="K3" i="19"/>
  <c r="J4" i="19"/>
  <c r="J5" i="19"/>
  <c r="K46" i="16"/>
  <c r="H55" i="16"/>
  <c r="J6" i="19"/>
  <c r="K47" i="16"/>
  <c r="H56" i="16"/>
  <c r="I7" i="19"/>
  <c r="J46" i="16"/>
  <c r="J48" i="16"/>
  <c r="J7" i="19"/>
  <c r="K45" i="16"/>
  <c r="L3" i="19"/>
  <c r="K6" i="19"/>
  <c r="L47" i="16"/>
  <c r="K4" i="19"/>
  <c r="K5" i="19"/>
  <c r="L46" i="16"/>
  <c r="K48" i="16"/>
  <c r="H54" i="16"/>
  <c r="H57" i="16"/>
  <c r="K7" i="19"/>
  <c r="L45" i="16"/>
  <c r="L48" i="16"/>
  <c r="M3" i="19"/>
  <c r="L6" i="19"/>
  <c r="M47" i="16"/>
  <c r="L5" i="19"/>
  <c r="M46" i="16"/>
  <c r="L4" i="19"/>
  <c r="L7" i="19"/>
  <c r="M45" i="16"/>
  <c r="M48" i="16"/>
  <c r="N3" i="19"/>
  <c r="M4" i="19"/>
  <c r="N45" i="16"/>
  <c r="M5" i="19"/>
  <c r="N46" i="16"/>
  <c r="M6" i="19"/>
  <c r="M7" i="19"/>
  <c r="N47" i="16"/>
  <c r="N48" i="16"/>
  <c r="O3" i="19"/>
  <c r="N5" i="19"/>
  <c r="O46" i="16"/>
  <c r="N4" i="19"/>
  <c r="O45" i="16"/>
  <c r="N6" i="19"/>
  <c r="N7" i="19"/>
  <c r="O47" i="16"/>
  <c r="O48" i="16"/>
  <c r="O5" i="19"/>
  <c r="P46" i="16"/>
  <c r="I55" i="16"/>
  <c r="O6" i="19"/>
  <c r="P47" i="16"/>
  <c r="I56" i="16"/>
  <c r="O4" i="19"/>
  <c r="O7" i="19"/>
  <c r="P45" i="16"/>
  <c r="I54" i="16"/>
  <c r="I57" i="16"/>
  <c r="P48" i="16"/>
</calcChain>
</file>

<file path=xl/connections.xml><?xml version="1.0" encoding="utf-8"?>
<connections xmlns="http://schemas.openxmlformats.org/spreadsheetml/2006/main">
  <connection id="1" name="CombineResult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AsOf &lt;= '2015-04-01' and AsOf &gt;= '20070101' and AsOf not in (  '20090501','20090601', '20090701', '20070601', '20070701')Group by Asof order by asof desc"/>
  </connection>
  <connection id="2" name="CQQuery1" type="1" refreshedVersion="4" savePassword="1" saveData="1">
    <dbPr connection="DSN=Agency" command="select b.marketTicker, issueDate, description, issueAmount = Sum(issueAmount) from fnm.Sec b join (select marketTicker,description from fnm.ReportPrefix  group by  marketTicker,description) r on b.marketTicker = r.marketTicker where b.marketTicker = 'FNCQ30' Group by b.marketTicker, issueDate, Description order by b.marketTicker, issueDate, Description "/>
  </connection>
  <connection id="3" name="CRQuery1" type="1" refreshedVersion="4" savePassword="1" saveData="1">
    <dbPr connection="DSN=Agency" command="select b.marketTicker, issueDate, description, issueAmount = Sum(issueAmount) from fnm.Sec b join (select marketTicker,description from fnm.ReportPrefix  group by  marketTicker,description) r on b.marketTicker = r.marketTicker where b.marketTicker = 'FNCR' Group by b.marketTicker, issueDate, Description order by b.marketTicker, issueDate, Description "/>
  </connection>
  <connection id="4" name="JumboQuery" type="1" refreshedVersion="4" savePassword="1" saveData="1">
    <dbPr connection="DSN=Agency" command="select b.marketTicker, issueDate, description, issueAmount = Sum(issueAmount) from fnm.Sec b join (select marketTicker,description from fnm.ReportPrefix  group by  marketTicker,description) r on b.marketTicker = r.marketTicker where b.marketTicker in ('FNCK','FNCJ','FNCQ30','FNCR') Group by b.marketTicker, issueDate, Description order by b.marketTicker, issueDate, Description "/>
  </connection>
  <connection id="5" name="JumboQuery1" type="1" refreshedVersion="4" savePassword="1" saveData="1">
    <dbPr connection="DSN=Agency" command="select b.marketTicker, issueDate, description, issueAmount = Sum(issueAmount) from fnm.Sec b join (select marketTicker,description from fnm.ReportPrefix  group by  marketTicker,description) r on b.marketTicker = r.marketTicker where b.marketTicker = 'FNCK' Group by b.marketTicker, issueDate, Description order by b.marketTicker, issueDate, Description "/>
  </connection>
  <connection id="6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7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8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9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10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1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2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3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<sst xmlns="http://schemas.openxmlformats.org/spreadsheetml/2006/main" count="416" uniqueCount="36">
  <si>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</si>
  <si>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</si>
  <si>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</si>
  <si>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</si>
  <si>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</si>
  <si>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</si>
  <si>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</si>
  <si>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</si>
  <si>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</si>
  <si>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</si>
  <si>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</si>
  <si>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1M Chg</t>
  </si>
  <si>
    <t>3M Chg</t>
  </si>
  <si>
    <t>6M Chg</t>
  </si>
  <si>
    <t>1Y Chg</t>
  </si>
  <si>
    <t>Month</t>
  </si>
  <si>
    <t>Last Month</t>
  </si>
  <si>
    <t>Report Folder</t>
  </si>
  <si>
    <t>S:\IT\Production\Daily Reports\Primary Market\tmp\</t>
  </si>
  <si>
    <t>marketTicker</t>
  </si>
  <si>
    <t>issueDate</t>
  </si>
  <si>
    <t>description</t>
  </si>
  <si>
    <t>issueAmount</t>
  </si>
  <si>
    <t>FNCK</t>
  </si>
  <si>
    <t>Fannie Mae Single Family 30 Year Jumbo Conforming</t>
  </si>
  <si>
    <t>FNCQ30</t>
  </si>
  <si>
    <t>FNMA CONV LONG TERM 30YR OR LESS LTV &gt;105 &lt;=125</t>
  </si>
  <si>
    <t>FNCR</t>
  </si>
  <si>
    <t>FNMA CONV LONG TERM 30YR OR LESS LTV &gt;125</t>
  </si>
  <si>
    <t>CQ</t>
  </si>
  <si>
    <t>CR</t>
  </si>
  <si>
    <t>Jumbo</t>
  </si>
  <si>
    <t>Total</t>
  </si>
  <si>
    <t>Current Balance</t>
  </si>
  <si>
    <t>Issuance Volume (Million)</t>
  </si>
  <si>
    <t>Changes (Million)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</si>
</sst>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4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</numFmts>
  <fonts count="1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color theme="1"/>
      <name val="Calibri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4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27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5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9" borderId="0" applyNumberFormat="0" applyBorder="0" applyAlignment="0" applyProtection="0"/>
    <xf numFmtId="0" fontId="12" fillId="10" borderId="0" applyNumberFormat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2" fillId="12" borderId="0" applyNumberFormat="0" applyBorder="0" applyAlignment="0" applyProtection="0"/>
    <xf numFmtId="0" fontId="13" fillId="11" borderId="0" applyNumberFormat="0" applyBorder="0" applyAlignment="0" applyProtection="0"/>
    <xf numFmtId="0" fontId="14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5" borderId="0" applyNumberFormat="0" applyBorder="0" applyAlignment="0" applyProtection="0"/>
    <xf numFmtId="0" fontId="14" fillId="1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8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4" fillId="18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13" borderId="0" applyNumberFormat="0" applyBorder="0" applyAlignment="0" applyProtection="0"/>
    <xf numFmtId="0" fontId="12" fillId="18" borderId="0" applyNumberFormat="0" applyBorder="0" applyAlignment="0" applyProtection="0"/>
    <xf numFmtId="0" fontId="13" fillId="15" borderId="0" applyNumberFormat="0" applyBorder="0" applyAlignment="0" applyProtection="0"/>
    <xf numFmtId="0" fontId="14" fillId="1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5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19" borderId="0" applyNumberFormat="0" applyBorder="0" applyAlignment="0" applyProtection="0"/>
    <xf numFmtId="0" fontId="15" fillId="10" borderId="0" applyNumberFormat="0" applyBorder="0" applyAlignment="0" applyProtection="0"/>
    <xf numFmtId="0" fontId="16" fillId="13" borderId="0" applyNumberFormat="0" applyBorder="0" applyAlignment="0" applyProtection="0"/>
    <xf numFmtId="0" fontId="17" fillId="20" borderId="0" applyNumberFormat="0" applyBorder="0" applyAlignment="0" applyProtection="0"/>
    <xf numFmtId="0" fontId="15" fillId="16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3" borderId="0" applyNumberFormat="0" applyBorder="0" applyAlignment="0" applyProtection="0"/>
    <xf numFmtId="0" fontId="15" fillId="8" borderId="0" applyNumberFormat="0" applyBorder="0" applyAlignment="0" applyProtection="0"/>
    <xf numFmtId="0" fontId="16" fillId="8" borderId="0" applyNumberFormat="0" applyBorder="0" applyAlignment="0" applyProtection="0"/>
    <xf numFmtId="0" fontId="17" fillId="28" borderId="0" applyNumberFormat="0" applyBorder="0" applyAlignment="0" applyProtection="0"/>
    <xf numFmtId="0" fontId="15" fillId="23" borderId="0" applyNumberFormat="0" applyBorder="0" applyAlignment="0" applyProtection="0"/>
    <xf numFmtId="0" fontId="16" fillId="29" borderId="0" applyNumberFormat="0" applyBorder="0" applyAlignment="0" applyProtection="0"/>
    <xf numFmtId="0" fontId="17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5" fillId="33" borderId="0" applyNumberFormat="0" applyBorder="0" applyAlignment="0" applyProtection="0"/>
    <xf numFmtId="0" fontId="16" fillId="32" borderId="0" applyNumberFormat="0" applyBorder="0" applyAlignment="0" applyProtection="0"/>
    <xf numFmtId="0" fontId="17" fillId="33" borderId="0" applyNumberFormat="0" applyBorder="0" applyAlignment="0" applyProtection="0"/>
    <xf numFmtId="0" fontId="15" fillId="29" borderId="0" applyNumberFormat="0" applyBorder="0" applyAlignment="0" applyProtection="0"/>
    <xf numFmtId="0" fontId="16" fillId="29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33" borderId="0" applyNumberFormat="0" applyBorder="0" applyAlignment="0" applyProtection="0"/>
    <xf numFmtId="0" fontId="17" fillId="23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17" fillId="34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0" fontId="20" fillId="9" borderId="0" applyNumberFormat="0" applyBorder="0" applyAlignment="0" applyProtection="0"/>
    <xf numFmtId="38" fontId="21" fillId="12" borderId="0"/>
    <xf numFmtId="0" fontId="22" fillId="0" borderId="0" applyNumberFormat="0" applyFill="0" applyBorder="0" applyAlignment="0" applyProtection="0"/>
    <xf numFmtId="0" fontId="23" fillId="35" borderId="0">
      <alignment horizontal="left"/>
    </xf>
    <xf numFmtId="2" fontId="24" fillId="36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7" borderId="0"/>
    <xf numFmtId="167" fontId="11" fillId="0" borderId="0" applyFont="0" applyFill="0" applyBorder="0" applyAlignment="0" applyProtection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68" fontId="28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9" fillId="12" borderId="7" applyNumberFormat="0" applyAlignment="0" applyProtection="0"/>
    <xf numFmtId="0" fontId="30" fillId="14" borderId="7" applyNumberFormat="0" applyAlignment="0" applyProtection="0"/>
    <xf numFmtId="0" fontId="31" fillId="16" borderId="7" applyNumberFormat="0" applyAlignment="0" applyProtection="0"/>
    <xf numFmtId="0" fontId="32" fillId="38" borderId="8" applyNumberFormat="0"/>
    <xf numFmtId="0" fontId="33" fillId="39" borderId="9" applyBorder="0">
      <alignment horizontal="center" wrapText="1"/>
    </xf>
    <xf numFmtId="0" fontId="33" fillId="40" borderId="9" applyBorder="0">
      <alignment horizontal="center" wrapText="1"/>
    </xf>
    <xf numFmtId="0" fontId="34" fillId="41" borderId="8" applyNumberFormat="0"/>
    <xf numFmtId="0" fontId="35" fillId="42" borderId="8" applyNumberFormat="0"/>
    <xf numFmtId="0" fontId="3" fillId="42" borderId="8" applyNumberFormat="0"/>
    <xf numFmtId="0" fontId="34" fillId="41" borderId="8" applyNumberFormat="0"/>
    <xf numFmtId="0" fontId="35" fillId="41" borderId="8" applyNumberFormat="0"/>
    <xf numFmtId="0" fontId="34" fillId="38" borderId="8" applyNumberFormat="0"/>
    <xf numFmtId="0" fontId="32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6" fillId="41" borderId="10" applyNumberFormat="0" applyAlignment="0"/>
    <xf numFmtId="14" fontId="36" fillId="42" borderId="10" applyNumberFormat="0" applyAlignment="0"/>
    <xf numFmtId="14" fontId="37" fillId="42" borderId="10" applyNumberFormat="0" applyAlignment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43" borderId="11" applyNumberFormat="0" applyAlignment="0" applyProtection="0"/>
    <xf numFmtId="0" fontId="41" fillId="0" borderId="0" applyNumberFormat="0" applyFill="0" applyBorder="0" applyAlignment="0" applyProtection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0" fontId="27" fillId="0" borderId="0" applyFont="0" applyFill="0" applyBorder="0" applyAlignment="0" applyProtection="0"/>
    <xf numFmtId="16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3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4" fontId="10" fillId="0" borderId="0" applyFont="0" applyFill="0" applyBorder="0" applyProtection="0"/>
    <xf numFmtId="175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5" fontId="13" fillId="12" borderId="0"/>
    <xf numFmtId="14" fontId="13" fillId="0" borderId="0" applyFill="0" applyBorder="0" applyAlignment="0"/>
    <xf numFmtId="0" fontId="46" fillId="36" borderId="0">
      <alignment horizontal="left"/>
    </xf>
    <xf numFmtId="176" fontId="10" fillId="0" borderId="0" applyFill="0" applyBorder="0" applyAlignment="0" applyProtection="0"/>
    <xf numFmtId="14" fontId="10" fillId="0" borderId="0"/>
    <xf numFmtId="0" fontId="49" fillId="19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7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8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79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0" fontId="10" fillId="0" borderId="0" applyFont="0" applyFill="0" applyBorder="0" applyAlignment="0" applyProtection="0"/>
    <xf numFmtId="0" fontId="13" fillId="12" borderId="0"/>
    <xf numFmtId="0" fontId="57" fillId="11" borderId="0" applyNumberFormat="0" applyBorder="0" applyAlignment="0" applyProtection="0"/>
    <xf numFmtId="0" fontId="58" fillId="15" borderId="0" applyNumberFormat="0" applyBorder="0" applyAlignment="0" applyProtection="0"/>
    <xf numFmtId="0" fontId="59" fillId="11" borderId="0" applyNumberFormat="0" applyBorder="0" applyAlignment="0" applyProtection="0"/>
    <xf numFmtId="2" fontId="60" fillId="36" borderId="6" applyProtection="0">
      <alignment horizontal="left"/>
      <protection locked="0"/>
    </xf>
    <xf numFmtId="38" fontId="41" fillId="44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6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2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5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4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2" borderId="0"/>
    <xf numFmtId="0" fontId="83" fillId="8" borderId="0" applyNumberFormat="0" applyBorder="0" applyAlignment="0" applyProtection="0"/>
    <xf numFmtId="0" fontId="84" fillId="13" borderId="0" applyNumberFormat="0" applyBorder="0" applyAlignment="0" applyProtection="0"/>
    <xf numFmtId="0" fontId="85" fillId="37" borderId="0" applyNumberFormat="0" applyBorder="0" applyAlignment="0" applyProtection="0"/>
    <xf numFmtId="37" fontId="86" fillId="0" borderId="0"/>
    <xf numFmtId="0" fontId="49" fillId="12" borderId="0" applyNumberFormat="0" applyFont="0" applyFill="0" applyBorder="0" applyAlignment="0"/>
    <xf numFmtId="10" fontId="13" fillId="12" borderId="0"/>
    <xf numFmtId="181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2" borderId="0"/>
    <xf numFmtId="0" fontId="10" fillId="42" borderId="0"/>
    <xf numFmtId="0" fontId="10" fillId="0" borderId="0"/>
    <xf numFmtId="0" fontId="10" fillId="0" borderId="0"/>
    <xf numFmtId="0" fontId="34" fillId="41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34" fillId="41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3" borderId="2" applyNumberFormat="0" applyFont="0" applyAlignment="0" applyProtection="0"/>
    <xf numFmtId="0" fontId="13" fillId="10" borderId="26" applyNumberFormat="0" applyFont="0" applyAlignment="0" applyProtection="0"/>
    <xf numFmtId="0" fontId="89" fillId="10" borderId="26" applyNumberFormat="0" applyFont="0" applyAlignment="0" applyProtection="0"/>
    <xf numFmtId="0" fontId="34" fillId="3" borderId="2" applyNumberFormat="0" applyFont="0" applyAlignment="0" applyProtection="0"/>
    <xf numFmtId="0" fontId="90" fillId="0" borderId="0"/>
    <xf numFmtId="0" fontId="14" fillId="10" borderId="26" applyNumberFormat="0" applyFont="0" applyAlignment="0" applyProtection="0"/>
    <xf numFmtId="0" fontId="34" fillId="3" borderId="2" applyNumberFormat="0" applyFont="0" applyAlignment="0" applyProtection="0"/>
    <xf numFmtId="0" fontId="34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7" fillId="0" borderId="0">
      <alignment horizontal="center"/>
    </xf>
    <xf numFmtId="37" fontId="10" fillId="0" borderId="0"/>
    <xf numFmtId="183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4" fontId="91" fillId="0" borderId="0" applyNumberFormat="0" applyFill="0" applyBorder="0" applyAlignment="0" applyProtection="0"/>
    <xf numFmtId="164" fontId="27" fillId="0" borderId="0">
      <alignment horizontal="center"/>
    </xf>
    <xf numFmtId="0" fontId="34" fillId="6" borderId="0" applyNumberFormat="0" applyFont="0" applyBorder="0" applyAlignment="0" applyProtection="0"/>
    <xf numFmtId="0" fontId="91" fillId="0" borderId="27"/>
    <xf numFmtId="2" fontId="92" fillId="36" borderId="6">
      <alignment horizontal="left"/>
    </xf>
    <xf numFmtId="0" fontId="93" fillId="12" borderId="28" applyNumberFormat="0" applyAlignment="0" applyProtection="0"/>
    <xf numFmtId="0" fontId="94" fillId="14" borderId="28" applyNumberFormat="0" applyAlignment="0" applyProtection="0"/>
    <xf numFmtId="0" fontId="95" fillId="16" borderId="28" applyNumberFormat="0" applyAlignment="0" applyProtection="0"/>
    <xf numFmtId="40" fontId="13" fillId="36" borderId="0">
      <alignment horizontal="right"/>
    </xf>
    <xf numFmtId="0" fontId="96" fillId="45" borderId="0">
      <alignment horizontal="center"/>
    </xf>
    <xf numFmtId="0" fontId="39" fillId="46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5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186" fontId="27" fillId="0" borderId="0">
      <alignment horizontal="center"/>
    </xf>
    <xf numFmtId="187" fontId="27" fillId="0" borderId="3">
      <alignment horizontal="center"/>
    </xf>
    <xf numFmtId="0" fontId="100" fillId="0" borderId="29" applyAlignment="0">
      <alignment horizontal="center"/>
    </xf>
    <xf numFmtId="0" fontId="101" fillId="44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8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89" fontId="103" fillId="0" borderId="0" applyNumberFormat="0" applyFill="0" applyBorder="0" applyAlignment="0" applyProtection="0">
      <alignment horizontal="left"/>
    </xf>
    <xf numFmtId="0" fontId="49" fillId="33" borderId="0">
      <alignment horizontal="left"/>
    </xf>
    <xf numFmtId="0" fontId="104" fillId="0" borderId="31"/>
    <xf numFmtId="187" fontId="24" fillId="10" borderId="0">
      <alignment horizontal="center"/>
    </xf>
    <xf numFmtId="187" fontId="105" fillId="10" borderId="0">
      <alignment horizontal="center"/>
    </xf>
    <xf numFmtId="187" fontId="24" fillId="11" borderId="0">
      <alignment horizontal="center"/>
    </xf>
    <xf numFmtId="0" fontId="24" fillId="10" borderId="0">
      <alignment horizontal="left"/>
    </xf>
    <xf numFmtId="0" fontId="106" fillId="0" borderId="0" applyFont="0" applyFill="0" applyBorder="0" applyAlignment="0" applyProtection="0"/>
    <xf numFmtId="190" fontId="28" fillId="0" borderId="0" applyFont="0" applyFill="0" applyBorder="0" applyAlignment="0" applyProtection="0"/>
    <xf numFmtId="191" fontId="10" fillId="0" borderId="0"/>
    <xf numFmtId="0" fontId="10" fillId="0" borderId="0"/>
    <xf numFmtId="0" fontId="10" fillId="0" borderId="0">
      <alignment horizontal="left" wrapText="1"/>
    </xf>
    <xf numFmtId="0" fontId="24" fillId="10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6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2" fontId="27" fillId="0" borderId="0">
      <alignment horizontal="center"/>
    </xf>
    <xf numFmtId="187" fontId="27" fillId="0" borderId="0">
      <alignment horizontal="center"/>
    </xf>
    <xf numFmtId="0" fontId="110" fillId="47" borderId="0"/>
    <xf numFmtId="193" fontId="27" fillId="0" borderId="0">
      <alignment horizontal="center"/>
    </xf>
    <xf numFmtId="193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2" borderId="0"/>
    <xf numFmtId="49" fontId="13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2" borderId="0"/>
    <xf numFmtId="0" fontId="34" fillId="48" borderId="33" applyBorder="0">
      <alignment horizontal="center" wrapText="1"/>
    </xf>
    <xf numFmtId="0" fontId="33" fillId="39" borderId="9" applyBorder="0">
      <alignment horizontal="center" wrapText="1"/>
    </xf>
    <xf numFmtId="0" fontId="34" fillId="49" borderId="9" applyBorder="0">
      <alignment horizontal="center" wrapText="1"/>
    </xf>
    <xf numFmtId="0" fontId="33" fillId="40" borderId="9" applyBorder="0">
      <alignment horizontal="center" wrapText="1"/>
    </xf>
    <xf numFmtId="0" fontId="7" fillId="50" borderId="9" applyBorder="0">
      <alignment horizontal="center" wrapText="1"/>
    </xf>
    <xf numFmtId="0" fontId="33" fillId="51" borderId="9" applyBorder="0">
      <alignment horizontal="center" wrapText="1"/>
    </xf>
    <xf numFmtId="0" fontId="33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2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1" borderId="10"/>
    <xf numFmtId="1" fontId="124" fillId="42" borderId="10"/>
    <xf numFmtId="2" fontId="125" fillId="42" borderId="10"/>
    <xf numFmtId="0" fontId="126" fillId="41" borderId="4" applyNumberFormat="0" applyAlignment="0"/>
    <xf numFmtId="0" fontId="127" fillId="42" borderId="4" applyNumberFormat="0" applyAlignment="0"/>
    <xf numFmtId="1" fontId="128" fillId="42" borderId="10" applyNumberFormat="0"/>
    <xf numFmtId="177" fontId="129" fillId="42" borderId="10" applyNumberFormat="0"/>
    <xf numFmtId="0" fontId="10" fillId="0" borderId="0"/>
  </cellStyleXfs>
  <cellXfs count="31">
    <xf numFmtId="0" fontId="0" fillId="0" borderId="0" xfId="0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7" fillId="0" borderId="0" xfId="0" applyFont="1"/>
    <xf numFmtId="164" fontId="8" fillId="7" borderId="38" xfId="0" applyNumberFormat="1" applyFont="1" applyFill="1" applyBorder="1" applyAlignment="1">
      <alignment horizontal="left"/>
    </xf>
    <xf numFmtId="164" fontId="8" fillId="7" borderId="38" xfId="0" applyNumberFormat="1" applyFont="1" applyFill="1" applyBorder="1" applyAlignment="1">
      <alignment horizontal="center"/>
    </xf>
    <xf numFmtId="164" fontId="8" fillId="7" borderId="39" xfId="0" applyNumberFormat="1" applyFont="1" applyFill="1" applyBorder="1" applyAlignment="1">
      <alignment horizontal="center"/>
    </xf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0" fontId="7" fillId="0" borderId="0" xfId="0" applyFont="1" applyAlignment="1">
      <alignment horizontal="right"/>
    </xf>
    <xf numFmtId="0" fontId="130" fillId="0" borderId="0" xfId="3" applyFont="1"/>
    <xf numFmtId="0" fontId="130" fillId="0" borderId="0" xfId="3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0" fontId="5" fillId="5" borderId="3" xfId="2" applyFont="1" applyBorder="1" applyAlignment="1">
      <alignment horizontal="left"/>
    </xf>
    <xf numFmtId="14" fontId="131" fillId="0" borderId="0" xfId="0" applyNumberFormat="1" applyFont="1"/>
    <xf numFmtId="0" fontId="131" fillId="0" borderId="0" xfId="0" applyFont="1"/>
    <xf numFmtId="164" fontId="8" fillId="7" borderId="3" xfId="0" applyNumberFormat="1" applyFont="1" applyFill="1" applyBorder="1" applyAlignment="1">
      <alignment horizontal="left"/>
    </xf>
    <xf numFmtId="14" fontId="8" fillId="7" borderId="3" xfId="0" applyNumberFormat="1" applyFont="1" applyFill="1" applyBorder="1" applyAlignment="1">
      <alignment horizontal="center"/>
    </xf>
    <xf numFmtId="164" fontId="7" fillId="0" borderId="3" xfId="1" applyNumberFormat="1" applyFont="1" applyBorder="1" applyAlignment="1">
      <alignment horizontal="left"/>
    </xf>
    <xf numFmtId="0" fontId="4" fillId="0" borderId="3" xfId="1" applyNumberFormat="1" applyFont="1" applyBorder="1" applyAlignment="1">
      <alignment horizontal="center"/>
    </xf>
    <xf numFmtId="2" fontId="4" fillId="0" borderId="3" xfId="1" applyNumberFormat="1" applyFont="1" applyBorder="1" applyAlignment="1">
      <alignment horizontal="center"/>
    </xf>
    <xf numFmtId="2" fontId="7" fillId="0" borderId="3" xfId="1" applyNumberFormat="1" applyFont="1" applyBorder="1" applyAlignment="1">
      <alignment horizontal="center"/>
    </xf>
    <xf numFmtId="164" fontId="4" fillId="0" borderId="3" xfId="1" applyNumberFormat="1" applyFont="1" applyBorder="1" applyAlignment="1">
      <alignment horizontal="left"/>
    </xf>
    <xf numFmtId="164" fontId="4" fillId="0" borderId="0" xfId="1" applyNumberFormat="1" applyFont="1" applyBorder="1" applyAlignment="1">
      <alignment horizontal="left"/>
    </xf>
    <xf numFmtId="2" fontId="4" fillId="0" borderId="0" xfId="1" applyNumberFormat="1" applyFont="1" applyBorder="1" applyAlignment="1">
      <alignment horizontal="center"/>
    </xf>
    <xf numFmtId="164" fontId="4" fillId="0" borderId="3" xfId="1" applyNumberFormat="1" applyFont="1" applyBorder="1" applyAlignment="1">
      <alignment horizontal="right"/>
    </xf>
    <xf numFmtId="164" fontId="4" fillId="0" borderId="0" xfId="1" applyNumberFormat="1" applyFont="1" applyBorder="1" applyAlignment="1">
      <alignment horizontal="right"/>
    </xf>
  </cellXfs>
  <cellStyles count="527">
    <cellStyle name="_Bonds" xfId="4"/>
    <cellStyle name="_Bonds 2" xfId="5"/>
    <cellStyle name="_Offering" xfId="6"/>
    <cellStyle name="_Offering 2" xfId="7"/>
    <cellStyle name="£ BP" xfId="8"/>
    <cellStyle name="¥ JY" xfId="9"/>
    <cellStyle name="20% - Accent1 2" xfId="10"/>
    <cellStyle name="20% - Accent1 2 2" xfId="11"/>
    <cellStyle name="20% - Accent1 2 3" xfId="12"/>
    <cellStyle name="20% - Accent1 3" xfId="13"/>
    <cellStyle name="20% - Accent1 3 2" xfId="14"/>
    <cellStyle name="20% - Accent1 3 3" xfId="15"/>
    <cellStyle name="20% - Accent1 4" xfId="16"/>
    <cellStyle name="20% - Accent1 5" xfId="17"/>
    <cellStyle name="20% - Accent2 2" xfId="18"/>
    <cellStyle name="20% - Accent2 3" xfId="19"/>
    <cellStyle name="20% - Accent2 4" xfId="20"/>
    <cellStyle name="20% - Accent3 2" xfId="21"/>
    <cellStyle name="20% - Accent3 3" xfId="22"/>
    <cellStyle name="20% - Accent3 4" xfId="23"/>
    <cellStyle name="20% - Accent4 2" xfId="24"/>
    <cellStyle name="20% - Accent4 3" xfId="25"/>
    <cellStyle name="20% - Accent4 4" xfId="26"/>
    <cellStyle name="20% - Accent5 2" xfId="27"/>
    <cellStyle name="20% - Accent5 3" xfId="28"/>
    <cellStyle name="20% - Accent5 4" xfId="29"/>
    <cellStyle name="20% - Accent6 2" xfId="30"/>
    <cellStyle name="20% - Accent6 3" xfId="31"/>
    <cellStyle name="20% - Accent6 4" xfId="32"/>
    <cellStyle name="40% - Accent1 2" xfId="33"/>
    <cellStyle name="40% - Accent1 3" xfId="34"/>
    <cellStyle name="40% - Accent1 4" xfId="35"/>
    <cellStyle name="40% - Accent2 2" xfId="36"/>
    <cellStyle name="40% - Accent2 3" xfId="37"/>
    <cellStyle name="40% - Accent2 4" xfId="38"/>
    <cellStyle name="40% - Accent3 2" xfId="39"/>
    <cellStyle name="40% - Accent3 3" xfId="40"/>
    <cellStyle name="40% - Accent3 4" xfId="41"/>
    <cellStyle name="40% - Accent4 2" xfId="42"/>
    <cellStyle name="40% - Accent4 3" xfId="43"/>
    <cellStyle name="40% - Accent4 4" xfId="44"/>
    <cellStyle name="40% - Accent5 2" xfId="45"/>
    <cellStyle name="40% - Accent5 3" xfId="46"/>
    <cellStyle name="40% - Accent5 4" xfId="47"/>
    <cellStyle name="40% - Accent6 2" xfId="48"/>
    <cellStyle name="40% - Accent6 3" xfId="49"/>
    <cellStyle name="40% - Accent6 4" xfId="50"/>
    <cellStyle name="60% - Accent1 2" xfId="51"/>
    <cellStyle name="60% - Accent1 3" xfId="52"/>
    <cellStyle name="60% - Accent1 4" xfId="53"/>
    <cellStyle name="60% - Accent2 2" xfId="54"/>
    <cellStyle name="60% - Accent2 3" xfId="55"/>
    <cellStyle name="60% - Accent2 4" xfId="56"/>
    <cellStyle name="60% - Accent3 2" xfId="57"/>
    <cellStyle name="60% - Accent3 3" xfId="58"/>
    <cellStyle name="60% - Accent3 4" xfId="59"/>
    <cellStyle name="60% - Accent4 2" xfId="60"/>
    <cellStyle name="60% - Accent4 3" xfId="61"/>
    <cellStyle name="60% - Accent4 4" xfId="62"/>
    <cellStyle name="60% - Accent5 2" xfId="63"/>
    <cellStyle name="60% - Accent5 3" xfId="64"/>
    <cellStyle name="60% - Accent5 4" xfId="65"/>
    <cellStyle name="60% - Accent6 2" xfId="66"/>
    <cellStyle name="60% - Accent6 3" xfId="67"/>
    <cellStyle name="60% - Accent6 4" xfId="68"/>
    <cellStyle name="Accent1 2" xfId="69"/>
    <cellStyle name="Accent1 3" xfId="70"/>
    <cellStyle name="Accent1 4" xfId="71"/>
    <cellStyle name="Accent2 2" xfId="72"/>
    <cellStyle name="Accent2 3" xfId="73"/>
    <cellStyle name="Accent2 4" xfId="74"/>
    <cellStyle name="Accent3 2" xfId="75"/>
    <cellStyle name="Accent3 3" xfId="76"/>
    <cellStyle name="Accent3 4" xfId="77"/>
    <cellStyle name="Accent4 2" xfId="78"/>
    <cellStyle name="Accent4 3" xfId="79"/>
    <cellStyle name="Accent4 4" xfId="80"/>
    <cellStyle name="Accent5 2" xfId="81"/>
    <cellStyle name="Accent5 3" xfId="82"/>
    <cellStyle name="Accent5 4" xfId="83"/>
    <cellStyle name="Accent6 2" xfId="84"/>
    <cellStyle name="Accent6 3" xfId="85"/>
    <cellStyle name="Accent6 4" xfId="86"/>
    <cellStyle name="Auto_OpenAuto_CloseExtractD_Sheet1" xfId="87"/>
    <cellStyle name="Axis.EffectiveDate" xfId="88"/>
    <cellStyle name="Axis.Seasoning" xfId="89"/>
    <cellStyle name="Bad 2" xfId="90"/>
    <cellStyle name="Bad 3" xfId="91"/>
    <cellStyle name="Bad 4" xfId="92"/>
    <cellStyle name="Big Money" xfId="93"/>
    <cellStyle name="Blue" xfId="94"/>
    <cellStyle name="blue axis cells" xfId="95"/>
    <cellStyle name="blue text cells" xfId="96"/>
    <cellStyle name="Body" xfId="97"/>
    <cellStyle name="Bold/Border" xfId="98"/>
    <cellStyle name="Border" xfId="99"/>
    <cellStyle name="Bullet" xfId="100"/>
    <cellStyle name="Calc Currency (0)" xfId="101"/>
    <cellStyle name="Calc Currency (0) 2" xfId="102"/>
    <cellStyle name="Calc Currency (2)" xfId="103"/>
    <cellStyle name="Calc Currency (2) 2" xfId="104"/>
    <cellStyle name="Calc Percent (0)" xfId="105"/>
    <cellStyle name="Calc Percent (0) 2" xfId="106"/>
    <cellStyle name="Calc Percent (1)" xfId="107"/>
    <cellStyle name="Calc Percent (1) 2" xfId="108"/>
    <cellStyle name="Calc Percent (2)" xfId="109"/>
    <cellStyle name="Calc Percent (2) 2" xfId="110"/>
    <cellStyle name="Calc Units (0)" xfId="111"/>
    <cellStyle name="Calc Units (0) 2" xfId="112"/>
    <cellStyle name="Calc Units (1)" xfId="113"/>
    <cellStyle name="Calc Units (1) 2" xfId="114"/>
    <cellStyle name="Calc Units (2)" xfId="115"/>
    <cellStyle name="Calc Units (2) 2" xfId="116"/>
    <cellStyle name="Calculation 2" xfId="117"/>
    <cellStyle name="Calculation 3" xfId="118"/>
    <cellStyle name="Calculation 4" xfId="119"/>
    <cellStyle name="CCM Input" xfId="120"/>
    <cellStyle name="CCM Title Calculations" xfId="121"/>
    <cellStyle name="CCM Title Indicative" xfId="122"/>
    <cellStyle name="Cello Calculation" xfId="123"/>
    <cellStyle name="Cello Calculation 2" xfId="124"/>
    <cellStyle name="Cello Calculation 2 2" xfId="125"/>
    <cellStyle name="Cello Calculation 3" xfId="126"/>
    <cellStyle name="Cello Calculation 4" xfId="127"/>
    <cellStyle name="Cello Input" xfId="2"/>
    <cellStyle name="Cello Input 2" xfId="128"/>
    <cellStyle name="Cello Input 2 2" xfId="129"/>
    <cellStyle name="Cello Input 2 3" xfId="130"/>
    <cellStyle name="Cello Input 2 5" xfId="131"/>
    <cellStyle name="Cello Input 3" xfId="132"/>
    <cellStyle name="Cello Input 4" xfId="133"/>
    <cellStyle name="Cello Linked Cell" xfId="134"/>
    <cellStyle name="Cello Linked Cell 2" xfId="135"/>
    <cellStyle name="Cello Linked Cell 2 2" xfId="136"/>
    <cellStyle name="Check Cell 2" xfId="137"/>
    <cellStyle name="Check Cell 3" xfId="138"/>
    <cellStyle name="Check Cell 4" xfId="139"/>
    <cellStyle name="Co. Names" xfId="140"/>
    <cellStyle name="Comma  - Style1" xfId="141"/>
    <cellStyle name="Comma  - Style1 2" xfId="142"/>
    <cellStyle name="Comma  - Style2" xfId="143"/>
    <cellStyle name="Comma  - Style2 2" xfId="144"/>
    <cellStyle name="Comma  - Style3" xfId="145"/>
    <cellStyle name="Comma  - Style3 2" xfId="146"/>
    <cellStyle name="Comma  - Style4" xfId="147"/>
    <cellStyle name="Comma  - Style4 2" xfId="148"/>
    <cellStyle name="Comma  - Style5" xfId="149"/>
    <cellStyle name="Comma  - Style5 2" xfId="150"/>
    <cellStyle name="Comma  - Style6" xfId="151"/>
    <cellStyle name="Comma  - Style6 2" xfId="152"/>
    <cellStyle name="Comma  - Style7" xfId="153"/>
    <cellStyle name="Comma  - Style7 2" xfId="154"/>
    <cellStyle name="Comma  - Style8" xfId="155"/>
    <cellStyle name="Comma  - Style8 2" xfId="156"/>
    <cellStyle name="Comma [00]" xfId="157"/>
    <cellStyle name="Comma [00] 2" xfId="158"/>
    <cellStyle name="Comma 10" xfId="159"/>
    <cellStyle name="Comma 11" xfId="160"/>
    <cellStyle name="Comma 12" xfId="161"/>
    <cellStyle name="Comma 13" xfId="162"/>
    <cellStyle name="Comma 14" xfId="163"/>
    <cellStyle name="Comma 15" xfId="164"/>
    <cellStyle name="Comma 16" xfId="165"/>
    <cellStyle name="Comma 16 2" xfId="166"/>
    <cellStyle name="Comma 17" xfId="167"/>
    <cellStyle name="Comma 18" xfId="168"/>
    <cellStyle name="Comma 19" xfId="169"/>
    <cellStyle name="Comma 2" xfId="170"/>
    <cellStyle name="Comma 20" xfId="171"/>
    <cellStyle name="Comma 21" xfId="172"/>
    <cellStyle name="Comma 22" xfId="173"/>
    <cellStyle name="Comma 23" xfId="174"/>
    <cellStyle name="Comma 24" xfId="175"/>
    <cellStyle name="Comma 25" xfId="176"/>
    <cellStyle name="Comma 26" xfId="177"/>
    <cellStyle name="Comma 27" xfId="178"/>
    <cellStyle name="Comma 28" xfId="179"/>
    <cellStyle name="Comma 29" xfId="180"/>
    <cellStyle name="Comma 29 2" xfId="181"/>
    <cellStyle name="Comma 3" xfId="182"/>
    <cellStyle name="Comma 30" xfId="183"/>
    <cellStyle name="Comma 4" xfId="184"/>
    <cellStyle name="Comma 4 2" xfId="185"/>
    <cellStyle name="Comma 5" xfId="186"/>
    <cellStyle name="Comma 6" xfId="187"/>
    <cellStyle name="Comma 7" xfId="188"/>
    <cellStyle name="Comma 8" xfId="189"/>
    <cellStyle name="Comma 9" xfId="190"/>
    <cellStyle name="Comma0" xfId="191"/>
    <cellStyle name="Comma1 - Style1" xfId="192"/>
    <cellStyle name="Copied" xfId="193"/>
    <cellStyle name="CTDSwitchAnalysisHeader" xfId="194"/>
    <cellStyle name="Curren - Style2" xfId="195"/>
    <cellStyle name="Currency [00]" xfId="196"/>
    <cellStyle name="Currency [00] 2" xfId="197"/>
    <cellStyle name="Currency [2]" xfId="198"/>
    <cellStyle name="Currency 10" xfId="199"/>
    <cellStyle name="Currency 11" xfId="200"/>
    <cellStyle name="Currency 12" xfId="201"/>
    <cellStyle name="Currency 13" xfId="202"/>
    <cellStyle name="Currency 14" xfId="203"/>
    <cellStyle name="Currency 15" xfId="204"/>
    <cellStyle name="Currency 2" xfId="205"/>
    <cellStyle name="Currency 3" xfId="206"/>
    <cellStyle name="Currency 4" xfId="207"/>
    <cellStyle name="Currency 5" xfId="208"/>
    <cellStyle name="Currency 6" xfId="209"/>
    <cellStyle name="Currency 7" xfId="210"/>
    <cellStyle name="Currency 8" xfId="211"/>
    <cellStyle name="Currency 9" xfId="212"/>
    <cellStyle name="Currency0" xfId="213"/>
    <cellStyle name="Dash" xfId="214"/>
    <cellStyle name="Data.LongPercent" xfId="215"/>
    <cellStyle name="Data.NumPercent" xfId="216"/>
    <cellStyle name="Data.NumShortPercent" xfId="217"/>
    <cellStyle name="date" xfId="218"/>
    <cellStyle name="Date - Style3" xfId="219"/>
    <cellStyle name="Date 2" xfId="220"/>
    <cellStyle name="Date 3" xfId="221"/>
    <cellStyle name="Date 4" xfId="222"/>
    <cellStyle name="Date 5" xfId="223"/>
    <cellStyle name="Date 6" xfId="224"/>
    <cellStyle name="Date 7" xfId="225"/>
    <cellStyle name="Date Short" xfId="226"/>
    <cellStyle name="date title" xfId="227"/>
    <cellStyle name="Date_DV01" xfId="228"/>
    <cellStyle name="DateFormat" xfId="229"/>
    <cellStyle name="DBAHandle" xfId="230"/>
    <cellStyle name="DBAParameter" xfId="231"/>
    <cellStyle name="DELTA" xfId="232"/>
    <cellStyle name="DS 0" xfId="233"/>
    <cellStyle name="DS 1" xfId="234"/>
    <cellStyle name="DS 2" xfId="235"/>
    <cellStyle name="DS 3" xfId="236"/>
    <cellStyle name="DS 4" xfId="237"/>
    <cellStyle name="DS 5" xfId="238"/>
    <cellStyle name="DS 5 2" xfId="239"/>
    <cellStyle name="DS 6" xfId="240"/>
    <cellStyle name="Enter Currency (0)" xfId="241"/>
    <cellStyle name="Enter Currency (0) 2" xfId="242"/>
    <cellStyle name="Enter Currency (2)" xfId="243"/>
    <cellStyle name="Enter Currency (2) 2" xfId="244"/>
    <cellStyle name="Enter Units (0)" xfId="245"/>
    <cellStyle name="Enter Units (0) 2" xfId="246"/>
    <cellStyle name="Enter Units (1)" xfId="247"/>
    <cellStyle name="Enter Units (1) 2" xfId="248"/>
    <cellStyle name="Enter Units (2)" xfId="249"/>
    <cellStyle name="Enter Units (2) 2" xfId="250"/>
    <cellStyle name="Entered" xfId="251"/>
    <cellStyle name="Entries" xfId="252"/>
    <cellStyle name="Euro" xfId="253"/>
    <cellStyle name="Explanatory Text 2" xfId="254"/>
    <cellStyle name="Explanatory Text 3" xfId="255"/>
    <cellStyle name="Explanatory Text 4" xfId="256"/>
    <cellStyle name="Fixed" xfId="257"/>
    <cellStyle name="FullTime" xfId="258"/>
    <cellStyle name="General" xfId="259"/>
    <cellStyle name="Good 2" xfId="260"/>
    <cellStyle name="Good 3" xfId="261"/>
    <cellStyle name="Good 4" xfId="262"/>
    <cellStyle name="gray text cells" xfId="263"/>
    <cellStyle name="Grey" xfId="264"/>
    <cellStyle name="Header1" xfId="265"/>
    <cellStyle name="Header2" xfId="266"/>
    <cellStyle name="Heading" xfId="267"/>
    <cellStyle name="Heading 1 2" xfId="268"/>
    <cellStyle name="Heading 1 2 2" xfId="269"/>
    <cellStyle name="Heading 1 3" xfId="270"/>
    <cellStyle name="Heading 1 4" xfId="271"/>
    <cellStyle name="Heading 1 5" xfId="272"/>
    <cellStyle name="Heading 2 2" xfId="273"/>
    <cellStyle name="Heading 2 2 2" xfId="274"/>
    <cellStyle name="Heading 2 3" xfId="275"/>
    <cellStyle name="Heading 2 4" xfId="276"/>
    <cellStyle name="Heading 2 5" xfId="277"/>
    <cellStyle name="Heading 3 2" xfId="278"/>
    <cellStyle name="Heading 3 3" xfId="279"/>
    <cellStyle name="Heading 3 4" xfId="280"/>
    <cellStyle name="Heading 4 2" xfId="281"/>
    <cellStyle name="Heading 4 3" xfId="282"/>
    <cellStyle name="Heading 4 4" xfId="283"/>
    <cellStyle name="Heading 5" xfId="284"/>
    <cellStyle name="HEADING1" xfId="285"/>
    <cellStyle name="HEADING2" xfId="286"/>
    <cellStyle name="Hyperlink" xfId="3" builtinId="8"/>
    <cellStyle name="Hyperlink 2" xfId="287"/>
    <cellStyle name="Input [yellow]" xfId="288"/>
    <cellStyle name="Input 2" xfId="289"/>
    <cellStyle name="Input 2 2" xfId="290"/>
    <cellStyle name="Input 2 3" xfId="291"/>
    <cellStyle name="Input 3" xfId="292"/>
    <cellStyle name="Input 4" xfId="293"/>
    <cellStyle name="Input 5" xfId="294"/>
    <cellStyle name="Input 6" xfId="295"/>
    <cellStyle name="Input 7" xfId="296"/>
    <cellStyle name="Item" xfId="297"/>
    <cellStyle name="Link Currency (0)" xfId="298"/>
    <cellStyle name="Link Currency (0) 2" xfId="299"/>
    <cellStyle name="Link Currency (2)" xfId="300"/>
    <cellStyle name="Link Currency (2) 2" xfId="301"/>
    <cellStyle name="Link Units (0)" xfId="302"/>
    <cellStyle name="Link Units (0) 2" xfId="303"/>
    <cellStyle name="Link Units (1)" xfId="304"/>
    <cellStyle name="Link Units (1) 2" xfId="305"/>
    <cellStyle name="Link Units (2)" xfId="306"/>
    <cellStyle name="Link Units (2) 2" xfId="307"/>
    <cellStyle name="Linked Cell 2" xfId="308"/>
    <cellStyle name="Linked Cell 3" xfId="309"/>
    <cellStyle name="Linked Cell 4" xfId="310"/>
    <cellStyle name="Lookup" xfId="311"/>
    <cellStyle name="Milliers [0]_Basis" xfId="312"/>
    <cellStyle name="Milliers_Basis" xfId="313"/>
    <cellStyle name="Monétaire [0]_Basis" xfId="314"/>
    <cellStyle name="Monétaire_Basis" xfId="315"/>
    <cellStyle name="Money" xfId="316"/>
    <cellStyle name="Neutral 2" xfId="317"/>
    <cellStyle name="Neutral 3" xfId="318"/>
    <cellStyle name="Neutral 4" xfId="319"/>
    <cellStyle name="no dec" xfId="320"/>
    <cellStyle name="NoChange" xfId="321"/>
    <cellStyle name="Non Zero" xfId="322"/>
    <cellStyle name="Normal" xfId="0" builtinId="0"/>
    <cellStyle name="Normal - Style1" xfId="323"/>
    <cellStyle name="Normal 10" xfId="324"/>
    <cellStyle name="Normal 10 2" xfId="325"/>
    <cellStyle name="Normal 107" xfId="326"/>
    <cellStyle name="Normal 11" xfId="327"/>
    <cellStyle name="Normal 11 2" xfId="328"/>
    <cellStyle name="Normal 12" xfId="329"/>
    <cellStyle name="Normal 13" xfId="330"/>
    <cellStyle name="Normal 14" xfId="331"/>
    <cellStyle name="Normal 15" xfId="332"/>
    <cellStyle name="Normal 16" xfId="333"/>
    <cellStyle name="Normal 17" xfId="334"/>
    <cellStyle name="Normal 18" xfId="335"/>
    <cellStyle name="Normal 19" xfId="336"/>
    <cellStyle name="Normal 2" xfId="337"/>
    <cellStyle name="Normal 2 2" xfId="338"/>
    <cellStyle name="Normal 2 2 2" xfId="339"/>
    <cellStyle name="Normal 2 3" xfId="340"/>
    <cellStyle name="Normal 2 3 2" xfId="341"/>
    <cellStyle name="Normal 2 3 2 2" xfId="342"/>
    <cellStyle name="Normal 2 3 3" xfId="343"/>
    <cellStyle name="Normal 2 4" xfId="344"/>
    <cellStyle name="Normal 2 4 2" xfId="345"/>
    <cellStyle name="Normal 2 4 2 2" xfId="346"/>
    <cellStyle name="Normal 2 4 3" xfId="347"/>
    <cellStyle name="Normal 2 5" xfId="348"/>
    <cellStyle name="Normal 2 5 2" xfId="349"/>
    <cellStyle name="Normal 2 6" xfId="350"/>
    <cellStyle name="Normal 2 7" xfId="351"/>
    <cellStyle name="Normal 20" xfId="352"/>
    <cellStyle name="Normal 21" xfId="353"/>
    <cellStyle name="Normal 22" xfId="354"/>
    <cellStyle name="Normal 23" xfId="355"/>
    <cellStyle name="Normal 24" xfId="356"/>
    <cellStyle name="Normal 25" xfId="357"/>
    <cellStyle name="Normal 26" xfId="358"/>
    <cellStyle name="Normal 27" xfId="359"/>
    <cellStyle name="Normal 28" xfId="360"/>
    <cellStyle name="Normal 28 2" xfId="361"/>
    <cellStyle name="Normal 29" xfId="362"/>
    <cellStyle name="Normal 3" xfId="363"/>
    <cellStyle name="Normal 3 2" xfId="364"/>
    <cellStyle name="Normal 30" xfId="365"/>
    <cellStyle name="Normal 31" xfId="366"/>
    <cellStyle name="Normal 32" xfId="367"/>
    <cellStyle name="Normal 33" xfId="368"/>
    <cellStyle name="Normal 34" xfId="369"/>
    <cellStyle name="Normal 35" xfId="370"/>
    <cellStyle name="Normal 36" xfId="371"/>
    <cellStyle name="Normal 37" xfId="372"/>
    <cellStyle name="Normal 38" xfId="373"/>
    <cellStyle name="Normal 38 2" xfId="374"/>
    <cellStyle name="Normal 38 2 2" xfId="375"/>
    <cellStyle name="Normal 38 3" xfId="376"/>
    <cellStyle name="Normal 39" xfId="377"/>
    <cellStyle name="Normal 4" xfId="378"/>
    <cellStyle name="Normal 4 2" xfId="379"/>
    <cellStyle name="Normal 4 3" xfId="380"/>
    <cellStyle name="Normal 4 4" xfId="381"/>
    <cellStyle name="Normal 40" xfId="382"/>
    <cellStyle name="Normal 41" xfId="383"/>
    <cellStyle name="Normal 42" xfId="384"/>
    <cellStyle name="Normal 42 2" xfId="385"/>
    <cellStyle name="Normal 5" xfId="386"/>
    <cellStyle name="Normal 6" xfId="387"/>
    <cellStyle name="Normal 6 2" xfId="388"/>
    <cellStyle name="Normal 7" xfId="389"/>
    <cellStyle name="Normal 7 2" xfId="390"/>
    <cellStyle name="Normal 8" xfId="391"/>
    <cellStyle name="Normal 88" xfId="392"/>
    <cellStyle name="Normal 9" xfId="393"/>
    <cellStyle name="Normal 9 2" xfId="394"/>
    <cellStyle name="Note 2" xfId="395"/>
    <cellStyle name="Note 2 2" xfId="396"/>
    <cellStyle name="Note 2 3" xfId="397"/>
    <cellStyle name="Note 2 4" xfId="398"/>
    <cellStyle name="Note 3" xfId="399"/>
    <cellStyle name="Note 4" xfId="400"/>
    <cellStyle name="Note 5" xfId="401"/>
    <cellStyle name="Note 6" xfId="402"/>
    <cellStyle name="Note 7" xfId="403"/>
    <cellStyle name="Note 7 2" xfId="404"/>
    <cellStyle name="Note 8" xfId="405"/>
    <cellStyle name="NumberAsPercent" xfId="406"/>
    <cellStyle name="NumberFormat" xfId="407"/>
    <cellStyle name="Numbers" xfId="408"/>
    <cellStyle name="Numbers - Bold" xfId="409"/>
    <cellStyle name="Numbers_increm pf" xfId="410"/>
    <cellStyle name="NumberTo1DecPlace" xfId="411"/>
    <cellStyle name="OffWhite" xfId="412"/>
    <cellStyle name="Option" xfId="413"/>
    <cellStyle name="orange text cell" xfId="414"/>
    <cellStyle name="Output 2" xfId="415"/>
    <cellStyle name="Output 3" xfId="416"/>
    <cellStyle name="Output 4" xfId="417"/>
    <cellStyle name="Output Amounts" xfId="418"/>
    <cellStyle name="Output Column Headings" xfId="419"/>
    <cellStyle name="Output Line Items" xfId="420"/>
    <cellStyle name="Output Report Heading" xfId="421"/>
    <cellStyle name="Output Report Title" xfId="422"/>
    <cellStyle name="Pageheading" xfId="423"/>
    <cellStyle name="Percent" xfId="1" builtinId="5"/>
    <cellStyle name="Percent [0]" xfId="424"/>
    <cellStyle name="Percent [0] 2" xfId="425"/>
    <cellStyle name="Percent [00]" xfId="426"/>
    <cellStyle name="Percent [00] 2" xfId="427"/>
    <cellStyle name="Percent [2]" xfId="428"/>
    <cellStyle name="Percent 2" xfId="429"/>
    <cellStyle name="Percent 2 2" xfId="430"/>
    <cellStyle name="Percent 3" xfId="431"/>
    <cellStyle name="Percentage" xfId="432"/>
    <cellStyle name="PrePop Currency (0)" xfId="433"/>
    <cellStyle name="PrePop Currency (0) 2" xfId="434"/>
    <cellStyle name="PrePop Currency (2)" xfId="435"/>
    <cellStyle name="PrePop Currency (2) 2" xfId="436"/>
    <cellStyle name="PrePop Units (0)" xfId="437"/>
    <cellStyle name="PrePop Units (0) 2" xfId="438"/>
    <cellStyle name="PrePop Units (1)" xfId="439"/>
    <cellStyle name="PrePop Units (1) 2" xfId="440"/>
    <cellStyle name="PrePop Units (2)" xfId="441"/>
    <cellStyle name="PrePop Units (2) 2" xfId="442"/>
    <cellStyle name="PriceTo3DecPlaces" xfId="443"/>
    <cellStyle name="PriceWithBorderAround" xfId="444"/>
    <cellStyle name="PRICING" xfId="445"/>
    <cellStyle name="Product Header" xfId="446"/>
    <cellStyle name="PSChar" xfId="447"/>
    <cellStyle name="PSHeading" xfId="448"/>
    <cellStyle name="r" xfId="449"/>
    <cellStyle name="r_pldt" xfId="450"/>
    <cellStyle name="ReportLeftHeader" xfId="451"/>
    <cellStyle name="ReportRightHeader" xfId="452"/>
    <cellStyle name="results" xfId="453"/>
    <cellStyle name="RevList" xfId="454"/>
    <cellStyle name="RVRQueryHandle" xfId="455"/>
    <cellStyle name="Section" xfId="456"/>
    <cellStyle name="SecuritiesPricingTable" xfId="457"/>
    <cellStyle name="SecuritiesPricingTableFinalData" xfId="458"/>
    <cellStyle name="SecuritiesPricingTableManualData" xfId="459"/>
    <cellStyle name="SecuritiesPricingTableText" xfId="460"/>
    <cellStyle name="Short $" xfId="461"/>
    <cellStyle name="Short $ 2" xfId="462"/>
    <cellStyle name="SIZE" xfId="463"/>
    <cellStyle name="Standard_Swaps-Bonds-Blending" xfId="464"/>
    <cellStyle name="Style 1" xfId="465"/>
    <cellStyle name="StyleSecuritiesPricingTableInteger" xfId="466"/>
    <cellStyle name="Subheading" xfId="467"/>
    <cellStyle name="subtitle" xfId="468"/>
    <cellStyle name="Subtotal" xfId="469"/>
    <cellStyle name="Table" xfId="470"/>
    <cellStyle name="Tablebody" xfId="471"/>
    <cellStyle name="TablebodyDate" xfId="472"/>
    <cellStyle name="TablebodyHeading" xfId="473"/>
    <cellStyle name="TablebodyOutstandingAmount" xfId="474"/>
    <cellStyle name="TablebodyPercent" xfId="475"/>
    <cellStyle name="TablebodyPrice" xfId="476"/>
    <cellStyle name="TablebodyReverse" xfId="477"/>
    <cellStyle name="TablebodySpread" xfId="478"/>
    <cellStyle name="TablebodySpreadBorder" xfId="479"/>
    <cellStyle name="TablebodyText" xfId="480"/>
    <cellStyle name="Tableheading" xfId="481"/>
    <cellStyle name="Text" xfId="482"/>
    <cellStyle name="Text 2" xfId="483"/>
    <cellStyle name="Text Indent A" xfId="484"/>
    <cellStyle name="Text Indent B" xfId="485"/>
    <cellStyle name="Text Indent B 2" xfId="486"/>
    <cellStyle name="Text Indent C" xfId="487"/>
    <cellStyle name="Text Indent C 2" xfId="488"/>
    <cellStyle name="TextStyle" xfId="489"/>
    <cellStyle name="tic display" xfId="490"/>
    <cellStyle name="tic input" xfId="491"/>
    <cellStyle name="Title - Underline" xfId="492"/>
    <cellStyle name="Title 2" xfId="493"/>
    <cellStyle name="Title 3" xfId="494"/>
    <cellStyle name="Title 4" xfId="495"/>
    <cellStyle name="Title 5" xfId="496"/>
    <cellStyle name="Title 6" xfId="497"/>
    <cellStyle name="Title 7" xfId="498"/>
    <cellStyle name="Title Calculations" xfId="499"/>
    <cellStyle name="Title Calculations 2" xfId="500"/>
    <cellStyle name="Title Indicative" xfId="501"/>
    <cellStyle name="Title Indicative 2" xfId="502"/>
    <cellStyle name="Title Pricing Assumptions" xfId="503"/>
    <cellStyle name="Title Pricing Assumptions 2" xfId="504"/>
    <cellStyle name="Title Pricing Assumptions 2 2" xfId="505"/>
    <cellStyle name="Title Pricing Assumptions 2 3" xfId="506"/>
    <cellStyle name="Title Pricing Assumptions 3" xfId="507"/>
    <cellStyle name="Title Pricing Assumptions 3 12 8" xfId="508"/>
    <cellStyle name="Title Pricing Assumptions 3 6 4 2 8" xfId="509"/>
    <cellStyle name="Titles - Other" xfId="510"/>
    <cellStyle name="Total 2" xfId="511"/>
    <cellStyle name="Total 2 2" xfId="512"/>
    <cellStyle name="Total 3" xfId="513"/>
    <cellStyle name="Total 4" xfId="514"/>
    <cellStyle name="Warning" xfId="515"/>
    <cellStyle name="Warning Text 2" xfId="516"/>
    <cellStyle name="Warning Text 3" xfId="517"/>
    <cellStyle name="Warning Text 4" xfId="518"/>
    <cellStyle name="YB Calculations" xfId="519"/>
    <cellStyle name="YB Calculations 2" xfId="520"/>
    <cellStyle name="YB Curve" xfId="521"/>
    <cellStyle name="YB Indicative" xfId="522"/>
    <cellStyle name="YBINDIC" xfId="523"/>
    <cellStyle name="YBIOPOBE" xfId="524"/>
    <cellStyle name="YBPRICE" xfId="525"/>
    <cellStyle name="一般_原始檔案" xfId="526"/>
  </cellStyles>
  <dxfs count="20"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1B7A76"/>
      <color rgb="FFAD275C"/>
      <color rgb="FF2E398A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Non-TBA-Eligible  Specified Pool Issuance Volume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Jumbo</c:v>
          </c:tx>
          <c:spPr>
            <a:solidFill>
              <a:srgbClr val="2E398A"/>
            </a:solidFill>
          </c:spPr>
          <c:invertIfNegative val="0"/>
          <c:cat>
            <c:numRef>
              <c:f>'Input-equal'!$C$4:$C$85</c:f>
              <c:numCache>
                <c:formatCode>m/d/yyyy</c:formatCode>
                <c:ptCount val="82"/>
                <c:pt idx="0">
                  <c:v>39569</c:v>
                </c:pt>
                <c:pt idx="1">
                  <c:v>39600</c:v>
                </c:pt>
                <c:pt idx="2">
                  <c:v>39630</c:v>
                </c:pt>
                <c:pt idx="3">
                  <c:v>39661</c:v>
                </c:pt>
                <c:pt idx="4">
                  <c:v>39692</c:v>
                </c:pt>
                <c:pt idx="5">
                  <c:v>39722</c:v>
                </c:pt>
                <c:pt idx="6">
                  <c:v>39783</c:v>
                </c:pt>
                <c:pt idx="7">
                  <c:v>39845</c:v>
                </c:pt>
                <c:pt idx="8">
                  <c:v>39873</c:v>
                </c:pt>
                <c:pt idx="9">
                  <c:v>39904</c:v>
                </c:pt>
                <c:pt idx="10">
                  <c:v>39934</c:v>
                </c:pt>
                <c:pt idx="11">
                  <c:v>39965</c:v>
                </c:pt>
                <c:pt idx="12">
                  <c:v>39995</c:v>
                </c:pt>
                <c:pt idx="13">
                  <c:v>40026</c:v>
                </c:pt>
                <c:pt idx="14">
                  <c:v>40057</c:v>
                </c:pt>
                <c:pt idx="15">
                  <c:v>40087</c:v>
                </c:pt>
                <c:pt idx="16">
                  <c:v>40118</c:v>
                </c:pt>
                <c:pt idx="17">
                  <c:v>40148</c:v>
                </c:pt>
                <c:pt idx="18">
                  <c:v>40179</c:v>
                </c:pt>
                <c:pt idx="19">
                  <c:v>40210</c:v>
                </c:pt>
                <c:pt idx="20">
                  <c:v>40238</c:v>
                </c:pt>
                <c:pt idx="21">
                  <c:v>40269</c:v>
                </c:pt>
                <c:pt idx="22">
                  <c:v>40299</c:v>
                </c:pt>
                <c:pt idx="23">
                  <c:v>40330</c:v>
                </c:pt>
                <c:pt idx="24">
                  <c:v>40360</c:v>
                </c:pt>
                <c:pt idx="25">
                  <c:v>40391</c:v>
                </c:pt>
                <c:pt idx="26">
                  <c:v>40422</c:v>
                </c:pt>
                <c:pt idx="27">
                  <c:v>40452</c:v>
                </c:pt>
                <c:pt idx="28">
                  <c:v>40483</c:v>
                </c:pt>
                <c:pt idx="29">
                  <c:v>40513</c:v>
                </c:pt>
                <c:pt idx="30">
                  <c:v>40544</c:v>
                </c:pt>
                <c:pt idx="31">
                  <c:v>40575</c:v>
                </c:pt>
                <c:pt idx="32">
                  <c:v>40603</c:v>
                </c:pt>
                <c:pt idx="33">
                  <c:v>40634</c:v>
                </c:pt>
                <c:pt idx="34">
                  <c:v>40664</c:v>
                </c:pt>
                <c:pt idx="35">
                  <c:v>40695</c:v>
                </c:pt>
                <c:pt idx="36">
                  <c:v>40725</c:v>
                </c:pt>
                <c:pt idx="37">
                  <c:v>40756</c:v>
                </c:pt>
                <c:pt idx="38">
                  <c:v>40787</c:v>
                </c:pt>
                <c:pt idx="39">
                  <c:v>40817</c:v>
                </c:pt>
                <c:pt idx="40">
                  <c:v>40848</c:v>
                </c:pt>
                <c:pt idx="41">
                  <c:v>40878</c:v>
                </c:pt>
                <c:pt idx="42">
                  <c:v>40909</c:v>
                </c:pt>
                <c:pt idx="43">
                  <c:v>40940</c:v>
                </c:pt>
                <c:pt idx="44">
                  <c:v>40969</c:v>
                </c:pt>
                <c:pt idx="45">
                  <c:v>41000</c:v>
                </c:pt>
                <c:pt idx="46">
                  <c:v>41030</c:v>
                </c:pt>
                <c:pt idx="47">
                  <c:v>41061</c:v>
                </c:pt>
                <c:pt idx="48">
                  <c:v>41091</c:v>
                </c:pt>
                <c:pt idx="49">
                  <c:v>41122</c:v>
                </c:pt>
                <c:pt idx="50">
                  <c:v>41153</c:v>
                </c:pt>
                <c:pt idx="51">
                  <c:v>41183</c:v>
                </c:pt>
                <c:pt idx="52">
                  <c:v>41214</c:v>
                </c:pt>
                <c:pt idx="53">
                  <c:v>41244</c:v>
                </c:pt>
                <c:pt idx="54">
                  <c:v>41275</c:v>
                </c:pt>
                <c:pt idx="55">
                  <c:v>41306</c:v>
                </c:pt>
                <c:pt idx="56">
                  <c:v>41334</c:v>
                </c:pt>
                <c:pt idx="57">
                  <c:v>41365</c:v>
                </c:pt>
                <c:pt idx="58">
                  <c:v>41395</c:v>
                </c:pt>
                <c:pt idx="59">
                  <c:v>41426</c:v>
                </c:pt>
                <c:pt idx="60">
                  <c:v>41456</c:v>
                </c:pt>
                <c:pt idx="61">
                  <c:v>41487</c:v>
                </c:pt>
                <c:pt idx="62">
                  <c:v>41518</c:v>
                </c:pt>
                <c:pt idx="63">
                  <c:v>41548</c:v>
                </c:pt>
                <c:pt idx="64">
                  <c:v>41579</c:v>
                </c:pt>
                <c:pt idx="65">
                  <c:v>41609</c:v>
                </c:pt>
                <c:pt idx="66">
                  <c:v>41640</c:v>
                </c:pt>
                <c:pt idx="67">
                  <c:v>41671</c:v>
                </c:pt>
                <c:pt idx="68">
                  <c:v>41699</c:v>
                </c:pt>
                <c:pt idx="69">
                  <c:v>41730</c:v>
                </c:pt>
                <c:pt idx="70">
                  <c:v>41760</c:v>
                </c:pt>
                <c:pt idx="71">
                  <c:v>41791</c:v>
                </c:pt>
                <c:pt idx="72">
                  <c:v>41821</c:v>
                </c:pt>
                <c:pt idx="73">
                  <c:v>41852</c:v>
                </c:pt>
                <c:pt idx="74">
                  <c:v>41883</c:v>
                </c:pt>
                <c:pt idx="75">
                  <c:v>41913</c:v>
                </c:pt>
                <c:pt idx="76">
                  <c:v>41944</c:v>
                </c:pt>
                <c:pt idx="77">
                  <c:v>41974</c:v>
                </c:pt>
                <c:pt idx="78">
                  <c:v>42005</c:v>
                </c:pt>
                <c:pt idx="79">
                  <c:v>42036</c:v>
                </c:pt>
                <c:pt idx="80">
                  <c:v>42064</c:v>
                </c:pt>
                <c:pt idx="81">
                  <c:v>42095</c:v>
                </c:pt>
              </c:numCache>
            </c:numRef>
          </c:cat>
          <c:val>
            <c:numRef>
              <c:f>'Input-equal'!$E$4:$E$85</c:f>
              <c:numCache>
                <c:formatCode>General</c:formatCode>
                <c:ptCount val="82"/>
                <c:pt idx="0">
                  <c:v>23663260</c:v>
                </c:pt>
                <c:pt idx="1">
                  <c:v>407983823</c:v>
                </c:pt>
                <c:pt idx="2">
                  <c:v>1750566475</c:v>
                </c:pt>
                <c:pt idx="3">
                  <c:v>1955300974</c:v>
                </c:pt>
                <c:pt idx="4">
                  <c:v>2407549009</c:v>
                </c:pt>
                <c:pt idx="5">
                  <c:v>1303092497</c:v>
                </c:pt>
                <c:pt idx="6">
                  <c:v>15472793</c:v>
                </c:pt>
                <c:pt idx="7">
                  <c:v>606866675</c:v>
                </c:pt>
                <c:pt idx="8">
                  <c:v>623061660</c:v>
                </c:pt>
                <c:pt idx="9">
                  <c:v>546074282</c:v>
                </c:pt>
                <c:pt idx="10">
                  <c:v>6652777952</c:v>
                </c:pt>
                <c:pt idx="11">
                  <c:v>2725053911</c:v>
                </c:pt>
                <c:pt idx="12">
                  <c:v>1624491993</c:v>
                </c:pt>
                <c:pt idx="13">
                  <c:v>2273648931</c:v>
                </c:pt>
                <c:pt idx="14">
                  <c:v>3730886516</c:v>
                </c:pt>
                <c:pt idx="15">
                  <c:v>4665758807</c:v>
                </c:pt>
                <c:pt idx="16">
                  <c:v>3150141035</c:v>
                </c:pt>
                <c:pt idx="17">
                  <c:v>2924169385</c:v>
                </c:pt>
                <c:pt idx="18">
                  <c:v>2634350684</c:v>
                </c:pt>
                <c:pt idx="19">
                  <c:v>2597549841</c:v>
                </c:pt>
                <c:pt idx="20">
                  <c:v>2808514374</c:v>
                </c:pt>
                <c:pt idx="21">
                  <c:v>1861900761</c:v>
                </c:pt>
                <c:pt idx="22">
                  <c:v>2084611821</c:v>
                </c:pt>
                <c:pt idx="23">
                  <c:v>1669648250</c:v>
                </c:pt>
                <c:pt idx="24">
                  <c:v>3407481735</c:v>
                </c:pt>
                <c:pt idx="25">
                  <c:v>3347514541</c:v>
                </c:pt>
                <c:pt idx="26">
                  <c:v>4534053251</c:v>
                </c:pt>
                <c:pt idx="27">
                  <c:v>4710788842</c:v>
                </c:pt>
                <c:pt idx="28">
                  <c:v>4435127896</c:v>
                </c:pt>
                <c:pt idx="29">
                  <c:v>5168634747</c:v>
                </c:pt>
                <c:pt idx="30">
                  <c:v>4772517239</c:v>
                </c:pt>
                <c:pt idx="31">
                  <c:v>3322794637</c:v>
                </c:pt>
                <c:pt idx="32">
                  <c:v>2879069981</c:v>
                </c:pt>
                <c:pt idx="33">
                  <c:v>1365959263</c:v>
                </c:pt>
                <c:pt idx="34">
                  <c:v>1679348065</c:v>
                </c:pt>
                <c:pt idx="35">
                  <c:v>1470720552</c:v>
                </c:pt>
                <c:pt idx="36">
                  <c:v>1755684824</c:v>
                </c:pt>
                <c:pt idx="37">
                  <c:v>2242690757</c:v>
                </c:pt>
                <c:pt idx="38">
                  <c:v>4005917312</c:v>
                </c:pt>
                <c:pt idx="39">
                  <c:v>4409005394</c:v>
                </c:pt>
                <c:pt idx="40">
                  <c:v>4642886367</c:v>
                </c:pt>
                <c:pt idx="41">
                  <c:v>2231440428</c:v>
                </c:pt>
                <c:pt idx="42">
                  <c:v>1557100159</c:v>
                </c:pt>
                <c:pt idx="43">
                  <c:v>1459805763</c:v>
                </c:pt>
                <c:pt idx="44">
                  <c:v>2893315869</c:v>
                </c:pt>
                <c:pt idx="45">
                  <c:v>853289366</c:v>
                </c:pt>
                <c:pt idx="46">
                  <c:v>1671001392</c:v>
                </c:pt>
                <c:pt idx="47">
                  <c:v>1932118315</c:v>
                </c:pt>
                <c:pt idx="48">
                  <c:v>2752296610</c:v>
                </c:pt>
                <c:pt idx="49">
                  <c:v>3126742934</c:v>
                </c:pt>
                <c:pt idx="50">
                  <c:v>3245152246</c:v>
                </c:pt>
                <c:pt idx="51">
                  <c:v>2054054786</c:v>
                </c:pt>
                <c:pt idx="52">
                  <c:v>3993010447</c:v>
                </c:pt>
                <c:pt idx="53">
                  <c:v>1214802344</c:v>
                </c:pt>
                <c:pt idx="54">
                  <c:v>3321638962</c:v>
                </c:pt>
                <c:pt idx="55">
                  <c:v>1888075582</c:v>
                </c:pt>
                <c:pt idx="56">
                  <c:v>2116389422</c:v>
                </c:pt>
                <c:pt idx="57">
                  <c:v>2271806082</c:v>
                </c:pt>
                <c:pt idx="58">
                  <c:v>2019206225</c:v>
                </c:pt>
                <c:pt idx="59">
                  <c:v>2418493907</c:v>
                </c:pt>
                <c:pt idx="60">
                  <c:v>1885265938</c:v>
                </c:pt>
                <c:pt idx="61">
                  <c:v>1634700327</c:v>
                </c:pt>
                <c:pt idx="62">
                  <c:v>971826383</c:v>
                </c:pt>
                <c:pt idx="63">
                  <c:v>841860222</c:v>
                </c:pt>
                <c:pt idx="64">
                  <c:v>773960857</c:v>
                </c:pt>
                <c:pt idx="65">
                  <c:v>647887853</c:v>
                </c:pt>
                <c:pt idx="66">
                  <c:v>392754952</c:v>
                </c:pt>
                <c:pt idx="67">
                  <c:v>362334810</c:v>
                </c:pt>
                <c:pt idx="68">
                  <c:v>230227055</c:v>
                </c:pt>
                <c:pt idx="69">
                  <c:v>278280577</c:v>
                </c:pt>
                <c:pt idx="70">
                  <c:v>337688908</c:v>
                </c:pt>
                <c:pt idx="71">
                  <c:v>319731336</c:v>
                </c:pt>
                <c:pt idx="72">
                  <c:v>562390222</c:v>
                </c:pt>
                <c:pt idx="73">
                  <c:v>449797295</c:v>
                </c:pt>
                <c:pt idx="74">
                  <c:v>746264105</c:v>
                </c:pt>
                <c:pt idx="75">
                  <c:v>639001193</c:v>
                </c:pt>
                <c:pt idx="76">
                  <c:v>549347202</c:v>
                </c:pt>
                <c:pt idx="77">
                  <c:v>771028754</c:v>
                </c:pt>
                <c:pt idx="78">
                  <c:v>667434711</c:v>
                </c:pt>
                <c:pt idx="79">
                  <c:v>821128260</c:v>
                </c:pt>
                <c:pt idx="80">
                  <c:v>1012026911</c:v>
                </c:pt>
                <c:pt idx="81">
                  <c:v>243939277</c:v>
                </c:pt>
              </c:numCache>
            </c:numRef>
          </c:val>
        </c:ser>
        <c:ser>
          <c:idx val="1"/>
          <c:order val="1"/>
          <c:tx>
            <c:strRef>
              <c:f>'Input-equal'!$F$3</c:f>
              <c:strCache>
                <c:ptCount val="1"/>
                <c:pt idx="0">
                  <c:v>CQ</c:v>
                </c:pt>
              </c:strCache>
            </c:strRef>
          </c:tx>
          <c:spPr>
            <a:solidFill>
              <a:srgbClr val="AD275C"/>
            </a:solidFill>
          </c:spPr>
          <c:invertIfNegative val="0"/>
          <c:cat>
            <c:numRef>
              <c:f>'Input-equal'!$C$4:$C$85</c:f>
              <c:numCache>
                <c:formatCode>m/d/yyyy</c:formatCode>
                <c:ptCount val="82"/>
                <c:pt idx="0">
                  <c:v>39569</c:v>
                </c:pt>
                <c:pt idx="1">
                  <c:v>39600</c:v>
                </c:pt>
                <c:pt idx="2">
                  <c:v>39630</c:v>
                </c:pt>
                <c:pt idx="3">
                  <c:v>39661</c:v>
                </c:pt>
                <c:pt idx="4">
                  <c:v>39692</c:v>
                </c:pt>
                <c:pt idx="5">
                  <c:v>39722</c:v>
                </c:pt>
                <c:pt idx="6">
                  <c:v>39783</c:v>
                </c:pt>
                <c:pt idx="7">
                  <c:v>39845</c:v>
                </c:pt>
                <c:pt idx="8">
                  <c:v>39873</c:v>
                </c:pt>
                <c:pt idx="9">
                  <c:v>39904</c:v>
                </c:pt>
                <c:pt idx="10">
                  <c:v>39934</c:v>
                </c:pt>
                <c:pt idx="11">
                  <c:v>39965</c:v>
                </c:pt>
                <c:pt idx="12">
                  <c:v>39995</c:v>
                </c:pt>
                <c:pt idx="13">
                  <c:v>40026</c:v>
                </c:pt>
                <c:pt idx="14">
                  <c:v>40057</c:v>
                </c:pt>
                <c:pt idx="15">
                  <c:v>40087</c:v>
                </c:pt>
                <c:pt idx="16">
                  <c:v>40118</c:v>
                </c:pt>
                <c:pt idx="17">
                  <c:v>40148</c:v>
                </c:pt>
                <c:pt idx="18">
                  <c:v>40179</c:v>
                </c:pt>
                <c:pt idx="19">
                  <c:v>40210</c:v>
                </c:pt>
                <c:pt idx="20">
                  <c:v>40238</c:v>
                </c:pt>
                <c:pt idx="21">
                  <c:v>40269</c:v>
                </c:pt>
                <c:pt idx="22">
                  <c:v>40299</c:v>
                </c:pt>
                <c:pt idx="23">
                  <c:v>40330</c:v>
                </c:pt>
                <c:pt idx="24">
                  <c:v>40360</c:v>
                </c:pt>
                <c:pt idx="25">
                  <c:v>40391</c:v>
                </c:pt>
                <c:pt idx="26">
                  <c:v>40422</c:v>
                </c:pt>
                <c:pt idx="27">
                  <c:v>40452</c:v>
                </c:pt>
                <c:pt idx="28">
                  <c:v>40483</c:v>
                </c:pt>
                <c:pt idx="29">
                  <c:v>40513</c:v>
                </c:pt>
                <c:pt idx="30">
                  <c:v>40544</c:v>
                </c:pt>
                <c:pt idx="31">
                  <c:v>40575</c:v>
                </c:pt>
                <c:pt idx="32">
                  <c:v>40603</c:v>
                </c:pt>
                <c:pt idx="33">
                  <c:v>40634</c:v>
                </c:pt>
                <c:pt idx="34">
                  <c:v>40664</c:v>
                </c:pt>
                <c:pt idx="35">
                  <c:v>40695</c:v>
                </c:pt>
                <c:pt idx="36">
                  <c:v>40725</c:v>
                </c:pt>
                <c:pt idx="37">
                  <c:v>40756</c:v>
                </c:pt>
                <c:pt idx="38">
                  <c:v>40787</c:v>
                </c:pt>
                <c:pt idx="39">
                  <c:v>40817</c:v>
                </c:pt>
                <c:pt idx="40">
                  <c:v>40848</c:v>
                </c:pt>
                <c:pt idx="41">
                  <c:v>40878</c:v>
                </c:pt>
                <c:pt idx="42">
                  <c:v>40909</c:v>
                </c:pt>
                <c:pt idx="43">
                  <c:v>40940</c:v>
                </c:pt>
                <c:pt idx="44">
                  <c:v>40969</c:v>
                </c:pt>
                <c:pt idx="45">
                  <c:v>41000</c:v>
                </c:pt>
                <c:pt idx="46">
                  <c:v>41030</c:v>
                </c:pt>
                <c:pt idx="47">
                  <c:v>41061</c:v>
                </c:pt>
                <c:pt idx="48">
                  <c:v>41091</c:v>
                </c:pt>
                <c:pt idx="49">
                  <c:v>41122</c:v>
                </c:pt>
                <c:pt idx="50">
                  <c:v>41153</c:v>
                </c:pt>
                <c:pt idx="51">
                  <c:v>41183</c:v>
                </c:pt>
                <c:pt idx="52">
                  <c:v>41214</c:v>
                </c:pt>
                <c:pt idx="53">
                  <c:v>41244</c:v>
                </c:pt>
                <c:pt idx="54">
                  <c:v>41275</c:v>
                </c:pt>
                <c:pt idx="55">
                  <c:v>41306</c:v>
                </c:pt>
                <c:pt idx="56">
                  <c:v>41334</c:v>
                </c:pt>
                <c:pt idx="57">
                  <c:v>41365</c:v>
                </c:pt>
                <c:pt idx="58">
                  <c:v>41395</c:v>
                </c:pt>
                <c:pt idx="59">
                  <c:v>41426</c:v>
                </c:pt>
                <c:pt idx="60">
                  <c:v>41456</c:v>
                </c:pt>
                <c:pt idx="61">
                  <c:v>41487</c:v>
                </c:pt>
                <c:pt idx="62">
                  <c:v>41518</c:v>
                </c:pt>
                <c:pt idx="63">
                  <c:v>41548</c:v>
                </c:pt>
                <c:pt idx="64">
                  <c:v>41579</c:v>
                </c:pt>
                <c:pt idx="65">
                  <c:v>41609</c:v>
                </c:pt>
                <c:pt idx="66">
                  <c:v>41640</c:v>
                </c:pt>
                <c:pt idx="67">
                  <c:v>41671</c:v>
                </c:pt>
                <c:pt idx="68">
                  <c:v>41699</c:v>
                </c:pt>
                <c:pt idx="69">
                  <c:v>41730</c:v>
                </c:pt>
                <c:pt idx="70">
                  <c:v>41760</c:v>
                </c:pt>
                <c:pt idx="71">
                  <c:v>41791</c:v>
                </c:pt>
                <c:pt idx="72">
                  <c:v>41821</c:v>
                </c:pt>
                <c:pt idx="73">
                  <c:v>41852</c:v>
                </c:pt>
                <c:pt idx="74">
                  <c:v>41883</c:v>
                </c:pt>
                <c:pt idx="75">
                  <c:v>41913</c:v>
                </c:pt>
                <c:pt idx="76">
                  <c:v>41944</c:v>
                </c:pt>
                <c:pt idx="77">
                  <c:v>41974</c:v>
                </c:pt>
                <c:pt idx="78">
                  <c:v>42005</c:v>
                </c:pt>
                <c:pt idx="79">
                  <c:v>42036</c:v>
                </c:pt>
                <c:pt idx="80">
                  <c:v>42064</c:v>
                </c:pt>
                <c:pt idx="81">
                  <c:v>42095</c:v>
                </c:pt>
              </c:numCache>
            </c:numRef>
          </c:cat>
          <c:val>
            <c:numRef>
              <c:f>'Input-equal'!$F$4:$F$85</c:f>
              <c:numCache>
                <c:formatCode>General</c:formatCode>
                <c:ptCount val="8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15343058</c:v>
                </c:pt>
                <c:pt idx="16">
                  <c:v>91360480</c:v>
                </c:pt>
                <c:pt idx="17">
                  <c:v>128578512</c:v>
                </c:pt>
                <c:pt idx="18">
                  <c:v>172690172</c:v>
                </c:pt>
                <c:pt idx="19">
                  <c:v>191438050</c:v>
                </c:pt>
                <c:pt idx="20">
                  <c:v>214765657</c:v>
                </c:pt>
                <c:pt idx="21">
                  <c:v>276239169</c:v>
                </c:pt>
                <c:pt idx="22">
                  <c:v>515525281</c:v>
                </c:pt>
                <c:pt idx="23">
                  <c:v>268918822</c:v>
                </c:pt>
                <c:pt idx="24">
                  <c:v>208691302</c:v>
                </c:pt>
                <c:pt idx="25">
                  <c:v>355715456</c:v>
                </c:pt>
                <c:pt idx="26">
                  <c:v>352412504</c:v>
                </c:pt>
                <c:pt idx="27">
                  <c:v>319947067</c:v>
                </c:pt>
                <c:pt idx="28">
                  <c:v>369679660</c:v>
                </c:pt>
                <c:pt idx="29">
                  <c:v>504226385</c:v>
                </c:pt>
                <c:pt idx="30">
                  <c:v>481880967</c:v>
                </c:pt>
                <c:pt idx="31">
                  <c:v>511593118</c:v>
                </c:pt>
                <c:pt idx="32">
                  <c:v>618688301</c:v>
                </c:pt>
                <c:pt idx="33">
                  <c:v>668998347</c:v>
                </c:pt>
                <c:pt idx="34">
                  <c:v>436513565</c:v>
                </c:pt>
                <c:pt idx="35">
                  <c:v>714756687</c:v>
                </c:pt>
                <c:pt idx="36">
                  <c:v>450007317</c:v>
                </c:pt>
                <c:pt idx="37">
                  <c:v>544964112</c:v>
                </c:pt>
                <c:pt idx="38">
                  <c:v>632560564</c:v>
                </c:pt>
                <c:pt idx="39">
                  <c:v>575215946</c:v>
                </c:pt>
                <c:pt idx="40">
                  <c:v>570846520</c:v>
                </c:pt>
                <c:pt idx="41">
                  <c:v>363856997</c:v>
                </c:pt>
                <c:pt idx="42">
                  <c:v>964656975</c:v>
                </c:pt>
                <c:pt idx="43">
                  <c:v>935368647</c:v>
                </c:pt>
                <c:pt idx="44">
                  <c:v>1830004532</c:v>
                </c:pt>
                <c:pt idx="45">
                  <c:v>1283593895</c:v>
                </c:pt>
                <c:pt idx="46">
                  <c:v>2238872332</c:v>
                </c:pt>
                <c:pt idx="47">
                  <c:v>2674159779</c:v>
                </c:pt>
                <c:pt idx="48">
                  <c:v>2691500965</c:v>
                </c:pt>
                <c:pt idx="49">
                  <c:v>2705488507</c:v>
                </c:pt>
                <c:pt idx="50">
                  <c:v>2507345171</c:v>
                </c:pt>
                <c:pt idx="51">
                  <c:v>1886237333</c:v>
                </c:pt>
                <c:pt idx="52">
                  <c:v>3089976460</c:v>
                </c:pt>
                <c:pt idx="53">
                  <c:v>1925814668</c:v>
                </c:pt>
                <c:pt idx="54">
                  <c:v>2387371027</c:v>
                </c:pt>
                <c:pt idx="55">
                  <c:v>2217599892</c:v>
                </c:pt>
                <c:pt idx="56">
                  <c:v>2074956858</c:v>
                </c:pt>
                <c:pt idx="57">
                  <c:v>2243146531</c:v>
                </c:pt>
                <c:pt idx="58">
                  <c:v>1541931533</c:v>
                </c:pt>
                <c:pt idx="59">
                  <c:v>1758314749</c:v>
                </c:pt>
                <c:pt idx="60">
                  <c:v>1616623154</c:v>
                </c:pt>
                <c:pt idx="61">
                  <c:v>1373502996</c:v>
                </c:pt>
                <c:pt idx="62">
                  <c:v>960260689</c:v>
                </c:pt>
                <c:pt idx="63">
                  <c:v>817694911</c:v>
                </c:pt>
                <c:pt idx="64">
                  <c:v>650781591</c:v>
                </c:pt>
                <c:pt idx="65">
                  <c:v>755691585</c:v>
                </c:pt>
                <c:pt idx="66">
                  <c:v>438784911</c:v>
                </c:pt>
                <c:pt idx="67">
                  <c:v>399641559</c:v>
                </c:pt>
                <c:pt idx="68">
                  <c:v>313566996</c:v>
                </c:pt>
                <c:pt idx="69">
                  <c:v>255206728</c:v>
                </c:pt>
                <c:pt idx="70">
                  <c:v>186037636</c:v>
                </c:pt>
                <c:pt idx="71">
                  <c:v>244291451</c:v>
                </c:pt>
                <c:pt idx="72">
                  <c:v>206481264</c:v>
                </c:pt>
                <c:pt idx="73">
                  <c:v>346554888</c:v>
                </c:pt>
                <c:pt idx="74">
                  <c:v>187308272</c:v>
                </c:pt>
                <c:pt idx="75">
                  <c:v>169366238</c:v>
                </c:pt>
                <c:pt idx="76">
                  <c:v>371096000</c:v>
                </c:pt>
                <c:pt idx="77">
                  <c:v>145992266</c:v>
                </c:pt>
                <c:pt idx="78">
                  <c:v>120675652</c:v>
                </c:pt>
                <c:pt idx="79">
                  <c:v>469334257</c:v>
                </c:pt>
                <c:pt idx="80">
                  <c:v>104946942</c:v>
                </c:pt>
                <c:pt idx="81">
                  <c:v>103557026</c:v>
                </c:pt>
              </c:numCache>
            </c:numRef>
          </c:val>
        </c:ser>
        <c:ser>
          <c:idx val="2"/>
          <c:order val="2"/>
          <c:tx>
            <c:strRef>
              <c:f>'Input-equal'!$G$3</c:f>
              <c:strCache>
                <c:ptCount val="1"/>
                <c:pt idx="0">
                  <c:v>CR</c:v>
                </c:pt>
              </c:strCache>
            </c:strRef>
          </c:tx>
          <c:spPr>
            <a:solidFill>
              <a:srgbClr val="1B7A76"/>
            </a:solidFill>
          </c:spPr>
          <c:invertIfNegative val="0"/>
          <c:cat>
            <c:numRef>
              <c:f>'Input-equal'!$C$4:$C$85</c:f>
              <c:numCache>
                <c:formatCode>m/d/yyyy</c:formatCode>
                <c:ptCount val="82"/>
                <c:pt idx="0">
                  <c:v>39569</c:v>
                </c:pt>
                <c:pt idx="1">
                  <c:v>39600</c:v>
                </c:pt>
                <c:pt idx="2">
                  <c:v>39630</c:v>
                </c:pt>
                <c:pt idx="3">
                  <c:v>39661</c:v>
                </c:pt>
                <c:pt idx="4">
                  <c:v>39692</c:v>
                </c:pt>
                <c:pt idx="5">
                  <c:v>39722</c:v>
                </c:pt>
                <c:pt idx="6">
                  <c:v>39783</c:v>
                </c:pt>
                <c:pt idx="7">
                  <c:v>39845</c:v>
                </c:pt>
                <c:pt idx="8">
                  <c:v>39873</c:v>
                </c:pt>
                <c:pt idx="9">
                  <c:v>39904</c:v>
                </c:pt>
                <c:pt idx="10">
                  <c:v>39934</c:v>
                </c:pt>
                <c:pt idx="11">
                  <c:v>39965</c:v>
                </c:pt>
                <c:pt idx="12">
                  <c:v>39995</c:v>
                </c:pt>
                <c:pt idx="13">
                  <c:v>40026</c:v>
                </c:pt>
                <c:pt idx="14">
                  <c:v>40057</c:v>
                </c:pt>
                <c:pt idx="15">
                  <c:v>40087</c:v>
                </c:pt>
                <c:pt idx="16">
                  <c:v>40118</c:v>
                </c:pt>
                <c:pt idx="17">
                  <c:v>40148</c:v>
                </c:pt>
                <c:pt idx="18">
                  <c:v>40179</c:v>
                </c:pt>
                <c:pt idx="19">
                  <c:v>40210</c:v>
                </c:pt>
                <c:pt idx="20">
                  <c:v>40238</c:v>
                </c:pt>
                <c:pt idx="21">
                  <c:v>40269</c:v>
                </c:pt>
                <c:pt idx="22">
                  <c:v>40299</c:v>
                </c:pt>
                <c:pt idx="23">
                  <c:v>40330</c:v>
                </c:pt>
                <c:pt idx="24">
                  <c:v>40360</c:v>
                </c:pt>
                <c:pt idx="25">
                  <c:v>40391</c:v>
                </c:pt>
                <c:pt idx="26">
                  <c:v>40422</c:v>
                </c:pt>
                <c:pt idx="27">
                  <c:v>40452</c:v>
                </c:pt>
                <c:pt idx="28">
                  <c:v>40483</c:v>
                </c:pt>
                <c:pt idx="29">
                  <c:v>40513</c:v>
                </c:pt>
                <c:pt idx="30">
                  <c:v>40544</c:v>
                </c:pt>
                <c:pt idx="31">
                  <c:v>40575</c:v>
                </c:pt>
                <c:pt idx="32">
                  <c:v>40603</c:v>
                </c:pt>
                <c:pt idx="33">
                  <c:v>40634</c:v>
                </c:pt>
                <c:pt idx="34">
                  <c:v>40664</c:v>
                </c:pt>
                <c:pt idx="35">
                  <c:v>40695</c:v>
                </c:pt>
                <c:pt idx="36">
                  <c:v>40725</c:v>
                </c:pt>
                <c:pt idx="37">
                  <c:v>40756</c:v>
                </c:pt>
                <c:pt idx="38">
                  <c:v>40787</c:v>
                </c:pt>
                <c:pt idx="39">
                  <c:v>40817</c:v>
                </c:pt>
                <c:pt idx="40">
                  <c:v>40848</c:v>
                </c:pt>
                <c:pt idx="41">
                  <c:v>40878</c:v>
                </c:pt>
                <c:pt idx="42">
                  <c:v>40909</c:v>
                </c:pt>
                <c:pt idx="43">
                  <c:v>40940</c:v>
                </c:pt>
                <c:pt idx="44">
                  <c:v>40969</c:v>
                </c:pt>
                <c:pt idx="45">
                  <c:v>41000</c:v>
                </c:pt>
                <c:pt idx="46">
                  <c:v>41030</c:v>
                </c:pt>
                <c:pt idx="47">
                  <c:v>41061</c:v>
                </c:pt>
                <c:pt idx="48">
                  <c:v>41091</c:v>
                </c:pt>
                <c:pt idx="49">
                  <c:v>41122</c:v>
                </c:pt>
                <c:pt idx="50">
                  <c:v>41153</c:v>
                </c:pt>
                <c:pt idx="51">
                  <c:v>41183</c:v>
                </c:pt>
                <c:pt idx="52">
                  <c:v>41214</c:v>
                </c:pt>
                <c:pt idx="53">
                  <c:v>41244</c:v>
                </c:pt>
                <c:pt idx="54">
                  <c:v>41275</c:v>
                </c:pt>
                <c:pt idx="55">
                  <c:v>41306</c:v>
                </c:pt>
                <c:pt idx="56">
                  <c:v>41334</c:v>
                </c:pt>
                <c:pt idx="57">
                  <c:v>41365</c:v>
                </c:pt>
                <c:pt idx="58">
                  <c:v>41395</c:v>
                </c:pt>
                <c:pt idx="59">
                  <c:v>41426</c:v>
                </c:pt>
                <c:pt idx="60">
                  <c:v>41456</c:v>
                </c:pt>
                <c:pt idx="61">
                  <c:v>41487</c:v>
                </c:pt>
                <c:pt idx="62">
                  <c:v>41518</c:v>
                </c:pt>
                <c:pt idx="63">
                  <c:v>41548</c:v>
                </c:pt>
                <c:pt idx="64">
                  <c:v>41579</c:v>
                </c:pt>
                <c:pt idx="65">
                  <c:v>41609</c:v>
                </c:pt>
                <c:pt idx="66">
                  <c:v>41640</c:v>
                </c:pt>
                <c:pt idx="67">
                  <c:v>41671</c:v>
                </c:pt>
                <c:pt idx="68">
                  <c:v>41699</c:v>
                </c:pt>
                <c:pt idx="69">
                  <c:v>41730</c:v>
                </c:pt>
                <c:pt idx="70">
                  <c:v>41760</c:v>
                </c:pt>
                <c:pt idx="71">
                  <c:v>41791</c:v>
                </c:pt>
                <c:pt idx="72">
                  <c:v>41821</c:v>
                </c:pt>
                <c:pt idx="73">
                  <c:v>41852</c:v>
                </c:pt>
                <c:pt idx="74">
                  <c:v>41883</c:v>
                </c:pt>
                <c:pt idx="75">
                  <c:v>41913</c:v>
                </c:pt>
                <c:pt idx="76">
                  <c:v>41944</c:v>
                </c:pt>
                <c:pt idx="77">
                  <c:v>41974</c:v>
                </c:pt>
                <c:pt idx="78">
                  <c:v>42005</c:v>
                </c:pt>
                <c:pt idx="79">
                  <c:v>42036</c:v>
                </c:pt>
                <c:pt idx="80">
                  <c:v>42064</c:v>
                </c:pt>
                <c:pt idx="81">
                  <c:v>42095</c:v>
                </c:pt>
              </c:numCache>
            </c:numRef>
          </c:cat>
          <c:val>
            <c:numRef>
              <c:f>'Input-equal'!$G$4:$G$85</c:f>
              <c:numCache>
                <c:formatCode>General</c:formatCode>
                <c:ptCount val="8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5627164641</c:v>
                </c:pt>
                <c:pt idx="48">
                  <c:v>3713048773</c:v>
                </c:pt>
                <c:pt idx="49">
                  <c:v>3482283708</c:v>
                </c:pt>
                <c:pt idx="50">
                  <c:v>3393761631</c:v>
                </c:pt>
                <c:pt idx="51">
                  <c:v>2591936940</c:v>
                </c:pt>
                <c:pt idx="52">
                  <c:v>3531096335</c:v>
                </c:pt>
                <c:pt idx="53">
                  <c:v>2237392773</c:v>
                </c:pt>
                <c:pt idx="54">
                  <c:v>3299880097</c:v>
                </c:pt>
                <c:pt idx="55">
                  <c:v>2808516054</c:v>
                </c:pt>
                <c:pt idx="56">
                  <c:v>2186380753</c:v>
                </c:pt>
                <c:pt idx="57">
                  <c:v>2498076581</c:v>
                </c:pt>
                <c:pt idx="58">
                  <c:v>1858786075</c:v>
                </c:pt>
                <c:pt idx="59">
                  <c:v>1553402361</c:v>
                </c:pt>
                <c:pt idx="60">
                  <c:v>1434823555</c:v>
                </c:pt>
                <c:pt idx="61">
                  <c:v>1187325480</c:v>
                </c:pt>
                <c:pt idx="62">
                  <c:v>743460848</c:v>
                </c:pt>
                <c:pt idx="63">
                  <c:v>615254685</c:v>
                </c:pt>
                <c:pt idx="64">
                  <c:v>887067278</c:v>
                </c:pt>
                <c:pt idx="65">
                  <c:v>857597466</c:v>
                </c:pt>
                <c:pt idx="66">
                  <c:v>663943847</c:v>
                </c:pt>
                <c:pt idx="67">
                  <c:v>261049913</c:v>
                </c:pt>
                <c:pt idx="68">
                  <c:v>214559704</c:v>
                </c:pt>
                <c:pt idx="69">
                  <c:v>294932105</c:v>
                </c:pt>
                <c:pt idx="70">
                  <c:v>110770261</c:v>
                </c:pt>
                <c:pt idx="71">
                  <c:v>275221137</c:v>
                </c:pt>
                <c:pt idx="72">
                  <c:v>174927834</c:v>
                </c:pt>
                <c:pt idx="73">
                  <c:v>330911502</c:v>
                </c:pt>
                <c:pt idx="74">
                  <c:v>120745416</c:v>
                </c:pt>
                <c:pt idx="75">
                  <c:v>385881834</c:v>
                </c:pt>
                <c:pt idx="76">
                  <c:v>230866169</c:v>
                </c:pt>
                <c:pt idx="77">
                  <c:v>1261524465</c:v>
                </c:pt>
                <c:pt idx="78">
                  <c:v>143096287</c:v>
                </c:pt>
                <c:pt idx="79">
                  <c:v>127311006</c:v>
                </c:pt>
                <c:pt idx="80">
                  <c:v>155150153</c:v>
                </c:pt>
                <c:pt idx="81">
                  <c:v>95322234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8431872"/>
        <c:axId val="348433408"/>
      </c:barChart>
      <c:dateAx>
        <c:axId val="3484318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48433408"/>
        <c:crosses val="autoZero"/>
        <c:auto val="1"/>
        <c:lblOffset val="100"/>
        <c:baseTimeUnit val="months"/>
      </c:dateAx>
      <c:valAx>
        <c:axId val="348433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Billions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48431872"/>
        <c:crosses val="autoZero"/>
        <c:crossBetween val="between"/>
        <c:dispUnits>
          <c:builtInUnit val="billions"/>
        </c:dispUnits>
      </c:valAx>
      <c:spPr>
        <a:noFill/>
        <a:ln>
          <a:solidFill>
            <a:schemeClr val="tx1"/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'Input-equal'!$E$3</c:f>
              <c:strCache>
                <c:ptCount val="1"/>
                <c:pt idx="0">
                  <c:v>issueAmount</c:v>
                </c:pt>
              </c:strCache>
            </c:strRef>
          </c:tx>
          <c:invertIfNegative val="0"/>
          <c:cat>
            <c:numRef>
              <c:f>'Input-equal'!$C$4:$C$85</c:f>
              <c:numCache>
                <c:formatCode>m/d/yyyy</c:formatCode>
                <c:ptCount val="82"/>
                <c:pt idx="0">
                  <c:v>39569</c:v>
                </c:pt>
                <c:pt idx="1">
                  <c:v>39600</c:v>
                </c:pt>
                <c:pt idx="2">
                  <c:v>39630</c:v>
                </c:pt>
                <c:pt idx="3">
                  <c:v>39661</c:v>
                </c:pt>
                <c:pt idx="4">
                  <c:v>39692</c:v>
                </c:pt>
                <c:pt idx="5">
                  <c:v>39722</c:v>
                </c:pt>
                <c:pt idx="6">
                  <c:v>39783</c:v>
                </c:pt>
                <c:pt idx="7">
                  <c:v>39845</c:v>
                </c:pt>
                <c:pt idx="8">
                  <c:v>39873</c:v>
                </c:pt>
                <c:pt idx="9">
                  <c:v>39904</c:v>
                </c:pt>
                <c:pt idx="10">
                  <c:v>39934</c:v>
                </c:pt>
                <c:pt idx="11">
                  <c:v>39965</c:v>
                </c:pt>
                <c:pt idx="12">
                  <c:v>39995</c:v>
                </c:pt>
                <c:pt idx="13">
                  <c:v>40026</c:v>
                </c:pt>
                <c:pt idx="14">
                  <c:v>40057</c:v>
                </c:pt>
                <c:pt idx="15">
                  <c:v>40087</c:v>
                </c:pt>
                <c:pt idx="16">
                  <c:v>40118</c:v>
                </c:pt>
                <c:pt idx="17">
                  <c:v>40148</c:v>
                </c:pt>
                <c:pt idx="18">
                  <c:v>40179</c:v>
                </c:pt>
                <c:pt idx="19">
                  <c:v>40210</c:v>
                </c:pt>
                <c:pt idx="20">
                  <c:v>40238</c:v>
                </c:pt>
                <c:pt idx="21">
                  <c:v>40269</c:v>
                </c:pt>
                <c:pt idx="22">
                  <c:v>40299</c:v>
                </c:pt>
                <c:pt idx="23">
                  <c:v>40330</c:v>
                </c:pt>
                <c:pt idx="24">
                  <c:v>40360</c:v>
                </c:pt>
                <c:pt idx="25">
                  <c:v>40391</c:v>
                </c:pt>
                <c:pt idx="26">
                  <c:v>40422</c:v>
                </c:pt>
                <c:pt idx="27">
                  <c:v>40452</c:v>
                </c:pt>
                <c:pt idx="28">
                  <c:v>40483</c:v>
                </c:pt>
                <c:pt idx="29">
                  <c:v>40513</c:v>
                </c:pt>
                <c:pt idx="30">
                  <c:v>40544</c:v>
                </c:pt>
                <c:pt idx="31">
                  <c:v>40575</c:v>
                </c:pt>
                <c:pt idx="32">
                  <c:v>40603</c:v>
                </c:pt>
                <c:pt idx="33">
                  <c:v>40634</c:v>
                </c:pt>
                <c:pt idx="34">
                  <c:v>40664</c:v>
                </c:pt>
                <c:pt idx="35">
                  <c:v>40695</c:v>
                </c:pt>
                <c:pt idx="36">
                  <c:v>40725</c:v>
                </c:pt>
                <c:pt idx="37">
                  <c:v>40756</c:v>
                </c:pt>
                <c:pt idx="38">
                  <c:v>40787</c:v>
                </c:pt>
                <c:pt idx="39">
                  <c:v>40817</c:v>
                </c:pt>
                <c:pt idx="40">
                  <c:v>40848</c:v>
                </c:pt>
                <c:pt idx="41">
                  <c:v>40878</c:v>
                </c:pt>
                <c:pt idx="42">
                  <c:v>40909</c:v>
                </c:pt>
                <c:pt idx="43">
                  <c:v>40940</c:v>
                </c:pt>
                <c:pt idx="44">
                  <c:v>40969</c:v>
                </c:pt>
                <c:pt idx="45">
                  <c:v>41000</c:v>
                </c:pt>
                <c:pt idx="46">
                  <c:v>41030</c:v>
                </c:pt>
                <c:pt idx="47">
                  <c:v>41061</c:v>
                </c:pt>
                <c:pt idx="48">
                  <c:v>41091</c:v>
                </c:pt>
                <c:pt idx="49">
                  <c:v>41122</c:v>
                </c:pt>
                <c:pt idx="50">
                  <c:v>41153</c:v>
                </c:pt>
                <c:pt idx="51">
                  <c:v>41183</c:v>
                </c:pt>
                <c:pt idx="52">
                  <c:v>41214</c:v>
                </c:pt>
                <c:pt idx="53">
                  <c:v>41244</c:v>
                </c:pt>
                <c:pt idx="54">
                  <c:v>41275</c:v>
                </c:pt>
                <c:pt idx="55">
                  <c:v>41306</c:v>
                </c:pt>
                <c:pt idx="56">
                  <c:v>41334</c:v>
                </c:pt>
                <c:pt idx="57">
                  <c:v>41365</c:v>
                </c:pt>
                <c:pt idx="58">
                  <c:v>41395</c:v>
                </c:pt>
                <c:pt idx="59">
                  <c:v>41426</c:v>
                </c:pt>
                <c:pt idx="60">
                  <c:v>41456</c:v>
                </c:pt>
                <c:pt idx="61">
                  <c:v>41487</c:v>
                </c:pt>
                <c:pt idx="62">
                  <c:v>41518</c:v>
                </c:pt>
                <c:pt idx="63">
                  <c:v>41548</c:v>
                </c:pt>
                <c:pt idx="64">
                  <c:v>41579</c:v>
                </c:pt>
                <c:pt idx="65">
                  <c:v>41609</c:v>
                </c:pt>
                <c:pt idx="66">
                  <c:v>41640</c:v>
                </c:pt>
                <c:pt idx="67">
                  <c:v>41671</c:v>
                </c:pt>
                <c:pt idx="68">
                  <c:v>41699</c:v>
                </c:pt>
                <c:pt idx="69">
                  <c:v>41730</c:v>
                </c:pt>
                <c:pt idx="70">
                  <c:v>41760</c:v>
                </c:pt>
                <c:pt idx="71">
                  <c:v>41791</c:v>
                </c:pt>
                <c:pt idx="72">
                  <c:v>41821</c:v>
                </c:pt>
                <c:pt idx="73">
                  <c:v>41852</c:v>
                </c:pt>
                <c:pt idx="74">
                  <c:v>41883</c:v>
                </c:pt>
                <c:pt idx="75">
                  <c:v>41913</c:v>
                </c:pt>
                <c:pt idx="76">
                  <c:v>41944</c:v>
                </c:pt>
                <c:pt idx="77">
                  <c:v>41974</c:v>
                </c:pt>
                <c:pt idx="78">
                  <c:v>42005</c:v>
                </c:pt>
                <c:pt idx="79">
                  <c:v>42036</c:v>
                </c:pt>
                <c:pt idx="80">
                  <c:v>42064</c:v>
                </c:pt>
                <c:pt idx="81">
                  <c:v>42095</c:v>
                </c:pt>
              </c:numCache>
            </c:numRef>
          </c:cat>
          <c:val>
            <c:numRef>
              <c:f>'Input-equal'!$E$4:$E$85</c:f>
              <c:numCache>
                <c:formatCode>General</c:formatCode>
                <c:ptCount val="82"/>
                <c:pt idx="0">
                  <c:v>23663260</c:v>
                </c:pt>
                <c:pt idx="1">
                  <c:v>407983823</c:v>
                </c:pt>
                <c:pt idx="2">
                  <c:v>1750566475</c:v>
                </c:pt>
                <c:pt idx="3">
                  <c:v>1955300974</c:v>
                </c:pt>
                <c:pt idx="4">
                  <c:v>2407549009</c:v>
                </c:pt>
                <c:pt idx="5">
                  <c:v>1303092497</c:v>
                </c:pt>
                <c:pt idx="6">
                  <c:v>15472793</c:v>
                </c:pt>
                <c:pt idx="7">
                  <c:v>606866675</c:v>
                </c:pt>
                <c:pt idx="8">
                  <c:v>623061660</c:v>
                </c:pt>
                <c:pt idx="9">
                  <c:v>546074282</c:v>
                </c:pt>
                <c:pt idx="10">
                  <c:v>6652777952</c:v>
                </c:pt>
                <c:pt idx="11">
                  <c:v>2725053911</c:v>
                </c:pt>
                <c:pt idx="12">
                  <c:v>1624491993</c:v>
                </c:pt>
                <c:pt idx="13">
                  <c:v>2273648931</c:v>
                </c:pt>
                <c:pt idx="14">
                  <c:v>3730886516</c:v>
                </c:pt>
                <c:pt idx="15">
                  <c:v>4665758807</c:v>
                </c:pt>
                <c:pt idx="16">
                  <c:v>3150141035</c:v>
                </c:pt>
                <c:pt idx="17">
                  <c:v>2924169385</c:v>
                </c:pt>
                <c:pt idx="18">
                  <c:v>2634350684</c:v>
                </c:pt>
                <c:pt idx="19">
                  <c:v>2597549841</c:v>
                </c:pt>
                <c:pt idx="20">
                  <c:v>2808514374</c:v>
                </c:pt>
                <c:pt idx="21">
                  <c:v>1861900761</c:v>
                </c:pt>
                <c:pt idx="22">
                  <c:v>2084611821</c:v>
                </c:pt>
                <c:pt idx="23">
                  <c:v>1669648250</c:v>
                </c:pt>
                <c:pt idx="24">
                  <c:v>3407481735</c:v>
                </c:pt>
                <c:pt idx="25">
                  <c:v>3347514541</c:v>
                </c:pt>
                <c:pt idx="26">
                  <c:v>4534053251</c:v>
                </c:pt>
                <c:pt idx="27">
                  <c:v>4710788842</c:v>
                </c:pt>
                <c:pt idx="28">
                  <c:v>4435127896</c:v>
                </c:pt>
                <c:pt idx="29">
                  <c:v>5168634747</c:v>
                </c:pt>
                <c:pt idx="30">
                  <c:v>4772517239</c:v>
                </c:pt>
                <c:pt idx="31">
                  <c:v>3322794637</c:v>
                </c:pt>
                <c:pt idx="32">
                  <c:v>2879069981</c:v>
                </c:pt>
                <c:pt idx="33">
                  <c:v>1365959263</c:v>
                </c:pt>
                <c:pt idx="34">
                  <c:v>1679348065</c:v>
                </c:pt>
                <c:pt idx="35">
                  <c:v>1470720552</c:v>
                </c:pt>
                <c:pt idx="36">
                  <c:v>1755684824</c:v>
                </c:pt>
                <c:pt idx="37">
                  <c:v>2242690757</c:v>
                </c:pt>
                <c:pt idx="38">
                  <c:v>4005917312</c:v>
                </c:pt>
                <c:pt idx="39">
                  <c:v>4409005394</c:v>
                </c:pt>
                <c:pt idx="40">
                  <c:v>4642886367</c:v>
                </c:pt>
                <c:pt idx="41">
                  <c:v>2231440428</c:v>
                </c:pt>
                <c:pt idx="42">
                  <c:v>1557100159</c:v>
                </c:pt>
                <c:pt idx="43">
                  <c:v>1459805763</c:v>
                </c:pt>
                <c:pt idx="44">
                  <c:v>2893315869</c:v>
                </c:pt>
                <c:pt idx="45">
                  <c:v>853289366</c:v>
                </c:pt>
                <c:pt idx="46">
                  <c:v>1671001392</c:v>
                </c:pt>
                <c:pt idx="47">
                  <c:v>1932118315</c:v>
                </c:pt>
                <c:pt idx="48">
                  <c:v>2752296610</c:v>
                </c:pt>
                <c:pt idx="49">
                  <c:v>3126742934</c:v>
                </c:pt>
                <c:pt idx="50">
                  <c:v>3245152246</c:v>
                </c:pt>
                <c:pt idx="51">
                  <c:v>2054054786</c:v>
                </c:pt>
                <c:pt idx="52">
                  <c:v>3993010447</c:v>
                </c:pt>
                <c:pt idx="53">
                  <c:v>1214802344</c:v>
                </c:pt>
                <c:pt idx="54">
                  <c:v>3321638962</c:v>
                </c:pt>
                <c:pt idx="55">
                  <c:v>1888075582</c:v>
                </c:pt>
                <c:pt idx="56">
                  <c:v>2116389422</c:v>
                </c:pt>
                <c:pt idx="57">
                  <c:v>2271806082</c:v>
                </c:pt>
                <c:pt idx="58">
                  <c:v>2019206225</c:v>
                </c:pt>
                <c:pt idx="59">
                  <c:v>2418493907</c:v>
                </c:pt>
                <c:pt idx="60">
                  <c:v>1885265938</c:v>
                </c:pt>
                <c:pt idx="61">
                  <c:v>1634700327</c:v>
                </c:pt>
                <c:pt idx="62">
                  <c:v>971826383</c:v>
                </c:pt>
                <c:pt idx="63">
                  <c:v>841860222</c:v>
                </c:pt>
                <c:pt idx="64">
                  <c:v>773960857</c:v>
                </c:pt>
                <c:pt idx="65">
                  <c:v>647887853</c:v>
                </c:pt>
                <c:pt idx="66">
                  <c:v>392754952</c:v>
                </c:pt>
                <c:pt idx="67">
                  <c:v>362334810</c:v>
                </c:pt>
                <c:pt idx="68">
                  <c:v>230227055</c:v>
                </c:pt>
                <c:pt idx="69">
                  <c:v>278280577</c:v>
                </c:pt>
                <c:pt idx="70">
                  <c:v>337688908</c:v>
                </c:pt>
                <c:pt idx="71">
                  <c:v>319731336</c:v>
                </c:pt>
                <c:pt idx="72">
                  <c:v>562390222</c:v>
                </c:pt>
                <c:pt idx="73">
                  <c:v>449797295</c:v>
                </c:pt>
                <c:pt idx="74">
                  <c:v>746264105</c:v>
                </c:pt>
                <c:pt idx="75">
                  <c:v>639001193</c:v>
                </c:pt>
                <c:pt idx="76">
                  <c:v>549347202</c:v>
                </c:pt>
                <c:pt idx="77">
                  <c:v>771028754</c:v>
                </c:pt>
                <c:pt idx="78">
                  <c:v>667434711</c:v>
                </c:pt>
                <c:pt idx="79">
                  <c:v>821128260</c:v>
                </c:pt>
                <c:pt idx="80">
                  <c:v>1012026911</c:v>
                </c:pt>
                <c:pt idx="81">
                  <c:v>243939277</c:v>
                </c:pt>
              </c:numCache>
            </c:numRef>
          </c:val>
        </c:ser>
        <c:ser>
          <c:idx val="1"/>
          <c:order val="1"/>
          <c:tx>
            <c:strRef>
              <c:f>'Input-equal'!$F$3</c:f>
              <c:strCache>
                <c:ptCount val="1"/>
                <c:pt idx="0">
                  <c:v>CQ</c:v>
                </c:pt>
              </c:strCache>
            </c:strRef>
          </c:tx>
          <c:invertIfNegative val="0"/>
          <c:cat>
            <c:numRef>
              <c:f>'Input-equal'!$C$4:$C$85</c:f>
              <c:numCache>
                <c:formatCode>m/d/yyyy</c:formatCode>
                <c:ptCount val="82"/>
                <c:pt idx="0">
                  <c:v>39569</c:v>
                </c:pt>
                <c:pt idx="1">
                  <c:v>39600</c:v>
                </c:pt>
                <c:pt idx="2">
                  <c:v>39630</c:v>
                </c:pt>
                <c:pt idx="3">
                  <c:v>39661</c:v>
                </c:pt>
                <c:pt idx="4">
                  <c:v>39692</c:v>
                </c:pt>
                <c:pt idx="5">
                  <c:v>39722</c:v>
                </c:pt>
                <c:pt idx="6">
                  <c:v>39783</c:v>
                </c:pt>
                <c:pt idx="7">
                  <c:v>39845</c:v>
                </c:pt>
                <c:pt idx="8">
                  <c:v>39873</c:v>
                </c:pt>
                <c:pt idx="9">
                  <c:v>39904</c:v>
                </c:pt>
                <c:pt idx="10">
                  <c:v>39934</c:v>
                </c:pt>
                <c:pt idx="11">
                  <c:v>39965</c:v>
                </c:pt>
                <c:pt idx="12">
                  <c:v>39995</c:v>
                </c:pt>
                <c:pt idx="13">
                  <c:v>40026</c:v>
                </c:pt>
                <c:pt idx="14">
                  <c:v>40057</c:v>
                </c:pt>
                <c:pt idx="15">
                  <c:v>40087</c:v>
                </c:pt>
                <c:pt idx="16">
                  <c:v>40118</c:v>
                </c:pt>
                <c:pt idx="17">
                  <c:v>40148</c:v>
                </c:pt>
                <c:pt idx="18">
                  <c:v>40179</c:v>
                </c:pt>
                <c:pt idx="19">
                  <c:v>40210</c:v>
                </c:pt>
                <c:pt idx="20">
                  <c:v>40238</c:v>
                </c:pt>
                <c:pt idx="21">
                  <c:v>40269</c:v>
                </c:pt>
                <c:pt idx="22">
                  <c:v>40299</c:v>
                </c:pt>
                <c:pt idx="23">
                  <c:v>40330</c:v>
                </c:pt>
                <c:pt idx="24">
                  <c:v>40360</c:v>
                </c:pt>
                <c:pt idx="25">
                  <c:v>40391</c:v>
                </c:pt>
                <c:pt idx="26">
                  <c:v>40422</c:v>
                </c:pt>
                <c:pt idx="27">
                  <c:v>40452</c:v>
                </c:pt>
                <c:pt idx="28">
                  <c:v>40483</c:v>
                </c:pt>
                <c:pt idx="29">
                  <c:v>40513</c:v>
                </c:pt>
                <c:pt idx="30">
                  <c:v>40544</c:v>
                </c:pt>
                <c:pt idx="31">
                  <c:v>40575</c:v>
                </c:pt>
                <c:pt idx="32">
                  <c:v>40603</c:v>
                </c:pt>
                <c:pt idx="33">
                  <c:v>40634</c:v>
                </c:pt>
                <c:pt idx="34">
                  <c:v>40664</c:v>
                </c:pt>
                <c:pt idx="35">
                  <c:v>40695</c:v>
                </c:pt>
                <c:pt idx="36">
                  <c:v>40725</c:v>
                </c:pt>
                <c:pt idx="37">
                  <c:v>40756</c:v>
                </c:pt>
                <c:pt idx="38">
                  <c:v>40787</c:v>
                </c:pt>
                <c:pt idx="39">
                  <c:v>40817</c:v>
                </c:pt>
                <c:pt idx="40">
                  <c:v>40848</c:v>
                </c:pt>
                <c:pt idx="41">
                  <c:v>40878</c:v>
                </c:pt>
                <c:pt idx="42">
                  <c:v>40909</c:v>
                </c:pt>
                <c:pt idx="43">
                  <c:v>40940</c:v>
                </c:pt>
                <c:pt idx="44">
                  <c:v>40969</c:v>
                </c:pt>
                <c:pt idx="45">
                  <c:v>41000</c:v>
                </c:pt>
                <c:pt idx="46">
                  <c:v>41030</c:v>
                </c:pt>
                <c:pt idx="47">
                  <c:v>41061</c:v>
                </c:pt>
                <c:pt idx="48">
                  <c:v>41091</c:v>
                </c:pt>
                <c:pt idx="49">
                  <c:v>41122</c:v>
                </c:pt>
                <c:pt idx="50">
                  <c:v>41153</c:v>
                </c:pt>
                <c:pt idx="51">
                  <c:v>41183</c:v>
                </c:pt>
                <c:pt idx="52">
                  <c:v>41214</c:v>
                </c:pt>
                <c:pt idx="53">
                  <c:v>41244</c:v>
                </c:pt>
                <c:pt idx="54">
                  <c:v>41275</c:v>
                </c:pt>
                <c:pt idx="55">
                  <c:v>41306</c:v>
                </c:pt>
                <c:pt idx="56">
                  <c:v>41334</c:v>
                </c:pt>
                <c:pt idx="57">
                  <c:v>41365</c:v>
                </c:pt>
                <c:pt idx="58">
                  <c:v>41395</c:v>
                </c:pt>
                <c:pt idx="59">
                  <c:v>41426</c:v>
                </c:pt>
                <c:pt idx="60">
                  <c:v>41456</c:v>
                </c:pt>
                <c:pt idx="61">
                  <c:v>41487</c:v>
                </c:pt>
                <c:pt idx="62">
                  <c:v>41518</c:v>
                </c:pt>
                <c:pt idx="63">
                  <c:v>41548</c:v>
                </c:pt>
                <c:pt idx="64">
                  <c:v>41579</c:v>
                </c:pt>
                <c:pt idx="65">
                  <c:v>41609</c:v>
                </c:pt>
                <c:pt idx="66">
                  <c:v>41640</c:v>
                </c:pt>
                <c:pt idx="67">
                  <c:v>41671</c:v>
                </c:pt>
                <c:pt idx="68">
                  <c:v>41699</c:v>
                </c:pt>
                <c:pt idx="69">
                  <c:v>41730</c:v>
                </c:pt>
                <c:pt idx="70">
                  <c:v>41760</c:v>
                </c:pt>
                <c:pt idx="71">
                  <c:v>41791</c:v>
                </c:pt>
                <c:pt idx="72">
                  <c:v>41821</c:v>
                </c:pt>
                <c:pt idx="73">
                  <c:v>41852</c:v>
                </c:pt>
                <c:pt idx="74">
                  <c:v>41883</c:v>
                </c:pt>
                <c:pt idx="75">
                  <c:v>41913</c:v>
                </c:pt>
                <c:pt idx="76">
                  <c:v>41944</c:v>
                </c:pt>
                <c:pt idx="77">
                  <c:v>41974</c:v>
                </c:pt>
                <c:pt idx="78">
                  <c:v>42005</c:v>
                </c:pt>
                <c:pt idx="79">
                  <c:v>42036</c:v>
                </c:pt>
                <c:pt idx="80">
                  <c:v>42064</c:v>
                </c:pt>
                <c:pt idx="81">
                  <c:v>42095</c:v>
                </c:pt>
              </c:numCache>
            </c:numRef>
          </c:cat>
          <c:val>
            <c:numRef>
              <c:f>'Input-equal'!$F$4:$F$85</c:f>
              <c:numCache>
                <c:formatCode>General</c:formatCode>
                <c:ptCount val="8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15343058</c:v>
                </c:pt>
                <c:pt idx="16">
                  <c:v>91360480</c:v>
                </c:pt>
                <c:pt idx="17">
                  <c:v>128578512</c:v>
                </c:pt>
                <c:pt idx="18">
                  <c:v>172690172</c:v>
                </c:pt>
                <c:pt idx="19">
                  <c:v>191438050</c:v>
                </c:pt>
                <c:pt idx="20">
                  <c:v>214765657</c:v>
                </c:pt>
                <c:pt idx="21">
                  <c:v>276239169</c:v>
                </c:pt>
                <c:pt idx="22">
                  <c:v>515525281</c:v>
                </c:pt>
                <c:pt idx="23">
                  <c:v>268918822</c:v>
                </c:pt>
                <c:pt idx="24">
                  <c:v>208691302</c:v>
                </c:pt>
                <c:pt idx="25">
                  <c:v>355715456</c:v>
                </c:pt>
                <c:pt idx="26">
                  <c:v>352412504</c:v>
                </c:pt>
                <c:pt idx="27">
                  <c:v>319947067</c:v>
                </c:pt>
                <c:pt idx="28">
                  <c:v>369679660</c:v>
                </c:pt>
                <c:pt idx="29">
                  <c:v>504226385</c:v>
                </c:pt>
                <c:pt idx="30">
                  <c:v>481880967</c:v>
                </c:pt>
                <c:pt idx="31">
                  <c:v>511593118</c:v>
                </c:pt>
                <c:pt idx="32">
                  <c:v>618688301</c:v>
                </c:pt>
                <c:pt idx="33">
                  <c:v>668998347</c:v>
                </c:pt>
                <c:pt idx="34">
                  <c:v>436513565</c:v>
                </c:pt>
                <c:pt idx="35">
                  <c:v>714756687</c:v>
                </c:pt>
                <c:pt idx="36">
                  <c:v>450007317</c:v>
                </c:pt>
                <c:pt idx="37">
                  <c:v>544964112</c:v>
                </c:pt>
                <c:pt idx="38">
                  <c:v>632560564</c:v>
                </c:pt>
                <c:pt idx="39">
                  <c:v>575215946</c:v>
                </c:pt>
                <c:pt idx="40">
                  <c:v>570846520</c:v>
                </c:pt>
                <c:pt idx="41">
                  <c:v>363856997</c:v>
                </c:pt>
                <c:pt idx="42">
                  <c:v>964656975</c:v>
                </c:pt>
                <c:pt idx="43">
                  <c:v>935368647</c:v>
                </c:pt>
                <c:pt idx="44">
                  <c:v>1830004532</c:v>
                </c:pt>
                <c:pt idx="45">
                  <c:v>1283593895</c:v>
                </c:pt>
                <c:pt idx="46">
                  <c:v>2238872332</c:v>
                </c:pt>
                <c:pt idx="47">
                  <c:v>2674159779</c:v>
                </c:pt>
                <c:pt idx="48">
                  <c:v>2691500965</c:v>
                </c:pt>
                <c:pt idx="49">
                  <c:v>2705488507</c:v>
                </c:pt>
                <c:pt idx="50">
                  <c:v>2507345171</c:v>
                </c:pt>
                <c:pt idx="51">
                  <c:v>1886237333</c:v>
                </c:pt>
                <c:pt idx="52">
                  <c:v>3089976460</c:v>
                </c:pt>
                <c:pt idx="53">
                  <c:v>1925814668</c:v>
                </c:pt>
                <c:pt idx="54">
                  <c:v>2387371027</c:v>
                </c:pt>
                <c:pt idx="55">
                  <c:v>2217599892</c:v>
                </c:pt>
                <c:pt idx="56">
                  <c:v>2074956858</c:v>
                </c:pt>
                <c:pt idx="57">
                  <c:v>2243146531</c:v>
                </c:pt>
                <c:pt idx="58">
                  <c:v>1541931533</c:v>
                </c:pt>
                <c:pt idx="59">
                  <c:v>1758314749</c:v>
                </c:pt>
                <c:pt idx="60">
                  <c:v>1616623154</c:v>
                </c:pt>
                <c:pt idx="61">
                  <c:v>1373502996</c:v>
                </c:pt>
                <c:pt idx="62">
                  <c:v>960260689</c:v>
                </c:pt>
                <c:pt idx="63">
                  <c:v>817694911</c:v>
                </c:pt>
                <c:pt idx="64">
                  <c:v>650781591</c:v>
                </c:pt>
                <c:pt idx="65">
                  <c:v>755691585</c:v>
                </c:pt>
                <c:pt idx="66">
                  <c:v>438784911</c:v>
                </c:pt>
                <c:pt idx="67">
                  <c:v>399641559</c:v>
                </c:pt>
                <c:pt idx="68">
                  <c:v>313566996</c:v>
                </c:pt>
                <c:pt idx="69">
                  <c:v>255206728</c:v>
                </c:pt>
                <c:pt idx="70">
                  <c:v>186037636</c:v>
                </c:pt>
                <c:pt idx="71">
                  <c:v>244291451</c:v>
                </c:pt>
                <c:pt idx="72">
                  <c:v>206481264</c:v>
                </c:pt>
                <c:pt idx="73">
                  <c:v>346554888</c:v>
                </c:pt>
                <c:pt idx="74">
                  <c:v>187308272</c:v>
                </c:pt>
                <c:pt idx="75">
                  <c:v>169366238</c:v>
                </c:pt>
                <c:pt idx="76">
                  <c:v>371096000</c:v>
                </c:pt>
                <c:pt idx="77">
                  <c:v>145992266</c:v>
                </c:pt>
                <c:pt idx="78">
                  <c:v>120675652</c:v>
                </c:pt>
                <c:pt idx="79">
                  <c:v>469334257</c:v>
                </c:pt>
                <c:pt idx="80">
                  <c:v>104946942</c:v>
                </c:pt>
                <c:pt idx="81">
                  <c:v>103557026</c:v>
                </c:pt>
              </c:numCache>
            </c:numRef>
          </c:val>
        </c:ser>
        <c:ser>
          <c:idx val="2"/>
          <c:order val="2"/>
          <c:tx>
            <c:strRef>
              <c:f>'Input-equal'!$G$3</c:f>
              <c:strCache>
                <c:ptCount val="1"/>
                <c:pt idx="0">
                  <c:v>CR</c:v>
                </c:pt>
              </c:strCache>
            </c:strRef>
          </c:tx>
          <c:invertIfNegative val="0"/>
          <c:cat>
            <c:numRef>
              <c:f>'Input-equal'!$C$4:$C$85</c:f>
              <c:numCache>
                <c:formatCode>m/d/yyyy</c:formatCode>
                <c:ptCount val="82"/>
                <c:pt idx="0">
                  <c:v>39569</c:v>
                </c:pt>
                <c:pt idx="1">
                  <c:v>39600</c:v>
                </c:pt>
                <c:pt idx="2">
                  <c:v>39630</c:v>
                </c:pt>
                <c:pt idx="3">
                  <c:v>39661</c:v>
                </c:pt>
                <c:pt idx="4">
                  <c:v>39692</c:v>
                </c:pt>
                <c:pt idx="5">
                  <c:v>39722</c:v>
                </c:pt>
                <c:pt idx="6">
                  <c:v>39783</c:v>
                </c:pt>
                <c:pt idx="7">
                  <c:v>39845</c:v>
                </c:pt>
                <c:pt idx="8">
                  <c:v>39873</c:v>
                </c:pt>
                <c:pt idx="9">
                  <c:v>39904</c:v>
                </c:pt>
                <c:pt idx="10">
                  <c:v>39934</c:v>
                </c:pt>
                <c:pt idx="11">
                  <c:v>39965</c:v>
                </c:pt>
                <c:pt idx="12">
                  <c:v>39995</c:v>
                </c:pt>
                <c:pt idx="13">
                  <c:v>40026</c:v>
                </c:pt>
                <c:pt idx="14">
                  <c:v>40057</c:v>
                </c:pt>
                <c:pt idx="15">
                  <c:v>40087</c:v>
                </c:pt>
                <c:pt idx="16">
                  <c:v>40118</c:v>
                </c:pt>
                <c:pt idx="17">
                  <c:v>40148</c:v>
                </c:pt>
                <c:pt idx="18">
                  <c:v>40179</c:v>
                </c:pt>
                <c:pt idx="19">
                  <c:v>40210</c:v>
                </c:pt>
                <c:pt idx="20">
                  <c:v>40238</c:v>
                </c:pt>
                <c:pt idx="21">
                  <c:v>40269</c:v>
                </c:pt>
                <c:pt idx="22">
                  <c:v>40299</c:v>
                </c:pt>
                <c:pt idx="23">
                  <c:v>40330</c:v>
                </c:pt>
                <c:pt idx="24">
                  <c:v>40360</c:v>
                </c:pt>
                <c:pt idx="25">
                  <c:v>40391</c:v>
                </c:pt>
                <c:pt idx="26">
                  <c:v>40422</c:v>
                </c:pt>
                <c:pt idx="27">
                  <c:v>40452</c:v>
                </c:pt>
                <c:pt idx="28">
                  <c:v>40483</c:v>
                </c:pt>
                <c:pt idx="29">
                  <c:v>40513</c:v>
                </c:pt>
                <c:pt idx="30">
                  <c:v>40544</c:v>
                </c:pt>
                <c:pt idx="31">
                  <c:v>40575</c:v>
                </c:pt>
                <c:pt idx="32">
                  <c:v>40603</c:v>
                </c:pt>
                <c:pt idx="33">
                  <c:v>40634</c:v>
                </c:pt>
                <c:pt idx="34">
                  <c:v>40664</c:v>
                </c:pt>
                <c:pt idx="35">
                  <c:v>40695</c:v>
                </c:pt>
                <c:pt idx="36">
                  <c:v>40725</c:v>
                </c:pt>
                <c:pt idx="37">
                  <c:v>40756</c:v>
                </c:pt>
                <c:pt idx="38">
                  <c:v>40787</c:v>
                </c:pt>
                <c:pt idx="39">
                  <c:v>40817</c:v>
                </c:pt>
                <c:pt idx="40">
                  <c:v>40848</c:v>
                </c:pt>
                <c:pt idx="41">
                  <c:v>40878</c:v>
                </c:pt>
                <c:pt idx="42">
                  <c:v>40909</c:v>
                </c:pt>
                <c:pt idx="43">
                  <c:v>40940</c:v>
                </c:pt>
                <c:pt idx="44">
                  <c:v>40969</c:v>
                </c:pt>
                <c:pt idx="45">
                  <c:v>41000</c:v>
                </c:pt>
                <c:pt idx="46">
                  <c:v>41030</c:v>
                </c:pt>
                <c:pt idx="47">
                  <c:v>41061</c:v>
                </c:pt>
                <c:pt idx="48">
                  <c:v>41091</c:v>
                </c:pt>
                <c:pt idx="49">
                  <c:v>41122</c:v>
                </c:pt>
                <c:pt idx="50">
                  <c:v>41153</c:v>
                </c:pt>
                <c:pt idx="51">
                  <c:v>41183</c:v>
                </c:pt>
                <c:pt idx="52">
                  <c:v>41214</c:v>
                </c:pt>
                <c:pt idx="53">
                  <c:v>41244</c:v>
                </c:pt>
                <c:pt idx="54">
                  <c:v>41275</c:v>
                </c:pt>
                <c:pt idx="55">
                  <c:v>41306</c:v>
                </c:pt>
                <c:pt idx="56">
                  <c:v>41334</c:v>
                </c:pt>
                <c:pt idx="57">
                  <c:v>41365</c:v>
                </c:pt>
                <c:pt idx="58">
                  <c:v>41395</c:v>
                </c:pt>
                <c:pt idx="59">
                  <c:v>41426</c:v>
                </c:pt>
                <c:pt idx="60">
                  <c:v>41456</c:v>
                </c:pt>
                <c:pt idx="61">
                  <c:v>41487</c:v>
                </c:pt>
                <c:pt idx="62">
                  <c:v>41518</c:v>
                </c:pt>
                <c:pt idx="63">
                  <c:v>41548</c:v>
                </c:pt>
                <c:pt idx="64">
                  <c:v>41579</c:v>
                </c:pt>
                <c:pt idx="65">
                  <c:v>41609</c:v>
                </c:pt>
                <c:pt idx="66">
                  <c:v>41640</c:v>
                </c:pt>
                <c:pt idx="67">
                  <c:v>41671</c:v>
                </c:pt>
                <c:pt idx="68">
                  <c:v>41699</c:v>
                </c:pt>
                <c:pt idx="69">
                  <c:v>41730</c:v>
                </c:pt>
                <c:pt idx="70">
                  <c:v>41760</c:v>
                </c:pt>
                <c:pt idx="71">
                  <c:v>41791</c:v>
                </c:pt>
                <c:pt idx="72">
                  <c:v>41821</c:v>
                </c:pt>
                <c:pt idx="73">
                  <c:v>41852</c:v>
                </c:pt>
                <c:pt idx="74">
                  <c:v>41883</c:v>
                </c:pt>
                <c:pt idx="75">
                  <c:v>41913</c:v>
                </c:pt>
                <c:pt idx="76">
                  <c:v>41944</c:v>
                </c:pt>
                <c:pt idx="77">
                  <c:v>41974</c:v>
                </c:pt>
                <c:pt idx="78">
                  <c:v>42005</c:v>
                </c:pt>
                <c:pt idx="79">
                  <c:v>42036</c:v>
                </c:pt>
                <c:pt idx="80">
                  <c:v>42064</c:v>
                </c:pt>
                <c:pt idx="81">
                  <c:v>42095</c:v>
                </c:pt>
              </c:numCache>
            </c:numRef>
          </c:cat>
          <c:val>
            <c:numRef>
              <c:f>'Input-equal'!$G$4:$G$85</c:f>
              <c:numCache>
                <c:formatCode>General</c:formatCode>
                <c:ptCount val="8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5627164641</c:v>
                </c:pt>
                <c:pt idx="48">
                  <c:v>3713048773</c:v>
                </c:pt>
                <c:pt idx="49">
                  <c:v>3482283708</c:v>
                </c:pt>
                <c:pt idx="50">
                  <c:v>3393761631</c:v>
                </c:pt>
                <c:pt idx="51">
                  <c:v>2591936940</c:v>
                </c:pt>
                <c:pt idx="52">
                  <c:v>3531096335</c:v>
                </c:pt>
                <c:pt idx="53">
                  <c:v>2237392773</c:v>
                </c:pt>
                <c:pt idx="54">
                  <c:v>3299880097</c:v>
                </c:pt>
                <c:pt idx="55">
                  <c:v>2808516054</c:v>
                </c:pt>
                <c:pt idx="56">
                  <c:v>2186380753</c:v>
                </c:pt>
                <c:pt idx="57">
                  <c:v>2498076581</c:v>
                </c:pt>
                <c:pt idx="58">
                  <c:v>1858786075</c:v>
                </c:pt>
                <c:pt idx="59">
                  <c:v>1553402361</c:v>
                </c:pt>
                <c:pt idx="60">
                  <c:v>1434823555</c:v>
                </c:pt>
                <c:pt idx="61">
                  <c:v>1187325480</c:v>
                </c:pt>
                <c:pt idx="62">
                  <c:v>743460848</c:v>
                </c:pt>
                <c:pt idx="63">
                  <c:v>615254685</c:v>
                </c:pt>
                <c:pt idx="64">
                  <c:v>887067278</c:v>
                </c:pt>
                <c:pt idx="65">
                  <c:v>857597466</c:v>
                </c:pt>
                <c:pt idx="66">
                  <c:v>663943847</c:v>
                </c:pt>
                <c:pt idx="67">
                  <c:v>261049913</c:v>
                </c:pt>
                <c:pt idx="68">
                  <c:v>214559704</c:v>
                </c:pt>
                <c:pt idx="69">
                  <c:v>294932105</c:v>
                </c:pt>
                <c:pt idx="70">
                  <c:v>110770261</c:v>
                </c:pt>
                <c:pt idx="71">
                  <c:v>275221137</c:v>
                </c:pt>
                <c:pt idx="72">
                  <c:v>174927834</c:v>
                </c:pt>
                <c:pt idx="73">
                  <c:v>330911502</c:v>
                </c:pt>
                <c:pt idx="74">
                  <c:v>120745416</c:v>
                </c:pt>
                <c:pt idx="75">
                  <c:v>385881834</c:v>
                </c:pt>
                <c:pt idx="76">
                  <c:v>230866169</c:v>
                </c:pt>
                <c:pt idx="77">
                  <c:v>1261524465</c:v>
                </c:pt>
                <c:pt idx="78">
                  <c:v>143096287</c:v>
                </c:pt>
                <c:pt idx="79">
                  <c:v>127311006</c:v>
                </c:pt>
                <c:pt idx="80">
                  <c:v>155150153</c:v>
                </c:pt>
                <c:pt idx="81">
                  <c:v>95322234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7213184"/>
        <c:axId val="334397824"/>
      </c:barChart>
      <c:dateAx>
        <c:axId val="367213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34397824"/>
        <c:crosses val="autoZero"/>
        <c:auto val="1"/>
        <c:lblOffset val="100"/>
        <c:baseTimeUnit val="months"/>
      </c:dateAx>
      <c:valAx>
        <c:axId val="334397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7213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57150</xdr:colOff>
      <xdr:row>5</xdr:row>
      <xdr:rowOff>76201</xdr:rowOff>
    </xdr:from>
    <xdr:to>
      <xdr:col>20</xdr:col>
      <xdr:colOff>2695575</xdr:colOff>
      <xdr:row>7</xdr:row>
      <xdr:rowOff>80011</xdr:rowOff>
    </xdr:to>
    <xdr:sp macro="[0]!RunSpecifiedPoolDaily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21</xdr:col>
      <xdr:colOff>276226</xdr:colOff>
      <xdr:row>3</xdr:row>
      <xdr:rowOff>180976</xdr:rowOff>
    </xdr:from>
    <xdr:to>
      <xdr:col>23</xdr:col>
      <xdr:colOff>47626</xdr:colOff>
      <xdr:row>5</xdr:row>
      <xdr:rowOff>165736</xdr:rowOff>
    </xdr:to>
    <xdr:sp macro="[1]!CreatePDFReport" textlink="">
      <xdr:nvSpPr>
        <xdr:cNvPr id="3" name="Rounded Rectangle 2"/>
        <xdr:cNvSpPr/>
      </xdr:nvSpPr>
      <xdr:spPr>
        <a:xfrm>
          <a:off x="18049876" y="752476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</xdr:col>
      <xdr:colOff>561974</xdr:colOff>
      <xdr:row>11</xdr:row>
      <xdr:rowOff>0</xdr:rowOff>
    </xdr:from>
    <xdr:to>
      <xdr:col>16</xdr:col>
      <xdr:colOff>561974</xdr:colOff>
      <xdr:row>39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847724</xdr:colOff>
      <xdr:row>38</xdr:row>
      <xdr:rowOff>152400</xdr:rowOff>
    </xdr:from>
    <xdr:to>
      <xdr:col>16</xdr:col>
      <xdr:colOff>609600</xdr:colOff>
      <xdr:row>40</xdr:row>
      <xdr:rowOff>123825</xdr:rowOff>
    </xdr:to>
    <xdr:sp macro="" textlink="">
      <xdr:nvSpPr>
        <xdr:cNvPr id="5" name="TextBox 4"/>
        <xdr:cNvSpPr txBox="1"/>
      </xdr:nvSpPr>
      <xdr:spPr>
        <a:xfrm>
          <a:off x="12877799" y="6305550"/>
          <a:ext cx="1590676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Cello Database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409575</xdr:colOff>
      <xdr:row>40</xdr:row>
      <xdr:rowOff>23812</xdr:rowOff>
    </xdr:from>
    <xdr:to>
      <xdr:col>25</xdr:col>
      <xdr:colOff>104775</xdr:colOff>
      <xdr:row>54</xdr:row>
      <xdr:rowOff>100012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definedNames>
      <definedName name="CreatePDFReport"/>
    </definedNames>
    <sheetDataSet>
      <sheetData sheetId="0">
        <row r="2">
          <cell r="V2">
            <v>42083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5" autoFormatId="16" applyNumberFormats="0" applyBorderFormats="0" applyFontFormats="0" applyPatternFormats="0" applyAlignmentFormats="0" applyWidthHeightFormats="0">
  <queryTableRefresh nextId="68" unboundColumnsRight="2">
    <queryTableFields count="6">
      <queryTableField id="62" name="marketTicker" tableColumnId="1"/>
      <queryTableField id="63" name="issueDate" tableColumnId="2"/>
      <queryTableField id="64" name="description" tableColumnId="3"/>
      <queryTableField id="65" name="issueAmount" tableColumnId="4"/>
      <queryTableField id="66" dataBound="0" tableColumnId="5"/>
      <queryTableField id="67" dataBound="0" tableColumnId="6"/>
    </queryTableFields>
  </queryTableRefresh>
</queryTable>
</file>

<file path=xl/queryTables/queryTable2.xml><?xml version="1.0" encoding="utf-8"?>
<queryTable xmlns="http://schemas.openxmlformats.org/spreadsheetml/2006/main" name="Query from Agency_9" backgroundRefresh="0" adjustColumnWidth="0" connectionId="2" autoFormatId="16" applyNumberFormats="0" applyBorderFormats="0" applyFontFormats="0" applyPatternFormats="0" applyAlignmentFormats="0" applyWidthHeightFormats="0">
  <queryTableRefresh nextId="66">
    <queryTableFields count="4">
      <queryTableField id="62" name="marketTicker" tableColumnId="1"/>
      <queryTableField id="63" name="issueDate" tableColumnId="2"/>
      <queryTableField id="64" name="description" tableColumnId="3"/>
      <queryTableField id="65" name="issueAmount" tableColumnId="4"/>
    </queryTableFields>
  </queryTableRefresh>
</queryTable>
</file>

<file path=xl/queryTables/queryTable3.xml><?xml version="1.0" encoding="utf-8"?>
<queryTable xmlns="http://schemas.openxmlformats.org/spreadsheetml/2006/main" name="Query from Agency_10" backgroundRefresh="0" adjustColumnWidth="0" connectionId="3" autoFormatId="16" applyNumberFormats="0" applyBorderFormats="0" applyFontFormats="0" applyPatternFormats="0" applyAlignmentFormats="0" applyWidthHeightFormats="0">
  <queryTableRefresh nextId="66">
    <queryTableFields count="4">
      <queryTableField id="62" name="marketTicker" tableColumnId="1"/>
      <queryTableField id="63" name="issueDate" tableColumnId="2"/>
      <queryTableField id="64" name="description" tableColumnId="3"/>
      <queryTableField id="65" name="issueAmount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5" name="CurrentMtgRatesDataTable826" displayName="CurrentMtgRatesDataTable826" ref="B3:G85" tableType="queryTable" totalsRowShown="0" headerRowDxfId="19" dataDxfId="18">
  <tableColumns count="6">
    <tableColumn id="1" uniqueName="1" name="marketTicker" queryTableFieldId="62" dataDxfId="17"/>
    <tableColumn id="2" uniqueName="2" name="issueDate" queryTableFieldId="63" dataDxfId="4"/>
    <tableColumn id="3" uniqueName="3" name="description" queryTableFieldId="64" dataDxfId="16"/>
    <tableColumn id="4" uniqueName="4" name="issueAmount" queryTableFieldId="65" dataDxfId="15"/>
    <tableColumn id="5" uniqueName="5" name="CQ" queryTableFieldId="66" dataDxfId="3">
      <calculatedColumnFormula>VLOOKUP(CurrentMtgRatesDataTable826[[#This Row],[issueDate]],CurrentMtgRatesDataTable8267[[issueDate]:[issueAmount]],3,0)</calculatedColumnFormula>
    </tableColumn>
    <tableColumn id="6" uniqueName="6" name="CR" queryTableFieldId="67" dataDxfId="2">
      <calculatedColumnFormula>VLOOKUP(CurrentMtgRatesDataTable826[[#This Row],[issueDate]],CurrentMtgRatesDataTable8268[[issueDate]:[issueAmount]],3,0)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CurrentMtgRatesDataTable8267" displayName="CurrentMtgRatesDataTable8267" ref="I3:L70" tableType="queryTable" totalsRowShown="0" headerRowDxfId="14" dataDxfId="13">
  <tableColumns count="4">
    <tableColumn id="1" uniqueName="1" name="marketTicker" queryTableFieldId="62" dataDxfId="12"/>
    <tableColumn id="2" uniqueName="2" name="issueDate" queryTableFieldId="63" dataDxfId="1"/>
    <tableColumn id="3" uniqueName="3" name="description" queryTableFieldId="64" dataDxfId="11"/>
    <tableColumn id="4" uniqueName="4" name="issueAmount" queryTableFieldId="65" dataDxfId="10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7" name="CurrentMtgRatesDataTable8268" displayName="CurrentMtgRatesDataTable8268" ref="O3:R38" tableType="queryTable" totalsRowShown="0" headerRowDxfId="9" dataDxfId="8">
  <tableColumns count="4">
    <tableColumn id="1" uniqueName="1" name="marketTicker" queryTableFieldId="62" dataDxfId="7"/>
    <tableColumn id="2" uniqueName="2" name="issueDate" queryTableFieldId="63" dataDxfId="0"/>
    <tableColumn id="3" uniqueName="3" name="description" queryTableFieldId="64" dataDxfId="6"/>
    <tableColumn id="4" uniqueName="4" name="issueAmount" queryTableFieldId="65" dataDxfId="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W94"/>
  <sheetViews>
    <sheetView showGridLines="0" tabSelected="1" topLeftCell="B1" zoomScaleNormal="100" workbookViewId="0">
      <selection activeCell="H7" sqref="H7"/>
    </sheetView>
  </sheetViews>
  <sheetFormatPr defaultRowHeight="12.75"/>
  <cols>
    <col min="1" max="1" width="9.140625" style="5" customWidth="1"/>
    <col min="2" max="2" width="9.140625" style="5"/>
    <col min="3" max="3" width="11.28515625" style="5" customWidth="1"/>
    <col min="4" max="16" width="13.7109375" style="5" customWidth="1"/>
    <col min="17" max="17" width="12.5703125" style="5" customWidth="1"/>
    <col min="18" max="18" width="11.28515625" style="5" customWidth="1"/>
    <col min="19" max="19" width="9.140625" style="5"/>
    <col min="20" max="20" width="14.140625" style="5" customWidth="1"/>
    <col min="21" max="21" width="40.85546875" style="5" bestFit="1" customWidth="1"/>
    <col min="22" max="22" width="14.85546875" style="5" bestFit="1" customWidth="1"/>
    <col min="23" max="16384" width="9.140625" style="5"/>
  </cols>
  <sheetData>
    <row r="1" spans="3:23">
      <c r="T1" s="1" t="s">
        <v>0</v>
      </c>
      <c r="U1" s="2" t="s">
        <v>1</v>
      </c>
      <c r="V1" s="5" t="s">
        <v>2</v>
      </c>
      <c r="W1" s="2" t="s">
        <v>3</v>
      </c>
    </row>
    <row r="2" spans="3:23">
      <c r="T2" s="1" t="s">
        <v>4</v>
      </c>
      <c r="U2" s="3">
        <v>42095</v>
      </c>
    </row>
    <row r="3" spans="3:23">
      <c r="T3" s="1" t="s">
        <v>17</v>
      </c>
      <c r="U3" s="17" t="s">
        <v>18</v>
      </c>
    </row>
    <row r="4" spans="3:23">
      <c r="T4" s="1" t="s">
        <v>5</v>
      </c>
      <c r="U4" s="17" t="str">
        <f>PDFReportDir&amp;"Specified Pool " &amp; TEXT(CurrentCloseDate, "yyyy-mm-dd") &amp; ".pdf"</f>
        <v>S:\IT\Production\Daily Reports\Primary Market\tmp\Specified Pool 2015-04-01.pdf</v>
      </c>
    </row>
    <row r="5" spans="3:23">
      <c r="T5" s="9"/>
    </row>
    <row r="6" spans="3:23">
      <c r="T6" s="9"/>
    </row>
    <row r="9" spans="3:23" s="10" customFormat="1">
      <c r="C9" s="5"/>
      <c r="D9" s="5"/>
      <c r="E9" s="5"/>
      <c r="F9" s="5"/>
      <c r="G9" s="5"/>
      <c r="H9" s="5"/>
      <c r="I9" s="5"/>
      <c r="J9" s="5"/>
      <c r="K9" s="5"/>
      <c r="L9" s="5"/>
      <c r="M9" s="5"/>
      <c r="Q9" s="5"/>
      <c r="R9" s="5"/>
      <c r="T9" s="10" t="s">
        <v>15</v>
      </c>
      <c r="U9" s="15">
        <f>IF(DAY(CurrentCloseDate)&lt;5,(CurrentCloseDate-DAY(CurrentCloseDate))-DAY((CurrentCloseDate-DAY(CurrentCloseDate)))+1,CurrentCloseDate-DAY(CurrentCloseDate)+1)</f>
        <v>42064</v>
      </c>
    </row>
    <row r="10" spans="3:23" s="11" customFormat="1"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Q10" s="5"/>
      <c r="R10" s="5"/>
      <c r="T10" s="11" t="s">
        <v>16</v>
      </c>
      <c r="U10" s="16">
        <f>(U9-1)-DAY((U9-1))+1</f>
        <v>42036</v>
      </c>
    </row>
    <row r="11" spans="3:23" s="11" customFormat="1"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Q11" s="5"/>
      <c r="R11" s="5"/>
    </row>
    <row r="12" spans="3:23" s="11" customForma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Q12" s="5"/>
      <c r="R12" s="5"/>
      <c r="U12" s="16"/>
    </row>
    <row r="13" spans="3:23" s="11" customFormat="1"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Q13" s="5"/>
      <c r="R13" s="5"/>
    </row>
    <row r="14" spans="3:23" s="11" customFormat="1"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Q14" s="5"/>
      <c r="R14" s="5"/>
    </row>
    <row r="15" spans="3:23" s="11" customFormat="1"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Q15" s="5"/>
      <c r="R15" s="5"/>
    </row>
    <row r="16" spans="3:23" s="11" customFormat="1"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Q16" s="5"/>
      <c r="R16" s="5"/>
    </row>
    <row r="17" spans="3:18" s="11" customFormat="1"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Q17" s="5"/>
      <c r="R17" s="5"/>
    </row>
    <row r="18" spans="3:18" s="11" customFormat="1"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Q18" s="5"/>
      <c r="R18" s="5"/>
    </row>
    <row r="19" spans="3:18" s="11" customFormat="1"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Q19" s="5"/>
      <c r="R19" s="5"/>
    </row>
    <row r="20" spans="3:18" s="11" customForma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Q20" s="5"/>
      <c r="R20" s="5"/>
    </row>
    <row r="21" spans="3:18" s="11" customFormat="1"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Q21" s="5"/>
      <c r="R21" s="5"/>
    </row>
    <row r="43" spans="4:16" ht="15">
      <c r="D43" s="4" t="s">
        <v>34</v>
      </c>
    </row>
    <row r="44" spans="4:16">
      <c r="D44" s="20"/>
      <c r="E44" s="21">
        <f>Historical!D3</f>
        <v>42064</v>
      </c>
      <c r="F44" s="21">
        <f>E44-DAY(E44-1)</f>
        <v>42036</v>
      </c>
      <c r="G44" s="21">
        <f t="shared" ref="G44:P44" si="0">F44-DAY(F44-1)</f>
        <v>42005</v>
      </c>
      <c r="H44" s="21">
        <f t="shared" si="0"/>
        <v>41974</v>
      </c>
      <c r="I44" s="21">
        <f t="shared" si="0"/>
        <v>41944</v>
      </c>
      <c r="J44" s="21">
        <f t="shared" si="0"/>
        <v>41913</v>
      </c>
      <c r="K44" s="21">
        <f t="shared" si="0"/>
        <v>41883</v>
      </c>
      <c r="L44" s="21">
        <f t="shared" si="0"/>
        <v>41852</v>
      </c>
      <c r="M44" s="21">
        <f t="shared" si="0"/>
        <v>41821</v>
      </c>
      <c r="N44" s="21">
        <f t="shared" si="0"/>
        <v>41791</v>
      </c>
      <c r="O44" s="21">
        <f t="shared" si="0"/>
        <v>41760</v>
      </c>
      <c r="P44" s="21">
        <f t="shared" si="0"/>
        <v>41730</v>
      </c>
    </row>
    <row r="45" spans="4:16">
      <c r="D45" s="26" t="s">
        <v>31</v>
      </c>
      <c r="E45" s="25">
        <f>Historical!D4</f>
        <v>1012.026911</v>
      </c>
      <c r="F45" s="25">
        <f>Historical!E4</f>
        <v>821.12825999999995</v>
      </c>
      <c r="G45" s="25">
        <f>Historical!F4</f>
        <v>667.43471099999999</v>
      </c>
      <c r="H45" s="25">
        <f>Historical!G4</f>
        <v>771.02875400000005</v>
      </c>
      <c r="I45" s="25">
        <f>Historical!H4</f>
        <v>549.34720200000004</v>
      </c>
      <c r="J45" s="25">
        <f>Historical!I4</f>
        <v>639.00119299999994</v>
      </c>
      <c r="K45" s="25">
        <f>Historical!J4</f>
        <v>746.26410499999997</v>
      </c>
      <c r="L45" s="25">
        <f>Historical!K4</f>
        <v>449.79729500000002</v>
      </c>
      <c r="M45" s="25">
        <f>Historical!L4</f>
        <v>562.39022199999999</v>
      </c>
      <c r="N45" s="25">
        <f>Historical!M4</f>
        <v>319.731336</v>
      </c>
      <c r="O45" s="25">
        <f>Historical!N4</f>
        <v>337.68890800000003</v>
      </c>
      <c r="P45" s="25">
        <f>Historical!O4</f>
        <v>278.28057699999999</v>
      </c>
    </row>
    <row r="46" spans="4:16">
      <c r="D46" s="26" t="s">
        <v>29</v>
      </c>
      <c r="E46" s="25">
        <f>Historical!D5</f>
        <v>104.94694200000001</v>
      </c>
      <c r="F46" s="25">
        <f>Historical!E5</f>
        <v>469.33425699999998</v>
      </c>
      <c r="G46" s="25">
        <f>Historical!F5</f>
        <v>120.675652</v>
      </c>
      <c r="H46" s="25">
        <f>Historical!G5</f>
        <v>145.992266</v>
      </c>
      <c r="I46" s="25">
        <f>Historical!H5</f>
        <v>371.096</v>
      </c>
      <c r="J46" s="25">
        <f>Historical!I5</f>
        <v>169.36623800000001</v>
      </c>
      <c r="K46" s="25">
        <f>Historical!J5</f>
        <v>187.30827199999999</v>
      </c>
      <c r="L46" s="25">
        <f>Historical!K5</f>
        <v>346.55488800000001</v>
      </c>
      <c r="M46" s="25">
        <f>Historical!L5</f>
        <v>206.48126400000001</v>
      </c>
      <c r="N46" s="25">
        <f>Historical!M5</f>
        <v>244.291451</v>
      </c>
      <c r="O46" s="25">
        <f>Historical!N5</f>
        <v>186.03763599999999</v>
      </c>
      <c r="P46" s="25">
        <f>Historical!O5</f>
        <v>255.206728</v>
      </c>
    </row>
    <row r="47" spans="4:16">
      <c r="D47" s="26" t="s">
        <v>30</v>
      </c>
      <c r="E47" s="25">
        <f>Historical!D6</f>
        <v>155.15015299999999</v>
      </c>
      <c r="F47" s="25">
        <f>Historical!E6</f>
        <v>127.31100600000001</v>
      </c>
      <c r="G47" s="25">
        <f>Historical!F6</f>
        <v>143.09628699999999</v>
      </c>
      <c r="H47" s="25">
        <f>Historical!G6</f>
        <v>1261.524465</v>
      </c>
      <c r="I47" s="25">
        <f>Historical!H6</f>
        <v>230.86616900000001</v>
      </c>
      <c r="J47" s="25">
        <f>Historical!I6</f>
        <v>385.88183400000003</v>
      </c>
      <c r="K47" s="25">
        <f>Historical!J6</f>
        <v>120.74541600000001</v>
      </c>
      <c r="L47" s="25">
        <f>Historical!K6</f>
        <v>330.91150199999998</v>
      </c>
      <c r="M47" s="25">
        <f>Historical!L6</f>
        <v>174.92783399999999</v>
      </c>
      <c r="N47" s="25">
        <f>Historical!M6</f>
        <v>275.221137</v>
      </c>
      <c r="O47" s="25">
        <f>Historical!N6</f>
        <v>110.770261</v>
      </c>
      <c r="P47" s="25">
        <f>Historical!O6</f>
        <v>294.93210499999998</v>
      </c>
    </row>
    <row r="48" spans="4:16">
      <c r="D48" s="29" t="s">
        <v>32</v>
      </c>
      <c r="E48" s="24">
        <f>SUM(E45:E47)</f>
        <v>1272.124006</v>
      </c>
      <c r="F48" s="24">
        <f t="shared" ref="F48:P48" si="1">SUM(F45:F47)</f>
        <v>1417.7735229999998</v>
      </c>
      <c r="G48" s="24">
        <f t="shared" si="1"/>
        <v>931.20664999999997</v>
      </c>
      <c r="H48" s="24">
        <f t="shared" si="1"/>
        <v>2178.5454850000001</v>
      </c>
      <c r="I48" s="24">
        <f t="shared" si="1"/>
        <v>1151.3093710000001</v>
      </c>
      <c r="J48" s="24">
        <f t="shared" si="1"/>
        <v>1194.2492649999999</v>
      </c>
      <c r="K48" s="24">
        <f t="shared" si="1"/>
        <v>1054.3177929999999</v>
      </c>
      <c r="L48" s="24">
        <f t="shared" si="1"/>
        <v>1127.2636849999999</v>
      </c>
      <c r="M48" s="24">
        <f t="shared" si="1"/>
        <v>943.79931999999997</v>
      </c>
      <c r="N48" s="24">
        <f t="shared" si="1"/>
        <v>839.24392399999999</v>
      </c>
      <c r="O48" s="24">
        <f t="shared" si="1"/>
        <v>634.49680499999999</v>
      </c>
      <c r="P48" s="24">
        <f t="shared" si="1"/>
        <v>828.41940999999997</v>
      </c>
    </row>
    <row r="49" spans="4:16">
      <c r="D49" s="30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</row>
    <row r="50" spans="4:16">
      <c r="D50" s="30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</row>
    <row r="51" spans="4:16">
      <c r="D51" s="27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</row>
    <row r="52" spans="4:16" ht="15">
      <c r="D52" s="4" t="s">
        <v>35</v>
      </c>
    </row>
    <row r="53" spans="4:16" customFormat="1" ht="15">
      <c r="D53" s="6"/>
      <c r="E53" s="7" t="s">
        <v>33</v>
      </c>
      <c r="F53" s="8" t="s">
        <v>11</v>
      </c>
      <c r="G53" s="8" t="s">
        <v>12</v>
      </c>
      <c r="H53" s="8" t="s">
        <v>13</v>
      </c>
      <c r="I53" s="8" t="s">
        <v>14</v>
      </c>
    </row>
    <row r="54" spans="4:16" customFormat="1" ht="15">
      <c r="D54" s="26" t="s">
        <v>31</v>
      </c>
      <c r="E54" s="25">
        <f>E45</f>
        <v>1012.026911</v>
      </c>
      <c r="F54" s="25">
        <f>E45-F45</f>
        <v>190.89865100000009</v>
      </c>
      <c r="G54" s="25">
        <f>E45-H45</f>
        <v>240.99815699999999</v>
      </c>
      <c r="H54" s="25">
        <f>E45-K45</f>
        <v>265.76280600000007</v>
      </c>
      <c r="I54" s="25">
        <f>E45-P45</f>
        <v>733.74633400000005</v>
      </c>
    </row>
    <row r="55" spans="4:16" customFormat="1" ht="15">
      <c r="D55" s="26" t="s">
        <v>29</v>
      </c>
      <c r="E55" s="25">
        <f t="shared" ref="E55:E56" si="2">E46</f>
        <v>104.94694200000001</v>
      </c>
      <c r="F55" s="25">
        <f t="shared" ref="F55:F56" si="3">E46-F46</f>
        <v>-364.38731499999994</v>
      </c>
      <c r="G55" s="25">
        <f t="shared" ref="G55:G56" si="4">E46-H46</f>
        <v>-41.045323999999994</v>
      </c>
      <c r="H55" s="25">
        <f t="shared" ref="H55:H56" si="5">E46-K46</f>
        <v>-82.361329999999981</v>
      </c>
      <c r="I55" s="25">
        <f t="shared" ref="I55:I56" si="6">E46-P46</f>
        <v>-150.25978599999999</v>
      </c>
    </row>
    <row r="56" spans="4:16" customFormat="1" ht="15">
      <c r="D56" s="26" t="s">
        <v>30</v>
      </c>
      <c r="E56" s="25">
        <f t="shared" si="2"/>
        <v>155.15015299999999</v>
      </c>
      <c r="F56" s="25">
        <f t="shared" si="3"/>
        <v>27.839146999999983</v>
      </c>
      <c r="G56" s="25">
        <f t="shared" si="4"/>
        <v>-1106.3743119999999</v>
      </c>
      <c r="H56" s="25">
        <f t="shared" si="5"/>
        <v>34.404736999999983</v>
      </c>
      <c r="I56" s="25">
        <f t="shared" si="6"/>
        <v>-139.78195199999999</v>
      </c>
    </row>
    <row r="57" spans="4:16" customFormat="1" ht="15">
      <c r="D57" s="29" t="s">
        <v>32</v>
      </c>
      <c r="E57" s="24">
        <f>SUM(E54:E56)</f>
        <v>1272.124006</v>
      </c>
      <c r="F57" s="24">
        <f t="shared" ref="F57" si="7">SUM(F54:F56)</f>
        <v>-145.64951699999989</v>
      </c>
      <c r="G57" s="24">
        <f t="shared" ref="G57" si="8">SUM(G54:G56)</f>
        <v>-906.42147899999986</v>
      </c>
      <c r="H57" s="24">
        <f t="shared" ref="H57" si="9">SUM(H54:H56)</f>
        <v>217.80621300000007</v>
      </c>
      <c r="I57" s="24">
        <f t="shared" ref="I57" si="10">SUM(I54:I56)</f>
        <v>443.70459600000009</v>
      </c>
    </row>
    <row r="58" spans="4:16" customFormat="1" ht="15"/>
    <row r="59" spans="4:16" customFormat="1" ht="15"/>
    <row r="60" spans="4:16" customFormat="1" ht="15"/>
    <row r="61" spans="4:16" customFormat="1" ht="15"/>
    <row r="62" spans="4:16" customFormat="1" ht="15"/>
    <row r="63" spans="4:16" customFormat="1" ht="15"/>
    <row r="64" spans="4:16" customFormat="1" ht="15"/>
    <row r="65" customFormat="1" ht="15"/>
    <row r="66" customFormat="1" ht="15"/>
    <row r="67" customFormat="1" ht="15"/>
    <row r="91" spans="16:17">
      <c r="P91" s="12" t="s">
        <v>10</v>
      </c>
      <c r="Q91" s="13" t="s">
        <v>6</v>
      </c>
    </row>
    <row r="92" spans="16:17">
      <c r="Q92" s="13" t="s">
        <v>7</v>
      </c>
    </row>
    <row r="93" spans="16:17">
      <c r="Q93" s="13" t="s">
        <v>8</v>
      </c>
    </row>
    <row r="94" spans="16:17">
      <c r="Q94" s="14" t="s">
        <v>9</v>
      </c>
    </row>
  </sheetData>
  <dataValidations disablePrompts="1" count="2">
    <dataValidation type="list" allowBlank="1" showInputMessage="1" showErrorMessage="1" sqref="W1">
      <formula1>"Yes, No"</formula1>
    </dataValidation>
    <dataValidation type="list" allowBlank="1" showInputMessage="1" showErrorMessage="1" sqref="U1">
      <formula1>"PROD, DEV"</formula1>
    </dataValidation>
  </dataValidations>
  <hyperlinks>
    <hyperlink ref="Q91" r:id="rId1" location="closeModal"/>
    <hyperlink ref="Q92" r:id="rId2"/>
    <hyperlink ref="Q94" r:id="rId3"/>
    <hyperlink ref="Q93" r:id="rId4" location="key-benefits"/>
  </hyperlinks>
  <pageMargins left="0.25" right="0.25" top="0.255" bottom="0.25" header="0.1" footer="0.1"/>
  <pageSetup scale="66" orientation="landscape" horizontalDpi="1200" verticalDpi="1200" r:id="rId5"/>
  <headerFooter scaleWithDoc="0">
    <oddHeader>&amp;L&amp;G&amp;C&amp;"-,Bold"&amp;10&amp;K2E398A
&amp;15&amp;K2E398ATrends In Specified Pool Issuance&amp;R&amp;"-,Bold"&amp;10&amp;K2E398A
As of 04/01/2015</oddHeader>
    <oddFooter>&amp;L&amp;10&amp;K2E398AReport created on &amp;D &amp;T&amp;C&amp;G
&amp;8&amp;K2E398APage &amp;P of &amp;N</oddFooter>
  </headerFooter>
  <colBreaks count="1" manualBreakCount="1">
    <brk id="18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O7"/>
  <sheetViews>
    <sheetView workbookViewId="0">
      <selection activeCell="F50" sqref="F50"/>
    </sheetView>
  </sheetViews>
  <sheetFormatPr defaultRowHeight="15"/>
  <cols>
    <col min="3" max="3" width="12.7109375" bestFit="1" customWidth="1"/>
    <col min="4" max="4" width="15.85546875" bestFit="1" customWidth="1"/>
    <col min="7" max="9" width="9.7109375" bestFit="1" customWidth="1"/>
  </cols>
  <sheetData>
    <row r="3" spans="3:15">
      <c r="C3" s="20"/>
      <c r="D3" s="21">
        <f>Report!U9</f>
        <v>42064</v>
      </c>
      <c r="E3" s="21">
        <f>D3-DAY(D3-1)</f>
        <v>42036</v>
      </c>
      <c r="F3" s="21">
        <f t="shared" ref="F3:O3" si="0">E3-DAY(E3-1)</f>
        <v>42005</v>
      </c>
      <c r="G3" s="21">
        <f t="shared" si="0"/>
        <v>41974</v>
      </c>
      <c r="H3" s="21">
        <f t="shared" si="0"/>
        <v>41944</v>
      </c>
      <c r="I3" s="21">
        <f t="shared" si="0"/>
        <v>41913</v>
      </c>
      <c r="J3" s="21">
        <f t="shared" si="0"/>
        <v>41883</v>
      </c>
      <c r="K3" s="21">
        <f t="shared" si="0"/>
        <v>41852</v>
      </c>
      <c r="L3" s="21">
        <f t="shared" si="0"/>
        <v>41821</v>
      </c>
      <c r="M3" s="21">
        <f t="shared" si="0"/>
        <v>41791</v>
      </c>
      <c r="N3" s="21">
        <f t="shared" si="0"/>
        <v>41760</v>
      </c>
      <c r="O3" s="21">
        <f t="shared" si="0"/>
        <v>41730</v>
      </c>
    </row>
    <row r="4" spans="3:15">
      <c r="C4" s="22" t="s">
        <v>31</v>
      </c>
      <c r="D4" s="23">
        <f>VLOOKUP(D$3,CurrentMtgRatesDataTable826[[issueDate]:[CR]],3,0)/1000000</f>
        <v>1012.026911</v>
      </c>
      <c r="E4" s="24">
        <f>VLOOKUP(E$3,CurrentMtgRatesDataTable826[[issueDate]:[CR]],3,0)/1000000</f>
        <v>821.12825999999995</v>
      </c>
      <c r="F4" s="24">
        <f>VLOOKUP(F$3,CurrentMtgRatesDataTable826[[issueDate]:[CR]],3,0)/1000000</f>
        <v>667.43471099999999</v>
      </c>
      <c r="G4" s="24">
        <f>VLOOKUP(G$3,CurrentMtgRatesDataTable826[[issueDate]:[CR]],3,0)/1000000</f>
        <v>771.02875400000005</v>
      </c>
      <c r="H4" s="24">
        <f>VLOOKUP(H$3,CurrentMtgRatesDataTable826[[issueDate]:[CR]],3,0)/1000000</f>
        <v>549.34720200000004</v>
      </c>
      <c r="I4" s="24">
        <f>VLOOKUP(I$3,CurrentMtgRatesDataTable826[[issueDate]:[CR]],3,0)/1000000</f>
        <v>639.00119299999994</v>
      </c>
      <c r="J4" s="24">
        <f>VLOOKUP(J$3,CurrentMtgRatesDataTable826[[issueDate]:[CR]],3,0)/1000000</f>
        <v>746.26410499999997</v>
      </c>
      <c r="K4" s="24">
        <f>VLOOKUP(K$3,CurrentMtgRatesDataTable826[[issueDate]:[CR]],3,0)/1000000</f>
        <v>449.79729500000002</v>
      </c>
      <c r="L4" s="24">
        <f>VLOOKUP(L$3,CurrentMtgRatesDataTable826[[issueDate]:[CR]],3,0)/1000000</f>
        <v>562.39022199999999</v>
      </c>
      <c r="M4" s="24">
        <f>VLOOKUP(M$3,CurrentMtgRatesDataTable826[[issueDate]:[CR]],3,0)/1000000</f>
        <v>319.731336</v>
      </c>
      <c r="N4" s="24">
        <f>VLOOKUP(N$3,CurrentMtgRatesDataTable826[[issueDate]:[CR]],3,0)/1000000</f>
        <v>337.68890800000003</v>
      </c>
      <c r="O4" s="24">
        <f>VLOOKUP(O$3,CurrentMtgRatesDataTable826[[issueDate]:[CR]],3,0)/1000000</f>
        <v>278.28057699999999</v>
      </c>
    </row>
    <row r="5" spans="3:15">
      <c r="C5" s="22" t="s">
        <v>29</v>
      </c>
      <c r="D5" s="23">
        <f>VLOOKUP(D$3,CurrentMtgRatesDataTable826[[issueDate]:[CR]],4,0)/1000000</f>
        <v>104.94694200000001</v>
      </c>
      <c r="E5" s="24">
        <f>VLOOKUP(E$3,CurrentMtgRatesDataTable826[[issueDate]:[CR]],4,0)/1000000</f>
        <v>469.33425699999998</v>
      </c>
      <c r="F5" s="24">
        <f>VLOOKUP(F$3,CurrentMtgRatesDataTable826[[issueDate]:[CR]],4,0)/1000000</f>
        <v>120.675652</v>
      </c>
      <c r="G5" s="24">
        <f>VLOOKUP(G$3,CurrentMtgRatesDataTable826[[issueDate]:[CR]],4,0)/1000000</f>
        <v>145.992266</v>
      </c>
      <c r="H5" s="24">
        <f>VLOOKUP(H$3,CurrentMtgRatesDataTable826[[issueDate]:[CR]],4,0)/1000000</f>
        <v>371.096</v>
      </c>
      <c r="I5" s="24">
        <f>VLOOKUP(I$3,CurrentMtgRatesDataTable826[[issueDate]:[CR]],4,0)/1000000</f>
        <v>169.36623800000001</v>
      </c>
      <c r="J5" s="24">
        <f>VLOOKUP(J$3,CurrentMtgRatesDataTable826[[issueDate]:[CR]],4,0)/1000000</f>
        <v>187.30827199999999</v>
      </c>
      <c r="K5" s="24">
        <f>VLOOKUP(K$3,CurrentMtgRatesDataTable826[[issueDate]:[CR]],4,0)/1000000</f>
        <v>346.55488800000001</v>
      </c>
      <c r="L5" s="24">
        <f>VLOOKUP(L$3,CurrentMtgRatesDataTable826[[issueDate]:[CR]],4,0)/1000000</f>
        <v>206.48126400000001</v>
      </c>
      <c r="M5" s="24">
        <f>VLOOKUP(M$3,CurrentMtgRatesDataTable826[[issueDate]:[CR]],4,0)/1000000</f>
        <v>244.291451</v>
      </c>
      <c r="N5" s="24">
        <f>VLOOKUP(N$3,CurrentMtgRatesDataTable826[[issueDate]:[CR]],4,0)/1000000</f>
        <v>186.03763599999999</v>
      </c>
      <c r="O5" s="24">
        <f>VLOOKUP(O$3,CurrentMtgRatesDataTable826[[issueDate]:[CR]],4,0)/1000000</f>
        <v>255.206728</v>
      </c>
    </row>
    <row r="6" spans="3:15">
      <c r="C6" s="22" t="s">
        <v>30</v>
      </c>
      <c r="D6" s="23">
        <f>VLOOKUP(D$3,CurrentMtgRatesDataTable826[[issueDate]:[CR]],5,0)/1000000</f>
        <v>155.15015299999999</v>
      </c>
      <c r="E6" s="24">
        <f>VLOOKUP(E$3,CurrentMtgRatesDataTable826[[issueDate]:[CR]],5,0)/1000000</f>
        <v>127.31100600000001</v>
      </c>
      <c r="F6" s="24">
        <f>VLOOKUP(F$3,CurrentMtgRatesDataTable826[[issueDate]:[CR]],5,0)/1000000</f>
        <v>143.09628699999999</v>
      </c>
      <c r="G6" s="24">
        <f>VLOOKUP(G$3,CurrentMtgRatesDataTable826[[issueDate]:[CR]],5,0)/1000000</f>
        <v>1261.524465</v>
      </c>
      <c r="H6" s="24">
        <f>VLOOKUP(H$3,CurrentMtgRatesDataTable826[[issueDate]:[CR]],5,0)/1000000</f>
        <v>230.86616900000001</v>
      </c>
      <c r="I6" s="24">
        <f>VLOOKUP(I$3,CurrentMtgRatesDataTable826[[issueDate]:[CR]],5,0)/1000000</f>
        <v>385.88183400000003</v>
      </c>
      <c r="J6" s="24">
        <f>VLOOKUP(J$3,CurrentMtgRatesDataTable826[[issueDate]:[CR]],5,0)/1000000</f>
        <v>120.74541600000001</v>
      </c>
      <c r="K6" s="24">
        <f>VLOOKUP(K$3,CurrentMtgRatesDataTable826[[issueDate]:[CR]],5,0)/1000000</f>
        <v>330.91150199999998</v>
      </c>
      <c r="L6" s="24">
        <f>VLOOKUP(L$3,CurrentMtgRatesDataTable826[[issueDate]:[CR]],5,0)/1000000</f>
        <v>174.92783399999999</v>
      </c>
      <c r="M6" s="24">
        <f>VLOOKUP(M$3,CurrentMtgRatesDataTable826[[issueDate]:[CR]],5,0)/1000000</f>
        <v>275.221137</v>
      </c>
      <c r="N6" s="24">
        <f>VLOOKUP(N$3,CurrentMtgRatesDataTable826[[issueDate]:[CR]],5,0)/1000000</f>
        <v>110.770261</v>
      </c>
      <c r="O6" s="24">
        <f>VLOOKUP(O$3,CurrentMtgRatesDataTable826[[issueDate]:[CR]],5,0)/1000000</f>
        <v>294.93210499999998</v>
      </c>
    </row>
    <row r="7" spans="3:15">
      <c r="C7" s="22" t="s">
        <v>32</v>
      </c>
      <c r="D7" s="23">
        <f>SUM(D4:D6)</f>
        <v>1272.124006</v>
      </c>
      <c r="E7" s="24">
        <f t="shared" ref="E7:O7" si="1">SUM(E4:E6)</f>
        <v>1417.7735229999998</v>
      </c>
      <c r="F7" s="24">
        <f t="shared" si="1"/>
        <v>931.20664999999997</v>
      </c>
      <c r="G7" s="24">
        <f t="shared" si="1"/>
        <v>2178.5454850000001</v>
      </c>
      <c r="H7" s="24">
        <f t="shared" si="1"/>
        <v>1151.3093710000001</v>
      </c>
      <c r="I7" s="24">
        <f t="shared" si="1"/>
        <v>1194.2492649999999</v>
      </c>
      <c r="J7" s="24">
        <f t="shared" si="1"/>
        <v>1054.3177929999999</v>
      </c>
      <c r="K7" s="24">
        <f t="shared" si="1"/>
        <v>1127.2636849999999</v>
      </c>
      <c r="L7" s="24">
        <f t="shared" si="1"/>
        <v>943.79931999999997</v>
      </c>
      <c r="M7" s="24">
        <f t="shared" si="1"/>
        <v>839.24392399999999</v>
      </c>
      <c r="N7" s="24">
        <f t="shared" si="1"/>
        <v>634.49680499999999</v>
      </c>
      <c r="O7" s="24">
        <f t="shared" si="1"/>
        <v>828.41940999999997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59999389629810485"/>
  </sheetPr>
  <dimension ref="B3:R85"/>
  <sheetViews>
    <sheetView showGridLines="0" workbookViewId="0">
      <selection activeCell="E10" sqref="E10"/>
    </sheetView>
  </sheetViews>
  <sheetFormatPr defaultRowHeight="15"/>
  <cols>
    <col min="12" max="12" width="12.28515625" customWidth="1"/>
  </cols>
  <sheetData>
    <row r="3" spans="2:18">
      <c r="B3" s="19" t="s">
        <v>19</v>
      </c>
      <c r="C3" s="19" t="s">
        <v>20</v>
      </c>
      <c r="D3" s="19" t="s">
        <v>21</v>
      </c>
      <c r="E3" s="19" t="s">
        <v>22</v>
      </c>
      <c r="F3" s="19" t="s">
        <v>29</v>
      </c>
      <c r="G3" s="19" t="s">
        <v>30</v>
      </c>
      <c r="I3" s="19" t="s">
        <v>19</v>
      </c>
      <c r="J3" s="19" t="s">
        <v>20</v>
      </c>
      <c r="K3" s="19" t="s">
        <v>21</v>
      </c>
      <c r="L3" s="19" t="s">
        <v>22</v>
      </c>
      <c r="O3" s="19" t="s">
        <v>19</v>
      </c>
      <c r="P3" s="19" t="s">
        <v>20</v>
      </c>
      <c r="Q3" s="19" t="s">
        <v>21</v>
      </c>
      <c r="R3" s="19" t="s">
        <v>22</v>
      </c>
    </row>
    <row r="4" spans="2:18">
      <c r="B4" t="s">
        <v>23</v>
      </c>
      <c r="C4" s="18">
        <v>39569</v>
      </c>
      <c r="D4" t="s">
        <v>24</v>
      </c>
      <c r="E4">
        <v>23663260</v>
      </c>
      <c r="F4" s="19" t="e">
        <f>VLOOKUP(CurrentMtgRatesDataTable826[[#This Row],[issueDate]],CurrentMtgRatesDataTable8267[[issueDate]:[issueAmount]],3,0)</f>
        <v>#N/A</v>
      </c>
      <c r="G4" s="19" t="e">
        <f>VLOOKUP(CurrentMtgRatesDataTable826[[#This Row],[issueDate]],CurrentMtgRatesDataTable8268[[issueDate]:[issueAmount]],3,0)</f>
        <v>#N/A</v>
      </c>
      <c r="I4" t="s">
        <v>25</v>
      </c>
      <c r="J4" s="18">
        <v>40087</v>
      </c>
      <c r="K4" t="s">
        <v>26</v>
      </c>
      <c r="L4">
        <v>15343058</v>
      </c>
      <c r="O4" t="s">
        <v>27</v>
      </c>
      <c r="P4" s="18">
        <v>41061</v>
      </c>
      <c r="Q4" t="s">
        <v>28</v>
      </c>
      <c r="R4">
        <v>5627164641</v>
      </c>
    </row>
    <row r="5" spans="2:18">
      <c r="B5" t="s">
        <v>23</v>
      </c>
      <c r="C5" s="18">
        <v>39600</v>
      </c>
      <c r="D5" t="s">
        <v>24</v>
      </c>
      <c r="E5">
        <v>407983823</v>
      </c>
      <c r="F5" s="19" t="e">
        <f>VLOOKUP(CurrentMtgRatesDataTable826[[#This Row],[issueDate]],CurrentMtgRatesDataTable8267[[issueDate]:[issueAmount]],3,0)</f>
        <v>#N/A</v>
      </c>
      <c r="G5" s="19" t="e">
        <f>VLOOKUP(CurrentMtgRatesDataTable826[[#This Row],[issueDate]],CurrentMtgRatesDataTable8268[[issueDate]:[issueAmount]],3,0)</f>
        <v>#N/A</v>
      </c>
      <c r="I5" t="s">
        <v>25</v>
      </c>
      <c r="J5" s="18">
        <v>40118</v>
      </c>
      <c r="K5" t="s">
        <v>26</v>
      </c>
      <c r="L5">
        <v>91360480</v>
      </c>
      <c r="O5" t="s">
        <v>27</v>
      </c>
      <c r="P5" s="18">
        <v>41091</v>
      </c>
      <c r="Q5" t="s">
        <v>28</v>
      </c>
      <c r="R5">
        <v>3713048773</v>
      </c>
    </row>
    <row r="6" spans="2:18">
      <c r="B6" t="s">
        <v>23</v>
      </c>
      <c r="C6" s="18">
        <v>39630</v>
      </c>
      <c r="D6" t="s">
        <v>24</v>
      </c>
      <c r="E6">
        <v>1750566475</v>
      </c>
      <c r="F6" s="19" t="e">
        <f>VLOOKUP(CurrentMtgRatesDataTable826[[#This Row],[issueDate]],CurrentMtgRatesDataTable8267[[issueDate]:[issueAmount]],3,0)</f>
        <v>#N/A</v>
      </c>
      <c r="G6" s="19" t="e">
        <f>VLOOKUP(CurrentMtgRatesDataTable826[[#This Row],[issueDate]],CurrentMtgRatesDataTable8268[[issueDate]:[issueAmount]],3,0)</f>
        <v>#N/A</v>
      </c>
      <c r="I6" t="s">
        <v>25</v>
      </c>
      <c r="J6" s="18">
        <v>40148</v>
      </c>
      <c r="K6" t="s">
        <v>26</v>
      </c>
      <c r="L6">
        <v>128578512</v>
      </c>
      <c r="O6" t="s">
        <v>27</v>
      </c>
      <c r="P6" s="18">
        <v>41122</v>
      </c>
      <c r="Q6" t="s">
        <v>28</v>
      </c>
      <c r="R6">
        <v>3482283708</v>
      </c>
    </row>
    <row r="7" spans="2:18">
      <c r="B7" t="s">
        <v>23</v>
      </c>
      <c r="C7" s="18">
        <v>39661</v>
      </c>
      <c r="D7" t="s">
        <v>24</v>
      </c>
      <c r="E7">
        <v>1955300974</v>
      </c>
      <c r="F7" s="19" t="e">
        <f>VLOOKUP(CurrentMtgRatesDataTable826[[#This Row],[issueDate]],CurrentMtgRatesDataTable8267[[issueDate]:[issueAmount]],3,0)</f>
        <v>#N/A</v>
      </c>
      <c r="G7" s="19" t="e">
        <f>VLOOKUP(CurrentMtgRatesDataTable826[[#This Row],[issueDate]],CurrentMtgRatesDataTable8268[[issueDate]:[issueAmount]],3,0)</f>
        <v>#N/A</v>
      </c>
      <c r="I7" t="s">
        <v>25</v>
      </c>
      <c r="J7" s="18">
        <v>40179</v>
      </c>
      <c r="K7" t="s">
        <v>26</v>
      </c>
      <c r="L7">
        <v>172690172</v>
      </c>
      <c r="O7" t="s">
        <v>27</v>
      </c>
      <c r="P7" s="18">
        <v>41153</v>
      </c>
      <c r="Q7" t="s">
        <v>28</v>
      </c>
      <c r="R7">
        <v>3393761631</v>
      </c>
    </row>
    <row r="8" spans="2:18">
      <c r="B8" t="s">
        <v>23</v>
      </c>
      <c r="C8" s="18">
        <v>39692</v>
      </c>
      <c r="D8" t="s">
        <v>24</v>
      </c>
      <c r="E8">
        <v>2407549009</v>
      </c>
      <c r="F8" s="19" t="e">
        <f>VLOOKUP(CurrentMtgRatesDataTable826[[#This Row],[issueDate]],CurrentMtgRatesDataTable8267[[issueDate]:[issueAmount]],3,0)</f>
        <v>#N/A</v>
      </c>
      <c r="G8" s="19" t="e">
        <f>VLOOKUP(CurrentMtgRatesDataTable826[[#This Row],[issueDate]],CurrentMtgRatesDataTable8268[[issueDate]:[issueAmount]],3,0)</f>
        <v>#N/A</v>
      </c>
      <c r="I8" t="s">
        <v>25</v>
      </c>
      <c r="J8" s="18">
        <v>40210</v>
      </c>
      <c r="K8" t="s">
        <v>26</v>
      </c>
      <c r="L8">
        <v>191438050</v>
      </c>
      <c r="O8" t="s">
        <v>27</v>
      </c>
      <c r="P8" s="18">
        <v>41183</v>
      </c>
      <c r="Q8" t="s">
        <v>28</v>
      </c>
      <c r="R8">
        <v>2591936940</v>
      </c>
    </row>
    <row r="9" spans="2:18">
      <c r="B9" t="s">
        <v>23</v>
      </c>
      <c r="C9" s="18">
        <v>39722</v>
      </c>
      <c r="D9" t="s">
        <v>24</v>
      </c>
      <c r="E9">
        <v>1303092497</v>
      </c>
      <c r="F9" s="19" t="e">
        <f>VLOOKUP(CurrentMtgRatesDataTable826[[#This Row],[issueDate]],CurrentMtgRatesDataTable8267[[issueDate]:[issueAmount]],3,0)</f>
        <v>#N/A</v>
      </c>
      <c r="G9" s="19" t="e">
        <f>VLOOKUP(CurrentMtgRatesDataTable826[[#This Row],[issueDate]],CurrentMtgRatesDataTable8268[[issueDate]:[issueAmount]],3,0)</f>
        <v>#N/A</v>
      </c>
      <c r="I9" t="s">
        <v>25</v>
      </c>
      <c r="J9" s="18">
        <v>40238</v>
      </c>
      <c r="K9" t="s">
        <v>26</v>
      </c>
      <c r="L9">
        <v>214765657</v>
      </c>
      <c r="O9" t="s">
        <v>27</v>
      </c>
      <c r="P9" s="18">
        <v>41214</v>
      </c>
      <c r="Q9" t="s">
        <v>28</v>
      </c>
      <c r="R9">
        <v>3531096335</v>
      </c>
    </row>
    <row r="10" spans="2:18">
      <c r="B10" t="s">
        <v>23</v>
      </c>
      <c r="C10" s="18">
        <v>39783</v>
      </c>
      <c r="D10" t="s">
        <v>24</v>
      </c>
      <c r="E10">
        <v>15472793</v>
      </c>
      <c r="F10" s="19" t="e">
        <f>VLOOKUP(CurrentMtgRatesDataTable826[[#This Row],[issueDate]],CurrentMtgRatesDataTable8267[[issueDate]:[issueAmount]],3,0)</f>
        <v>#N/A</v>
      </c>
      <c r="G10" s="19" t="e">
        <f>VLOOKUP(CurrentMtgRatesDataTable826[[#This Row],[issueDate]],CurrentMtgRatesDataTable8268[[issueDate]:[issueAmount]],3,0)</f>
        <v>#N/A</v>
      </c>
      <c r="I10" t="s">
        <v>25</v>
      </c>
      <c r="J10" s="18">
        <v>40269</v>
      </c>
      <c r="K10" t="s">
        <v>26</v>
      </c>
      <c r="L10">
        <v>276239169</v>
      </c>
      <c r="O10" t="s">
        <v>27</v>
      </c>
      <c r="P10" s="18">
        <v>41244</v>
      </c>
      <c r="Q10" t="s">
        <v>28</v>
      </c>
      <c r="R10">
        <v>2237392773</v>
      </c>
    </row>
    <row r="11" spans="2:18">
      <c r="B11" t="s">
        <v>23</v>
      </c>
      <c r="C11" s="18">
        <v>39845</v>
      </c>
      <c r="D11" t="s">
        <v>24</v>
      </c>
      <c r="E11">
        <v>606866675</v>
      </c>
      <c r="F11" s="19" t="e">
        <f>VLOOKUP(CurrentMtgRatesDataTable826[[#This Row],[issueDate]],CurrentMtgRatesDataTable8267[[issueDate]:[issueAmount]],3,0)</f>
        <v>#N/A</v>
      </c>
      <c r="G11" s="19" t="e">
        <f>VLOOKUP(CurrentMtgRatesDataTable826[[#This Row],[issueDate]],CurrentMtgRatesDataTable8268[[issueDate]:[issueAmount]],3,0)</f>
        <v>#N/A</v>
      </c>
      <c r="I11" t="s">
        <v>25</v>
      </c>
      <c r="J11" s="18">
        <v>40299</v>
      </c>
      <c r="K11" t="s">
        <v>26</v>
      </c>
      <c r="L11">
        <v>515525281</v>
      </c>
      <c r="O11" t="s">
        <v>27</v>
      </c>
      <c r="P11" s="18">
        <v>41275</v>
      </c>
      <c r="Q11" t="s">
        <v>28</v>
      </c>
      <c r="R11">
        <v>3299880097</v>
      </c>
    </row>
    <row r="12" spans="2:18">
      <c r="B12" t="s">
        <v>23</v>
      </c>
      <c r="C12" s="18">
        <v>39873</v>
      </c>
      <c r="D12" t="s">
        <v>24</v>
      </c>
      <c r="E12">
        <v>623061660</v>
      </c>
      <c r="F12" s="19" t="e">
        <f>VLOOKUP(CurrentMtgRatesDataTable826[[#This Row],[issueDate]],CurrentMtgRatesDataTable8267[[issueDate]:[issueAmount]],3,0)</f>
        <v>#N/A</v>
      </c>
      <c r="G12" s="19" t="e">
        <f>VLOOKUP(CurrentMtgRatesDataTable826[[#This Row],[issueDate]],CurrentMtgRatesDataTable8268[[issueDate]:[issueAmount]],3,0)</f>
        <v>#N/A</v>
      </c>
      <c r="I12" t="s">
        <v>25</v>
      </c>
      <c r="J12" s="18">
        <v>40330</v>
      </c>
      <c r="K12" t="s">
        <v>26</v>
      </c>
      <c r="L12">
        <v>268918822</v>
      </c>
      <c r="O12" t="s">
        <v>27</v>
      </c>
      <c r="P12" s="18">
        <v>41306</v>
      </c>
      <c r="Q12" t="s">
        <v>28</v>
      </c>
      <c r="R12">
        <v>2808516054</v>
      </c>
    </row>
    <row r="13" spans="2:18">
      <c r="B13" t="s">
        <v>23</v>
      </c>
      <c r="C13" s="18">
        <v>39904</v>
      </c>
      <c r="D13" t="s">
        <v>24</v>
      </c>
      <c r="E13">
        <v>546074282</v>
      </c>
      <c r="F13" s="19" t="e">
        <f>VLOOKUP(CurrentMtgRatesDataTable826[[#This Row],[issueDate]],CurrentMtgRatesDataTable8267[[issueDate]:[issueAmount]],3,0)</f>
        <v>#N/A</v>
      </c>
      <c r="G13" s="19" t="e">
        <f>VLOOKUP(CurrentMtgRatesDataTable826[[#This Row],[issueDate]],CurrentMtgRatesDataTable8268[[issueDate]:[issueAmount]],3,0)</f>
        <v>#N/A</v>
      </c>
      <c r="I13" t="s">
        <v>25</v>
      </c>
      <c r="J13" s="18">
        <v>40360</v>
      </c>
      <c r="K13" t="s">
        <v>26</v>
      </c>
      <c r="L13">
        <v>208691302</v>
      </c>
      <c r="O13" t="s">
        <v>27</v>
      </c>
      <c r="P13" s="18">
        <v>41334</v>
      </c>
      <c r="Q13" t="s">
        <v>28</v>
      </c>
      <c r="R13">
        <v>2186380753</v>
      </c>
    </row>
    <row r="14" spans="2:18">
      <c r="B14" t="s">
        <v>23</v>
      </c>
      <c r="C14" s="18">
        <v>39934</v>
      </c>
      <c r="D14" t="s">
        <v>24</v>
      </c>
      <c r="E14">
        <v>6652777952</v>
      </c>
      <c r="F14" s="19" t="e">
        <f>VLOOKUP(CurrentMtgRatesDataTable826[[#This Row],[issueDate]],CurrentMtgRatesDataTable8267[[issueDate]:[issueAmount]],3,0)</f>
        <v>#N/A</v>
      </c>
      <c r="G14" s="19" t="e">
        <f>VLOOKUP(CurrentMtgRatesDataTable826[[#This Row],[issueDate]],CurrentMtgRatesDataTable8268[[issueDate]:[issueAmount]],3,0)</f>
        <v>#N/A</v>
      </c>
      <c r="I14" t="s">
        <v>25</v>
      </c>
      <c r="J14" s="18">
        <v>40391</v>
      </c>
      <c r="K14" t="s">
        <v>26</v>
      </c>
      <c r="L14">
        <v>355715456</v>
      </c>
      <c r="O14" t="s">
        <v>27</v>
      </c>
      <c r="P14" s="18">
        <v>41365</v>
      </c>
      <c r="Q14" t="s">
        <v>28</v>
      </c>
      <c r="R14">
        <v>2498076581</v>
      </c>
    </row>
    <row r="15" spans="2:18">
      <c r="B15" t="s">
        <v>23</v>
      </c>
      <c r="C15" s="18">
        <v>39965</v>
      </c>
      <c r="D15" t="s">
        <v>24</v>
      </c>
      <c r="E15">
        <v>2725053911</v>
      </c>
      <c r="F15" s="19" t="e">
        <f>VLOOKUP(CurrentMtgRatesDataTable826[[#This Row],[issueDate]],CurrentMtgRatesDataTable8267[[issueDate]:[issueAmount]],3,0)</f>
        <v>#N/A</v>
      </c>
      <c r="G15" s="19" t="e">
        <f>VLOOKUP(CurrentMtgRatesDataTable826[[#This Row],[issueDate]],CurrentMtgRatesDataTable8268[[issueDate]:[issueAmount]],3,0)</f>
        <v>#N/A</v>
      </c>
      <c r="I15" t="s">
        <v>25</v>
      </c>
      <c r="J15" s="18">
        <v>40422</v>
      </c>
      <c r="K15" t="s">
        <v>26</v>
      </c>
      <c r="L15">
        <v>352412504</v>
      </c>
      <c r="O15" t="s">
        <v>27</v>
      </c>
      <c r="P15" s="18">
        <v>41395</v>
      </c>
      <c r="Q15" t="s">
        <v>28</v>
      </c>
      <c r="R15">
        <v>1858786075</v>
      </c>
    </row>
    <row r="16" spans="2:18">
      <c r="B16" t="s">
        <v>23</v>
      </c>
      <c r="C16" s="18">
        <v>39995</v>
      </c>
      <c r="D16" t="s">
        <v>24</v>
      </c>
      <c r="E16">
        <v>1624491993</v>
      </c>
      <c r="F16" s="19" t="e">
        <f>VLOOKUP(CurrentMtgRatesDataTable826[[#This Row],[issueDate]],CurrentMtgRatesDataTable8267[[issueDate]:[issueAmount]],3,0)</f>
        <v>#N/A</v>
      </c>
      <c r="G16" s="19" t="e">
        <f>VLOOKUP(CurrentMtgRatesDataTable826[[#This Row],[issueDate]],CurrentMtgRatesDataTable8268[[issueDate]:[issueAmount]],3,0)</f>
        <v>#N/A</v>
      </c>
      <c r="I16" t="s">
        <v>25</v>
      </c>
      <c r="J16" s="18">
        <v>40452</v>
      </c>
      <c r="K16" t="s">
        <v>26</v>
      </c>
      <c r="L16">
        <v>319947067</v>
      </c>
      <c r="O16" t="s">
        <v>27</v>
      </c>
      <c r="P16" s="18">
        <v>41426</v>
      </c>
      <c r="Q16" t="s">
        <v>28</v>
      </c>
      <c r="R16">
        <v>1553402361</v>
      </c>
    </row>
    <row r="17" spans="2:18">
      <c r="B17" t="s">
        <v>23</v>
      </c>
      <c r="C17" s="18">
        <v>40026</v>
      </c>
      <c r="D17" t="s">
        <v>24</v>
      </c>
      <c r="E17">
        <v>2273648931</v>
      </c>
      <c r="F17" s="19" t="e">
        <f>VLOOKUP(CurrentMtgRatesDataTable826[[#This Row],[issueDate]],CurrentMtgRatesDataTable8267[[issueDate]:[issueAmount]],3,0)</f>
        <v>#N/A</v>
      </c>
      <c r="G17" s="19" t="e">
        <f>VLOOKUP(CurrentMtgRatesDataTable826[[#This Row],[issueDate]],CurrentMtgRatesDataTable8268[[issueDate]:[issueAmount]],3,0)</f>
        <v>#N/A</v>
      </c>
      <c r="I17" t="s">
        <v>25</v>
      </c>
      <c r="J17" s="18">
        <v>40483</v>
      </c>
      <c r="K17" t="s">
        <v>26</v>
      </c>
      <c r="L17">
        <v>369679660</v>
      </c>
      <c r="O17" t="s">
        <v>27</v>
      </c>
      <c r="P17" s="18">
        <v>41456</v>
      </c>
      <c r="Q17" t="s">
        <v>28</v>
      </c>
      <c r="R17">
        <v>1434823555</v>
      </c>
    </row>
    <row r="18" spans="2:18">
      <c r="B18" t="s">
        <v>23</v>
      </c>
      <c r="C18" s="18">
        <v>40057</v>
      </c>
      <c r="D18" t="s">
        <v>24</v>
      </c>
      <c r="E18">
        <v>3730886516</v>
      </c>
      <c r="F18" s="19" t="e">
        <f>VLOOKUP(CurrentMtgRatesDataTable826[[#This Row],[issueDate]],CurrentMtgRatesDataTable8267[[issueDate]:[issueAmount]],3,0)</f>
        <v>#N/A</v>
      </c>
      <c r="G18" s="19" t="e">
        <f>VLOOKUP(CurrentMtgRatesDataTable826[[#This Row],[issueDate]],CurrentMtgRatesDataTable8268[[issueDate]:[issueAmount]],3,0)</f>
        <v>#N/A</v>
      </c>
      <c r="I18" t="s">
        <v>25</v>
      </c>
      <c r="J18" s="18">
        <v>40513</v>
      </c>
      <c r="K18" t="s">
        <v>26</v>
      </c>
      <c r="L18">
        <v>504226385</v>
      </c>
      <c r="O18" t="s">
        <v>27</v>
      </c>
      <c r="P18" s="18">
        <v>41487</v>
      </c>
      <c r="Q18" t="s">
        <v>28</v>
      </c>
      <c r="R18">
        <v>1187325480</v>
      </c>
    </row>
    <row r="19" spans="2:18">
      <c r="B19" t="s">
        <v>23</v>
      </c>
      <c r="C19" s="18">
        <v>40087</v>
      </c>
      <c r="D19" t="s">
        <v>24</v>
      </c>
      <c r="E19">
        <v>4665758807</v>
      </c>
      <c r="F19" s="19">
        <f>VLOOKUP(CurrentMtgRatesDataTable826[[#This Row],[issueDate]],CurrentMtgRatesDataTable8267[[issueDate]:[issueAmount]],3,0)</f>
        <v>15343058</v>
      </c>
      <c r="G19" s="19" t="e">
        <f>VLOOKUP(CurrentMtgRatesDataTable826[[#This Row],[issueDate]],CurrentMtgRatesDataTable8268[[issueDate]:[issueAmount]],3,0)</f>
        <v>#N/A</v>
      </c>
      <c r="I19" t="s">
        <v>25</v>
      </c>
      <c r="J19" s="18">
        <v>40544</v>
      </c>
      <c r="K19" t="s">
        <v>26</v>
      </c>
      <c r="L19">
        <v>481880967</v>
      </c>
      <c r="O19" t="s">
        <v>27</v>
      </c>
      <c r="P19" s="18">
        <v>41518</v>
      </c>
      <c r="Q19" t="s">
        <v>28</v>
      </c>
      <c r="R19">
        <v>743460848</v>
      </c>
    </row>
    <row r="20" spans="2:18">
      <c r="B20" t="s">
        <v>23</v>
      </c>
      <c r="C20" s="18">
        <v>40118</v>
      </c>
      <c r="D20" t="s">
        <v>24</v>
      </c>
      <c r="E20">
        <v>3150141035</v>
      </c>
      <c r="F20" s="19">
        <f>VLOOKUP(CurrentMtgRatesDataTable826[[#This Row],[issueDate]],CurrentMtgRatesDataTable8267[[issueDate]:[issueAmount]],3,0)</f>
        <v>91360480</v>
      </c>
      <c r="G20" s="19" t="e">
        <f>VLOOKUP(CurrentMtgRatesDataTable826[[#This Row],[issueDate]],CurrentMtgRatesDataTable8268[[issueDate]:[issueAmount]],3,0)</f>
        <v>#N/A</v>
      </c>
      <c r="I20" t="s">
        <v>25</v>
      </c>
      <c r="J20" s="18">
        <v>40575</v>
      </c>
      <c r="K20" t="s">
        <v>26</v>
      </c>
      <c r="L20">
        <v>511593118</v>
      </c>
      <c r="O20" t="s">
        <v>27</v>
      </c>
      <c r="P20" s="18">
        <v>41548</v>
      </c>
      <c r="Q20" t="s">
        <v>28</v>
      </c>
      <c r="R20">
        <v>615254685</v>
      </c>
    </row>
    <row r="21" spans="2:18">
      <c r="B21" t="s">
        <v>23</v>
      </c>
      <c r="C21" s="18">
        <v>40148</v>
      </c>
      <c r="D21" t="s">
        <v>24</v>
      </c>
      <c r="E21">
        <v>2924169385</v>
      </c>
      <c r="F21" s="19">
        <f>VLOOKUP(CurrentMtgRatesDataTable826[[#This Row],[issueDate]],CurrentMtgRatesDataTable8267[[issueDate]:[issueAmount]],3,0)</f>
        <v>128578512</v>
      </c>
      <c r="G21" s="19" t="e">
        <f>VLOOKUP(CurrentMtgRatesDataTable826[[#This Row],[issueDate]],CurrentMtgRatesDataTable8268[[issueDate]:[issueAmount]],3,0)</f>
        <v>#N/A</v>
      </c>
      <c r="I21" t="s">
        <v>25</v>
      </c>
      <c r="J21" s="18">
        <v>40603</v>
      </c>
      <c r="K21" t="s">
        <v>26</v>
      </c>
      <c r="L21">
        <v>618688301</v>
      </c>
      <c r="O21" t="s">
        <v>27</v>
      </c>
      <c r="P21" s="18">
        <v>41579</v>
      </c>
      <c r="Q21" t="s">
        <v>28</v>
      </c>
      <c r="R21">
        <v>887067278</v>
      </c>
    </row>
    <row r="22" spans="2:18">
      <c r="B22" t="s">
        <v>23</v>
      </c>
      <c r="C22" s="18">
        <v>40179</v>
      </c>
      <c r="D22" t="s">
        <v>24</v>
      </c>
      <c r="E22">
        <v>2634350684</v>
      </c>
      <c r="F22" s="19">
        <f>VLOOKUP(CurrentMtgRatesDataTable826[[#This Row],[issueDate]],CurrentMtgRatesDataTable8267[[issueDate]:[issueAmount]],3,0)</f>
        <v>172690172</v>
      </c>
      <c r="G22" s="19" t="e">
        <f>VLOOKUP(CurrentMtgRatesDataTable826[[#This Row],[issueDate]],CurrentMtgRatesDataTable8268[[issueDate]:[issueAmount]],3,0)</f>
        <v>#N/A</v>
      </c>
      <c r="I22" t="s">
        <v>25</v>
      </c>
      <c r="J22" s="18">
        <v>40634</v>
      </c>
      <c r="K22" t="s">
        <v>26</v>
      </c>
      <c r="L22">
        <v>668998347</v>
      </c>
      <c r="O22" t="s">
        <v>27</v>
      </c>
      <c r="P22" s="18">
        <v>41609</v>
      </c>
      <c r="Q22" t="s">
        <v>28</v>
      </c>
      <c r="R22">
        <v>857597466</v>
      </c>
    </row>
    <row r="23" spans="2:18">
      <c r="B23" t="s">
        <v>23</v>
      </c>
      <c r="C23" s="18">
        <v>40210</v>
      </c>
      <c r="D23" t="s">
        <v>24</v>
      </c>
      <c r="E23">
        <v>2597549841</v>
      </c>
      <c r="F23" s="19">
        <f>VLOOKUP(CurrentMtgRatesDataTable826[[#This Row],[issueDate]],CurrentMtgRatesDataTable8267[[issueDate]:[issueAmount]],3,0)</f>
        <v>191438050</v>
      </c>
      <c r="G23" s="19" t="e">
        <f>VLOOKUP(CurrentMtgRatesDataTable826[[#This Row],[issueDate]],CurrentMtgRatesDataTable8268[[issueDate]:[issueAmount]],3,0)</f>
        <v>#N/A</v>
      </c>
      <c r="I23" t="s">
        <v>25</v>
      </c>
      <c r="J23" s="18">
        <v>40664</v>
      </c>
      <c r="K23" t="s">
        <v>26</v>
      </c>
      <c r="L23">
        <v>436513565</v>
      </c>
      <c r="O23" t="s">
        <v>27</v>
      </c>
      <c r="P23" s="18">
        <v>41640</v>
      </c>
      <c r="Q23" t="s">
        <v>28</v>
      </c>
      <c r="R23">
        <v>663943847</v>
      </c>
    </row>
    <row r="24" spans="2:18">
      <c r="B24" t="s">
        <v>23</v>
      </c>
      <c r="C24" s="18">
        <v>40238</v>
      </c>
      <c r="D24" t="s">
        <v>24</v>
      </c>
      <c r="E24">
        <v>2808514374</v>
      </c>
      <c r="F24" s="19">
        <f>VLOOKUP(CurrentMtgRatesDataTable826[[#This Row],[issueDate]],CurrentMtgRatesDataTable8267[[issueDate]:[issueAmount]],3,0)</f>
        <v>214765657</v>
      </c>
      <c r="G24" s="19" t="e">
        <f>VLOOKUP(CurrentMtgRatesDataTable826[[#This Row],[issueDate]],CurrentMtgRatesDataTable8268[[issueDate]:[issueAmount]],3,0)</f>
        <v>#N/A</v>
      </c>
      <c r="I24" t="s">
        <v>25</v>
      </c>
      <c r="J24" s="18">
        <v>40695</v>
      </c>
      <c r="K24" t="s">
        <v>26</v>
      </c>
      <c r="L24">
        <v>714756687</v>
      </c>
      <c r="O24" t="s">
        <v>27</v>
      </c>
      <c r="P24" s="18">
        <v>41671</v>
      </c>
      <c r="Q24" t="s">
        <v>28</v>
      </c>
      <c r="R24">
        <v>261049913</v>
      </c>
    </row>
    <row r="25" spans="2:18">
      <c r="B25" t="s">
        <v>23</v>
      </c>
      <c r="C25" s="18">
        <v>40269</v>
      </c>
      <c r="D25" t="s">
        <v>24</v>
      </c>
      <c r="E25">
        <v>1861900761</v>
      </c>
      <c r="F25" s="19">
        <f>VLOOKUP(CurrentMtgRatesDataTable826[[#This Row],[issueDate]],CurrentMtgRatesDataTable8267[[issueDate]:[issueAmount]],3,0)</f>
        <v>276239169</v>
      </c>
      <c r="G25" s="19" t="e">
        <f>VLOOKUP(CurrentMtgRatesDataTable826[[#This Row],[issueDate]],CurrentMtgRatesDataTable8268[[issueDate]:[issueAmount]],3,0)</f>
        <v>#N/A</v>
      </c>
      <c r="I25" t="s">
        <v>25</v>
      </c>
      <c r="J25" s="18">
        <v>40725</v>
      </c>
      <c r="K25" t="s">
        <v>26</v>
      </c>
      <c r="L25">
        <v>450007317</v>
      </c>
      <c r="O25" t="s">
        <v>27</v>
      </c>
      <c r="P25" s="18">
        <v>41699</v>
      </c>
      <c r="Q25" t="s">
        <v>28</v>
      </c>
      <c r="R25">
        <v>214559704</v>
      </c>
    </row>
    <row r="26" spans="2:18">
      <c r="B26" t="s">
        <v>23</v>
      </c>
      <c r="C26" s="18">
        <v>40299</v>
      </c>
      <c r="D26" t="s">
        <v>24</v>
      </c>
      <c r="E26">
        <v>2084611821</v>
      </c>
      <c r="F26" s="19">
        <f>VLOOKUP(CurrentMtgRatesDataTable826[[#This Row],[issueDate]],CurrentMtgRatesDataTable8267[[issueDate]:[issueAmount]],3,0)</f>
        <v>515525281</v>
      </c>
      <c r="G26" s="19" t="e">
        <f>VLOOKUP(CurrentMtgRatesDataTable826[[#This Row],[issueDate]],CurrentMtgRatesDataTable8268[[issueDate]:[issueAmount]],3,0)</f>
        <v>#N/A</v>
      </c>
      <c r="I26" t="s">
        <v>25</v>
      </c>
      <c r="J26" s="18">
        <v>40756</v>
      </c>
      <c r="K26" t="s">
        <v>26</v>
      </c>
      <c r="L26">
        <v>544964112</v>
      </c>
      <c r="O26" t="s">
        <v>27</v>
      </c>
      <c r="P26" s="18">
        <v>41730</v>
      </c>
      <c r="Q26" t="s">
        <v>28</v>
      </c>
      <c r="R26">
        <v>294932105</v>
      </c>
    </row>
    <row r="27" spans="2:18">
      <c r="B27" t="s">
        <v>23</v>
      </c>
      <c r="C27" s="18">
        <v>40330</v>
      </c>
      <c r="D27" t="s">
        <v>24</v>
      </c>
      <c r="E27">
        <v>1669648250</v>
      </c>
      <c r="F27" s="19">
        <f>VLOOKUP(CurrentMtgRatesDataTable826[[#This Row],[issueDate]],CurrentMtgRatesDataTable8267[[issueDate]:[issueAmount]],3,0)</f>
        <v>268918822</v>
      </c>
      <c r="G27" s="19" t="e">
        <f>VLOOKUP(CurrentMtgRatesDataTable826[[#This Row],[issueDate]],CurrentMtgRatesDataTable8268[[issueDate]:[issueAmount]],3,0)</f>
        <v>#N/A</v>
      </c>
      <c r="I27" t="s">
        <v>25</v>
      </c>
      <c r="J27" s="18">
        <v>40787</v>
      </c>
      <c r="K27" t="s">
        <v>26</v>
      </c>
      <c r="L27">
        <v>632560564</v>
      </c>
      <c r="O27" t="s">
        <v>27</v>
      </c>
      <c r="P27" s="18">
        <v>41760</v>
      </c>
      <c r="Q27" t="s">
        <v>28</v>
      </c>
      <c r="R27">
        <v>110770261</v>
      </c>
    </row>
    <row r="28" spans="2:18">
      <c r="B28" t="s">
        <v>23</v>
      </c>
      <c r="C28" s="18">
        <v>40360</v>
      </c>
      <c r="D28" t="s">
        <v>24</v>
      </c>
      <c r="E28">
        <v>3407481735</v>
      </c>
      <c r="F28" s="19">
        <f>VLOOKUP(CurrentMtgRatesDataTable826[[#This Row],[issueDate]],CurrentMtgRatesDataTable8267[[issueDate]:[issueAmount]],3,0)</f>
        <v>208691302</v>
      </c>
      <c r="G28" s="19" t="e">
        <f>VLOOKUP(CurrentMtgRatesDataTable826[[#This Row],[issueDate]],CurrentMtgRatesDataTable8268[[issueDate]:[issueAmount]],3,0)</f>
        <v>#N/A</v>
      </c>
      <c r="I28" t="s">
        <v>25</v>
      </c>
      <c r="J28" s="18">
        <v>40817</v>
      </c>
      <c r="K28" t="s">
        <v>26</v>
      </c>
      <c r="L28">
        <v>575215946</v>
      </c>
      <c r="O28" t="s">
        <v>27</v>
      </c>
      <c r="P28" s="18">
        <v>41791</v>
      </c>
      <c r="Q28" t="s">
        <v>28</v>
      </c>
      <c r="R28">
        <v>275221137</v>
      </c>
    </row>
    <row r="29" spans="2:18">
      <c r="B29" t="s">
        <v>23</v>
      </c>
      <c r="C29" s="18">
        <v>40391</v>
      </c>
      <c r="D29" t="s">
        <v>24</v>
      </c>
      <c r="E29">
        <v>3347514541</v>
      </c>
      <c r="F29" s="19">
        <f>VLOOKUP(CurrentMtgRatesDataTable826[[#This Row],[issueDate]],CurrentMtgRatesDataTable8267[[issueDate]:[issueAmount]],3,0)</f>
        <v>355715456</v>
      </c>
      <c r="G29" s="19" t="e">
        <f>VLOOKUP(CurrentMtgRatesDataTable826[[#This Row],[issueDate]],CurrentMtgRatesDataTable8268[[issueDate]:[issueAmount]],3,0)</f>
        <v>#N/A</v>
      </c>
      <c r="I29" t="s">
        <v>25</v>
      </c>
      <c r="J29" s="18">
        <v>40848</v>
      </c>
      <c r="K29" t="s">
        <v>26</v>
      </c>
      <c r="L29">
        <v>570846520</v>
      </c>
      <c r="O29" t="s">
        <v>27</v>
      </c>
      <c r="P29" s="18">
        <v>41821</v>
      </c>
      <c r="Q29" t="s">
        <v>28</v>
      </c>
      <c r="R29">
        <v>174927834</v>
      </c>
    </row>
    <row r="30" spans="2:18">
      <c r="B30" t="s">
        <v>23</v>
      </c>
      <c r="C30" s="18">
        <v>40422</v>
      </c>
      <c r="D30" t="s">
        <v>24</v>
      </c>
      <c r="E30">
        <v>4534053251</v>
      </c>
      <c r="F30" s="19">
        <f>VLOOKUP(CurrentMtgRatesDataTable826[[#This Row],[issueDate]],CurrentMtgRatesDataTable8267[[issueDate]:[issueAmount]],3,0)</f>
        <v>352412504</v>
      </c>
      <c r="G30" s="19" t="e">
        <f>VLOOKUP(CurrentMtgRatesDataTable826[[#This Row],[issueDate]],CurrentMtgRatesDataTable8268[[issueDate]:[issueAmount]],3,0)</f>
        <v>#N/A</v>
      </c>
      <c r="I30" t="s">
        <v>25</v>
      </c>
      <c r="J30" s="18">
        <v>40878</v>
      </c>
      <c r="K30" t="s">
        <v>26</v>
      </c>
      <c r="L30">
        <v>363856997</v>
      </c>
      <c r="O30" t="s">
        <v>27</v>
      </c>
      <c r="P30" s="18">
        <v>41852</v>
      </c>
      <c r="Q30" t="s">
        <v>28</v>
      </c>
      <c r="R30">
        <v>330911502</v>
      </c>
    </row>
    <row r="31" spans="2:18">
      <c r="B31" t="s">
        <v>23</v>
      </c>
      <c r="C31" s="18">
        <v>40452</v>
      </c>
      <c r="D31" t="s">
        <v>24</v>
      </c>
      <c r="E31">
        <v>4710788842</v>
      </c>
      <c r="F31" s="19">
        <f>VLOOKUP(CurrentMtgRatesDataTable826[[#This Row],[issueDate]],CurrentMtgRatesDataTable8267[[issueDate]:[issueAmount]],3,0)</f>
        <v>319947067</v>
      </c>
      <c r="G31" s="19" t="e">
        <f>VLOOKUP(CurrentMtgRatesDataTable826[[#This Row],[issueDate]],CurrentMtgRatesDataTable8268[[issueDate]:[issueAmount]],3,0)</f>
        <v>#N/A</v>
      </c>
      <c r="I31" t="s">
        <v>25</v>
      </c>
      <c r="J31" s="18">
        <v>40909</v>
      </c>
      <c r="K31" t="s">
        <v>26</v>
      </c>
      <c r="L31">
        <v>964656975</v>
      </c>
      <c r="O31" t="s">
        <v>27</v>
      </c>
      <c r="P31" s="18">
        <v>41883</v>
      </c>
      <c r="Q31" t="s">
        <v>28</v>
      </c>
      <c r="R31">
        <v>120745416</v>
      </c>
    </row>
    <row r="32" spans="2:18">
      <c r="B32" t="s">
        <v>23</v>
      </c>
      <c r="C32" s="18">
        <v>40483</v>
      </c>
      <c r="D32" t="s">
        <v>24</v>
      </c>
      <c r="E32">
        <v>4435127896</v>
      </c>
      <c r="F32" s="19">
        <f>VLOOKUP(CurrentMtgRatesDataTable826[[#This Row],[issueDate]],CurrentMtgRatesDataTable8267[[issueDate]:[issueAmount]],3,0)</f>
        <v>369679660</v>
      </c>
      <c r="G32" s="19" t="e">
        <f>VLOOKUP(CurrentMtgRatesDataTable826[[#This Row],[issueDate]],CurrentMtgRatesDataTable8268[[issueDate]:[issueAmount]],3,0)</f>
        <v>#N/A</v>
      </c>
      <c r="I32" t="s">
        <v>25</v>
      </c>
      <c r="J32" s="18">
        <v>40940</v>
      </c>
      <c r="K32" t="s">
        <v>26</v>
      </c>
      <c r="L32">
        <v>935368647</v>
      </c>
      <c r="O32" t="s">
        <v>27</v>
      </c>
      <c r="P32" s="18">
        <v>41913</v>
      </c>
      <c r="Q32" t="s">
        <v>28</v>
      </c>
      <c r="R32">
        <v>385881834</v>
      </c>
    </row>
    <row r="33" spans="2:18">
      <c r="B33" t="s">
        <v>23</v>
      </c>
      <c r="C33" s="18">
        <v>40513</v>
      </c>
      <c r="D33" t="s">
        <v>24</v>
      </c>
      <c r="E33">
        <v>5168634747</v>
      </c>
      <c r="F33" s="19">
        <f>VLOOKUP(CurrentMtgRatesDataTable826[[#This Row],[issueDate]],CurrentMtgRatesDataTable8267[[issueDate]:[issueAmount]],3,0)</f>
        <v>504226385</v>
      </c>
      <c r="G33" s="19" t="e">
        <f>VLOOKUP(CurrentMtgRatesDataTable826[[#This Row],[issueDate]],CurrentMtgRatesDataTable8268[[issueDate]:[issueAmount]],3,0)</f>
        <v>#N/A</v>
      </c>
      <c r="I33" t="s">
        <v>25</v>
      </c>
      <c r="J33" s="18">
        <v>40969</v>
      </c>
      <c r="K33" t="s">
        <v>26</v>
      </c>
      <c r="L33">
        <v>1830004532</v>
      </c>
      <c r="O33" t="s">
        <v>27</v>
      </c>
      <c r="P33" s="18">
        <v>41944</v>
      </c>
      <c r="Q33" t="s">
        <v>28</v>
      </c>
      <c r="R33">
        <v>230866169</v>
      </c>
    </row>
    <row r="34" spans="2:18">
      <c r="B34" t="s">
        <v>23</v>
      </c>
      <c r="C34" s="18">
        <v>40544</v>
      </c>
      <c r="D34" t="s">
        <v>24</v>
      </c>
      <c r="E34">
        <v>4772517239</v>
      </c>
      <c r="F34" s="19">
        <f>VLOOKUP(CurrentMtgRatesDataTable826[[#This Row],[issueDate]],CurrentMtgRatesDataTable8267[[issueDate]:[issueAmount]],3,0)</f>
        <v>481880967</v>
      </c>
      <c r="G34" s="19" t="e">
        <f>VLOOKUP(CurrentMtgRatesDataTable826[[#This Row],[issueDate]],CurrentMtgRatesDataTable8268[[issueDate]:[issueAmount]],3,0)</f>
        <v>#N/A</v>
      </c>
      <c r="I34" t="s">
        <v>25</v>
      </c>
      <c r="J34" s="18">
        <v>41000</v>
      </c>
      <c r="K34" t="s">
        <v>26</v>
      </c>
      <c r="L34">
        <v>1283593895</v>
      </c>
      <c r="O34" t="s">
        <v>27</v>
      </c>
      <c r="P34" s="18">
        <v>41974</v>
      </c>
      <c r="Q34" t="s">
        <v>28</v>
      </c>
      <c r="R34">
        <v>1261524465</v>
      </c>
    </row>
    <row r="35" spans="2:18">
      <c r="B35" t="s">
        <v>23</v>
      </c>
      <c r="C35" s="18">
        <v>40575</v>
      </c>
      <c r="D35" t="s">
        <v>24</v>
      </c>
      <c r="E35">
        <v>3322794637</v>
      </c>
      <c r="F35" s="19">
        <f>VLOOKUP(CurrentMtgRatesDataTable826[[#This Row],[issueDate]],CurrentMtgRatesDataTable8267[[issueDate]:[issueAmount]],3,0)</f>
        <v>511593118</v>
      </c>
      <c r="G35" s="19" t="e">
        <f>VLOOKUP(CurrentMtgRatesDataTable826[[#This Row],[issueDate]],CurrentMtgRatesDataTable8268[[issueDate]:[issueAmount]],3,0)</f>
        <v>#N/A</v>
      </c>
      <c r="I35" t="s">
        <v>25</v>
      </c>
      <c r="J35" s="18">
        <v>41030</v>
      </c>
      <c r="K35" t="s">
        <v>26</v>
      </c>
      <c r="L35">
        <v>2238872332</v>
      </c>
      <c r="O35" t="s">
        <v>27</v>
      </c>
      <c r="P35" s="18">
        <v>42005</v>
      </c>
      <c r="Q35" t="s">
        <v>28</v>
      </c>
      <c r="R35">
        <v>143096287</v>
      </c>
    </row>
    <row r="36" spans="2:18">
      <c r="B36" t="s">
        <v>23</v>
      </c>
      <c r="C36" s="18">
        <v>40603</v>
      </c>
      <c r="D36" t="s">
        <v>24</v>
      </c>
      <c r="E36">
        <v>2879069981</v>
      </c>
      <c r="F36" s="19">
        <f>VLOOKUP(CurrentMtgRatesDataTable826[[#This Row],[issueDate]],CurrentMtgRatesDataTable8267[[issueDate]:[issueAmount]],3,0)</f>
        <v>618688301</v>
      </c>
      <c r="G36" s="19" t="e">
        <f>VLOOKUP(CurrentMtgRatesDataTable826[[#This Row],[issueDate]],CurrentMtgRatesDataTable8268[[issueDate]:[issueAmount]],3,0)</f>
        <v>#N/A</v>
      </c>
      <c r="I36" t="s">
        <v>25</v>
      </c>
      <c r="J36" s="18">
        <v>41061</v>
      </c>
      <c r="K36" t="s">
        <v>26</v>
      </c>
      <c r="L36">
        <v>2674159779</v>
      </c>
      <c r="O36" t="s">
        <v>27</v>
      </c>
      <c r="P36" s="18">
        <v>42036</v>
      </c>
      <c r="Q36" t="s">
        <v>28</v>
      </c>
      <c r="R36">
        <v>127311006</v>
      </c>
    </row>
    <row r="37" spans="2:18">
      <c r="B37" t="s">
        <v>23</v>
      </c>
      <c r="C37" s="18">
        <v>40634</v>
      </c>
      <c r="D37" t="s">
        <v>24</v>
      </c>
      <c r="E37">
        <v>1365959263</v>
      </c>
      <c r="F37" s="19">
        <f>VLOOKUP(CurrentMtgRatesDataTable826[[#This Row],[issueDate]],CurrentMtgRatesDataTable8267[[issueDate]:[issueAmount]],3,0)</f>
        <v>668998347</v>
      </c>
      <c r="G37" s="19" t="e">
        <f>VLOOKUP(CurrentMtgRatesDataTable826[[#This Row],[issueDate]],CurrentMtgRatesDataTable8268[[issueDate]:[issueAmount]],3,0)</f>
        <v>#N/A</v>
      </c>
      <c r="I37" t="s">
        <v>25</v>
      </c>
      <c r="J37" s="18">
        <v>41091</v>
      </c>
      <c r="K37" t="s">
        <v>26</v>
      </c>
      <c r="L37">
        <v>2691500965</v>
      </c>
      <c r="O37" t="s">
        <v>27</v>
      </c>
      <c r="P37" s="18">
        <v>42064</v>
      </c>
      <c r="Q37" t="s">
        <v>28</v>
      </c>
      <c r="R37">
        <v>155150153</v>
      </c>
    </row>
    <row r="38" spans="2:18">
      <c r="B38" t="s">
        <v>23</v>
      </c>
      <c r="C38" s="18">
        <v>40664</v>
      </c>
      <c r="D38" t="s">
        <v>24</v>
      </c>
      <c r="E38">
        <v>1679348065</v>
      </c>
      <c r="F38" s="19">
        <f>VLOOKUP(CurrentMtgRatesDataTable826[[#This Row],[issueDate]],CurrentMtgRatesDataTable8267[[issueDate]:[issueAmount]],3,0)</f>
        <v>436513565</v>
      </c>
      <c r="G38" s="19" t="e">
        <f>VLOOKUP(CurrentMtgRatesDataTable826[[#This Row],[issueDate]],CurrentMtgRatesDataTable8268[[issueDate]:[issueAmount]],3,0)</f>
        <v>#N/A</v>
      </c>
      <c r="I38" t="s">
        <v>25</v>
      </c>
      <c r="J38" s="18">
        <v>41122</v>
      </c>
      <c r="K38" t="s">
        <v>26</v>
      </c>
      <c r="L38">
        <v>2705488507</v>
      </c>
      <c r="O38" t="s">
        <v>27</v>
      </c>
      <c r="P38" s="18">
        <v>42095</v>
      </c>
      <c r="Q38" t="s">
        <v>28</v>
      </c>
      <c r="R38">
        <v>95322234</v>
      </c>
    </row>
    <row r="39" spans="2:18">
      <c r="B39" t="s">
        <v>23</v>
      </c>
      <c r="C39" s="18">
        <v>40695</v>
      </c>
      <c r="D39" t="s">
        <v>24</v>
      </c>
      <c r="E39">
        <v>1470720552</v>
      </c>
      <c r="F39" s="19">
        <f>VLOOKUP(CurrentMtgRatesDataTable826[[#This Row],[issueDate]],CurrentMtgRatesDataTable8267[[issueDate]:[issueAmount]],3,0)</f>
        <v>714756687</v>
      </c>
      <c r="G39" s="19" t="e">
        <f>VLOOKUP(CurrentMtgRatesDataTable826[[#This Row],[issueDate]],CurrentMtgRatesDataTable8268[[issueDate]:[issueAmount]],3,0)</f>
        <v>#N/A</v>
      </c>
      <c r="I39" t="s">
        <v>25</v>
      </c>
      <c r="J39" s="18">
        <v>41153</v>
      </c>
      <c r="K39" t="s">
        <v>26</v>
      </c>
      <c r="L39">
        <v>2507345171</v>
      </c>
    </row>
    <row r="40" spans="2:18">
      <c r="B40" t="s">
        <v>23</v>
      </c>
      <c r="C40" s="18">
        <v>40725</v>
      </c>
      <c r="D40" t="s">
        <v>24</v>
      </c>
      <c r="E40">
        <v>1755684824</v>
      </c>
      <c r="F40" s="19">
        <f>VLOOKUP(CurrentMtgRatesDataTable826[[#This Row],[issueDate]],CurrentMtgRatesDataTable8267[[issueDate]:[issueAmount]],3,0)</f>
        <v>450007317</v>
      </c>
      <c r="G40" s="19" t="e">
        <f>VLOOKUP(CurrentMtgRatesDataTable826[[#This Row],[issueDate]],CurrentMtgRatesDataTable8268[[issueDate]:[issueAmount]],3,0)</f>
        <v>#N/A</v>
      </c>
      <c r="I40" t="s">
        <v>25</v>
      </c>
      <c r="J40" s="18">
        <v>41183</v>
      </c>
      <c r="K40" t="s">
        <v>26</v>
      </c>
      <c r="L40">
        <v>1886237333</v>
      </c>
    </row>
    <row r="41" spans="2:18">
      <c r="B41" t="s">
        <v>23</v>
      </c>
      <c r="C41" s="18">
        <v>40756</v>
      </c>
      <c r="D41" t="s">
        <v>24</v>
      </c>
      <c r="E41">
        <v>2242690757</v>
      </c>
      <c r="F41" s="19">
        <f>VLOOKUP(CurrentMtgRatesDataTable826[[#This Row],[issueDate]],CurrentMtgRatesDataTable8267[[issueDate]:[issueAmount]],3,0)</f>
        <v>544964112</v>
      </c>
      <c r="G41" s="19" t="e">
        <f>VLOOKUP(CurrentMtgRatesDataTable826[[#This Row],[issueDate]],CurrentMtgRatesDataTable8268[[issueDate]:[issueAmount]],3,0)</f>
        <v>#N/A</v>
      </c>
      <c r="I41" t="s">
        <v>25</v>
      </c>
      <c r="J41" s="18">
        <v>41214</v>
      </c>
      <c r="K41" t="s">
        <v>26</v>
      </c>
      <c r="L41">
        <v>3089976460</v>
      </c>
    </row>
    <row r="42" spans="2:18">
      <c r="B42" t="s">
        <v>23</v>
      </c>
      <c r="C42" s="18">
        <v>40787</v>
      </c>
      <c r="D42" t="s">
        <v>24</v>
      </c>
      <c r="E42">
        <v>4005917312</v>
      </c>
      <c r="F42" s="19">
        <f>VLOOKUP(CurrentMtgRatesDataTable826[[#This Row],[issueDate]],CurrentMtgRatesDataTable8267[[issueDate]:[issueAmount]],3,0)</f>
        <v>632560564</v>
      </c>
      <c r="G42" s="19" t="e">
        <f>VLOOKUP(CurrentMtgRatesDataTable826[[#This Row],[issueDate]],CurrentMtgRatesDataTable8268[[issueDate]:[issueAmount]],3,0)</f>
        <v>#N/A</v>
      </c>
      <c r="I42" t="s">
        <v>25</v>
      </c>
      <c r="J42" s="18">
        <v>41244</v>
      </c>
      <c r="K42" t="s">
        <v>26</v>
      </c>
      <c r="L42">
        <v>1925814668</v>
      </c>
    </row>
    <row r="43" spans="2:18">
      <c r="B43" t="s">
        <v>23</v>
      </c>
      <c r="C43" s="18">
        <v>40817</v>
      </c>
      <c r="D43" t="s">
        <v>24</v>
      </c>
      <c r="E43">
        <v>4409005394</v>
      </c>
      <c r="F43" s="19">
        <f>VLOOKUP(CurrentMtgRatesDataTable826[[#This Row],[issueDate]],CurrentMtgRatesDataTable8267[[issueDate]:[issueAmount]],3,0)</f>
        <v>575215946</v>
      </c>
      <c r="G43" s="19" t="e">
        <f>VLOOKUP(CurrentMtgRatesDataTable826[[#This Row],[issueDate]],CurrentMtgRatesDataTable8268[[issueDate]:[issueAmount]],3,0)</f>
        <v>#N/A</v>
      </c>
      <c r="I43" t="s">
        <v>25</v>
      </c>
      <c r="J43" s="18">
        <v>41275</v>
      </c>
      <c r="K43" t="s">
        <v>26</v>
      </c>
      <c r="L43">
        <v>2387371027</v>
      </c>
    </row>
    <row r="44" spans="2:18">
      <c r="B44" t="s">
        <v>23</v>
      </c>
      <c r="C44" s="18">
        <v>40848</v>
      </c>
      <c r="D44" t="s">
        <v>24</v>
      </c>
      <c r="E44">
        <v>4642886367</v>
      </c>
      <c r="F44" s="19">
        <f>VLOOKUP(CurrentMtgRatesDataTable826[[#This Row],[issueDate]],CurrentMtgRatesDataTable8267[[issueDate]:[issueAmount]],3,0)</f>
        <v>570846520</v>
      </c>
      <c r="G44" s="19" t="e">
        <f>VLOOKUP(CurrentMtgRatesDataTable826[[#This Row],[issueDate]],CurrentMtgRatesDataTable8268[[issueDate]:[issueAmount]],3,0)</f>
        <v>#N/A</v>
      </c>
      <c r="I44" t="s">
        <v>25</v>
      </c>
      <c r="J44" s="18">
        <v>41306</v>
      </c>
      <c r="K44" t="s">
        <v>26</v>
      </c>
      <c r="L44">
        <v>2217599892</v>
      </c>
    </row>
    <row r="45" spans="2:18">
      <c r="B45" t="s">
        <v>23</v>
      </c>
      <c r="C45" s="18">
        <v>40878</v>
      </c>
      <c r="D45" t="s">
        <v>24</v>
      </c>
      <c r="E45">
        <v>2231440428</v>
      </c>
      <c r="F45" s="19">
        <f>VLOOKUP(CurrentMtgRatesDataTable826[[#This Row],[issueDate]],CurrentMtgRatesDataTable8267[[issueDate]:[issueAmount]],3,0)</f>
        <v>363856997</v>
      </c>
      <c r="G45" s="19" t="e">
        <f>VLOOKUP(CurrentMtgRatesDataTable826[[#This Row],[issueDate]],CurrentMtgRatesDataTable8268[[issueDate]:[issueAmount]],3,0)</f>
        <v>#N/A</v>
      </c>
      <c r="I45" t="s">
        <v>25</v>
      </c>
      <c r="J45" s="18">
        <v>41334</v>
      </c>
      <c r="K45" t="s">
        <v>26</v>
      </c>
      <c r="L45">
        <v>2074956858</v>
      </c>
    </row>
    <row r="46" spans="2:18">
      <c r="B46" t="s">
        <v>23</v>
      </c>
      <c r="C46" s="18">
        <v>40909</v>
      </c>
      <c r="D46" t="s">
        <v>24</v>
      </c>
      <c r="E46">
        <v>1557100159</v>
      </c>
      <c r="F46" s="19">
        <f>VLOOKUP(CurrentMtgRatesDataTable826[[#This Row],[issueDate]],CurrentMtgRatesDataTable8267[[issueDate]:[issueAmount]],3,0)</f>
        <v>964656975</v>
      </c>
      <c r="G46" s="19" t="e">
        <f>VLOOKUP(CurrentMtgRatesDataTable826[[#This Row],[issueDate]],CurrentMtgRatesDataTable8268[[issueDate]:[issueAmount]],3,0)</f>
        <v>#N/A</v>
      </c>
      <c r="I46" t="s">
        <v>25</v>
      </c>
      <c r="J46" s="18">
        <v>41365</v>
      </c>
      <c r="K46" t="s">
        <v>26</v>
      </c>
      <c r="L46">
        <v>2243146531</v>
      </c>
    </row>
    <row r="47" spans="2:18">
      <c r="B47" t="s">
        <v>23</v>
      </c>
      <c r="C47" s="18">
        <v>40940</v>
      </c>
      <c r="D47" t="s">
        <v>24</v>
      </c>
      <c r="E47">
        <v>1459805763</v>
      </c>
      <c r="F47" s="19">
        <f>VLOOKUP(CurrentMtgRatesDataTable826[[#This Row],[issueDate]],CurrentMtgRatesDataTable8267[[issueDate]:[issueAmount]],3,0)</f>
        <v>935368647</v>
      </c>
      <c r="G47" s="19" t="e">
        <f>VLOOKUP(CurrentMtgRatesDataTable826[[#This Row],[issueDate]],CurrentMtgRatesDataTable8268[[issueDate]:[issueAmount]],3,0)</f>
        <v>#N/A</v>
      </c>
      <c r="I47" t="s">
        <v>25</v>
      </c>
      <c r="J47" s="18">
        <v>41395</v>
      </c>
      <c r="K47" t="s">
        <v>26</v>
      </c>
      <c r="L47">
        <v>1541931533</v>
      </c>
    </row>
    <row r="48" spans="2:18">
      <c r="B48" t="s">
        <v>23</v>
      </c>
      <c r="C48" s="18">
        <v>40969</v>
      </c>
      <c r="D48" t="s">
        <v>24</v>
      </c>
      <c r="E48">
        <v>2893315869</v>
      </c>
      <c r="F48" s="19">
        <f>VLOOKUP(CurrentMtgRatesDataTable826[[#This Row],[issueDate]],CurrentMtgRatesDataTable8267[[issueDate]:[issueAmount]],3,0)</f>
        <v>1830004532</v>
      </c>
      <c r="G48" s="19" t="e">
        <f>VLOOKUP(CurrentMtgRatesDataTable826[[#This Row],[issueDate]],CurrentMtgRatesDataTable8268[[issueDate]:[issueAmount]],3,0)</f>
        <v>#N/A</v>
      </c>
      <c r="I48" t="s">
        <v>25</v>
      </c>
      <c r="J48" s="18">
        <v>41426</v>
      </c>
      <c r="K48" t="s">
        <v>26</v>
      </c>
      <c r="L48">
        <v>1758314749</v>
      </c>
    </row>
    <row r="49" spans="2:12">
      <c r="B49" t="s">
        <v>23</v>
      </c>
      <c r="C49" s="18">
        <v>41000</v>
      </c>
      <c r="D49" t="s">
        <v>24</v>
      </c>
      <c r="E49">
        <v>853289366</v>
      </c>
      <c r="F49" s="19">
        <f>VLOOKUP(CurrentMtgRatesDataTable826[[#This Row],[issueDate]],CurrentMtgRatesDataTable8267[[issueDate]:[issueAmount]],3,0)</f>
        <v>1283593895</v>
      </c>
      <c r="G49" s="19" t="e">
        <f>VLOOKUP(CurrentMtgRatesDataTable826[[#This Row],[issueDate]],CurrentMtgRatesDataTable8268[[issueDate]:[issueAmount]],3,0)</f>
        <v>#N/A</v>
      </c>
      <c r="I49" t="s">
        <v>25</v>
      </c>
      <c r="J49" s="18">
        <v>41456</v>
      </c>
      <c r="K49" t="s">
        <v>26</v>
      </c>
      <c r="L49">
        <v>1616623154</v>
      </c>
    </row>
    <row r="50" spans="2:12">
      <c r="B50" t="s">
        <v>23</v>
      </c>
      <c r="C50" s="18">
        <v>41030</v>
      </c>
      <c r="D50" t="s">
        <v>24</v>
      </c>
      <c r="E50">
        <v>1671001392</v>
      </c>
      <c r="F50" s="19">
        <f>VLOOKUP(CurrentMtgRatesDataTable826[[#This Row],[issueDate]],CurrentMtgRatesDataTable8267[[issueDate]:[issueAmount]],3,0)</f>
        <v>2238872332</v>
      </c>
      <c r="G50" s="19" t="e">
        <f>VLOOKUP(CurrentMtgRatesDataTable826[[#This Row],[issueDate]],CurrentMtgRatesDataTable8268[[issueDate]:[issueAmount]],3,0)</f>
        <v>#N/A</v>
      </c>
      <c r="I50" t="s">
        <v>25</v>
      </c>
      <c r="J50" s="18">
        <v>41487</v>
      </c>
      <c r="K50" t="s">
        <v>26</v>
      </c>
      <c r="L50">
        <v>1373502996</v>
      </c>
    </row>
    <row r="51" spans="2:12">
      <c r="B51" t="s">
        <v>23</v>
      </c>
      <c r="C51" s="18">
        <v>41061</v>
      </c>
      <c r="D51" t="s">
        <v>24</v>
      </c>
      <c r="E51">
        <v>1932118315</v>
      </c>
      <c r="F51" s="19">
        <f>VLOOKUP(CurrentMtgRatesDataTable826[[#This Row],[issueDate]],CurrentMtgRatesDataTable8267[[issueDate]:[issueAmount]],3,0)</f>
        <v>2674159779</v>
      </c>
      <c r="G51" s="19">
        <f>VLOOKUP(CurrentMtgRatesDataTable826[[#This Row],[issueDate]],CurrentMtgRatesDataTable8268[[issueDate]:[issueAmount]],3,0)</f>
        <v>5627164641</v>
      </c>
      <c r="I51" t="s">
        <v>25</v>
      </c>
      <c r="J51" s="18">
        <v>41518</v>
      </c>
      <c r="K51" t="s">
        <v>26</v>
      </c>
      <c r="L51">
        <v>960260689</v>
      </c>
    </row>
    <row r="52" spans="2:12">
      <c r="B52" t="s">
        <v>23</v>
      </c>
      <c r="C52" s="18">
        <v>41091</v>
      </c>
      <c r="D52" t="s">
        <v>24</v>
      </c>
      <c r="E52">
        <v>2752296610</v>
      </c>
      <c r="F52" s="19">
        <f>VLOOKUP(CurrentMtgRatesDataTable826[[#This Row],[issueDate]],CurrentMtgRatesDataTable8267[[issueDate]:[issueAmount]],3,0)</f>
        <v>2691500965</v>
      </c>
      <c r="G52" s="19">
        <f>VLOOKUP(CurrentMtgRatesDataTable826[[#This Row],[issueDate]],CurrentMtgRatesDataTable8268[[issueDate]:[issueAmount]],3,0)</f>
        <v>3713048773</v>
      </c>
      <c r="I52" t="s">
        <v>25</v>
      </c>
      <c r="J52" s="18">
        <v>41548</v>
      </c>
      <c r="K52" t="s">
        <v>26</v>
      </c>
      <c r="L52">
        <v>817694911</v>
      </c>
    </row>
    <row r="53" spans="2:12">
      <c r="B53" t="s">
        <v>23</v>
      </c>
      <c r="C53" s="18">
        <v>41122</v>
      </c>
      <c r="D53" t="s">
        <v>24</v>
      </c>
      <c r="E53">
        <v>3126742934</v>
      </c>
      <c r="F53" s="19">
        <f>VLOOKUP(CurrentMtgRatesDataTable826[[#This Row],[issueDate]],CurrentMtgRatesDataTable8267[[issueDate]:[issueAmount]],3,0)</f>
        <v>2705488507</v>
      </c>
      <c r="G53" s="19">
        <f>VLOOKUP(CurrentMtgRatesDataTable826[[#This Row],[issueDate]],CurrentMtgRatesDataTable8268[[issueDate]:[issueAmount]],3,0)</f>
        <v>3482283708</v>
      </c>
      <c r="I53" t="s">
        <v>25</v>
      </c>
      <c r="J53" s="18">
        <v>41579</v>
      </c>
      <c r="K53" t="s">
        <v>26</v>
      </c>
      <c r="L53">
        <v>650781591</v>
      </c>
    </row>
    <row r="54" spans="2:12">
      <c r="B54" t="s">
        <v>23</v>
      </c>
      <c r="C54" s="18">
        <v>41153</v>
      </c>
      <c r="D54" t="s">
        <v>24</v>
      </c>
      <c r="E54">
        <v>3245152246</v>
      </c>
      <c r="F54" s="19">
        <f>VLOOKUP(CurrentMtgRatesDataTable826[[#This Row],[issueDate]],CurrentMtgRatesDataTable8267[[issueDate]:[issueAmount]],3,0)</f>
        <v>2507345171</v>
      </c>
      <c r="G54" s="19">
        <f>VLOOKUP(CurrentMtgRatesDataTable826[[#This Row],[issueDate]],CurrentMtgRatesDataTable8268[[issueDate]:[issueAmount]],3,0)</f>
        <v>3393761631</v>
      </c>
      <c r="I54" t="s">
        <v>25</v>
      </c>
      <c r="J54" s="18">
        <v>41609</v>
      </c>
      <c r="K54" t="s">
        <v>26</v>
      </c>
      <c r="L54">
        <v>755691585</v>
      </c>
    </row>
    <row r="55" spans="2:12">
      <c r="B55" t="s">
        <v>23</v>
      </c>
      <c r="C55" s="18">
        <v>41183</v>
      </c>
      <c r="D55" t="s">
        <v>24</v>
      </c>
      <c r="E55">
        <v>2054054786</v>
      </c>
      <c r="F55" s="19">
        <f>VLOOKUP(CurrentMtgRatesDataTable826[[#This Row],[issueDate]],CurrentMtgRatesDataTable8267[[issueDate]:[issueAmount]],3,0)</f>
        <v>1886237333</v>
      </c>
      <c r="G55" s="19">
        <f>VLOOKUP(CurrentMtgRatesDataTable826[[#This Row],[issueDate]],CurrentMtgRatesDataTable8268[[issueDate]:[issueAmount]],3,0)</f>
        <v>2591936940</v>
      </c>
      <c r="I55" t="s">
        <v>25</v>
      </c>
      <c r="J55" s="18">
        <v>41640</v>
      </c>
      <c r="K55" t="s">
        <v>26</v>
      </c>
      <c r="L55">
        <v>438784911</v>
      </c>
    </row>
    <row r="56" spans="2:12">
      <c r="B56" t="s">
        <v>23</v>
      </c>
      <c r="C56" s="18">
        <v>41214</v>
      </c>
      <c r="D56" t="s">
        <v>24</v>
      </c>
      <c r="E56">
        <v>3993010447</v>
      </c>
      <c r="F56" s="19">
        <f>VLOOKUP(CurrentMtgRatesDataTable826[[#This Row],[issueDate]],CurrentMtgRatesDataTable8267[[issueDate]:[issueAmount]],3,0)</f>
        <v>3089976460</v>
      </c>
      <c r="G56" s="19">
        <f>VLOOKUP(CurrentMtgRatesDataTable826[[#This Row],[issueDate]],CurrentMtgRatesDataTable8268[[issueDate]:[issueAmount]],3,0)</f>
        <v>3531096335</v>
      </c>
      <c r="I56" t="s">
        <v>25</v>
      </c>
      <c r="J56" s="18">
        <v>41671</v>
      </c>
      <c r="K56" t="s">
        <v>26</v>
      </c>
      <c r="L56">
        <v>399641559</v>
      </c>
    </row>
    <row r="57" spans="2:12">
      <c r="B57" t="s">
        <v>23</v>
      </c>
      <c r="C57" s="18">
        <v>41244</v>
      </c>
      <c r="D57" t="s">
        <v>24</v>
      </c>
      <c r="E57">
        <v>1214802344</v>
      </c>
      <c r="F57" s="19">
        <f>VLOOKUP(CurrentMtgRatesDataTable826[[#This Row],[issueDate]],CurrentMtgRatesDataTable8267[[issueDate]:[issueAmount]],3,0)</f>
        <v>1925814668</v>
      </c>
      <c r="G57" s="19">
        <f>VLOOKUP(CurrentMtgRatesDataTable826[[#This Row],[issueDate]],CurrentMtgRatesDataTable8268[[issueDate]:[issueAmount]],3,0)</f>
        <v>2237392773</v>
      </c>
      <c r="I57" t="s">
        <v>25</v>
      </c>
      <c r="J57" s="18">
        <v>41699</v>
      </c>
      <c r="K57" t="s">
        <v>26</v>
      </c>
      <c r="L57">
        <v>313566996</v>
      </c>
    </row>
    <row r="58" spans="2:12">
      <c r="B58" t="s">
        <v>23</v>
      </c>
      <c r="C58" s="18">
        <v>41275</v>
      </c>
      <c r="D58" t="s">
        <v>24</v>
      </c>
      <c r="E58">
        <v>3321638962</v>
      </c>
      <c r="F58" s="19">
        <f>VLOOKUP(CurrentMtgRatesDataTable826[[#This Row],[issueDate]],CurrentMtgRatesDataTable8267[[issueDate]:[issueAmount]],3,0)</f>
        <v>2387371027</v>
      </c>
      <c r="G58" s="19">
        <f>VLOOKUP(CurrentMtgRatesDataTable826[[#This Row],[issueDate]],CurrentMtgRatesDataTable8268[[issueDate]:[issueAmount]],3,0)</f>
        <v>3299880097</v>
      </c>
      <c r="I58" t="s">
        <v>25</v>
      </c>
      <c r="J58" s="18">
        <v>41730</v>
      </c>
      <c r="K58" t="s">
        <v>26</v>
      </c>
      <c r="L58">
        <v>255206728</v>
      </c>
    </row>
    <row r="59" spans="2:12">
      <c r="B59" t="s">
        <v>23</v>
      </c>
      <c r="C59" s="18">
        <v>41306</v>
      </c>
      <c r="D59" t="s">
        <v>24</v>
      </c>
      <c r="E59">
        <v>1888075582</v>
      </c>
      <c r="F59" s="19">
        <f>VLOOKUP(CurrentMtgRatesDataTable826[[#This Row],[issueDate]],CurrentMtgRatesDataTable8267[[issueDate]:[issueAmount]],3,0)</f>
        <v>2217599892</v>
      </c>
      <c r="G59" s="19">
        <f>VLOOKUP(CurrentMtgRatesDataTable826[[#This Row],[issueDate]],CurrentMtgRatesDataTable8268[[issueDate]:[issueAmount]],3,0)</f>
        <v>2808516054</v>
      </c>
      <c r="I59" t="s">
        <v>25</v>
      </c>
      <c r="J59" s="18">
        <v>41760</v>
      </c>
      <c r="K59" t="s">
        <v>26</v>
      </c>
      <c r="L59">
        <v>186037636</v>
      </c>
    </row>
    <row r="60" spans="2:12">
      <c r="B60" t="s">
        <v>23</v>
      </c>
      <c r="C60" s="18">
        <v>41334</v>
      </c>
      <c r="D60" t="s">
        <v>24</v>
      </c>
      <c r="E60">
        <v>2116389422</v>
      </c>
      <c r="F60" s="19">
        <f>VLOOKUP(CurrentMtgRatesDataTable826[[#This Row],[issueDate]],CurrentMtgRatesDataTable8267[[issueDate]:[issueAmount]],3,0)</f>
        <v>2074956858</v>
      </c>
      <c r="G60" s="19">
        <f>VLOOKUP(CurrentMtgRatesDataTable826[[#This Row],[issueDate]],CurrentMtgRatesDataTable8268[[issueDate]:[issueAmount]],3,0)</f>
        <v>2186380753</v>
      </c>
      <c r="I60" t="s">
        <v>25</v>
      </c>
      <c r="J60" s="18">
        <v>41791</v>
      </c>
      <c r="K60" t="s">
        <v>26</v>
      </c>
      <c r="L60">
        <v>244291451</v>
      </c>
    </row>
    <row r="61" spans="2:12">
      <c r="B61" t="s">
        <v>23</v>
      </c>
      <c r="C61" s="18">
        <v>41365</v>
      </c>
      <c r="D61" t="s">
        <v>24</v>
      </c>
      <c r="E61">
        <v>2271806082</v>
      </c>
      <c r="F61" s="19">
        <f>VLOOKUP(CurrentMtgRatesDataTable826[[#This Row],[issueDate]],CurrentMtgRatesDataTable8267[[issueDate]:[issueAmount]],3,0)</f>
        <v>2243146531</v>
      </c>
      <c r="G61" s="19">
        <f>VLOOKUP(CurrentMtgRatesDataTable826[[#This Row],[issueDate]],CurrentMtgRatesDataTable8268[[issueDate]:[issueAmount]],3,0)</f>
        <v>2498076581</v>
      </c>
      <c r="I61" t="s">
        <v>25</v>
      </c>
      <c r="J61" s="18">
        <v>41821</v>
      </c>
      <c r="K61" t="s">
        <v>26</v>
      </c>
      <c r="L61">
        <v>206481264</v>
      </c>
    </row>
    <row r="62" spans="2:12">
      <c r="B62" t="s">
        <v>23</v>
      </c>
      <c r="C62" s="18">
        <v>41395</v>
      </c>
      <c r="D62" t="s">
        <v>24</v>
      </c>
      <c r="E62">
        <v>2019206225</v>
      </c>
      <c r="F62" s="19">
        <f>VLOOKUP(CurrentMtgRatesDataTable826[[#This Row],[issueDate]],CurrentMtgRatesDataTable8267[[issueDate]:[issueAmount]],3,0)</f>
        <v>1541931533</v>
      </c>
      <c r="G62" s="19">
        <f>VLOOKUP(CurrentMtgRatesDataTable826[[#This Row],[issueDate]],CurrentMtgRatesDataTable8268[[issueDate]:[issueAmount]],3,0)</f>
        <v>1858786075</v>
      </c>
      <c r="I62" t="s">
        <v>25</v>
      </c>
      <c r="J62" s="18">
        <v>41852</v>
      </c>
      <c r="K62" t="s">
        <v>26</v>
      </c>
      <c r="L62">
        <v>346554888</v>
      </c>
    </row>
    <row r="63" spans="2:12">
      <c r="B63" t="s">
        <v>23</v>
      </c>
      <c r="C63" s="18">
        <v>41426</v>
      </c>
      <c r="D63" t="s">
        <v>24</v>
      </c>
      <c r="E63">
        <v>2418493907</v>
      </c>
      <c r="F63" s="19">
        <f>VLOOKUP(CurrentMtgRatesDataTable826[[#This Row],[issueDate]],CurrentMtgRatesDataTable8267[[issueDate]:[issueAmount]],3,0)</f>
        <v>1758314749</v>
      </c>
      <c r="G63" s="19">
        <f>VLOOKUP(CurrentMtgRatesDataTable826[[#This Row],[issueDate]],CurrentMtgRatesDataTable8268[[issueDate]:[issueAmount]],3,0)</f>
        <v>1553402361</v>
      </c>
      <c r="I63" t="s">
        <v>25</v>
      </c>
      <c r="J63" s="18">
        <v>41883</v>
      </c>
      <c r="K63" t="s">
        <v>26</v>
      </c>
      <c r="L63">
        <v>187308272</v>
      </c>
    </row>
    <row r="64" spans="2:12">
      <c r="B64" t="s">
        <v>23</v>
      </c>
      <c r="C64" s="18">
        <v>41456</v>
      </c>
      <c r="D64" t="s">
        <v>24</v>
      </c>
      <c r="E64">
        <v>1885265938</v>
      </c>
      <c r="F64" s="19">
        <f>VLOOKUP(CurrentMtgRatesDataTable826[[#This Row],[issueDate]],CurrentMtgRatesDataTable8267[[issueDate]:[issueAmount]],3,0)</f>
        <v>1616623154</v>
      </c>
      <c r="G64" s="19">
        <f>VLOOKUP(CurrentMtgRatesDataTable826[[#This Row],[issueDate]],CurrentMtgRatesDataTable8268[[issueDate]:[issueAmount]],3,0)</f>
        <v>1434823555</v>
      </c>
      <c r="I64" t="s">
        <v>25</v>
      </c>
      <c r="J64" s="18">
        <v>41913</v>
      </c>
      <c r="K64" t="s">
        <v>26</v>
      </c>
      <c r="L64">
        <v>169366238</v>
      </c>
    </row>
    <row r="65" spans="2:12">
      <c r="B65" t="s">
        <v>23</v>
      </c>
      <c r="C65" s="18">
        <v>41487</v>
      </c>
      <c r="D65" t="s">
        <v>24</v>
      </c>
      <c r="E65">
        <v>1634700327</v>
      </c>
      <c r="F65" s="19">
        <f>VLOOKUP(CurrentMtgRatesDataTable826[[#This Row],[issueDate]],CurrentMtgRatesDataTable8267[[issueDate]:[issueAmount]],3,0)</f>
        <v>1373502996</v>
      </c>
      <c r="G65" s="19">
        <f>VLOOKUP(CurrentMtgRatesDataTable826[[#This Row],[issueDate]],CurrentMtgRatesDataTable8268[[issueDate]:[issueAmount]],3,0)</f>
        <v>1187325480</v>
      </c>
      <c r="I65" t="s">
        <v>25</v>
      </c>
      <c r="J65" s="18">
        <v>41944</v>
      </c>
      <c r="K65" t="s">
        <v>26</v>
      </c>
      <c r="L65">
        <v>371096000</v>
      </c>
    </row>
    <row r="66" spans="2:12">
      <c r="B66" t="s">
        <v>23</v>
      </c>
      <c r="C66" s="18">
        <v>41518</v>
      </c>
      <c r="D66" t="s">
        <v>24</v>
      </c>
      <c r="E66">
        <v>971826383</v>
      </c>
      <c r="F66" s="19">
        <f>VLOOKUP(CurrentMtgRatesDataTable826[[#This Row],[issueDate]],CurrentMtgRatesDataTable8267[[issueDate]:[issueAmount]],3,0)</f>
        <v>960260689</v>
      </c>
      <c r="G66" s="19">
        <f>VLOOKUP(CurrentMtgRatesDataTable826[[#This Row],[issueDate]],CurrentMtgRatesDataTable8268[[issueDate]:[issueAmount]],3,0)</f>
        <v>743460848</v>
      </c>
      <c r="I66" t="s">
        <v>25</v>
      </c>
      <c r="J66" s="18">
        <v>41974</v>
      </c>
      <c r="K66" t="s">
        <v>26</v>
      </c>
      <c r="L66">
        <v>145992266</v>
      </c>
    </row>
    <row r="67" spans="2:12">
      <c r="B67" t="s">
        <v>23</v>
      </c>
      <c r="C67" s="18">
        <v>41548</v>
      </c>
      <c r="D67" t="s">
        <v>24</v>
      </c>
      <c r="E67">
        <v>841860222</v>
      </c>
      <c r="F67" s="19">
        <f>VLOOKUP(CurrentMtgRatesDataTable826[[#This Row],[issueDate]],CurrentMtgRatesDataTable8267[[issueDate]:[issueAmount]],3,0)</f>
        <v>817694911</v>
      </c>
      <c r="G67" s="19">
        <f>VLOOKUP(CurrentMtgRatesDataTable826[[#This Row],[issueDate]],CurrentMtgRatesDataTable8268[[issueDate]:[issueAmount]],3,0)</f>
        <v>615254685</v>
      </c>
      <c r="I67" t="s">
        <v>25</v>
      </c>
      <c r="J67" s="18">
        <v>42005</v>
      </c>
      <c r="K67" t="s">
        <v>26</v>
      </c>
      <c r="L67">
        <v>120675652</v>
      </c>
    </row>
    <row r="68" spans="2:12">
      <c r="B68" t="s">
        <v>23</v>
      </c>
      <c r="C68" s="18">
        <v>41579</v>
      </c>
      <c r="D68" t="s">
        <v>24</v>
      </c>
      <c r="E68">
        <v>773960857</v>
      </c>
      <c r="F68" s="19">
        <f>VLOOKUP(CurrentMtgRatesDataTable826[[#This Row],[issueDate]],CurrentMtgRatesDataTable8267[[issueDate]:[issueAmount]],3,0)</f>
        <v>650781591</v>
      </c>
      <c r="G68" s="19">
        <f>VLOOKUP(CurrentMtgRatesDataTable826[[#This Row],[issueDate]],CurrentMtgRatesDataTable8268[[issueDate]:[issueAmount]],3,0)</f>
        <v>887067278</v>
      </c>
      <c r="I68" t="s">
        <v>25</v>
      </c>
      <c r="J68" s="18">
        <v>42036</v>
      </c>
      <c r="K68" t="s">
        <v>26</v>
      </c>
      <c r="L68">
        <v>469334257</v>
      </c>
    </row>
    <row r="69" spans="2:12">
      <c r="B69" t="s">
        <v>23</v>
      </c>
      <c r="C69" s="18">
        <v>41609</v>
      </c>
      <c r="D69" t="s">
        <v>24</v>
      </c>
      <c r="E69">
        <v>647887853</v>
      </c>
      <c r="F69" s="19">
        <f>VLOOKUP(CurrentMtgRatesDataTable826[[#This Row],[issueDate]],CurrentMtgRatesDataTable8267[[issueDate]:[issueAmount]],3,0)</f>
        <v>755691585</v>
      </c>
      <c r="G69" s="19">
        <f>VLOOKUP(CurrentMtgRatesDataTable826[[#This Row],[issueDate]],CurrentMtgRatesDataTable8268[[issueDate]:[issueAmount]],3,0)</f>
        <v>857597466</v>
      </c>
      <c r="I69" t="s">
        <v>25</v>
      </c>
      <c r="J69" s="18">
        <v>42064</v>
      </c>
      <c r="K69" t="s">
        <v>26</v>
      </c>
      <c r="L69">
        <v>104946942</v>
      </c>
    </row>
    <row r="70" spans="2:12">
      <c r="B70" t="s">
        <v>23</v>
      </c>
      <c r="C70" s="18">
        <v>41640</v>
      </c>
      <c r="D70" t="s">
        <v>24</v>
      </c>
      <c r="E70">
        <v>392754952</v>
      </c>
      <c r="F70" s="19">
        <f>VLOOKUP(CurrentMtgRatesDataTable826[[#This Row],[issueDate]],CurrentMtgRatesDataTable8267[[issueDate]:[issueAmount]],3,0)</f>
        <v>438784911</v>
      </c>
      <c r="G70" s="19">
        <f>VLOOKUP(CurrentMtgRatesDataTable826[[#This Row],[issueDate]],CurrentMtgRatesDataTable8268[[issueDate]:[issueAmount]],3,0)</f>
        <v>663943847</v>
      </c>
      <c r="I70" t="s">
        <v>25</v>
      </c>
      <c r="J70" s="18">
        <v>42095</v>
      </c>
      <c r="K70" t="s">
        <v>26</v>
      </c>
      <c r="L70">
        <v>103557026</v>
      </c>
    </row>
    <row r="71" spans="2:12">
      <c r="B71" t="s">
        <v>23</v>
      </c>
      <c r="C71" s="18">
        <v>41671</v>
      </c>
      <c r="D71" t="s">
        <v>24</v>
      </c>
      <c r="E71">
        <v>362334810</v>
      </c>
      <c r="F71" s="19">
        <f>VLOOKUP(CurrentMtgRatesDataTable826[[#This Row],[issueDate]],CurrentMtgRatesDataTable8267[[issueDate]:[issueAmount]],3,0)</f>
        <v>399641559</v>
      </c>
      <c r="G71" s="19">
        <f>VLOOKUP(CurrentMtgRatesDataTable826[[#This Row],[issueDate]],CurrentMtgRatesDataTable8268[[issueDate]:[issueAmount]],3,0)</f>
        <v>261049913</v>
      </c>
    </row>
    <row r="72" spans="2:12">
      <c r="B72" t="s">
        <v>23</v>
      </c>
      <c r="C72" s="18">
        <v>41699</v>
      </c>
      <c r="D72" t="s">
        <v>24</v>
      </c>
      <c r="E72">
        <v>230227055</v>
      </c>
      <c r="F72" s="19">
        <f>VLOOKUP(CurrentMtgRatesDataTable826[[#This Row],[issueDate]],CurrentMtgRatesDataTable8267[[issueDate]:[issueAmount]],3,0)</f>
        <v>313566996</v>
      </c>
      <c r="G72" s="19">
        <f>VLOOKUP(CurrentMtgRatesDataTable826[[#This Row],[issueDate]],CurrentMtgRatesDataTable8268[[issueDate]:[issueAmount]],3,0)</f>
        <v>214559704</v>
      </c>
    </row>
    <row r="73" spans="2:12">
      <c r="B73" t="s">
        <v>23</v>
      </c>
      <c r="C73" s="18">
        <v>41730</v>
      </c>
      <c r="D73" t="s">
        <v>24</v>
      </c>
      <c r="E73">
        <v>278280577</v>
      </c>
      <c r="F73" s="19">
        <f>VLOOKUP(CurrentMtgRatesDataTable826[[#This Row],[issueDate]],CurrentMtgRatesDataTable8267[[issueDate]:[issueAmount]],3,0)</f>
        <v>255206728</v>
      </c>
      <c r="G73" s="19">
        <f>VLOOKUP(CurrentMtgRatesDataTable826[[#This Row],[issueDate]],CurrentMtgRatesDataTable8268[[issueDate]:[issueAmount]],3,0)</f>
        <v>294932105</v>
      </c>
    </row>
    <row r="74" spans="2:12">
      <c r="B74" t="s">
        <v>23</v>
      </c>
      <c r="C74" s="18">
        <v>41760</v>
      </c>
      <c r="D74" t="s">
        <v>24</v>
      </c>
      <c r="E74">
        <v>337688908</v>
      </c>
      <c r="F74" s="19">
        <f>VLOOKUP(CurrentMtgRatesDataTable826[[#This Row],[issueDate]],CurrentMtgRatesDataTable8267[[issueDate]:[issueAmount]],3,0)</f>
        <v>186037636</v>
      </c>
      <c r="G74" s="19">
        <f>VLOOKUP(CurrentMtgRatesDataTable826[[#This Row],[issueDate]],CurrentMtgRatesDataTable8268[[issueDate]:[issueAmount]],3,0)</f>
        <v>110770261</v>
      </c>
    </row>
    <row r="75" spans="2:12">
      <c r="B75" t="s">
        <v>23</v>
      </c>
      <c r="C75" s="18">
        <v>41791</v>
      </c>
      <c r="D75" t="s">
        <v>24</v>
      </c>
      <c r="E75">
        <v>319731336</v>
      </c>
      <c r="F75" s="19">
        <f>VLOOKUP(CurrentMtgRatesDataTable826[[#This Row],[issueDate]],CurrentMtgRatesDataTable8267[[issueDate]:[issueAmount]],3,0)</f>
        <v>244291451</v>
      </c>
      <c r="G75" s="19">
        <f>VLOOKUP(CurrentMtgRatesDataTable826[[#This Row],[issueDate]],CurrentMtgRatesDataTable8268[[issueDate]:[issueAmount]],3,0)</f>
        <v>275221137</v>
      </c>
    </row>
    <row r="76" spans="2:12">
      <c r="B76" t="s">
        <v>23</v>
      </c>
      <c r="C76" s="18">
        <v>41821</v>
      </c>
      <c r="D76" t="s">
        <v>24</v>
      </c>
      <c r="E76">
        <v>562390222</v>
      </c>
      <c r="F76" s="19">
        <f>VLOOKUP(CurrentMtgRatesDataTable826[[#This Row],[issueDate]],CurrentMtgRatesDataTable8267[[issueDate]:[issueAmount]],3,0)</f>
        <v>206481264</v>
      </c>
      <c r="G76" s="19">
        <f>VLOOKUP(CurrentMtgRatesDataTable826[[#This Row],[issueDate]],CurrentMtgRatesDataTable8268[[issueDate]:[issueAmount]],3,0)</f>
        <v>174927834</v>
      </c>
    </row>
    <row r="77" spans="2:12">
      <c r="B77" t="s">
        <v>23</v>
      </c>
      <c r="C77" s="18">
        <v>41852</v>
      </c>
      <c r="D77" t="s">
        <v>24</v>
      </c>
      <c r="E77">
        <v>449797295</v>
      </c>
      <c r="F77" s="19">
        <f>VLOOKUP(CurrentMtgRatesDataTable826[[#This Row],[issueDate]],CurrentMtgRatesDataTable8267[[issueDate]:[issueAmount]],3,0)</f>
        <v>346554888</v>
      </c>
      <c r="G77" s="19">
        <f>VLOOKUP(CurrentMtgRatesDataTable826[[#This Row],[issueDate]],CurrentMtgRatesDataTable8268[[issueDate]:[issueAmount]],3,0)</f>
        <v>330911502</v>
      </c>
    </row>
    <row r="78" spans="2:12">
      <c r="B78" t="s">
        <v>23</v>
      </c>
      <c r="C78" s="18">
        <v>41883</v>
      </c>
      <c r="D78" t="s">
        <v>24</v>
      </c>
      <c r="E78">
        <v>746264105</v>
      </c>
      <c r="F78" s="19">
        <f>VLOOKUP(CurrentMtgRatesDataTable826[[#This Row],[issueDate]],CurrentMtgRatesDataTable8267[[issueDate]:[issueAmount]],3,0)</f>
        <v>187308272</v>
      </c>
      <c r="G78" s="19">
        <f>VLOOKUP(CurrentMtgRatesDataTable826[[#This Row],[issueDate]],CurrentMtgRatesDataTable8268[[issueDate]:[issueAmount]],3,0)</f>
        <v>120745416</v>
      </c>
    </row>
    <row r="79" spans="2:12">
      <c r="B79" t="s">
        <v>23</v>
      </c>
      <c r="C79" s="18">
        <v>41913</v>
      </c>
      <c r="D79" t="s">
        <v>24</v>
      </c>
      <c r="E79">
        <v>639001193</v>
      </c>
      <c r="F79" s="19">
        <f>VLOOKUP(CurrentMtgRatesDataTable826[[#This Row],[issueDate]],CurrentMtgRatesDataTable8267[[issueDate]:[issueAmount]],3,0)</f>
        <v>169366238</v>
      </c>
      <c r="G79" s="19">
        <f>VLOOKUP(CurrentMtgRatesDataTable826[[#This Row],[issueDate]],CurrentMtgRatesDataTable8268[[issueDate]:[issueAmount]],3,0)</f>
        <v>385881834</v>
      </c>
    </row>
    <row r="80" spans="2:12">
      <c r="B80" t="s">
        <v>23</v>
      </c>
      <c r="C80" s="18">
        <v>41944</v>
      </c>
      <c r="D80" t="s">
        <v>24</v>
      </c>
      <c r="E80">
        <v>549347202</v>
      </c>
      <c r="F80" s="19">
        <f>VLOOKUP(CurrentMtgRatesDataTable826[[#This Row],[issueDate]],CurrentMtgRatesDataTable8267[[issueDate]:[issueAmount]],3,0)</f>
        <v>371096000</v>
      </c>
      <c r="G80" s="19">
        <f>VLOOKUP(CurrentMtgRatesDataTable826[[#This Row],[issueDate]],CurrentMtgRatesDataTable8268[[issueDate]:[issueAmount]],3,0)</f>
        <v>230866169</v>
      </c>
    </row>
    <row r="81" spans="2:7">
      <c r="B81" t="s">
        <v>23</v>
      </c>
      <c r="C81" s="18">
        <v>41974</v>
      </c>
      <c r="D81" t="s">
        <v>24</v>
      </c>
      <c r="E81">
        <v>771028754</v>
      </c>
      <c r="F81" s="19">
        <f>VLOOKUP(CurrentMtgRatesDataTable826[[#This Row],[issueDate]],CurrentMtgRatesDataTable8267[[issueDate]:[issueAmount]],3,0)</f>
        <v>145992266</v>
      </c>
      <c r="G81" s="19">
        <f>VLOOKUP(CurrentMtgRatesDataTable826[[#This Row],[issueDate]],CurrentMtgRatesDataTable8268[[issueDate]:[issueAmount]],3,0)</f>
        <v>1261524465</v>
      </c>
    </row>
    <row r="82" spans="2:7">
      <c r="B82" t="s">
        <v>23</v>
      </c>
      <c r="C82" s="18">
        <v>42005</v>
      </c>
      <c r="D82" t="s">
        <v>24</v>
      </c>
      <c r="E82">
        <v>667434711</v>
      </c>
      <c r="F82" s="19">
        <f>VLOOKUP(CurrentMtgRatesDataTable826[[#This Row],[issueDate]],CurrentMtgRatesDataTable8267[[issueDate]:[issueAmount]],3,0)</f>
        <v>120675652</v>
      </c>
      <c r="G82" s="19">
        <f>VLOOKUP(CurrentMtgRatesDataTable826[[#This Row],[issueDate]],CurrentMtgRatesDataTable8268[[issueDate]:[issueAmount]],3,0)</f>
        <v>143096287</v>
      </c>
    </row>
    <row r="83" spans="2:7">
      <c r="B83" t="s">
        <v>23</v>
      </c>
      <c r="C83" s="18">
        <v>42036</v>
      </c>
      <c r="D83" t="s">
        <v>24</v>
      </c>
      <c r="E83">
        <v>821128260</v>
      </c>
      <c r="F83" s="19">
        <f>VLOOKUP(CurrentMtgRatesDataTable826[[#This Row],[issueDate]],CurrentMtgRatesDataTable8267[[issueDate]:[issueAmount]],3,0)</f>
        <v>469334257</v>
      </c>
      <c r="G83" s="19">
        <f>VLOOKUP(CurrentMtgRatesDataTable826[[#This Row],[issueDate]],CurrentMtgRatesDataTable8268[[issueDate]:[issueAmount]],3,0)</f>
        <v>127311006</v>
      </c>
    </row>
    <row r="84" spans="2:7">
      <c r="B84" t="s">
        <v>23</v>
      </c>
      <c r="C84" s="18">
        <v>42064</v>
      </c>
      <c r="D84" t="s">
        <v>24</v>
      </c>
      <c r="E84">
        <v>1012026911</v>
      </c>
      <c r="F84" s="19">
        <f>VLOOKUP(CurrentMtgRatesDataTable826[[#This Row],[issueDate]],CurrentMtgRatesDataTable8267[[issueDate]:[issueAmount]],3,0)</f>
        <v>104946942</v>
      </c>
      <c r="G84" s="19">
        <f>VLOOKUP(CurrentMtgRatesDataTable826[[#This Row],[issueDate]],CurrentMtgRatesDataTable8268[[issueDate]:[issueAmount]],3,0)</f>
        <v>155150153</v>
      </c>
    </row>
    <row r="85" spans="2:7">
      <c r="B85" t="s">
        <v>23</v>
      </c>
      <c r="C85" s="18">
        <v>42095</v>
      </c>
      <c r="D85" t="s">
        <v>24</v>
      </c>
      <c r="E85">
        <v>243939277</v>
      </c>
      <c r="F85" s="19">
        <f>VLOOKUP(CurrentMtgRatesDataTable826[[#This Row],[issueDate]],CurrentMtgRatesDataTable8267[[issueDate]:[issueAmount]],3,0)</f>
        <v>103557026</v>
      </c>
      <c r="G85" s="19">
        <f>VLOOKUP(CurrentMtgRatesDataTable826[[#This Row],[issueDate]],CurrentMtgRatesDataTable8268[[issueDate]:[issueAmount]],3,0)</f>
        <v>95322234</v>
      </c>
    </row>
  </sheetData>
  <pageMargins left="0.7" right="0.7" top="0.75" bottom="0.75" header="0.3" footer="0.3"/>
  <drawing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Report</vt:lpstr>
      <vt:lpstr>Historical</vt:lpstr>
      <vt:lpstr>Input-equal</vt:lpstr>
      <vt:lpstr>CurrentCloseDate</vt:lpstr>
      <vt:lpstr>DatabaseEnv</vt:lpstr>
      <vt:lpstr>DateToChangeLag</vt:lpstr>
      <vt:lpstr>PDFReportDir</vt:lpstr>
      <vt:lpstr>PDFReportName</vt:lpstr>
      <vt:lpstr>Report!Print_Area</vt:lpstr>
      <vt:lpstr>SaveRatesToDB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2015-04-06T18:29:43Z</cp:lastPrinted>
  <dcterms:created xsi:type="dcterms:W3CDTF">2006-09-16T00:00:00Z</dcterms:created>
  <dcterms:modified xsi:type="dcterms:W3CDTF">2015-04-06T21:56:31Z</dcterms:modified>
</cp:coreProperties>
</file>