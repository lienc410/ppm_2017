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" sheetId="16" r:id="rId1"/>
    <sheet name="Report Page2" sheetId="21" r:id="rId2"/>
    <sheet name="Historical" sheetId="19" state="hidden" r:id="rId3"/>
    <sheet name="Input-Non TBA" sheetId="9" state="hidden" r:id="rId4"/>
    <sheet name="Input-TBA LS" sheetId="20" state="hidden" r:id="rId5"/>
  </sheets>
  <functionGroups builtInGroupCount="17"/>
  <externalReferences>
    <externalReference r:id="rId6"/>
    <externalReference r:id="rId7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 localSheetId="1">'Report Page2'!#REF!</definedName>
    <definedName name="CurrentCloseDate">Report!$U$2</definedName>
    <definedName name="CurrentMonth">Report!$U$9</definedName>
    <definedName name="CurrentMonth2">Report!$U$11</definedName>
    <definedName name="DatabaseEnv" localSheetId="1">'Report Page2'!#REF!</definedName>
    <definedName name="DatabaseEnv">Report!$U$1</definedName>
    <definedName name="DateToChangeLag" localSheetId="1">'Report Page2'!#REF!</definedName>
    <definedName name="DateToChangeLag">Report!$U$12</definedName>
    <definedName name="HistoricalMtgRatesDataTable" localSheetId="4">#REF!</definedName>
    <definedName name="HistoricalMtgRatesDataTable" localSheetId="1">#REF!</definedName>
    <definedName name="HistoricalMtgRatesDataTable">#REF!</definedName>
    <definedName name="IR" localSheetId="4">#REF!</definedName>
    <definedName name="IR" localSheetId="1">#REF!</definedName>
    <definedName name="IR">#REF!</definedName>
    <definedName name="MmExcelLinker_D5EFE7B8_A5AE_4CC6_B628_05FDC84CBEA4" localSheetId="4">Early Market [2]Data!$C$44:$C$44</definedName>
    <definedName name="MmExcelLinker_D5EFE7B8_A5AE_4CC6_B628_05FDC84CBEA4" localSheetId="1">Early Market [2]Data!$C$44:$C$44</definedName>
    <definedName name="MmExcelLinker_D5EFE7B8_A5AE_4CC6_B628_05FDC84CBEA4">Early Market [2]Data!$C$44:$C$44</definedName>
    <definedName name="NoLagTopTenDataTable" localSheetId="4">#REF!</definedName>
    <definedName name="NoLagTopTenDataTable" localSheetId="1">#REF!</definedName>
    <definedName name="NoLagTopTenDataTable">#REF!</definedName>
    <definedName name="OneDayBusDate" localSheetId="4">#REF!</definedName>
    <definedName name="OneDayBusDate" localSheetId="1">#REF!</definedName>
    <definedName name="OneDayBusDate">#REF!</definedName>
    <definedName name="OneMonthBusDate" localSheetId="4">#REF!</definedName>
    <definedName name="OneMonthBusDate" localSheetId="1">#REF!</definedName>
    <definedName name="OneMonthBusDate">#REF!</definedName>
    <definedName name="OneWeekBusDate" localSheetId="4">#REF!</definedName>
    <definedName name="OneWeekBusDate" localSheetId="1">#REF!</definedName>
    <definedName name="OneWeekBusDate">#REF!</definedName>
    <definedName name="PDFReportDir" localSheetId="1">'Report Page2'!#REF!</definedName>
    <definedName name="PDFReportDir">Report!$U$3</definedName>
    <definedName name="PDFReportName" localSheetId="1">'Report Page2'!#REF!</definedName>
    <definedName name="PDFReportName">Report!$U$4</definedName>
    <definedName name="PivotTable10" localSheetId="4">#REF!</definedName>
    <definedName name="PivotTable10" localSheetId="1">#REF!</definedName>
    <definedName name="PivotTable10">#REF!</definedName>
    <definedName name="PivotTable11" localSheetId="4">#REF!</definedName>
    <definedName name="PivotTable11" localSheetId="1">#REF!</definedName>
    <definedName name="PivotTable11">#REF!</definedName>
    <definedName name="PivotTable12" localSheetId="4">#REF!</definedName>
    <definedName name="PivotTable12" localSheetId="1">#REF!</definedName>
    <definedName name="PivotTable12">#REF!</definedName>
    <definedName name="_xlnm.Print_Area" localSheetId="0">Report!$C$1:$Q$58</definedName>
    <definedName name="_xlnm.Print_Area" localSheetId="1">'Report Page2'!$C$1:$Q$65</definedName>
    <definedName name="Query_from_Agency" localSheetId="3" hidden="1">'Input-Non TBA'!#REF!</definedName>
    <definedName name="Query_from_Agency" localSheetId="4" hidden="1">'Input-TBA LS'!#REF!</definedName>
    <definedName name="Query_from_Agency_1" localSheetId="3" hidden="1">'Input-Non TBA'!#REF!</definedName>
    <definedName name="Query_from_Agency_1" localSheetId="4" hidden="1">'Input-TBA LS'!#REF!</definedName>
    <definedName name="Query_from_Agency_10" localSheetId="3" hidden="1">'Input-Non TBA'!$O$3:$R$38</definedName>
    <definedName name="Query_from_Agency_10" localSheetId="4" hidden="1">'Input-TBA LS'!$I$3:$J$67</definedName>
    <definedName name="Query_from_Agency_11" localSheetId="4" hidden="1">'Input-TBA LS'!$M$3:$N$67</definedName>
    <definedName name="Query_from_Agency_12" localSheetId="4" hidden="1">'Input-TBA LS'!$Q$3:$R$67</definedName>
    <definedName name="Query_from_Agency_13" localSheetId="4" hidden="1">'Input-TBA LS'!$AA$3:$AB$67</definedName>
    <definedName name="Query_from_Agency_14" localSheetId="4" hidden="1">'Input-TBA LS'!$AE$3:$AF$67</definedName>
    <definedName name="Query_from_Agency_15" localSheetId="4" hidden="1">'Input-TBA LS'!$AH$3:$AI$67</definedName>
    <definedName name="Query_from_Agency_4" localSheetId="3" hidden="1">'Input-Non TBA'!#REF!</definedName>
    <definedName name="Query_from_Agency_4" localSheetId="4" hidden="1">'Input-TBA LS'!#REF!</definedName>
    <definedName name="Query_from_Agency_5" localSheetId="3" hidden="1">'Input-Non TBA'!#REF!</definedName>
    <definedName name="Query_from_Agency_5" localSheetId="4" hidden="1">'Input-TBA LS'!#REF!</definedName>
    <definedName name="Query_from_Agency_6" localSheetId="3" hidden="1">'Input-Non TBA'!$B$3:$E$67</definedName>
    <definedName name="Query_from_Agency_6" localSheetId="4" hidden="1">'Input-TBA LS'!$B$3:$C$67</definedName>
    <definedName name="Query_from_Agency_7" localSheetId="3" hidden="1">'Input-Non TBA'!#REF!</definedName>
    <definedName name="Query_from_Agency_7" localSheetId="4" hidden="1">'Input-TBA LS'!#REF!</definedName>
    <definedName name="Query_from_Agency_8" localSheetId="3" hidden="1">'Input-Non TBA'!#REF!</definedName>
    <definedName name="Query_from_Agency_8" localSheetId="4" hidden="1">'Input-TBA LS'!#REF!</definedName>
    <definedName name="Query_from_Agency_9" localSheetId="3" hidden="1">'Input-Non TBA'!$I$3:$L$67</definedName>
    <definedName name="Query_from_Agency_9" localSheetId="4" hidden="1">'Input-TBA LS'!$E$3:$F$67</definedName>
    <definedName name="SaveRatesToDB" localSheetId="1">'Report Page2'!$U$1</definedName>
    <definedName name="SaveRatesToDB">Report!$W$1</definedName>
    <definedName name="temp_13" localSheetId="3">'Input-Non TBA'!#REF!</definedName>
    <definedName name="temp_13" localSheetId="4">'Input-TBA LS'!#REF!</definedName>
    <definedName name="temp_14" localSheetId="3">'Input-Non TBA'!#REF!</definedName>
    <definedName name="temp_14" localSheetId="4">'Input-TBA LS'!#REF!</definedName>
    <definedName name="temp_17" localSheetId="4">#REF!</definedName>
    <definedName name="temp_17" localSheetId="1">#REF!</definedName>
    <definedName name="temp_17">#REF!</definedName>
    <definedName name="temp_8" localSheetId="4">#REF!</definedName>
    <definedName name="temp_8" localSheetId="1">#REF!</definedName>
    <definedName name="temp_8">#REF!</definedName>
    <definedName name="temp_9" localSheetId="3">'Input-Non TBA'!#REF!</definedName>
    <definedName name="temp_9" localSheetId="4">'Input-TBA LS'!#REF!</definedName>
  </definedNames>
  <calcPr calcId="145621"/>
</workbook>
</file>

<file path=xl/calcChain.xml><?xml version="1.0" encoding="utf-8"?>
<calcChain xmlns="http://schemas.openxmlformats.org/spreadsheetml/2006/main">
  <c r="S4" i="20" l="1"/>
  <c r="S5" i="20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S25" i="20"/>
  <c r="S26" i="20"/>
  <c r="S27" i="20"/>
  <c r="S28" i="20"/>
  <c r="S29" i="20"/>
  <c r="S30" i="20"/>
  <c r="S31" i="20"/>
  <c r="S32" i="20"/>
  <c r="S33" i="20"/>
  <c r="S34" i="20"/>
  <c r="S35" i="20"/>
  <c r="S36" i="20"/>
  <c r="S37" i="20"/>
  <c r="S38" i="20"/>
  <c r="S39" i="20"/>
  <c r="S40" i="20"/>
  <c r="S41" i="20"/>
  <c r="S42" i="20"/>
  <c r="S43" i="20"/>
  <c r="S44" i="20"/>
  <c r="S45" i="20"/>
  <c r="S46" i="20"/>
  <c r="S47" i="20"/>
  <c r="S48" i="20"/>
  <c r="S49" i="20"/>
  <c r="S50" i="20"/>
  <c r="S51" i="20"/>
  <c r="S52" i="20"/>
  <c r="S53" i="20"/>
  <c r="S54" i="20"/>
  <c r="S55" i="20"/>
  <c r="S56" i="20"/>
  <c r="S57" i="20"/>
  <c r="S58" i="20"/>
  <c r="S59" i="20"/>
  <c r="S60" i="20"/>
  <c r="S61" i="20"/>
  <c r="S62" i="20"/>
  <c r="S63" i="20"/>
  <c r="S64" i="20"/>
  <c r="S65" i="20"/>
  <c r="S66" i="20"/>
  <c r="S67" i="20"/>
  <c r="T4" i="20"/>
  <c r="T5" i="20"/>
  <c r="T6" i="20"/>
  <c r="T7" i="20"/>
  <c r="T8" i="20"/>
  <c r="T9" i="20"/>
  <c r="T10" i="20"/>
  <c r="T11" i="20"/>
  <c r="T12" i="20"/>
  <c r="T13" i="20"/>
  <c r="T14" i="20"/>
  <c r="T15" i="20"/>
  <c r="T16" i="20"/>
  <c r="T17" i="20"/>
  <c r="T18" i="20"/>
  <c r="T19" i="20"/>
  <c r="T20" i="20"/>
  <c r="T21" i="20"/>
  <c r="T22" i="20"/>
  <c r="T23" i="20"/>
  <c r="T24" i="20"/>
  <c r="T25" i="20"/>
  <c r="T26" i="20"/>
  <c r="T27" i="20"/>
  <c r="T28" i="20"/>
  <c r="T29" i="20"/>
  <c r="T30" i="20"/>
  <c r="T31" i="20"/>
  <c r="T32" i="20"/>
  <c r="T33" i="20"/>
  <c r="T34" i="20"/>
  <c r="T35" i="20"/>
  <c r="T36" i="20"/>
  <c r="T37" i="20"/>
  <c r="T38" i="20"/>
  <c r="T39" i="20"/>
  <c r="T40" i="20"/>
  <c r="T41" i="20"/>
  <c r="T42" i="20"/>
  <c r="T43" i="20"/>
  <c r="T44" i="20"/>
  <c r="T45" i="20"/>
  <c r="T46" i="20"/>
  <c r="T47" i="20"/>
  <c r="T48" i="20"/>
  <c r="T49" i="20"/>
  <c r="T50" i="20"/>
  <c r="T51" i="20"/>
  <c r="T52" i="20"/>
  <c r="T53" i="20"/>
  <c r="T54" i="20"/>
  <c r="T55" i="20"/>
  <c r="T56" i="20"/>
  <c r="T57" i="20"/>
  <c r="T58" i="20"/>
  <c r="T59" i="20"/>
  <c r="T60" i="20"/>
  <c r="T61" i="20"/>
  <c r="T62" i="20"/>
  <c r="T63" i="20"/>
  <c r="T64" i="20"/>
  <c r="T65" i="20"/>
  <c r="T66" i="20"/>
  <c r="T67" i="20"/>
  <c r="U4" i="20"/>
  <c r="U5" i="20"/>
  <c r="U6" i="20"/>
  <c r="U7" i="20"/>
  <c r="U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25" i="20"/>
  <c r="U26" i="20"/>
  <c r="U27" i="20"/>
  <c r="U28" i="20"/>
  <c r="U29" i="20"/>
  <c r="U30" i="20"/>
  <c r="U31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U55" i="20"/>
  <c r="U56" i="20"/>
  <c r="U57" i="20"/>
  <c r="U58" i="20"/>
  <c r="U59" i="20"/>
  <c r="U60" i="20"/>
  <c r="U61" i="20"/>
  <c r="U62" i="20"/>
  <c r="U63" i="20"/>
  <c r="U64" i="20"/>
  <c r="U65" i="20"/>
  <c r="U66" i="20"/>
  <c r="U67" i="20"/>
  <c r="V4" i="20"/>
  <c r="V5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V29" i="20"/>
  <c r="V30" i="20"/>
  <c r="V31" i="20"/>
  <c r="V32" i="20"/>
  <c r="V33" i="20"/>
  <c r="V34" i="20"/>
  <c r="V35" i="20"/>
  <c r="V36" i="20"/>
  <c r="V37" i="20"/>
  <c r="V38" i="20"/>
  <c r="V39" i="20"/>
  <c r="V40" i="20"/>
  <c r="V41" i="20"/>
  <c r="V42" i="20"/>
  <c r="V43" i="20"/>
  <c r="V44" i="20"/>
  <c r="V45" i="20"/>
  <c r="V46" i="20"/>
  <c r="V47" i="20"/>
  <c r="V48" i="20"/>
  <c r="V49" i="20"/>
  <c r="V50" i="20"/>
  <c r="V51" i="20"/>
  <c r="V52" i="20"/>
  <c r="V53" i="20"/>
  <c r="V54" i="20"/>
  <c r="V55" i="20"/>
  <c r="V56" i="20"/>
  <c r="V57" i="20"/>
  <c r="V58" i="20"/>
  <c r="V59" i="20"/>
  <c r="V60" i="20"/>
  <c r="V61" i="20"/>
  <c r="V62" i="20"/>
  <c r="V63" i="20"/>
  <c r="V64" i="20"/>
  <c r="V65" i="20"/>
  <c r="V66" i="20"/>
  <c r="V67" i="20"/>
  <c r="W4" i="20"/>
  <c r="W5" i="20"/>
  <c r="W6" i="20"/>
  <c r="W7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34" i="20"/>
  <c r="W35" i="20"/>
  <c r="W36" i="20"/>
  <c r="W37" i="20"/>
  <c r="W38" i="20"/>
  <c r="W39" i="20"/>
  <c r="W40" i="20"/>
  <c r="W41" i="20"/>
  <c r="W42" i="20"/>
  <c r="W43" i="20"/>
  <c r="W44" i="20"/>
  <c r="W45" i="20"/>
  <c r="W46" i="20"/>
  <c r="W47" i="20"/>
  <c r="W48" i="20"/>
  <c r="W49" i="20"/>
  <c r="W50" i="20"/>
  <c r="W51" i="20"/>
  <c r="W52" i="20"/>
  <c r="W53" i="20"/>
  <c r="W54" i="20"/>
  <c r="W55" i="20"/>
  <c r="W56" i="20"/>
  <c r="W57" i="20"/>
  <c r="W58" i="20"/>
  <c r="W59" i="20"/>
  <c r="W60" i="20"/>
  <c r="W61" i="20"/>
  <c r="W62" i="20"/>
  <c r="W63" i="20"/>
  <c r="W64" i="20"/>
  <c r="W65" i="20"/>
  <c r="W66" i="20"/>
  <c r="W67" i="20"/>
  <c r="X4" i="20"/>
  <c r="X5" i="20"/>
  <c r="X6" i="20"/>
  <c r="X7" i="20"/>
  <c r="X8" i="20"/>
  <c r="X9" i="20"/>
  <c r="X10" i="20"/>
  <c r="X11" i="20"/>
  <c r="X12" i="20"/>
  <c r="X13" i="20"/>
  <c r="X14" i="20"/>
  <c r="X15" i="20"/>
  <c r="X16" i="20"/>
  <c r="X17" i="20"/>
  <c r="X18" i="20"/>
  <c r="X19" i="20"/>
  <c r="X20" i="20"/>
  <c r="X21" i="20"/>
  <c r="X22" i="20"/>
  <c r="X23" i="20"/>
  <c r="X24" i="20"/>
  <c r="X25" i="20"/>
  <c r="X26" i="20"/>
  <c r="X27" i="20"/>
  <c r="X28" i="20"/>
  <c r="X29" i="20"/>
  <c r="X30" i="20"/>
  <c r="X31" i="20"/>
  <c r="X32" i="20"/>
  <c r="X33" i="20"/>
  <c r="X34" i="20"/>
  <c r="X35" i="20"/>
  <c r="X36" i="20"/>
  <c r="X37" i="20"/>
  <c r="X38" i="20"/>
  <c r="X39" i="20"/>
  <c r="X40" i="20"/>
  <c r="X41" i="20"/>
  <c r="X42" i="20"/>
  <c r="X43" i="20"/>
  <c r="X44" i="20"/>
  <c r="X45" i="20"/>
  <c r="X46" i="20"/>
  <c r="X47" i="20"/>
  <c r="X48" i="20"/>
  <c r="X49" i="20"/>
  <c r="X50" i="20"/>
  <c r="X51" i="20"/>
  <c r="X52" i="20"/>
  <c r="X53" i="20"/>
  <c r="X54" i="20"/>
  <c r="X55" i="20"/>
  <c r="X56" i="20"/>
  <c r="X57" i="20"/>
  <c r="X58" i="20"/>
  <c r="X59" i="20"/>
  <c r="X60" i="20"/>
  <c r="X61" i="20"/>
  <c r="X62" i="20"/>
  <c r="X63" i="20"/>
  <c r="X64" i="20"/>
  <c r="X65" i="20"/>
  <c r="X66" i="20"/>
  <c r="X67" i="20"/>
  <c r="Y4" i="20"/>
  <c r="Y5" i="20"/>
  <c r="Y6" i="20"/>
  <c r="Y7" i="20"/>
  <c r="Y8" i="20"/>
  <c r="Y9" i="20"/>
  <c r="Y10" i="20"/>
  <c r="Y11" i="20"/>
  <c r="Y12" i="20"/>
  <c r="Y13" i="20"/>
  <c r="Y14" i="20"/>
  <c r="Y15" i="20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2" i="20"/>
  <c r="Y53" i="20"/>
  <c r="Y54" i="20"/>
  <c r="Y55" i="20"/>
  <c r="Y56" i="20"/>
  <c r="Y57" i="20"/>
  <c r="Y58" i="20"/>
  <c r="Y59" i="20"/>
  <c r="Y60" i="20"/>
  <c r="Y61" i="20"/>
  <c r="Y62" i="20"/>
  <c r="Y63" i="20"/>
  <c r="Y64" i="20"/>
  <c r="Y65" i="20"/>
  <c r="Y66" i="20"/>
  <c r="Y67" i="20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U11" i="16"/>
  <c r="U9" i="16" l="1"/>
  <c r="U4" i="16" l="1"/>
  <c r="U10" i="16"/>
  <c r="D3" i="19" l="1"/>
  <c r="E44" i="16" l="1"/>
  <c r="D19" i="19"/>
  <c r="E51" i="21" s="1"/>
  <c r="F44" i="16"/>
  <c r="G44" i="16" s="1"/>
  <c r="H44" i="16" s="1"/>
  <c r="I44" i="16" s="1"/>
  <c r="J44" i="16" s="1"/>
  <c r="K44" i="16" s="1"/>
  <c r="L44" i="16" s="1"/>
  <c r="M44" i="16" s="1"/>
  <c r="N44" i="16" s="1"/>
  <c r="O44" i="16" s="1"/>
  <c r="P44" i="16" s="1"/>
  <c r="P43" i="16"/>
  <c r="E43" i="21"/>
  <c r="D15" i="19"/>
  <c r="E47" i="21" s="1"/>
  <c r="D18" i="19"/>
  <c r="E50" i="21" s="1"/>
  <c r="D14" i="19"/>
  <c r="E46" i="21" s="1"/>
  <c r="D17" i="19"/>
  <c r="E49" i="21" s="1"/>
  <c r="D13" i="19"/>
  <c r="E45" i="21" s="1"/>
  <c r="D12" i="19"/>
  <c r="E44" i="21" s="1"/>
  <c r="D16" i="19"/>
  <c r="E48" i="21" s="1"/>
  <c r="D11" i="19"/>
  <c r="E11" i="19" s="1"/>
  <c r="F11" i="19" s="1"/>
  <c r="G11" i="19" s="1"/>
  <c r="H11" i="19" s="1"/>
  <c r="I11" i="19" s="1"/>
  <c r="J11" i="19" s="1"/>
  <c r="K11" i="19" s="1"/>
  <c r="L11" i="19" s="1"/>
  <c r="M11" i="19" s="1"/>
  <c r="N11" i="19" s="1"/>
  <c r="O11" i="19" s="1"/>
  <c r="D5" i="19"/>
  <c r="E46" i="16" s="1"/>
  <c r="D6" i="19"/>
  <c r="E47" i="16" s="1"/>
  <c r="D4" i="19"/>
  <c r="E45" i="16" s="1"/>
  <c r="E3" i="19"/>
  <c r="E19" i="19" s="1"/>
  <c r="F51" i="21" s="1"/>
  <c r="E63" i="21" l="1"/>
  <c r="F63" i="21"/>
  <c r="M63" i="21" s="1"/>
  <c r="E52" i="21"/>
  <c r="F43" i="21"/>
  <c r="G43" i="21" s="1"/>
  <c r="H43" i="21" s="1"/>
  <c r="I43" i="21" s="1"/>
  <c r="J43" i="21" s="1"/>
  <c r="K43" i="21" s="1"/>
  <c r="L43" i="21" s="1"/>
  <c r="M43" i="21" s="1"/>
  <c r="N43" i="21" s="1"/>
  <c r="O43" i="21" s="1"/>
  <c r="P43" i="21" s="1"/>
  <c r="P42" i="21"/>
  <c r="E60" i="21"/>
  <c r="E59" i="21"/>
  <c r="E57" i="21"/>
  <c r="E61" i="21"/>
  <c r="E58" i="21"/>
  <c r="E62" i="21"/>
  <c r="E48" i="16"/>
  <c r="E12" i="19"/>
  <c r="F44" i="21" s="1"/>
  <c r="E14" i="19"/>
  <c r="F46" i="21" s="1"/>
  <c r="F58" i="21" s="1"/>
  <c r="M58" i="21" s="1"/>
  <c r="E17" i="19"/>
  <c r="F49" i="21" s="1"/>
  <c r="F61" i="21" s="1"/>
  <c r="M61" i="21" s="1"/>
  <c r="E15" i="19"/>
  <c r="F47" i="21" s="1"/>
  <c r="F59" i="21" s="1"/>
  <c r="M59" i="21" s="1"/>
  <c r="E18" i="19"/>
  <c r="F50" i="21" s="1"/>
  <c r="F62" i="21" s="1"/>
  <c r="M62" i="21" s="1"/>
  <c r="E13" i="19"/>
  <c r="F45" i="21" s="1"/>
  <c r="F57" i="21" s="1"/>
  <c r="M57" i="21" s="1"/>
  <c r="E16" i="19"/>
  <c r="F48" i="21" s="1"/>
  <c r="F60" i="21" s="1"/>
  <c r="M60" i="21" s="1"/>
  <c r="E55" i="16"/>
  <c r="E56" i="21"/>
  <c r="E6" i="19"/>
  <c r="F47" i="16" s="1"/>
  <c r="E4" i="19"/>
  <c r="F45" i="16" s="1"/>
  <c r="E5" i="19"/>
  <c r="F46" i="16" s="1"/>
  <c r="F3" i="19"/>
  <c r="F19" i="19" s="1"/>
  <c r="G51" i="21" s="1"/>
  <c r="D7" i="19"/>
  <c r="E56" i="16"/>
  <c r="F52" i="21" l="1"/>
  <c r="E64" i="21"/>
  <c r="F56" i="21"/>
  <c r="F48" i="16"/>
  <c r="F17" i="19"/>
  <c r="G49" i="21" s="1"/>
  <c r="F12" i="19"/>
  <c r="G44" i="21" s="1"/>
  <c r="F16" i="19"/>
  <c r="G48" i="21" s="1"/>
  <c r="F15" i="19"/>
  <c r="G47" i="21" s="1"/>
  <c r="F18" i="19"/>
  <c r="G50" i="21" s="1"/>
  <c r="F14" i="19"/>
  <c r="G46" i="21" s="1"/>
  <c r="F13" i="19"/>
  <c r="G45" i="21" s="1"/>
  <c r="F55" i="16"/>
  <c r="M55" i="16" s="1"/>
  <c r="G3" i="19"/>
  <c r="G19" i="19" s="1"/>
  <c r="H51" i="21" s="1"/>
  <c r="G63" i="21" s="1"/>
  <c r="N63" i="21" s="1"/>
  <c r="F6" i="19"/>
  <c r="G47" i="16" s="1"/>
  <c r="F5" i="19"/>
  <c r="G46" i="16" s="1"/>
  <c r="F4" i="19"/>
  <c r="E54" i="16"/>
  <c r="E7" i="19"/>
  <c r="G52" i="21" l="1"/>
  <c r="F64" i="21"/>
  <c r="M64" i="21" s="1"/>
  <c r="M56" i="21"/>
  <c r="G45" i="16"/>
  <c r="G48" i="16" s="1"/>
  <c r="E57" i="16"/>
  <c r="F56" i="16"/>
  <c r="M56" i="16" s="1"/>
  <c r="G14" i="19"/>
  <c r="H46" i="21" s="1"/>
  <c r="G58" i="21" s="1"/>
  <c r="N58" i="21" s="1"/>
  <c r="G17" i="19"/>
  <c r="H49" i="21" s="1"/>
  <c r="G61" i="21" s="1"/>
  <c r="N61" i="21" s="1"/>
  <c r="G12" i="19"/>
  <c r="H44" i="21" s="1"/>
  <c r="G13" i="19"/>
  <c r="H45" i="21" s="1"/>
  <c r="G57" i="21" s="1"/>
  <c r="N57" i="21" s="1"/>
  <c r="G15" i="19"/>
  <c r="H47" i="21" s="1"/>
  <c r="G59" i="21" s="1"/>
  <c r="N59" i="21" s="1"/>
  <c r="G16" i="19"/>
  <c r="H48" i="21" s="1"/>
  <c r="G60" i="21" s="1"/>
  <c r="N60" i="21" s="1"/>
  <c r="G18" i="19"/>
  <c r="H50" i="21" s="1"/>
  <c r="G62" i="21" s="1"/>
  <c r="N62" i="21" s="1"/>
  <c r="F54" i="16"/>
  <c r="M54" i="16" s="1"/>
  <c r="F7" i="19"/>
  <c r="G5" i="19"/>
  <c r="H46" i="16" s="1"/>
  <c r="H3" i="19"/>
  <c r="H19" i="19" s="1"/>
  <c r="I51" i="21" s="1"/>
  <c r="G4" i="19"/>
  <c r="G6" i="19"/>
  <c r="H47" i="16" s="1"/>
  <c r="H52" i="21" l="1"/>
  <c r="H45" i="16"/>
  <c r="H48" i="16" s="1"/>
  <c r="F57" i="16"/>
  <c r="M57" i="16" s="1"/>
  <c r="H14" i="19"/>
  <c r="I46" i="21" s="1"/>
  <c r="H17" i="19"/>
  <c r="I49" i="21" s="1"/>
  <c r="H16" i="19"/>
  <c r="I48" i="21" s="1"/>
  <c r="H12" i="19"/>
  <c r="I44" i="21" s="1"/>
  <c r="H18" i="19"/>
  <c r="I50" i="21" s="1"/>
  <c r="H13" i="19"/>
  <c r="I45" i="21" s="1"/>
  <c r="H15" i="19"/>
  <c r="I47" i="21" s="1"/>
  <c r="G56" i="21"/>
  <c r="G56" i="16"/>
  <c r="N56" i="16" s="1"/>
  <c r="G55" i="16"/>
  <c r="N55" i="16" s="1"/>
  <c r="G7" i="19"/>
  <c r="I3" i="19"/>
  <c r="I19" i="19" s="1"/>
  <c r="J51" i="21" s="1"/>
  <c r="H6" i="19"/>
  <c r="I47" i="16" s="1"/>
  <c r="H5" i="19"/>
  <c r="I46" i="16" s="1"/>
  <c r="H4" i="19"/>
  <c r="I52" i="21" l="1"/>
  <c r="G64" i="21"/>
  <c r="N64" i="21" s="1"/>
  <c r="N56" i="21"/>
  <c r="I45" i="16"/>
  <c r="I48" i="16" s="1"/>
  <c r="I16" i="19"/>
  <c r="J48" i="21" s="1"/>
  <c r="I15" i="19"/>
  <c r="J47" i="21" s="1"/>
  <c r="I14" i="19"/>
  <c r="J46" i="21" s="1"/>
  <c r="I13" i="19"/>
  <c r="J45" i="21" s="1"/>
  <c r="I17" i="19"/>
  <c r="J49" i="21" s="1"/>
  <c r="I18" i="19"/>
  <c r="J50" i="21" s="1"/>
  <c r="I12" i="19"/>
  <c r="J44" i="21" s="1"/>
  <c r="H7" i="19"/>
  <c r="I5" i="19"/>
  <c r="J46" i="16" s="1"/>
  <c r="J3" i="19"/>
  <c r="J19" i="19" s="1"/>
  <c r="K51" i="21" s="1"/>
  <c r="H63" i="21" s="1"/>
  <c r="O63" i="21" s="1"/>
  <c r="I4" i="19"/>
  <c r="I6" i="19"/>
  <c r="J47" i="16" s="1"/>
  <c r="G54" i="16"/>
  <c r="N54" i="16" s="1"/>
  <c r="J52" i="21" l="1"/>
  <c r="J45" i="16"/>
  <c r="J48" i="16" s="1"/>
  <c r="G57" i="16"/>
  <c r="N57" i="16" s="1"/>
  <c r="J13" i="19"/>
  <c r="K45" i="21" s="1"/>
  <c r="H57" i="21" s="1"/>
  <c r="O57" i="21" s="1"/>
  <c r="J16" i="19"/>
  <c r="K48" i="21" s="1"/>
  <c r="H60" i="21" s="1"/>
  <c r="O60" i="21" s="1"/>
  <c r="J18" i="19"/>
  <c r="K50" i="21" s="1"/>
  <c r="H62" i="21" s="1"/>
  <c r="O62" i="21" s="1"/>
  <c r="J14" i="19"/>
  <c r="K46" i="21" s="1"/>
  <c r="H58" i="21" s="1"/>
  <c r="O58" i="21" s="1"/>
  <c r="J17" i="19"/>
  <c r="K49" i="21" s="1"/>
  <c r="H61" i="21" s="1"/>
  <c r="O61" i="21" s="1"/>
  <c r="J12" i="19"/>
  <c r="K44" i="21" s="1"/>
  <c r="J15" i="19"/>
  <c r="K47" i="21" s="1"/>
  <c r="H59" i="21" s="1"/>
  <c r="O59" i="21" s="1"/>
  <c r="I7" i="19"/>
  <c r="J6" i="19"/>
  <c r="K47" i="16" s="1"/>
  <c r="J4" i="19"/>
  <c r="J5" i="19"/>
  <c r="K46" i="16" s="1"/>
  <c r="K3" i="19"/>
  <c r="K19" i="19" s="1"/>
  <c r="L51" i="21" s="1"/>
  <c r="K52" i="21" l="1"/>
  <c r="K45" i="16"/>
  <c r="K48" i="16" s="1"/>
  <c r="K18" i="19"/>
  <c r="L50" i="21" s="1"/>
  <c r="K13" i="19"/>
  <c r="L45" i="21" s="1"/>
  <c r="K16" i="19"/>
  <c r="L48" i="21" s="1"/>
  <c r="K17" i="19"/>
  <c r="L49" i="21" s="1"/>
  <c r="K12" i="19"/>
  <c r="L44" i="21" s="1"/>
  <c r="K14" i="19"/>
  <c r="L46" i="21" s="1"/>
  <c r="K15" i="19"/>
  <c r="L47" i="21" s="1"/>
  <c r="H56" i="21"/>
  <c r="H55" i="16"/>
  <c r="O55" i="16" s="1"/>
  <c r="H56" i="16"/>
  <c r="O56" i="16" s="1"/>
  <c r="L3" i="19"/>
  <c r="L19" i="19" s="1"/>
  <c r="M51" i="21" s="1"/>
  <c r="K5" i="19"/>
  <c r="L46" i="16" s="1"/>
  <c r="K6" i="19"/>
  <c r="L47" i="16" s="1"/>
  <c r="K4" i="19"/>
  <c r="J7" i="19"/>
  <c r="L52" i="21" l="1"/>
  <c r="L45" i="16"/>
  <c r="L48" i="16" s="1"/>
  <c r="H64" i="21"/>
  <c r="O64" i="21" s="1"/>
  <c r="O56" i="21"/>
  <c r="L15" i="19"/>
  <c r="M47" i="21" s="1"/>
  <c r="L17" i="19"/>
  <c r="M49" i="21" s="1"/>
  <c r="L12" i="19"/>
  <c r="M44" i="21" s="1"/>
  <c r="L18" i="19"/>
  <c r="M50" i="21" s="1"/>
  <c r="L13" i="19"/>
  <c r="M45" i="21" s="1"/>
  <c r="L16" i="19"/>
  <c r="M48" i="21" s="1"/>
  <c r="L14" i="19"/>
  <c r="M46" i="21" s="1"/>
  <c r="H54" i="16"/>
  <c r="O54" i="16" s="1"/>
  <c r="K7" i="19"/>
  <c r="L5" i="19"/>
  <c r="M46" i="16" s="1"/>
  <c r="L4" i="19"/>
  <c r="M3" i="19"/>
  <c r="M19" i="19" s="1"/>
  <c r="N51" i="21" s="1"/>
  <c r="L6" i="19"/>
  <c r="M47" i="16" s="1"/>
  <c r="M52" i="21" l="1"/>
  <c r="M45" i="16"/>
  <c r="M48" i="16" s="1"/>
  <c r="H57" i="16"/>
  <c r="O57" i="16" s="1"/>
  <c r="M12" i="19"/>
  <c r="N44" i="21" s="1"/>
  <c r="M15" i="19"/>
  <c r="N47" i="21" s="1"/>
  <c r="M14" i="19"/>
  <c r="N46" i="21" s="1"/>
  <c r="M18" i="19"/>
  <c r="N50" i="21" s="1"/>
  <c r="M13" i="19"/>
  <c r="N45" i="21" s="1"/>
  <c r="M17" i="19"/>
  <c r="N49" i="21" s="1"/>
  <c r="M16" i="19"/>
  <c r="N48" i="21" s="1"/>
  <c r="M5" i="19"/>
  <c r="N46" i="16" s="1"/>
  <c r="N3" i="19"/>
  <c r="N19" i="19" s="1"/>
  <c r="O51" i="21" s="1"/>
  <c r="M6" i="19"/>
  <c r="N47" i="16" s="1"/>
  <c r="M4" i="19"/>
  <c r="L7" i="19"/>
  <c r="N52" i="21" l="1"/>
  <c r="N45" i="16"/>
  <c r="N48" i="16" s="1"/>
  <c r="N17" i="19"/>
  <c r="O49" i="21" s="1"/>
  <c r="N12" i="19"/>
  <c r="O44" i="21" s="1"/>
  <c r="N14" i="19"/>
  <c r="O46" i="21" s="1"/>
  <c r="N15" i="19"/>
  <c r="O47" i="21" s="1"/>
  <c r="N18" i="19"/>
  <c r="O50" i="21" s="1"/>
  <c r="N13" i="19"/>
  <c r="O45" i="21" s="1"/>
  <c r="N16" i="19"/>
  <c r="O48" i="21" s="1"/>
  <c r="O3" i="19"/>
  <c r="O19" i="19" s="1"/>
  <c r="P51" i="21" s="1"/>
  <c r="I63" i="21" s="1"/>
  <c r="P63" i="21" s="1"/>
  <c r="N4" i="19"/>
  <c r="N5" i="19"/>
  <c r="O46" i="16" s="1"/>
  <c r="N6" i="19"/>
  <c r="O47" i="16" s="1"/>
  <c r="M7" i="19"/>
  <c r="O52" i="21" l="1"/>
  <c r="O45" i="16"/>
  <c r="O14" i="19"/>
  <c r="P46" i="21" s="1"/>
  <c r="I58" i="21" s="1"/>
  <c r="P58" i="21" s="1"/>
  <c r="O17" i="19"/>
  <c r="P49" i="21" s="1"/>
  <c r="I61" i="21" s="1"/>
  <c r="P61" i="21" s="1"/>
  <c r="O13" i="19"/>
  <c r="P45" i="21" s="1"/>
  <c r="I57" i="21" s="1"/>
  <c r="P57" i="21" s="1"/>
  <c r="O12" i="19"/>
  <c r="P44" i="21" s="1"/>
  <c r="O16" i="19"/>
  <c r="P48" i="21" s="1"/>
  <c r="I60" i="21" s="1"/>
  <c r="P60" i="21" s="1"/>
  <c r="O15" i="19"/>
  <c r="P47" i="21" s="1"/>
  <c r="I59" i="21" s="1"/>
  <c r="P59" i="21" s="1"/>
  <c r="O18" i="19"/>
  <c r="P50" i="21" s="1"/>
  <c r="I62" i="21" s="1"/>
  <c r="P62" i="21" s="1"/>
  <c r="N7" i="19"/>
  <c r="O5" i="19"/>
  <c r="P46" i="16" s="1"/>
  <c r="O6" i="19"/>
  <c r="P47" i="16" s="1"/>
  <c r="O4" i="19"/>
  <c r="P52" i="21" l="1"/>
  <c r="O48" i="16"/>
  <c r="P45" i="16"/>
  <c r="P48" i="16" s="1"/>
  <c r="I56" i="16"/>
  <c r="P56" i="16" s="1"/>
  <c r="I56" i="21"/>
  <c r="I55" i="16"/>
  <c r="P55" i="16" s="1"/>
  <c r="O7" i="19"/>
  <c r="I64" i="21" l="1"/>
  <c r="P64" i="21" s="1"/>
  <c r="P56" i="21"/>
  <c r="I54" i="16"/>
  <c r="I57" i="16" l="1"/>
  <c r="P57" i="16" s="1"/>
  <c r="P54" i="16"/>
</calcChain>
</file>

<file path=xl/connections.xml><?xml version="1.0" encoding="utf-8"?>
<connections xmlns="http://schemas.openxmlformats.org/spreadsheetml/2006/main">
  <connection id="1" name="175KQuery" type="1" refreshedVersion="4" savePassword="1" saveData="1">
    <dbPr connection="DSN=Agency" command="select b.issueDate, IssueAmount = sum(issueAmount) from fnm.sec b, fnm.aolsquartile q where b.issueid = q.issueid and Collateraltype = 'LOAN' and b.marketTicker = 'FNCL' and q.q4max &gt; 150000 and q.q4Max &lt;= 175000 and q.asOf = b.issueDate and b.issueDate &gt;= '20100101' group by b.issueDate order by issuedate "/>
  </connection>
  <connection id="2" name="CombineResult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AsOf &lt;= '2015-04-01' and AsOf &gt;= '20070101' and AsOf not in (  '20090501','20090601', '20090701', '20070601', '20070701')Group by Asof order by asof desc"/>
  </connection>
  <connection id="3" name="CQQuery1" type="1" refreshedVersion="4" savePassword="1" saveData="1">
    <dbPr connection="DSN=Agency" command="select b.marketTicker, issueDate, description, issueAmount = Sum(issueAmount) from fnm.Sec b join (select marketTicker,description from fnm.ReportPrefix  group by  marketTicker,description) r on b.marketTicker = r.marketTicker where b.marketTicker = 'FNCQ30' and b.issueDate &gt;= '20100101' and b.issueDate &lt;= '2015-04-01' Group by b.marketTicker, issueDate, Description order by b.marketTicker, issueDate, Description "/>
  </connection>
  <connection id="4" name="CRQuery1" type="1" refreshedVersion="4" savePassword="1" saveData="1">
    <dbPr connection="DSN=Agency" command="select b.marketTicker, issueDate, description, issueAmount = Sum(issueAmount) from fnm.Sec b join (select marketTicker,description from fnm.ReportPrefix  group by  marketTicker,description) r on b.marketTicker = r.marketTicker where b.marketTicker = 'FNCR' and b.issueDate &gt;= '20100101' and b.issueDate &lt;= '2015-04-01' Group by b.marketTicker, issueDate, Description order by b.marketTicker, issueDate, Description "/>
  </connection>
  <connection id="5" name="GeoQuery1" type="1" refreshedVersion="4" savePassword="1" saveData="1">
    <dbPr connection="DSN=Agency" command="select b.issueDate, IssueAmount = sum(b.issueAmount) from fnm.sec b, fnm.Geodist di where b.issueid = di.issueid And di.asOf = b.issueDate and b.Collateraltype = 'LOAN' and b.marketTicker = 'FNCL' and di.state in ('NY','PR') and di.percentRpb &gt;= 100 and b.issueDate &gt;= '20100101' group by b.issueDate order by issuedate "/>
  </connection>
  <connection id="6" name="HLBQuery11" type="1" refreshedVersion="4" savePassword="1" saveData="1">
    <dbPr connection="DSN=Agency" command="select b.issueDate, IssueAmount = sum(issueAmount) from fnm.sec b, fnm.aolsquartile q where b.issueid = q.issueid and Collateraltype = 'LOAN' and b.marketTicker = 'FNCL' and q.q4max &gt; 110000 and q.q4Max &lt;= 150000 and q.asOf = b.issueDate and b.issueDate &gt;= '20100101' group by b.issueDate order by issuedate "/>
  </connection>
  <connection id="7" name="InvestorQuery1" type="1" refreshedVersion="4" savePassword="1" saveData="1">
    <dbPr connection="DSN=Agency" command="select b.issueDate, IssueAmount = sum(b.issueAmount)  from fnm.sec b,  fnm.OccupancyDist op where b.issueid = op.issueid And op.asOf = b.issueDate and b.Collateraltype = 'LOAN' and b.marketTicker = 'FNCL' and op.distributionType = 'INV' and op.percentRpb &gt;= 99.5 and b.issueDate &gt;= '20100101' group by b.issueDate order by issuedate "/>
  </connection>
  <connection id="8" name="JumboQuery" type="1" refreshedVersion="4" savePassword="1" saveData="1">
    <dbPr connection="DSN=Agency" command="select b.marketTicker, issueDate, description, issueAmount = Sum(issueAmount) from fnm.Sec b join (select marketTicker,description from fnm.ReportPrefix  group by  marketTicker,description) r on b.marketTicker = r.marketTicker where b.marketTicker in ('FNCK','FNCJ','FNCQ30','FNCR') Group by b.marketTicker, issueDate, Description order by b.marketTicker, issueDate, Description "/>
  </connection>
  <connection id="9" name="JumboQuery1" type="1" refreshedVersion="4" savePassword="1" saveData="1">
    <dbPr connection="DSN=Agency" command="select b.marketTicker, issueDate, description, issueAmount = Sum(issueAmount) from fnm.Sec b join (select marketTicker,description from fnm.ReportPrefix  group by  marketTicker,description) r on b.marketTicker = r.marketTicker where b.marketTicker = 'FNCK' and b.issueDate &gt;= '20100101' and b.issueDate &lt;= '2015-04-01' Group by b.marketTicker, issueDate, Description order by b.marketTicker, issueDate, Description "/>
  </connection>
  <connection id="10" name="LLBQuery111" type="1" refreshedVersion="4" savePassword="1" saveData="1">
    <dbPr connection="DSN=Agency" command="select b.issueDate, IssueAmount = sum(issueAmount) from fnm.sec b, fnm.aolsquartile q where b.issueid = q.issueid and Collateraltype = 'LOAN' and b.marketTicker = 'FNCL' and q.q4max &gt; 0 and q.q4Max &lt;= 85000 and q.asOf = b.issueDate and b.issueDate &gt;= '20100101' group by b.issueDate order by issuedate "/>
  </connection>
  <connection id="11" name="LowFICOQuery1" type="1" refreshedVersion="4" savePassword="1" saveData="1">
    <dbPr connection="DSN=Agency" command="select b.issueDate, LowFICO = sum(b.issueAmount) from fnm.sec b,  fnm.WAOCSQuartile cs where b.issueid = cs.issueid And cs.asOf = b.issueDate  and b.Collateraltype = 'LOAN' and b.marketTicker = 'FNCL' and cs.q4Max &lt; 700 and cs.q4Max &gt; 350 and b.issueDate &gt;= '20100101' group by b.issueDate order by issuedate "/>
  </connection>
  <connection id="12" name="MHAQuery1" type="1" refreshedVersion="4" savePassword="1" saveData="1">
    <dbPr connection="DSN=Agency" command="select b.issueDate, di.issueid, IssueAmount = sum(b.issueAmount) into #tempREFI from fnm.sec b,  fnm.loanpurposeDist di where b.issueid = di.issueid and di.asOf = b.issueDate and b.Collateraltype = 'LOAN' and b.marketTicker = 'FNCL' and di.distributionType = 'RE-FI' and di.percentRpb &gt;= 100 and b.issueDate &gt;= '20100101' group by b.issueDate, di.issueid select b.issueDate, IssueAmount = sum(t.issueAmount) from fnm.sec b,  fnm.WAOLTVQuartile q, #tempREFI t where b.issueid = q.issueid And t.issueid = q.issueid And b.issueDate = t.issueDate And q.asOf = b.issueDate and b.Collateraltype = 'LOAN' and b.marketTicker = 'FNCL' and q.q4Max &lt;= 105 and q.q1Min &gt; 80 and b.issueDate &gt;= '20100101' group by b.issueDate order by b.issuedate "/>
  </connection>
  <connection id="13" name="MLBQuery11" type="1" refreshedVersion="4" savePassword="1" saveData="1">
    <dbPr connection="DSN=Agency" command="select b.issueDate, IssueAmount = sum(issueAmount) from fnm.sec b, fnm.aolsquartile q where b.issueid = q.issueid and Collateraltype = 'LOAN' and b.marketTicker = 'FNCL' and q.q4max &gt; 85000 and q.q4Max &lt;= 110000 and q.asOf = b.issueDate and b.issueDate &gt;= '20100101' group by b.issueDate order by issuedate "/>
  </connection>
  <connection id="14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5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6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7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8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9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0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1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<sst xmlns="http://schemas.openxmlformats.org/spreadsheetml/2006/main" count="468" uniqueCount="48">
  <si>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</si>
  <si>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</si>
  <si>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</si>
  <si>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</si>
  <si>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</si>
  <si>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</si>
  <si>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</si>
  <si>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</si>
  <si>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</si>
  <si>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</si>
  <si>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</si>
  <si>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1M Chg</t>
  </si>
  <si>
    <t>3M Chg</t>
  </si>
  <si>
    <t>6M Chg</t>
  </si>
  <si>
    <t>1Y Chg</t>
  </si>
  <si>
    <t>Month</t>
  </si>
  <si>
    <t>Last Month</t>
  </si>
  <si>
    <t>Report Folder</t>
  </si>
  <si>
    <t>S:\IT\Production\Daily Reports\Primary Market\tmp\</t>
  </si>
  <si>
    <t>marketTicker</t>
  </si>
  <si>
    <t>issueDate</t>
  </si>
  <si>
    <t>description</t>
  </si>
  <si>
    <t>issueAmount</t>
  </si>
  <si>
    <t>FNCK</t>
  </si>
  <si>
    <t>Fannie Mae Single Family 30 Year Jumbo Conforming</t>
  </si>
  <si>
    <t>FNCQ30</t>
  </si>
  <si>
    <t>FNMA CONV LONG TERM 30YR OR LESS LTV &gt;105 &lt;=125</t>
  </si>
  <si>
    <t>FNCR</t>
  </si>
  <si>
    <t>FNMA CONV LONG TERM 30YR OR LESS LTV &gt;125</t>
  </si>
  <si>
    <t>CQ</t>
  </si>
  <si>
    <t>CR</t>
  </si>
  <si>
    <t>Jumbo</t>
  </si>
  <si>
    <t>Total</t>
  </si>
  <si>
    <t>Current Balance</t>
  </si>
  <si>
    <t>Issuance Volume (Million)</t>
  </si>
  <si>
    <t>Changes (Million)</t>
  </si>
  <si>
    <t>IssueAmount</t>
  </si>
  <si>
    <t>175K</t>
  </si>
  <si>
    <t>HLB</t>
  </si>
  <si>
    <t>MLB</t>
  </si>
  <si>
    <t>LLB</t>
  </si>
  <si>
    <t>Low FICO</t>
  </si>
  <si>
    <t>MHA</t>
  </si>
  <si>
    <t>Investor</t>
  </si>
  <si>
    <t>LowFICO</t>
  </si>
  <si>
    <t>Percentage Changes (%)</t>
  </si>
  <si>
    <t>Geo</t>
  </si>
  <si>
    <t>Last Month: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</si>
</sst>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</numFmts>
  <fonts count="1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1"/>
      <name val="Calibri"/>
      <scheme val="minor"/>
    </font>
    <font>
      <sz val="10"/>
      <color theme="1"/>
      <name val="Calibri"/>
    </font>
    <font>
      <sz val="10"/>
      <color theme="1"/>
      <name val="Calibri"/>
      <family val="2"/>
    </font>
    <font>
      <sz val="11"/>
      <color rgb="FFAD275C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27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</cellStyleXfs>
  <cellXfs count="46">
    <xf numFmtId="0" fontId="0" fillId="0" borderId="0" xfId="0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164" fontId="8" fillId="7" borderId="38" xfId="0" applyNumberFormat="1" applyFont="1" applyFill="1" applyBorder="1" applyAlignment="1">
      <alignment horizontal="left"/>
    </xf>
    <xf numFmtId="164" fontId="8" fillId="7" borderId="38" xfId="0" applyNumberFormat="1" applyFont="1" applyFill="1" applyBorder="1" applyAlignment="1">
      <alignment horizontal="center"/>
    </xf>
    <xf numFmtId="164" fontId="8" fillId="7" borderId="39" xfId="0" applyNumberFormat="1" applyFont="1" applyFill="1" applyBorder="1" applyAlignment="1">
      <alignment horizontal="center"/>
    </xf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0" fontId="5" fillId="5" borderId="3" xfId="2" applyFont="1" applyBorder="1" applyAlignment="1">
      <alignment horizontal="left"/>
    </xf>
    <xf numFmtId="14" fontId="131" fillId="0" borderId="0" xfId="0" applyNumberFormat="1" applyFont="1"/>
    <xf numFmtId="0" fontId="131" fillId="0" borderId="0" xfId="0" applyFont="1"/>
    <xf numFmtId="164" fontId="8" fillId="7" borderId="3" xfId="0" applyNumberFormat="1" applyFont="1" applyFill="1" applyBorder="1" applyAlignment="1">
      <alignment horizontal="left"/>
    </xf>
    <xf numFmtId="14" fontId="8" fillId="7" borderId="3" xfId="0" applyNumberFormat="1" applyFont="1" applyFill="1" applyBorder="1" applyAlignment="1">
      <alignment horizontal="center"/>
    </xf>
    <xf numFmtId="164" fontId="7" fillId="0" borderId="3" xfId="1" applyNumberFormat="1" applyFont="1" applyBorder="1" applyAlignment="1">
      <alignment horizontal="left"/>
    </xf>
    <xf numFmtId="2" fontId="4" fillId="0" borderId="3" xfId="1" applyNumberFormat="1" applyFont="1" applyBorder="1" applyAlignment="1">
      <alignment horizontal="center"/>
    </xf>
    <xf numFmtId="2" fontId="7" fillId="0" borderId="3" xfId="1" applyNumberFormat="1" applyFont="1" applyBorder="1" applyAlignment="1">
      <alignment horizontal="center"/>
    </xf>
    <xf numFmtId="164" fontId="4" fillId="0" borderId="3" xfId="1" applyNumberFormat="1" applyFont="1" applyBorder="1" applyAlignment="1">
      <alignment horizontal="left"/>
    </xf>
    <xf numFmtId="164" fontId="4" fillId="0" borderId="0" xfId="1" applyNumberFormat="1" applyFont="1" applyBorder="1" applyAlignment="1">
      <alignment horizontal="left"/>
    </xf>
    <xf numFmtId="2" fontId="4" fillId="0" borderId="0" xfId="1" applyNumberFormat="1" applyFont="1" applyBorder="1" applyAlignment="1">
      <alignment horizontal="center"/>
    </xf>
    <xf numFmtId="164" fontId="4" fillId="0" borderId="3" xfId="1" applyNumberFormat="1" applyFont="1" applyBorder="1" applyAlignment="1">
      <alignment horizontal="right"/>
    </xf>
    <xf numFmtId="164" fontId="4" fillId="0" borderId="0" xfId="1" applyNumberFormat="1" applyFont="1" applyBorder="1" applyAlignment="1">
      <alignment horizontal="right"/>
    </xf>
    <xf numFmtId="14" fontId="7" fillId="0" borderId="0" xfId="0" applyNumberFormat="1" applyFont="1"/>
    <xf numFmtId="0" fontId="132" fillId="0" borderId="0" xfId="0" applyFont="1"/>
    <xf numFmtId="0" fontId="131" fillId="0" borderId="0" xfId="0" applyFont="1" applyAlignment="1">
      <alignment horizontal="center"/>
    </xf>
    <xf numFmtId="0" fontId="131" fillId="0" borderId="0" xfId="0" applyNumberFormat="1" applyFont="1"/>
    <xf numFmtId="0" fontId="132" fillId="0" borderId="0" xfId="0" applyNumberFormat="1" applyFont="1"/>
    <xf numFmtId="0" fontId="7" fillId="0" borderId="0" xfId="0" applyNumberFormat="1" applyFont="1"/>
    <xf numFmtId="0" fontId="7" fillId="0" borderId="3" xfId="1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left"/>
    </xf>
    <xf numFmtId="4" fontId="7" fillId="0" borderId="3" xfId="1" applyNumberFormat="1" applyFont="1" applyBorder="1" applyAlignment="1">
      <alignment horizontal="right"/>
    </xf>
    <xf numFmtId="4" fontId="4" fillId="0" borderId="3" xfId="1" applyNumberFormat="1" applyFont="1" applyBorder="1" applyAlignment="1">
      <alignment horizontal="right"/>
    </xf>
    <xf numFmtId="3" fontId="7" fillId="0" borderId="3" xfId="1" applyNumberFormat="1" applyFont="1" applyBorder="1" applyAlignment="1">
      <alignment horizontal="center"/>
    </xf>
    <xf numFmtId="3" fontId="4" fillId="0" borderId="3" xfId="1" applyNumberFormat="1" applyFont="1" applyBorder="1" applyAlignment="1">
      <alignment horizontal="center"/>
    </xf>
    <xf numFmtId="14" fontId="134" fillId="0" borderId="0" xfId="0" applyNumberFormat="1" applyFont="1" applyAlignment="1">
      <alignment horizontal="center"/>
    </xf>
    <xf numFmtId="0" fontId="133" fillId="0" borderId="0" xfId="0" applyNumberFormat="1" applyFont="1"/>
    <xf numFmtId="0" fontId="7" fillId="0" borderId="0" xfId="0" applyFont="1" applyAlignment="1">
      <alignment horizontal="center"/>
    </xf>
    <xf numFmtId="0" fontId="134" fillId="0" borderId="0" xfId="0" applyFont="1" applyAlignment="1">
      <alignment horizontal="right"/>
    </xf>
  </cellXfs>
  <cellStyles count="527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5" xfId="17"/>
    <cellStyle name="20% - Accent2 2" xfId="18"/>
    <cellStyle name="20% - Accent2 3" xfId="19"/>
    <cellStyle name="20% - Accent2 4" xfId="20"/>
    <cellStyle name="20% - Accent3 2" xfId="21"/>
    <cellStyle name="20% - Accent3 3" xfId="22"/>
    <cellStyle name="20% - Accent3 4" xfId="23"/>
    <cellStyle name="20% - Accent4 2" xfId="24"/>
    <cellStyle name="20% - Accent4 3" xfId="25"/>
    <cellStyle name="20% - Accent4 4" xfId="26"/>
    <cellStyle name="20% - Accent5 2" xfId="27"/>
    <cellStyle name="20% - Accent5 3" xfId="28"/>
    <cellStyle name="20% - Accent5 4" xfId="29"/>
    <cellStyle name="20% - Accent6 2" xfId="30"/>
    <cellStyle name="20% - Accent6 3" xfId="31"/>
    <cellStyle name="20% - Accent6 4" xfId="32"/>
    <cellStyle name="40% - Accent1 2" xfId="33"/>
    <cellStyle name="40% - Accent1 3" xfId="34"/>
    <cellStyle name="40% - Accent1 4" xfId="35"/>
    <cellStyle name="40% - Accent2 2" xfId="36"/>
    <cellStyle name="40% - Accent2 3" xfId="37"/>
    <cellStyle name="40% - Accent2 4" xfId="38"/>
    <cellStyle name="40% - Accent3 2" xfId="39"/>
    <cellStyle name="40% - Accent3 3" xfId="40"/>
    <cellStyle name="40% - Accent3 4" xfId="41"/>
    <cellStyle name="40% - Accent4 2" xfId="42"/>
    <cellStyle name="40% - Accent4 3" xfId="43"/>
    <cellStyle name="40% - Accent4 4" xfId="44"/>
    <cellStyle name="40% - Accent5 2" xfId="45"/>
    <cellStyle name="40% - Accent5 3" xfId="46"/>
    <cellStyle name="40% - Accent5 4" xfId="47"/>
    <cellStyle name="40% - Accent6 2" xfId="48"/>
    <cellStyle name="40% - Accent6 3" xfId="49"/>
    <cellStyle name="40% - Accent6 4" xfId="50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3" xfId="126"/>
    <cellStyle name="Cello Calculation 4" xfId="127"/>
    <cellStyle name="Cello Input" xfId="2"/>
    <cellStyle name="Cello Input 2" xfId="128"/>
    <cellStyle name="Cello Input 2 2" xfId="129"/>
    <cellStyle name="Cello Input 2 3" xfId="130"/>
    <cellStyle name="Cello Input 2 5" xfId="131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3" xfId="182"/>
    <cellStyle name="Comma 30" xfId="183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2" xfId="205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Input [yellow]" xfId="288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3" xfId="340"/>
    <cellStyle name="Normal 2 3 2" xfId="341"/>
    <cellStyle name="Normal 2 3 2 2" xfId="342"/>
    <cellStyle name="Normal 2 3 3" xfId="343"/>
    <cellStyle name="Normal 2 4" xfId="344"/>
    <cellStyle name="Normal 2 4 2" xfId="345"/>
    <cellStyle name="Normal 2 4 2 2" xfId="346"/>
    <cellStyle name="Normal 2 4 3" xfId="347"/>
    <cellStyle name="Normal 2 5" xfId="348"/>
    <cellStyle name="Normal 2 5 2" xfId="349"/>
    <cellStyle name="Normal 2 6" xfId="350"/>
    <cellStyle name="Normal 2 7" xfId="351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9" xfId="377"/>
    <cellStyle name="Normal 4" xfId="378"/>
    <cellStyle name="Normal 4 2" xfId="379"/>
    <cellStyle name="Normal 4 3" xfId="380"/>
    <cellStyle name="Normal 4 4" xfId="381"/>
    <cellStyle name="Normal 40" xfId="382"/>
    <cellStyle name="Normal 41" xfId="383"/>
    <cellStyle name="Normal 42" xfId="384"/>
    <cellStyle name="Normal 42 2" xfId="385"/>
    <cellStyle name="Normal 5" xfId="386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5" xfId="401"/>
    <cellStyle name="Note 6" xfId="402"/>
    <cellStyle name="Note 7" xfId="403"/>
    <cellStyle name="Note 7 2" xfId="404"/>
    <cellStyle name="Note 8" xfId="405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ption" xfId="413"/>
    <cellStyle name="orange text cell" xfId="414"/>
    <cellStyle name="Output 2" xfId="415"/>
    <cellStyle name="Output 3" xfId="416"/>
    <cellStyle name="Output 4" xfId="417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3" xfId="431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Indicative" xfId="501"/>
    <cellStyle name="Title Indicative 2" xfId="502"/>
    <cellStyle name="Title Pricing Assumptions" xfId="503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2 8" xfId="508"/>
    <cellStyle name="Title Pricing Assumptions 3 6 4 2 8" xfId="509"/>
    <cellStyle name="Titles - Other" xfId="510"/>
    <cellStyle name="Total 2" xfId="511"/>
    <cellStyle name="Total 2 2" xfId="512"/>
    <cellStyle name="Total 3" xfId="513"/>
    <cellStyle name="Total 4" xfId="514"/>
    <cellStyle name="Warning" xfId="515"/>
    <cellStyle name="Warning Text 2" xfId="516"/>
    <cellStyle name="Warning Text 3" xfId="517"/>
    <cellStyle name="Warning Text 4" xfId="518"/>
    <cellStyle name="YB Calculations" xfId="519"/>
    <cellStyle name="YB Calculations 2" xfId="520"/>
    <cellStyle name="YB Curve" xfId="521"/>
    <cellStyle name="YB Indicative" xfId="522"/>
    <cellStyle name="YBINDIC" xfId="523"/>
    <cellStyle name="YBIOPOBE" xfId="524"/>
    <cellStyle name="YBPRICE" xfId="525"/>
    <cellStyle name="一般_原始檔案" xfId="526"/>
  </cellStyles>
  <dxfs count="59"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1B7A76"/>
      <color rgb="FFAD275C"/>
      <color rgb="FF2E398A"/>
      <color rgb="FFC8A52D"/>
      <color rgb="FF8C52E8"/>
      <color rgb="FF2E8A60"/>
      <color rgb="FFC6642E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Non-TBA-Eligible  Specified Pool Issuance Volume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Jumbo</c:v>
          </c:tx>
          <c:spPr>
            <a:solidFill>
              <a:srgbClr val="2E398A"/>
            </a:solidFill>
          </c:spPr>
          <c:invertIfNegative val="0"/>
          <c:cat>
            <c:numRef>
              <c:f>'Input-Non TBA'!$C$4:$C$67</c:f>
              <c:numCache>
                <c:formatCode>m/d/yyyy</c:formatCode>
                <c:ptCount val="64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40360</c:v>
                </c:pt>
                <c:pt idx="7">
                  <c:v>40391</c:v>
                </c:pt>
                <c:pt idx="8">
                  <c:v>40422</c:v>
                </c:pt>
                <c:pt idx="9">
                  <c:v>40452</c:v>
                </c:pt>
                <c:pt idx="10">
                  <c:v>40483</c:v>
                </c:pt>
                <c:pt idx="11">
                  <c:v>40513</c:v>
                </c:pt>
                <c:pt idx="12">
                  <c:v>40544</c:v>
                </c:pt>
                <c:pt idx="13">
                  <c:v>40575</c:v>
                </c:pt>
                <c:pt idx="14">
                  <c:v>40603</c:v>
                </c:pt>
                <c:pt idx="15">
                  <c:v>40634</c:v>
                </c:pt>
                <c:pt idx="16">
                  <c:v>40664</c:v>
                </c:pt>
                <c:pt idx="17">
                  <c:v>40695</c:v>
                </c:pt>
                <c:pt idx="18">
                  <c:v>40725</c:v>
                </c:pt>
                <c:pt idx="19">
                  <c:v>40756</c:v>
                </c:pt>
                <c:pt idx="20">
                  <c:v>40787</c:v>
                </c:pt>
                <c:pt idx="21">
                  <c:v>40817</c:v>
                </c:pt>
                <c:pt idx="22">
                  <c:v>40848</c:v>
                </c:pt>
                <c:pt idx="23">
                  <c:v>40878</c:v>
                </c:pt>
                <c:pt idx="24">
                  <c:v>40909</c:v>
                </c:pt>
                <c:pt idx="25">
                  <c:v>40940</c:v>
                </c:pt>
                <c:pt idx="26">
                  <c:v>40969</c:v>
                </c:pt>
                <c:pt idx="27">
                  <c:v>41000</c:v>
                </c:pt>
                <c:pt idx="28">
                  <c:v>41030</c:v>
                </c:pt>
                <c:pt idx="29">
                  <c:v>41061</c:v>
                </c:pt>
                <c:pt idx="30">
                  <c:v>41091</c:v>
                </c:pt>
                <c:pt idx="31">
                  <c:v>41122</c:v>
                </c:pt>
                <c:pt idx="32">
                  <c:v>41153</c:v>
                </c:pt>
                <c:pt idx="33">
                  <c:v>41183</c:v>
                </c:pt>
                <c:pt idx="34">
                  <c:v>41214</c:v>
                </c:pt>
                <c:pt idx="35">
                  <c:v>41244</c:v>
                </c:pt>
                <c:pt idx="36">
                  <c:v>41275</c:v>
                </c:pt>
                <c:pt idx="37">
                  <c:v>41306</c:v>
                </c:pt>
                <c:pt idx="38">
                  <c:v>41334</c:v>
                </c:pt>
                <c:pt idx="39">
                  <c:v>41365</c:v>
                </c:pt>
                <c:pt idx="40">
                  <c:v>41395</c:v>
                </c:pt>
                <c:pt idx="41">
                  <c:v>41426</c:v>
                </c:pt>
                <c:pt idx="42">
                  <c:v>41456</c:v>
                </c:pt>
                <c:pt idx="43">
                  <c:v>41487</c:v>
                </c:pt>
                <c:pt idx="44">
                  <c:v>41518</c:v>
                </c:pt>
                <c:pt idx="45">
                  <c:v>41548</c:v>
                </c:pt>
                <c:pt idx="46">
                  <c:v>41579</c:v>
                </c:pt>
                <c:pt idx="47">
                  <c:v>41609</c:v>
                </c:pt>
                <c:pt idx="48">
                  <c:v>41640</c:v>
                </c:pt>
                <c:pt idx="49">
                  <c:v>41671</c:v>
                </c:pt>
                <c:pt idx="50">
                  <c:v>41699</c:v>
                </c:pt>
                <c:pt idx="51">
                  <c:v>41730</c:v>
                </c:pt>
                <c:pt idx="52">
                  <c:v>41760</c:v>
                </c:pt>
                <c:pt idx="53">
                  <c:v>41791</c:v>
                </c:pt>
                <c:pt idx="54">
                  <c:v>41821</c:v>
                </c:pt>
                <c:pt idx="55">
                  <c:v>41852</c:v>
                </c:pt>
                <c:pt idx="56">
                  <c:v>41883</c:v>
                </c:pt>
                <c:pt idx="57">
                  <c:v>41913</c:v>
                </c:pt>
                <c:pt idx="58">
                  <c:v>41944</c:v>
                </c:pt>
                <c:pt idx="59">
                  <c:v>41974</c:v>
                </c:pt>
                <c:pt idx="60">
                  <c:v>42005</c:v>
                </c:pt>
                <c:pt idx="61">
                  <c:v>42036</c:v>
                </c:pt>
                <c:pt idx="62">
                  <c:v>42064</c:v>
                </c:pt>
                <c:pt idx="63">
                  <c:v>42095</c:v>
                </c:pt>
              </c:numCache>
            </c:numRef>
          </c:cat>
          <c:val>
            <c:numRef>
              <c:f>'Input-Non TBA'!$E$4:$E$67</c:f>
              <c:numCache>
                <c:formatCode>General</c:formatCode>
                <c:ptCount val="64"/>
                <c:pt idx="0">
                  <c:v>2634350684</c:v>
                </c:pt>
                <c:pt idx="1">
                  <c:v>2597549841</c:v>
                </c:pt>
                <c:pt idx="2">
                  <c:v>2808514374</c:v>
                </c:pt>
                <c:pt idx="3">
                  <c:v>1861900761</c:v>
                </c:pt>
                <c:pt idx="4">
                  <c:v>2084611821</c:v>
                </c:pt>
                <c:pt idx="5">
                  <c:v>1669648250</c:v>
                </c:pt>
                <c:pt idx="6">
                  <c:v>3407481735</c:v>
                </c:pt>
                <c:pt idx="7">
                  <c:v>3347514541</c:v>
                </c:pt>
                <c:pt idx="8">
                  <c:v>4534053251</c:v>
                </c:pt>
                <c:pt idx="9">
                  <c:v>4710788842</c:v>
                </c:pt>
                <c:pt idx="10">
                  <c:v>4435127896</c:v>
                </c:pt>
                <c:pt idx="11">
                  <c:v>5168634747</c:v>
                </c:pt>
                <c:pt idx="12">
                  <c:v>4772517239</c:v>
                </c:pt>
                <c:pt idx="13">
                  <c:v>3322794637</c:v>
                </c:pt>
                <c:pt idx="14">
                  <c:v>2879069981</c:v>
                </c:pt>
                <c:pt idx="15">
                  <c:v>1365959263</c:v>
                </c:pt>
                <c:pt idx="16">
                  <c:v>1679348065</c:v>
                </c:pt>
                <c:pt idx="17">
                  <c:v>1470720552</c:v>
                </c:pt>
                <c:pt idx="18">
                  <c:v>1755684824</c:v>
                </c:pt>
                <c:pt idx="19">
                  <c:v>2242690757</c:v>
                </c:pt>
                <c:pt idx="20">
                  <c:v>4005917312</c:v>
                </c:pt>
                <c:pt idx="21">
                  <c:v>4409005394</c:v>
                </c:pt>
                <c:pt idx="22">
                  <c:v>4642886367</c:v>
                </c:pt>
                <c:pt idx="23">
                  <c:v>2231440428</c:v>
                </c:pt>
                <c:pt idx="24">
                  <c:v>1557100159</c:v>
                </c:pt>
                <c:pt idx="25">
                  <c:v>1459805763</c:v>
                </c:pt>
                <c:pt idx="26">
                  <c:v>2893315869</c:v>
                </c:pt>
                <c:pt idx="27">
                  <c:v>853289366</c:v>
                </c:pt>
                <c:pt idx="28">
                  <c:v>1671001392</c:v>
                </c:pt>
                <c:pt idx="29">
                  <c:v>1932118315</c:v>
                </c:pt>
                <c:pt idx="30">
                  <c:v>2752296610</c:v>
                </c:pt>
                <c:pt idx="31">
                  <c:v>3126742934</c:v>
                </c:pt>
                <c:pt idx="32">
                  <c:v>3245152246</c:v>
                </c:pt>
                <c:pt idx="33">
                  <c:v>2054054786</c:v>
                </c:pt>
                <c:pt idx="34">
                  <c:v>3993010447</c:v>
                </c:pt>
                <c:pt idx="35">
                  <c:v>1214802344</c:v>
                </c:pt>
                <c:pt idx="36">
                  <c:v>3321638962</c:v>
                </c:pt>
                <c:pt idx="37">
                  <c:v>1888075582</c:v>
                </c:pt>
                <c:pt idx="38">
                  <c:v>2116389422</c:v>
                </c:pt>
                <c:pt idx="39">
                  <c:v>2271806082</c:v>
                </c:pt>
                <c:pt idx="40">
                  <c:v>2019206225</c:v>
                </c:pt>
                <c:pt idx="41">
                  <c:v>2418493907</c:v>
                </c:pt>
                <c:pt idx="42">
                  <c:v>1885265938</c:v>
                </c:pt>
                <c:pt idx="43">
                  <c:v>1634700327</c:v>
                </c:pt>
                <c:pt idx="44">
                  <c:v>971826383</c:v>
                </c:pt>
                <c:pt idx="45">
                  <c:v>841860222</c:v>
                </c:pt>
                <c:pt idx="46">
                  <c:v>773960857</c:v>
                </c:pt>
                <c:pt idx="47">
                  <c:v>647887853</c:v>
                </c:pt>
                <c:pt idx="48">
                  <c:v>392754952</c:v>
                </c:pt>
                <c:pt idx="49">
                  <c:v>362334810</c:v>
                </c:pt>
                <c:pt idx="50">
                  <c:v>230227055</c:v>
                </c:pt>
                <c:pt idx="51">
                  <c:v>278280577</c:v>
                </c:pt>
                <c:pt idx="52">
                  <c:v>337688908</c:v>
                </c:pt>
                <c:pt idx="53">
                  <c:v>319731336</c:v>
                </c:pt>
                <c:pt idx="54">
                  <c:v>562390222</c:v>
                </c:pt>
                <c:pt idx="55">
                  <c:v>449797295</c:v>
                </c:pt>
                <c:pt idx="56">
                  <c:v>746264105</c:v>
                </c:pt>
                <c:pt idx="57">
                  <c:v>639001193</c:v>
                </c:pt>
                <c:pt idx="58">
                  <c:v>549347202</c:v>
                </c:pt>
                <c:pt idx="59">
                  <c:v>771028754</c:v>
                </c:pt>
                <c:pt idx="60">
                  <c:v>667434711</c:v>
                </c:pt>
                <c:pt idx="61">
                  <c:v>821128260</c:v>
                </c:pt>
                <c:pt idx="62">
                  <c:v>1012026911</c:v>
                </c:pt>
                <c:pt idx="63">
                  <c:v>321522890</c:v>
                </c:pt>
              </c:numCache>
            </c:numRef>
          </c:val>
        </c:ser>
        <c:ser>
          <c:idx val="1"/>
          <c:order val="1"/>
          <c:tx>
            <c:strRef>
              <c:f>'Input-Non TBA'!$F$3</c:f>
              <c:strCache>
                <c:ptCount val="1"/>
                <c:pt idx="0">
                  <c:v>CQ</c:v>
                </c:pt>
              </c:strCache>
            </c:strRef>
          </c:tx>
          <c:spPr>
            <a:solidFill>
              <a:srgbClr val="AD275C"/>
            </a:solidFill>
          </c:spPr>
          <c:invertIfNegative val="0"/>
          <c:cat>
            <c:numRef>
              <c:f>'Input-Non TBA'!$C$4:$C$67</c:f>
              <c:numCache>
                <c:formatCode>m/d/yyyy</c:formatCode>
                <c:ptCount val="64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40360</c:v>
                </c:pt>
                <c:pt idx="7">
                  <c:v>40391</c:v>
                </c:pt>
                <c:pt idx="8">
                  <c:v>40422</c:v>
                </c:pt>
                <c:pt idx="9">
                  <c:v>40452</c:v>
                </c:pt>
                <c:pt idx="10">
                  <c:v>40483</c:v>
                </c:pt>
                <c:pt idx="11">
                  <c:v>40513</c:v>
                </c:pt>
                <c:pt idx="12">
                  <c:v>40544</c:v>
                </c:pt>
                <c:pt idx="13">
                  <c:v>40575</c:v>
                </c:pt>
                <c:pt idx="14">
                  <c:v>40603</c:v>
                </c:pt>
                <c:pt idx="15">
                  <c:v>40634</c:v>
                </c:pt>
                <c:pt idx="16">
                  <c:v>40664</c:v>
                </c:pt>
                <c:pt idx="17">
                  <c:v>40695</c:v>
                </c:pt>
                <c:pt idx="18">
                  <c:v>40725</c:v>
                </c:pt>
                <c:pt idx="19">
                  <c:v>40756</c:v>
                </c:pt>
                <c:pt idx="20">
                  <c:v>40787</c:v>
                </c:pt>
                <c:pt idx="21">
                  <c:v>40817</c:v>
                </c:pt>
                <c:pt idx="22">
                  <c:v>40848</c:v>
                </c:pt>
                <c:pt idx="23">
                  <c:v>40878</c:v>
                </c:pt>
                <c:pt idx="24">
                  <c:v>40909</c:v>
                </c:pt>
                <c:pt idx="25">
                  <c:v>40940</c:v>
                </c:pt>
                <c:pt idx="26">
                  <c:v>40969</c:v>
                </c:pt>
                <c:pt idx="27">
                  <c:v>41000</c:v>
                </c:pt>
                <c:pt idx="28">
                  <c:v>41030</c:v>
                </c:pt>
                <c:pt idx="29">
                  <c:v>41061</c:v>
                </c:pt>
                <c:pt idx="30">
                  <c:v>41091</c:v>
                </c:pt>
                <c:pt idx="31">
                  <c:v>41122</c:v>
                </c:pt>
                <c:pt idx="32">
                  <c:v>41153</c:v>
                </c:pt>
                <c:pt idx="33">
                  <c:v>41183</c:v>
                </c:pt>
                <c:pt idx="34">
                  <c:v>41214</c:v>
                </c:pt>
                <c:pt idx="35">
                  <c:v>41244</c:v>
                </c:pt>
                <c:pt idx="36">
                  <c:v>41275</c:v>
                </c:pt>
                <c:pt idx="37">
                  <c:v>41306</c:v>
                </c:pt>
                <c:pt idx="38">
                  <c:v>41334</c:v>
                </c:pt>
                <c:pt idx="39">
                  <c:v>41365</c:v>
                </c:pt>
                <c:pt idx="40">
                  <c:v>41395</c:v>
                </c:pt>
                <c:pt idx="41">
                  <c:v>41426</c:v>
                </c:pt>
                <c:pt idx="42">
                  <c:v>41456</c:v>
                </c:pt>
                <c:pt idx="43">
                  <c:v>41487</c:v>
                </c:pt>
                <c:pt idx="44">
                  <c:v>41518</c:v>
                </c:pt>
                <c:pt idx="45">
                  <c:v>41548</c:v>
                </c:pt>
                <c:pt idx="46">
                  <c:v>41579</c:v>
                </c:pt>
                <c:pt idx="47">
                  <c:v>41609</c:v>
                </c:pt>
                <c:pt idx="48">
                  <c:v>41640</c:v>
                </c:pt>
                <c:pt idx="49">
                  <c:v>41671</c:v>
                </c:pt>
                <c:pt idx="50">
                  <c:v>41699</c:v>
                </c:pt>
                <c:pt idx="51">
                  <c:v>41730</c:v>
                </c:pt>
                <c:pt idx="52">
                  <c:v>41760</c:v>
                </c:pt>
                <c:pt idx="53">
                  <c:v>41791</c:v>
                </c:pt>
                <c:pt idx="54">
                  <c:v>41821</c:v>
                </c:pt>
                <c:pt idx="55">
                  <c:v>41852</c:v>
                </c:pt>
                <c:pt idx="56">
                  <c:v>41883</c:v>
                </c:pt>
                <c:pt idx="57">
                  <c:v>41913</c:v>
                </c:pt>
                <c:pt idx="58">
                  <c:v>41944</c:v>
                </c:pt>
                <c:pt idx="59">
                  <c:v>41974</c:v>
                </c:pt>
                <c:pt idx="60">
                  <c:v>42005</c:v>
                </c:pt>
                <c:pt idx="61">
                  <c:v>42036</c:v>
                </c:pt>
                <c:pt idx="62">
                  <c:v>42064</c:v>
                </c:pt>
                <c:pt idx="63">
                  <c:v>42095</c:v>
                </c:pt>
              </c:numCache>
            </c:numRef>
          </c:cat>
          <c:val>
            <c:numRef>
              <c:f>'Input-Non TBA'!$F$4:$F$67</c:f>
              <c:numCache>
                <c:formatCode>General</c:formatCode>
                <c:ptCount val="64"/>
                <c:pt idx="0">
                  <c:v>172690172</c:v>
                </c:pt>
                <c:pt idx="1">
                  <c:v>191438050</c:v>
                </c:pt>
                <c:pt idx="2">
                  <c:v>214765657</c:v>
                </c:pt>
                <c:pt idx="3">
                  <c:v>276239169</c:v>
                </c:pt>
                <c:pt idx="4">
                  <c:v>515525281</c:v>
                </c:pt>
                <c:pt idx="5">
                  <c:v>268918822</c:v>
                </c:pt>
                <c:pt idx="6">
                  <c:v>208691302</c:v>
                </c:pt>
                <c:pt idx="7">
                  <c:v>355715456</c:v>
                </c:pt>
                <c:pt idx="8">
                  <c:v>352412504</c:v>
                </c:pt>
                <c:pt idx="9">
                  <c:v>319947067</c:v>
                </c:pt>
                <c:pt idx="10">
                  <c:v>369679660</c:v>
                </c:pt>
                <c:pt idx="11">
                  <c:v>504226385</c:v>
                </c:pt>
                <c:pt idx="12">
                  <c:v>481880967</c:v>
                </c:pt>
                <c:pt idx="13">
                  <c:v>511593118</c:v>
                </c:pt>
                <c:pt idx="14">
                  <c:v>618688301</c:v>
                </c:pt>
                <c:pt idx="15">
                  <c:v>668998347</c:v>
                </c:pt>
                <c:pt idx="16">
                  <c:v>436513565</c:v>
                </c:pt>
                <c:pt idx="17">
                  <c:v>714756687</c:v>
                </c:pt>
                <c:pt idx="18">
                  <c:v>450007317</c:v>
                </c:pt>
                <c:pt idx="19">
                  <c:v>544964112</c:v>
                </c:pt>
                <c:pt idx="20">
                  <c:v>632560564</c:v>
                </c:pt>
                <c:pt idx="21">
                  <c:v>575215946</c:v>
                </c:pt>
                <c:pt idx="22">
                  <c:v>570846520</c:v>
                </c:pt>
                <c:pt idx="23">
                  <c:v>363856997</c:v>
                </c:pt>
                <c:pt idx="24">
                  <c:v>964656975</c:v>
                </c:pt>
                <c:pt idx="25">
                  <c:v>935368647</c:v>
                </c:pt>
                <c:pt idx="26">
                  <c:v>1830004532</c:v>
                </c:pt>
                <c:pt idx="27">
                  <c:v>1283593895</c:v>
                </c:pt>
                <c:pt idx="28">
                  <c:v>2238872332</c:v>
                </c:pt>
                <c:pt idx="29">
                  <c:v>2674159779</c:v>
                </c:pt>
                <c:pt idx="30">
                  <c:v>2691500965</c:v>
                </c:pt>
                <c:pt idx="31">
                  <c:v>2705488507</c:v>
                </c:pt>
                <c:pt idx="32">
                  <c:v>2507345171</c:v>
                </c:pt>
                <c:pt idx="33">
                  <c:v>1886237333</c:v>
                </c:pt>
                <c:pt idx="34">
                  <c:v>3089976460</c:v>
                </c:pt>
                <c:pt idx="35">
                  <c:v>1925814668</c:v>
                </c:pt>
                <c:pt idx="36">
                  <c:v>2387371027</c:v>
                </c:pt>
                <c:pt idx="37">
                  <c:v>2217599892</c:v>
                </c:pt>
                <c:pt idx="38">
                  <c:v>2074956858</c:v>
                </c:pt>
                <c:pt idx="39">
                  <c:v>2243146531</c:v>
                </c:pt>
                <c:pt idx="40">
                  <c:v>1541931533</c:v>
                </c:pt>
                <c:pt idx="41">
                  <c:v>1758314749</c:v>
                </c:pt>
                <c:pt idx="42">
                  <c:v>1616623154</c:v>
                </c:pt>
                <c:pt idx="43">
                  <c:v>1373502996</c:v>
                </c:pt>
                <c:pt idx="44">
                  <c:v>960260689</c:v>
                </c:pt>
                <c:pt idx="45">
                  <c:v>817694911</c:v>
                </c:pt>
                <c:pt idx="46">
                  <c:v>650781591</c:v>
                </c:pt>
                <c:pt idx="47">
                  <c:v>755691585</c:v>
                </c:pt>
                <c:pt idx="48">
                  <c:v>438784911</c:v>
                </c:pt>
                <c:pt idx="49">
                  <c:v>399641559</c:v>
                </c:pt>
                <c:pt idx="50">
                  <c:v>313566996</c:v>
                </c:pt>
                <c:pt idx="51">
                  <c:v>255206728</c:v>
                </c:pt>
                <c:pt idx="52">
                  <c:v>186037636</c:v>
                </c:pt>
                <c:pt idx="53">
                  <c:v>244291451</c:v>
                </c:pt>
                <c:pt idx="54">
                  <c:v>206481264</c:v>
                </c:pt>
                <c:pt idx="55">
                  <c:v>346554888</c:v>
                </c:pt>
                <c:pt idx="56">
                  <c:v>187308272</c:v>
                </c:pt>
                <c:pt idx="57">
                  <c:v>169366238</c:v>
                </c:pt>
                <c:pt idx="58">
                  <c:v>371096000</c:v>
                </c:pt>
                <c:pt idx="59">
                  <c:v>145992266</c:v>
                </c:pt>
                <c:pt idx="60">
                  <c:v>120675652</c:v>
                </c:pt>
                <c:pt idx="61">
                  <c:v>469334257</c:v>
                </c:pt>
                <c:pt idx="62">
                  <c:v>104946942</c:v>
                </c:pt>
                <c:pt idx="63">
                  <c:v>129441155</c:v>
                </c:pt>
              </c:numCache>
            </c:numRef>
          </c:val>
        </c:ser>
        <c:ser>
          <c:idx val="2"/>
          <c:order val="2"/>
          <c:tx>
            <c:strRef>
              <c:f>'Input-Non TBA'!$G$3</c:f>
              <c:strCache>
                <c:ptCount val="1"/>
                <c:pt idx="0">
                  <c:v>CR</c:v>
                </c:pt>
              </c:strCache>
            </c:strRef>
          </c:tx>
          <c:spPr>
            <a:solidFill>
              <a:srgbClr val="1B7A76"/>
            </a:solidFill>
          </c:spPr>
          <c:invertIfNegative val="0"/>
          <c:cat>
            <c:numRef>
              <c:f>'Input-Non TBA'!$C$4:$C$67</c:f>
              <c:numCache>
                <c:formatCode>m/d/yyyy</c:formatCode>
                <c:ptCount val="64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40360</c:v>
                </c:pt>
                <c:pt idx="7">
                  <c:v>40391</c:v>
                </c:pt>
                <c:pt idx="8">
                  <c:v>40422</c:v>
                </c:pt>
                <c:pt idx="9">
                  <c:v>40452</c:v>
                </c:pt>
                <c:pt idx="10">
                  <c:v>40483</c:v>
                </c:pt>
                <c:pt idx="11">
                  <c:v>40513</c:v>
                </c:pt>
                <c:pt idx="12">
                  <c:v>40544</c:v>
                </c:pt>
                <c:pt idx="13">
                  <c:v>40575</c:v>
                </c:pt>
                <c:pt idx="14">
                  <c:v>40603</c:v>
                </c:pt>
                <c:pt idx="15">
                  <c:v>40634</c:v>
                </c:pt>
                <c:pt idx="16">
                  <c:v>40664</c:v>
                </c:pt>
                <c:pt idx="17">
                  <c:v>40695</c:v>
                </c:pt>
                <c:pt idx="18">
                  <c:v>40725</c:v>
                </c:pt>
                <c:pt idx="19">
                  <c:v>40756</c:v>
                </c:pt>
                <c:pt idx="20">
                  <c:v>40787</c:v>
                </c:pt>
                <c:pt idx="21">
                  <c:v>40817</c:v>
                </c:pt>
                <c:pt idx="22">
                  <c:v>40848</c:v>
                </c:pt>
                <c:pt idx="23">
                  <c:v>40878</c:v>
                </c:pt>
                <c:pt idx="24">
                  <c:v>40909</c:v>
                </c:pt>
                <c:pt idx="25">
                  <c:v>40940</c:v>
                </c:pt>
                <c:pt idx="26">
                  <c:v>40969</c:v>
                </c:pt>
                <c:pt idx="27">
                  <c:v>41000</c:v>
                </c:pt>
                <c:pt idx="28">
                  <c:v>41030</c:v>
                </c:pt>
                <c:pt idx="29">
                  <c:v>41061</c:v>
                </c:pt>
                <c:pt idx="30">
                  <c:v>41091</c:v>
                </c:pt>
                <c:pt idx="31">
                  <c:v>41122</c:v>
                </c:pt>
                <c:pt idx="32">
                  <c:v>41153</c:v>
                </c:pt>
                <c:pt idx="33">
                  <c:v>41183</c:v>
                </c:pt>
                <c:pt idx="34">
                  <c:v>41214</c:v>
                </c:pt>
                <c:pt idx="35">
                  <c:v>41244</c:v>
                </c:pt>
                <c:pt idx="36">
                  <c:v>41275</c:v>
                </c:pt>
                <c:pt idx="37">
                  <c:v>41306</c:v>
                </c:pt>
                <c:pt idx="38">
                  <c:v>41334</c:v>
                </c:pt>
                <c:pt idx="39">
                  <c:v>41365</c:v>
                </c:pt>
                <c:pt idx="40">
                  <c:v>41395</c:v>
                </c:pt>
                <c:pt idx="41">
                  <c:v>41426</c:v>
                </c:pt>
                <c:pt idx="42">
                  <c:v>41456</c:v>
                </c:pt>
                <c:pt idx="43">
                  <c:v>41487</c:v>
                </c:pt>
                <c:pt idx="44">
                  <c:v>41518</c:v>
                </c:pt>
                <c:pt idx="45">
                  <c:v>41548</c:v>
                </c:pt>
                <c:pt idx="46">
                  <c:v>41579</c:v>
                </c:pt>
                <c:pt idx="47">
                  <c:v>41609</c:v>
                </c:pt>
                <c:pt idx="48">
                  <c:v>41640</c:v>
                </c:pt>
                <c:pt idx="49">
                  <c:v>41671</c:v>
                </c:pt>
                <c:pt idx="50">
                  <c:v>41699</c:v>
                </c:pt>
                <c:pt idx="51">
                  <c:v>41730</c:v>
                </c:pt>
                <c:pt idx="52">
                  <c:v>41760</c:v>
                </c:pt>
                <c:pt idx="53">
                  <c:v>41791</c:v>
                </c:pt>
                <c:pt idx="54">
                  <c:v>41821</c:v>
                </c:pt>
                <c:pt idx="55">
                  <c:v>41852</c:v>
                </c:pt>
                <c:pt idx="56">
                  <c:v>41883</c:v>
                </c:pt>
                <c:pt idx="57">
                  <c:v>41913</c:v>
                </c:pt>
                <c:pt idx="58">
                  <c:v>41944</c:v>
                </c:pt>
                <c:pt idx="59">
                  <c:v>41974</c:v>
                </c:pt>
                <c:pt idx="60">
                  <c:v>42005</c:v>
                </c:pt>
                <c:pt idx="61">
                  <c:v>42036</c:v>
                </c:pt>
                <c:pt idx="62">
                  <c:v>42064</c:v>
                </c:pt>
                <c:pt idx="63">
                  <c:v>42095</c:v>
                </c:pt>
              </c:numCache>
            </c:numRef>
          </c:cat>
          <c:val>
            <c:numRef>
              <c:f>'Input-Non TBA'!$G$4:$G$67</c:f>
              <c:numCache>
                <c:formatCode>General</c:formatCode>
                <c:ptCount val="6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5627164641</c:v>
                </c:pt>
                <c:pt idx="30">
                  <c:v>3713048773</c:v>
                </c:pt>
                <c:pt idx="31">
                  <c:v>3482283708</c:v>
                </c:pt>
                <c:pt idx="32">
                  <c:v>3393761631</c:v>
                </c:pt>
                <c:pt idx="33">
                  <c:v>2591936940</c:v>
                </c:pt>
                <c:pt idx="34">
                  <c:v>3531096335</c:v>
                </c:pt>
                <c:pt idx="35">
                  <c:v>2237392773</c:v>
                </c:pt>
                <c:pt idx="36">
                  <c:v>3299880097</c:v>
                </c:pt>
                <c:pt idx="37">
                  <c:v>2808516054</c:v>
                </c:pt>
                <c:pt idx="38">
                  <c:v>2186380753</c:v>
                </c:pt>
                <c:pt idx="39">
                  <c:v>2498076581</c:v>
                </c:pt>
                <c:pt idx="40">
                  <c:v>1858786075</c:v>
                </c:pt>
                <c:pt idx="41">
                  <c:v>1553402361</c:v>
                </c:pt>
                <c:pt idx="42">
                  <c:v>1434823555</c:v>
                </c:pt>
                <c:pt idx="43">
                  <c:v>1187325480</c:v>
                </c:pt>
                <c:pt idx="44">
                  <c:v>743460848</c:v>
                </c:pt>
                <c:pt idx="45">
                  <c:v>615254685</c:v>
                </c:pt>
                <c:pt idx="46">
                  <c:v>887067278</c:v>
                </c:pt>
                <c:pt idx="47">
                  <c:v>857597466</c:v>
                </c:pt>
                <c:pt idx="48">
                  <c:v>663943847</c:v>
                </c:pt>
                <c:pt idx="49">
                  <c:v>261049913</c:v>
                </c:pt>
                <c:pt idx="50">
                  <c:v>214559704</c:v>
                </c:pt>
                <c:pt idx="51">
                  <c:v>294932105</c:v>
                </c:pt>
                <c:pt idx="52">
                  <c:v>110770261</c:v>
                </c:pt>
                <c:pt idx="53">
                  <c:v>275221137</c:v>
                </c:pt>
                <c:pt idx="54">
                  <c:v>174927834</c:v>
                </c:pt>
                <c:pt idx="55">
                  <c:v>330911502</c:v>
                </c:pt>
                <c:pt idx="56">
                  <c:v>120745416</c:v>
                </c:pt>
                <c:pt idx="57">
                  <c:v>385881834</c:v>
                </c:pt>
                <c:pt idx="58">
                  <c:v>230866169</c:v>
                </c:pt>
                <c:pt idx="59">
                  <c:v>1261524465</c:v>
                </c:pt>
                <c:pt idx="60">
                  <c:v>143096287</c:v>
                </c:pt>
                <c:pt idx="61">
                  <c:v>127311006</c:v>
                </c:pt>
                <c:pt idx="62">
                  <c:v>155150153</c:v>
                </c:pt>
                <c:pt idx="63">
                  <c:v>106931031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3146496"/>
        <c:axId val="413152384"/>
      </c:barChart>
      <c:dateAx>
        <c:axId val="4131464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13152384"/>
        <c:crosses val="autoZero"/>
        <c:auto val="1"/>
        <c:lblOffset val="100"/>
        <c:baseTimeUnit val="months"/>
      </c:dateAx>
      <c:valAx>
        <c:axId val="413152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Billions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13146496"/>
        <c:crosses val="autoZero"/>
        <c:crossBetween val="between"/>
        <c:dispUnits>
          <c:builtInUnit val="billions"/>
        </c:dispUnits>
      </c:valAx>
      <c:spPr>
        <a:noFill/>
        <a:ln>
          <a:solidFill>
            <a:schemeClr val="tx1"/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TBA-Eligible Specified Pool Issuance Volume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'Input-TBA LS'!$Y$3</c:f>
              <c:strCache>
                <c:ptCount val="1"/>
                <c:pt idx="0">
                  <c:v>Geo</c:v>
                </c:pt>
              </c:strCache>
            </c:strRef>
          </c:tx>
          <c:invertIfNegative val="0"/>
          <c:val>
            <c:numRef>
              <c:f>'Input-TBA LS'!$Y$4:$Y$67</c:f>
              <c:numCache>
                <c:formatCode>General</c:formatCode>
                <c:ptCount val="64"/>
                <c:pt idx="0">
                  <c:v>217585318</c:v>
                </c:pt>
                <c:pt idx="1">
                  <c:v>171033285</c:v>
                </c:pt>
                <c:pt idx="2">
                  <c:v>43067936</c:v>
                </c:pt>
                <c:pt idx="3">
                  <c:v>30543553</c:v>
                </c:pt>
                <c:pt idx="4">
                  <c:v>190779272</c:v>
                </c:pt>
                <c:pt idx="5">
                  <c:v>79375237</c:v>
                </c:pt>
                <c:pt idx="6">
                  <c:v>87216426</c:v>
                </c:pt>
                <c:pt idx="7">
                  <c:v>78908357</c:v>
                </c:pt>
                <c:pt idx="8">
                  <c:v>153044119</c:v>
                </c:pt>
                <c:pt idx="9">
                  <c:v>270875174</c:v>
                </c:pt>
                <c:pt idx="10">
                  <c:v>299215590</c:v>
                </c:pt>
                <c:pt idx="11">
                  <c:v>438822333</c:v>
                </c:pt>
                <c:pt idx="12">
                  <c:v>311103932</c:v>
                </c:pt>
                <c:pt idx="13">
                  <c:v>259067817</c:v>
                </c:pt>
                <c:pt idx="14">
                  <c:v>293812942</c:v>
                </c:pt>
                <c:pt idx="15">
                  <c:v>168857801</c:v>
                </c:pt>
                <c:pt idx="16">
                  <c:v>134087507</c:v>
                </c:pt>
                <c:pt idx="17">
                  <c:v>116486264</c:v>
                </c:pt>
                <c:pt idx="18">
                  <c:v>80281746</c:v>
                </c:pt>
                <c:pt idx="19">
                  <c:v>161674738</c:v>
                </c:pt>
                <c:pt idx="20">
                  <c:v>154433053</c:v>
                </c:pt>
                <c:pt idx="21">
                  <c:v>114706349</c:v>
                </c:pt>
                <c:pt idx="22">
                  <c:v>74499428</c:v>
                </c:pt>
                <c:pt idx="23">
                  <c:v>219232419</c:v>
                </c:pt>
                <c:pt idx="24">
                  <c:v>237166995</c:v>
                </c:pt>
                <c:pt idx="25">
                  <c:v>251956511</c:v>
                </c:pt>
                <c:pt idx="26">
                  <c:v>232328653</c:v>
                </c:pt>
                <c:pt idx="27">
                  <c:v>277398767</c:v>
                </c:pt>
                <c:pt idx="28">
                  <c:v>280166807</c:v>
                </c:pt>
                <c:pt idx="29">
                  <c:v>329024965</c:v>
                </c:pt>
                <c:pt idx="30">
                  <c:v>307965127</c:v>
                </c:pt>
                <c:pt idx="31">
                  <c:v>484822953</c:v>
                </c:pt>
                <c:pt idx="32">
                  <c:v>611475515</c:v>
                </c:pt>
                <c:pt idx="33">
                  <c:v>283236297</c:v>
                </c:pt>
                <c:pt idx="34">
                  <c:v>361734364</c:v>
                </c:pt>
                <c:pt idx="35">
                  <c:v>426598011</c:v>
                </c:pt>
                <c:pt idx="36">
                  <c:v>508263805</c:v>
                </c:pt>
                <c:pt idx="37">
                  <c:v>471227780</c:v>
                </c:pt>
                <c:pt idx="38">
                  <c:v>384876889</c:v>
                </c:pt>
                <c:pt idx="39">
                  <c:v>566512539</c:v>
                </c:pt>
                <c:pt idx="40">
                  <c:v>613845982</c:v>
                </c:pt>
                <c:pt idx="41">
                  <c:v>270565881</c:v>
                </c:pt>
                <c:pt idx="42">
                  <c:v>367541109</c:v>
                </c:pt>
                <c:pt idx="43">
                  <c:v>413955664</c:v>
                </c:pt>
                <c:pt idx="44">
                  <c:v>309971154</c:v>
                </c:pt>
                <c:pt idx="45">
                  <c:v>350101226</c:v>
                </c:pt>
                <c:pt idx="46">
                  <c:v>150582671</c:v>
                </c:pt>
                <c:pt idx="47">
                  <c:v>127556041</c:v>
                </c:pt>
                <c:pt idx="48">
                  <c:v>170746135</c:v>
                </c:pt>
                <c:pt idx="49">
                  <c:v>240141159</c:v>
                </c:pt>
                <c:pt idx="50">
                  <c:v>250520733</c:v>
                </c:pt>
                <c:pt idx="51">
                  <c:v>202186828</c:v>
                </c:pt>
                <c:pt idx="52">
                  <c:v>203658897</c:v>
                </c:pt>
                <c:pt idx="53">
                  <c:v>246872778</c:v>
                </c:pt>
                <c:pt idx="54">
                  <c:v>211430835</c:v>
                </c:pt>
                <c:pt idx="55">
                  <c:v>276998174</c:v>
                </c:pt>
                <c:pt idx="56">
                  <c:v>462313636</c:v>
                </c:pt>
                <c:pt idx="57">
                  <c:v>379700201</c:v>
                </c:pt>
                <c:pt idx="58">
                  <c:v>194118752</c:v>
                </c:pt>
                <c:pt idx="59">
                  <c:v>703716463</c:v>
                </c:pt>
                <c:pt idx="60">
                  <c:v>407296377</c:v>
                </c:pt>
                <c:pt idx="61">
                  <c:v>406480780</c:v>
                </c:pt>
                <c:pt idx="62">
                  <c:v>364493346</c:v>
                </c:pt>
                <c:pt idx="63">
                  <c:v>100919263</c:v>
                </c:pt>
              </c:numCache>
            </c:numRef>
          </c:val>
        </c:ser>
        <c:ser>
          <c:idx val="6"/>
          <c:order val="1"/>
          <c:tx>
            <c:strRef>
              <c:f>'Input-TBA LS'!$X$3</c:f>
              <c:strCache>
                <c:ptCount val="1"/>
                <c:pt idx="0">
                  <c:v>LLB</c:v>
                </c:pt>
              </c:strCache>
            </c:strRef>
          </c:tx>
          <c:invertIfNegative val="0"/>
          <c:cat>
            <c:numRef>
              <c:f>'Input-TBA LS'!$Q$4:$Q$67</c:f>
              <c:numCache>
                <c:formatCode>m/d/yyyy</c:formatCode>
                <c:ptCount val="64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40360</c:v>
                </c:pt>
                <c:pt idx="7">
                  <c:v>40391</c:v>
                </c:pt>
                <c:pt idx="8">
                  <c:v>40422</c:v>
                </c:pt>
                <c:pt idx="9">
                  <c:v>40452</c:v>
                </c:pt>
                <c:pt idx="10">
                  <c:v>40483</c:v>
                </c:pt>
                <c:pt idx="11">
                  <c:v>40513</c:v>
                </c:pt>
                <c:pt idx="12">
                  <c:v>40544</c:v>
                </c:pt>
                <c:pt idx="13">
                  <c:v>40575</c:v>
                </c:pt>
                <c:pt idx="14">
                  <c:v>40603</c:v>
                </c:pt>
                <c:pt idx="15">
                  <c:v>40634</c:v>
                </c:pt>
                <c:pt idx="16">
                  <c:v>40664</c:v>
                </c:pt>
                <c:pt idx="17">
                  <c:v>40695</c:v>
                </c:pt>
                <c:pt idx="18">
                  <c:v>40725</c:v>
                </c:pt>
                <c:pt idx="19">
                  <c:v>40756</c:v>
                </c:pt>
                <c:pt idx="20">
                  <c:v>40787</c:v>
                </c:pt>
                <c:pt idx="21">
                  <c:v>40817</c:v>
                </c:pt>
                <c:pt idx="22">
                  <c:v>40848</c:v>
                </c:pt>
                <c:pt idx="23">
                  <c:v>40878</c:v>
                </c:pt>
                <c:pt idx="24">
                  <c:v>40909</c:v>
                </c:pt>
                <c:pt idx="25">
                  <c:v>40940</c:v>
                </c:pt>
                <c:pt idx="26">
                  <c:v>40969</c:v>
                </c:pt>
                <c:pt idx="27">
                  <c:v>41000</c:v>
                </c:pt>
                <c:pt idx="28">
                  <c:v>41030</c:v>
                </c:pt>
                <c:pt idx="29">
                  <c:v>41061</c:v>
                </c:pt>
                <c:pt idx="30">
                  <c:v>41091</c:v>
                </c:pt>
                <c:pt idx="31">
                  <c:v>41122</c:v>
                </c:pt>
                <c:pt idx="32">
                  <c:v>41153</c:v>
                </c:pt>
                <c:pt idx="33">
                  <c:v>41183</c:v>
                </c:pt>
                <c:pt idx="34">
                  <c:v>41214</c:v>
                </c:pt>
                <c:pt idx="35">
                  <c:v>41244</c:v>
                </c:pt>
                <c:pt idx="36">
                  <c:v>41275</c:v>
                </c:pt>
                <c:pt idx="37">
                  <c:v>41306</c:v>
                </c:pt>
                <c:pt idx="38">
                  <c:v>41334</c:v>
                </c:pt>
                <c:pt idx="39">
                  <c:v>41365</c:v>
                </c:pt>
                <c:pt idx="40">
                  <c:v>41395</c:v>
                </c:pt>
                <c:pt idx="41">
                  <c:v>41426</c:v>
                </c:pt>
                <c:pt idx="42">
                  <c:v>41456</c:v>
                </c:pt>
                <c:pt idx="43">
                  <c:v>41487</c:v>
                </c:pt>
                <c:pt idx="44">
                  <c:v>41518</c:v>
                </c:pt>
                <c:pt idx="45">
                  <c:v>41548</c:v>
                </c:pt>
                <c:pt idx="46">
                  <c:v>41579</c:v>
                </c:pt>
                <c:pt idx="47">
                  <c:v>41609</c:v>
                </c:pt>
                <c:pt idx="48">
                  <c:v>41640</c:v>
                </c:pt>
                <c:pt idx="49">
                  <c:v>41671</c:v>
                </c:pt>
                <c:pt idx="50">
                  <c:v>41699</c:v>
                </c:pt>
                <c:pt idx="51">
                  <c:v>41730</c:v>
                </c:pt>
                <c:pt idx="52">
                  <c:v>41760</c:v>
                </c:pt>
                <c:pt idx="53">
                  <c:v>41791</c:v>
                </c:pt>
                <c:pt idx="54">
                  <c:v>41821</c:v>
                </c:pt>
                <c:pt idx="55">
                  <c:v>41852</c:v>
                </c:pt>
                <c:pt idx="56">
                  <c:v>41883</c:v>
                </c:pt>
                <c:pt idx="57">
                  <c:v>41913</c:v>
                </c:pt>
                <c:pt idx="58">
                  <c:v>41944</c:v>
                </c:pt>
                <c:pt idx="59">
                  <c:v>41974</c:v>
                </c:pt>
                <c:pt idx="60">
                  <c:v>42005</c:v>
                </c:pt>
                <c:pt idx="61">
                  <c:v>42036</c:v>
                </c:pt>
                <c:pt idx="62">
                  <c:v>42064</c:v>
                </c:pt>
                <c:pt idx="63">
                  <c:v>42095</c:v>
                </c:pt>
              </c:numCache>
            </c:numRef>
          </c:cat>
          <c:val>
            <c:numRef>
              <c:f>'Input-TBA LS'!$X$4:$X$67</c:f>
              <c:numCache>
                <c:formatCode>General</c:formatCode>
                <c:ptCount val="64"/>
                <c:pt idx="0">
                  <c:v>560342765</c:v>
                </c:pt>
                <c:pt idx="1">
                  <c:v>471267497</c:v>
                </c:pt>
                <c:pt idx="2">
                  <c:v>390874043</c:v>
                </c:pt>
                <c:pt idx="3">
                  <c:v>420391835</c:v>
                </c:pt>
                <c:pt idx="4">
                  <c:v>440038446</c:v>
                </c:pt>
                <c:pt idx="5">
                  <c:v>681015464</c:v>
                </c:pt>
                <c:pt idx="6">
                  <c:v>598809116</c:v>
                </c:pt>
                <c:pt idx="7">
                  <c:v>475791854</c:v>
                </c:pt>
                <c:pt idx="8">
                  <c:v>636914317</c:v>
                </c:pt>
                <c:pt idx="9">
                  <c:v>670466824</c:v>
                </c:pt>
                <c:pt idx="10">
                  <c:v>708663087</c:v>
                </c:pt>
                <c:pt idx="11">
                  <c:v>838347587</c:v>
                </c:pt>
                <c:pt idx="12">
                  <c:v>683367639</c:v>
                </c:pt>
                <c:pt idx="13">
                  <c:v>597808712</c:v>
                </c:pt>
                <c:pt idx="14">
                  <c:v>818916287</c:v>
                </c:pt>
                <c:pt idx="15">
                  <c:v>602284037</c:v>
                </c:pt>
                <c:pt idx="16">
                  <c:v>603596717</c:v>
                </c:pt>
                <c:pt idx="17">
                  <c:v>716402801</c:v>
                </c:pt>
                <c:pt idx="18">
                  <c:v>509527717</c:v>
                </c:pt>
                <c:pt idx="19">
                  <c:v>624435737</c:v>
                </c:pt>
                <c:pt idx="20">
                  <c:v>749319829</c:v>
                </c:pt>
                <c:pt idx="21">
                  <c:v>612680365</c:v>
                </c:pt>
                <c:pt idx="22">
                  <c:v>660088356</c:v>
                </c:pt>
                <c:pt idx="23">
                  <c:v>964804971</c:v>
                </c:pt>
                <c:pt idx="24">
                  <c:v>646001264</c:v>
                </c:pt>
                <c:pt idx="25">
                  <c:v>856472475</c:v>
                </c:pt>
                <c:pt idx="26">
                  <c:v>1094708047</c:v>
                </c:pt>
                <c:pt idx="27">
                  <c:v>638284668</c:v>
                </c:pt>
                <c:pt idx="28">
                  <c:v>965308651</c:v>
                </c:pt>
                <c:pt idx="29">
                  <c:v>869933090</c:v>
                </c:pt>
                <c:pt idx="30">
                  <c:v>916631007</c:v>
                </c:pt>
                <c:pt idx="31">
                  <c:v>938861711</c:v>
                </c:pt>
                <c:pt idx="32">
                  <c:v>866473910</c:v>
                </c:pt>
                <c:pt idx="33">
                  <c:v>674003513</c:v>
                </c:pt>
                <c:pt idx="34">
                  <c:v>1360862416</c:v>
                </c:pt>
                <c:pt idx="35">
                  <c:v>763603729</c:v>
                </c:pt>
                <c:pt idx="36">
                  <c:v>1057109121</c:v>
                </c:pt>
                <c:pt idx="37">
                  <c:v>962399260</c:v>
                </c:pt>
                <c:pt idx="38">
                  <c:v>871349067</c:v>
                </c:pt>
                <c:pt idx="39">
                  <c:v>992634188</c:v>
                </c:pt>
                <c:pt idx="40">
                  <c:v>1059208914</c:v>
                </c:pt>
                <c:pt idx="41">
                  <c:v>1017147311</c:v>
                </c:pt>
                <c:pt idx="42">
                  <c:v>848431617</c:v>
                </c:pt>
                <c:pt idx="43">
                  <c:v>850030342</c:v>
                </c:pt>
                <c:pt idx="44">
                  <c:v>814311406</c:v>
                </c:pt>
                <c:pt idx="45">
                  <c:v>831380729</c:v>
                </c:pt>
                <c:pt idx="46">
                  <c:v>739554790</c:v>
                </c:pt>
                <c:pt idx="47">
                  <c:v>653400386</c:v>
                </c:pt>
                <c:pt idx="48">
                  <c:v>547635567</c:v>
                </c:pt>
                <c:pt idx="49">
                  <c:v>530622614</c:v>
                </c:pt>
                <c:pt idx="50">
                  <c:v>451781700</c:v>
                </c:pt>
                <c:pt idx="51">
                  <c:v>487340334</c:v>
                </c:pt>
                <c:pt idx="52">
                  <c:v>509914149</c:v>
                </c:pt>
                <c:pt idx="53">
                  <c:v>536380498</c:v>
                </c:pt>
                <c:pt idx="54">
                  <c:v>615297563</c:v>
                </c:pt>
                <c:pt idx="55">
                  <c:v>539726383</c:v>
                </c:pt>
                <c:pt idx="56">
                  <c:v>606670934</c:v>
                </c:pt>
                <c:pt idx="57">
                  <c:v>684935689</c:v>
                </c:pt>
                <c:pt idx="58">
                  <c:v>640024574</c:v>
                </c:pt>
                <c:pt idx="59">
                  <c:v>622883709</c:v>
                </c:pt>
                <c:pt idx="60">
                  <c:v>579122513</c:v>
                </c:pt>
                <c:pt idx="61">
                  <c:v>527566040</c:v>
                </c:pt>
                <c:pt idx="62">
                  <c:v>399012806</c:v>
                </c:pt>
                <c:pt idx="63">
                  <c:v>220409277</c:v>
                </c:pt>
              </c:numCache>
            </c:numRef>
          </c:val>
        </c:ser>
        <c:ser>
          <c:idx val="5"/>
          <c:order val="2"/>
          <c:tx>
            <c:strRef>
              <c:f>'Input-TBA LS'!$W$3</c:f>
              <c:strCache>
                <c:ptCount val="1"/>
                <c:pt idx="0">
                  <c:v>MLB</c:v>
                </c:pt>
              </c:strCache>
            </c:strRef>
          </c:tx>
          <c:invertIfNegative val="0"/>
          <c:cat>
            <c:numRef>
              <c:f>'Input-TBA LS'!$Q$4:$Q$67</c:f>
              <c:numCache>
                <c:formatCode>m/d/yyyy</c:formatCode>
                <c:ptCount val="64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40360</c:v>
                </c:pt>
                <c:pt idx="7">
                  <c:v>40391</c:v>
                </c:pt>
                <c:pt idx="8">
                  <c:v>40422</c:v>
                </c:pt>
                <c:pt idx="9">
                  <c:v>40452</c:v>
                </c:pt>
                <c:pt idx="10">
                  <c:v>40483</c:v>
                </c:pt>
                <c:pt idx="11">
                  <c:v>40513</c:v>
                </c:pt>
                <c:pt idx="12">
                  <c:v>40544</c:v>
                </c:pt>
                <c:pt idx="13">
                  <c:v>40575</c:v>
                </c:pt>
                <c:pt idx="14">
                  <c:v>40603</c:v>
                </c:pt>
                <c:pt idx="15">
                  <c:v>40634</c:v>
                </c:pt>
                <c:pt idx="16">
                  <c:v>40664</c:v>
                </c:pt>
                <c:pt idx="17">
                  <c:v>40695</c:v>
                </c:pt>
                <c:pt idx="18">
                  <c:v>40725</c:v>
                </c:pt>
                <c:pt idx="19">
                  <c:v>40756</c:v>
                </c:pt>
                <c:pt idx="20">
                  <c:v>40787</c:v>
                </c:pt>
                <c:pt idx="21">
                  <c:v>40817</c:v>
                </c:pt>
                <c:pt idx="22">
                  <c:v>40848</c:v>
                </c:pt>
                <c:pt idx="23">
                  <c:v>40878</c:v>
                </c:pt>
                <c:pt idx="24">
                  <c:v>40909</c:v>
                </c:pt>
                <c:pt idx="25">
                  <c:v>40940</c:v>
                </c:pt>
                <c:pt idx="26">
                  <c:v>40969</c:v>
                </c:pt>
                <c:pt idx="27">
                  <c:v>41000</c:v>
                </c:pt>
                <c:pt idx="28">
                  <c:v>41030</c:v>
                </c:pt>
                <c:pt idx="29">
                  <c:v>41061</c:v>
                </c:pt>
                <c:pt idx="30">
                  <c:v>41091</c:v>
                </c:pt>
                <c:pt idx="31">
                  <c:v>41122</c:v>
                </c:pt>
                <c:pt idx="32">
                  <c:v>41153</c:v>
                </c:pt>
                <c:pt idx="33">
                  <c:v>41183</c:v>
                </c:pt>
                <c:pt idx="34">
                  <c:v>41214</c:v>
                </c:pt>
                <c:pt idx="35">
                  <c:v>41244</c:v>
                </c:pt>
                <c:pt idx="36">
                  <c:v>41275</c:v>
                </c:pt>
                <c:pt idx="37">
                  <c:v>41306</c:v>
                </c:pt>
                <c:pt idx="38">
                  <c:v>41334</c:v>
                </c:pt>
                <c:pt idx="39">
                  <c:v>41365</c:v>
                </c:pt>
                <c:pt idx="40">
                  <c:v>41395</c:v>
                </c:pt>
                <c:pt idx="41">
                  <c:v>41426</c:v>
                </c:pt>
                <c:pt idx="42">
                  <c:v>41456</c:v>
                </c:pt>
                <c:pt idx="43">
                  <c:v>41487</c:v>
                </c:pt>
                <c:pt idx="44">
                  <c:v>41518</c:v>
                </c:pt>
                <c:pt idx="45">
                  <c:v>41548</c:v>
                </c:pt>
                <c:pt idx="46">
                  <c:v>41579</c:v>
                </c:pt>
                <c:pt idx="47">
                  <c:v>41609</c:v>
                </c:pt>
                <c:pt idx="48">
                  <c:v>41640</c:v>
                </c:pt>
                <c:pt idx="49">
                  <c:v>41671</c:v>
                </c:pt>
                <c:pt idx="50">
                  <c:v>41699</c:v>
                </c:pt>
                <c:pt idx="51">
                  <c:v>41730</c:v>
                </c:pt>
                <c:pt idx="52">
                  <c:v>41760</c:v>
                </c:pt>
                <c:pt idx="53">
                  <c:v>41791</c:v>
                </c:pt>
                <c:pt idx="54">
                  <c:v>41821</c:v>
                </c:pt>
                <c:pt idx="55">
                  <c:v>41852</c:v>
                </c:pt>
                <c:pt idx="56">
                  <c:v>41883</c:v>
                </c:pt>
                <c:pt idx="57">
                  <c:v>41913</c:v>
                </c:pt>
                <c:pt idx="58">
                  <c:v>41944</c:v>
                </c:pt>
                <c:pt idx="59">
                  <c:v>41974</c:v>
                </c:pt>
                <c:pt idx="60">
                  <c:v>42005</c:v>
                </c:pt>
                <c:pt idx="61">
                  <c:v>42036</c:v>
                </c:pt>
                <c:pt idx="62">
                  <c:v>42064</c:v>
                </c:pt>
                <c:pt idx="63">
                  <c:v>42095</c:v>
                </c:pt>
              </c:numCache>
            </c:numRef>
          </c:cat>
          <c:val>
            <c:numRef>
              <c:f>'Input-TBA LS'!$W$4:$W$67</c:f>
              <c:numCache>
                <c:formatCode>General</c:formatCode>
                <c:ptCount val="64"/>
                <c:pt idx="0">
                  <c:v>767852730</c:v>
                </c:pt>
                <c:pt idx="1">
                  <c:v>593049112</c:v>
                </c:pt>
                <c:pt idx="2">
                  <c:v>574453990</c:v>
                </c:pt>
                <c:pt idx="3">
                  <c:v>618192458</c:v>
                </c:pt>
                <c:pt idx="4">
                  <c:v>682984991</c:v>
                </c:pt>
                <c:pt idx="5">
                  <c:v>901618030</c:v>
                </c:pt>
                <c:pt idx="6">
                  <c:v>854783449</c:v>
                </c:pt>
                <c:pt idx="7">
                  <c:v>631591538</c:v>
                </c:pt>
                <c:pt idx="8">
                  <c:v>1082222219</c:v>
                </c:pt>
                <c:pt idx="9">
                  <c:v>1037833437</c:v>
                </c:pt>
                <c:pt idx="10">
                  <c:v>1198485232</c:v>
                </c:pt>
                <c:pt idx="11">
                  <c:v>1285535232</c:v>
                </c:pt>
                <c:pt idx="12">
                  <c:v>964043991</c:v>
                </c:pt>
                <c:pt idx="13">
                  <c:v>963213700</c:v>
                </c:pt>
                <c:pt idx="14">
                  <c:v>1313320276</c:v>
                </c:pt>
                <c:pt idx="15">
                  <c:v>835462650</c:v>
                </c:pt>
                <c:pt idx="16">
                  <c:v>868682209</c:v>
                </c:pt>
                <c:pt idx="17">
                  <c:v>1066364823</c:v>
                </c:pt>
                <c:pt idx="18">
                  <c:v>709625001</c:v>
                </c:pt>
                <c:pt idx="19">
                  <c:v>849708760</c:v>
                </c:pt>
                <c:pt idx="20">
                  <c:v>1075911404</c:v>
                </c:pt>
                <c:pt idx="21">
                  <c:v>857963060</c:v>
                </c:pt>
                <c:pt idx="22">
                  <c:v>916843872</c:v>
                </c:pt>
                <c:pt idx="23">
                  <c:v>1268334918</c:v>
                </c:pt>
                <c:pt idx="24">
                  <c:v>1022202205</c:v>
                </c:pt>
                <c:pt idx="25">
                  <c:v>1284539858</c:v>
                </c:pt>
                <c:pt idx="26">
                  <c:v>1735119323</c:v>
                </c:pt>
                <c:pt idx="27">
                  <c:v>987980929</c:v>
                </c:pt>
                <c:pt idx="28">
                  <c:v>1484383778</c:v>
                </c:pt>
                <c:pt idx="29">
                  <c:v>1316392694</c:v>
                </c:pt>
                <c:pt idx="30">
                  <c:v>1391950040</c:v>
                </c:pt>
                <c:pt idx="31">
                  <c:v>1332804528</c:v>
                </c:pt>
                <c:pt idx="32">
                  <c:v>1412162830</c:v>
                </c:pt>
                <c:pt idx="33">
                  <c:v>1074934170</c:v>
                </c:pt>
                <c:pt idx="34">
                  <c:v>2092345448</c:v>
                </c:pt>
                <c:pt idx="35">
                  <c:v>1221012156</c:v>
                </c:pt>
                <c:pt idx="36">
                  <c:v>1621872168</c:v>
                </c:pt>
                <c:pt idx="37">
                  <c:v>1326174750</c:v>
                </c:pt>
                <c:pt idx="38">
                  <c:v>1274631916</c:v>
                </c:pt>
                <c:pt idx="39">
                  <c:v>1489937515</c:v>
                </c:pt>
                <c:pt idx="40">
                  <c:v>1613997581</c:v>
                </c:pt>
                <c:pt idx="41">
                  <c:v>1488014533</c:v>
                </c:pt>
                <c:pt idx="42">
                  <c:v>1320498425</c:v>
                </c:pt>
                <c:pt idx="43">
                  <c:v>1276109957</c:v>
                </c:pt>
                <c:pt idx="44">
                  <c:v>1266093495</c:v>
                </c:pt>
                <c:pt idx="45">
                  <c:v>1245020429</c:v>
                </c:pt>
                <c:pt idx="46">
                  <c:v>1031662262</c:v>
                </c:pt>
                <c:pt idx="47">
                  <c:v>927091459</c:v>
                </c:pt>
                <c:pt idx="48">
                  <c:v>774247579</c:v>
                </c:pt>
                <c:pt idx="49">
                  <c:v>762318805</c:v>
                </c:pt>
                <c:pt idx="50">
                  <c:v>640834869</c:v>
                </c:pt>
                <c:pt idx="51">
                  <c:v>691225048</c:v>
                </c:pt>
                <c:pt idx="52">
                  <c:v>741338946</c:v>
                </c:pt>
                <c:pt idx="53">
                  <c:v>841543380</c:v>
                </c:pt>
                <c:pt idx="54">
                  <c:v>948547505</c:v>
                </c:pt>
                <c:pt idx="55">
                  <c:v>838626733</c:v>
                </c:pt>
                <c:pt idx="56">
                  <c:v>1016058366</c:v>
                </c:pt>
                <c:pt idx="57">
                  <c:v>964288761</c:v>
                </c:pt>
                <c:pt idx="58">
                  <c:v>899041301</c:v>
                </c:pt>
                <c:pt idx="59">
                  <c:v>997895137</c:v>
                </c:pt>
                <c:pt idx="60">
                  <c:v>800249464</c:v>
                </c:pt>
                <c:pt idx="61">
                  <c:v>820428248</c:v>
                </c:pt>
                <c:pt idx="62">
                  <c:v>685802284</c:v>
                </c:pt>
                <c:pt idx="63">
                  <c:v>324884826</c:v>
                </c:pt>
              </c:numCache>
            </c:numRef>
          </c:val>
        </c:ser>
        <c:ser>
          <c:idx val="4"/>
          <c:order val="3"/>
          <c:tx>
            <c:strRef>
              <c:f>'Input-TBA LS'!$V$3</c:f>
              <c:strCache>
                <c:ptCount val="1"/>
                <c:pt idx="0">
                  <c:v>HLB</c:v>
                </c:pt>
              </c:strCache>
            </c:strRef>
          </c:tx>
          <c:invertIfNegative val="0"/>
          <c:cat>
            <c:numRef>
              <c:f>'Input-TBA LS'!$Q$4:$Q$67</c:f>
              <c:numCache>
                <c:formatCode>m/d/yyyy</c:formatCode>
                <c:ptCount val="64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40360</c:v>
                </c:pt>
                <c:pt idx="7">
                  <c:v>40391</c:v>
                </c:pt>
                <c:pt idx="8">
                  <c:v>40422</c:v>
                </c:pt>
                <c:pt idx="9">
                  <c:v>40452</c:v>
                </c:pt>
                <c:pt idx="10">
                  <c:v>40483</c:v>
                </c:pt>
                <c:pt idx="11">
                  <c:v>40513</c:v>
                </c:pt>
                <c:pt idx="12">
                  <c:v>40544</c:v>
                </c:pt>
                <c:pt idx="13">
                  <c:v>40575</c:v>
                </c:pt>
                <c:pt idx="14">
                  <c:v>40603</c:v>
                </c:pt>
                <c:pt idx="15">
                  <c:v>40634</c:v>
                </c:pt>
                <c:pt idx="16">
                  <c:v>40664</c:v>
                </c:pt>
                <c:pt idx="17">
                  <c:v>40695</c:v>
                </c:pt>
                <c:pt idx="18">
                  <c:v>40725</c:v>
                </c:pt>
                <c:pt idx="19">
                  <c:v>40756</c:v>
                </c:pt>
                <c:pt idx="20">
                  <c:v>40787</c:v>
                </c:pt>
                <c:pt idx="21">
                  <c:v>40817</c:v>
                </c:pt>
                <c:pt idx="22">
                  <c:v>40848</c:v>
                </c:pt>
                <c:pt idx="23">
                  <c:v>40878</c:v>
                </c:pt>
                <c:pt idx="24">
                  <c:v>40909</c:v>
                </c:pt>
                <c:pt idx="25">
                  <c:v>40940</c:v>
                </c:pt>
                <c:pt idx="26">
                  <c:v>40969</c:v>
                </c:pt>
                <c:pt idx="27">
                  <c:v>41000</c:v>
                </c:pt>
                <c:pt idx="28">
                  <c:v>41030</c:v>
                </c:pt>
                <c:pt idx="29">
                  <c:v>41061</c:v>
                </c:pt>
                <c:pt idx="30">
                  <c:v>41091</c:v>
                </c:pt>
                <c:pt idx="31">
                  <c:v>41122</c:v>
                </c:pt>
                <c:pt idx="32">
                  <c:v>41153</c:v>
                </c:pt>
                <c:pt idx="33">
                  <c:v>41183</c:v>
                </c:pt>
                <c:pt idx="34">
                  <c:v>41214</c:v>
                </c:pt>
                <c:pt idx="35">
                  <c:v>41244</c:v>
                </c:pt>
                <c:pt idx="36">
                  <c:v>41275</c:v>
                </c:pt>
                <c:pt idx="37">
                  <c:v>41306</c:v>
                </c:pt>
                <c:pt idx="38">
                  <c:v>41334</c:v>
                </c:pt>
                <c:pt idx="39">
                  <c:v>41365</c:v>
                </c:pt>
                <c:pt idx="40">
                  <c:v>41395</c:v>
                </c:pt>
                <c:pt idx="41">
                  <c:v>41426</c:v>
                </c:pt>
                <c:pt idx="42">
                  <c:v>41456</c:v>
                </c:pt>
                <c:pt idx="43">
                  <c:v>41487</c:v>
                </c:pt>
                <c:pt idx="44">
                  <c:v>41518</c:v>
                </c:pt>
                <c:pt idx="45">
                  <c:v>41548</c:v>
                </c:pt>
                <c:pt idx="46">
                  <c:v>41579</c:v>
                </c:pt>
                <c:pt idx="47">
                  <c:v>41609</c:v>
                </c:pt>
                <c:pt idx="48">
                  <c:v>41640</c:v>
                </c:pt>
                <c:pt idx="49">
                  <c:v>41671</c:v>
                </c:pt>
                <c:pt idx="50">
                  <c:v>41699</c:v>
                </c:pt>
                <c:pt idx="51">
                  <c:v>41730</c:v>
                </c:pt>
                <c:pt idx="52">
                  <c:v>41760</c:v>
                </c:pt>
                <c:pt idx="53">
                  <c:v>41791</c:v>
                </c:pt>
                <c:pt idx="54">
                  <c:v>41821</c:v>
                </c:pt>
                <c:pt idx="55">
                  <c:v>41852</c:v>
                </c:pt>
                <c:pt idx="56">
                  <c:v>41883</c:v>
                </c:pt>
                <c:pt idx="57">
                  <c:v>41913</c:v>
                </c:pt>
                <c:pt idx="58">
                  <c:v>41944</c:v>
                </c:pt>
                <c:pt idx="59">
                  <c:v>41974</c:v>
                </c:pt>
                <c:pt idx="60">
                  <c:v>42005</c:v>
                </c:pt>
                <c:pt idx="61">
                  <c:v>42036</c:v>
                </c:pt>
                <c:pt idx="62">
                  <c:v>42064</c:v>
                </c:pt>
                <c:pt idx="63">
                  <c:v>42095</c:v>
                </c:pt>
              </c:numCache>
            </c:numRef>
          </c:cat>
          <c:val>
            <c:numRef>
              <c:f>'Input-TBA LS'!$V$4:$V$67</c:f>
              <c:numCache>
                <c:formatCode>General</c:formatCode>
                <c:ptCount val="64"/>
                <c:pt idx="0">
                  <c:v>1365321947</c:v>
                </c:pt>
                <c:pt idx="1">
                  <c:v>978028064</c:v>
                </c:pt>
                <c:pt idx="2">
                  <c:v>911158551</c:v>
                </c:pt>
                <c:pt idx="3">
                  <c:v>955059555</c:v>
                </c:pt>
                <c:pt idx="4">
                  <c:v>1463386120</c:v>
                </c:pt>
                <c:pt idx="5">
                  <c:v>1598769768</c:v>
                </c:pt>
                <c:pt idx="6">
                  <c:v>1420628889</c:v>
                </c:pt>
                <c:pt idx="7">
                  <c:v>1579848396</c:v>
                </c:pt>
                <c:pt idx="8">
                  <c:v>2474281305</c:v>
                </c:pt>
                <c:pt idx="9">
                  <c:v>2154320687</c:v>
                </c:pt>
                <c:pt idx="10">
                  <c:v>2633760172</c:v>
                </c:pt>
                <c:pt idx="11">
                  <c:v>2681507110</c:v>
                </c:pt>
                <c:pt idx="12">
                  <c:v>1704890203</c:v>
                </c:pt>
                <c:pt idx="13">
                  <c:v>1942706819</c:v>
                </c:pt>
                <c:pt idx="14">
                  <c:v>2631670575</c:v>
                </c:pt>
                <c:pt idx="15">
                  <c:v>1636847989</c:v>
                </c:pt>
                <c:pt idx="16">
                  <c:v>1579035556</c:v>
                </c:pt>
                <c:pt idx="17">
                  <c:v>2108513267</c:v>
                </c:pt>
                <c:pt idx="18">
                  <c:v>1420152762</c:v>
                </c:pt>
                <c:pt idx="19">
                  <c:v>1665304166</c:v>
                </c:pt>
                <c:pt idx="20">
                  <c:v>2089320127</c:v>
                </c:pt>
                <c:pt idx="21">
                  <c:v>1776001224</c:v>
                </c:pt>
                <c:pt idx="22">
                  <c:v>2048922712</c:v>
                </c:pt>
                <c:pt idx="23">
                  <c:v>2351497218</c:v>
                </c:pt>
                <c:pt idx="24">
                  <c:v>2301286099</c:v>
                </c:pt>
                <c:pt idx="25">
                  <c:v>2674571746</c:v>
                </c:pt>
                <c:pt idx="26">
                  <c:v>3841087144</c:v>
                </c:pt>
                <c:pt idx="27">
                  <c:v>2181147527</c:v>
                </c:pt>
                <c:pt idx="28">
                  <c:v>3139002806</c:v>
                </c:pt>
                <c:pt idx="29">
                  <c:v>2589334638</c:v>
                </c:pt>
                <c:pt idx="30">
                  <c:v>3037145756</c:v>
                </c:pt>
                <c:pt idx="31">
                  <c:v>2800881284</c:v>
                </c:pt>
                <c:pt idx="32">
                  <c:v>3094496393</c:v>
                </c:pt>
                <c:pt idx="33">
                  <c:v>1750544385</c:v>
                </c:pt>
                <c:pt idx="34">
                  <c:v>3750861223</c:v>
                </c:pt>
                <c:pt idx="35">
                  <c:v>2422434894</c:v>
                </c:pt>
                <c:pt idx="36">
                  <c:v>3557232725</c:v>
                </c:pt>
                <c:pt idx="37">
                  <c:v>2559417623</c:v>
                </c:pt>
                <c:pt idx="38">
                  <c:v>2649041543</c:v>
                </c:pt>
                <c:pt idx="39">
                  <c:v>2788212008</c:v>
                </c:pt>
                <c:pt idx="40">
                  <c:v>3408933720</c:v>
                </c:pt>
                <c:pt idx="41">
                  <c:v>3451820960</c:v>
                </c:pt>
                <c:pt idx="42">
                  <c:v>2502466250</c:v>
                </c:pt>
                <c:pt idx="43">
                  <c:v>2334148457</c:v>
                </c:pt>
                <c:pt idx="44">
                  <c:v>2584814804</c:v>
                </c:pt>
                <c:pt idx="45">
                  <c:v>2717052166</c:v>
                </c:pt>
                <c:pt idx="46">
                  <c:v>2246188518</c:v>
                </c:pt>
                <c:pt idx="47">
                  <c:v>1968902998</c:v>
                </c:pt>
                <c:pt idx="48">
                  <c:v>1422002021</c:v>
                </c:pt>
                <c:pt idx="49">
                  <c:v>1533737258</c:v>
                </c:pt>
                <c:pt idx="50">
                  <c:v>1420307904</c:v>
                </c:pt>
                <c:pt idx="51">
                  <c:v>1497603189</c:v>
                </c:pt>
                <c:pt idx="52">
                  <c:v>1628653688</c:v>
                </c:pt>
                <c:pt idx="53">
                  <c:v>1825687394</c:v>
                </c:pt>
                <c:pt idx="54">
                  <c:v>1970336632</c:v>
                </c:pt>
                <c:pt idx="55">
                  <c:v>1859701155</c:v>
                </c:pt>
                <c:pt idx="56">
                  <c:v>2318704927</c:v>
                </c:pt>
                <c:pt idx="57">
                  <c:v>2160542217</c:v>
                </c:pt>
                <c:pt idx="58">
                  <c:v>1978634063</c:v>
                </c:pt>
                <c:pt idx="59">
                  <c:v>2069052260</c:v>
                </c:pt>
                <c:pt idx="60">
                  <c:v>1865203347</c:v>
                </c:pt>
                <c:pt idx="61">
                  <c:v>1839649584</c:v>
                </c:pt>
                <c:pt idx="62">
                  <c:v>1671922926</c:v>
                </c:pt>
                <c:pt idx="63">
                  <c:v>778031330</c:v>
                </c:pt>
              </c:numCache>
            </c:numRef>
          </c:val>
        </c:ser>
        <c:ser>
          <c:idx val="3"/>
          <c:order val="4"/>
          <c:tx>
            <c:strRef>
              <c:f>'Input-TBA LS'!$U$3</c:f>
              <c:strCache>
                <c:ptCount val="1"/>
                <c:pt idx="0">
                  <c:v>175K</c:v>
                </c:pt>
              </c:strCache>
            </c:strRef>
          </c:tx>
          <c:invertIfNegative val="0"/>
          <c:cat>
            <c:numRef>
              <c:f>'Input-TBA LS'!$Q$4:$Q$67</c:f>
              <c:numCache>
                <c:formatCode>m/d/yyyy</c:formatCode>
                <c:ptCount val="64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40360</c:v>
                </c:pt>
                <c:pt idx="7">
                  <c:v>40391</c:v>
                </c:pt>
                <c:pt idx="8">
                  <c:v>40422</c:v>
                </c:pt>
                <c:pt idx="9">
                  <c:v>40452</c:v>
                </c:pt>
                <c:pt idx="10">
                  <c:v>40483</c:v>
                </c:pt>
                <c:pt idx="11">
                  <c:v>40513</c:v>
                </c:pt>
                <c:pt idx="12">
                  <c:v>40544</c:v>
                </c:pt>
                <c:pt idx="13">
                  <c:v>40575</c:v>
                </c:pt>
                <c:pt idx="14">
                  <c:v>40603</c:v>
                </c:pt>
                <c:pt idx="15">
                  <c:v>40634</c:v>
                </c:pt>
                <c:pt idx="16">
                  <c:v>40664</c:v>
                </c:pt>
                <c:pt idx="17">
                  <c:v>40695</c:v>
                </c:pt>
                <c:pt idx="18">
                  <c:v>40725</c:v>
                </c:pt>
                <c:pt idx="19">
                  <c:v>40756</c:v>
                </c:pt>
                <c:pt idx="20">
                  <c:v>40787</c:v>
                </c:pt>
                <c:pt idx="21">
                  <c:v>40817</c:v>
                </c:pt>
                <c:pt idx="22">
                  <c:v>40848</c:v>
                </c:pt>
                <c:pt idx="23">
                  <c:v>40878</c:v>
                </c:pt>
                <c:pt idx="24">
                  <c:v>40909</c:v>
                </c:pt>
                <c:pt idx="25">
                  <c:v>40940</c:v>
                </c:pt>
                <c:pt idx="26">
                  <c:v>40969</c:v>
                </c:pt>
                <c:pt idx="27">
                  <c:v>41000</c:v>
                </c:pt>
                <c:pt idx="28">
                  <c:v>41030</c:v>
                </c:pt>
                <c:pt idx="29">
                  <c:v>41061</c:v>
                </c:pt>
                <c:pt idx="30">
                  <c:v>41091</c:v>
                </c:pt>
                <c:pt idx="31">
                  <c:v>41122</c:v>
                </c:pt>
                <c:pt idx="32">
                  <c:v>41153</c:v>
                </c:pt>
                <c:pt idx="33">
                  <c:v>41183</c:v>
                </c:pt>
                <c:pt idx="34">
                  <c:v>41214</c:v>
                </c:pt>
                <c:pt idx="35">
                  <c:v>41244</c:v>
                </c:pt>
                <c:pt idx="36">
                  <c:v>41275</c:v>
                </c:pt>
                <c:pt idx="37">
                  <c:v>41306</c:v>
                </c:pt>
                <c:pt idx="38">
                  <c:v>41334</c:v>
                </c:pt>
                <c:pt idx="39">
                  <c:v>41365</c:v>
                </c:pt>
                <c:pt idx="40">
                  <c:v>41395</c:v>
                </c:pt>
                <c:pt idx="41">
                  <c:v>41426</c:v>
                </c:pt>
                <c:pt idx="42">
                  <c:v>41456</c:v>
                </c:pt>
                <c:pt idx="43">
                  <c:v>41487</c:v>
                </c:pt>
                <c:pt idx="44">
                  <c:v>41518</c:v>
                </c:pt>
                <c:pt idx="45">
                  <c:v>41548</c:v>
                </c:pt>
                <c:pt idx="46">
                  <c:v>41579</c:v>
                </c:pt>
                <c:pt idx="47">
                  <c:v>41609</c:v>
                </c:pt>
                <c:pt idx="48">
                  <c:v>41640</c:v>
                </c:pt>
                <c:pt idx="49">
                  <c:v>41671</c:v>
                </c:pt>
                <c:pt idx="50">
                  <c:v>41699</c:v>
                </c:pt>
                <c:pt idx="51">
                  <c:v>41730</c:v>
                </c:pt>
                <c:pt idx="52">
                  <c:v>41760</c:v>
                </c:pt>
                <c:pt idx="53">
                  <c:v>41791</c:v>
                </c:pt>
                <c:pt idx="54">
                  <c:v>41821</c:v>
                </c:pt>
                <c:pt idx="55">
                  <c:v>41852</c:v>
                </c:pt>
                <c:pt idx="56">
                  <c:v>41883</c:v>
                </c:pt>
                <c:pt idx="57">
                  <c:v>41913</c:v>
                </c:pt>
                <c:pt idx="58">
                  <c:v>41944</c:v>
                </c:pt>
                <c:pt idx="59">
                  <c:v>41974</c:v>
                </c:pt>
                <c:pt idx="60">
                  <c:v>42005</c:v>
                </c:pt>
                <c:pt idx="61">
                  <c:v>42036</c:v>
                </c:pt>
                <c:pt idx="62">
                  <c:v>42064</c:v>
                </c:pt>
                <c:pt idx="63">
                  <c:v>42095</c:v>
                </c:pt>
              </c:numCache>
            </c:numRef>
          </c:cat>
          <c:val>
            <c:numRef>
              <c:f>'Input-TBA LS'!$U$4:$U$67</c:f>
              <c:numCache>
                <c:formatCode>General</c:formatCode>
                <c:ptCount val="64"/>
                <c:pt idx="0">
                  <c:v>169535996</c:v>
                </c:pt>
                <c:pt idx="1">
                  <c:v>161846381</c:v>
                </c:pt>
                <c:pt idx="2">
                  <c:v>50626909</c:v>
                </c:pt>
                <c:pt idx="3">
                  <c:v>245956078</c:v>
                </c:pt>
                <c:pt idx="4">
                  <c:v>340451671</c:v>
                </c:pt>
                <c:pt idx="5">
                  <c:v>143564480</c:v>
                </c:pt>
                <c:pt idx="6">
                  <c:v>481309246</c:v>
                </c:pt>
                <c:pt idx="7">
                  <c:v>706795312</c:v>
                </c:pt>
                <c:pt idx="8">
                  <c:v>1015749063</c:v>
                </c:pt>
                <c:pt idx="9">
                  <c:v>1345059250</c:v>
                </c:pt>
                <c:pt idx="10">
                  <c:v>1010009248</c:v>
                </c:pt>
                <c:pt idx="11">
                  <c:v>1684767935</c:v>
                </c:pt>
                <c:pt idx="12">
                  <c:v>322833781</c:v>
                </c:pt>
                <c:pt idx="13">
                  <c:v>1199506943</c:v>
                </c:pt>
                <c:pt idx="14">
                  <c:v>1154399548</c:v>
                </c:pt>
                <c:pt idx="15">
                  <c:v>623375110</c:v>
                </c:pt>
                <c:pt idx="16">
                  <c:v>729687773</c:v>
                </c:pt>
                <c:pt idx="17">
                  <c:v>977103582</c:v>
                </c:pt>
                <c:pt idx="18">
                  <c:v>615931446</c:v>
                </c:pt>
                <c:pt idx="19">
                  <c:v>700196687</c:v>
                </c:pt>
                <c:pt idx="20">
                  <c:v>1172583154</c:v>
                </c:pt>
                <c:pt idx="21">
                  <c:v>1053422473</c:v>
                </c:pt>
                <c:pt idx="22">
                  <c:v>883509763</c:v>
                </c:pt>
                <c:pt idx="23">
                  <c:v>927109718</c:v>
                </c:pt>
                <c:pt idx="24">
                  <c:v>895155203</c:v>
                </c:pt>
                <c:pt idx="25">
                  <c:v>1119679733</c:v>
                </c:pt>
                <c:pt idx="26">
                  <c:v>2071647847</c:v>
                </c:pt>
                <c:pt idx="27">
                  <c:v>1142559870</c:v>
                </c:pt>
                <c:pt idx="28">
                  <c:v>1739950443</c:v>
                </c:pt>
                <c:pt idx="29">
                  <c:v>1341442478</c:v>
                </c:pt>
                <c:pt idx="30">
                  <c:v>1676373437</c:v>
                </c:pt>
                <c:pt idx="31">
                  <c:v>1740229937</c:v>
                </c:pt>
                <c:pt idx="32">
                  <c:v>1747467554</c:v>
                </c:pt>
                <c:pt idx="33">
                  <c:v>885767358</c:v>
                </c:pt>
                <c:pt idx="34">
                  <c:v>1351050040</c:v>
                </c:pt>
                <c:pt idx="35">
                  <c:v>1378219207</c:v>
                </c:pt>
                <c:pt idx="36">
                  <c:v>1960322510</c:v>
                </c:pt>
                <c:pt idx="37">
                  <c:v>1424567527</c:v>
                </c:pt>
                <c:pt idx="38">
                  <c:v>1467961473</c:v>
                </c:pt>
                <c:pt idx="39">
                  <c:v>1543905672</c:v>
                </c:pt>
                <c:pt idx="40">
                  <c:v>2072685965</c:v>
                </c:pt>
                <c:pt idx="41">
                  <c:v>1781149410</c:v>
                </c:pt>
                <c:pt idx="42">
                  <c:v>1445312778</c:v>
                </c:pt>
                <c:pt idx="43">
                  <c:v>1246111687</c:v>
                </c:pt>
                <c:pt idx="44">
                  <c:v>1501130196</c:v>
                </c:pt>
                <c:pt idx="45">
                  <c:v>1456266951</c:v>
                </c:pt>
                <c:pt idx="46">
                  <c:v>1082707660</c:v>
                </c:pt>
                <c:pt idx="47">
                  <c:v>912715644</c:v>
                </c:pt>
                <c:pt idx="48">
                  <c:v>753233777</c:v>
                </c:pt>
                <c:pt idx="49">
                  <c:v>692698264</c:v>
                </c:pt>
                <c:pt idx="50">
                  <c:v>790379142</c:v>
                </c:pt>
                <c:pt idx="51">
                  <c:v>646472868</c:v>
                </c:pt>
                <c:pt idx="52">
                  <c:v>948228084</c:v>
                </c:pt>
                <c:pt idx="53">
                  <c:v>1098455565</c:v>
                </c:pt>
                <c:pt idx="54">
                  <c:v>1362312518</c:v>
                </c:pt>
                <c:pt idx="55">
                  <c:v>1177932387</c:v>
                </c:pt>
                <c:pt idx="56">
                  <c:v>1414370804</c:v>
                </c:pt>
                <c:pt idx="57">
                  <c:v>1266666906</c:v>
                </c:pt>
                <c:pt idx="58">
                  <c:v>1023640722</c:v>
                </c:pt>
                <c:pt idx="59">
                  <c:v>1010410896</c:v>
                </c:pt>
                <c:pt idx="60">
                  <c:v>925240314</c:v>
                </c:pt>
                <c:pt idx="61">
                  <c:v>1158064789</c:v>
                </c:pt>
                <c:pt idx="62">
                  <c:v>1132393996</c:v>
                </c:pt>
                <c:pt idx="63">
                  <c:v>431355535</c:v>
                </c:pt>
              </c:numCache>
            </c:numRef>
          </c:val>
        </c:ser>
        <c:ser>
          <c:idx val="2"/>
          <c:order val="5"/>
          <c:tx>
            <c:strRef>
              <c:f>'Input-TBA LS'!$T$3</c:f>
              <c:strCache>
                <c:ptCount val="1"/>
                <c:pt idx="0">
                  <c:v>Investor</c:v>
                </c:pt>
              </c:strCache>
            </c:strRef>
          </c:tx>
          <c:spPr>
            <a:solidFill>
              <a:srgbClr val="1B7A76"/>
            </a:solidFill>
          </c:spPr>
          <c:invertIfNegative val="0"/>
          <c:cat>
            <c:numRef>
              <c:f>'Input-TBA LS'!$Q$4:$Q$67</c:f>
              <c:numCache>
                <c:formatCode>m/d/yyyy</c:formatCode>
                <c:ptCount val="64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40360</c:v>
                </c:pt>
                <c:pt idx="7">
                  <c:v>40391</c:v>
                </c:pt>
                <c:pt idx="8">
                  <c:v>40422</c:v>
                </c:pt>
                <c:pt idx="9">
                  <c:v>40452</c:v>
                </c:pt>
                <c:pt idx="10">
                  <c:v>40483</c:v>
                </c:pt>
                <c:pt idx="11">
                  <c:v>40513</c:v>
                </c:pt>
                <c:pt idx="12">
                  <c:v>40544</c:v>
                </c:pt>
                <c:pt idx="13">
                  <c:v>40575</c:v>
                </c:pt>
                <c:pt idx="14">
                  <c:v>40603</c:v>
                </c:pt>
                <c:pt idx="15">
                  <c:v>40634</c:v>
                </c:pt>
                <c:pt idx="16">
                  <c:v>40664</c:v>
                </c:pt>
                <c:pt idx="17">
                  <c:v>40695</c:v>
                </c:pt>
                <c:pt idx="18">
                  <c:v>40725</c:v>
                </c:pt>
                <c:pt idx="19">
                  <c:v>40756</c:v>
                </c:pt>
                <c:pt idx="20">
                  <c:v>40787</c:v>
                </c:pt>
                <c:pt idx="21">
                  <c:v>40817</c:v>
                </c:pt>
                <c:pt idx="22">
                  <c:v>40848</c:v>
                </c:pt>
                <c:pt idx="23">
                  <c:v>40878</c:v>
                </c:pt>
                <c:pt idx="24">
                  <c:v>40909</c:v>
                </c:pt>
                <c:pt idx="25">
                  <c:v>40940</c:v>
                </c:pt>
                <c:pt idx="26">
                  <c:v>40969</c:v>
                </c:pt>
                <c:pt idx="27">
                  <c:v>41000</c:v>
                </c:pt>
                <c:pt idx="28">
                  <c:v>41030</c:v>
                </c:pt>
                <c:pt idx="29">
                  <c:v>41061</c:v>
                </c:pt>
                <c:pt idx="30">
                  <c:v>41091</c:v>
                </c:pt>
                <c:pt idx="31">
                  <c:v>41122</c:v>
                </c:pt>
                <c:pt idx="32">
                  <c:v>41153</c:v>
                </c:pt>
                <c:pt idx="33">
                  <c:v>41183</c:v>
                </c:pt>
                <c:pt idx="34">
                  <c:v>41214</c:v>
                </c:pt>
                <c:pt idx="35">
                  <c:v>41244</c:v>
                </c:pt>
                <c:pt idx="36">
                  <c:v>41275</c:v>
                </c:pt>
                <c:pt idx="37">
                  <c:v>41306</c:v>
                </c:pt>
                <c:pt idx="38">
                  <c:v>41334</c:v>
                </c:pt>
                <c:pt idx="39">
                  <c:v>41365</c:v>
                </c:pt>
                <c:pt idx="40">
                  <c:v>41395</c:v>
                </c:pt>
                <c:pt idx="41">
                  <c:v>41426</c:v>
                </c:pt>
                <c:pt idx="42">
                  <c:v>41456</c:v>
                </c:pt>
                <c:pt idx="43">
                  <c:v>41487</c:v>
                </c:pt>
                <c:pt idx="44">
                  <c:v>41518</c:v>
                </c:pt>
                <c:pt idx="45">
                  <c:v>41548</c:v>
                </c:pt>
                <c:pt idx="46">
                  <c:v>41579</c:v>
                </c:pt>
                <c:pt idx="47">
                  <c:v>41609</c:v>
                </c:pt>
                <c:pt idx="48">
                  <c:v>41640</c:v>
                </c:pt>
                <c:pt idx="49">
                  <c:v>41671</c:v>
                </c:pt>
                <c:pt idx="50">
                  <c:v>41699</c:v>
                </c:pt>
                <c:pt idx="51">
                  <c:v>41730</c:v>
                </c:pt>
                <c:pt idx="52">
                  <c:v>41760</c:v>
                </c:pt>
                <c:pt idx="53">
                  <c:v>41791</c:v>
                </c:pt>
                <c:pt idx="54">
                  <c:v>41821</c:v>
                </c:pt>
                <c:pt idx="55">
                  <c:v>41852</c:v>
                </c:pt>
                <c:pt idx="56">
                  <c:v>41883</c:v>
                </c:pt>
                <c:pt idx="57">
                  <c:v>41913</c:v>
                </c:pt>
                <c:pt idx="58">
                  <c:v>41944</c:v>
                </c:pt>
                <c:pt idx="59">
                  <c:v>41974</c:v>
                </c:pt>
                <c:pt idx="60">
                  <c:v>42005</c:v>
                </c:pt>
                <c:pt idx="61">
                  <c:v>42036</c:v>
                </c:pt>
                <c:pt idx="62">
                  <c:v>42064</c:v>
                </c:pt>
                <c:pt idx="63">
                  <c:v>42095</c:v>
                </c:pt>
              </c:numCache>
            </c:numRef>
          </c:cat>
          <c:val>
            <c:numRef>
              <c:f>'Input-TBA LS'!$T$4:$T$67</c:f>
              <c:numCache>
                <c:formatCode>General</c:formatCode>
                <c:ptCount val="64"/>
                <c:pt idx="0">
                  <c:v>570518848</c:v>
                </c:pt>
                <c:pt idx="1">
                  <c:v>420159382</c:v>
                </c:pt>
                <c:pt idx="2">
                  <c:v>523304286</c:v>
                </c:pt>
                <c:pt idx="3">
                  <c:v>646786714</c:v>
                </c:pt>
                <c:pt idx="4">
                  <c:v>878896429</c:v>
                </c:pt>
                <c:pt idx="5">
                  <c:v>674236460</c:v>
                </c:pt>
                <c:pt idx="6">
                  <c:v>645132298</c:v>
                </c:pt>
                <c:pt idx="7">
                  <c:v>589264392</c:v>
                </c:pt>
                <c:pt idx="8">
                  <c:v>856676323</c:v>
                </c:pt>
                <c:pt idx="9">
                  <c:v>1062405884</c:v>
                </c:pt>
                <c:pt idx="10">
                  <c:v>1055657547</c:v>
                </c:pt>
                <c:pt idx="11">
                  <c:v>1221699541</c:v>
                </c:pt>
                <c:pt idx="12">
                  <c:v>1046242428</c:v>
                </c:pt>
                <c:pt idx="13">
                  <c:v>1083809913</c:v>
                </c:pt>
                <c:pt idx="14">
                  <c:v>1178373166</c:v>
                </c:pt>
                <c:pt idx="15">
                  <c:v>1028063805</c:v>
                </c:pt>
                <c:pt idx="16">
                  <c:v>865363758</c:v>
                </c:pt>
                <c:pt idx="17">
                  <c:v>888524552</c:v>
                </c:pt>
                <c:pt idx="18">
                  <c:v>661753657</c:v>
                </c:pt>
                <c:pt idx="19">
                  <c:v>618316676</c:v>
                </c:pt>
                <c:pt idx="20">
                  <c:v>744658251</c:v>
                </c:pt>
                <c:pt idx="21">
                  <c:v>707129963</c:v>
                </c:pt>
                <c:pt idx="22">
                  <c:v>913700422</c:v>
                </c:pt>
                <c:pt idx="23">
                  <c:v>814006032</c:v>
                </c:pt>
                <c:pt idx="24">
                  <c:v>881297951</c:v>
                </c:pt>
                <c:pt idx="25">
                  <c:v>1070710499</c:v>
                </c:pt>
                <c:pt idx="26">
                  <c:v>1907637512</c:v>
                </c:pt>
                <c:pt idx="27">
                  <c:v>924196729</c:v>
                </c:pt>
                <c:pt idx="28">
                  <c:v>1284353878</c:v>
                </c:pt>
                <c:pt idx="29">
                  <c:v>1249456220</c:v>
                </c:pt>
                <c:pt idx="30">
                  <c:v>1368636075</c:v>
                </c:pt>
                <c:pt idx="31">
                  <c:v>1427196427</c:v>
                </c:pt>
                <c:pt idx="32">
                  <c:v>1334351132</c:v>
                </c:pt>
                <c:pt idx="33">
                  <c:v>467542200</c:v>
                </c:pt>
                <c:pt idx="34">
                  <c:v>2080610275</c:v>
                </c:pt>
                <c:pt idx="35">
                  <c:v>1077406635</c:v>
                </c:pt>
                <c:pt idx="36">
                  <c:v>1485427177</c:v>
                </c:pt>
                <c:pt idx="37">
                  <c:v>1331254497</c:v>
                </c:pt>
                <c:pt idx="38">
                  <c:v>1055385357</c:v>
                </c:pt>
                <c:pt idx="39">
                  <c:v>1291214195</c:v>
                </c:pt>
                <c:pt idx="40">
                  <c:v>759951414</c:v>
                </c:pt>
                <c:pt idx="41">
                  <c:v>952742573</c:v>
                </c:pt>
                <c:pt idx="42">
                  <c:v>744523722</c:v>
                </c:pt>
                <c:pt idx="43">
                  <c:v>765859354</c:v>
                </c:pt>
                <c:pt idx="44">
                  <c:v>606944301</c:v>
                </c:pt>
                <c:pt idx="45">
                  <c:v>542776506</c:v>
                </c:pt>
                <c:pt idx="46">
                  <c:v>538507910</c:v>
                </c:pt>
                <c:pt idx="47">
                  <c:v>202710742</c:v>
                </c:pt>
                <c:pt idx="48">
                  <c:v>149971420</c:v>
                </c:pt>
                <c:pt idx="49">
                  <c:v>366698500</c:v>
                </c:pt>
                <c:pt idx="50">
                  <c:v>310202041</c:v>
                </c:pt>
                <c:pt idx="51">
                  <c:v>120692903</c:v>
                </c:pt>
                <c:pt idx="52">
                  <c:v>138342395</c:v>
                </c:pt>
                <c:pt idx="53">
                  <c:v>179699486</c:v>
                </c:pt>
                <c:pt idx="54">
                  <c:v>257151893</c:v>
                </c:pt>
                <c:pt idx="55">
                  <c:v>289485869</c:v>
                </c:pt>
                <c:pt idx="56">
                  <c:v>119562446</c:v>
                </c:pt>
                <c:pt idx="57">
                  <c:v>276556307</c:v>
                </c:pt>
                <c:pt idx="58">
                  <c:v>151604932</c:v>
                </c:pt>
                <c:pt idx="59">
                  <c:v>523016982</c:v>
                </c:pt>
                <c:pt idx="60">
                  <c:v>116714969</c:v>
                </c:pt>
                <c:pt idx="61">
                  <c:v>100420654</c:v>
                </c:pt>
                <c:pt idx="62">
                  <c:v>34611971</c:v>
                </c:pt>
                <c:pt idx="63">
                  <c:v>24804913</c:v>
                </c:pt>
              </c:numCache>
            </c:numRef>
          </c:val>
        </c:ser>
        <c:ser>
          <c:idx val="1"/>
          <c:order val="6"/>
          <c:tx>
            <c:strRef>
              <c:f>'Input-TBA LS'!$S$3</c:f>
              <c:strCache>
                <c:ptCount val="1"/>
                <c:pt idx="0">
                  <c:v>MHA</c:v>
                </c:pt>
              </c:strCache>
            </c:strRef>
          </c:tx>
          <c:spPr>
            <a:solidFill>
              <a:srgbClr val="AD275C"/>
            </a:solidFill>
          </c:spPr>
          <c:invertIfNegative val="0"/>
          <c:cat>
            <c:numRef>
              <c:f>'Input-TBA LS'!$Q$4:$Q$67</c:f>
              <c:numCache>
                <c:formatCode>m/d/yyyy</c:formatCode>
                <c:ptCount val="64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40360</c:v>
                </c:pt>
                <c:pt idx="7">
                  <c:v>40391</c:v>
                </c:pt>
                <c:pt idx="8">
                  <c:v>40422</c:v>
                </c:pt>
                <c:pt idx="9">
                  <c:v>40452</c:v>
                </c:pt>
                <c:pt idx="10">
                  <c:v>40483</c:v>
                </c:pt>
                <c:pt idx="11">
                  <c:v>40513</c:v>
                </c:pt>
                <c:pt idx="12">
                  <c:v>40544</c:v>
                </c:pt>
                <c:pt idx="13">
                  <c:v>40575</c:v>
                </c:pt>
                <c:pt idx="14">
                  <c:v>40603</c:v>
                </c:pt>
                <c:pt idx="15">
                  <c:v>40634</c:v>
                </c:pt>
                <c:pt idx="16">
                  <c:v>40664</c:v>
                </c:pt>
                <c:pt idx="17">
                  <c:v>40695</c:v>
                </c:pt>
                <c:pt idx="18">
                  <c:v>40725</c:v>
                </c:pt>
                <c:pt idx="19">
                  <c:v>40756</c:v>
                </c:pt>
                <c:pt idx="20">
                  <c:v>40787</c:v>
                </c:pt>
                <c:pt idx="21">
                  <c:v>40817</c:v>
                </c:pt>
                <c:pt idx="22">
                  <c:v>40848</c:v>
                </c:pt>
                <c:pt idx="23">
                  <c:v>40878</c:v>
                </c:pt>
                <c:pt idx="24">
                  <c:v>40909</c:v>
                </c:pt>
                <c:pt idx="25">
                  <c:v>40940</c:v>
                </c:pt>
                <c:pt idx="26">
                  <c:v>40969</c:v>
                </c:pt>
                <c:pt idx="27">
                  <c:v>41000</c:v>
                </c:pt>
                <c:pt idx="28">
                  <c:v>41030</c:v>
                </c:pt>
                <c:pt idx="29">
                  <c:v>41061</c:v>
                </c:pt>
                <c:pt idx="30">
                  <c:v>41091</c:v>
                </c:pt>
                <c:pt idx="31">
                  <c:v>41122</c:v>
                </c:pt>
                <c:pt idx="32">
                  <c:v>41153</c:v>
                </c:pt>
                <c:pt idx="33">
                  <c:v>41183</c:v>
                </c:pt>
                <c:pt idx="34">
                  <c:v>41214</c:v>
                </c:pt>
                <c:pt idx="35">
                  <c:v>41244</c:v>
                </c:pt>
                <c:pt idx="36">
                  <c:v>41275</c:v>
                </c:pt>
                <c:pt idx="37">
                  <c:v>41306</c:v>
                </c:pt>
                <c:pt idx="38">
                  <c:v>41334</c:v>
                </c:pt>
                <c:pt idx="39">
                  <c:v>41365</c:v>
                </c:pt>
                <c:pt idx="40">
                  <c:v>41395</c:v>
                </c:pt>
                <c:pt idx="41">
                  <c:v>41426</c:v>
                </c:pt>
                <c:pt idx="42">
                  <c:v>41456</c:v>
                </c:pt>
                <c:pt idx="43">
                  <c:v>41487</c:v>
                </c:pt>
                <c:pt idx="44">
                  <c:v>41518</c:v>
                </c:pt>
                <c:pt idx="45">
                  <c:v>41548</c:v>
                </c:pt>
                <c:pt idx="46">
                  <c:v>41579</c:v>
                </c:pt>
                <c:pt idx="47">
                  <c:v>41609</c:v>
                </c:pt>
                <c:pt idx="48">
                  <c:v>41640</c:v>
                </c:pt>
                <c:pt idx="49">
                  <c:v>41671</c:v>
                </c:pt>
                <c:pt idx="50">
                  <c:v>41699</c:v>
                </c:pt>
                <c:pt idx="51">
                  <c:v>41730</c:v>
                </c:pt>
                <c:pt idx="52">
                  <c:v>41760</c:v>
                </c:pt>
                <c:pt idx="53">
                  <c:v>41791</c:v>
                </c:pt>
                <c:pt idx="54">
                  <c:v>41821</c:v>
                </c:pt>
                <c:pt idx="55">
                  <c:v>41852</c:v>
                </c:pt>
                <c:pt idx="56">
                  <c:v>41883</c:v>
                </c:pt>
                <c:pt idx="57">
                  <c:v>41913</c:v>
                </c:pt>
                <c:pt idx="58">
                  <c:v>41944</c:v>
                </c:pt>
                <c:pt idx="59">
                  <c:v>41974</c:v>
                </c:pt>
                <c:pt idx="60">
                  <c:v>42005</c:v>
                </c:pt>
                <c:pt idx="61">
                  <c:v>42036</c:v>
                </c:pt>
                <c:pt idx="62">
                  <c:v>42064</c:v>
                </c:pt>
                <c:pt idx="63">
                  <c:v>42095</c:v>
                </c:pt>
              </c:numCache>
            </c:numRef>
          </c:cat>
          <c:val>
            <c:numRef>
              <c:f>'Input-TBA LS'!$S$4:$S$67</c:f>
              <c:numCache>
                <c:formatCode>General</c:formatCode>
                <c:ptCount val="64"/>
                <c:pt idx="0">
                  <c:v>43988975</c:v>
                </c:pt>
                <c:pt idx="1">
                  <c:v>38886021</c:v>
                </c:pt>
                <c:pt idx="2">
                  <c:v>36557898</c:v>
                </c:pt>
                <c:pt idx="3">
                  <c:v>34433071</c:v>
                </c:pt>
                <c:pt idx="4">
                  <c:v>6008573</c:v>
                </c:pt>
                <c:pt idx="5">
                  <c:v>9331120</c:v>
                </c:pt>
                <c:pt idx="6">
                  <c:v>4193196</c:v>
                </c:pt>
                <c:pt idx="7">
                  <c:v>17557679</c:v>
                </c:pt>
                <c:pt idx="8">
                  <c:v>1392289312</c:v>
                </c:pt>
                <c:pt idx="9">
                  <c:v>1858405398</c:v>
                </c:pt>
                <c:pt idx="10">
                  <c:v>1853939539</c:v>
                </c:pt>
                <c:pt idx="11">
                  <c:v>1772179506</c:v>
                </c:pt>
                <c:pt idx="12">
                  <c:v>1443648463</c:v>
                </c:pt>
                <c:pt idx="13">
                  <c:v>1464783621</c:v>
                </c:pt>
                <c:pt idx="14">
                  <c:v>1323749778</c:v>
                </c:pt>
                <c:pt idx="15">
                  <c:v>1194947665</c:v>
                </c:pt>
                <c:pt idx="16">
                  <c:v>1021482111</c:v>
                </c:pt>
                <c:pt idx="17">
                  <c:v>1250601934</c:v>
                </c:pt>
                <c:pt idx="18">
                  <c:v>1233481435</c:v>
                </c:pt>
                <c:pt idx="19">
                  <c:v>1409668759</c:v>
                </c:pt>
                <c:pt idx="20">
                  <c:v>1373391430</c:v>
                </c:pt>
                <c:pt idx="21">
                  <c:v>1371675072</c:v>
                </c:pt>
                <c:pt idx="22">
                  <c:v>2069110953</c:v>
                </c:pt>
                <c:pt idx="23">
                  <c:v>1545506017</c:v>
                </c:pt>
                <c:pt idx="24">
                  <c:v>2618325359</c:v>
                </c:pt>
                <c:pt idx="25">
                  <c:v>2549140693</c:v>
                </c:pt>
                <c:pt idx="26">
                  <c:v>4280168236</c:v>
                </c:pt>
                <c:pt idx="27">
                  <c:v>2344147071</c:v>
                </c:pt>
                <c:pt idx="28">
                  <c:v>3652827367</c:v>
                </c:pt>
                <c:pt idx="29">
                  <c:v>3645341345</c:v>
                </c:pt>
                <c:pt idx="30">
                  <c:v>3672143704</c:v>
                </c:pt>
                <c:pt idx="31">
                  <c:v>4005623745</c:v>
                </c:pt>
                <c:pt idx="32">
                  <c:v>3794875709</c:v>
                </c:pt>
                <c:pt idx="33">
                  <c:v>2866599095</c:v>
                </c:pt>
                <c:pt idx="34">
                  <c:v>4430765694</c:v>
                </c:pt>
                <c:pt idx="35">
                  <c:v>2825123329</c:v>
                </c:pt>
                <c:pt idx="36">
                  <c:v>3545408567</c:v>
                </c:pt>
                <c:pt idx="37">
                  <c:v>2993187224</c:v>
                </c:pt>
                <c:pt idx="38">
                  <c:v>2633670399</c:v>
                </c:pt>
                <c:pt idx="39">
                  <c:v>2852112763</c:v>
                </c:pt>
                <c:pt idx="40">
                  <c:v>2055564409</c:v>
                </c:pt>
                <c:pt idx="41">
                  <c:v>1943388196</c:v>
                </c:pt>
                <c:pt idx="42">
                  <c:v>1289489011</c:v>
                </c:pt>
                <c:pt idx="43">
                  <c:v>1100083337</c:v>
                </c:pt>
                <c:pt idx="44">
                  <c:v>870671088</c:v>
                </c:pt>
                <c:pt idx="45">
                  <c:v>612902147</c:v>
                </c:pt>
                <c:pt idx="46">
                  <c:v>461441626</c:v>
                </c:pt>
                <c:pt idx="47">
                  <c:v>391322877</c:v>
                </c:pt>
                <c:pt idx="48">
                  <c:v>416855275</c:v>
                </c:pt>
                <c:pt idx="49">
                  <c:v>241808690</c:v>
                </c:pt>
                <c:pt idx="50">
                  <c:v>170464932</c:v>
                </c:pt>
                <c:pt idx="51">
                  <c:v>113376698</c:v>
                </c:pt>
                <c:pt idx="52">
                  <c:v>129006135</c:v>
                </c:pt>
                <c:pt idx="53">
                  <c:v>154253949</c:v>
                </c:pt>
                <c:pt idx="54">
                  <c:v>165894730</c:v>
                </c:pt>
                <c:pt idx="55">
                  <c:v>139663674</c:v>
                </c:pt>
                <c:pt idx="56">
                  <c:v>178036037</c:v>
                </c:pt>
                <c:pt idx="57">
                  <c:v>191321043</c:v>
                </c:pt>
                <c:pt idx="58">
                  <c:v>146483603</c:v>
                </c:pt>
                <c:pt idx="59">
                  <c:v>156006867</c:v>
                </c:pt>
                <c:pt idx="60">
                  <c:v>101114385</c:v>
                </c:pt>
                <c:pt idx="61">
                  <c:v>88755102</c:v>
                </c:pt>
                <c:pt idx="62">
                  <c:v>126620545</c:v>
                </c:pt>
                <c:pt idx="63">
                  <c:v>69645492</c:v>
                </c:pt>
              </c:numCache>
            </c:numRef>
          </c:val>
        </c:ser>
        <c:ser>
          <c:idx val="0"/>
          <c:order val="7"/>
          <c:tx>
            <c:strRef>
              <c:f>'Input-TBA LS'!$R$3</c:f>
              <c:strCache>
                <c:ptCount val="1"/>
                <c:pt idx="0">
                  <c:v>LowFICO</c:v>
                </c:pt>
              </c:strCache>
            </c:strRef>
          </c:tx>
          <c:spPr>
            <a:solidFill>
              <a:srgbClr val="2E398A"/>
            </a:solidFill>
          </c:spPr>
          <c:invertIfNegative val="0"/>
          <c:cat>
            <c:numRef>
              <c:f>'Input-TBA LS'!$Q$4:$Q$67</c:f>
              <c:numCache>
                <c:formatCode>m/d/yyyy</c:formatCode>
                <c:ptCount val="64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40360</c:v>
                </c:pt>
                <c:pt idx="7">
                  <c:v>40391</c:v>
                </c:pt>
                <c:pt idx="8">
                  <c:v>40422</c:v>
                </c:pt>
                <c:pt idx="9">
                  <c:v>40452</c:v>
                </c:pt>
                <c:pt idx="10">
                  <c:v>40483</c:v>
                </c:pt>
                <c:pt idx="11">
                  <c:v>40513</c:v>
                </c:pt>
                <c:pt idx="12">
                  <c:v>40544</c:v>
                </c:pt>
                <c:pt idx="13">
                  <c:v>40575</c:v>
                </c:pt>
                <c:pt idx="14">
                  <c:v>40603</c:v>
                </c:pt>
                <c:pt idx="15">
                  <c:v>40634</c:v>
                </c:pt>
                <c:pt idx="16">
                  <c:v>40664</c:v>
                </c:pt>
                <c:pt idx="17">
                  <c:v>40695</c:v>
                </c:pt>
                <c:pt idx="18">
                  <c:v>40725</c:v>
                </c:pt>
                <c:pt idx="19">
                  <c:v>40756</c:v>
                </c:pt>
                <c:pt idx="20">
                  <c:v>40787</c:v>
                </c:pt>
                <c:pt idx="21">
                  <c:v>40817</c:v>
                </c:pt>
                <c:pt idx="22">
                  <c:v>40848</c:v>
                </c:pt>
                <c:pt idx="23">
                  <c:v>40878</c:v>
                </c:pt>
                <c:pt idx="24">
                  <c:v>40909</c:v>
                </c:pt>
                <c:pt idx="25">
                  <c:v>40940</c:v>
                </c:pt>
                <c:pt idx="26">
                  <c:v>40969</c:v>
                </c:pt>
                <c:pt idx="27">
                  <c:v>41000</c:v>
                </c:pt>
                <c:pt idx="28">
                  <c:v>41030</c:v>
                </c:pt>
                <c:pt idx="29">
                  <c:v>41061</c:v>
                </c:pt>
                <c:pt idx="30">
                  <c:v>41091</c:v>
                </c:pt>
                <c:pt idx="31">
                  <c:v>41122</c:v>
                </c:pt>
                <c:pt idx="32">
                  <c:v>41153</c:v>
                </c:pt>
                <c:pt idx="33">
                  <c:v>41183</c:v>
                </c:pt>
                <c:pt idx="34">
                  <c:v>41214</c:v>
                </c:pt>
                <c:pt idx="35">
                  <c:v>41244</c:v>
                </c:pt>
                <c:pt idx="36">
                  <c:v>41275</c:v>
                </c:pt>
                <c:pt idx="37">
                  <c:v>41306</c:v>
                </c:pt>
                <c:pt idx="38">
                  <c:v>41334</c:v>
                </c:pt>
                <c:pt idx="39">
                  <c:v>41365</c:v>
                </c:pt>
                <c:pt idx="40">
                  <c:v>41395</c:v>
                </c:pt>
                <c:pt idx="41">
                  <c:v>41426</c:v>
                </c:pt>
                <c:pt idx="42">
                  <c:v>41456</c:v>
                </c:pt>
                <c:pt idx="43">
                  <c:v>41487</c:v>
                </c:pt>
                <c:pt idx="44">
                  <c:v>41518</c:v>
                </c:pt>
                <c:pt idx="45">
                  <c:v>41548</c:v>
                </c:pt>
                <c:pt idx="46">
                  <c:v>41579</c:v>
                </c:pt>
                <c:pt idx="47">
                  <c:v>41609</c:v>
                </c:pt>
                <c:pt idx="48">
                  <c:v>41640</c:v>
                </c:pt>
                <c:pt idx="49">
                  <c:v>41671</c:v>
                </c:pt>
                <c:pt idx="50">
                  <c:v>41699</c:v>
                </c:pt>
                <c:pt idx="51">
                  <c:v>41730</c:v>
                </c:pt>
                <c:pt idx="52">
                  <c:v>41760</c:v>
                </c:pt>
                <c:pt idx="53">
                  <c:v>41791</c:v>
                </c:pt>
                <c:pt idx="54">
                  <c:v>41821</c:v>
                </c:pt>
                <c:pt idx="55">
                  <c:v>41852</c:v>
                </c:pt>
                <c:pt idx="56">
                  <c:v>41883</c:v>
                </c:pt>
                <c:pt idx="57">
                  <c:v>41913</c:v>
                </c:pt>
                <c:pt idx="58">
                  <c:v>41944</c:v>
                </c:pt>
                <c:pt idx="59">
                  <c:v>41974</c:v>
                </c:pt>
                <c:pt idx="60">
                  <c:v>42005</c:v>
                </c:pt>
                <c:pt idx="61">
                  <c:v>42036</c:v>
                </c:pt>
                <c:pt idx="62">
                  <c:v>42064</c:v>
                </c:pt>
                <c:pt idx="63">
                  <c:v>42095</c:v>
                </c:pt>
              </c:numCache>
            </c:numRef>
          </c:cat>
          <c:val>
            <c:numRef>
              <c:f>'Input-TBA LS'!$R$4:$R$67</c:f>
              <c:numCache>
                <c:formatCode>General</c:formatCode>
                <c:ptCount val="64"/>
                <c:pt idx="0">
                  <c:v>119399158</c:v>
                </c:pt>
                <c:pt idx="1">
                  <c:v>26179775</c:v>
                </c:pt>
                <c:pt idx="2">
                  <c:v>106256227</c:v>
                </c:pt>
                <c:pt idx="3">
                  <c:v>167598113</c:v>
                </c:pt>
                <c:pt idx="4">
                  <c:v>204284829</c:v>
                </c:pt>
                <c:pt idx="5">
                  <c:v>28244320</c:v>
                </c:pt>
                <c:pt idx="6">
                  <c:v>20941144</c:v>
                </c:pt>
                <c:pt idx="7">
                  <c:v>108449929</c:v>
                </c:pt>
                <c:pt idx="8">
                  <c:v>388369694</c:v>
                </c:pt>
                <c:pt idx="9">
                  <c:v>362554018</c:v>
                </c:pt>
                <c:pt idx="10">
                  <c:v>295484717</c:v>
                </c:pt>
                <c:pt idx="11">
                  <c:v>443445215</c:v>
                </c:pt>
                <c:pt idx="12">
                  <c:v>323106997</c:v>
                </c:pt>
                <c:pt idx="13">
                  <c:v>273557809</c:v>
                </c:pt>
                <c:pt idx="14">
                  <c:v>581436059</c:v>
                </c:pt>
                <c:pt idx="15">
                  <c:v>523138257</c:v>
                </c:pt>
                <c:pt idx="16">
                  <c:v>363321355</c:v>
                </c:pt>
                <c:pt idx="17">
                  <c:v>670947560</c:v>
                </c:pt>
                <c:pt idx="18">
                  <c:v>544504441</c:v>
                </c:pt>
                <c:pt idx="19">
                  <c:v>597220400</c:v>
                </c:pt>
                <c:pt idx="20">
                  <c:v>1142247145</c:v>
                </c:pt>
                <c:pt idx="21">
                  <c:v>904649967</c:v>
                </c:pt>
                <c:pt idx="22">
                  <c:v>746449328</c:v>
                </c:pt>
                <c:pt idx="23">
                  <c:v>630958608</c:v>
                </c:pt>
                <c:pt idx="24">
                  <c:v>1199227914</c:v>
                </c:pt>
                <c:pt idx="25">
                  <c:v>858544665</c:v>
                </c:pt>
                <c:pt idx="26">
                  <c:v>1316407997</c:v>
                </c:pt>
                <c:pt idx="27">
                  <c:v>619429599</c:v>
                </c:pt>
                <c:pt idx="28">
                  <c:v>1030015691</c:v>
                </c:pt>
                <c:pt idx="29">
                  <c:v>1023641491</c:v>
                </c:pt>
                <c:pt idx="30">
                  <c:v>1486802071</c:v>
                </c:pt>
                <c:pt idx="31">
                  <c:v>1507652848</c:v>
                </c:pt>
                <c:pt idx="32">
                  <c:v>1363121051</c:v>
                </c:pt>
                <c:pt idx="33">
                  <c:v>741027528</c:v>
                </c:pt>
                <c:pt idx="34">
                  <c:v>1745418744</c:v>
                </c:pt>
                <c:pt idx="35">
                  <c:v>779099080</c:v>
                </c:pt>
                <c:pt idx="36">
                  <c:v>1631971933</c:v>
                </c:pt>
                <c:pt idx="37">
                  <c:v>1473941813</c:v>
                </c:pt>
                <c:pt idx="38">
                  <c:v>1157795498</c:v>
                </c:pt>
                <c:pt idx="39">
                  <c:v>1492444337</c:v>
                </c:pt>
                <c:pt idx="40">
                  <c:v>1148597953</c:v>
                </c:pt>
                <c:pt idx="41">
                  <c:v>1334786513</c:v>
                </c:pt>
                <c:pt idx="42">
                  <c:v>1136852477</c:v>
                </c:pt>
                <c:pt idx="43">
                  <c:v>1693674201</c:v>
                </c:pt>
                <c:pt idx="44">
                  <c:v>1340563412</c:v>
                </c:pt>
                <c:pt idx="45">
                  <c:v>1306448482</c:v>
                </c:pt>
                <c:pt idx="46">
                  <c:v>1123781504</c:v>
                </c:pt>
                <c:pt idx="47">
                  <c:v>978325690</c:v>
                </c:pt>
                <c:pt idx="48">
                  <c:v>572432177</c:v>
                </c:pt>
                <c:pt idx="49">
                  <c:v>946386040</c:v>
                </c:pt>
                <c:pt idx="50">
                  <c:v>897364263</c:v>
                </c:pt>
                <c:pt idx="51">
                  <c:v>1001427874</c:v>
                </c:pt>
                <c:pt idx="52">
                  <c:v>1092791433</c:v>
                </c:pt>
                <c:pt idx="53">
                  <c:v>1270617090</c:v>
                </c:pt>
                <c:pt idx="54">
                  <c:v>1750904626</c:v>
                </c:pt>
                <c:pt idx="55">
                  <c:v>1440447783</c:v>
                </c:pt>
                <c:pt idx="56">
                  <c:v>1381851236</c:v>
                </c:pt>
                <c:pt idx="57">
                  <c:v>1806383113</c:v>
                </c:pt>
                <c:pt idx="58">
                  <c:v>631309303</c:v>
                </c:pt>
                <c:pt idx="59">
                  <c:v>1487383145</c:v>
                </c:pt>
                <c:pt idx="60">
                  <c:v>1351487033</c:v>
                </c:pt>
                <c:pt idx="61">
                  <c:v>1869668083</c:v>
                </c:pt>
                <c:pt idx="62">
                  <c:v>1271901242</c:v>
                </c:pt>
                <c:pt idx="63">
                  <c:v>460921734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953408"/>
        <c:axId val="365954944"/>
      </c:barChart>
      <c:catAx>
        <c:axId val="3659534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5954944"/>
        <c:crosses val="autoZero"/>
        <c:auto val="1"/>
        <c:lblAlgn val="ctr"/>
        <c:lblOffset val="100"/>
        <c:tickLblSkip val="2"/>
        <c:noMultiLvlLbl val="0"/>
      </c:catAx>
      <c:valAx>
        <c:axId val="365954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Billions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65953408"/>
        <c:crosses val="autoZero"/>
        <c:crossBetween val="between"/>
        <c:dispUnits>
          <c:builtInUnit val="billions"/>
        </c:dispUnits>
      </c:valAx>
      <c:spPr>
        <a:ln>
          <a:solidFill>
            <a:schemeClr val="tx1"/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'Input-Non TBA'!$E$3</c:f>
              <c:strCache>
                <c:ptCount val="1"/>
                <c:pt idx="0">
                  <c:v>issueAmount</c:v>
                </c:pt>
              </c:strCache>
            </c:strRef>
          </c:tx>
          <c:invertIfNegative val="0"/>
          <c:cat>
            <c:numRef>
              <c:f>'Input-Non TBA'!$C$4:$C$67</c:f>
              <c:numCache>
                <c:formatCode>m/d/yyyy</c:formatCode>
                <c:ptCount val="64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40360</c:v>
                </c:pt>
                <c:pt idx="7">
                  <c:v>40391</c:v>
                </c:pt>
                <c:pt idx="8">
                  <c:v>40422</c:v>
                </c:pt>
                <c:pt idx="9">
                  <c:v>40452</c:v>
                </c:pt>
                <c:pt idx="10">
                  <c:v>40483</c:v>
                </c:pt>
                <c:pt idx="11">
                  <c:v>40513</c:v>
                </c:pt>
                <c:pt idx="12">
                  <c:v>40544</c:v>
                </c:pt>
                <c:pt idx="13">
                  <c:v>40575</c:v>
                </c:pt>
                <c:pt idx="14">
                  <c:v>40603</c:v>
                </c:pt>
                <c:pt idx="15">
                  <c:v>40634</c:v>
                </c:pt>
                <c:pt idx="16">
                  <c:v>40664</c:v>
                </c:pt>
                <c:pt idx="17">
                  <c:v>40695</c:v>
                </c:pt>
                <c:pt idx="18">
                  <c:v>40725</c:v>
                </c:pt>
                <c:pt idx="19">
                  <c:v>40756</c:v>
                </c:pt>
                <c:pt idx="20">
                  <c:v>40787</c:v>
                </c:pt>
                <c:pt idx="21">
                  <c:v>40817</c:v>
                </c:pt>
                <c:pt idx="22">
                  <c:v>40848</c:v>
                </c:pt>
                <c:pt idx="23">
                  <c:v>40878</c:v>
                </c:pt>
                <c:pt idx="24">
                  <c:v>40909</c:v>
                </c:pt>
                <c:pt idx="25">
                  <c:v>40940</c:v>
                </c:pt>
                <c:pt idx="26">
                  <c:v>40969</c:v>
                </c:pt>
                <c:pt idx="27">
                  <c:v>41000</c:v>
                </c:pt>
                <c:pt idx="28">
                  <c:v>41030</c:v>
                </c:pt>
                <c:pt idx="29">
                  <c:v>41061</c:v>
                </c:pt>
                <c:pt idx="30">
                  <c:v>41091</c:v>
                </c:pt>
                <c:pt idx="31">
                  <c:v>41122</c:v>
                </c:pt>
                <c:pt idx="32">
                  <c:v>41153</c:v>
                </c:pt>
                <c:pt idx="33">
                  <c:v>41183</c:v>
                </c:pt>
                <c:pt idx="34">
                  <c:v>41214</c:v>
                </c:pt>
                <c:pt idx="35">
                  <c:v>41244</c:v>
                </c:pt>
                <c:pt idx="36">
                  <c:v>41275</c:v>
                </c:pt>
                <c:pt idx="37">
                  <c:v>41306</c:v>
                </c:pt>
                <c:pt idx="38">
                  <c:v>41334</c:v>
                </c:pt>
                <c:pt idx="39">
                  <c:v>41365</c:v>
                </c:pt>
                <c:pt idx="40">
                  <c:v>41395</c:v>
                </c:pt>
                <c:pt idx="41">
                  <c:v>41426</c:v>
                </c:pt>
                <c:pt idx="42">
                  <c:v>41456</c:v>
                </c:pt>
                <c:pt idx="43">
                  <c:v>41487</c:v>
                </c:pt>
                <c:pt idx="44">
                  <c:v>41518</c:v>
                </c:pt>
                <c:pt idx="45">
                  <c:v>41548</c:v>
                </c:pt>
                <c:pt idx="46">
                  <c:v>41579</c:v>
                </c:pt>
                <c:pt idx="47">
                  <c:v>41609</c:v>
                </c:pt>
                <c:pt idx="48">
                  <c:v>41640</c:v>
                </c:pt>
                <c:pt idx="49">
                  <c:v>41671</c:v>
                </c:pt>
                <c:pt idx="50">
                  <c:v>41699</c:v>
                </c:pt>
                <c:pt idx="51">
                  <c:v>41730</c:v>
                </c:pt>
                <c:pt idx="52">
                  <c:v>41760</c:v>
                </c:pt>
                <c:pt idx="53">
                  <c:v>41791</c:v>
                </c:pt>
                <c:pt idx="54">
                  <c:v>41821</c:v>
                </c:pt>
                <c:pt idx="55">
                  <c:v>41852</c:v>
                </c:pt>
                <c:pt idx="56">
                  <c:v>41883</c:v>
                </c:pt>
                <c:pt idx="57">
                  <c:v>41913</c:v>
                </c:pt>
                <c:pt idx="58">
                  <c:v>41944</c:v>
                </c:pt>
                <c:pt idx="59">
                  <c:v>41974</c:v>
                </c:pt>
                <c:pt idx="60">
                  <c:v>42005</c:v>
                </c:pt>
                <c:pt idx="61">
                  <c:v>42036</c:v>
                </c:pt>
                <c:pt idx="62">
                  <c:v>42064</c:v>
                </c:pt>
                <c:pt idx="63">
                  <c:v>42095</c:v>
                </c:pt>
              </c:numCache>
            </c:numRef>
          </c:cat>
          <c:val>
            <c:numRef>
              <c:f>'Input-Non TBA'!$E$4:$E$67</c:f>
              <c:numCache>
                <c:formatCode>General</c:formatCode>
                <c:ptCount val="64"/>
                <c:pt idx="0">
                  <c:v>2634350684</c:v>
                </c:pt>
                <c:pt idx="1">
                  <c:v>2597549841</c:v>
                </c:pt>
                <c:pt idx="2">
                  <c:v>2808514374</c:v>
                </c:pt>
                <c:pt idx="3">
                  <c:v>1861900761</c:v>
                </c:pt>
                <c:pt idx="4">
                  <c:v>2084611821</c:v>
                </c:pt>
                <c:pt idx="5">
                  <c:v>1669648250</c:v>
                </c:pt>
                <c:pt idx="6">
                  <c:v>3407481735</c:v>
                </c:pt>
                <c:pt idx="7">
                  <c:v>3347514541</c:v>
                </c:pt>
                <c:pt idx="8">
                  <c:v>4534053251</c:v>
                </c:pt>
                <c:pt idx="9">
                  <c:v>4710788842</c:v>
                </c:pt>
                <c:pt idx="10">
                  <c:v>4435127896</c:v>
                </c:pt>
                <c:pt idx="11">
                  <c:v>5168634747</c:v>
                </c:pt>
                <c:pt idx="12">
                  <c:v>4772517239</c:v>
                </c:pt>
                <c:pt idx="13">
                  <c:v>3322794637</c:v>
                </c:pt>
                <c:pt idx="14">
                  <c:v>2879069981</c:v>
                </c:pt>
                <c:pt idx="15">
                  <c:v>1365959263</c:v>
                </c:pt>
                <c:pt idx="16">
                  <c:v>1679348065</c:v>
                </c:pt>
                <c:pt idx="17">
                  <c:v>1470720552</c:v>
                </c:pt>
                <c:pt idx="18">
                  <c:v>1755684824</c:v>
                </c:pt>
                <c:pt idx="19">
                  <c:v>2242690757</c:v>
                </c:pt>
                <c:pt idx="20">
                  <c:v>4005917312</c:v>
                </c:pt>
                <c:pt idx="21">
                  <c:v>4409005394</c:v>
                </c:pt>
                <c:pt idx="22">
                  <c:v>4642886367</c:v>
                </c:pt>
                <c:pt idx="23">
                  <c:v>2231440428</c:v>
                </c:pt>
                <c:pt idx="24">
                  <c:v>1557100159</c:v>
                </c:pt>
                <c:pt idx="25">
                  <c:v>1459805763</c:v>
                </c:pt>
                <c:pt idx="26">
                  <c:v>2893315869</c:v>
                </c:pt>
                <c:pt idx="27">
                  <c:v>853289366</c:v>
                </c:pt>
                <c:pt idx="28">
                  <c:v>1671001392</c:v>
                </c:pt>
                <c:pt idx="29">
                  <c:v>1932118315</c:v>
                </c:pt>
                <c:pt idx="30">
                  <c:v>2752296610</c:v>
                </c:pt>
                <c:pt idx="31">
                  <c:v>3126742934</c:v>
                </c:pt>
                <c:pt idx="32">
                  <c:v>3245152246</c:v>
                </c:pt>
                <c:pt idx="33">
                  <c:v>2054054786</c:v>
                </c:pt>
                <c:pt idx="34">
                  <c:v>3993010447</c:v>
                </c:pt>
                <c:pt idx="35">
                  <c:v>1214802344</c:v>
                </c:pt>
                <c:pt idx="36">
                  <c:v>3321638962</c:v>
                </c:pt>
                <c:pt idx="37">
                  <c:v>1888075582</c:v>
                </c:pt>
                <c:pt idx="38">
                  <c:v>2116389422</c:v>
                </c:pt>
                <c:pt idx="39">
                  <c:v>2271806082</c:v>
                </c:pt>
                <c:pt idx="40">
                  <c:v>2019206225</c:v>
                </c:pt>
                <c:pt idx="41">
                  <c:v>2418493907</c:v>
                </c:pt>
                <c:pt idx="42">
                  <c:v>1885265938</c:v>
                </c:pt>
                <c:pt idx="43">
                  <c:v>1634700327</c:v>
                </c:pt>
                <c:pt idx="44">
                  <c:v>971826383</c:v>
                </c:pt>
                <c:pt idx="45">
                  <c:v>841860222</c:v>
                </c:pt>
                <c:pt idx="46">
                  <c:v>773960857</c:v>
                </c:pt>
                <c:pt idx="47">
                  <c:v>647887853</c:v>
                </c:pt>
                <c:pt idx="48">
                  <c:v>392754952</c:v>
                </c:pt>
                <c:pt idx="49">
                  <c:v>362334810</c:v>
                </c:pt>
                <c:pt idx="50">
                  <c:v>230227055</c:v>
                </c:pt>
                <c:pt idx="51">
                  <c:v>278280577</c:v>
                </c:pt>
                <c:pt idx="52">
                  <c:v>337688908</c:v>
                </c:pt>
                <c:pt idx="53">
                  <c:v>319731336</c:v>
                </c:pt>
                <c:pt idx="54">
                  <c:v>562390222</c:v>
                </c:pt>
                <c:pt idx="55">
                  <c:v>449797295</c:v>
                </c:pt>
                <c:pt idx="56">
                  <c:v>746264105</c:v>
                </c:pt>
                <c:pt idx="57">
                  <c:v>639001193</c:v>
                </c:pt>
                <c:pt idx="58">
                  <c:v>549347202</c:v>
                </c:pt>
                <c:pt idx="59">
                  <c:v>771028754</c:v>
                </c:pt>
                <c:pt idx="60">
                  <c:v>667434711</c:v>
                </c:pt>
                <c:pt idx="61">
                  <c:v>821128260</c:v>
                </c:pt>
                <c:pt idx="62">
                  <c:v>1012026911</c:v>
                </c:pt>
                <c:pt idx="63">
                  <c:v>321522890</c:v>
                </c:pt>
              </c:numCache>
            </c:numRef>
          </c:val>
        </c:ser>
        <c:ser>
          <c:idx val="1"/>
          <c:order val="1"/>
          <c:tx>
            <c:strRef>
              <c:f>'Input-Non TBA'!$F$3</c:f>
              <c:strCache>
                <c:ptCount val="1"/>
                <c:pt idx="0">
                  <c:v>CQ</c:v>
                </c:pt>
              </c:strCache>
            </c:strRef>
          </c:tx>
          <c:invertIfNegative val="0"/>
          <c:cat>
            <c:numRef>
              <c:f>'Input-Non TBA'!$C$4:$C$67</c:f>
              <c:numCache>
                <c:formatCode>m/d/yyyy</c:formatCode>
                <c:ptCount val="64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40360</c:v>
                </c:pt>
                <c:pt idx="7">
                  <c:v>40391</c:v>
                </c:pt>
                <c:pt idx="8">
                  <c:v>40422</c:v>
                </c:pt>
                <c:pt idx="9">
                  <c:v>40452</c:v>
                </c:pt>
                <c:pt idx="10">
                  <c:v>40483</c:v>
                </c:pt>
                <c:pt idx="11">
                  <c:v>40513</c:v>
                </c:pt>
                <c:pt idx="12">
                  <c:v>40544</c:v>
                </c:pt>
                <c:pt idx="13">
                  <c:v>40575</c:v>
                </c:pt>
                <c:pt idx="14">
                  <c:v>40603</c:v>
                </c:pt>
                <c:pt idx="15">
                  <c:v>40634</c:v>
                </c:pt>
                <c:pt idx="16">
                  <c:v>40664</c:v>
                </c:pt>
                <c:pt idx="17">
                  <c:v>40695</c:v>
                </c:pt>
                <c:pt idx="18">
                  <c:v>40725</c:v>
                </c:pt>
                <c:pt idx="19">
                  <c:v>40756</c:v>
                </c:pt>
                <c:pt idx="20">
                  <c:v>40787</c:v>
                </c:pt>
                <c:pt idx="21">
                  <c:v>40817</c:v>
                </c:pt>
                <c:pt idx="22">
                  <c:v>40848</c:v>
                </c:pt>
                <c:pt idx="23">
                  <c:v>40878</c:v>
                </c:pt>
                <c:pt idx="24">
                  <c:v>40909</c:v>
                </c:pt>
                <c:pt idx="25">
                  <c:v>40940</c:v>
                </c:pt>
                <c:pt idx="26">
                  <c:v>40969</c:v>
                </c:pt>
                <c:pt idx="27">
                  <c:v>41000</c:v>
                </c:pt>
                <c:pt idx="28">
                  <c:v>41030</c:v>
                </c:pt>
                <c:pt idx="29">
                  <c:v>41061</c:v>
                </c:pt>
                <c:pt idx="30">
                  <c:v>41091</c:v>
                </c:pt>
                <c:pt idx="31">
                  <c:v>41122</c:v>
                </c:pt>
                <c:pt idx="32">
                  <c:v>41153</c:v>
                </c:pt>
                <c:pt idx="33">
                  <c:v>41183</c:v>
                </c:pt>
                <c:pt idx="34">
                  <c:v>41214</c:v>
                </c:pt>
                <c:pt idx="35">
                  <c:v>41244</c:v>
                </c:pt>
                <c:pt idx="36">
                  <c:v>41275</c:v>
                </c:pt>
                <c:pt idx="37">
                  <c:v>41306</c:v>
                </c:pt>
                <c:pt idx="38">
                  <c:v>41334</c:v>
                </c:pt>
                <c:pt idx="39">
                  <c:v>41365</c:v>
                </c:pt>
                <c:pt idx="40">
                  <c:v>41395</c:v>
                </c:pt>
                <c:pt idx="41">
                  <c:v>41426</c:v>
                </c:pt>
                <c:pt idx="42">
                  <c:v>41456</c:v>
                </c:pt>
                <c:pt idx="43">
                  <c:v>41487</c:v>
                </c:pt>
                <c:pt idx="44">
                  <c:v>41518</c:v>
                </c:pt>
                <c:pt idx="45">
                  <c:v>41548</c:v>
                </c:pt>
                <c:pt idx="46">
                  <c:v>41579</c:v>
                </c:pt>
                <c:pt idx="47">
                  <c:v>41609</c:v>
                </c:pt>
                <c:pt idx="48">
                  <c:v>41640</c:v>
                </c:pt>
                <c:pt idx="49">
                  <c:v>41671</c:v>
                </c:pt>
                <c:pt idx="50">
                  <c:v>41699</c:v>
                </c:pt>
                <c:pt idx="51">
                  <c:v>41730</c:v>
                </c:pt>
                <c:pt idx="52">
                  <c:v>41760</c:v>
                </c:pt>
                <c:pt idx="53">
                  <c:v>41791</c:v>
                </c:pt>
                <c:pt idx="54">
                  <c:v>41821</c:v>
                </c:pt>
                <c:pt idx="55">
                  <c:v>41852</c:v>
                </c:pt>
                <c:pt idx="56">
                  <c:v>41883</c:v>
                </c:pt>
                <c:pt idx="57">
                  <c:v>41913</c:v>
                </c:pt>
                <c:pt idx="58">
                  <c:v>41944</c:v>
                </c:pt>
                <c:pt idx="59">
                  <c:v>41974</c:v>
                </c:pt>
                <c:pt idx="60">
                  <c:v>42005</c:v>
                </c:pt>
                <c:pt idx="61">
                  <c:v>42036</c:v>
                </c:pt>
                <c:pt idx="62">
                  <c:v>42064</c:v>
                </c:pt>
                <c:pt idx="63">
                  <c:v>42095</c:v>
                </c:pt>
              </c:numCache>
            </c:numRef>
          </c:cat>
          <c:val>
            <c:numRef>
              <c:f>'Input-Non TBA'!$F$4:$F$67</c:f>
              <c:numCache>
                <c:formatCode>General</c:formatCode>
                <c:ptCount val="64"/>
                <c:pt idx="0">
                  <c:v>172690172</c:v>
                </c:pt>
                <c:pt idx="1">
                  <c:v>191438050</c:v>
                </c:pt>
                <c:pt idx="2">
                  <c:v>214765657</c:v>
                </c:pt>
                <c:pt idx="3">
                  <c:v>276239169</c:v>
                </c:pt>
                <c:pt idx="4">
                  <c:v>515525281</c:v>
                </c:pt>
                <c:pt idx="5">
                  <c:v>268918822</c:v>
                </c:pt>
                <c:pt idx="6">
                  <c:v>208691302</c:v>
                </c:pt>
                <c:pt idx="7">
                  <c:v>355715456</c:v>
                </c:pt>
                <c:pt idx="8">
                  <c:v>352412504</c:v>
                </c:pt>
                <c:pt idx="9">
                  <c:v>319947067</c:v>
                </c:pt>
                <c:pt idx="10">
                  <c:v>369679660</c:v>
                </c:pt>
                <c:pt idx="11">
                  <c:v>504226385</c:v>
                </c:pt>
                <c:pt idx="12">
                  <c:v>481880967</c:v>
                </c:pt>
                <c:pt idx="13">
                  <c:v>511593118</c:v>
                </c:pt>
                <c:pt idx="14">
                  <c:v>618688301</c:v>
                </c:pt>
                <c:pt idx="15">
                  <c:v>668998347</c:v>
                </c:pt>
                <c:pt idx="16">
                  <c:v>436513565</c:v>
                </c:pt>
                <c:pt idx="17">
                  <c:v>714756687</c:v>
                </c:pt>
                <c:pt idx="18">
                  <c:v>450007317</c:v>
                </c:pt>
                <c:pt idx="19">
                  <c:v>544964112</c:v>
                </c:pt>
                <c:pt idx="20">
                  <c:v>632560564</c:v>
                </c:pt>
                <c:pt idx="21">
                  <c:v>575215946</c:v>
                </c:pt>
                <c:pt idx="22">
                  <c:v>570846520</c:v>
                </c:pt>
                <c:pt idx="23">
                  <c:v>363856997</c:v>
                </c:pt>
                <c:pt idx="24">
                  <c:v>964656975</c:v>
                </c:pt>
                <c:pt idx="25">
                  <c:v>935368647</c:v>
                </c:pt>
                <c:pt idx="26">
                  <c:v>1830004532</c:v>
                </c:pt>
                <c:pt idx="27">
                  <c:v>1283593895</c:v>
                </c:pt>
                <c:pt idx="28">
                  <c:v>2238872332</c:v>
                </c:pt>
                <c:pt idx="29">
                  <c:v>2674159779</c:v>
                </c:pt>
                <c:pt idx="30">
                  <c:v>2691500965</c:v>
                </c:pt>
                <c:pt idx="31">
                  <c:v>2705488507</c:v>
                </c:pt>
                <c:pt idx="32">
                  <c:v>2507345171</c:v>
                </c:pt>
                <c:pt idx="33">
                  <c:v>1886237333</c:v>
                </c:pt>
                <c:pt idx="34">
                  <c:v>3089976460</c:v>
                </c:pt>
                <c:pt idx="35">
                  <c:v>1925814668</c:v>
                </c:pt>
                <c:pt idx="36">
                  <c:v>2387371027</c:v>
                </c:pt>
                <c:pt idx="37">
                  <c:v>2217599892</c:v>
                </c:pt>
                <c:pt idx="38">
                  <c:v>2074956858</c:v>
                </c:pt>
                <c:pt idx="39">
                  <c:v>2243146531</c:v>
                </c:pt>
                <c:pt idx="40">
                  <c:v>1541931533</c:v>
                </c:pt>
                <c:pt idx="41">
                  <c:v>1758314749</c:v>
                </c:pt>
                <c:pt idx="42">
                  <c:v>1616623154</c:v>
                </c:pt>
                <c:pt idx="43">
                  <c:v>1373502996</c:v>
                </c:pt>
                <c:pt idx="44">
                  <c:v>960260689</c:v>
                </c:pt>
                <c:pt idx="45">
                  <c:v>817694911</c:v>
                </c:pt>
                <c:pt idx="46">
                  <c:v>650781591</c:v>
                </c:pt>
                <c:pt idx="47">
                  <c:v>755691585</c:v>
                </c:pt>
                <c:pt idx="48">
                  <c:v>438784911</c:v>
                </c:pt>
                <c:pt idx="49">
                  <c:v>399641559</c:v>
                </c:pt>
                <c:pt idx="50">
                  <c:v>313566996</c:v>
                </c:pt>
                <c:pt idx="51">
                  <c:v>255206728</c:v>
                </c:pt>
                <c:pt idx="52">
                  <c:v>186037636</c:v>
                </c:pt>
                <c:pt idx="53">
                  <c:v>244291451</c:v>
                </c:pt>
                <c:pt idx="54">
                  <c:v>206481264</c:v>
                </c:pt>
                <c:pt idx="55">
                  <c:v>346554888</c:v>
                </c:pt>
                <c:pt idx="56">
                  <c:v>187308272</c:v>
                </c:pt>
                <c:pt idx="57">
                  <c:v>169366238</c:v>
                </c:pt>
                <c:pt idx="58">
                  <c:v>371096000</c:v>
                </c:pt>
                <c:pt idx="59">
                  <c:v>145992266</c:v>
                </c:pt>
                <c:pt idx="60">
                  <c:v>120675652</c:v>
                </c:pt>
                <c:pt idx="61">
                  <c:v>469334257</c:v>
                </c:pt>
                <c:pt idx="62">
                  <c:v>104946942</c:v>
                </c:pt>
                <c:pt idx="63">
                  <c:v>129441155</c:v>
                </c:pt>
              </c:numCache>
            </c:numRef>
          </c:val>
        </c:ser>
        <c:ser>
          <c:idx val="2"/>
          <c:order val="2"/>
          <c:tx>
            <c:strRef>
              <c:f>'Input-Non TBA'!$G$3</c:f>
              <c:strCache>
                <c:ptCount val="1"/>
                <c:pt idx="0">
                  <c:v>CR</c:v>
                </c:pt>
              </c:strCache>
            </c:strRef>
          </c:tx>
          <c:invertIfNegative val="0"/>
          <c:cat>
            <c:numRef>
              <c:f>'Input-Non TBA'!$C$4:$C$67</c:f>
              <c:numCache>
                <c:formatCode>m/d/yyyy</c:formatCode>
                <c:ptCount val="64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40360</c:v>
                </c:pt>
                <c:pt idx="7">
                  <c:v>40391</c:v>
                </c:pt>
                <c:pt idx="8">
                  <c:v>40422</c:v>
                </c:pt>
                <c:pt idx="9">
                  <c:v>40452</c:v>
                </c:pt>
                <c:pt idx="10">
                  <c:v>40483</c:v>
                </c:pt>
                <c:pt idx="11">
                  <c:v>40513</c:v>
                </c:pt>
                <c:pt idx="12">
                  <c:v>40544</c:v>
                </c:pt>
                <c:pt idx="13">
                  <c:v>40575</c:v>
                </c:pt>
                <c:pt idx="14">
                  <c:v>40603</c:v>
                </c:pt>
                <c:pt idx="15">
                  <c:v>40634</c:v>
                </c:pt>
                <c:pt idx="16">
                  <c:v>40664</c:v>
                </c:pt>
                <c:pt idx="17">
                  <c:v>40695</c:v>
                </c:pt>
                <c:pt idx="18">
                  <c:v>40725</c:v>
                </c:pt>
                <c:pt idx="19">
                  <c:v>40756</c:v>
                </c:pt>
                <c:pt idx="20">
                  <c:v>40787</c:v>
                </c:pt>
                <c:pt idx="21">
                  <c:v>40817</c:v>
                </c:pt>
                <c:pt idx="22">
                  <c:v>40848</c:v>
                </c:pt>
                <c:pt idx="23">
                  <c:v>40878</c:v>
                </c:pt>
                <c:pt idx="24">
                  <c:v>40909</c:v>
                </c:pt>
                <c:pt idx="25">
                  <c:v>40940</c:v>
                </c:pt>
                <c:pt idx="26">
                  <c:v>40969</c:v>
                </c:pt>
                <c:pt idx="27">
                  <c:v>41000</c:v>
                </c:pt>
                <c:pt idx="28">
                  <c:v>41030</c:v>
                </c:pt>
                <c:pt idx="29">
                  <c:v>41061</c:v>
                </c:pt>
                <c:pt idx="30">
                  <c:v>41091</c:v>
                </c:pt>
                <c:pt idx="31">
                  <c:v>41122</c:v>
                </c:pt>
                <c:pt idx="32">
                  <c:v>41153</c:v>
                </c:pt>
                <c:pt idx="33">
                  <c:v>41183</c:v>
                </c:pt>
                <c:pt idx="34">
                  <c:v>41214</c:v>
                </c:pt>
                <c:pt idx="35">
                  <c:v>41244</c:v>
                </c:pt>
                <c:pt idx="36">
                  <c:v>41275</c:v>
                </c:pt>
                <c:pt idx="37">
                  <c:v>41306</c:v>
                </c:pt>
                <c:pt idx="38">
                  <c:v>41334</c:v>
                </c:pt>
                <c:pt idx="39">
                  <c:v>41365</c:v>
                </c:pt>
                <c:pt idx="40">
                  <c:v>41395</c:v>
                </c:pt>
                <c:pt idx="41">
                  <c:v>41426</c:v>
                </c:pt>
                <c:pt idx="42">
                  <c:v>41456</c:v>
                </c:pt>
                <c:pt idx="43">
                  <c:v>41487</c:v>
                </c:pt>
                <c:pt idx="44">
                  <c:v>41518</c:v>
                </c:pt>
                <c:pt idx="45">
                  <c:v>41548</c:v>
                </c:pt>
                <c:pt idx="46">
                  <c:v>41579</c:v>
                </c:pt>
                <c:pt idx="47">
                  <c:v>41609</c:v>
                </c:pt>
                <c:pt idx="48">
                  <c:v>41640</c:v>
                </c:pt>
                <c:pt idx="49">
                  <c:v>41671</c:v>
                </c:pt>
                <c:pt idx="50">
                  <c:v>41699</c:v>
                </c:pt>
                <c:pt idx="51">
                  <c:v>41730</c:v>
                </c:pt>
                <c:pt idx="52">
                  <c:v>41760</c:v>
                </c:pt>
                <c:pt idx="53">
                  <c:v>41791</c:v>
                </c:pt>
                <c:pt idx="54">
                  <c:v>41821</c:v>
                </c:pt>
                <c:pt idx="55">
                  <c:v>41852</c:v>
                </c:pt>
                <c:pt idx="56">
                  <c:v>41883</c:v>
                </c:pt>
                <c:pt idx="57">
                  <c:v>41913</c:v>
                </c:pt>
                <c:pt idx="58">
                  <c:v>41944</c:v>
                </c:pt>
                <c:pt idx="59">
                  <c:v>41974</c:v>
                </c:pt>
                <c:pt idx="60">
                  <c:v>42005</c:v>
                </c:pt>
                <c:pt idx="61">
                  <c:v>42036</c:v>
                </c:pt>
                <c:pt idx="62">
                  <c:v>42064</c:v>
                </c:pt>
                <c:pt idx="63">
                  <c:v>42095</c:v>
                </c:pt>
              </c:numCache>
            </c:numRef>
          </c:cat>
          <c:val>
            <c:numRef>
              <c:f>'Input-Non TBA'!$G$4:$G$67</c:f>
              <c:numCache>
                <c:formatCode>General</c:formatCode>
                <c:ptCount val="6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5627164641</c:v>
                </c:pt>
                <c:pt idx="30">
                  <c:v>3713048773</c:v>
                </c:pt>
                <c:pt idx="31">
                  <c:v>3482283708</c:v>
                </c:pt>
                <c:pt idx="32">
                  <c:v>3393761631</c:v>
                </c:pt>
                <c:pt idx="33">
                  <c:v>2591936940</c:v>
                </c:pt>
                <c:pt idx="34">
                  <c:v>3531096335</c:v>
                </c:pt>
                <c:pt idx="35">
                  <c:v>2237392773</c:v>
                </c:pt>
                <c:pt idx="36">
                  <c:v>3299880097</c:v>
                </c:pt>
                <c:pt idx="37">
                  <c:v>2808516054</c:v>
                </c:pt>
                <c:pt idx="38">
                  <c:v>2186380753</c:v>
                </c:pt>
                <c:pt idx="39">
                  <c:v>2498076581</c:v>
                </c:pt>
                <c:pt idx="40">
                  <c:v>1858786075</c:v>
                </c:pt>
                <c:pt idx="41">
                  <c:v>1553402361</c:v>
                </c:pt>
                <c:pt idx="42">
                  <c:v>1434823555</c:v>
                </c:pt>
                <c:pt idx="43">
                  <c:v>1187325480</c:v>
                </c:pt>
                <c:pt idx="44">
                  <c:v>743460848</c:v>
                </c:pt>
                <c:pt idx="45">
                  <c:v>615254685</c:v>
                </c:pt>
                <c:pt idx="46">
                  <c:v>887067278</c:v>
                </c:pt>
                <c:pt idx="47">
                  <c:v>857597466</c:v>
                </c:pt>
                <c:pt idx="48">
                  <c:v>663943847</c:v>
                </c:pt>
                <c:pt idx="49">
                  <c:v>261049913</c:v>
                </c:pt>
                <c:pt idx="50">
                  <c:v>214559704</c:v>
                </c:pt>
                <c:pt idx="51">
                  <c:v>294932105</c:v>
                </c:pt>
                <c:pt idx="52">
                  <c:v>110770261</c:v>
                </c:pt>
                <c:pt idx="53">
                  <c:v>275221137</c:v>
                </c:pt>
                <c:pt idx="54">
                  <c:v>174927834</c:v>
                </c:pt>
                <c:pt idx="55">
                  <c:v>330911502</c:v>
                </c:pt>
                <c:pt idx="56">
                  <c:v>120745416</c:v>
                </c:pt>
                <c:pt idx="57">
                  <c:v>385881834</c:v>
                </c:pt>
                <c:pt idx="58">
                  <c:v>230866169</c:v>
                </c:pt>
                <c:pt idx="59">
                  <c:v>1261524465</c:v>
                </c:pt>
                <c:pt idx="60">
                  <c:v>143096287</c:v>
                </c:pt>
                <c:pt idx="61">
                  <c:v>127311006</c:v>
                </c:pt>
                <c:pt idx="62">
                  <c:v>155150153</c:v>
                </c:pt>
                <c:pt idx="63">
                  <c:v>106931031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4796800"/>
        <c:axId val="414802688"/>
      </c:barChart>
      <c:dateAx>
        <c:axId val="414796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14802688"/>
        <c:crosses val="autoZero"/>
        <c:auto val="1"/>
        <c:lblOffset val="100"/>
        <c:baseTimeUnit val="months"/>
      </c:dateAx>
      <c:valAx>
        <c:axId val="414802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47968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6"/>
          <c:order val="0"/>
          <c:tx>
            <c:strRef>
              <c:f>'Input-TBA LS'!$X$3</c:f>
              <c:strCache>
                <c:ptCount val="1"/>
                <c:pt idx="0">
                  <c:v>LLB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40909</c:v>
                </c:pt>
                <c:pt idx="1">
                  <c:v>40940</c:v>
                </c:pt>
                <c:pt idx="2">
                  <c:v>40969</c:v>
                </c:pt>
                <c:pt idx="3">
                  <c:v>41000</c:v>
                </c:pt>
                <c:pt idx="4">
                  <c:v>41030</c:v>
                </c:pt>
                <c:pt idx="5">
                  <c:v>41061</c:v>
                </c:pt>
                <c:pt idx="6">
                  <c:v>41091</c:v>
                </c:pt>
                <c:pt idx="7">
                  <c:v>41122</c:v>
                </c:pt>
                <c:pt idx="8">
                  <c:v>41153</c:v>
                </c:pt>
                <c:pt idx="9">
                  <c:v>41183</c:v>
                </c:pt>
                <c:pt idx="10">
                  <c:v>41214</c:v>
                </c:pt>
                <c:pt idx="11">
                  <c:v>41244</c:v>
                </c:pt>
              </c:numCache>
            </c:numRef>
          </c:cat>
          <c:val>
            <c:numRef>
              <c:f>'Input-TBA LS'!$X$28:$X$39</c:f>
              <c:numCache>
                <c:formatCode>General</c:formatCode>
                <c:ptCount val="12"/>
                <c:pt idx="0">
                  <c:v>646001264</c:v>
                </c:pt>
                <c:pt idx="1">
                  <c:v>856472475</c:v>
                </c:pt>
                <c:pt idx="2">
                  <c:v>1094708047</c:v>
                </c:pt>
                <c:pt idx="3">
                  <c:v>638284668</c:v>
                </c:pt>
                <c:pt idx="4">
                  <c:v>965308651</c:v>
                </c:pt>
                <c:pt idx="5">
                  <c:v>869933090</c:v>
                </c:pt>
                <c:pt idx="6">
                  <c:v>916631007</c:v>
                </c:pt>
                <c:pt idx="7">
                  <c:v>938861711</c:v>
                </c:pt>
                <c:pt idx="8">
                  <c:v>866473910</c:v>
                </c:pt>
                <c:pt idx="9">
                  <c:v>674003513</c:v>
                </c:pt>
                <c:pt idx="10">
                  <c:v>1360862416</c:v>
                </c:pt>
                <c:pt idx="11">
                  <c:v>763603729</c:v>
                </c:pt>
              </c:numCache>
            </c:numRef>
          </c:val>
        </c:ser>
        <c:ser>
          <c:idx val="5"/>
          <c:order val="1"/>
          <c:tx>
            <c:strRef>
              <c:f>'Input-TBA LS'!$W$3</c:f>
              <c:strCache>
                <c:ptCount val="1"/>
                <c:pt idx="0">
                  <c:v>MLB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40909</c:v>
                </c:pt>
                <c:pt idx="1">
                  <c:v>40940</c:v>
                </c:pt>
                <c:pt idx="2">
                  <c:v>40969</c:v>
                </c:pt>
                <c:pt idx="3">
                  <c:v>41000</c:v>
                </c:pt>
                <c:pt idx="4">
                  <c:v>41030</c:v>
                </c:pt>
                <c:pt idx="5">
                  <c:v>41061</c:v>
                </c:pt>
                <c:pt idx="6">
                  <c:v>41091</c:v>
                </c:pt>
                <c:pt idx="7">
                  <c:v>41122</c:v>
                </c:pt>
                <c:pt idx="8">
                  <c:v>41153</c:v>
                </c:pt>
                <c:pt idx="9">
                  <c:v>41183</c:v>
                </c:pt>
                <c:pt idx="10">
                  <c:v>41214</c:v>
                </c:pt>
                <c:pt idx="11">
                  <c:v>41244</c:v>
                </c:pt>
              </c:numCache>
            </c:numRef>
          </c:cat>
          <c:val>
            <c:numRef>
              <c:f>'Input-TBA LS'!$W$28:$W$39</c:f>
              <c:numCache>
                <c:formatCode>General</c:formatCode>
                <c:ptCount val="12"/>
                <c:pt idx="0">
                  <c:v>1022202205</c:v>
                </c:pt>
                <c:pt idx="1">
                  <c:v>1284539858</c:v>
                </c:pt>
                <c:pt idx="2">
                  <c:v>1735119323</c:v>
                </c:pt>
                <c:pt idx="3">
                  <c:v>987980929</c:v>
                </c:pt>
                <c:pt idx="4">
                  <c:v>1484383778</c:v>
                </c:pt>
                <c:pt idx="5">
                  <c:v>1316392694</c:v>
                </c:pt>
                <c:pt idx="6">
                  <c:v>1391950040</c:v>
                </c:pt>
                <c:pt idx="7">
                  <c:v>1332804528</c:v>
                </c:pt>
                <c:pt idx="8">
                  <c:v>1412162830</c:v>
                </c:pt>
                <c:pt idx="9">
                  <c:v>1074934170</c:v>
                </c:pt>
                <c:pt idx="10">
                  <c:v>2092345448</c:v>
                </c:pt>
                <c:pt idx="11">
                  <c:v>1221012156</c:v>
                </c:pt>
              </c:numCache>
            </c:numRef>
          </c:val>
        </c:ser>
        <c:ser>
          <c:idx val="4"/>
          <c:order val="2"/>
          <c:tx>
            <c:strRef>
              <c:f>'Input-TBA LS'!$V$3</c:f>
              <c:strCache>
                <c:ptCount val="1"/>
                <c:pt idx="0">
                  <c:v>HLB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40909</c:v>
                </c:pt>
                <c:pt idx="1">
                  <c:v>40940</c:v>
                </c:pt>
                <c:pt idx="2">
                  <c:v>40969</c:v>
                </c:pt>
                <c:pt idx="3">
                  <c:v>41000</c:v>
                </c:pt>
                <c:pt idx="4">
                  <c:v>41030</c:v>
                </c:pt>
                <c:pt idx="5">
                  <c:v>41061</c:v>
                </c:pt>
                <c:pt idx="6">
                  <c:v>41091</c:v>
                </c:pt>
                <c:pt idx="7">
                  <c:v>41122</c:v>
                </c:pt>
                <c:pt idx="8">
                  <c:v>41153</c:v>
                </c:pt>
                <c:pt idx="9">
                  <c:v>41183</c:v>
                </c:pt>
                <c:pt idx="10">
                  <c:v>41214</c:v>
                </c:pt>
                <c:pt idx="11">
                  <c:v>41244</c:v>
                </c:pt>
              </c:numCache>
            </c:numRef>
          </c:cat>
          <c:val>
            <c:numRef>
              <c:f>'Input-TBA LS'!$V$28:$V$39</c:f>
              <c:numCache>
                <c:formatCode>General</c:formatCode>
                <c:ptCount val="12"/>
                <c:pt idx="0">
                  <c:v>2301286099</c:v>
                </c:pt>
                <c:pt idx="1">
                  <c:v>2674571746</c:v>
                </c:pt>
                <c:pt idx="2">
                  <c:v>3841087144</c:v>
                </c:pt>
                <c:pt idx="3">
                  <c:v>2181147527</c:v>
                </c:pt>
                <c:pt idx="4">
                  <c:v>3139002806</c:v>
                </c:pt>
                <c:pt idx="5">
                  <c:v>2589334638</c:v>
                </c:pt>
                <c:pt idx="6">
                  <c:v>3037145756</c:v>
                </c:pt>
                <c:pt idx="7">
                  <c:v>2800881284</c:v>
                </c:pt>
                <c:pt idx="8">
                  <c:v>3094496393</c:v>
                </c:pt>
                <c:pt idx="9">
                  <c:v>1750544385</c:v>
                </c:pt>
                <c:pt idx="10">
                  <c:v>3750861223</c:v>
                </c:pt>
                <c:pt idx="11">
                  <c:v>2422434894</c:v>
                </c:pt>
              </c:numCache>
            </c:numRef>
          </c:val>
        </c:ser>
        <c:ser>
          <c:idx val="3"/>
          <c:order val="3"/>
          <c:tx>
            <c:strRef>
              <c:f>'Input-TBA LS'!$U$3</c:f>
              <c:strCache>
                <c:ptCount val="1"/>
                <c:pt idx="0">
                  <c:v>175K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40909</c:v>
                </c:pt>
                <c:pt idx="1">
                  <c:v>40940</c:v>
                </c:pt>
                <c:pt idx="2">
                  <c:v>40969</c:v>
                </c:pt>
                <c:pt idx="3">
                  <c:v>41000</c:v>
                </c:pt>
                <c:pt idx="4">
                  <c:v>41030</c:v>
                </c:pt>
                <c:pt idx="5">
                  <c:v>41061</c:v>
                </c:pt>
                <c:pt idx="6">
                  <c:v>41091</c:v>
                </c:pt>
                <c:pt idx="7">
                  <c:v>41122</c:v>
                </c:pt>
                <c:pt idx="8">
                  <c:v>41153</c:v>
                </c:pt>
                <c:pt idx="9">
                  <c:v>41183</c:v>
                </c:pt>
                <c:pt idx="10">
                  <c:v>41214</c:v>
                </c:pt>
                <c:pt idx="11">
                  <c:v>41244</c:v>
                </c:pt>
              </c:numCache>
            </c:numRef>
          </c:cat>
          <c:val>
            <c:numRef>
              <c:f>'Input-TBA LS'!$U$28:$U$39</c:f>
              <c:numCache>
                <c:formatCode>General</c:formatCode>
                <c:ptCount val="12"/>
                <c:pt idx="0">
                  <c:v>895155203</c:v>
                </c:pt>
                <c:pt idx="1">
                  <c:v>1119679733</c:v>
                </c:pt>
                <c:pt idx="2">
                  <c:v>2071647847</c:v>
                </c:pt>
                <c:pt idx="3">
                  <c:v>1142559870</c:v>
                </c:pt>
                <c:pt idx="4">
                  <c:v>1739950443</c:v>
                </c:pt>
                <c:pt idx="5">
                  <c:v>1341442478</c:v>
                </c:pt>
                <c:pt idx="6">
                  <c:v>1676373437</c:v>
                </c:pt>
                <c:pt idx="7">
                  <c:v>1740229937</c:v>
                </c:pt>
                <c:pt idx="8">
                  <c:v>1747467554</c:v>
                </c:pt>
                <c:pt idx="9">
                  <c:v>885767358</c:v>
                </c:pt>
                <c:pt idx="10">
                  <c:v>1351050040</c:v>
                </c:pt>
                <c:pt idx="11">
                  <c:v>1378219207</c:v>
                </c:pt>
              </c:numCache>
            </c:numRef>
          </c:val>
        </c:ser>
        <c:ser>
          <c:idx val="2"/>
          <c:order val="4"/>
          <c:tx>
            <c:strRef>
              <c:f>'Input-TBA LS'!$T$3</c:f>
              <c:strCache>
                <c:ptCount val="1"/>
                <c:pt idx="0">
                  <c:v>Investor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40909</c:v>
                </c:pt>
                <c:pt idx="1">
                  <c:v>40940</c:v>
                </c:pt>
                <c:pt idx="2">
                  <c:v>40969</c:v>
                </c:pt>
                <c:pt idx="3">
                  <c:v>41000</c:v>
                </c:pt>
                <c:pt idx="4">
                  <c:v>41030</c:v>
                </c:pt>
                <c:pt idx="5">
                  <c:v>41061</c:v>
                </c:pt>
                <c:pt idx="6">
                  <c:v>41091</c:v>
                </c:pt>
                <c:pt idx="7">
                  <c:v>41122</c:v>
                </c:pt>
                <c:pt idx="8">
                  <c:v>41153</c:v>
                </c:pt>
                <c:pt idx="9">
                  <c:v>41183</c:v>
                </c:pt>
                <c:pt idx="10">
                  <c:v>41214</c:v>
                </c:pt>
                <c:pt idx="11">
                  <c:v>41244</c:v>
                </c:pt>
              </c:numCache>
            </c:numRef>
          </c:cat>
          <c:val>
            <c:numRef>
              <c:f>'Input-TBA LS'!$T$28:$T$39</c:f>
              <c:numCache>
                <c:formatCode>General</c:formatCode>
                <c:ptCount val="12"/>
                <c:pt idx="0">
                  <c:v>881297951</c:v>
                </c:pt>
                <c:pt idx="1">
                  <c:v>1070710499</c:v>
                </c:pt>
                <c:pt idx="2">
                  <c:v>1907637512</c:v>
                </c:pt>
                <c:pt idx="3">
                  <c:v>924196729</c:v>
                </c:pt>
                <c:pt idx="4">
                  <c:v>1284353878</c:v>
                </c:pt>
                <c:pt idx="5">
                  <c:v>1249456220</c:v>
                </c:pt>
                <c:pt idx="6">
                  <c:v>1368636075</c:v>
                </c:pt>
                <c:pt idx="7">
                  <c:v>1427196427</c:v>
                </c:pt>
                <c:pt idx="8">
                  <c:v>1334351132</c:v>
                </c:pt>
                <c:pt idx="9">
                  <c:v>467542200</c:v>
                </c:pt>
                <c:pt idx="10">
                  <c:v>2080610275</c:v>
                </c:pt>
                <c:pt idx="11">
                  <c:v>1077406635</c:v>
                </c:pt>
              </c:numCache>
            </c:numRef>
          </c:val>
        </c:ser>
        <c:ser>
          <c:idx val="1"/>
          <c:order val="5"/>
          <c:tx>
            <c:strRef>
              <c:f>'Input-TBA LS'!$S$3</c:f>
              <c:strCache>
                <c:ptCount val="1"/>
                <c:pt idx="0">
                  <c:v>MHA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40909</c:v>
                </c:pt>
                <c:pt idx="1">
                  <c:v>40940</c:v>
                </c:pt>
                <c:pt idx="2">
                  <c:v>40969</c:v>
                </c:pt>
                <c:pt idx="3">
                  <c:v>41000</c:v>
                </c:pt>
                <c:pt idx="4">
                  <c:v>41030</c:v>
                </c:pt>
                <c:pt idx="5">
                  <c:v>41061</c:v>
                </c:pt>
                <c:pt idx="6">
                  <c:v>41091</c:v>
                </c:pt>
                <c:pt idx="7">
                  <c:v>41122</c:v>
                </c:pt>
                <c:pt idx="8">
                  <c:v>41153</c:v>
                </c:pt>
                <c:pt idx="9">
                  <c:v>41183</c:v>
                </c:pt>
                <c:pt idx="10">
                  <c:v>41214</c:v>
                </c:pt>
                <c:pt idx="11">
                  <c:v>41244</c:v>
                </c:pt>
              </c:numCache>
            </c:numRef>
          </c:cat>
          <c:val>
            <c:numRef>
              <c:f>'Input-TBA LS'!$S$28:$S$39</c:f>
              <c:numCache>
                <c:formatCode>General</c:formatCode>
                <c:ptCount val="12"/>
                <c:pt idx="0">
                  <c:v>2618325359</c:v>
                </c:pt>
                <c:pt idx="1">
                  <c:v>2549140693</c:v>
                </c:pt>
                <c:pt idx="2">
                  <c:v>4280168236</c:v>
                </c:pt>
                <c:pt idx="3">
                  <c:v>2344147071</c:v>
                </c:pt>
                <c:pt idx="4">
                  <c:v>3652827367</c:v>
                </c:pt>
                <c:pt idx="5">
                  <c:v>3645341345</c:v>
                </c:pt>
                <c:pt idx="6">
                  <c:v>3672143704</c:v>
                </c:pt>
                <c:pt idx="7">
                  <c:v>4005623745</c:v>
                </c:pt>
                <c:pt idx="8">
                  <c:v>3794875709</c:v>
                </c:pt>
                <c:pt idx="9">
                  <c:v>2866599095</c:v>
                </c:pt>
                <c:pt idx="10">
                  <c:v>4430765694</c:v>
                </c:pt>
                <c:pt idx="11">
                  <c:v>2825123329</c:v>
                </c:pt>
              </c:numCache>
            </c:numRef>
          </c:val>
        </c:ser>
        <c:ser>
          <c:idx val="0"/>
          <c:order val="6"/>
          <c:tx>
            <c:strRef>
              <c:f>'Input-TBA LS'!$R$3</c:f>
              <c:strCache>
                <c:ptCount val="1"/>
                <c:pt idx="0">
                  <c:v>LowFICO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40909</c:v>
                </c:pt>
                <c:pt idx="1">
                  <c:v>40940</c:v>
                </c:pt>
                <c:pt idx="2">
                  <c:v>40969</c:v>
                </c:pt>
                <c:pt idx="3">
                  <c:v>41000</c:v>
                </c:pt>
                <c:pt idx="4">
                  <c:v>41030</c:v>
                </c:pt>
                <c:pt idx="5">
                  <c:v>41061</c:v>
                </c:pt>
                <c:pt idx="6">
                  <c:v>41091</c:v>
                </c:pt>
                <c:pt idx="7">
                  <c:v>41122</c:v>
                </c:pt>
                <c:pt idx="8">
                  <c:v>41153</c:v>
                </c:pt>
                <c:pt idx="9">
                  <c:v>41183</c:v>
                </c:pt>
                <c:pt idx="10">
                  <c:v>41214</c:v>
                </c:pt>
                <c:pt idx="11">
                  <c:v>41244</c:v>
                </c:pt>
              </c:numCache>
            </c:numRef>
          </c:cat>
          <c:val>
            <c:numRef>
              <c:f>'Input-TBA LS'!$R$28:$R$39</c:f>
              <c:numCache>
                <c:formatCode>General</c:formatCode>
                <c:ptCount val="12"/>
                <c:pt idx="0">
                  <c:v>1199227914</c:v>
                </c:pt>
                <c:pt idx="1">
                  <c:v>858544665</c:v>
                </c:pt>
                <c:pt idx="2">
                  <c:v>1316407997</c:v>
                </c:pt>
                <c:pt idx="3">
                  <c:v>619429599</c:v>
                </c:pt>
                <c:pt idx="4">
                  <c:v>1030015691</c:v>
                </c:pt>
                <c:pt idx="5">
                  <c:v>1023641491</c:v>
                </c:pt>
                <c:pt idx="6">
                  <c:v>1486802071</c:v>
                </c:pt>
                <c:pt idx="7">
                  <c:v>1507652848</c:v>
                </c:pt>
                <c:pt idx="8">
                  <c:v>1363121051</c:v>
                </c:pt>
                <c:pt idx="9">
                  <c:v>741027528</c:v>
                </c:pt>
                <c:pt idx="10">
                  <c:v>1745418744</c:v>
                </c:pt>
                <c:pt idx="11">
                  <c:v>779099080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4401408"/>
        <c:axId val="364402944"/>
      </c:barChart>
      <c:dateAx>
        <c:axId val="3644014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4402944"/>
        <c:crosses val="autoZero"/>
        <c:auto val="1"/>
        <c:lblOffset val="100"/>
        <c:baseTimeUnit val="months"/>
      </c:dateAx>
      <c:valAx>
        <c:axId val="364402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4401408"/>
        <c:crosses val="autoZero"/>
        <c:crossBetween val="between"/>
        <c:dispUnits>
          <c:builtInUnit val="billions"/>
          <c:dispUnitsLbl>
            <c:layout/>
          </c:dispUnitsLbl>
        </c:dispUnits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SpecifiedPool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276226</xdr:colOff>
      <xdr:row>3</xdr:row>
      <xdr:rowOff>180976</xdr:rowOff>
    </xdr:from>
    <xdr:to>
      <xdr:col>23</xdr:col>
      <xdr:colOff>47626</xdr:colOff>
      <xdr:row>5</xdr:row>
      <xdr:rowOff>165736</xdr:rowOff>
    </xdr:to>
    <xdr:sp macro="[1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</xdr:col>
      <xdr:colOff>561974</xdr:colOff>
      <xdr:row>11</xdr:row>
      <xdr:rowOff>0</xdr:rowOff>
    </xdr:from>
    <xdr:to>
      <xdr:col>16</xdr:col>
      <xdr:colOff>561974</xdr:colOff>
      <xdr:row>39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847724</xdr:colOff>
      <xdr:row>38</xdr:row>
      <xdr:rowOff>152400</xdr:rowOff>
    </xdr:from>
    <xdr:to>
      <xdr:col>16</xdr:col>
      <xdr:colOff>609600</xdr:colOff>
      <xdr:row>40</xdr:row>
      <xdr:rowOff>123825</xdr:rowOff>
    </xdr:to>
    <xdr:sp macro="" textlink="">
      <xdr:nvSpPr>
        <xdr:cNvPr id="5" name="TextBox 4"/>
        <xdr:cNvSpPr txBox="1"/>
      </xdr:nvSpPr>
      <xdr:spPr>
        <a:xfrm>
          <a:off x="12877799" y="6305550"/>
          <a:ext cx="1590676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Cello Database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466725</xdr:colOff>
      <xdr:row>9</xdr:row>
      <xdr:rowOff>63500</xdr:rowOff>
    </xdr:from>
    <xdr:to>
      <xdr:col>16</xdr:col>
      <xdr:colOff>676276</xdr:colOff>
      <xdr:row>39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847724</xdr:colOff>
      <xdr:row>38</xdr:row>
      <xdr:rowOff>152400</xdr:rowOff>
    </xdr:from>
    <xdr:to>
      <xdr:col>16</xdr:col>
      <xdr:colOff>609600</xdr:colOff>
      <xdr:row>40</xdr:row>
      <xdr:rowOff>0</xdr:rowOff>
    </xdr:to>
    <xdr:sp macro="" textlink="">
      <xdr:nvSpPr>
        <xdr:cNvPr id="5" name="TextBox 4"/>
        <xdr:cNvSpPr txBox="1"/>
      </xdr:nvSpPr>
      <xdr:spPr>
        <a:xfrm>
          <a:off x="12877799" y="6305550"/>
          <a:ext cx="1590676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Cello Database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409575</xdr:colOff>
      <xdr:row>40</xdr:row>
      <xdr:rowOff>23812</xdr:rowOff>
    </xdr:from>
    <xdr:to>
      <xdr:col>25</xdr:col>
      <xdr:colOff>104775</xdr:colOff>
      <xdr:row>54</xdr:row>
      <xdr:rowOff>100012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600074</xdr:colOff>
      <xdr:row>12</xdr:row>
      <xdr:rowOff>128586</xdr:rowOff>
    </xdr:from>
    <xdr:to>
      <xdr:col>13</xdr:col>
      <xdr:colOff>400050</xdr:colOff>
      <xdr:row>29</xdr:row>
      <xdr:rowOff>57150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definedNames>
      <definedName name="CreatePDFReport"/>
    </definedNames>
    <sheetDataSet>
      <sheetData sheetId="0">
        <row r="2">
          <cell r="V2">
            <v>42083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9" autoFormatId="16" applyNumberFormats="0" applyBorderFormats="0" applyFontFormats="0" applyPatternFormats="0" applyAlignmentFormats="0" applyWidthHeightFormats="0">
  <queryTableRefresh nextId="68" unboundColumnsRight="2">
    <queryTableFields count="6">
      <queryTableField id="62" name="marketTicker" tableColumnId="1"/>
      <queryTableField id="63" name="issueDate" tableColumnId="2"/>
      <queryTableField id="64" name="description" tableColumnId="3"/>
      <queryTableField id="65" name="issueAmount" tableColumnId="4"/>
      <queryTableField id="66" dataBound="0" tableColumnId="5"/>
      <queryTableField id="67" dataBound="0" tableColumnId="6"/>
    </queryTableFields>
  </queryTableRefresh>
</queryTable>
</file>

<file path=xl/queryTables/queryTable2.xml><?xml version="1.0" encoding="utf-8"?>
<queryTable xmlns="http://schemas.openxmlformats.org/spreadsheetml/2006/main" name="Query from Agency_9" backgroundRefresh="0" adjustColumnWidth="0" connectionId="3" autoFormatId="16" applyNumberFormats="0" applyBorderFormats="0" applyFontFormats="0" applyPatternFormats="0" applyAlignmentFormats="0" applyWidthHeightFormats="0">
  <queryTableRefresh nextId="66">
    <queryTableFields count="4">
      <queryTableField id="62" name="marketTicker" tableColumnId="1"/>
      <queryTableField id="63" name="issueDate" tableColumnId="2"/>
      <queryTableField id="64" name="description" tableColumnId="3"/>
      <queryTableField id="65" name="issueAmount" tableColumnId="4"/>
    </queryTableFields>
  </queryTableRefresh>
</queryTable>
</file>

<file path=xl/queryTables/queryTable3.xml><?xml version="1.0" encoding="utf-8"?>
<queryTable xmlns="http://schemas.openxmlformats.org/spreadsheetml/2006/main" name="Query from Agency_10" backgroundRefresh="0" adjustColumnWidth="0" connectionId="4" autoFormatId="16" applyNumberFormats="0" applyBorderFormats="0" applyFontFormats="0" applyPatternFormats="0" applyAlignmentFormats="0" applyWidthHeightFormats="0">
  <queryTableRefresh nextId="66">
    <queryTableFields count="4">
      <queryTableField id="62" name="marketTicker" tableColumnId="1"/>
      <queryTableField id="63" name="issueDate" tableColumnId="2"/>
      <queryTableField id="64" name="description" tableColumnId="3"/>
      <queryTableField id="65" name="issueAmount" tableColumnId="4"/>
    </queryTableFields>
  </queryTableRefresh>
</queryTable>
</file>

<file path=xl/queryTables/queryTable4.xml><?xml version="1.0" encoding="utf-8"?>
<queryTable xmlns="http://schemas.openxmlformats.org/spreadsheetml/2006/main" name="Query from Agency_6" backgroundRefresh="0" adjustColumnWidth="0" connectionId="1" autoFormatId="16" applyNumberFormats="0" applyBorderFormats="0" applyFontFormats="0" applyPatternFormats="0" applyAlignmentFormats="0" applyWidthHeightFormats="0">
  <queryTableRefresh nextId="71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5.xml><?xml version="1.0" encoding="utf-8"?>
<queryTable xmlns="http://schemas.openxmlformats.org/spreadsheetml/2006/main" name="Query from Agency_9" backgroundRefresh="0" adjustColumnWidth="0" connectionId="6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6.xml><?xml version="1.0" encoding="utf-8"?>
<queryTable xmlns="http://schemas.openxmlformats.org/spreadsheetml/2006/main" name="Query from Agency_10" backgroundRefresh="0" adjustColumnWidth="0" connectionId="13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7.xml><?xml version="1.0" encoding="utf-8"?>
<queryTable xmlns="http://schemas.openxmlformats.org/spreadsheetml/2006/main" name="Query from Agency_11" backgroundRefresh="0" adjustColumnWidth="0" connectionId="10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8.xml><?xml version="1.0" encoding="utf-8"?>
<queryTable xmlns="http://schemas.openxmlformats.org/spreadsheetml/2006/main" name="Query from Agency_12" backgroundRefresh="0" adjustColumnWidth="0" connectionId="11" autoFormatId="16" applyNumberFormats="0" applyBorderFormats="0" applyFontFormats="0" applyPatternFormats="0" applyAlignmentFormats="0" applyWidthHeightFormats="0">
  <queryTableRefresh nextId="74" unboundColumnsRight="7">
    <queryTableFields count="9">
      <queryTableField id="63" name="issueDate" tableColumnId="2"/>
      <queryTableField id="72" name="LowFICO" tableColumnId="9"/>
      <queryTableField id="66" dataBound="0" tableColumnId="1"/>
      <queryTableField id="67" dataBound="0" tableColumnId="3"/>
      <queryTableField id="68" dataBound="0" tableColumnId="5"/>
      <queryTableField id="69" dataBound="0" tableColumnId="6"/>
      <queryTableField id="70" dataBound="0" tableColumnId="7"/>
      <queryTableField id="71" dataBound="0" tableColumnId="8"/>
      <queryTableField id="73" dataBound="0" tableColumnId="10"/>
    </queryTableFields>
  </queryTableRefresh>
</queryTable>
</file>

<file path=xl/queryTables/queryTable9.xml><?xml version="1.0" encoding="utf-8"?>
<queryTable xmlns="http://schemas.openxmlformats.org/spreadsheetml/2006/main" name="Query from Agency_13" backgroundRefresh="0" adjustColumnWidth="0" connectionId="12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10.xml><?xml version="1.0" encoding="utf-8"?>
<queryTable xmlns="http://schemas.openxmlformats.org/spreadsheetml/2006/main" name="Query from Agency_14" backgroundRefresh="0" adjustColumnWidth="0" connectionId="7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11.xml><?xml version="1.0" encoding="utf-8"?>
<queryTable xmlns="http://schemas.openxmlformats.org/spreadsheetml/2006/main" name="Query from Agency_15" backgroundRefresh="0" adjustColumnWidth="0" connectionId="5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id="5" name="CurrentMtgRatesDataTable826" displayName="CurrentMtgRatesDataTable826" ref="B3:G67" tableType="queryTable" totalsRowShown="0" headerRowDxfId="58" dataDxfId="57">
  <tableColumns count="6">
    <tableColumn id="1" uniqueName="1" name="marketTicker" queryTableFieldId="62" dataDxfId="56"/>
    <tableColumn id="2" uniqueName="2" name="issueDate" queryTableFieldId="63" dataDxfId="27"/>
    <tableColumn id="3" uniqueName="3" name="description" queryTableFieldId="64" dataDxfId="55"/>
    <tableColumn id="4" uniqueName="4" name="issueAmount" queryTableFieldId="65" dataDxfId="54"/>
    <tableColumn id="5" uniqueName="5" name="CQ" queryTableFieldId="66" dataDxfId="26">
      <calculatedColumnFormula>VLOOKUP(CurrentMtgRatesDataTable826[[#This Row],[issueDate]],CurrentMtgRatesDataTable8267[[issueDate]:[issueAmount]],3,0)</calculatedColumnFormula>
    </tableColumn>
    <tableColumn id="6" uniqueName="6" name="CR" queryTableFieldId="67" dataDxfId="25">
      <calculatedColumnFormula>VLOOKUP(CurrentMtgRatesDataTable826[[#This Row],[issueDate]],CurrentMtgRatesDataTable8268[[issueDate]:[issueAmount]],3,0)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CurrentMtgRatesDataTable8267" displayName="CurrentMtgRatesDataTable8267" ref="I3:L67" tableType="queryTable" totalsRowShown="0" headerRowDxfId="53" dataDxfId="52">
  <tableColumns count="4">
    <tableColumn id="1" uniqueName="1" name="marketTicker" queryTableFieldId="62" dataDxfId="51"/>
    <tableColumn id="2" uniqueName="2" name="issueDate" queryTableFieldId="63" dataDxfId="24"/>
    <tableColumn id="3" uniqueName="3" name="description" queryTableFieldId="64" dataDxfId="50"/>
    <tableColumn id="4" uniqueName="4" name="issueAmount" queryTableFieldId="65" dataDxfId="4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7" name="CurrentMtgRatesDataTable8268" displayName="CurrentMtgRatesDataTable8268" ref="O3:R38" tableType="queryTable" totalsRowShown="0" headerRowDxfId="48" dataDxfId="47">
  <tableColumns count="4">
    <tableColumn id="1" uniqueName="1" name="marketTicker" queryTableFieldId="62" dataDxfId="46"/>
    <tableColumn id="2" uniqueName="2" name="issueDate" queryTableFieldId="63" dataDxfId="23"/>
    <tableColumn id="3" uniqueName="3" name="description" queryTableFieldId="64" dataDxfId="45"/>
    <tableColumn id="4" uniqueName="4" name="issueAmount" queryTableFieldId="65" dataDxfId="4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" name="CurrentMtgRatesDataTable8262" displayName="CurrentMtgRatesDataTable8262" ref="B3:C67" tableType="queryTable" totalsRowShown="0" headerRowDxfId="43" dataDxfId="42">
  <tableColumns count="2">
    <tableColumn id="2" uniqueName="2" name="issueDate" queryTableFieldId="63" dataDxfId="22"/>
    <tableColumn id="4" uniqueName="4" name="IssueAmount" queryTableFieldId="65" dataDxfId="21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CurrentMtgRatesDataTable82673" displayName="CurrentMtgRatesDataTable82673" ref="E3:F67" tableType="queryTable" totalsRowShown="0" headerRowDxfId="41" dataDxfId="40">
  <tableColumns count="2">
    <tableColumn id="2" uniqueName="2" name="issueDate" queryTableFieldId="63" dataDxfId="20"/>
    <tableColumn id="4" uniqueName="4" name="IssueAmount" queryTableFieldId="65" dataDxfId="1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3" name="CurrentMtgRatesDataTable82684" displayName="CurrentMtgRatesDataTable82684" ref="I3:J67" tableType="queryTable" totalsRowShown="0" headerRowDxfId="39" dataDxfId="38">
  <tableColumns count="2">
    <tableColumn id="2" uniqueName="2" name="issueDate" queryTableFieldId="63" dataDxfId="18"/>
    <tableColumn id="4" uniqueName="4" name="IssueAmount" queryTableFieldId="65" dataDxfId="17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4" name="CurrentMtgRatesDataTable826845" displayName="CurrentMtgRatesDataTable826845" ref="M3:N67" tableType="queryTable" totalsRowShown="0" headerRowDxfId="37" dataDxfId="36">
  <tableColumns count="2">
    <tableColumn id="2" uniqueName="2" name="issueDate" queryTableFieldId="63" dataDxfId="16"/>
    <tableColumn id="4" uniqueName="4" name="IssueAmount" queryTableFieldId="65" dataDxfId="15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CurrentMtgRatesDataTable8268459" displayName="CurrentMtgRatesDataTable8268459" ref="Q3:Y67" tableType="queryTable" totalsRowShown="0" headerRowDxfId="30" dataDxfId="35">
  <tableColumns count="9">
    <tableColumn id="2" uniqueName="2" name="issueDate" queryTableFieldId="63" dataDxfId="14"/>
    <tableColumn id="9" uniqueName="9" name="LowFICO" queryTableFieldId="72" dataDxfId="13"/>
    <tableColumn id="1" uniqueName="1" name="MHA" queryTableFieldId="66" dataDxfId="12">
      <calculatedColumnFormula>VLOOKUP(CurrentMtgRatesDataTable8268459[[#This Row],[issueDate]],CurrentMtgRatesDataTable82684510[#All],2,0)</calculatedColumnFormula>
    </tableColumn>
    <tableColumn id="3" uniqueName="3" name="Investor" queryTableFieldId="67" dataDxfId="11">
      <calculatedColumnFormula>VLOOKUP(CurrentMtgRatesDataTable8268459[[#This Row],[issueDate]],CurrentMtgRatesDataTable82684511[#All],2,0)</calculatedColumnFormula>
    </tableColumn>
    <tableColumn id="5" uniqueName="5" name="175K" queryTableFieldId="68" dataDxfId="10">
      <calculatedColumnFormula>VLOOKUP(CurrentMtgRatesDataTable8268459[[#This Row],[issueDate]],CurrentMtgRatesDataTable8262[#All],2,0)</calculatedColumnFormula>
    </tableColumn>
    <tableColumn id="6" uniqueName="6" name="HLB" queryTableFieldId="69" dataDxfId="9">
      <calculatedColumnFormula>VLOOKUP(CurrentMtgRatesDataTable8268459[[#This Row],[issueDate]],CurrentMtgRatesDataTable82673[#All],2,0)</calculatedColumnFormula>
    </tableColumn>
    <tableColumn id="7" uniqueName="7" name="MLB" queryTableFieldId="70" dataDxfId="8">
      <calculatedColumnFormula>VLOOKUP(CurrentMtgRatesDataTable8268459[[#This Row],[issueDate]],CurrentMtgRatesDataTable82684[#All],2,0)</calculatedColumnFormula>
    </tableColumn>
    <tableColumn id="8" uniqueName="8" name="LLB" queryTableFieldId="71" dataDxfId="7">
      <calculatedColumnFormula>VLOOKUP(CurrentMtgRatesDataTable8268459[[#This Row],[issueDate]],CurrentMtgRatesDataTable826845[#All],2,0)</calculatedColumnFormula>
    </tableColumn>
    <tableColumn id="10" uniqueName="10" name="Geo" queryTableFieldId="73" dataDxfId="6">
      <calculatedColumnFormula>VLOOKUP(CurrentMtgRatesDataTable8268459[[#This Row],[issueDate]],CurrentMtgRatesDataTable8268451112[#All],2,0)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9" name="CurrentMtgRatesDataTable82684510" displayName="CurrentMtgRatesDataTable82684510" ref="AA3:AB67" tableType="queryTable" totalsRowShown="0" headerRowDxfId="34" dataDxfId="33">
  <tableColumns count="2">
    <tableColumn id="2" uniqueName="2" name="issueDate" queryTableFieldId="63" dataDxfId="5"/>
    <tableColumn id="4" uniqueName="4" name="IssueAmount" queryTableFieldId="65" dataDxfId="4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10" name="CurrentMtgRatesDataTable82684511" displayName="CurrentMtgRatesDataTable82684511" ref="AE3:AF67" tableType="queryTable" totalsRowShown="0" headerRowDxfId="32" dataDxfId="31">
  <tableColumns count="2">
    <tableColumn id="2" uniqueName="2" name="issueDate" queryTableFieldId="63" dataDxfId="3"/>
    <tableColumn id="4" uniqueName="4" name="IssueAmount" queryTableFieldId="65" dataDxfId="2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id="11" name="CurrentMtgRatesDataTable8268451112" displayName="CurrentMtgRatesDataTable8268451112" ref="AH3:AI67" tableType="queryTable" totalsRowShown="0" headerRowDxfId="29" dataDxfId="28">
  <tableColumns count="2">
    <tableColumn id="2" uniqueName="2" name="issueDate" queryTableFieldId="63" dataDxfId="1"/>
    <tableColumn id="4" uniqueName="4" name="IssueAmount" queryTableFieldId="65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www.quickenloans.com/home-loans/30-year-fixed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W94"/>
  <sheetViews>
    <sheetView showGridLines="0" tabSelected="1" topLeftCell="B1" zoomScaleNormal="100" workbookViewId="0">
      <selection activeCell="S42" sqref="S42"/>
    </sheetView>
  </sheetViews>
  <sheetFormatPr defaultRowHeight="12.75"/>
  <cols>
    <col min="1" max="1" width="9.140625" style="5" customWidth="1"/>
    <col min="2" max="2" width="9.140625" style="5"/>
    <col min="3" max="3" width="11.28515625" style="5" customWidth="1"/>
    <col min="4" max="16" width="13.7109375" style="5" customWidth="1"/>
    <col min="17" max="17" width="12.5703125" style="5" customWidth="1"/>
    <col min="18" max="18" width="11.28515625" style="5" customWidth="1"/>
    <col min="19" max="19" width="9.140625" style="5"/>
    <col min="20" max="20" width="14.140625" style="5" customWidth="1"/>
    <col min="21" max="21" width="40.85546875" style="5" bestFit="1" customWidth="1"/>
    <col min="22" max="22" width="14.85546875" style="5" bestFit="1" customWidth="1"/>
    <col min="23" max="16384" width="9.140625" style="5"/>
  </cols>
  <sheetData>
    <row r="1" spans="3:23">
      <c r="T1" s="1" t="s">
        <v>0</v>
      </c>
      <c r="U1" s="2" t="s">
        <v>1</v>
      </c>
      <c r="V1" s="5" t="s">
        <v>2</v>
      </c>
      <c r="W1" s="2" t="s">
        <v>3</v>
      </c>
    </row>
    <row r="2" spans="3:23">
      <c r="T2" s="1" t="s">
        <v>4</v>
      </c>
      <c r="U2" s="3">
        <v>42101</v>
      </c>
    </row>
    <row r="3" spans="3:23">
      <c r="T3" s="1" t="s">
        <v>17</v>
      </c>
      <c r="U3" s="17" t="s">
        <v>18</v>
      </c>
    </row>
    <row r="4" spans="3:23">
      <c r="T4" s="1" t="s">
        <v>5</v>
      </c>
      <c r="U4" s="17" t="str">
        <f>PDFReportDir&amp;"Specified Pool " &amp; TEXT(CurrentCloseDate, "yyyy-mm-dd") &amp; ".pdf"</f>
        <v>S:\IT\Production\Daily Reports\Primary Market\tmp\Specified Pool 2015-04-07.pdf</v>
      </c>
    </row>
    <row r="5" spans="3:23">
      <c r="T5" s="9"/>
    </row>
    <row r="6" spans="3:23">
      <c r="T6" s="9"/>
    </row>
    <row r="9" spans="3:23" s="10" customFormat="1">
      <c r="C9" s="5"/>
      <c r="D9" s="5"/>
      <c r="E9" s="5"/>
      <c r="F9" s="5"/>
      <c r="G9" s="5"/>
      <c r="H9" s="5"/>
      <c r="I9" s="5"/>
      <c r="J9" s="5"/>
      <c r="K9" s="5"/>
      <c r="L9" s="5"/>
      <c r="M9" s="5"/>
      <c r="Q9" s="5"/>
      <c r="R9" s="5"/>
      <c r="T9" s="10" t="s">
        <v>15</v>
      </c>
      <c r="U9" s="15">
        <f>IF(DAY(CurrentCloseDate)&lt;31,(CurrentCloseDate-DAY(CurrentCloseDate))-DAY((CurrentCloseDate-DAY(CurrentCloseDate)))+1,CurrentCloseDate-DAY(CurrentCloseDate)+1)</f>
        <v>42064</v>
      </c>
    </row>
    <row r="10" spans="3:23" s="11" customFormat="1"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Q10" s="5"/>
      <c r="R10" s="5"/>
      <c r="T10" s="11" t="s">
        <v>16</v>
      </c>
      <c r="U10" s="16">
        <f>(U9-1)-DAY((U9-1))+1</f>
        <v>42036</v>
      </c>
    </row>
    <row r="11" spans="3:23" s="11" customFormat="1"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Q11" s="5"/>
      <c r="R11" s="5"/>
      <c r="U11" s="15">
        <f>IF(DAY(CurrentCloseDate)&lt;5,(CurrentCloseDate-DAY(CurrentCloseDate))-DAY((CurrentCloseDate-DAY(CurrentCloseDate)))+1,CurrentCloseDate-DAY(CurrentCloseDate)+1)</f>
        <v>42095</v>
      </c>
    </row>
    <row r="12" spans="3:23" s="11" customForma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Q12" s="5"/>
      <c r="R12" s="5"/>
      <c r="U12" s="16"/>
    </row>
    <row r="13" spans="3:23" s="11" customFormat="1"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Q13" s="5"/>
      <c r="R13" s="5"/>
    </row>
    <row r="14" spans="3:23" s="11" customFormat="1"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Q14" s="5"/>
      <c r="R14" s="5"/>
    </row>
    <row r="15" spans="3:23" s="11" customFormat="1"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Q15" s="5"/>
      <c r="R15" s="5"/>
    </row>
    <row r="16" spans="3:23" s="11" customFormat="1"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Q16" s="5"/>
      <c r="R16" s="5"/>
    </row>
    <row r="17" spans="3:18" s="11" customFormat="1"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Q17" s="5"/>
      <c r="R17" s="5"/>
    </row>
    <row r="18" spans="3:18" s="11" customFormat="1"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Q18" s="5"/>
      <c r="R18" s="5"/>
    </row>
    <row r="19" spans="3:18" s="11" customFormat="1"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Q19" s="5"/>
      <c r="R19" s="5"/>
    </row>
    <row r="20" spans="3:18" s="11" customForma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Q20" s="5"/>
      <c r="R20" s="5"/>
    </row>
    <row r="21" spans="3:18" s="11" customFormat="1"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Q21" s="5"/>
      <c r="R21" s="5"/>
    </row>
    <row r="43" spans="4:16" ht="15">
      <c r="D43" s="4" t="s">
        <v>34</v>
      </c>
      <c r="O43" s="45" t="s">
        <v>47</v>
      </c>
      <c r="P43" s="42">
        <f>E44</f>
        <v>42064</v>
      </c>
    </row>
    <row r="44" spans="4:16">
      <c r="D44" s="20"/>
      <c r="E44" s="21">
        <f>Historical!D3</f>
        <v>42064</v>
      </c>
      <c r="F44" s="21">
        <f>E44-DAY(E44-1)</f>
        <v>42036</v>
      </c>
      <c r="G44" s="21">
        <f t="shared" ref="G44:P44" si="0">F44-DAY(F44-1)</f>
        <v>42005</v>
      </c>
      <c r="H44" s="21">
        <f t="shared" si="0"/>
        <v>41974</v>
      </c>
      <c r="I44" s="21">
        <f t="shared" si="0"/>
        <v>41944</v>
      </c>
      <c r="J44" s="21">
        <f t="shared" si="0"/>
        <v>41913</v>
      </c>
      <c r="K44" s="21">
        <f t="shared" si="0"/>
        <v>41883</v>
      </c>
      <c r="L44" s="21">
        <f t="shared" si="0"/>
        <v>41852</v>
      </c>
      <c r="M44" s="21">
        <f t="shared" si="0"/>
        <v>41821</v>
      </c>
      <c r="N44" s="21">
        <f t="shared" si="0"/>
        <v>41791</v>
      </c>
      <c r="O44" s="21">
        <f t="shared" si="0"/>
        <v>41760</v>
      </c>
      <c r="P44" s="21">
        <f t="shared" si="0"/>
        <v>41730</v>
      </c>
    </row>
    <row r="45" spans="4:16">
      <c r="D45" s="25" t="s">
        <v>31</v>
      </c>
      <c r="E45" s="38">
        <f>Historical!D4</f>
        <v>1012.026911</v>
      </c>
      <c r="F45" s="38">
        <f>Historical!E4</f>
        <v>821.12825999999995</v>
      </c>
      <c r="G45" s="38">
        <f>Historical!F4</f>
        <v>667.43471099999999</v>
      </c>
      <c r="H45" s="38">
        <f>Historical!G4</f>
        <v>771.02875400000005</v>
      </c>
      <c r="I45" s="38">
        <f>Historical!H4</f>
        <v>549.34720200000004</v>
      </c>
      <c r="J45" s="38">
        <f>Historical!I4</f>
        <v>639.00119299999994</v>
      </c>
      <c r="K45" s="38">
        <f>Historical!J4</f>
        <v>746.26410499999997</v>
      </c>
      <c r="L45" s="38">
        <f>Historical!K4</f>
        <v>449.79729500000002</v>
      </c>
      <c r="M45" s="38">
        <f>Historical!L4</f>
        <v>562.39022199999999</v>
      </c>
      <c r="N45" s="38">
        <f>Historical!M4</f>
        <v>319.731336</v>
      </c>
      <c r="O45" s="38">
        <f>Historical!N4</f>
        <v>337.68890800000003</v>
      </c>
      <c r="P45" s="38">
        <f>Historical!O4</f>
        <v>278.28057699999999</v>
      </c>
    </row>
    <row r="46" spans="4:16">
      <c r="D46" s="25" t="s">
        <v>29</v>
      </c>
      <c r="E46" s="38">
        <f>Historical!D5</f>
        <v>104.94694200000001</v>
      </c>
      <c r="F46" s="38">
        <f>Historical!E5</f>
        <v>469.33425699999998</v>
      </c>
      <c r="G46" s="38">
        <f>Historical!F5</f>
        <v>120.675652</v>
      </c>
      <c r="H46" s="38">
        <f>Historical!G5</f>
        <v>145.992266</v>
      </c>
      <c r="I46" s="38">
        <f>Historical!H5</f>
        <v>371.096</v>
      </c>
      <c r="J46" s="38">
        <f>Historical!I5</f>
        <v>169.36623800000001</v>
      </c>
      <c r="K46" s="38">
        <f>Historical!J5</f>
        <v>187.30827199999999</v>
      </c>
      <c r="L46" s="38">
        <f>Historical!K5</f>
        <v>346.55488800000001</v>
      </c>
      <c r="M46" s="38">
        <f>Historical!L5</f>
        <v>206.48126400000001</v>
      </c>
      <c r="N46" s="38">
        <f>Historical!M5</f>
        <v>244.291451</v>
      </c>
      <c r="O46" s="38">
        <f>Historical!N5</f>
        <v>186.03763599999999</v>
      </c>
      <c r="P46" s="38">
        <f>Historical!O5</f>
        <v>255.206728</v>
      </c>
    </row>
    <row r="47" spans="4:16">
      <c r="D47" s="25" t="s">
        <v>30</v>
      </c>
      <c r="E47" s="38">
        <f>Historical!D6</f>
        <v>155.15015299999999</v>
      </c>
      <c r="F47" s="38">
        <f>Historical!E6</f>
        <v>127.31100600000001</v>
      </c>
      <c r="G47" s="38">
        <f>Historical!F6</f>
        <v>143.09628699999999</v>
      </c>
      <c r="H47" s="38">
        <f>Historical!G6</f>
        <v>1261.524465</v>
      </c>
      <c r="I47" s="38">
        <f>Historical!H6</f>
        <v>230.86616900000001</v>
      </c>
      <c r="J47" s="38">
        <f>Historical!I6</f>
        <v>385.88183400000003</v>
      </c>
      <c r="K47" s="38">
        <f>Historical!J6</f>
        <v>120.74541600000001</v>
      </c>
      <c r="L47" s="38">
        <f>Historical!K6</f>
        <v>330.91150199999998</v>
      </c>
      <c r="M47" s="38">
        <f>Historical!L6</f>
        <v>174.92783399999999</v>
      </c>
      <c r="N47" s="38">
        <f>Historical!M6</f>
        <v>275.221137</v>
      </c>
      <c r="O47" s="38">
        <f>Historical!N6</f>
        <v>110.770261</v>
      </c>
      <c r="P47" s="38">
        <f>Historical!O6</f>
        <v>294.93210499999998</v>
      </c>
    </row>
    <row r="48" spans="4:16">
      <c r="D48" s="28" t="s">
        <v>32</v>
      </c>
      <c r="E48" s="39">
        <f>SUM(E45:E47)</f>
        <v>1272.124006</v>
      </c>
      <c r="F48" s="39">
        <f t="shared" ref="F48:P48" si="1">SUM(F45:F47)</f>
        <v>1417.7735229999998</v>
      </c>
      <c r="G48" s="39">
        <f t="shared" si="1"/>
        <v>931.20664999999997</v>
      </c>
      <c r="H48" s="39">
        <f t="shared" si="1"/>
        <v>2178.5454850000001</v>
      </c>
      <c r="I48" s="39">
        <f t="shared" si="1"/>
        <v>1151.3093710000001</v>
      </c>
      <c r="J48" s="39">
        <f t="shared" si="1"/>
        <v>1194.2492649999999</v>
      </c>
      <c r="K48" s="39">
        <f t="shared" si="1"/>
        <v>1054.3177929999999</v>
      </c>
      <c r="L48" s="39">
        <f t="shared" si="1"/>
        <v>1127.2636849999999</v>
      </c>
      <c r="M48" s="39">
        <f t="shared" si="1"/>
        <v>943.79931999999997</v>
      </c>
      <c r="N48" s="39">
        <f t="shared" si="1"/>
        <v>839.24392399999999</v>
      </c>
      <c r="O48" s="39">
        <f t="shared" si="1"/>
        <v>634.49680499999999</v>
      </c>
      <c r="P48" s="39">
        <f t="shared" si="1"/>
        <v>828.41940999999997</v>
      </c>
    </row>
    <row r="49" spans="4:16">
      <c r="D49" s="29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</row>
    <row r="50" spans="4:16">
      <c r="D50" s="29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</row>
    <row r="51" spans="4:16">
      <c r="D51" s="3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</row>
    <row r="52" spans="4:16" ht="15">
      <c r="D52" s="4" t="s">
        <v>35</v>
      </c>
      <c r="L52" s="4" t="s">
        <v>45</v>
      </c>
    </row>
    <row r="53" spans="4:16" customFormat="1" ht="15">
      <c r="D53" s="6"/>
      <c r="E53" s="7" t="s">
        <v>33</v>
      </c>
      <c r="F53" s="8" t="s">
        <v>11</v>
      </c>
      <c r="G53" s="8" t="s">
        <v>12</v>
      </c>
      <c r="H53" s="8" t="s">
        <v>13</v>
      </c>
      <c r="I53" s="8" t="s">
        <v>14</v>
      </c>
      <c r="K53" s="5"/>
      <c r="L53" s="6"/>
      <c r="M53" s="8" t="s">
        <v>11</v>
      </c>
      <c r="N53" s="8" t="s">
        <v>12</v>
      </c>
      <c r="O53" s="8" t="s">
        <v>13</v>
      </c>
      <c r="P53" s="8" t="s">
        <v>14</v>
      </c>
    </row>
    <row r="54" spans="4:16" customFormat="1" ht="15">
      <c r="D54" s="25" t="s">
        <v>31</v>
      </c>
      <c r="E54" s="38">
        <f>E45</f>
        <v>1012.026911</v>
      </c>
      <c r="F54" s="38">
        <f>E45-F45</f>
        <v>190.89865100000009</v>
      </c>
      <c r="G54" s="38">
        <f>E45-H45</f>
        <v>240.99815699999999</v>
      </c>
      <c r="H54" s="38">
        <f>E45-K45</f>
        <v>265.76280600000007</v>
      </c>
      <c r="I54" s="38">
        <f>E45-P45</f>
        <v>733.74633400000005</v>
      </c>
      <c r="K54" s="5"/>
      <c r="L54" s="25" t="s">
        <v>31</v>
      </c>
      <c r="M54" s="40">
        <f>F54/F45*100</f>
        <v>23.248335284429267</v>
      </c>
      <c r="N54" s="40">
        <f>G54/H45*100</f>
        <v>31.256701614528886</v>
      </c>
      <c r="O54" s="40">
        <f>H54/K45*100</f>
        <v>35.612433214913921</v>
      </c>
      <c r="P54" s="40">
        <f>I54/P45*100</f>
        <v>263.67141462409717</v>
      </c>
    </row>
    <row r="55" spans="4:16" customFormat="1" ht="15">
      <c r="D55" s="25" t="s">
        <v>29</v>
      </c>
      <c r="E55" s="38">
        <f>E46</f>
        <v>104.94694200000001</v>
      </c>
      <c r="F55" s="38">
        <f>E46-F46</f>
        <v>-364.38731499999994</v>
      </c>
      <c r="G55" s="38">
        <f>E46-H46</f>
        <v>-41.045323999999994</v>
      </c>
      <c r="H55" s="38">
        <f>E46-K46</f>
        <v>-82.361329999999981</v>
      </c>
      <c r="I55" s="38">
        <f>E46-P46</f>
        <v>-150.25978599999999</v>
      </c>
      <c r="K55" s="5"/>
      <c r="L55" s="25" t="s">
        <v>29</v>
      </c>
      <c r="M55" s="40">
        <f t="shared" ref="M55:M56" si="2">F55/F46*100</f>
        <v>-77.639189887645472</v>
      </c>
      <c r="N55" s="40">
        <f t="shared" ref="N55:N56" si="3">G55/H46*100</f>
        <v>-28.114724926593027</v>
      </c>
      <c r="O55" s="40">
        <f t="shared" ref="O55:O56" si="4">H55/K46*100</f>
        <v>-43.971005188708368</v>
      </c>
      <c r="P55" s="40">
        <f t="shared" ref="P55:P56" si="5">I55/P46*100</f>
        <v>-58.877674259434102</v>
      </c>
    </row>
    <row r="56" spans="4:16" customFormat="1" ht="15">
      <c r="D56" s="25" t="s">
        <v>30</v>
      </c>
      <c r="E56" s="38">
        <f>E47</f>
        <v>155.15015299999999</v>
      </c>
      <c r="F56" s="38">
        <f>E47-F47</f>
        <v>27.839146999999983</v>
      </c>
      <c r="G56" s="38">
        <f>E47-H47</f>
        <v>-1106.3743119999999</v>
      </c>
      <c r="H56" s="38">
        <f>E47-K47</f>
        <v>34.404736999999983</v>
      </c>
      <c r="I56" s="38">
        <f>E47-P47</f>
        <v>-139.78195199999999</v>
      </c>
      <c r="K56" s="5"/>
      <c r="L56" s="25" t="s">
        <v>30</v>
      </c>
      <c r="M56" s="40">
        <f t="shared" si="2"/>
        <v>21.867038738190463</v>
      </c>
      <c r="N56" s="40">
        <f t="shared" si="3"/>
        <v>-87.701375811209488</v>
      </c>
      <c r="O56" s="40">
        <f t="shared" si="4"/>
        <v>28.493617513396931</v>
      </c>
      <c r="P56" s="40">
        <f t="shared" si="5"/>
        <v>-47.394620534783762</v>
      </c>
    </row>
    <row r="57" spans="4:16" customFormat="1" ht="15">
      <c r="D57" s="28" t="s">
        <v>32</v>
      </c>
      <c r="E57" s="39">
        <f>SUM(E54:E56)</f>
        <v>1272.124006</v>
      </c>
      <c r="F57" s="39">
        <f t="shared" ref="F57" si="6">SUM(F54:F56)</f>
        <v>-145.64951699999989</v>
      </c>
      <c r="G57" s="39">
        <f t="shared" ref="G57" si="7">SUM(G54:G56)</f>
        <v>-906.42147899999986</v>
      </c>
      <c r="H57" s="39">
        <f t="shared" ref="H57" si="8">SUM(H54:H56)</f>
        <v>217.80621300000007</v>
      </c>
      <c r="I57" s="39">
        <f t="shared" ref="I57" si="9">SUM(I54:I56)</f>
        <v>443.70459600000009</v>
      </c>
      <c r="L57" s="28" t="s">
        <v>32</v>
      </c>
      <c r="M57" s="41">
        <f t="shared" ref="M57" si="10">F57/F48*100</f>
        <v>-10.273115884672922</v>
      </c>
      <c r="N57" s="41">
        <f t="shared" ref="N57" si="11">G57/H48*100</f>
        <v>-41.60672729768595</v>
      </c>
      <c r="O57" s="41">
        <f t="shared" ref="O57" si="12">H57/K48*100</f>
        <v>20.658497318938835</v>
      </c>
      <c r="P57" s="41">
        <f t="shared" ref="P57" si="13">I57/P48*100</f>
        <v>53.560381449777971</v>
      </c>
    </row>
    <row r="58" spans="4:16" customFormat="1" ht="15"/>
    <row r="59" spans="4:16" customFormat="1" ht="15"/>
    <row r="60" spans="4:16" customFormat="1" ht="15"/>
    <row r="61" spans="4:16" customFormat="1" ht="15"/>
    <row r="62" spans="4:16" customFormat="1" ht="15"/>
    <row r="63" spans="4:16" customFormat="1" ht="15"/>
    <row r="64" spans="4:16" customFormat="1" ht="15"/>
    <row r="65" customFormat="1" ht="15"/>
    <row r="66" customFormat="1" ht="15"/>
    <row r="67" customFormat="1" ht="15"/>
    <row r="91" spans="16:17">
      <c r="P91" s="12" t="s">
        <v>10</v>
      </c>
      <c r="Q91" s="13" t="s">
        <v>6</v>
      </c>
    </row>
    <row r="92" spans="16:17">
      <c r="Q92" s="13" t="s">
        <v>7</v>
      </c>
    </row>
    <row r="93" spans="16:17">
      <c r="Q93" s="13" t="s">
        <v>8</v>
      </c>
    </row>
    <row r="94" spans="16:17">
      <c r="Q94" s="14" t="s">
        <v>9</v>
      </c>
    </row>
  </sheetData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hyperlinks>
    <hyperlink ref="Q91" r:id="rId1" location="closeModal"/>
    <hyperlink ref="Q92" r:id="rId2"/>
    <hyperlink ref="Q94" r:id="rId3"/>
    <hyperlink ref="Q93" r:id="rId4" location="key-benefits"/>
  </hyperlinks>
  <pageMargins left="0.25" right="0.25" top="0.255" bottom="0.25" header="0.1" footer="0.1"/>
  <pageSetup scale="66" orientation="landscape" horizontalDpi="1200" verticalDpi="1200" r:id="rId5"/>
  <headerFooter scaleWithDoc="0">
    <oddHeader>&amp;L&amp;G&amp;C&amp;"-,Bold"&amp;10&amp;K2E398A
&amp;15&amp;K2E398ATrends In Specified Pool Issuance&amp;R&amp;"-,Bold"&amp;10&amp;K2E398A
As of 04/07/2015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C1:U97"/>
  <sheetViews>
    <sheetView showGridLines="0" zoomScaleNormal="100" workbookViewId="0">
      <selection activeCell="A7" sqref="A7"/>
    </sheetView>
  </sheetViews>
  <sheetFormatPr defaultRowHeight="12.75"/>
  <cols>
    <col min="1" max="1" width="9.140625" style="5" customWidth="1"/>
    <col min="2" max="2" width="9.140625" style="5"/>
    <col min="3" max="3" width="11.28515625" style="5" customWidth="1"/>
    <col min="4" max="16" width="13.7109375" style="5" customWidth="1"/>
    <col min="17" max="17" width="12.5703125" style="5" customWidth="1"/>
    <col min="18" max="18" width="11.28515625" style="5" customWidth="1"/>
    <col min="19" max="19" width="9.140625" style="5"/>
    <col min="20" max="20" width="14.140625" style="5" customWidth="1"/>
    <col min="21" max="16384" width="9.140625" style="5"/>
  </cols>
  <sheetData>
    <row r="1" spans="3:21" ht="15">
      <c r="T1"/>
      <c r="U1"/>
    </row>
    <row r="2" spans="3:21" ht="15">
      <c r="T2"/>
      <c r="U2"/>
    </row>
    <row r="3" spans="3:21" ht="15">
      <c r="T3"/>
      <c r="U3"/>
    </row>
    <row r="4" spans="3:21" ht="15">
      <c r="T4"/>
      <c r="U4"/>
    </row>
    <row r="5" spans="3:21" ht="15">
      <c r="T5"/>
      <c r="U5"/>
    </row>
    <row r="6" spans="3:21" ht="15">
      <c r="T6"/>
      <c r="U6"/>
    </row>
    <row r="7" spans="3:21" ht="15">
      <c r="T7"/>
      <c r="U7"/>
    </row>
    <row r="8" spans="3:21" ht="15">
      <c r="T8"/>
      <c r="U8"/>
    </row>
    <row r="9" spans="3:21" s="10" customFormat="1">
      <c r="C9" s="5"/>
      <c r="D9" s="5"/>
      <c r="E9" s="5"/>
      <c r="F9" s="5"/>
      <c r="G9" s="5"/>
      <c r="H9" s="5"/>
      <c r="I9" s="5"/>
      <c r="J9" s="5"/>
      <c r="K9" s="5"/>
      <c r="L9" s="5"/>
      <c r="M9" s="5"/>
      <c r="Q9" s="5"/>
      <c r="R9" s="5"/>
    </row>
    <row r="10" spans="3:21" s="11" customFormat="1"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Q10" s="5"/>
      <c r="R10" s="5"/>
    </row>
    <row r="11" spans="3:21" s="11" customFormat="1"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Q11" s="5"/>
      <c r="R11" s="5"/>
    </row>
    <row r="12" spans="3:21" s="11" customForma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Q12" s="5"/>
      <c r="R12" s="5"/>
    </row>
    <row r="13" spans="3:21" s="11" customFormat="1"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Q13" s="5"/>
      <c r="R13" s="5"/>
    </row>
    <row r="14" spans="3:21" s="11" customFormat="1"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Q14" s="5"/>
      <c r="R14" s="5"/>
    </row>
    <row r="15" spans="3:21" s="11" customFormat="1"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Q15" s="5"/>
      <c r="R15" s="5"/>
    </row>
    <row r="16" spans="3:21" s="11" customFormat="1"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Q16" s="5"/>
      <c r="R16" s="5"/>
    </row>
    <row r="17" spans="3:18" s="11" customFormat="1"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Q17" s="5"/>
      <c r="R17" s="5"/>
    </row>
    <row r="18" spans="3:18" s="11" customFormat="1"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Q18" s="5"/>
      <c r="R18" s="5"/>
    </row>
    <row r="19" spans="3:18" s="11" customFormat="1"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Q19" s="5"/>
      <c r="R19" s="5"/>
    </row>
    <row r="20" spans="3:18" s="11" customForma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Q20" s="5"/>
      <c r="R20" s="5"/>
    </row>
    <row r="21" spans="3:18" s="11" customFormat="1"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Q21" s="5"/>
      <c r="R21" s="5"/>
    </row>
    <row r="42" spans="4:16" ht="15">
      <c r="D42" s="4" t="s">
        <v>34</v>
      </c>
      <c r="O42" s="45" t="s">
        <v>47</v>
      </c>
      <c r="P42" s="42">
        <f>E43</f>
        <v>42064</v>
      </c>
    </row>
    <row r="43" spans="4:16">
      <c r="D43" s="20"/>
      <c r="E43" s="21">
        <f>Historical!D3</f>
        <v>42064</v>
      </c>
      <c r="F43" s="21">
        <f>E43-DAY(E43-1)</f>
        <v>42036</v>
      </c>
      <c r="G43" s="21">
        <f t="shared" ref="G43:P43" si="0">F43-DAY(F43-1)</f>
        <v>42005</v>
      </c>
      <c r="H43" s="21">
        <f t="shared" si="0"/>
        <v>41974</v>
      </c>
      <c r="I43" s="21">
        <f t="shared" si="0"/>
        <v>41944</v>
      </c>
      <c r="J43" s="21">
        <f t="shared" si="0"/>
        <v>41913</v>
      </c>
      <c r="K43" s="21">
        <f t="shared" si="0"/>
        <v>41883</v>
      </c>
      <c r="L43" s="21">
        <f t="shared" si="0"/>
        <v>41852</v>
      </c>
      <c r="M43" s="21">
        <f t="shared" si="0"/>
        <v>41821</v>
      </c>
      <c r="N43" s="21">
        <f t="shared" si="0"/>
        <v>41791</v>
      </c>
      <c r="O43" s="21">
        <f t="shared" si="0"/>
        <v>41760</v>
      </c>
      <c r="P43" s="21">
        <f t="shared" si="0"/>
        <v>41730</v>
      </c>
    </row>
    <row r="44" spans="4:16">
      <c r="D44" s="25" t="s">
        <v>41</v>
      </c>
      <c r="E44" s="38">
        <f>Historical!D12</f>
        <v>1271.9012419999999</v>
      </c>
      <c r="F44" s="38">
        <f>Historical!E12</f>
        <v>1869.668083</v>
      </c>
      <c r="G44" s="38">
        <f>Historical!F12</f>
        <v>1351.4870330000001</v>
      </c>
      <c r="H44" s="38">
        <f>Historical!G12</f>
        <v>1487.383145</v>
      </c>
      <c r="I44" s="38">
        <f>Historical!H12</f>
        <v>631.309303</v>
      </c>
      <c r="J44" s="38">
        <f>Historical!I12</f>
        <v>1806.3831130000001</v>
      </c>
      <c r="K44" s="38">
        <f>Historical!J12</f>
        <v>1381.851236</v>
      </c>
      <c r="L44" s="38">
        <f>Historical!K12</f>
        <v>1440.4477830000001</v>
      </c>
      <c r="M44" s="38">
        <f>Historical!L12</f>
        <v>1750.904626</v>
      </c>
      <c r="N44" s="38">
        <f>Historical!M12</f>
        <v>1270.61709</v>
      </c>
      <c r="O44" s="38">
        <f>Historical!N12</f>
        <v>1092.7914330000001</v>
      </c>
      <c r="P44" s="38">
        <f>Historical!O12</f>
        <v>1001.427874</v>
      </c>
    </row>
    <row r="45" spans="4:16">
      <c r="D45" s="25" t="s">
        <v>42</v>
      </c>
      <c r="E45" s="38">
        <f>Historical!D13</f>
        <v>126.62054500000001</v>
      </c>
      <c r="F45" s="38">
        <f>Historical!E13</f>
        <v>88.755101999999994</v>
      </c>
      <c r="G45" s="38">
        <f>Historical!F13</f>
        <v>101.114385</v>
      </c>
      <c r="H45" s="38">
        <f>Historical!G13</f>
        <v>156.006867</v>
      </c>
      <c r="I45" s="38">
        <f>Historical!H13</f>
        <v>146.48360299999999</v>
      </c>
      <c r="J45" s="38">
        <f>Historical!I13</f>
        <v>191.321043</v>
      </c>
      <c r="K45" s="38">
        <f>Historical!J13</f>
        <v>178.03603699999999</v>
      </c>
      <c r="L45" s="38">
        <f>Historical!K13</f>
        <v>139.66367399999999</v>
      </c>
      <c r="M45" s="38">
        <f>Historical!L13</f>
        <v>165.89473000000001</v>
      </c>
      <c r="N45" s="38">
        <f>Historical!M13</f>
        <v>154.25394900000001</v>
      </c>
      <c r="O45" s="38">
        <f>Historical!N13</f>
        <v>129.006135</v>
      </c>
      <c r="P45" s="38">
        <f>Historical!O13</f>
        <v>113.376698</v>
      </c>
    </row>
    <row r="46" spans="4:16">
      <c r="D46" s="25" t="s">
        <v>43</v>
      </c>
      <c r="E46" s="38">
        <f>Historical!D14</f>
        <v>34.611970999999997</v>
      </c>
      <c r="F46" s="38">
        <f>Historical!E14</f>
        <v>100.420654</v>
      </c>
      <c r="G46" s="38">
        <f>Historical!F14</f>
        <v>116.714969</v>
      </c>
      <c r="H46" s="38">
        <f>Historical!G14</f>
        <v>523.01698199999998</v>
      </c>
      <c r="I46" s="38">
        <f>Historical!H14</f>
        <v>151.60493199999999</v>
      </c>
      <c r="J46" s="38">
        <f>Historical!I14</f>
        <v>276.556307</v>
      </c>
      <c r="K46" s="38">
        <f>Historical!J14</f>
        <v>119.56244599999999</v>
      </c>
      <c r="L46" s="38">
        <f>Historical!K14</f>
        <v>289.48586899999998</v>
      </c>
      <c r="M46" s="38">
        <f>Historical!L14</f>
        <v>257.15189299999997</v>
      </c>
      <c r="N46" s="38">
        <f>Historical!M14</f>
        <v>179.69948600000001</v>
      </c>
      <c r="O46" s="38">
        <f>Historical!N14</f>
        <v>138.34239500000001</v>
      </c>
      <c r="P46" s="38">
        <f>Historical!O14</f>
        <v>120.692903</v>
      </c>
    </row>
    <row r="47" spans="4:16">
      <c r="D47" s="25" t="s">
        <v>37</v>
      </c>
      <c r="E47" s="38">
        <f>Historical!D15</f>
        <v>1132.393996</v>
      </c>
      <c r="F47" s="38">
        <f>Historical!E15</f>
        <v>1158.064789</v>
      </c>
      <c r="G47" s="38">
        <f>Historical!F15</f>
        <v>925.24031400000001</v>
      </c>
      <c r="H47" s="38">
        <f>Historical!G15</f>
        <v>1010.410896</v>
      </c>
      <c r="I47" s="38">
        <f>Historical!H15</f>
        <v>1023.640722</v>
      </c>
      <c r="J47" s="38">
        <f>Historical!I15</f>
        <v>1266.6669059999999</v>
      </c>
      <c r="K47" s="38">
        <f>Historical!J15</f>
        <v>1414.3708039999999</v>
      </c>
      <c r="L47" s="38">
        <f>Historical!K15</f>
        <v>1177.9323870000001</v>
      </c>
      <c r="M47" s="38">
        <f>Historical!L15</f>
        <v>1362.312518</v>
      </c>
      <c r="N47" s="38">
        <f>Historical!M15</f>
        <v>1098.455565</v>
      </c>
      <c r="O47" s="38">
        <f>Historical!N15</f>
        <v>948.22808399999997</v>
      </c>
      <c r="P47" s="38">
        <f>Historical!O15</f>
        <v>646.47286799999995</v>
      </c>
    </row>
    <row r="48" spans="4:16">
      <c r="D48" s="25" t="s">
        <v>38</v>
      </c>
      <c r="E48" s="38">
        <f>Historical!D16</f>
        <v>1671.922926</v>
      </c>
      <c r="F48" s="38">
        <f>Historical!E16</f>
        <v>1839.649584</v>
      </c>
      <c r="G48" s="38">
        <f>Historical!F16</f>
        <v>1865.2033469999999</v>
      </c>
      <c r="H48" s="38">
        <f>Historical!G16</f>
        <v>2069.0522599999999</v>
      </c>
      <c r="I48" s="38">
        <f>Historical!H16</f>
        <v>1978.634063</v>
      </c>
      <c r="J48" s="38">
        <f>Historical!I16</f>
        <v>2160.5422170000002</v>
      </c>
      <c r="K48" s="38">
        <f>Historical!J16</f>
        <v>2318.7049270000002</v>
      </c>
      <c r="L48" s="38">
        <f>Historical!K16</f>
        <v>1859.701155</v>
      </c>
      <c r="M48" s="38">
        <f>Historical!L16</f>
        <v>1970.336632</v>
      </c>
      <c r="N48" s="38">
        <f>Historical!M16</f>
        <v>1825.687394</v>
      </c>
      <c r="O48" s="38">
        <f>Historical!N16</f>
        <v>1628.6536880000001</v>
      </c>
      <c r="P48" s="38">
        <f>Historical!O16</f>
        <v>1497.6031889999999</v>
      </c>
    </row>
    <row r="49" spans="4:16">
      <c r="D49" s="25" t="s">
        <v>39</v>
      </c>
      <c r="E49" s="38">
        <f>Historical!D17</f>
        <v>685.80228399999999</v>
      </c>
      <c r="F49" s="38">
        <f>Historical!E17</f>
        <v>820.42824800000005</v>
      </c>
      <c r="G49" s="38">
        <f>Historical!F17</f>
        <v>800.24946399999999</v>
      </c>
      <c r="H49" s="38">
        <f>Historical!G17</f>
        <v>997.89513699999998</v>
      </c>
      <c r="I49" s="38">
        <f>Historical!H17</f>
        <v>899.04130099999998</v>
      </c>
      <c r="J49" s="38">
        <f>Historical!I17</f>
        <v>964.28876100000002</v>
      </c>
      <c r="K49" s="38">
        <f>Historical!J17</f>
        <v>1016.058366</v>
      </c>
      <c r="L49" s="38">
        <f>Historical!K17</f>
        <v>838.62673299999994</v>
      </c>
      <c r="M49" s="38">
        <f>Historical!L17</f>
        <v>948.547505</v>
      </c>
      <c r="N49" s="38">
        <f>Historical!M17</f>
        <v>841.54337999999996</v>
      </c>
      <c r="O49" s="38">
        <f>Historical!N17</f>
        <v>741.33894599999996</v>
      </c>
      <c r="P49" s="38">
        <f>Historical!O17</f>
        <v>691.22504800000002</v>
      </c>
    </row>
    <row r="50" spans="4:16">
      <c r="D50" s="25" t="s">
        <v>40</v>
      </c>
      <c r="E50" s="38">
        <f>Historical!D18</f>
        <v>399.01280600000001</v>
      </c>
      <c r="F50" s="38">
        <f>Historical!E18</f>
        <v>527.56604000000004</v>
      </c>
      <c r="G50" s="38">
        <f>Historical!F18</f>
        <v>579.12251300000003</v>
      </c>
      <c r="H50" s="38">
        <f>Historical!G18</f>
        <v>622.88370899999995</v>
      </c>
      <c r="I50" s="38">
        <f>Historical!H18</f>
        <v>640.02457400000003</v>
      </c>
      <c r="J50" s="38">
        <f>Historical!I18</f>
        <v>684.93568900000002</v>
      </c>
      <c r="K50" s="38">
        <f>Historical!J18</f>
        <v>606.67093399999999</v>
      </c>
      <c r="L50" s="38">
        <f>Historical!K18</f>
        <v>539.72638300000006</v>
      </c>
      <c r="M50" s="38">
        <f>Historical!L18</f>
        <v>615.29756299999997</v>
      </c>
      <c r="N50" s="38">
        <f>Historical!M18</f>
        <v>536.38049799999999</v>
      </c>
      <c r="O50" s="38">
        <f>Historical!N18</f>
        <v>509.91414900000001</v>
      </c>
      <c r="P50" s="38">
        <f>Historical!O18</f>
        <v>487.34033399999998</v>
      </c>
    </row>
    <row r="51" spans="4:16">
      <c r="D51" s="25" t="s">
        <v>46</v>
      </c>
      <c r="E51" s="38">
        <f>Historical!D19</f>
        <v>364.49334599999997</v>
      </c>
      <c r="F51" s="38">
        <f>Historical!E19</f>
        <v>406.48077999999998</v>
      </c>
      <c r="G51" s="38">
        <f>Historical!F19</f>
        <v>407.29637700000001</v>
      </c>
      <c r="H51" s="38">
        <f>Historical!G19</f>
        <v>703.71646299999998</v>
      </c>
      <c r="I51" s="38">
        <f>Historical!H19</f>
        <v>194.118752</v>
      </c>
      <c r="J51" s="38">
        <f>Historical!I19</f>
        <v>379.70020099999999</v>
      </c>
      <c r="K51" s="38">
        <f>Historical!J19</f>
        <v>462.31363599999997</v>
      </c>
      <c r="L51" s="38">
        <f>Historical!K19</f>
        <v>276.99817400000001</v>
      </c>
      <c r="M51" s="38">
        <f>Historical!L19</f>
        <v>211.430835</v>
      </c>
      <c r="N51" s="38">
        <f>Historical!M19</f>
        <v>246.87277800000001</v>
      </c>
      <c r="O51" s="38">
        <f>Historical!N19</f>
        <v>203.658897</v>
      </c>
      <c r="P51" s="38">
        <f>Historical!O19</f>
        <v>202.18682799999999</v>
      </c>
    </row>
    <row r="52" spans="4:16">
      <c r="D52" s="28" t="s">
        <v>32</v>
      </c>
      <c r="E52" s="39">
        <f>SUM(E44:E51)</f>
        <v>5686.7591160000002</v>
      </c>
      <c r="F52" s="39">
        <f t="shared" ref="F52:P52" si="1">SUM(F44:F51)</f>
        <v>6811.0332799999996</v>
      </c>
      <c r="G52" s="39">
        <f t="shared" si="1"/>
        <v>6146.4284020000005</v>
      </c>
      <c r="H52" s="39">
        <f t="shared" si="1"/>
        <v>7570.3654589999996</v>
      </c>
      <c r="I52" s="39">
        <f t="shared" si="1"/>
        <v>5664.85725</v>
      </c>
      <c r="J52" s="39">
        <f t="shared" si="1"/>
        <v>7730.3942369999995</v>
      </c>
      <c r="K52" s="39">
        <f t="shared" si="1"/>
        <v>7497.5683859999999</v>
      </c>
      <c r="L52" s="39">
        <f t="shared" si="1"/>
        <v>6562.5821580000002</v>
      </c>
      <c r="M52" s="39">
        <f t="shared" si="1"/>
        <v>7281.8763019999997</v>
      </c>
      <c r="N52" s="39">
        <f t="shared" si="1"/>
        <v>6153.5101399999994</v>
      </c>
      <c r="O52" s="39">
        <f t="shared" si="1"/>
        <v>5391.9337270000005</v>
      </c>
      <c r="P52" s="39">
        <f t="shared" si="1"/>
        <v>4760.3257419999991</v>
      </c>
    </row>
    <row r="53" spans="4:16">
      <c r="D53" s="26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</row>
    <row r="54" spans="4:16" ht="15">
      <c r="D54" s="4" t="s">
        <v>35</v>
      </c>
      <c r="L54" s="4" t="s">
        <v>45</v>
      </c>
    </row>
    <row r="55" spans="4:16" customFormat="1" ht="15">
      <c r="D55" s="6"/>
      <c r="E55" s="7" t="s">
        <v>33</v>
      </c>
      <c r="F55" s="8" t="s">
        <v>11</v>
      </c>
      <c r="G55" s="8" t="s">
        <v>12</v>
      </c>
      <c r="H55" s="8" t="s">
        <v>13</v>
      </c>
      <c r="I55" s="8" t="s">
        <v>14</v>
      </c>
      <c r="K55" s="5"/>
      <c r="L55" s="6"/>
      <c r="M55" s="8" t="s">
        <v>11</v>
      </c>
      <c r="N55" s="8" t="s">
        <v>12</v>
      </c>
      <c r="O55" s="8" t="s">
        <v>13</v>
      </c>
      <c r="P55" s="8" t="s">
        <v>14</v>
      </c>
    </row>
    <row r="56" spans="4:16" customFormat="1" ht="15">
      <c r="D56" s="25" t="s">
        <v>41</v>
      </c>
      <c r="E56" s="38">
        <f>E44</f>
        <v>1271.9012419999999</v>
      </c>
      <c r="F56" s="38">
        <f>E44-F44</f>
        <v>-597.76684100000011</v>
      </c>
      <c r="G56" s="38">
        <f>E44-H44</f>
        <v>-215.4819030000001</v>
      </c>
      <c r="H56" s="38">
        <f>E44-K44</f>
        <v>-109.94999400000006</v>
      </c>
      <c r="I56" s="38">
        <f>E44-P44</f>
        <v>270.47336799999994</v>
      </c>
      <c r="K56" s="5"/>
      <c r="L56" s="25" t="s">
        <v>41</v>
      </c>
      <c r="M56" s="40">
        <f>F56/F44*100</f>
        <v>-31.971816090524776</v>
      </c>
      <c r="N56" s="40">
        <f>G56/H44*100</f>
        <v>-14.487316447303167</v>
      </c>
      <c r="O56" s="40">
        <f>H56/K44*100</f>
        <v>-7.9567171295709613</v>
      </c>
      <c r="P56" s="40">
        <f>I56/P44*100</f>
        <v>27.008771677150257</v>
      </c>
    </row>
    <row r="57" spans="4:16" customFormat="1" ht="15">
      <c r="D57" s="25" t="s">
        <v>42</v>
      </c>
      <c r="E57" s="38">
        <f t="shared" ref="E57:E63" si="2">E45</f>
        <v>126.62054500000001</v>
      </c>
      <c r="F57" s="38">
        <f t="shared" ref="F57:F63" si="3">E45-F45</f>
        <v>37.865443000000013</v>
      </c>
      <c r="G57" s="38">
        <f t="shared" ref="G57:G62" si="4">E45-H45</f>
        <v>-29.386321999999993</v>
      </c>
      <c r="H57" s="38">
        <f t="shared" ref="H57:H62" si="5">E45-K45</f>
        <v>-51.415491999999986</v>
      </c>
      <c r="I57" s="38">
        <f t="shared" ref="I57:I62" si="6">E45-P45</f>
        <v>13.243847000000002</v>
      </c>
      <c r="K57" s="5"/>
      <c r="L57" s="25" t="s">
        <v>42</v>
      </c>
      <c r="M57" s="40">
        <f>F57/F45*100</f>
        <v>42.66283531508985</v>
      </c>
      <c r="N57" s="40">
        <f>G57/H45*100</f>
        <v>-18.836556726698443</v>
      </c>
      <c r="O57" s="40">
        <f>H57/K45*100</f>
        <v>-28.879261112737524</v>
      </c>
      <c r="P57" s="40">
        <f>I57/P45*100</f>
        <v>11.681277752506077</v>
      </c>
    </row>
    <row r="58" spans="4:16" customFormat="1" ht="15">
      <c r="D58" s="25" t="s">
        <v>43</v>
      </c>
      <c r="E58" s="38">
        <f t="shared" si="2"/>
        <v>34.611970999999997</v>
      </c>
      <c r="F58" s="38">
        <f t="shared" si="3"/>
        <v>-65.808683000000002</v>
      </c>
      <c r="G58" s="38">
        <f t="shared" si="4"/>
        <v>-488.405011</v>
      </c>
      <c r="H58" s="38">
        <f t="shared" si="5"/>
        <v>-84.950474999999997</v>
      </c>
      <c r="I58" s="38">
        <f t="shared" si="6"/>
        <v>-86.080932000000004</v>
      </c>
      <c r="K58" s="5"/>
      <c r="L58" s="25" t="s">
        <v>43</v>
      </c>
      <c r="M58" s="40">
        <f>F58/F46*100</f>
        <v>-65.533015747935679</v>
      </c>
      <c r="N58" s="40">
        <f>G58/H46*100</f>
        <v>-93.382247194413281</v>
      </c>
      <c r="O58" s="40">
        <f>H58/K46*100</f>
        <v>-71.051135069618766</v>
      </c>
      <c r="P58" s="40">
        <f>I58/P46*100</f>
        <v>-71.322281476649877</v>
      </c>
    </row>
    <row r="59" spans="4:16" customFormat="1" ht="15">
      <c r="D59" s="25" t="s">
        <v>37</v>
      </c>
      <c r="E59" s="38">
        <f t="shared" si="2"/>
        <v>1132.393996</v>
      </c>
      <c r="F59" s="38">
        <f t="shared" si="3"/>
        <v>-25.670793000000003</v>
      </c>
      <c r="G59" s="38">
        <f t="shared" si="4"/>
        <v>121.98310000000004</v>
      </c>
      <c r="H59" s="38">
        <f t="shared" si="5"/>
        <v>-281.97680799999989</v>
      </c>
      <c r="I59" s="38">
        <f t="shared" si="6"/>
        <v>485.92112800000007</v>
      </c>
      <c r="K59" s="5"/>
      <c r="L59" s="25" t="s">
        <v>37</v>
      </c>
      <c r="M59" s="40">
        <f>F59/F47*100</f>
        <v>-2.2166974804723125</v>
      </c>
      <c r="N59" s="40">
        <f>G59/H47*100</f>
        <v>12.072623175670905</v>
      </c>
      <c r="O59" s="40">
        <f>H59/K47*100</f>
        <v>-19.936554629276689</v>
      </c>
      <c r="P59" s="40">
        <f>I59/P47*100</f>
        <v>75.164968562918887</v>
      </c>
    </row>
    <row r="60" spans="4:16" customFormat="1" ht="15">
      <c r="D60" s="25" t="s">
        <v>38</v>
      </c>
      <c r="E60" s="38">
        <f t="shared" si="2"/>
        <v>1671.922926</v>
      </c>
      <c r="F60" s="38">
        <f t="shared" si="3"/>
        <v>-167.72665800000004</v>
      </c>
      <c r="G60" s="38">
        <f t="shared" si="4"/>
        <v>-397.12933399999997</v>
      </c>
      <c r="H60" s="38">
        <f t="shared" si="5"/>
        <v>-646.78200100000026</v>
      </c>
      <c r="I60" s="38">
        <f t="shared" si="6"/>
        <v>174.31973700000003</v>
      </c>
      <c r="K60" s="5"/>
      <c r="L60" s="25" t="s">
        <v>38</v>
      </c>
      <c r="M60" s="40">
        <f>F60/F48*100</f>
        <v>-9.1173155724204502</v>
      </c>
      <c r="N60" s="40">
        <f>G60/H48*100</f>
        <v>-19.193779764654177</v>
      </c>
      <c r="O60" s="40">
        <f>H60/K48*100</f>
        <v>-27.894105604753399</v>
      </c>
      <c r="P60" s="40">
        <f>I60/P48*100</f>
        <v>11.639914917408742</v>
      </c>
    </row>
    <row r="61" spans="4:16" customFormat="1" ht="15">
      <c r="D61" s="25" t="s">
        <v>39</v>
      </c>
      <c r="E61" s="38">
        <f t="shared" si="2"/>
        <v>685.80228399999999</v>
      </c>
      <c r="F61" s="38">
        <f t="shared" si="3"/>
        <v>-134.62596400000007</v>
      </c>
      <c r="G61" s="38">
        <f t="shared" si="4"/>
        <v>-312.09285299999999</v>
      </c>
      <c r="H61" s="38">
        <f t="shared" si="5"/>
        <v>-330.25608199999999</v>
      </c>
      <c r="I61" s="38">
        <f t="shared" si="6"/>
        <v>-5.4227640000000292</v>
      </c>
      <c r="K61" s="5"/>
      <c r="L61" s="25" t="s">
        <v>39</v>
      </c>
      <c r="M61" s="40">
        <f>F61/F49*100</f>
        <v>-16.409230707034368</v>
      </c>
      <c r="N61" s="40">
        <f>G61/H49*100</f>
        <v>-31.275115132663483</v>
      </c>
      <c r="O61" s="40">
        <f>H61/K49*100</f>
        <v>-32.503652649418761</v>
      </c>
      <c r="P61" s="40">
        <f>I61/P49*100</f>
        <v>-0.78451497319003827</v>
      </c>
    </row>
    <row r="62" spans="4:16" customFormat="1" ht="15">
      <c r="D62" s="25" t="s">
        <v>40</v>
      </c>
      <c r="E62" s="38">
        <f t="shared" si="2"/>
        <v>399.01280600000001</v>
      </c>
      <c r="F62" s="38">
        <f t="shared" si="3"/>
        <v>-128.55323400000003</v>
      </c>
      <c r="G62" s="38">
        <f t="shared" si="4"/>
        <v>-223.87090299999994</v>
      </c>
      <c r="H62" s="38">
        <f t="shared" si="5"/>
        <v>-207.65812799999998</v>
      </c>
      <c r="I62" s="38">
        <f t="shared" si="6"/>
        <v>-88.327527999999973</v>
      </c>
      <c r="K62" s="5"/>
      <c r="L62" s="25" t="s">
        <v>40</v>
      </c>
      <c r="M62" s="40">
        <f>F62/F50*100</f>
        <v>-24.367230688313452</v>
      </c>
      <c r="N62" s="40">
        <f>G62/H50*100</f>
        <v>-35.941043210041627</v>
      </c>
      <c r="O62" s="40">
        <f>H62/K50*100</f>
        <v>-34.229120988347859</v>
      </c>
      <c r="P62" s="40">
        <f>I62/P50*100</f>
        <v>-18.124403386648471</v>
      </c>
    </row>
    <row r="63" spans="4:16" customFormat="1" ht="15">
      <c r="D63" s="25" t="s">
        <v>46</v>
      </c>
      <c r="E63" s="38">
        <f t="shared" si="2"/>
        <v>364.49334599999997</v>
      </c>
      <c r="F63" s="38">
        <f t="shared" si="3"/>
        <v>-41.987434000000007</v>
      </c>
      <c r="G63" s="38">
        <f t="shared" ref="G63" si="7">E51-H51</f>
        <v>-339.223117</v>
      </c>
      <c r="H63" s="38">
        <f t="shared" ref="H63" si="8">E51-K51</f>
        <v>-97.82029</v>
      </c>
      <c r="I63" s="38">
        <f t="shared" ref="I63" si="9">E51-P51</f>
        <v>162.30651799999998</v>
      </c>
      <c r="K63" s="5"/>
      <c r="L63" s="25" t="s">
        <v>46</v>
      </c>
      <c r="M63" s="40">
        <f>F63/F51*100</f>
        <v>-10.32950045018119</v>
      </c>
      <c r="N63" s="40">
        <f>G63/H51*100</f>
        <v>-48.204516283996611</v>
      </c>
      <c r="O63" s="40">
        <f>H63/K51*100</f>
        <v>-21.158858918018158</v>
      </c>
      <c r="P63" s="40">
        <f>I63/P51*100</f>
        <v>80.27551527738494</v>
      </c>
    </row>
    <row r="64" spans="4:16" customFormat="1" ht="15">
      <c r="D64" s="28" t="s">
        <v>32</v>
      </c>
      <c r="E64" s="39">
        <f>SUM(E56:E62)</f>
        <v>5322.26577</v>
      </c>
      <c r="F64" s="39">
        <f t="shared" ref="F64:I64" si="10">SUM(F56:F62)</f>
        <v>-1082.2867300000003</v>
      </c>
      <c r="G64" s="39">
        <f t="shared" si="10"/>
        <v>-1544.3832259999999</v>
      </c>
      <c r="H64" s="39">
        <f t="shared" si="10"/>
        <v>-1712.9889800000001</v>
      </c>
      <c r="I64" s="39">
        <f t="shared" si="10"/>
        <v>764.12685600000009</v>
      </c>
      <c r="K64" s="5"/>
      <c r="L64" s="28" t="s">
        <v>32</v>
      </c>
      <c r="M64" s="41">
        <f t="shared" ref="M64" si="11">F64/F52*100</f>
        <v>-15.890198821639004</v>
      </c>
      <c r="N64" s="41">
        <f t="shared" ref="N64" si="12">G64/H52*100</f>
        <v>-20.400378744779964</v>
      </c>
      <c r="O64" s="41">
        <f t="shared" ref="O64" si="13">H64/K52*100</f>
        <v>-22.847260495797766</v>
      </c>
      <c r="P64" s="41">
        <f t="shared" ref="P64" si="14">I64/P52*100</f>
        <v>16.051986721374252</v>
      </c>
    </row>
    <row r="65" customFormat="1" ht="15"/>
    <row r="66" customFormat="1" ht="15"/>
    <row r="67" customFormat="1" ht="15"/>
    <row r="68" customFormat="1" ht="15"/>
    <row r="69" customFormat="1" ht="15"/>
    <row r="70" customFormat="1" ht="15"/>
    <row r="94" spans="16:17">
      <c r="P94" s="12" t="s">
        <v>10</v>
      </c>
      <c r="Q94" s="13" t="s">
        <v>6</v>
      </c>
    </row>
    <row r="95" spans="16:17">
      <c r="Q95" s="13" t="s">
        <v>7</v>
      </c>
    </row>
    <row r="96" spans="16:17">
      <c r="Q96" s="13" t="s">
        <v>8</v>
      </c>
    </row>
    <row r="97" spans="17:17">
      <c r="Q97" s="14" t="s">
        <v>9</v>
      </c>
    </row>
  </sheetData>
  <hyperlinks>
    <hyperlink ref="Q94" r:id="rId1" location="closeModal"/>
    <hyperlink ref="Q95" r:id="rId2"/>
    <hyperlink ref="Q97" r:id="rId3"/>
    <hyperlink ref="Q96" r:id="rId4" location="key-benefits"/>
  </hyperlinks>
  <pageMargins left="0.25" right="0.25" top="0.255" bottom="0.25" header="0.1" footer="0.1"/>
  <pageSetup scale="66" orientation="landscape" horizontalDpi="300" verticalDpi="300" r:id="rId5"/>
  <headerFooter scaleWithDoc="0">
    <oddHeader>&amp;L&amp;G&amp;C&amp;"-,Bold"&amp;10&amp;K2E398A
&amp;15&amp;K2E398ATrends In Specified Pool Issuance&amp;R&amp;"-,Bold"&amp;10&amp;K2E398A
As of 04/07/2015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O19"/>
  <sheetViews>
    <sheetView workbookViewId="0">
      <selection activeCell="K25" sqref="K25"/>
    </sheetView>
  </sheetViews>
  <sheetFormatPr defaultRowHeight="15"/>
  <cols>
    <col min="3" max="3" width="12.7109375" bestFit="1" customWidth="1"/>
    <col min="4" max="4" width="15.85546875" bestFit="1" customWidth="1"/>
    <col min="7" max="9" width="9.7109375" bestFit="1" customWidth="1"/>
  </cols>
  <sheetData>
    <row r="3" spans="3:15">
      <c r="C3" s="20"/>
      <c r="D3" s="21">
        <f>Report!U9</f>
        <v>42064</v>
      </c>
      <c r="E3" s="21">
        <f>D3-DAY(D3-1)</f>
        <v>42036</v>
      </c>
      <c r="F3" s="21">
        <f t="shared" ref="F3:O3" si="0">E3-DAY(E3-1)</f>
        <v>42005</v>
      </c>
      <c r="G3" s="21">
        <f t="shared" si="0"/>
        <v>41974</v>
      </c>
      <c r="H3" s="21">
        <f t="shared" si="0"/>
        <v>41944</v>
      </c>
      <c r="I3" s="21">
        <f t="shared" si="0"/>
        <v>41913</v>
      </c>
      <c r="J3" s="21">
        <f t="shared" si="0"/>
        <v>41883</v>
      </c>
      <c r="K3" s="21">
        <f t="shared" si="0"/>
        <v>41852</v>
      </c>
      <c r="L3" s="21">
        <f t="shared" si="0"/>
        <v>41821</v>
      </c>
      <c r="M3" s="21">
        <f t="shared" si="0"/>
        <v>41791</v>
      </c>
      <c r="N3" s="21">
        <f t="shared" si="0"/>
        <v>41760</v>
      </c>
      <c r="O3" s="21">
        <f t="shared" si="0"/>
        <v>41730</v>
      </c>
    </row>
    <row r="4" spans="3:15">
      <c r="C4" s="22" t="s">
        <v>31</v>
      </c>
      <c r="D4" s="24">
        <f>VLOOKUP(D$3,CurrentMtgRatesDataTable826[[issueDate]:[CR]],3,0)/1000000</f>
        <v>1012.026911</v>
      </c>
      <c r="E4" s="24">
        <f>VLOOKUP(E$3,CurrentMtgRatesDataTable826[[issueDate]:[CR]],3,0)/1000000</f>
        <v>821.12825999999995</v>
      </c>
      <c r="F4" s="24">
        <f>VLOOKUP(F$3,CurrentMtgRatesDataTable826[[issueDate]:[CR]],3,0)/1000000</f>
        <v>667.43471099999999</v>
      </c>
      <c r="G4" s="24">
        <f>VLOOKUP(G$3,CurrentMtgRatesDataTable826[[issueDate]:[CR]],3,0)/1000000</f>
        <v>771.02875400000005</v>
      </c>
      <c r="H4" s="24">
        <f>VLOOKUP(H$3,CurrentMtgRatesDataTable826[[issueDate]:[CR]],3,0)/1000000</f>
        <v>549.34720200000004</v>
      </c>
      <c r="I4" s="24">
        <f>VLOOKUP(I$3,CurrentMtgRatesDataTable826[[issueDate]:[CR]],3,0)/1000000</f>
        <v>639.00119299999994</v>
      </c>
      <c r="J4" s="24">
        <f>VLOOKUP(J$3,CurrentMtgRatesDataTable826[[issueDate]:[CR]],3,0)/1000000</f>
        <v>746.26410499999997</v>
      </c>
      <c r="K4" s="24">
        <f>VLOOKUP(K$3,CurrentMtgRatesDataTable826[[issueDate]:[CR]],3,0)/1000000</f>
        <v>449.79729500000002</v>
      </c>
      <c r="L4" s="24">
        <f>VLOOKUP(L$3,CurrentMtgRatesDataTable826[[issueDate]:[CR]],3,0)/1000000</f>
        <v>562.39022199999999</v>
      </c>
      <c r="M4" s="24">
        <f>VLOOKUP(M$3,CurrentMtgRatesDataTable826[[issueDate]:[CR]],3,0)/1000000</f>
        <v>319.731336</v>
      </c>
      <c r="N4" s="24">
        <f>VLOOKUP(N$3,CurrentMtgRatesDataTable826[[issueDate]:[CR]],3,0)/1000000</f>
        <v>337.68890800000003</v>
      </c>
      <c r="O4" s="24">
        <f>VLOOKUP(O$3,CurrentMtgRatesDataTable826[[issueDate]:[CR]],3,0)/1000000</f>
        <v>278.28057699999999</v>
      </c>
    </row>
    <row r="5" spans="3:15">
      <c r="C5" s="22" t="s">
        <v>29</v>
      </c>
      <c r="D5" s="24">
        <f>VLOOKUP(D$3,CurrentMtgRatesDataTable826[[issueDate]:[CR]],4,0)/1000000</f>
        <v>104.94694200000001</v>
      </c>
      <c r="E5" s="24">
        <f>VLOOKUP(E$3,CurrentMtgRatesDataTable826[[issueDate]:[CR]],4,0)/1000000</f>
        <v>469.33425699999998</v>
      </c>
      <c r="F5" s="24">
        <f>VLOOKUP(F$3,CurrentMtgRatesDataTable826[[issueDate]:[CR]],4,0)/1000000</f>
        <v>120.675652</v>
      </c>
      <c r="G5" s="24">
        <f>VLOOKUP(G$3,CurrentMtgRatesDataTable826[[issueDate]:[CR]],4,0)/1000000</f>
        <v>145.992266</v>
      </c>
      <c r="H5" s="24">
        <f>VLOOKUP(H$3,CurrentMtgRatesDataTable826[[issueDate]:[CR]],4,0)/1000000</f>
        <v>371.096</v>
      </c>
      <c r="I5" s="24">
        <f>VLOOKUP(I$3,CurrentMtgRatesDataTable826[[issueDate]:[CR]],4,0)/1000000</f>
        <v>169.36623800000001</v>
      </c>
      <c r="J5" s="24">
        <f>VLOOKUP(J$3,CurrentMtgRatesDataTable826[[issueDate]:[CR]],4,0)/1000000</f>
        <v>187.30827199999999</v>
      </c>
      <c r="K5" s="24">
        <f>VLOOKUP(K$3,CurrentMtgRatesDataTable826[[issueDate]:[CR]],4,0)/1000000</f>
        <v>346.55488800000001</v>
      </c>
      <c r="L5" s="24">
        <f>VLOOKUP(L$3,CurrentMtgRatesDataTable826[[issueDate]:[CR]],4,0)/1000000</f>
        <v>206.48126400000001</v>
      </c>
      <c r="M5" s="24">
        <f>VLOOKUP(M$3,CurrentMtgRatesDataTable826[[issueDate]:[CR]],4,0)/1000000</f>
        <v>244.291451</v>
      </c>
      <c r="N5" s="24">
        <f>VLOOKUP(N$3,CurrentMtgRatesDataTable826[[issueDate]:[CR]],4,0)/1000000</f>
        <v>186.03763599999999</v>
      </c>
      <c r="O5" s="24">
        <f>VLOOKUP(O$3,CurrentMtgRatesDataTable826[[issueDate]:[CR]],4,0)/1000000</f>
        <v>255.206728</v>
      </c>
    </row>
    <row r="6" spans="3:15">
      <c r="C6" s="22" t="s">
        <v>30</v>
      </c>
      <c r="D6" s="24">
        <f>VLOOKUP(D$3,CurrentMtgRatesDataTable826[[issueDate]:[CR]],5,0)/1000000</f>
        <v>155.15015299999999</v>
      </c>
      <c r="E6" s="24">
        <f>VLOOKUP(E$3,CurrentMtgRatesDataTable826[[issueDate]:[CR]],5,0)/1000000</f>
        <v>127.31100600000001</v>
      </c>
      <c r="F6" s="24">
        <f>VLOOKUP(F$3,CurrentMtgRatesDataTable826[[issueDate]:[CR]],5,0)/1000000</f>
        <v>143.09628699999999</v>
      </c>
      <c r="G6" s="24">
        <f>VLOOKUP(G$3,CurrentMtgRatesDataTable826[[issueDate]:[CR]],5,0)/1000000</f>
        <v>1261.524465</v>
      </c>
      <c r="H6" s="24">
        <f>VLOOKUP(H$3,CurrentMtgRatesDataTable826[[issueDate]:[CR]],5,0)/1000000</f>
        <v>230.86616900000001</v>
      </c>
      <c r="I6" s="24">
        <f>VLOOKUP(I$3,CurrentMtgRatesDataTable826[[issueDate]:[CR]],5,0)/1000000</f>
        <v>385.88183400000003</v>
      </c>
      <c r="J6" s="24">
        <f>VLOOKUP(J$3,CurrentMtgRatesDataTable826[[issueDate]:[CR]],5,0)/1000000</f>
        <v>120.74541600000001</v>
      </c>
      <c r="K6" s="24">
        <f>VLOOKUP(K$3,CurrentMtgRatesDataTable826[[issueDate]:[CR]],5,0)/1000000</f>
        <v>330.91150199999998</v>
      </c>
      <c r="L6" s="24">
        <f>VLOOKUP(L$3,CurrentMtgRatesDataTable826[[issueDate]:[CR]],5,0)/1000000</f>
        <v>174.92783399999999</v>
      </c>
      <c r="M6" s="24">
        <f>VLOOKUP(M$3,CurrentMtgRatesDataTable826[[issueDate]:[CR]],5,0)/1000000</f>
        <v>275.221137</v>
      </c>
      <c r="N6" s="24">
        <f>VLOOKUP(N$3,CurrentMtgRatesDataTable826[[issueDate]:[CR]],5,0)/1000000</f>
        <v>110.770261</v>
      </c>
      <c r="O6" s="24">
        <f>VLOOKUP(O$3,CurrentMtgRatesDataTable826[[issueDate]:[CR]],5,0)/1000000</f>
        <v>294.93210499999998</v>
      </c>
    </row>
    <row r="7" spans="3:15">
      <c r="C7" s="22" t="s">
        <v>32</v>
      </c>
      <c r="D7" s="23">
        <f>SUM(D4:D6)</f>
        <v>1272.124006</v>
      </c>
      <c r="E7" s="23">
        <f t="shared" ref="E7:O7" si="1">SUM(E4:E6)</f>
        <v>1417.7735229999998</v>
      </c>
      <c r="F7" s="23">
        <f t="shared" si="1"/>
        <v>931.20664999999997</v>
      </c>
      <c r="G7" s="23">
        <f t="shared" si="1"/>
        <v>2178.5454850000001</v>
      </c>
      <c r="H7" s="23">
        <f t="shared" si="1"/>
        <v>1151.3093710000001</v>
      </c>
      <c r="I7" s="23">
        <f t="shared" si="1"/>
        <v>1194.2492649999999</v>
      </c>
      <c r="J7" s="23">
        <f t="shared" si="1"/>
        <v>1054.3177929999999</v>
      </c>
      <c r="K7" s="23">
        <f t="shared" si="1"/>
        <v>1127.2636849999999</v>
      </c>
      <c r="L7" s="23">
        <f t="shared" si="1"/>
        <v>943.79931999999997</v>
      </c>
      <c r="M7" s="23">
        <f t="shared" si="1"/>
        <v>839.24392399999999</v>
      </c>
      <c r="N7" s="23">
        <f t="shared" si="1"/>
        <v>634.49680499999999</v>
      </c>
      <c r="O7" s="23">
        <f t="shared" si="1"/>
        <v>828.41940999999997</v>
      </c>
    </row>
    <row r="11" spans="3:15">
      <c r="C11" s="20"/>
      <c r="D11" s="21">
        <f>D3</f>
        <v>42064</v>
      </c>
      <c r="E11" s="21">
        <f>D11-DAY(D11-1)</f>
        <v>42036</v>
      </c>
      <c r="F11" s="21">
        <f t="shared" ref="F11" si="2">E11-DAY(E11-1)</f>
        <v>42005</v>
      </c>
      <c r="G11" s="21">
        <f t="shared" ref="G11" si="3">F11-DAY(F11-1)</f>
        <v>41974</v>
      </c>
      <c r="H11" s="21">
        <f t="shared" ref="H11" si="4">G11-DAY(G11-1)</f>
        <v>41944</v>
      </c>
      <c r="I11" s="21">
        <f t="shared" ref="I11" si="5">H11-DAY(H11-1)</f>
        <v>41913</v>
      </c>
      <c r="J11" s="21">
        <f t="shared" ref="J11" si="6">I11-DAY(I11-1)</f>
        <v>41883</v>
      </c>
      <c r="K11" s="21">
        <f t="shared" ref="K11" si="7">J11-DAY(J11-1)</f>
        <v>41852</v>
      </c>
      <c r="L11" s="21">
        <f t="shared" ref="L11" si="8">K11-DAY(K11-1)</f>
        <v>41821</v>
      </c>
      <c r="M11" s="21">
        <f t="shared" ref="M11" si="9">L11-DAY(L11-1)</f>
        <v>41791</v>
      </c>
      <c r="N11" s="21">
        <f t="shared" ref="N11" si="10">M11-DAY(M11-1)</f>
        <v>41760</v>
      </c>
      <c r="O11" s="21">
        <f t="shared" ref="O11" si="11">N11-DAY(N11-1)</f>
        <v>41730</v>
      </c>
    </row>
    <row r="12" spans="3:15">
      <c r="C12" s="22" t="s">
        <v>41</v>
      </c>
      <c r="D12" s="36">
        <f>VLOOKUP(D$3,CurrentMtgRatesDataTable8268459[#All],2,0)/1000000</f>
        <v>1271.9012419999999</v>
      </c>
      <c r="E12" s="36">
        <f>VLOOKUP(E$3,CurrentMtgRatesDataTable8268459[#All],2,0)/1000000</f>
        <v>1869.668083</v>
      </c>
      <c r="F12" s="36">
        <f>VLOOKUP(F$3,CurrentMtgRatesDataTable8268459[#All],2,0)/1000000</f>
        <v>1351.4870330000001</v>
      </c>
      <c r="G12" s="36">
        <f>VLOOKUP(G$3,CurrentMtgRatesDataTable8268459[#All],2,0)/1000000</f>
        <v>1487.383145</v>
      </c>
      <c r="H12" s="36">
        <f>VLOOKUP(H$3,CurrentMtgRatesDataTable8268459[#All],2,0)/1000000</f>
        <v>631.309303</v>
      </c>
      <c r="I12" s="36">
        <f>VLOOKUP(I$3,CurrentMtgRatesDataTable8268459[#All],2,0)/1000000</f>
        <v>1806.3831130000001</v>
      </c>
      <c r="J12" s="36">
        <f>VLOOKUP(J$3,CurrentMtgRatesDataTable8268459[#All],2,0)/1000000</f>
        <v>1381.851236</v>
      </c>
      <c r="K12" s="36">
        <f>VLOOKUP(K$3,CurrentMtgRatesDataTable8268459[#All],2,0)/1000000</f>
        <v>1440.4477830000001</v>
      </c>
      <c r="L12" s="36">
        <f>VLOOKUP(L$3,CurrentMtgRatesDataTable8268459[#All],2,0)/1000000</f>
        <v>1750.904626</v>
      </c>
      <c r="M12" s="36">
        <f>VLOOKUP(M$3,CurrentMtgRatesDataTable8268459[#All],2,0)/1000000</f>
        <v>1270.61709</v>
      </c>
      <c r="N12" s="36">
        <f>VLOOKUP(N$3,CurrentMtgRatesDataTable8268459[#All],2,0)/1000000</f>
        <v>1092.7914330000001</v>
      </c>
      <c r="O12" s="36">
        <f>VLOOKUP(O$3,CurrentMtgRatesDataTable8268459[#All],2,0)/1000000</f>
        <v>1001.427874</v>
      </c>
    </row>
    <row r="13" spans="3:15">
      <c r="C13" s="22" t="s">
        <v>42</v>
      </c>
      <c r="D13" s="36">
        <f>VLOOKUP(D$3,CurrentMtgRatesDataTable8268459[#All],3,0)/1000000</f>
        <v>126.62054500000001</v>
      </c>
      <c r="E13" s="36">
        <f>VLOOKUP(E$3,CurrentMtgRatesDataTable8268459[#All],3,0)/1000000</f>
        <v>88.755101999999994</v>
      </c>
      <c r="F13" s="36">
        <f>VLOOKUP(F$3,CurrentMtgRatesDataTable8268459[#All],3,0)/1000000</f>
        <v>101.114385</v>
      </c>
      <c r="G13" s="36">
        <f>VLOOKUP(G$3,CurrentMtgRatesDataTable8268459[#All],3,0)/1000000</f>
        <v>156.006867</v>
      </c>
      <c r="H13" s="36">
        <f>VLOOKUP(H$3,CurrentMtgRatesDataTable8268459[#All],3,0)/1000000</f>
        <v>146.48360299999999</v>
      </c>
      <c r="I13" s="36">
        <f>VLOOKUP(I$3,CurrentMtgRatesDataTable8268459[#All],3,0)/1000000</f>
        <v>191.321043</v>
      </c>
      <c r="J13" s="36">
        <f>VLOOKUP(J$3,CurrentMtgRatesDataTable8268459[#All],3,0)/1000000</f>
        <v>178.03603699999999</v>
      </c>
      <c r="K13" s="36">
        <f>VLOOKUP(K$3,CurrentMtgRatesDataTable8268459[#All],3,0)/1000000</f>
        <v>139.66367399999999</v>
      </c>
      <c r="L13" s="36">
        <f>VLOOKUP(L$3,CurrentMtgRatesDataTable8268459[#All],3,0)/1000000</f>
        <v>165.89473000000001</v>
      </c>
      <c r="M13" s="36">
        <f>VLOOKUP(M$3,CurrentMtgRatesDataTable8268459[#All],3,0)/1000000</f>
        <v>154.25394900000001</v>
      </c>
      <c r="N13" s="36">
        <f>VLOOKUP(N$3,CurrentMtgRatesDataTable8268459[#All],3,0)/1000000</f>
        <v>129.006135</v>
      </c>
      <c r="O13" s="36">
        <f>VLOOKUP(O$3,CurrentMtgRatesDataTable8268459[#All],3,0)/1000000</f>
        <v>113.376698</v>
      </c>
    </row>
    <row r="14" spans="3:15">
      <c r="C14" s="22" t="s">
        <v>43</v>
      </c>
      <c r="D14" s="36">
        <f>VLOOKUP(D$3,CurrentMtgRatesDataTable8268459[#All],4,0)/1000000</f>
        <v>34.611970999999997</v>
      </c>
      <c r="E14" s="36">
        <f>VLOOKUP(E$3,CurrentMtgRatesDataTable8268459[#All],4,0)/1000000</f>
        <v>100.420654</v>
      </c>
      <c r="F14" s="36">
        <f>VLOOKUP(F$3,CurrentMtgRatesDataTable8268459[#All],4,0)/1000000</f>
        <v>116.714969</v>
      </c>
      <c r="G14" s="36">
        <f>VLOOKUP(G$3,CurrentMtgRatesDataTable8268459[#All],4,0)/1000000</f>
        <v>523.01698199999998</v>
      </c>
      <c r="H14" s="36">
        <f>VLOOKUP(H$3,CurrentMtgRatesDataTable8268459[#All],4,0)/1000000</f>
        <v>151.60493199999999</v>
      </c>
      <c r="I14" s="36">
        <f>VLOOKUP(I$3,CurrentMtgRatesDataTable8268459[#All],4,0)/1000000</f>
        <v>276.556307</v>
      </c>
      <c r="J14" s="36">
        <f>VLOOKUP(J$3,CurrentMtgRatesDataTable8268459[#All],4,0)/1000000</f>
        <v>119.56244599999999</v>
      </c>
      <c r="K14" s="36">
        <f>VLOOKUP(K$3,CurrentMtgRatesDataTable8268459[#All],4,0)/1000000</f>
        <v>289.48586899999998</v>
      </c>
      <c r="L14" s="36">
        <f>VLOOKUP(L$3,CurrentMtgRatesDataTable8268459[#All],4,0)/1000000</f>
        <v>257.15189299999997</v>
      </c>
      <c r="M14" s="36">
        <f>VLOOKUP(M$3,CurrentMtgRatesDataTable8268459[#All],4,0)/1000000</f>
        <v>179.69948600000001</v>
      </c>
      <c r="N14" s="36">
        <f>VLOOKUP(N$3,CurrentMtgRatesDataTable8268459[#All],4,0)/1000000</f>
        <v>138.34239500000001</v>
      </c>
      <c r="O14" s="36">
        <f>VLOOKUP(O$3,CurrentMtgRatesDataTable8268459[#All],4,0)/1000000</f>
        <v>120.692903</v>
      </c>
    </row>
    <row r="15" spans="3:15">
      <c r="C15" s="22" t="s">
        <v>37</v>
      </c>
      <c r="D15" s="36">
        <f>VLOOKUP(D$3,CurrentMtgRatesDataTable8268459[#All],5,0)/1000000</f>
        <v>1132.393996</v>
      </c>
      <c r="E15" s="36">
        <f>VLOOKUP(E$3,CurrentMtgRatesDataTable8268459[#All],5,0)/1000000</f>
        <v>1158.064789</v>
      </c>
      <c r="F15" s="36">
        <f>VLOOKUP(F$3,CurrentMtgRatesDataTable8268459[#All],5,0)/1000000</f>
        <v>925.24031400000001</v>
      </c>
      <c r="G15" s="36">
        <f>VLOOKUP(G$3,CurrentMtgRatesDataTable8268459[#All],5,0)/1000000</f>
        <v>1010.410896</v>
      </c>
      <c r="H15" s="36">
        <f>VLOOKUP(H$3,CurrentMtgRatesDataTable8268459[#All],5,0)/1000000</f>
        <v>1023.640722</v>
      </c>
      <c r="I15" s="36">
        <f>VLOOKUP(I$3,CurrentMtgRatesDataTable8268459[#All],5,0)/1000000</f>
        <v>1266.6669059999999</v>
      </c>
      <c r="J15" s="36">
        <f>VLOOKUP(J$3,CurrentMtgRatesDataTable8268459[#All],5,0)/1000000</f>
        <v>1414.3708039999999</v>
      </c>
      <c r="K15" s="36">
        <f>VLOOKUP(K$3,CurrentMtgRatesDataTable8268459[#All],5,0)/1000000</f>
        <v>1177.9323870000001</v>
      </c>
      <c r="L15" s="36">
        <f>VLOOKUP(L$3,CurrentMtgRatesDataTable8268459[#All],5,0)/1000000</f>
        <v>1362.312518</v>
      </c>
      <c r="M15" s="36">
        <f>VLOOKUP(M$3,CurrentMtgRatesDataTable8268459[#All],5,0)/1000000</f>
        <v>1098.455565</v>
      </c>
      <c r="N15" s="36">
        <f>VLOOKUP(N$3,CurrentMtgRatesDataTable8268459[#All],5,0)/1000000</f>
        <v>948.22808399999997</v>
      </c>
      <c r="O15" s="36">
        <f>VLOOKUP(O$3,CurrentMtgRatesDataTable8268459[#All],5,0)/1000000</f>
        <v>646.47286799999995</v>
      </c>
    </row>
    <row r="16" spans="3:15">
      <c r="C16" s="22" t="s">
        <v>38</v>
      </c>
      <c r="D16" s="36">
        <f>VLOOKUP(D$3,CurrentMtgRatesDataTable8268459[#All],6,0)/1000000</f>
        <v>1671.922926</v>
      </c>
      <c r="E16" s="36">
        <f>VLOOKUP(E$3,CurrentMtgRatesDataTable8268459[#All],6,0)/1000000</f>
        <v>1839.649584</v>
      </c>
      <c r="F16" s="36">
        <f>VLOOKUP(F$3,CurrentMtgRatesDataTable8268459[#All],6,0)/1000000</f>
        <v>1865.2033469999999</v>
      </c>
      <c r="G16" s="36">
        <f>VLOOKUP(G$3,CurrentMtgRatesDataTable8268459[#All],6,0)/1000000</f>
        <v>2069.0522599999999</v>
      </c>
      <c r="H16" s="36">
        <f>VLOOKUP(H$3,CurrentMtgRatesDataTable8268459[#All],6,0)/1000000</f>
        <v>1978.634063</v>
      </c>
      <c r="I16" s="36">
        <f>VLOOKUP(I$3,CurrentMtgRatesDataTable8268459[#All],6,0)/1000000</f>
        <v>2160.5422170000002</v>
      </c>
      <c r="J16" s="36">
        <f>VLOOKUP(J$3,CurrentMtgRatesDataTable8268459[#All],6,0)/1000000</f>
        <v>2318.7049270000002</v>
      </c>
      <c r="K16" s="36">
        <f>VLOOKUP(K$3,CurrentMtgRatesDataTable8268459[#All],6,0)/1000000</f>
        <v>1859.701155</v>
      </c>
      <c r="L16" s="36">
        <f>VLOOKUP(L$3,CurrentMtgRatesDataTable8268459[#All],6,0)/1000000</f>
        <v>1970.336632</v>
      </c>
      <c r="M16" s="36">
        <f>VLOOKUP(M$3,CurrentMtgRatesDataTable8268459[#All],6,0)/1000000</f>
        <v>1825.687394</v>
      </c>
      <c r="N16" s="36">
        <f>VLOOKUP(N$3,CurrentMtgRatesDataTable8268459[#All],6,0)/1000000</f>
        <v>1628.6536880000001</v>
      </c>
      <c r="O16" s="36">
        <f>VLOOKUP(O$3,CurrentMtgRatesDataTable8268459[#All],6,0)/1000000</f>
        <v>1497.6031889999999</v>
      </c>
    </row>
    <row r="17" spans="3:15">
      <c r="C17" s="22" t="s">
        <v>39</v>
      </c>
      <c r="D17" s="36">
        <f>VLOOKUP(D$3,CurrentMtgRatesDataTable8268459[#All],7,0)/1000000</f>
        <v>685.80228399999999</v>
      </c>
      <c r="E17" s="36">
        <f>VLOOKUP(E$3,CurrentMtgRatesDataTable8268459[#All],7,0)/1000000</f>
        <v>820.42824800000005</v>
      </c>
      <c r="F17" s="36">
        <f>VLOOKUP(F$3,CurrentMtgRatesDataTable8268459[#All],7,0)/1000000</f>
        <v>800.24946399999999</v>
      </c>
      <c r="G17" s="36">
        <f>VLOOKUP(G$3,CurrentMtgRatesDataTable8268459[#All],7,0)/1000000</f>
        <v>997.89513699999998</v>
      </c>
      <c r="H17" s="36">
        <f>VLOOKUP(H$3,CurrentMtgRatesDataTable8268459[#All],7,0)/1000000</f>
        <v>899.04130099999998</v>
      </c>
      <c r="I17" s="36">
        <f>VLOOKUP(I$3,CurrentMtgRatesDataTable8268459[#All],7,0)/1000000</f>
        <v>964.28876100000002</v>
      </c>
      <c r="J17" s="36">
        <f>VLOOKUP(J$3,CurrentMtgRatesDataTable8268459[#All],7,0)/1000000</f>
        <v>1016.058366</v>
      </c>
      <c r="K17" s="36">
        <f>VLOOKUP(K$3,CurrentMtgRatesDataTable8268459[#All],7,0)/1000000</f>
        <v>838.62673299999994</v>
      </c>
      <c r="L17" s="36">
        <f>VLOOKUP(L$3,CurrentMtgRatesDataTable8268459[#All],7,0)/1000000</f>
        <v>948.547505</v>
      </c>
      <c r="M17" s="36">
        <f>VLOOKUP(M$3,CurrentMtgRatesDataTable8268459[#All],7,0)/1000000</f>
        <v>841.54337999999996</v>
      </c>
      <c r="N17" s="36">
        <f>VLOOKUP(N$3,CurrentMtgRatesDataTable8268459[#All],7,0)/1000000</f>
        <v>741.33894599999996</v>
      </c>
      <c r="O17" s="36">
        <f>VLOOKUP(O$3,CurrentMtgRatesDataTable8268459[#All],7,0)/1000000</f>
        <v>691.22504800000002</v>
      </c>
    </row>
    <row r="18" spans="3:15">
      <c r="C18" s="22" t="s">
        <v>40</v>
      </c>
      <c r="D18" s="36">
        <f>VLOOKUP(D$3,CurrentMtgRatesDataTable8268459[#All],8,0)/1000000</f>
        <v>399.01280600000001</v>
      </c>
      <c r="E18" s="36">
        <f>VLOOKUP(E$3,CurrentMtgRatesDataTable8268459[#All],8,0)/1000000</f>
        <v>527.56604000000004</v>
      </c>
      <c r="F18" s="36">
        <f>VLOOKUP(F$3,CurrentMtgRatesDataTable8268459[#All],8,0)/1000000</f>
        <v>579.12251300000003</v>
      </c>
      <c r="G18" s="36">
        <f>VLOOKUP(G$3,CurrentMtgRatesDataTable8268459[#All],8,0)/1000000</f>
        <v>622.88370899999995</v>
      </c>
      <c r="H18" s="36">
        <f>VLOOKUP(H$3,CurrentMtgRatesDataTable8268459[#All],8,0)/1000000</f>
        <v>640.02457400000003</v>
      </c>
      <c r="I18" s="36">
        <f>VLOOKUP(I$3,CurrentMtgRatesDataTable8268459[#All],8,0)/1000000</f>
        <v>684.93568900000002</v>
      </c>
      <c r="J18" s="36">
        <f>VLOOKUP(J$3,CurrentMtgRatesDataTable8268459[#All],8,0)/1000000</f>
        <v>606.67093399999999</v>
      </c>
      <c r="K18" s="36">
        <f>VLOOKUP(K$3,CurrentMtgRatesDataTable8268459[#All],8,0)/1000000</f>
        <v>539.72638300000006</v>
      </c>
      <c r="L18" s="36">
        <f>VLOOKUP(L$3,CurrentMtgRatesDataTable8268459[#All],8,0)/1000000</f>
        <v>615.29756299999997</v>
      </c>
      <c r="M18" s="36">
        <f>VLOOKUP(M$3,CurrentMtgRatesDataTable8268459[#All],8,0)/1000000</f>
        <v>536.38049799999999</v>
      </c>
      <c r="N18" s="36">
        <f>VLOOKUP(N$3,CurrentMtgRatesDataTable8268459[#All],8,0)/1000000</f>
        <v>509.91414900000001</v>
      </c>
      <c r="O18" s="36">
        <f>VLOOKUP(O$3,CurrentMtgRatesDataTable8268459[#All],8,0)/1000000</f>
        <v>487.34033399999998</v>
      </c>
    </row>
    <row r="19" spans="3:15">
      <c r="C19" s="22" t="s">
        <v>46</v>
      </c>
      <c r="D19" s="36">
        <f>VLOOKUP(D$3,CurrentMtgRatesDataTable8268459[#All],9,0)/1000000</f>
        <v>364.49334599999997</v>
      </c>
      <c r="E19" s="36">
        <f>VLOOKUP(E$3,CurrentMtgRatesDataTable8268459[#All],9,0)/1000000</f>
        <v>406.48077999999998</v>
      </c>
      <c r="F19" s="36">
        <f>VLOOKUP(F$3,CurrentMtgRatesDataTable8268459[#All],9,0)/1000000</f>
        <v>407.29637700000001</v>
      </c>
      <c r="G19" s="36">
        <f>VLOOKUP(G$3,CurrentMtgRatesDataTable8268459[#All],9,0)/1000000</f>
        <v>703.71646299999998</v>
      </c>
      <c r="H19" s="36">
        <f>VLOOKUP(H$3,CurrentMtgRatesDataTable8268459[#All],9,0)/1000000</f>
        <v>194.118752</v>
      </c>
      <c r="I19" s="36">
        <f>VLOOKUP(I$3,CurrentMtgRatesDataTable8268459[#All],9,0)/1000000</f>
        <v>379.70020099999999</v>
      </c>
      <c r="J19" s="36">
        <f>VLOOKUP(J$3,CurrentMtgRatesDataTable8268459[#All],9,0)/1000000</f>
        <v>462.31363599999997</v>
      </c>
      <c r="K19" s="36">
        <f>VLOOKUP(K$3,CurrentMtgRatesDataTable8268459[#All],9,0)/1000000</f>
        <v>276.99817400000001</v>
      </c>
      <c r="L19" s="36">
        <f>VLOOKUP(L$3,CurrentMtgRatesDataTable8268459[#All],9,0)/1000000</f>
        <v>211.430835</v>
      </c>
      <c r="M19" s="36">
        <f>VLOOKUP(M$3,CurrentMtgRatesDataTable8268459[#All],9,0)/1000000</f>
        <v>246.87277800000001</v>
      </c>
      <c r="N19" s="36">
        <f>VLOOKUP(N$3,CurrentMtgRatesDataTable8268459[#All],9,0)/1000000</f>
        <v>203.658897</v>
      </c>
      <c r="O19" s="36">
        <f>VLOOKUP(O$3,CurrentMtgRatesDataTable8268459[#All],9,0)/1000000</f>
        <v>202.18682799999999</v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B3:R67"/>
  <sheetViews>
    <sheetView showGridLines="0" topLeftCell="A10" workbookViewId="0">
      <selection activeCell="K25" sqref="K25"/>
    </sheetView>
  </sheetViews>
  <sheetFormatPr defaultRowHeight="15"/>
  <cols>
    <col min="12" max="12" width="12.28515625" customWidth="1"/>
  </cols>
  <sheetData>
    <row r="3" spans="2:18">
      <c r="B3" s="19" t="s">
        <v>19</v>
      </c>
      <c r="C3" s="19" t="s">
        <v>20</v>
      </c>
      <c r="D3" s="19" t="s">
        <v>21</v>
      </c>
      <c r="E3" s="19" t="s">
        <v>22</v>
      </c>
      <c r="F3" s="19" t="s">
        <v>29</v>
      </c>
      <c r="G3" s="19" t="s">
        <v>30</v>
      </c>
      <c r="I3" s="19" t="s">
        <v>19</v>
      </c>
      <c r="J3" s="19" t="s">
        <v>20</v>
      </c>
      <c r="K3" s="19" t="s">
        <v>21</v>
      </c>
      <c r="L3" s="19" t="s">
        <v>22</v>
      </c>
      <c r="O3" s="19" t="s">
        <v>19</v>
      </c>
      <c r="P3" s="19" t="s">
        <v>20</v>
      </c>
      <c r="Q3" s="19" t="s">
        <v>21</v>
      </c>
      <c r="R3" s="19" t="s">
        <v>22</v>
      </c>
    </row>
    <row r="4" spans="2:18">
      <c r="B4" t="s">
        <v>23</v>
      </c>
      <c r="C4" s="18">
        <v>40179</v>
      </c>
      <c r="D4" t="s">
        <v>24</v>
      </c>
      <c r="E4">
        <v>2634350684</v>
      </c>
      <c r="F4" s="19">
        <f>VLOOKUP(CurrentMtgRatesDataTable826[[#This Row],[issueDate]],CurrentMtgRatesDataTable8267[[issueDate]:[issueAmount]],3,0)</f>
        <v>172690172</v>
      </c>
      <c r="G4" s="19" t="e">
        <f>VLOOKUP(CurrentMtgRatesDataTable826[[#This Row],[issueDate]],CurrentMtgRatesDataTable8268[[issueDate]:[issueAmount]],3,0)</f>
        <v>#N/A</v>
      </c>
      <c r="I4" t="s">
        <v>25</v>
      </c>
      <c r="J4" s="18">
        <v>40179</v>
      </c>
      <c r="K4" t="s">
        <v>26</v>
      </c>
      <c r="L4">
        <v>172690172</v>
      </c>
      <c r="O4" t="s">
        <v>27</v>
      </c>
      <c r="P4" s="18">
        <v>41061</v>
      </c>
      <c r="Q4" t="s">
        <v>28</v>
      </c>
      <c r="R4">
        <v>5627164641</v>
      </c>
    </row>
    <row r="5" spans="2:18">
      <c r="B5" t="s">
        <v>23</v>
      </c>
      <c r="C5" s="18">
        <v>40210</v>
      </c>
      <c r="D5" t="s">
        <v>24</v>
      </c>
      <c r="E5">
        <v>2597549841</v>
      </c>
      <c r="F5" s="19">
        <f>VLOOKUP(CurrentMtgRatesDataTable826[[#This Row],[issueDate]],CurrentMtgRatesDataTable8267[[issueDate]:[issueAmount]],3,0)</f>
        <v>191438050</v>
      </c>
      <c r="G5" s="19" t="e">
        <f>VLOOKUP(CurrentMtgRatesDataTable826[[#This Row],[issueDate]],CurrentMtgRatesDataTable8268[[issueDate]:[issueAmount]],3,0)</f>
        <v>#N/A</v>
      </c>
      <c r="I5" t="s">
        <v>25</v>
      </c>
      <c r="J5" s="18">
        <v>40210</v>
      </c>
      <c r="K5" t="s">
        <v>26</v>
      </c>
      <c r="L5">
        <v>191438050</v>
      </c>
      <c r="O5" t="s">
        <v>27</v>
      </c>
      <c r="P5" s="18">
        <v>41091</v>
      </c>
      <c r="Q5" t="s">
        <v>28</v>
      </c>
      <c r="R5">
        <v>3713048773</v>
      </c>
    </row>
    <row r="6" spans="2:18">
      <c r="B6" t="s">
        <v>23</v>
      </c>
      <c r="C6" s="18">
        <v>40238</v>
      </c>
      <c r="D6" t="s">
        <v>24</v>
      </c>
      <c r="E6">
        <v>2808514374</v>
      </c>
      <c r="F6" s="19">
        <f>VLOOKUP(CurrentMtgRatesDataTable826[[#This Row],[issueDate]],CurrentMtgRatesDataTable8267[[issueDate]:[issueAmount]],3,0)</f>
        <v>214765657</v>
      </c>
      <c r="G6" s="19" t="e">
        <f>VLOOKUP(CurrentMtgRatesDataTable826[[#This Row],[issueDate]],CurrentMtgRatesDataTable8268[[issueDate]:[issueAmount]],3,0)</f>
        <v>#N/A</v>
      </c>
      <c r="I6" t="s">
        <v>25</v>
      </c>
      <c r="J6" s="18">
        <v>40238</v>
      </c>
      <c r="K6" t="s">
        <v>26</v>
      </c>
      <c r="L6">
        <v>214765657</v>
      </c>
      <c r="O6" t="s">
        <v>27</v>
      </c>
      <c r="P6" s="18">
        <v>41122</v>
      </c>
      <c r="Q6" t="s">
        <v>28</v>
      </c>
      <c r="R6">
        <v>3482283708</v>
      </c>
    </row>
    <row r="7" spans="2:18">
      <c r="B7" t="s">
        <v>23</v>
      </c>
      <c r="C7" s="18">
        <v>40269</v>
      </c>
      <c r="D7" t="s">
        <v>24</v>
      </c>
      <c r="E7">
        <v>1861900761</v>
      </c>
      <c r="F7" s="19">
        <f>VLOOKUP(CurrentMtgRatesDataTable826[[#This Row],[issueDate]],CurrentMtgRatesDataTable8267[[issueDate]:[issueAmount]],3,0)</f>
        <v>276239169</v>
      </c>
      <c r="G7" s="19" t="e">
        <f>VLOOKUP(CurrentMtgRatesDataTable826[[#This Row],[issueDate]],CurrentMtgRatesDataTable8268[[issueDate]:[issueAmount]],3,0)</f>
        <v>#N/A</v>
      </c>
      <c r="I7" t="s">
        <v>25</v>
      </c>
      <c r="J7" s="18">
        <v>40269</v>
      </c>
      <c r="K7" t="s">
        <v>26</v>
      </c>
      <c r="L7">
        <v>276239169</v>
      </c>
      <c r="O7" t="s">
        <v>27</v>
      </c>
      <c r="P7" s="18">
        <v>41153</v>
      </c>
      <c r="Q7" t="s">
        <v>28</v>
      </c>
      <c r="R7">
        <v>3393761631</v>
      </c>
    </row>
    <row r="8" spans="2:18">
      <c r="B8" t="s">
        <v>23</v>
      </c>
      <c r="C8" s="18">
        <v>40299</v>
      </c>
      <c r="D8" t="s">
        <v>24</v>
      </c>
      <c r="E8">
        <v>2084611821</v>
      </c>
      <c r="F8" s="19">
        <f>VLOOKUP(CurrentMtgRatesDataTable826[[#This Row],[issueDate]],CurrentMtgRatesDataTable8267[[issueDate]:[issueAmount]],3,0)</f>
        <v>515525281</v>
      </c>
      <c r="G8" s="19" t="e">
        <f>VLOOKUP(CurrentMtgRatesDataTable826[[#This Row],[issueDate]],CurrentMtgRatesDataTable8268[[issueDate]:[issueAmount]],3,0)</f>
        <v>#N/A</v>
      </c>
      <c r="I8" t="s">
        <v>25</v>
      </c>
      <c r="J8" s="18">
        <v>40299</v>
      </c>
      <c r="K8" t="s">
        <v>26</v>
      </c>
      <c r="L8">
        <v>515525281</v>
      </c>
      <c r="O8" t="s">
        <v>27</v>
      </c>
      <c r="P8" s="18">
        <v>41183</v>
      </c>
      <c r="Q8" t="s">
        <v>28</v>
      </c>
      <c r="R8">
        <v>2591936940</v>
      </c>
    </row>
    <row r="9" spans="2:18">
      <c r="B9" t="s">
        <v>23</v>
      </c>
      <c r="C9" s="18">
        <v>40330</v>
      </c>
      <c r="D9" t="s">
        <v>24</v>
      </c>
      <c r="E9">
        <v>1669648250</v>
      </c>
      <c r="F9" s="19">
        <f>VLOOKUP(CurrentMtgRatesDataTable826[[#This Row],[issueDate]],CurrentMtgRatesDataTable8267[[issueDate]:[issueAmount]],3,0)</f>
        <v>268918822</v>
      </c>
      <c r="G9" s="19" t="e">
        <f>VLOOKUP(CurrentMtgRatesDataTable826[[#This Row],[issueDate]],CurrentMtgRatesDataTable8268[[issueDate]:[issueAmount]],3,0)</f>
        <v>#N/A</v>
      </c>
      <c r="I9" t="s">
        <v>25</v>
      </c>
      <c r="J9" s="18">
        <v>40330</v>
      </c>
      <c r="K9" t="s">
        <v>26</v>
      </c>
      <c r="L9">
        <v>268918822</v>
      </c>
      <c r="O9" t="s">
        <v>27</v>
      </c>
      <c r="P9" s="18">
        <v>41214</v>
      </c>
      <c r="Q9" t="s">
        <v>28</v>
      </c>
      <c r="R9">
        <v>3531096335</v>
      </c>
    </row>
    <row r="10" spans="2:18">
      <c r="B10" t="s">
        <v>23</v>
      </c>
      <c r="C10" s="18">
        <v>40360</v>
      </c>
      <c r="D10" t="s">
        <v>24</v>
      </c>
      <c r="E10">
        <v>3407481735</v>
      </c>
      <c r="F10" s="19">
        <f>VLOOKUP(CurrentMtgRatesDataTable826[[#This Row],[issueDate]],CurrentMtgRatesDataTable8267[[issueDate]:[issueAmount]],3,0)</f>
        <v>208691302</v>
      </c>
      <c r="G10" s="19" t="e">
        <f>VLOOKUP(CurrentMtgRatesDataTable826[[#This Row],[issueDate]],CurrentMtgRatesDataTable8268[[issueDate]:[issueAmount]],3,0)</f>
        <v>#N/A</v>
      </c>
      <c r="I10" t="s">
        <v>25</v>
      </c>
      <c r="J10" s="18">
        <v>40360</v>
      </c>
      <c r="K10" t="s">
        <v>26</v>
      </c>
      <c r="L10">
        <v>208691302</v>
      </c>
      <c r="O10" t="s">
        <v>27</v>
      </c>
      <c r="P10" s="18">
        <v>41244</v>
      </c>
      <c r="Q10" t="s">
        <v>28</v>
      </c>
      <c r="R10">
        <v>2237392773</v>
      </c>
    </row>
    <row r="11" spans="2:18">
      <c r="B11" t="s">
        <v>23</v>
      </c>
      <c r="C11" s="18">
        <v>40391</v>
      </c>
      <c r="D11" t="s">
        <v>24</v>
      </c>
      <c r="E11">
        <v>3347514541</v>
      </c>
      <c r="F11" s="19">
        <f>VLOOKUP(CurrentMtgRatesDataTable826[[#This Row],[issueDate]],CurrentMtgRatesDataTable8267[[issueDate]:[issueAmount]],3,0)</f>
        <v>355715456</v>
      </c>
      <c r="G11" s="19" t="e">
        <f>VLOOKUP(CurrentMtgRatesDataTable826[[#This Row],[issueDate]],CurrentMtgRatesDataTable8268[[issueDate]:[issueAmount]],3,0)</f>
        <v>#N/A</v>
      </c>
      <c r="I11" t="s">
        <v>25</v>
      </c>
      <c r="J11" s="18">
        <v>40391</v>
      </c>
      <c r="K11" t="s">
        <v>26</v>
      </c>
      <c r="L11">
        <v>355715456</v>
      </c>
      <c r="O11" t="s">
        <v>27</v>
      </c>
      <c r="P11" s="18">
        <v>41275</v>
      </c>
      <c r="Q11" t="s">
        <v>28</v>
      </c>
      <c r="R11">
        <v>3299880097</v>
      </c>
    </row>
    <row r="12" spans="2:18">
      <c r="B12" t="s">
        <v>23</v>
      </c>
      <c r="C12" s="18">
        <v>40422</v>
      </c>
      <c r="D12" t="s">
        <v>24</v>
      </c>
      <c r="E12">
        <v>4534053251</v>
      </c>
      <c r="F12" s="19">
        <f>VLOOKUP(CurrentMtgRatesDataTable826[[#This Row],[issueDate]],CurrentMtgRatesDataTable8267[[issueDate]:[issueAmount]],3,0)</f>
        <v>352412504</v>
      </c>
      <c r="G12" s="19" t="e">
        <f>VLOOKUP(CurrentMtgRatesDataTable826[[#This Row],[issueDate]],CurrentMtgRatesDataTable8268[[issueDate]:[issueAmount]],3,0)</f>
        <v>#N/A</v>
      </c>
      <c r="I12" t="s">
        <v>25</v>
      </c>
      <c r="J12" s="18">
        <v>40422</v>
      </c>
      <c r="K12" t="s">
        <v>26</v>
      </c>
      <c r="L12">
        <v>352412504</v>
      </c>
      <c r="O12" t="s">
        <v>27</v>
      </c>
      <c r="P12" s="18">
        <v>41306</v>
      </c>
      <c r="Q12" t="s">
        <v>28</v>
      </c>
      <c r="R12">
        <v>2808516054</v>
      </c>
    </row>
    <row r="13" spans="2:18">
      <c r="B13" t="s">
        <v>23</v>
      </c>
      <c r="C13" s="18">
        <v>40452</v>
      </c>
      <c r="D13" t="s">
        <v>24</v>
      </c>
      <c r="E13">
        <v>4710788842</v>
      </c>
      <c r="F13" s="19">
        <f>VLOOKUP(CurrentMtgRatesDataTable826[[#This Row],[issueDate]],CurrentMtgRatesDataTable8267[[issueDate]:[issueAmount]],3,0)</f>
        <v>319947067</v>
      </c>
      <c r="G13" s="19" t="e">
        <f>VLOOKUP(CurrentMtgRatesDataTable826[[#This Row],[issueDate]],CurrentMtgRatesDataTable8268[[issueDate]:[issueAmount]],3,0)</f>
        <v>#N/A</v>
      </c>
      <c r="I13" t="s">
        <v>25</v>
      </c>
      <c r="J13" s="18">
        <v>40452</v>
      </c>
      <c r="K13" t="s">
        <v>26</v>
      </c>
      <c r="L13">
        <v>319947067</v>
      </c>
      <c r="O13" t="s">
        <v>27</v>
      </c>
      <c r="P13" s="18">
        <v>41334</v>
      </c>
      <c r="Q13" t="s">
        <v>28</v>
      </c>
      <c r="R13">
        <v>2186380753</v>
      </c>
    </row>
    <row r="14" spans="2:18">
      <c r="B14" t="s">
        <v>23</v>
      </c>
      <c r="C14" s="18">
        <v>40483</v>
      </c>
      <c r="D14" t="s">
        <v>24</v>
      </c>
      <c r="E14">
        <v>4435127896</v>
      </c>
      <c r="F14" s="19">
        <f>VLOOKUP(CurrentMtgRatesDataTable826[[#This Row],[issueDate]],CurrentMtgRatesDataTable8267[[issueDate]:[issueAmount]],3,0)</f>
        <v>369679660</v>
      </c>
      <c r="G14" s="19" t="e">
        <f>VLOOKUP(CurrentMtgRatesDataTable826[[#This Row],[issueDate]],CurrentMtgRatesDataTable8268[[issueDate]:[issueAmount]],3,0)</f>
        <v>#N/A</v>
      </c>
      <c r="I14" t="s">
        <v>25</v>
      </c>
      <c r="J14" s="18">
        <v>40483</v>
      </c>
      <c r="K14" t="s">
        <v>26</v>
      </c>
      <c r="L14">
        <v>369679660</v>
      </c>
      <c r="O14" t="s">
        <v>27</v>
      </c>
      <c r="P14" s="18">
        <v>41365</v>
      </c>
      <c r="Q14" t="s">
        <v>28</v>
      </c>
      <c r="R14">
        <v>2498076581</v>
      </c>
    </row>
    <row r="15" spans="2:18">
      <c r="B15" t="s">
        <v>23</v>
      </c>
      <c r="C15" s="18">
        <v>40513</v>
      </c>
      <c r="D15" t="s">
        <v>24</v>
      </c>
      <c r="E15">
        <v>5168634747</v>
      </c>
      <c r="F15" s="19">
        <f>VLOOKUP(CurrentMtgRatesDataTable826[[#This Row],[issueDate]],CurrentMtgRatesDataTable8267[[issueDate]:[issueAmount]],3,0)</f>
        <v>504226385</v>
      </c>
      <c r="G15" s="19" t="e">
        <f>VLOOKUP(CurrentMtgRatesDataTable826[[#This Row],[issueDate]],CurrentMtgRatesDataTable8268[[issueDate]:[issueAmount]],3,0)</f>
        <v>#N/A</v>
      </c>
      <c r="I15" t="s">
        <v>25</v>
      </c>
      <c r="J15" s="18">
        <v>40513</v>
      </c>
      <c r="K15" t="s">
        <v>26</v>
      </c>
      <c r="L15">
        <v>504226385</v>
      </c>
      <c r="O15" t="s">
        <v>27</v>
      </c>
      <c r="P15" s="18">
        <v>41395</v>
      </c>
      <c r="Q15" t="s">
        <v>28</v>
      </c>
      <c r="R15">
        <v>1858786075</v>
      </c>
    </row>
    <row r="16" spans="2:18">
      <c r="B16" t="s">
        <v>23</v>
      </c>
      <c r="C16" s="18">
        <v>40544</v>
      </c>
      <c r="D16" t="s">
        <v>24</v>
      </c>
      <c r="E16">
        <v>4772517239</v>
      </c>
      <c r="F16" s="19">
        <f>VLOOKUP(CurrentMtgRatesDataTable826[[#This Row],[issueDate]],CurrentMtgRatesDataTable8267[[issueDate]:[issueAmount]],3,0)</f>
        <v>481880967</v>
      </c>
      <c r="G16" s="19" t="e">
        <f>VLOOKUP(CurrentMtgRatesDataTable826[[#This Row],[issueDate]],CurrentMtgRatesDataTable8268[[issueDate]:[issueAmount]],3,0)</f>
        <v>#N/A</v>
      </c>
      <c r="I16" t="s">
        <v>25</v>
      </c>
      <c r="J16" s="18">
        <v>40544</v>
      </c>
      <c r="K16" t="s">
        <v>26</v>
      </c>
      <c r="L16">
        <v>481880967</v>
      </c>
      <c r="O16" t="s">
        <v>27</v>
      </c>
      <c r="P16" s="18">
        <v>41426</v>
      </c>
      <c r="Q16" t="s">
        <v>28</v>
      </c>
      <c r="R16">
        <v>1553402361</v>
      </c>
    </row>
    <row r="17" spans="2:18">
      <c r="B17" t="s">
        <v>23</v>
      </c>
      <c r="C17" s="18">
        <v>40575</v>
      </c>
      <c r="D17" t="s">
        <v>24</v>
      </c>
      <c r="E17">
        <v>3322794637</v>
      </c>
      <c r="F17" s="19">
        <f>VLOOKUP(CurrentMtgRatesDataTable826[[#This Row],[issueDate]],CurrentMtgRatesDataTable8267[[issueDate]:[issueAmount]],3,0)</f>
        <v>511593118</v>
      </c>
      <c r="G17" s="19" t="e">
        <f>VLOOKUP(CurrentMtgRatesDataTable826[[#This Row],[issueDate]],CurrentMtgRatesDataTable8268[[issueDate]:[issueAmount]],3,0)</f>
        <v>#N/A</v>
      </c>
      <c r="I17" t="s">
        <v>25</v>
      </c>
      <c r="J17" s="18">
        <v>40575</v>
      </c>
      <c r="K17" t="s">
        <v>26</v>
      </c>
      <c r="L17">
        <v>511593118</v>
      </c>
      <c r="O17" t="s">
        <v>27</v>
      </c>
      <c r="P17" s="18">
        <v>41456</v>
      </c>
      <c r="Q17" t="s">
        <v>28</v>
      </c>
      <c r="R17">
        <v>1434823555</v>
      </c>
    </row>
    <row r="18" spans="2:18">
      <c r="B18" t="s">
        <v>23</v>
      </c>
      <c r="C18" s="18">
        <v>40603</v>
      </c>
      <c r="D18" t="s">
        <v>24</v>
      </c>
      <c r="E18">
        <v>2879069981</v>
      </c>
      <c r="F18" s="19">
        <f>VLOOKUP(CurrentMtgRatesDataTable826[[#This Row],[issueDate]],CurrentMtgRatesDataTable8267[[issueDate]:[issueAmount]],3,0)</f>
        <v>618688301</v>
      </c>
      <c r="G18" s="19" t="e">
        <f>VLOOKUP(CurrentMtgRatesDataTable826[[#This Row],[issueDate]],CurrentMtgRatesDataTable8268[[issueDate]:[issueAmount]],3,0)</f>
        <v>#N/A</v>
      </c>
      <c r="I18" t="s">
        <v>25</v>
      </c>
      <c r="J18" s="18">
        <v>40603</v>
      </c>
      <c r="K18" t="s">
        <v>26</v>
      </c>
      <c r="L18">
        <v>618688301</v>
      </c>
      <c r="O18" t="s">
        <v>27</v>
      </c>
      <c r="P18" s="18">
        <v>41487</v>
      </c>
      <c r="Q18" t="s">
        <v>28</v>
      </c>
      <c r="R18">
        <v>1187325480</v>
      </c>
    </row>
    <row r="19" spans="2:18">
      <c r="B19" t="s">
        <v>23</v>
      </c>
      <c r="C19" s="18">
        <v>40634</v>
      </c>
      <c r="D19" t="s">
        <v>24</v>
      </c>
      <c r="E19">
        <v>1365959263</v>
      </c>
      <c r="F19" s="19">
        <f>VLOOKUP(CurrentMtgRatesDataTable826[[#This Row],[issueDate]],CurrentMtgRatesDataTable8267[[issueDate]:[issueAmount]],3,0)</f>
        <v>668998347</v>
      </c>
      <c r="G19" s="19" t="e">
        <f>VLOOKUP(CurrentMtgRatesDataTable826[[#This Row],[issueDate]],CurrentMtgRatesDataTable8268[[issueDate]:[issueAmount]],3,0)</f>
        <v>#N/A</v>
      </c>
      <c r="I19" t="s">
        <v>25</v>
      </c>
      <c r="J19" s="18">
        <v>40634</v>
      </c>
      <c r="K19" t="s">
        <v>26</v>
      </c>
      <c r="L19">
        <v>668998347</v>
      </c>
      <c r="O19" t="s">
        <v>27</v>
      </c>
      <c r="P19" s="18">
        <v>41518</v>
      </c>
      <c r="Q19" t="s">
        <v>28</v>
      </c>
      <c r="R19">
        <v>743460848</v>
      </c>
    </row>
    <row r="20" spans="2:18">
      <c r="B20" t="s">
        <v>23</v>
      </c>
      <c r="C20" s="18">
        <v>40664</v>
      </c>
      <c r="D20" t="s">
        <v>24</v>
      </c>
      <c r="E20">
        <v>1679348065</v>
      </c>
      <c r="F20" s="19">
        <f>VLOOKUP(CurrentMtgRatesDataTable826[[#This Row],[issueDate]],CurrentMtgRatesDataTable8267[[issueDate]:[issueAmount]],3,0)</f>
        <v>436513565</v>
      </c>
      <c r="G20" s="19" t="e">
        <f>VLOOKUP(CurrentMtgRatesDataTable826[[#This Row],[issueDate]],CurrentMtgRatesDataTable8268[[issueDate]:[issueAmount]],3,0)</f>
        <v>#N/A</v>
      </c>
      <c r="I20" t="s">
        <v>25</v>
      </c>
      <c r="J20" s="18">
        <v>40664</v>
      </c>
      <c r="K20" t="s">
        <v>26</v>
      </c>
      <c r="L20">
        <v>436513565</v>
      </c>
      <c r="O20" t="s">
        <v>27</v>
      </c>
      <c r="P20" s="18">
        <v>41548</v>
      </c>
      <c r="Q20" t="s">
        <v>28</v>
      </c>
      <c r="R20">
        <v>615254685</v>
      </c>
    </row>
    <row r="21" spans="2:18">
      <c r="B21" t="s">
        <v>23</v>
      </c>
      <c r="C21" s="18">
        <v>40695</v>
      </c>
      <c r="D21" t="s">
        <v>24</v>
      </c>
      <c r="E21">
        <v>1470720552</v>
      </c>
      <c r="F21" s="19">
        <f>VLOOKUP(CurrentMtgRatesDataTable826[[#This Row],[issueDate]],CurrentMtgRatesDataTable8267[[issueDate]:[issueAmount]],3,0)</f>
        <v>714756687</v>
      </c>
      <c r="G21" s="19" t="e">
        <f>VLOOKUP(CurrentMtgRatesDataTable826[[#This Row],[issueDate]],CurrentMtgRatesDataTable8268[[issueDate]:[issueAmount]],3,0)</f>
        <v>#N/A</v>
      </c>
      <c r="I21" t="s">
        <v>25</v>
      </c>
      <c r="J21" s="18">
        <v>40695</v>
      </c>
      <c r="K21" t="s">
        <v>26</v>
      </c>
      <c r="L21">
        <v>714756687</v>
      </c>
      <c r="O21" t="s">
        <v>27</v>
      </c>
      <c r="P21" s="18">
        <v>41579</v>
      </c>
      <c r="Q21" t="s">
        <v>28</v>
      </c>
      <c r="R21">
        <v>887067278</v>
      </c>
    </row>
    <row r="22" spans="2:18">
      <c r="B22" t="s">
        <v>23</v>
      </c>
      <c r="C22" s="18">
        <v>40725</v>
      </c>
      <c r="D22" t="s">
        <v>24</v>
      </c>
      <c r="E22">
        <v>1755684824</v>
      </c>
      <c r="F22" s="19">
        <f>VLOOKUP(CurrentMtgRatesDataTable826[[#This Row],[issueDate]],CurrentMtgRatesDataTable8267[[issueDate]:[issueAmount]],3,0)</f>
        <v>450007317</v>
      </c>
      <c r="G22" s="19" t="e">
        <f>VLOOKUP(CurrentMtgRatesDataTable826[[#This Row],[issueDate]],CurrentMtgRatesDataTable8268[[issueDate]:[issueAmount]],3,0)</f>
        <v>#N/A</v>
      </c>
      <c r="I22" t="s">
        <v>25</v>
      </c>
      <c r="J22" s="18">
        <v>40725</v>
      </c>
      <c r="K22" t="s">
        <v>26</v>
      </c>
      <c r="L22">
        <v>450007317</v>
      </c>
      <c r="O22" t="s">
        <v>27</v>
      </c>
      <c r="P22" s="18">
        <v>41609</v>
      </c>
      <c r="Q22" t="s">
        <v>28</v>
      </c>
      <c r="R22">
        <v>857597466</v>
      </c>
    </row>
    <row r="23" spans="2:18">
      <c r="B23" t="s">
        <v>23</v>
      </c>
      <c r="C23" s="18">
        <v>40756</v>
      </c>
      <c r="D23" t="s">
        <v>24</v>
      </c>
      <c r="E23">
        <v>2242690757</v>
      </c>
      <c r="F23" s="19">
        <f>VLOOKUP(CurrentMtgRatesDataTable826[[#This Row],[issueDate]],CurrentMtgRatesDataTable8267[[issueDate]:[issueAmount]],3,0)</f>
        <v>544964112</v>
      </c>
      <c r="G23" s="19" t="e">
        <f>VLOOKUP(CurrentMtgRatesDataTable826[[#This Row],[issueDate]],CurrentMtgRatesDataTable8268[[issueDate]:[issueAmount]],3,0)</f>
        <v>#N/A</v>
      </c>
      <c r="I23" t="s">
        <v>25</v>
      </c>
      <c r="J23" s="18">
        <v>40756</v>
      </c>
      <c r="K23" t="s">
        <v>26</v>
      </c>
      <c r="L23">
        <v>544964112</v>
      </c>
      <c r="O23" t="s">
        <v>27</v>
      </c>
      <c r="P23" s="18">
        <v>41640</v>
      </c>
      <c r="Q23" t="s">
        <v>28</v>
      </c>
      <c r="R23">
        <v>663943847</v>
      </c>
    </row>
    <row r="24" spans="2:18">
      <c r="B24" t="s">
        <v>23</v>
      </c>
      <c r="C24" s="18">
        <v>40787</v>
      </c>
      <c r="D24" t="s">
        <v>24</v>
      </c>
      <c r="E24">
        <v>4005917312</v>
      </c>
      <c r="F24" s="19">
        <f>VLOOKUP(CurrentMtgRatesDataTable826[[#This Row],[issueDate]],CurrentMtgRatesDataTable8267[[issueDate]:[issueAmount]],3,0)</f>
        <v>632560564</v>
      </c>
      <c r="G24" s="19" t="e">
        <f>VLOOKUP(CurrentMtgRatesDataTable826[[#This Row],[issueDate]],CurrentMtgRatesDataTable8268[[issueDate]:[issueAmount]],3,0)</f>
        <v>#N/A</v>
      </c>
      <c r="I24" t="s">
        <v>25</v>
      </c>
      <c r="J24" s="18">
        <v>40787</v>
      </c>
      <c r="K24" t="s">
        <v>26</v>
      </c>
      <c r="L24">
        <v>632560564</v>
      </c>
      <c r="O24" t="s">
        <v>27</v>
      </c>
      <c r="P24" s="18">
        <v>41671</v>
      </c>
      <c r="Q24" t="s">
        <v>28</v>
      </c>
      <c r="R24">
        <v>261049913</v>
      </c>
    </row>
    <row r="25" spans="2:18">
      <c r="B25" t="s">
        <v>23</v>
      </c>
      <c r="C25" s="18">
        <v>40817</v>
      </c>
      <c r="D25" t="s">
        <v>24</v>
      </c>
      <c r="E25">
        <v>4409005394</v>
      </c>
      <c r="F25" s="19">
        <f>VLOOKUP(CurrentMtgRatesDataTable826[[#This Row],[issueDate]],CurrentMtgRatesDataTable8267[[issueDate]:[issueAmount]],3,0)</f>
        <v>575215946</v>
      </c>
      <c r="G25" s="19" t="e">
        <f>VLOOKUP(CurrentMtgRatesDataTable826[[#This Row],[issueDate]],CurrentMtgRatesDataTable8268[[issueDate]:[issueAmount]],3,0)</f>
        <v>#N/A</v>
      </c>
      <c r="I25" t="s">
        <v>25</v>
      </c>
      <c r="J25" s="18">
        <v>40817</v>
      </c>
      <c r="K25" t="s">
        <v>26</v>
      </c>
      <c r="L25">
        <v>575215946</v>
      </c>
      <c r="O25" t="s">
        <v>27</v>
      </c>
      <c r="P25" s="18">
        <v>41699</v>
      </c>
      <c r="Q25" t="s">
        <v>28</v>
      </c>
      <c r="R25">
        <v>214559704</v>
      </c>
    </row>
    <row r="26" spans="2:18">
      <c r="B26" t="s">
        <v>23</v>
      </c>
      <c r="C26" s="18">
        <v>40848</v>
      </c>
      <c r="D26" t="s">
        <v>24</v>
      </c>
      <c r="E26">
        <v>4642886367</v>
      </c>
      <c r="F26" s="19">
        <f>VLOOKUP(CurrentMtgRatesDataTable826[[#This Row],[issueDate]],CurrentMtgRatesDataTable8267[[issueDate]:[issueAmount]],3,0)</f>
        <v>570846520</v>
      </c>
      <c r="G26" s="19" t="e">
        <f>VLOOKUP(CurrentMtgRatesDataTable826[[#This Row],[issueDate]],CurrentMtgRatesDataTable8268[[issueDate]:[issueAmount]],3,0)</f>
        <v>#N/A</v>
      </c>
      <c r="I26" t="s">
        <v>25</v>
      </c>
      <c r="J26" s="18">
        <v>40848</v>
      </c>
      <c r="K26" t="s">
        <v>26</v>
      </c>
      <c r="L26">
        <v>570846520</v>
      </c>
      <c r="O26" t="s">
        <v>27</v>
      </c>
      <c r="P26" s="18">
        <v>41730</v>
      </c>
      <c r="Q26" t="s">
        <v>28</v>
      </c>
      <c r="R26">
        <v>294932105</v>
      </c>
    </row>
    <row r="27" spans="2:18">
      <c r="B27" t="s">
        <v>23</v>
      </c>
      <c r="C27" s="18">
        <v>40878</v>
      </c>
      <c r="D27" t="s">
        <v>24</v>
      </c>
      <c r="E27">
        <v>2231440428</v>
      </c>
      <c r="F27" s="19">
        <f>VLOOKUP(CurrentMtgRatesDataTable826[[#This Row],[issueDate]],CurrentMtgRatesDataTable8267[[issueDate]:[issueAmount]],3,0)</f>
        <v>363856997</v>
      </c>
      <c r="G27" s="19" t="e">
        <f>VLOOKUP(CurrentMtgRatesDataTable826[[#This Row],[issueDate]],CurrentMtgRatesDataTable8268[[issueDate]:[issueAmount]],3,0)</f>
        <v>#N/A</v>
      </c>
      <c r="I27" t="s">
        <v>25</v>
      </c>
      <c r="J27" s="18">
        <v>40878</v>
      </c>
      <c r="K27" t="s">
        <v>26</v>
      </c>
      <c r="L27">
        <v>363856997</v>
      </c>
      <c r="O27" t="s">
        <v>27</v>
      </c>
      <c r="P27" s="18">
        <v>41760</v>
      </c>
      <c r="Q27" t="s">
        <v>28</v>
      </c>
      <c r="R27">
        <v>110770261</v>
      </c>
    </row>
    <row r="28" spans="2:18">
      <c r="B28" t="s">
        <v>23</v>
      </c>
      <c r="C28" s="18">
        <v>40909</v>
      </c>
      <c r="D28" t="s">
        <v>24</v>
      </c>
      <c r="E28">
        <v>1557100159</v>
      </c>
      <c r="F28" s="19">
        <f>VLOOKUP(CurrentMtgRatesDataTable826[[#This Row],[issueDate]],CurrentMtgRatesDataTable8267[[issueDate]:[issueAmount]],3,0)</f>
        <v>964656975</v>
      </c>
      <c r="G28" s="19" t="e">
        <f>VLOOKUP(CurrentMtgRatesDataTable826[[#This Row],[issueDate]],CurrentMtgRatesDataTable8268[[issueDate]:[issueAmount]],3,0)</f>
        <v>#N/A</v>
      </c>
      <c r="I28" t="s">
        <v>25</v>
      </c>
      <c r="J28" s="18">
        <v>40909</v>
      </c>
      <c r="K28" t="s">
        <v>26</v>
      </c>
      <c r="L28">
        <v>964656975</v>
      </c>
      <c r="O28" t="s">
        <v>27</v>
      </c>
      <c r="P28" s="18">
        <v>41791</v>
      </c>
      <c r="Q28" t="s">
        <v>28</v>
      </c>
      <c r="R28">
        <v>275221137</v>
      </c>
    </row>
    <row r="29" spans="2:18">
      <c r="B29" t="s">
        <v>23</v>
      </c>
      <c r="C29" s="18">
        <v>40940</v>
      </c>
      <c r="D29" t="s">
        <v>24</v>
      </c>
      <c r="E29">
        <v>1459805763</v>
      </c>
      <c r="F29" s="19">
        <f>VLOOKUP(CurrentMtgRatesDataTable826[[#This Row],[issueDate]],CurrentMtgRatesDataTable8267[[issueDate]:[issueAmount]],3,0)</f>
        <v>935368647</v>
      </c>
      <c r="G29" s="19" t="e">
        <f>VLOOKUP(CurrentMtgRatesDataTable826[[#This Row],[issueDate]],CurrentMtgRatesDataTable8268[[issueDate]:[issueAmount]],3,0)</f>
        <v>#N/A</v>
      </c>
      <c r="I29" t="s">
        <v>25</v>
      </c>
      <c r="J29" s="18">
        <v>40940</v>
      </c>
      <c r="K29" t="s">
        <v>26</v>
      </c>
      <c r="L29">
        <v>935368647</v>
      </c>
      <c r="O29" t="s">
        <v>27</v>
      </c>
      <c r="P29" s="18">
        <v>41821</v>
      </c>
      <c r="Q29" t="s">
        <v>28</v>
      </c>
      <c r="R29">
        <v>174927834</v>
      </c>
    </row>
    <row r="30" spans="2:18">
      <c r="B30" t="s">
        <v>23</v>
      </c>
      <c r="C30" s="18">
        <v>40969</v>
      </c>
      <c r="D30" t="s">
        <v>24</v>
      </c>
      <c r="E30">
        <v>2893315869</v>
      </c>
      <c r="F30" s="19">
        <f>VLOOKUP(CurrentMtgRatesDataTable826[[#This Row],[issueDate]],CurrentMtgRatesDataTable8267[[issueDate]:[issueAmount]],3,0)</f>
        <v>1830004532</v>
      </c>
      <c r="G30" s="19" t="e">
        <f>VLOOKUP(CurrentMtgRatesDataTable826[[#This Row],[issueDate]],CurrentMtgRatesDataTable8268[[issueDate]:[issueAmount]],3,0)</f>
        <v>#N/A</v>
      </c>
      <c r="I30" t="s">
        <v>25</v>
      </c>
      <c r="J30" s="18">
        <v>40969</v>
      </c>
      <c r="K30" t="s">
        <v>26</v>
      </c>
      <c r="L30">
        <v>1830004532</v>
      </c>
      <c r="O30" t="s">
        <v>27</v>
      </c>
      <c r="P30" s="18">
        <v>41852</v>
      </c>
      <c r="Q30" t="s">
        <v>28</v>
      </c>
      <c r="R30">
        <v>330911502</v>
      </c>
    </row>
    <row r="31" spans="2:18">
      <c r="B31" t="s">
        <v>23</v>
      </c>
      <c r="C31" s="18">
        <v>41000</v>
      </c>
      <c r="D31" t="s">
        <v>24</v>
      </c>
      <c r="E31">
        <v>853289366</v>
      </c>
      <c r="F31" s="19">
        <f>VLOOKUP(CurrentMtgRatesDataTable826[[#This Row],[issueDate]],CurrentMtgRatesDataTable8267[[issueDate]:[issueAmount]],3,0)</f>
        <v>1283593895</v>
      </c>
      <c r="G31" s="19" t="e">
        <f>VLOOKUP(CurrentMtgRatesDataTable826[[#This Row],[issueDate]],CurrentMtgRatesDataTable8268[[issueDate]:[issueAmount]],3,0)</f>
        <v>#N/A</v>
      </c>
      <c r="I31" t="s">
        <v>25</v>
      </c>
      <c r="J31" s="18">
        <v>41000</v>
      </c>
      <c r="K31" t="s">
        <v>26</v>
      </c>
      <c r="L31">
        <v>1283593895</v>
      </c>
      <c r="O31" t="s">
        <v>27</v>
      </c>
      <c r="P31" s="18">
        <v>41883</v>
      </c>
      <c r="Q31" t="s">
        <v>28</v>
      </c>
      <c r="R31">
        <v>120745416</v>
      </c>
    </row>
    <row r="32" spans="2:18">
      <c r="B32" t="s">
        <v>23</v>
      </c>
      <c r="C32" s="18">
        <v>41030</v>
      </c>
      <c r="D32" t="s">
        <v>24</v>
      </c>
      <c r="E32">
        <v>1671001392</v>
      </c>
      <c r="F32" s="19">
        <f>VLOOKUP(CurrentMtgRatesDataTable826[[#This Row],[issueDate]],CurrentMtgRatesDataTable8267[[issueDate]:[issueAmount]],3,0)</f>
        <v>2238872332</v>
      </c>
      <c r="G32" s="19" t="e">
        <f>VLOOKUP(CurrentMtgRatesDataTable826[[#This Row],[issueDate]],CurrentMtgRatesDataTable8268[[issueDate]:[issueAmount]],3,0)</f>
        <v>#N/A</v>
      </c>
      <c r="I32" t="s">
        <v>25</v>
      </c>
      <c r="J32" s="18">
        <v>41030</v>
      </c>
      <c r="K32" t="s">
        <v>26</v>
      </c>
      <c r="L32">
        <v>2238872332</v>
      </c>
      <c r="O32" t="s">
        <v>27</v>
      </c>
      <c r="P32" s="18">
        <v>41913</v>
      </c>
      <c r="Q32" t="s">
        <v>28</v>
      </c>
      <c r="R32">
        <v>385881834</v>
      </c>
    </row>
    <row r="33" spans="2:18">
      <c r="B33" t="s">
        <v>23</v>
      </c>
      <c r="C33" s="18">
        <v>41061</v>
      </c>
      <c r="D33" t="s">
        <v>24</v>
      </c>
      <c r="E33">
        <v>1932118315</v>
      </c>
      <c r="F33" s="19">
        <f>VLOOKUP(CurrentMtgRatesDataTable826[[#This Row],[issueDate]],CurrentMtgRatesDataTable8267[[issueDate]:[issueAmount]],3,0)</f>
        <v>2674159779</v>
      </c>
      <c r="G33" s="19">
        <f>VLOOKUP(CurrentMtgRatesDataTable826[[#This Row],[issueDate]],CurrentMtgRatesDataTable8268[[issueDate]:[issueAmount]],3,0)</f>
        <v>5627164641</v>
      </c>
      <c r="I33" t="s">
        <v>25</v>
      </c>
      <c r="J33" s="18">
        <v>41061</v>
      </c>
      <c r="K33" t="s">
        <v>26</v>
      </c>
      <c r="L33">
        <v>2674159779</v>
      </c>
      <c r="O33" t="s">
        <v>27</v>
      </c>
      <c r="P33" s="18">
        <v>41944</v>
      </c>
      <c r="Q33" t="s">
        <v>28</v>
      </c>
      <c r="R33">
        <v>230866169</v>
      </c>
    </row>
    <row r="34" spans="2:18">
      <c r="B34" t="s">
        <v>23</v>
      </c>
      <c r="C34" s="18">
        <v>41091</v>
      </c>
      <c r="D34" t="s">
        <v>24</v>
      </c>
      <c r="E34">
        <v>2752296610</v>
      </c>
      <c r="F34" s="19">
        <f>VLOOKUP(CurrentMtgRatesDataTable826[[#This Row],[issueDate]],CurrentMtgRatesDataTable8267[[issueDate]:[issueAmount]],3,0)</f>
        <v>2691500965</v>
      </c>
      <c r="G34" s="19">
        <f>VLOOKUP(CurrentMtgRatesDataTable826[[#This Row],[issueDate]],CurrentMtgRatesDataTable8268[[issueDate]:[issueAmount]],3,0)</f>
        <v>3713048773</v>
      </c>
      <c r="I34" t="s">
        <v>25</v>
      </c>
      <c r="J34" s="18">
        <v>41091</v>
      </c>
      <c r="K34" t="s">
        <v>26</v>
      </c>
      <c r="L34">
        <v>2691500965</v>
      </c>
      <c r="O34" t="s">
        <v>27</v>
      </c>
      <c r="P34" s="18">
        <v>41974</v>
      </c>
      <c r="Q34" t="s">
        <v>28</v>
      </c>
      <c r="R34">
        <v>1261524465</v>
      </c>
    </row>
    <row r="35" spans="2:18">
      <c r="B35" t="s">
        <v>23</v>
      </c>
      <c r="C35" s="18">
        <v>41122</v>
      </c>
      <c r="D35" t="s">
        <v>24</v>
      </c>
      <c r="E35">
        <v>3126742934</v>
      </c>
      <c r="F35" s="19">
        <f>VLOOKUP(CurrentMtgRatesDataTable826[[#This Row],[issueDate]],CurrentMtgRatesDataTable8267[[issueDate]:[issueAmount]],3,0)</f>
        <v>2705488507</v>
      </c>
      <c r="G35" s="19">
        <f>VLOOKUP(CurrentMtgRatesDataTable826[[#This Row],[issueDate]],CurrentMtgRatesDataTable8268[[issueDate]:[issueAmount]],3,0)</f>
        <v>3482283708</v>
      </c>
      <c r="I35" t="s">
        <v>25</v>
      </c>
      <c r="J35" s="18">
        <v>41122</v>
      </c>
      <c r="K35" t="s">
        <v>26</v>
      </c>
      <c r="L35">
        <v>2705488507</v>
      </c>
      <c r="O35" t="s">
        <v>27</v>
      </c>
      <c r="P35" s="18">
        <v>42005</v>
      </c>
      <c r="Q35" t="s">
        <v>28</v>
      </c>
      <c r="R35">
        <v>143096287</v>
      </c>
    </row>
    <row r="36" spans="2:18">
      <c r="B36" t="s">
        <v>23</v>
      </c>
      <c r="C36" s="18">
        <v>41153</v>
      </c>
      <c r="D36" t="s">
        <v>24</v>
      </c>
      <c r="E36">
        <v>3245152246</v>
      </c>
      <c r="F36" s="19">
        <f>VLOOKUP(CurrentMtgRatesDataTable826[[#This Row],[issueDate]],CurrentMtgRatesDataTable8267[[issueDate]:[issueAmount]],3,0)</f>
        <v>2507345171</v>
      </c>
      <c r="G36" s="19">
        <f>VLOOKUP(CurrentMtgRatesDataTable826[[#This Row],[issueDate]],CurrentMtgRatesDataTable8268[[issueDate]:[issueAmount]],3,0)</f>
        <v>3393761631</v>
      </c>
      <c r="I36" t="s">
        <v>25</v>
      </c>
      <c r="J36" s="18">
        <v>41153</v>
      </c>
      <c r="K36" t="s">
        <v>26</v>
      </c>
      <c r="L36">
        <v>2507345171</v>
      </c>
      <c r="O36" t="s">
        <v>27</v>
      </c>
      <c r="P36" s="18">
        <v>42036</v>
      </c>
      <c r="Q36" t="s">
        <v>28</v>
      </c>
      <c r="R36">
        <v>127311006</v>
      </c>
    </row>
    <row r="37" spans="2:18">
      <c r="B37" t="s">
        <v>23</v>
      </c>
      <c r="C37" s="18">
        <v>41183</v>
      </c>
      <c r="D37" t="s">
        <v>24</v>
      </c>
      <c r="E37">
        <v>2054054786</v>
      </c>
      <c r="F37" s="19">
        <f>VLOOKUP(CurrentMtgRatesDataTable826[[#This Row],[issueDate]],CurrentMtgRatesDataTable8267[[issueDate]:[issueAmount]],3,0)</f>
        <v>1886237333</v>
      </c>
      <c r="G37" s="19">
        <f>VLOOKUP(CurrentMtgRatesDataTable826[[#This Row],[issueDate]],CurrentMtgRatesDataTable8268[[issueDate]:[issueAmount]],3,0)</f>
        <v>2591936940</v>
      </c>
      <c r="I37" t="s">
        <v>25</v>
      </c>
      <c r="J37" s="18">
        <v>41183</v>
      </c>
      <c r="K37" t="s">
        <v>26</v>
      </c>
      <c r="L37">
        <v>1886237333</v>
      </c>
      <c r="O37" t="s">
        <v>27</v>
      </c>
      <c r="P37" s="18">
        <v>42064</v>
      </c>
      <c r="Q37" t="s">
        <v>28</v>
      </c>
      <c r="R37">
        <v>155150153</v>
      </c>
    </row>
    <row r="38" spans="2:18">
      <c r="B38" t="s">
        <v>23</v>
      </c>
      <c r="C38" s="18">
        <v>41214</v>
      </c>
      <c r="D38" t="s">
        <v>24</v>
      </c>
      <c r="E38">
        <v>3993010447</v>
      </c>
      <c r="F38" s="19">
        <f>VLOOKUP(CurrentMtgRatesDataTable826[[#This Row],[issueDate]],CurrentMtgRatesDataTable8267[[issueDate]:[issueAmount]],3,0)</f>
        <v>3089976460</v>
      </c>
      <c r="G38" s="19">
        <f>VLOOKUP(CurrentMtgRatesDataTable826[[#This Row],[issueDate]],CurrentMtgRatesDataTable8268[[issueDate]:[issueAmount]],3,0)</f>
        <v>3531096335</v>
      </c>
      <c r="I38" t="s">
        <v>25</v>
      </c>
      <c r="J38" s="18">
        <v>41214</v>
      </c>
      <c r="K38" t="s">
        <v>26</v>
      </c>
      <c r="L38">
        <v>3089976460</v>
      </c>
      <c r="O38" s="5" t="s">
        <v>27</v>
      </c>
      <c r="P38" s="30">
        <v>42095</v>
      </c>
      <c r="Q38" s="5" t="s">
        <v>28</v>
      </c>
      <c r="R38" s="5">
        <v>106931031</v>
      </c>
    </row>
    <row r="39" spans="2:18">
      <c r="B39" t="s">
        <v>23</v>
      </c>
      <c r="C39" s="18">
        <v>41244</v>
      </c>
      <c r="D39" t="s">
        <v>24</v>
      </c>
      <c r="E39">
        <v>1214802344</v>
      </c>
      <c r="F39" s="19">
        <f>VLOOKUP(CurrentMtgRatesDataTable826[[#This Row],[issueDate]],CurrentMtgRatesDataTable8267[[issueDate]:[issueAmount]],3,0)</f>
        <v>1925814668</v>
      </c>
      <c r="G39" s="19">
        <f>VLOOKUP(CurrentMtgRatesDataTable826[[#This Row],[issueDate]],CurrentMtgRatesDataTable8268[[issueDate]:[issueAmount]],3,0)</f>
        <v>2237392773</v>
      </c>
      <c r="I39" t="s">
        <v>25</v>
      </c>
      <c r="J39" s="18">
        <v>41244</v>
      </c>
      <c r="K39" t="s">
        <v>26</v>
      </c>
      <c r="L39">
        <v>1925814668</v>
      </c>
    </row>
    <row r="40" spans="2:18">
      <c r="B40" t="s">
        <v>23</v>
      </c>
      <c r="C40" s="18">
        <v>41275</v>
      </c>
      <c r="D40" t="s">
        <v>24</v>
      </c>
      <c r="E40">
        <v>3321638962</v>
      </c>
      <c r="F40" s="19">
        <f>VLOOKUP(CurrentMtgRatesDataTable826[[#This Row],[issueDate]],CurrentMtgRatesDataTable8267[[issueDate]:[issueAmount]],3,0)</f>
        <v>2387371027</v>
      </c>
      <c r="G40" s="19">
        <f>VLOOKUP(CurrentMtgRatesDataTable826[[#This Row],[issueDate]],CurrentMtgRatesDataTable8268[[issueDate]:[issueAmount]],3,0)</f>
        <v>3299880097</v>
      </c>
      <c r="I40" t="s">
        <v>25</v>
      </c>
      <c r="J40" s="18">
        <v>41275</v>
      </c>
      <c r="K40" t="s">
        <v>26</v>
      </c>
      <c r="L40">
        <v>2387371027</v>
      </c>
    </row>
    <row r="41" spans="2:18">
      <c r="B41" t="s">
        <v>23</v>
      </c>
      <c r="C41" s="18">
        <v>41306</v>
      </c>
      <c r="D41" t="s">
        <v>24</v>
      </c>
      <c r="E41">
        <v>1888075582</v>
      </c>
      <c r="F41" s="19">
        <f>VLOOKUP(CurrentMtgRatesDataTable826[[#This Row],[issueDate]],CurrentMtgRatesDataTable8267[[issueDate]:[issueAmount]],3,0)</f>
        <v>2217599892</v>
      </c>
      <c r="G41" s="19">
        <f>VLOOKUP(CurrentMtgRatesDataTable826[[#This Row],[issueDate]],CurrentMtgRatesDataTable8268[[issueDate]:[issueAmount]],3,0)</f>
        <v>2808516054</v>
      </c>
      <c r="I41" t="s">
        <v>25</v>
      </c>
      <c r="J41" s="18">
        <v>41306</v>
      </c>
      <c r="K41" t="s">
        <v>26</v>
      </c>
      <c r="L41">
        <v>2217599892</v>
      </c>
    </row>
    <row r="42" spans="2:18">
      <c r="B42" t="s">
        <v>23</v>
      </c>
      <c r="C42" s="18">
        <v>41334</v>
      </c>
      <c r="D42" t="s">
        <v>24</v>
      </c>
      <c r="E42">
        <v>2116389422</v>
      </c>
      <c r="F42" s="19">
        <f>VLOOKUP(CurrentMtgRatesDataTable826[[#This Row],[issueDate]],CurrentMtgRatesDataTable8267[[issueDate]:[issueAmount]],3,0)</f>
        <v>2074956858</v>
      </c>
      <c r="G42" s="19">
        <f>VLOOKUP(CurrentMtgRatesDataTable826[[#This Row],[issueDate]],CurrentMtgRatesDataTable8268[[issueDate]:[issueAmount]],3,0)</f>
        <v>2186380753</v>
      </c>
      <c r="I42" t="s">
        <v>25</v>
      </c>
      <c r="J42" s="18">
        <v>41334</v>
      </c>
      <c r="K42" t="s">
        <v>26</v>
      </c>
      <c r="L42">
        <v>2074956858</v>
      </c>
    </row>
    <row r="43" spans="2:18">
      <c r="B43" t="s">
        <v>23</v>
      </c>
      <c r="C43" s="18">
        <v>41365</v>
      </c>
      <c r="D43" t="s">
        <v>24</v>
      </c>
      <c r="E43">
        <v>2271806082</v>
      </c>
      <c r="F43" s="19">
        <f>VLOOKUP(CurrentMtgRatesDataTable826[[#This Row],[issueDate]],CurrentMtgRatesDataTable8267[[issueDate]:[issueAmount]],3,0)</f>
        <v>2243146531</v>
      </c>
      <c r="G43" s="19">
        <f>VLOOKUP(CurrentMtgRatesDataTable826[[#This Row],[issueDate]],CurrentMtgRatesDataTable8268[[issueDate]:[issueAmount]],3,0)</f>
        <v>2498076581</v>
      </c>
      <c r="I43" t="s">
        <v>25</v>
      </c>
      <c r="J43" s="18">
        <v>41365</v>
      </c>
      <c r="K43" t="s">
        <v>26</v>
      </c>
      <c r="L43">
        <v>2243146531</v>
      </c>
    </row>
    <row r="44" spans="2:18">
      <c r="B44" t="s">
        <v>23</v>
      </c>
      <c r="C44" s="18">
        <v>41395</v>
      </c>
      <c r="D44" t="s">
        <v>24</v>
      </c>
      <c r="E44">
        <v>2019206225</v>
      </c>
      <c r="F44" s="19">
        <f>VLOOKUP(CurrentMtgRatesDataTable826[[#This Row],[issueDate]],CurrentMtgRatesDataTable8267[[issueDate]:[issueAmount]],3,0)</f>
        <v>1541931533</v>
      </c>
      <c r="G44" s="19">
        <f>VLOOKUP(CurrentMtgRatesDataTable826[[#This Row],[issueDate]],CurrentMtgRatesDataTable8268[[issueDate]:[issueAmount]],3,0)</f>
        <v>1858786075</v>
      </c>
      <c r="I44" t="s">
        <v>25</v>
      </c>
      <c r="J44" s="18">
        <v>41395</v>
      </c>
      <c r="K44" t="s">
        <v>26</v>
      </c>
      <c r="L44">
        <v>1541931533</v>
      </c>
    </row>
    <row r="45" spans="2:18">
      <c r="B45" t="s">
        <v>23</v>
      </c>
      <c r="C45" s="18">
        <v>41426</v>
      </c>
      <c r="D45" t="s">
        <v>24</v>
      </c>
      <c r="E45">
        <v>2418493907</v>
      </c>
      <c r="F45" s="19">
        <f>VLOOKUP(CurrentMtgRatesDataTable826[[#This Row],[issueDate]],CurrentMtgRatesDataTable8267[[issueDate]:[issueAmount]],3,0)</f>
        <v>1758314749</v>
      </c>
      <c r="G45" s="19">
        <f>VLOOKUP(CurrentMtgRatesDataTable826[[#This Row],[issueDate]],CurrentMtgRatesDataTable8268[[issueDate]:[issueAmount]],3,0)</f>
        <v>1553402361</v>
      </c>
      <c r="I45" t="s">
        <v>25</v>
      </c>
      <c r="J45" s="18">
        <v>41426</v>
      </c>
      <c r="K45" t="s">
        <v>26</v>
      </c>
      <c r="L45">
        <v>1758314749</v>
      </c>
    </row>
    <row r="46" spans="2:18">
      <c r="B46" t="s">
        <v>23</v>
      </c>
      <c r="C46" s="18">
        <v>41456</v>
      </c>
      <c r="D46" t="s">
        <v>24</v>
      </c>
      <c r="E46">
        <v>1885265938</v>
      </c>
      <c r="F46" s="19">
        <f>VLOOKUP(CurrentMtgRatesDataTable826[[#This Row],[issueDate]],CurrentMtgRatesDataTable8267[[issueDate]:[issueAmount]],3,0)</f>
        <v>1616623154</v>
      </c>
      <c r="G46" s="19">
        <f>VLOOKUP(CurrentMtgRatesDataTable826[[#This Row],[issueDate]],CurrentMtgRatesDataTable8268[[issueDate]:[issueAmount]],3,0)</f>
        <v>1434823555</v>
      </c>
      <c r="I46" t="s">
        <v>25</v>
      </c>
      <c r="J46" s="18">
        <v>41456</v>
      </c>
      <c r="K46" t="s">
        <v>26</v>
      </c>
      <c r="L46">
        <v>1616623154</v>
      </c>
    </row>
    <row r="47" spans="2:18">
      <c r="B47" t="s">
        <v>23</v>
      </c>
      <c r="C47" s="18">
        <v>41487</v>
      </c>
      <c r="D47" t="s">
        <v>24</v>
      </c>
      <c r="E47">
        <v>1634700327</v>
      </c>
      <c r="F47" s="19">
        <f>VLOOKUP(CurrentMtgRatesDataTable826[[#This Row],[issueDate]],CurrentMtgRatesDataTable8267[[issueDate]:[issueAmount]],3,0)</f>
        <v>1373502996</v>
      </c>
      <c r="G47" s="19">
        <f>VLOOKUP(CurrentMtgRatesDataTable826[[#This Row],[issueDate]],CurrentMtgRatesDataTable8268[[issueDate]:[issueAmount]],3,0)</f>
        <v>1187325480</v>
      </c>
      <c r="I47" t="s">
        <v>25</v>
      </c>
      <c r="J47" s="18">
        <v>41487</v>
      </c>
      <c r="K47" t="s">
        <v>26</v>
      </c>
      <c r="L47">
        <v>1373502996</v>
      </c>
    </row>
    <row r="48" spans="2:18">
      <c r="B48" t="s">
        <v>23</v>
      </c>
      <c r="C48" s="18">
        <v>41518</v>
      </c>
      <c r="D48" t="s">
        <v>24</v>
      </c>
      <c r="E48">
        <v>971826383</v>
      </c>
      <c r="F48" s="19">
        <f>VLOOKUP(CurrentMtgRatesDataTable826[[#This Row],[issueDate]],CurrentMtgRatesDataTable8267[[issueDate]:[issueAmount]],3,0)</f>
        <v>960260689</v>
      </c>
      <c r="G48" s="19">
        <f>VLOOKUP(CurrentMtgRatesDataTable826[[#This Row],[issueDate]],CurrentMtgRatesDataTable8268[[issueDate]:[issueAmount]],3,0)</f>
        <v>743460848</v>
      </c>
      <c r="I48" t="s">
        <v>25</v>
      </c>
      <c r="J48" s="18">
        <v>41518</v>
      </c>
      <c r="K48" t="s">
        <v>26</v>
      </c>
      <c r="L48">
        <v>960260689</v>
      </c>
    </row>
    <row r="49" spans="2:12">
      <c r="B49" t="s">
        <v>23</v>
      </c>
      <c r="C49" s="18">
        <v>41548</v>
      </c>
      <c r="D49" t="s">
        <v>24</v>
      </c>
      <c r="E49">
        <v>841860222</v>
      </c>
      <c r="F49" s="19">
        <f>VLOOKUP(CurrentMtgRatesDataTable826[[#This Row],[issueDate]],CurrentMtgRatesDataTable8267[[issueDate]:[issueAmount]],3,0)</f>
        <v>817694911</v>
      </c>
      <c r="G49" s="19">
        <f>VLOOKUP(CurrentMtgRatesDataTable826[[#This Row],[issueDate]],CurrentMtgRatesDataTable8268[[issueDate]:[issueAmount]],3,0)</f>
        <v>615254685</v>
      </c>
      <c r="I49" t="s">
        <v>25</v>
      </c>
      <c r="J49" s="18">
        <v>41548</v>
      </c>
      <c r="K49" t="s">
        <v>26</v>
      </c>
      <c r="L49">
        <v>817694911</v>
      </c>
    </row>
    <row r="50" spans="2:12">
      <c r="B50" t="s">
        <v>23</v>
      </c>
      <c r="C50" s="18">
        <v>41579</v>
      </c>
      <c r="D50" t="s">
        <v>24</v>
      </c>
      <c r="E50">
        <v>773960857</v>
      </c>
      <c r="F50" s="19">
        <f>VLOOKUP(CurrentMtgRatesDataTable826[[#This Row],[issueDate]],CurrentMtgRatesDataTable8267[[issueDate]:[issueAmount]],3,0)</f>
        <v>650781591</v>
      </c>
      <c r="G50" s="19">
        <f>VLOOKUP(CurrentMtgRatesDataTable826[[#This Row],[issueDate]],CurrentMtgRatesDataTable8268[[issueDate]:[issueAmount]],3,0)</f>
        <v>887067278</v>
      </c>
      <c r="I50" t="s">
        <v>25</v>
      </c>
      <c r="J50" s="18">
        <v>41579</v>
      </c>
      <c r="K50" t="s">
        <v>26</v>
      </c>
      <c r="L50">
        <v>650781591</v>
      </c>
    </row>
    <row r="51" spans="2:12">
      <c r="B51" t="s">
        <v>23</v>
      </c>
      <c r="C51" s="18">
        <v>41609</v>
      </c>
      <c r="D51" t="s">
        <v>24</v>
      </c>
      <c r="E51">
        <v>647887853</v>
      </c>
      <c r="F51" s="19">
        <f>VLOOKUP(CurrentMtgRatesDataTable826[[#This Row],[issueDate]],CurrentMtgRatesDataTable8267[[issueDate]:[issueAmount]],3,0)</f>
        <v>755691585</v>
      </c>
      <c r="G51" s="19">
        <f>VLOOKUP(CurrentMtgRatesDataTable826[[#This Row],[issueDate]],CurrentMtgRatesDataTable8268[[issueDate]:[issueAmount]],3,0)</f>
        <v>857597466</v>
      </c>
      <c r="I51" t="s">
        <v>25</v>
      </c>
      <c r="J51" s="18">
        <v>41609</v>
      </c>
      <c r="K51" t="s">
        <v>26</v>
      </c>
      <c r="L51">
        <v>755691585</v>
      </c>
    </row>
    <row r="52" spans="2:12">
      <c r="B52" t="s">
        <v>23</v>
      </c>
      <c r="C52" s="18">
        <v>41640</v>
      </c>
      <c r="D52" t="s">
        <v>24</v>
      </c>
      <c r="E52">
        <v>392754952</v>
      </c>
      <c r="F52" s="19">
        <f>VLOOKUP(CurrentMtgRatesDataTable826[[#This Row],[issueDate]],CurrentMtgRatesDataTable8267[[issueDate]:[issueAmount]],3,0)</f>
        <v>438784911</v>
      </c>
      <c r="G52" s="19">
        <f>VLOOKUP(CurrentMtgRatesDataTable826[[#This Row],[issueDate]],CurrentMtgRatesDataTable8268[[issueDate]:[issueAmount]],3,0)</f>
        <v>663943847</v>
      </c>
      <c r="I52" t="s">
        <v>25</v>
      </c>
      <c r="J52" s="18">
        <v>41640</v>
      </c>
      <c r="K52" t="s">
        <v>26</v>
      </c>
      <c r="L52">
        <v>438784911</v>
      </c>
    </row>
    <row r="53" spans="2:12">
      <c r="B53" t="s">
        <v>23</v>
      </c>
      <c r="C53" s="18">
        <v>41671</v>
      </c>
      <c r="D53" t="s">
        <v>24</v>
      </c>
      <c r="E53">
        <v>362334810</v>
      </c>
      <c r="F53" s="19">
        <f>VLOOKUP(CurrentMtgRatesDataTable826[[#This Row],[issueDate]],CurrentMtgRatesDataTable8267[[issueDate]:[issueAmount]],3,0)</f>
        <v>399641559</v>
      </c>
      <c r="G53" s="19">
        <f>VLOOKUP(CurrentMtgRatesDataTable826[[#This Row],[issueDate]],CurrentMtgRatesDataTable8268[[issueDate]:[issueAmount]],3,0)</f>
        <v>261049913</v>
      </c>
      <c r="I53" t="s">
        <v>25</v>
      </c>
      <c r="J53" s="18">
        <v>41671</v>
      </c>
      <c r="K53" t="s">
        <v>26</v>
      </c>
      <c r="L53">
        <v>399641559</v>
      </c>
    </row>
    <row r="54" spans="2:12">
      <c r="B54" t="s">
        <v>23</v>
      </c>
      <c r="C54" s="18">
        <v>41699</v>
      </c>
      <c r="D54" t="s">
        <v>24</v>
      </c>
      <c r="E54">
        <v>230227055</v>
      </c>
      <c r="F54" s="19">
        <f>VLOOKUP(CurrentMtgRatesDataTable826[[#This Row],[issueDate]],CurrentMtgRatesDataTable8267[[issueDate]:[issueAmount]],3,0)</f>
        <v>313566996</v>
      </c>
      <c r="G54" s="19">
        <f>VLOOKUP(CurrentMtgRatesDataTable826[[#This Row],[issueDate]],CurrentMtgRatesDataTable8268[[issueDate]:[issueAmount]],3,0)</f>
        <v>214559704</v>
      </c>
      <c r="I54" t="s">
        <v>25</v>
      </c>
      <c r="J54" s="18">
        <v>41699</v>
      </c>
      <c r="K54" t="s">
        <v>26</v>
      </c>
      <c r="L54">
        <v>313566996</v>
      </c>
    </row>
    <row r="55" spans="2:12">
      <c r="B55" t="s">
        <v>23</v>
      </c>
      <c r="C55" s="18">
        <v>41730</v>
      </c>
      <c r="D55" t="s">
        <v>24</v>
      </c>
      <c r="E55">
        <v>278280577</v>
      </c>
      <c r="F55" s="19">
        <f>VLOOKUP(CurrentMtgRatesDataTable826[[#This Row],[issueDate]],CurrentMtgRatesDataTable8267[[issueDate]:[issueAmount]],3,0)</f>
        <v>255206728</v>
      </c>
      <c r="G55" s="19">
        <f>VLOOKUP(CurrentMtgRatesDataTable826[[#This Row],[issueDate]],CurrentMtgRatesDataTable8268[[issueDate]:[issueAmount]],3,0)</f>
        <v>294932105</v>
      </c>
      <c r="I55" t="s">
        <v>25</v>
      </c>
      <c r="J55" s="18">
        <v>41730</v>
      </c>
      <c r="K55" t="s">
        <v>26</v>
      </c>
      <c r="L55">
        <v>255206728</v>
      </c>
    </row>
    <row r="56" spans="2:12">
      <c r="B56" t="s">
        <v>23</v>
      </c>
      <c r="C56" s="18">
        <v>41760</v>
      </c>
      <c r="D56" t="s">
        <v>24</v>
      </c>
      <c r="E56">
        <v>337688908</v>
      </c>
      <c r="F56" s="19">
        <f>VLOOKUP(CurrentMtgRatesDataTable826[[#This Row],[issueDate]],CurrentMtgRatesDataTable8267[[issueDate]:[issueAmount]],3,0)</f>
        <v>186037636</v>
      </c>
      <c r="G56" s="19">
        <f>VLOOKUP(CurrentMtgRatesDataTable826[[#This Row],[issueDate]],CurrentMtgRatesDataTable8268[[issueDate]:[issueAmount]],3,0)</f>
        <v>110770261</v>
      </c>
      <c r="I56" t="s">
        <v>25</v>
      </c>
      <c r="J56" s="18">
        <v>41760</v>
      </c>
      <c r="K56" t="s">
        <v>26</v>
      </c>
      <c r="L56">
        <v>186037636</v>
      </c>
    </row>
    <row r="57" spans="2:12">
      <c r="B57" t="s">
        <v>23</v>
      </c>
      <c r="C57" s="18">
        <v>41791</v>
      </c>
      <c r="D57" t="s">
        <v>24</v>
      </c>
      <c r="E57">
        <v>319731336</v>
      </c>
      <c r="F57" s="19">
        <f>VLOOKUP(CurrentMtgRatesDataTable826[[#This Row],[issueDate]],CurrentMtgRatesDataTable8267[[issueDate]:[issueAmount]],3,0)</f>
        <v>244291451</v>
      </c>
      <c r="G57" s="19">
        <f>VLOOKUP(CurrentMtgRatesDataTable826[[#This Row],[issueDate]],CurrentMtgRatesDataTable8268[[issueDate]:[issueAmount]],3,0)</f>
        <v>275221137</v>
      </c>
      <c r="I57" t="s">
        <v>25</v>
      </c>
      <c r="J57" s="18">
        <v>41791</v>
      </c>
      <c r="K57" t="s">
        <v>26</v>
      </c>
      <c r="L57">
        <v>244291451</v>
      </c>
    </row>
    <row r="58" spans="2:12">
      <c r="B58" t="s">
        <v>23</v>
      </c>
      <c r="C58" s="18">
        <v>41821</v>
      </c>
      <c r="D58" t="s">
        <v>24</v>
      </c>
      <c r="E58">
        <v>562390222</v>
      </c>
      <c r="F58" s="19">
        <f>VLOOKUP(CurrentMtgRatesDataTable826[[#This Row],[issueDate]],CurrentMtgRatesDataTable8267[[issueDate]:[issueAmount]],3,0)</f>
        <v>206481264</v>
      </c>
      <c r="G58" s="19">
        <f>VLOOKUP(CurrentMtgRatesDataTable826[[#This Row],[issueDate]],CurrentMtgRatesDataTable8268[[issueDate]:[issueAmount]],3,0)</f>
        <v>174927834</v>
      </c>
      <c r="I58" t="s">
        <v>25</v>
      </c>
      <c r="J58" s="18">
        <v>41821</v>
      </c>
      <c r="K58" t="s">
        <v>26</v>
      </c>
      <c r="L58">
        <v>206481264</v>
      </c>
    </row>
    <row r="59" spans="2:12">
      <c r="B59" t="s">
        <v>23</v>
      </c>
      <c r="C59" s="18">
        <v>41852</v>
      </c>
      <c r="D59" t="s">
        <v>24</v>
      </c>
      <c r="E59">
        <v>449797295</v>
      </c>
      <c r="F59" s="19">
        <f>VLOOKUP(CurrentMtgRatesDataTable826[[#This Row],[issueDate]],CurrentMtgRatesDataTable8267[[issueDate]:[issueAmount]],3,0)</f>
        <v>346554888</v>
      </c>
      <c r="G59" s="19">
        <f>VLOOKUP(CurrentMtgRatesDataTable826[[#This Row],[issueDate]],CurrentMtgRatesDataTable8268[[issueDate]:[issueAmount]],3,0)</f>
        <v>330911502</v>
      </c>
      <c r="I59" t="s">
        <v>25</v>
      </c>
      <c r="J59" s="18">
        <v>41852</v>
      </c>
      <c r="K59" t="s">
        <v>26</v>
      </c>
      <c r="L59">
        <v>346554888</v>
      </c>
    </row>
    <row r="60" spans="2:12">
      <c r="B60" t="s">
        <v>23</v>
      </c>
      <c r="C60" s="18">
        <v>41883</v>
      </c>
      <c r="D60" t="s">
        <v>24</v>
      </c>
      <c r="E60">
        <v>746264105</v>
      </c>
      <c r="F60" s="19">
        <f>VLOOKUP(CurrentMtgRatesDataTable826[[#This Row],[issueDate]],CurrentMtgRatesDataTable8267[[issueDate]:[issueAmount]],3,0)</f>
        <v>187308272</v>
      </c>
      <c r="G60" s="19">
        <f>VLOOKUP(CurrentMtgRatesDataTable826[[#This Row],[issueDate]],CurrentMtgRatesDataTable8268[[issueDate]:[issueAmount]],3,0)</f>
        <v>120745416</v>
      </c>
      <c r="I60" t="s">
        <v>25</v>
      </c>
      <c r="J60" s="18">
        <v>41883</v>
      </c>
      <c r="K60" t="s">
        <v>26</v>
      </c>
      <c r="L60">
        <v>187308272</v>
      </c>
    </row>
    <row r="61" spans="2:12">
      <c r="B61" t="s">
        <v>23</v>
      </c>
      <c r="C61" s="18">
        <v>41913</v>
      </c>
      <c r="D61" t="s">
        <v>24</v>
      </c>
      <c r="E61">
        <v>639001193</v>
      </c>
      <c r="F61" s="19">
        <f>VLOOKUP(CurrentMtgRatesDataTable826[[#This Row],[issueDate]],CurrentMtgRatesDataTable8267[[issueDate]:[issueAmount]],3,0)</f>
        <v>169366238</v>
      </c>
      <c r="G61" s="19">
        <f>VLOOKUP(CurrentMtgRatesDataTable826[[#This Row],[issueDate]],CurrentMtgRatesDataTable8268[[issueDate]:[issueAmount]],3,0)</f>
        <v>385881834</v>
      </c>
      <c r="I61" t="s">
        <v>25</v>
      </c>
      <c r="J61" s="18">
        <v>41913</v>
      </c>
      <c r="K61" t="s">
        <v>26</v>
      </c>
      <c r="L61">
        <v>169366238</v>
      </c>
    </row>
    <row r="62" spans="2:12">
      <c r="B62" t="s">
        <v>23</v>
      </c>
      <c r="C62" s="18">
        <v>41944</v>
      </c>
      <c r="D62" t="s">
        <v>24</v>
      </c>
      <c r="E62">
        <v>549347202</v>
      </c>
      <c r="F62" s="19">
        <f>VLOOKUP(CurrentMtgRatesDataTable826[[#This Row],[issueDate]],CurrentMtgRatesDataTable8267[[issueDate]:[issueAmount]],3,0)</f>
        <v>371096000</v>
      </c>
      <c r="G62" s="19">
        <f>VLOOKUP(CurrentMtgRatesDataTable826[[#This Row],[issueDate]],CurrentMtgRatesDataTable8268[[issueDate]:[issueAmount]],3,0)</f>
        <v>230866169</v>
      </c>
      <c r="I62" t="s">
        <v>25</v>
      </c>
      <c r="J62" s="18">
        <v>41944</v>
      </c>
      <c r="K62" t="s">
        <v>26</v>
      </c>
      <c r="L62">
        <v>371096000</v>
      </c>
    </row>
    <row r="63" spans="2:12">
      <c r="B63" t="s">
        <v>23</v>
      </c>
      <c r="C63" s="18">
        <v>41974</v>
      </c>
      <c r="D63" t="s">
        <v>24</v>
      </c>
      <c r="E63">
        <v>771028754</v>
      </c>
      <c r="F63" s="19">
        <f>VLOOKUP(CurrentMtgRatesDataTable826[[#This Row],[issueDate]],CurrentMtgRatesDataTable8267[[issueDate]:[issueAmount]],3,0)</f>
        <v>145992266</v>
      </c>
      <c r="G63" s="19">
        <f>VLOOKUP(CurrentMtgRatesDataTable826[[#This Row],[issueDate]],CurrentMtgRatesDataTable8268[[issueDate]:[issueAmount]],3,0)</f>
        <v>1261524465</v>
      </c>
      <c r="I63" t="s">
        <v>25</v>
      </c>
      <c r="J63" s="18">
        <v>41974</v>
      </c>
      <c r="K63" t="s">
        <v>26</v>
      </c>
      <c r="L63">
        <v>145992266</v>
      </c>
    </row>
    <row r="64" spans="2:12">
      <c r="B64" t="s">
        <v>23</v>
      </c>
      <c r="C64" s="18">
        <v>42005</v>
      </c>
      <c r="D64" t="s">
        <v>24</v>
      </c>
      <c r="E64">
        <v>667434711</v>
      </c>
      <c r="F64" s="19">
        <f>VLOOKUP(CurrentMtgRatesDataTable826[[#This Row],[issueDate]],CurrentMtgRatesDataTable8267[[issueDate]:[issueAmount]],3,0)</f>
        <v>120675652</v>
      </c>
      <c r="G64" s="19">
        <f>VLOOKUP(CurrentMtgRatesDataTable826[[#This Row],[issueDate]],CurrentMtgRatesDataTable8268[[issueDate]:[issueAmount]],3,0)</f>
        <v>143096287</v>
      </c>
      <c r="I64" t="s">
        <v>25</v>
      </c>
      <c r="J64" s="18">
        <v>42005</v>
      </c>
      <c r="K64" t="s">
        <v>26</v>
      </c>
      <c r="L64">
        <v>120675652</v>
      </c>
    </row>
    <row r="65" spans="2:12">
      <c r="B65" t="s">
        <v>23</v>
      </c>
      <c r="C65" s="18">
        <v>42036</v>
      </c>
      <c r="D65" t="s">
        <v>24</v>
      </c>
      <c r="E65">
        <v>821128260</v>
      </c>
      <c r="F65" s="19">
        <f>VLOOKUP(CurrentMtgRatesDataTable826[[#This Row],[issueDate]],CurrentMtgRatesDataTable8267[[issueDate]:[issueAmount]],3,0)</f>
        <v>469334257</v>
      </c>
      <c r="G65" s="19">
        <f>VLOOKUP(CurrentMtgRatesDataTable826[[#This Row],[issueDate]],CurrentMtgRatesDataTable8268[[issueDate]:[issueAmount]],3,0)</f>
        <v>127311006</v>
      </c>
      <c r="I65" t="s">
        <v>25</v>
      </c>
      <c r="J65" s="18">
        <v>42036</v>
      </c>
      <c r="K65" t="s">
        <v>26</v>
      </c>
      <c r="L65">
        <v>469334257</v>
      </c>
    </row>
    <row r="66" spans="2:12">
      <c r="B66" t="s">
        <v>23</v>
      </c>
      <c r="C66" s="18">
        <v>42064</v>
      </c>
      <c r="D66" t="s">
        <v>24</v>
      </c>
      <c r="E66">
        <v>1012026911</v>
      </c>
      <c r="F66" s="19">
        <f>VLOOKUP(CurrentMtgRatesDataTable826[[#This Row],[issueDate]],CurrentMtgRatesDataTable8267[[issueDate]:[issueAmount]],3,0)</f>
        <v>104946942</v>
      </c>
      <c r="G66" s="19">
        <f>VLOOKUP(CurrentMtgRatesDataTable826[[#This Row],[issueDate]],CurrentMtgRatesDataTable8268[[issueDate]:[issueAmount]],3,0)</f>
        <v>155150153</v>
      </c>
      <c r="I66" t="s">
        <v>25</v>
      </c>
      <c r="J66" s="18">
        <v>42064</v>
      </c>
      <c r="K66" t="s">
        <v>26</v>
      </c>
      <c r="L66">
        <v>104946942</v>
      </c>
    </row>
    <row r="67" spans="2:12">
      <c r="B67" s="5" t="s">
        <v>23</v>
      </c>
      <c r="C67" s="30">
        <v>42095</v>
      </c>
      <c r="D67" s="5" t="s">
        <v>24</v>
      </c>
      <c r="E67" s="5">
        <v>321522890</v>
      </c>
      <c r="F67" s="35">
        <f>VLOOKUP(CurrentMtgRatesDataTable826[[#This Row],[issueDate]],CurrentMtgRatesDataTable8267[[issueDate]:[issueAmount]],3,0)</f>
        <v>129441155</v>
      </c>
      <c r="G67" s="35">
        <f>VLOOKUP(CurrentMtgRatesDataTable826[[#This Row],[issueDate]],CurrentMtgRatesDataTable8268[[issueDate]:[issueAmount]],3,0)</f>
        <v>106931031</v>
      </c>
      <c r="I67" s="5" t="s">
        <v>25</v>
      </c>
      <c r="J67" s="30">
        <v>42095</v>
      </c>
      <c r="K67" s="5" t="s">
        <v>26</v>
      </c>
      <c r="L67" s="5">
        <v>129441155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 tint="0.59999389629810485"/>
  </sheetPr>
  <dimension ref="B2:AI67"/>
  <sheetViews>
    <sheetView showGridLines="0" workbookViewId="0">
      <selection activeCell="K25" sqref="K25"/>
    </sheetView>
  </sheetViews>
  <sheetFormatPr defaultRowHeight="15"/>
  <cols>
    <col min="10" max="10" width="12.28515625" customWidth="1"/>
    <col min="13" max="13" width="10.42578125" bestFit="1" customWidth="1"/>
    <col min="18" max="18" width="11" bestFit="1" customWidth="1"/>
    <col min="20" max="22" width="10" bestFit="1" customWidth="1"/>
    <col min="23" max="23" width="11" bestFit="1" customWidth="1"/>
    <col min="24" max="24" width="10" bestFit="1" customWidth="1"/>
    <col min="25" max="25" width="10" customWidth="1"/>
    <col min="26" max="26" width="10" bestFit="1" customWidth="1"/>
  </cols>
  <sheetData>
    <row r="2" spans="2:35">
      <c r="B2" t="s">
        <v>37</v>
      </c>
      <c r="E2" t="s">
        <v>38</v>
      </c>
      <c r="I2" t="s">
        <v>39</v>
      </c>
      <c r="M2" t="s">
        <v>40</v>
      </c>
      <c r="Q2" t="s">
        <v>41</v>
      </c>
      <c r="AA2" t="s">
        <v>42</v>
      </c>
      <c r="AE2" t="s">
        <v>43</v>
      </c>
      <c r="AH2" t="s">
        <v>46</v>
      </c>
    </row>
    <row r="3" spans="2:35">
      <c r="B3" s="19" t="s">
        <v>20</v>
      </c>
      <c r="C3" s="19" t="s">
        <v>36</v>
      </c>
      <c r="E3" s="19" t="s">
        <v>20</v>
      </c>
      <c r="F3" s="19" t="s">
        <v>36</v>
      </c>
      <c r="I3" s="19" t="s">
        <v>20</v>
      </c>
      <c r="J3" s="19" t="s">
        <v>36</v>
      </c>
      <c r="M3" s="19" t="s">
        <v>20</v>
      </c>
      <c r="N3" s="19" t="s">
        <v>36</v>
      </c>
      <c r="Q3" s="32" t="s">
        <v>20</v>
      </c>
      <c r="R3" s="32" t="s">
        <v>44</v>
      </c>
      <c r="S3" s="32" t="s">
        <v>42</v>
      </c>
      <c r="T3" s="32" t="s">
        <v>43</v>
      </c>
      <c r="U3" s="32" t="s">
        <v>37</v>
      </c>
      <c r="V3" s="32" t="s">
        <v>38</v>
      </c>
      <c r="W3" s="32" t="s">
        <v>39</v>
      </c>
      <c r="X3" s="32" t="s">
        <v>40</v>
      </c>
      <c r="Y3" s="44" t="s">
        <v>46</v>
      </c>
      <c r="AA3" s="19" t="s">
        <v>20</v>
      </c>
      <c r="AB3" s="19" t="s">
        <v>36</v>
      </c>
      <c r="AC3" s="19"/>
      <c r="AE3" s="19" t="s">
        <v>20</v>
      </c>
      <c r="AF3" s="19" t="s">
        <v>36</v>
      </c>
      <c r="AH3" s="19" t="s">
        <v>20</v>
      </c>
      <c r="AI3" s="19" t="s">
        <v>36</v>
      </c>
    </row>
    <row r="4" spans="2:35">
      <c r="B4" s="18">
        <v>40179</v>
      </c>
      <c r="C4">
        <v>169535996</v>
      </c>
      <c r="E4" s="18">
        <v>40179</v>
      </c>
      <c r="F4">
        <v>1365321947</v>
      </c>
      <c r="I4" s="18">
        <v>40179</v>
      </c>
      <c r="J4">
        <v>767852730</v>
      </c>
      <c r="M4" s="18">
        <v>40179</v>
      </c>
      <c r="N4">
        <v>560342765</v>
      </c>
      <c r="Q4" s="18">
        <v>40179</v>
      </c>
      <c r="R4" s="33">
        <v>119399158</v>
      </c>
      <c r="S4" s="31">
        <f>VLOOKUP(CurrentMtgRatesDataTable8268459[[#This Row],[issueDate]],CurrentMtgRatesDataTable82684510[#All],2,0)</f>
        <v>43988975</v>
      </c>
      <c r="T4" s="31">
        <f>VLOOKUP(CurrentMtgRatesDataTable8268459[[#This Row],[issueDate]],CurrentMtgRatesDataTable82684511[#All],2,0)</f>
        <v>570518848</v>
      </c>
      <c r="U4" s="31">
        <f>VLOOKUP(CurrentMtgRatesDataTable8268459[[#This Row],[issueDate]],CurrentMtgRatesDataTable8262[#All],2,0)</f>
        <v>169535996</v>
      </c>
      <c r="V4" s="34">
        <f>VLOOKUP(CurrentMtgRatesDataTable8268459[[#This Row],[issueDate]],CurrentMtgRatesDataTable82673[#All],2,0)</f>
        <v>1365321947</v>
      </c>
      <c r="W4" s="34">
        <f>VLOOKUP(CurrentMtgRatesDataTable8268459[[#This Row],[issueDate]],CurrentMtgRatesDataTable82684[#All],2,0)</f>
        <v>767852730</v>
      </c>
      <c r="X4" s="34">
        <f>VLOOKUP(CurrentMtgRatesDataTable8268459[[#This Row],[issueDate]],CurrentMtgRatesDataTable826845[#All],2,0)</f>
        <v>560342765</v>
      </c>
      <c r="Y4" s="43">
        <f>VLOOKUP(CurrentMtgRatesDataTable8268459[[#This Row],[issueDate]],CurrentMtgRatesDataTable8268451112[#All],2,0)</f>
        <v>217585318</v>
      </c>
      <c r="AA4" s="18">
        <v>40179</v>
      </c>
      <c r="AB4">
        <v>43988975</v>
      </c>
      <c r="AE4" s="18">
        <v>40179</v>
      </c>
      <c r="AF4">
        <v>570518848</v>
      </c>
      <c r="AH4" s="18">
        <v>40179</v>
      </c>
      <c r="AI4">
        <v>217585318</v>
      </c>
    </row>
    <row r="5" spans="2:35">
      <c r="B5" s="18">
        <v>40210</v>
      </c>
      <c r="C5">
        <v>161846381</v>
      </c>
      <c r="E5" s="18">
        <v>40210</v>
      </c>
      <c r="F5">
        <v>978028064</v>
      </c>
      <c r="I5" s="18">
        <v>40210</v>
      </c>
      <c r="J5">
        <v>593049112</v>
      </c>
      <c r="M5" s="18">
        <v>40210</v>
      </c>
      <c r="N5">
        <v>471267497</v>
      </c>
      <c r="Q5" s="18">
        <v>40210</v>
      </c>
      <c r="R5" s="33">
        <v>26179775</v>
      </c>
      <c r="S5" s="31">
        <f>VLOOKUP(CurrentMtgRatesDataTable8268459[[#This Row],[issueDate]],CurrentMtgRatesDataTable82684510[#All],2,0)</f>
        <v>38886021</v>
      </c>
      <c r="T5" s="31">
        <f>VLOOKUP(CurrentMtgRatesDataTable8268459[[#This Row],[issueDate]],CurrentMtgRatesDataTable82684511[#All],2,0)</f>
        <v>420159382</v>
      </c>
      <c r="U5" s="31">
        <f>VLOOKUP(CurrentMtgRatesDataTable8268459[[#This Row],[issueDate]],CurrentMtgRatesDataTable8262[#All],2,0)</f>
        <v>161846381</v>
      </c>
      <c r="V5" s="34">
        <f>VLOOKUP(CurrentMtgRatesDataTable8268459[[#This Row],[issueDate]],CurrentMtgRatesDataTable82673[#All],2,0)</f>
        <v>978028064</v>
      </c>
      <c r="W5" s="34">
        <f>VLOOKUP(CurrentMtgRatesDataTable8268459[[#This Row],[issueDate]],CurrentMtgRatesDataTable82684[#All],2,0)</f>
        <v>593049112</v>
      </c>
      <c r="X5" s="34">
        <f>VLOOKUP(CurrentMtgRatesDataTable8268459[[#This Row],[issueDate]],CurrentMtgRatesDataTable826845[#All],2,0)</f>
        <v>471267497</v>
      </c>
      <c r="Y5" s="43">
        <f>VLOOKUP(CurrentMtgRatesDataTable8268459[[#This Row],[issueDate]],CurrentMtgRatesDataTable8268451112[#All],2,0)</f>
        <v>171033285</v>
      </c>
      <c r="AA5" s="18">
        <v>40210</v>
      </c>
      <c r="AB5">
        <v>38886021</v>
      </c>
      <c r="AE5" s="18">
        <v>40210</v>
      </c>
      <c r="AF5">
        <v>420159382</v>
      </c>
      <c r="AH5" s="18">
        <v>40210</v>
      </c>
      <c r="AI5">
        <v>171033285</v>
      </c>
    </row>
    <row r="6" spans="2:35">
      <c r="B6" s="18">
        <v>40238</v>
      </c>
      <c r="C6">
        <v>50626909</v>
      </c>
      <c r="E6" s="18">
        <v>40238</v>
      </c>
      <c r="F6">
        <v>911158551</v>
      </c>
      <c r="I6" s="18">
        <v>40238</v>
      </c>
      <c r="J6">
        <v>574453990</v>
      </c>
      <c r="M6" s="18">
        <v>40238</v>
      </c>
      <c r="N6">
        <v>390874043</v>
      </c>
      <c r="Q6" s="18">
        <v>40238</v>
      </c>
      <c r="R6" s="33">
        <v>106256227</v>
      </c>
      <c r="S6" s="31">
        <f>VLOOKUP(CurrentMtgRatesDataTable8268459[[#This Row],[issueDate]],CurrentMtgRatesDataTable82684510[#All],2,0)</f>
        <v>36557898</v>
      </c>
      <c r="T6" s="31">
        <f>VLOOKUP(CurrentMtgRatesDataTable8268459[[#This Row],[issueDate]],CurrentMtgRatesDataTable82684511[#All],2,0)</f>
        <v>523304286</v>
      </c>
      <c r="U6" s="31">
        <f>VLOOKUP(CurrentMtgRatesDataTable8268459[[#This Row],[issueDate]],CurrentMtgRatesDataTable8262[#All],2,0)</f>
        <v>50626909</v>
      </c>
      <c r="V6" s="34">
        <f>VLOOKUP(CurrentMtgRatesDataTable8268459[[#This Row],[issueDate]],CurrentMtgRatesDataTable82673[#All],2,0)</f>
        <v>911158551</v>
      </c>
      <c r="W6" s="34">
        <f>VLOOKUP(CurrentMtgRatesDataTable8268459[[#This Row],[issueDate]],CurrentMtgRatesDataTable82684[#All],2,0)</f>
        <v>574453990</v>
      </c>
      <c r="X6" s="34">
        <f>VLOOKUP(CurrentMtgRatesDataTable8268459[[#This Row],[issueDate]],CurrentMtgRatesDataTable826845[#All],2,0)</f>
        <v>390874043</v>
      </c>
      <c r="Y6" s="43">
        <f>VLOOKUP(CurrentMtgRatesDataTable8268459[[#This Row],[issueDate]],CurrentMtgRatesDataTable8268451112[#All],2,0)</f>
        <v>43067936</v>
      </c>
      <c r="AA6" s="18">
        <v>40238</v>
      </c>
      <c r="AB6">
        <v>36557898</v>
      </c>
      <c r="AE6" s="18">
        <v>40238</v>
      </c>
      <c r="AF6">
        <v>523304286</v>
      </c>
      <c r="AH6" s="18">
        <v>40238</v>
      </c>
      <c r="AI6">
        <v>43067936</v>
      </c>
    </row>
    <row r="7" spans="2:35">
      <c r="B7" s="18">
        <v>40269</v>
      </c>
      <c r="C7">
        <v>245956078</v>
      </c>
      <c r="E7" s="18">
        <v>40269</v>
      </c>
      <c r="F7">
        <v>955059555</v>
      </c>
      <c r="I7" s="18">
        <v>40269</v>
      </c>
      <c r="J7">
        <v>618192458</v>
      </c>
      <c r="M7" s="18">
        <v>40269</v>
      </c>
      <c r="N7">
        <v>420391835</v>
      </c>
      <c r="Q7" s="18">
        <v>40269</v>
      </c>
      <c r="R7" s="33">
        <v>167598113</v>
      </c>
      <c r="S7" s="31">
        <f>VLOOKUP(CurrentMtgRatesDataTable8268459[[#This Row],[issueDate]],CurrentMtgRatesDataTable82684510[#All],2,0)</f>
        <v>34433071</v>
      </c>
      <c r="T7" s="31">
        <f>VLOOKUP(CurrentMtgRatesDataTable8268459[[#This Row],[issueDate]],CurrentMtgRatesDataTable82684511[#All],2,0)</f>
        <v>646786714</v>
      </c>
      <c r="U7" s="31">
        <f>VLOOKUP(CurrentMtgRatesDataTable8268459[[#This Row],[issueDate]],CurrentMtgRatesDataTable8262[#All],2,0)</f>
        <v>245956078</v>
      </c>
      <c r="V7" s="34">
        <f>VLOOKUP(CurrentMtgRatesDataTable8268459[[#This Row],[issueDate]],CurrentMtgRatesDataTable82673[#All],2,0)</f>
        <v>955059555</v>
      </c>
      <c r="W7" s="34">
        <f>VLOOKUP(CurrentMtgRatesDataTable8268459[[#This Row],[issueDate]],CurrentMtgRatesDataTable82684[#All],2,0)</f>
        <v>618192458</v>
      </c>
      <c r="X7" s="34">
        <f>VLOOKUP(CurrentMtgRatesDataTable8268459[[#This Row],[issueDate]],CurrentMtgRatesDataTable826845[#All],2,0)</f>
        <v>420391835</v>
      </c>
      <c r="Y7" s="43">
        <f>VLOOKUP(CurrentMtgRatesDataTable8268459[[#This Row],[issueDate]],CurrentMtgRatesDataTable8268451112[#All],2,0)</f>
        <v>30543553</v>
      </c>
      <c r="AA7" s="18">
        <v>40269</v>
      </c>
      <c r="AB7">
        <v>34433071</v>
      </c>
      <c r="AE7" s="18">
        <v>40269</v>
      </c>
      <c r="AF7">
        <v>646786714</v>
      </c>
      <c r="AH7" s="18">
        <v>40269</v>
      </c>
      <c r="AI7">
        <v>30543553</v>
      </c>
    </row>
    <row r="8" spans="2:35">
      <c r="B8" s="18">
        <v>40299</v>
      </c>
      <c r="C8">
        <v>340451671</v>
      </c>
      <c r="E8" s="18">
        <v>40299</v>
      </c>
      <c r="F8">
        <v>1463386120</v>
      </c>
      <c r="I8" s="18">
        <v>40299</v>
      </c>
      <c r="J8">
        <v>682984991</v>
      </c>
      <c r="M8" s="18">
        <v>40299</v>
      </c>
      <c r="N8">
        <v>440038446</v>
      </c>
      <c r="Q8" s="18">
        <v>40299</v>
      </c>
      <c r="R8" s="33">
        <v>204284829</v>
      </c>
      <c r="S8" s="31">
        <f>VLOOKUP(CurrentMtgRatesDataTable8268459[[#This Row],[issueDate]],CurrentMtgRatesDataTable82684510[#All],2,0)</f>
        <v>6008573</v>
      </c>
      <c r="T8" s="31">
        <f>VLOOKUP(CurrentMtgRatesDataTable8268459[[#This Row],[issueDate]],CurrentMtgRatesDataTable82684511[#All],2,0)</f>
        <v>878896429</v>
      </c>
      <c r="U8" s="31">
        <f>VLOOKUP(CurrentMtgRatesDataTable8268459[[#This Row],[issueDate]],CurrentMtgRatesDataTable8262[#All],2,0)</f>
        <v>340451671</v>
      </c>
      <c r="V8" s="34">
        <f>VLOOKUP(CurrentMtgRatesDataTable8268459[[#This Row],[issueDate]],CurrentMtgRatesDataTable82673[#All],2,0)</f>
        <v>1463386120</v>
      </c>
      <c r="W8" s="34">
        <f>VLOOKUP(CurrentMtgRatesDataTable8268459[[#This Row],[issueDate]],CurrentMtgRatesDataTable82684[#All],2,0)</f>
        <v>682984991</v>
      </c>
      <c r="X8" s="34">
        <f>VLOOKUP(CurrentMtgRatesDataTable8268459[[#This Row],[issueDate]],CurrentMtgRatesDataTable826845[#All],2,0)</f>
        <v>440038446</v>
      </c>
      <c r="Y8" s="43">
        <f>VLOOKUP(CurrentMtgRatesDataTable8268459[[#This Row],[issueDate]],CurrentMtgRatesDataTable8268451112[#All],2,0)</f>
        <v>190779272</v>
      </c>
      <c r="AA8" s="18">
        <v>40299</v>
      </c>
      <c r="AB8">
        <v>6008573</v>
      </c>
      <c r="AE8" s="18">
        <v>40299</v>
      </c>
      <c r="AF8">
        <v>878896429</v>
      </c>
      <c r="AH8" s="18">
        <v>40299</v>
      </c>
      <c r="AI8">
        <v>190779272</v>
      </c>
    </row>
    <row r="9" spans="2:35">
      <c r="B9" s="18">
        <v>40330</v>
      </c>
      <c r="C9">
        <v>143564480</v>
      </c>
      <c r="E9" s="18">
        <v>40330</v>
      </c>
      <c r="F9">
        <v>1598769768</v>
      </c>
      <c r="I9" s="18">
        <v>40330</v>
      </c>
      <c r="J9">
        <v>901618030</v>
      </c>
      <c r="M9" s="18">
        <v>40330</v>
      </c>
      <c r="N9">
        <v>681015464</v>
      </c>
      <c r="Q9" s="18">
        <v>40330</v>
      </c>
      <c r="R9" s="33">
        <v>28244320</v>
      </c>
      <c r="S9" s="31">
        <f>VLOOKUP(CurrentMtgRatesDataTable8268459[[#This Row],[issueDate]],CurrentMtgRatesDataTable82684510[#All],2,0)</f>
        <v>9331120</v>
      </c>
      <c r="T9" s="31">
        <f>VLOOKUP(CurrentMtgRatesDataTable8268459[[#This Row],[issueDate]],CurrentMtgRatesDataTable82684511[#All],2,0)</f>
        <v>674236460</v>
      </c>
      <c r="U9" s="31">
        <f>VLOOKUP(CurrentMtgRatesDataTable8268459[[#This Row],[issueDate]],CurrentMtgRatesDataTable8262[#All],2,0)</f>
        <v>143564480</v>
      </c>
      <c r="V9" s="34">
        <f>VLOOKUP(CurrentMtgRatesDataTable8268459[[#This Row],[issueDate]],CurrentMtgRatesDataTable82673[#All],2,0)</f>
        <v>1598769768</v>
      </c>
      <c r="W9" s="34">
        <f>VLOOKUP(CurrentMtgRatesDataTable8268459[[#This Row],[issueDate]],CurrentMtgRatesDataTable82684[#All],2,0)</f>
        <v>901618030</v>
      </c>
      <c r="X9" s="34">
        <f>VLOOKUP(CurrentMtgRatesDataTable8268459[[#This Row],[issueDate]],CurrentMtgRatesDataTable826845[#All],2,0)</f>
        <v>681015464</v>
      </c>
      <c r="Y9" s="43">
        <f>VLOOKUP(CurrentMtgRatesDataTable8268459[[#This Row],[issueDate]],CurrentMtgRatesDataTable8268451112[#All],2,0)</f>
        <v>79375237</v>
      </c>
      <c r="AA9" s="18">
        <v>40330</v>
      </c>
      <c r="AB9">
        <v>9331120</v>
      </c>
      <c r="AE9" s="18">
        <v>40330</v>
      </c>
      <c r="AF9">
        <v>674236460</v>
      </c>
      <c r="AH9" s="18">
        <v>40330</v>
      </c>
      <c r="AI9">
        <v>79375237</v>
      </c>
    </row>
    <row r="10" spans="2:35">
      <c r="B10" s="18">
        <v>40360</v>
      </c>
      <c r="C10">
        <v>481309246</v>
      </c>
      <c r="E10" s="18">
        <v>40360</v>
      </c>
      <c r="F10">
        <v>1420628889</v>
      </c>
      <c r="I10" s="18">
        <v>40360</v>
      </c>
      <c r="J10">
        <v>854783449</v>
      </c>
      <c r="M10" s="18">
        <v>40360</v>
      </c>
      <c r="N10">
        <v>598809116</v>
      </c>
      <c r="Q10" s="18">
        <v>40360</v>
      </c>
      <c r="R10" s="33">
        <v>20941144</v>
      </c>
      <c r="S10" s="31">
        <f>VLOOKUP(CurrentMtgRatesDataTable8268459[[#This Row],[issueDate]],CurrentMtgRatesDataTable82684510[#All],2,0)</f>
        <v>4193196</v>
      </c>
      <c r="T10" s="31">
        <f>VLOOKUP(CurrentMtgRatesDataTable8268459[[#This Row],[issueDate]],CurrentMtgRatesDataTable82684511[#All],2,0)</f>
        <v>645132298</v>
      </c>
      <c r="U10" s="31">
        <f>VLOOKUP(CurrentMtgRatesDataTable8268459[[#This Row],[issueDate]],CurrentMtgRatesDataTable8262[#All],2,0)</f>
        <v>481309246</v>
      </c>
      <c r="V10" s="34">
        <f>VLOOKUP(CurrentMtgRatesDataTable8268459[[#This Row],[issueDate]],CurrentMtgRatesDataTable82673[#All],2,0)</f>
        <v>1420628889</v>
      </c>
      <c r="W10" s="34">
        <f>VLOOKUP(CurrentMtgRatesDataTable8268459[[#This Row],[issueDate]],CurrentMtgRatesDataTable82684[#All],2,0)</f>
        <v>854783449</v>
      </c>
      <c r="X10" s="34">
        <f>VLOOKUP(CurrentMtgRatesDataTable8268459[[#This Row],[issueDate]],CurrentMtgRatesDataTable826845[#All],2,0)</f>
        <v>598809116</v>
      </c>
      <c r="Y10" s="43">
        <f>VLOOKUP(CurrentMtgRatesDataTable8268459[[#This Row],[issueDate]],CurrentMtgRatesDataTable8268451112[#All],2,0)</f>
        <v>87216426</v>
      </c>
      <c r="AA10" s="18">
        <v>40360</v>
      </c>
      <c r="AB10">
        <v>4193196</v>
      </c>
      <c r="AE10" s="18">
        <v>40360</v>
      </c>
      <c r="AF10">
        <v>645132298</v>
      </c>
      <c r="AH10" s="18">
        <v>40360</v>
      </c>
      <c r="AI10">
        <v>87216426</v>
      </c>
    </row>
    <row r="11" spans="2:35">
      <c r="B11" s="18">
        <v>40391</v>
      </c>
      <c r="C11">
        <v>706795312</v>
      </c>
      <c r="E11" s="18">
        <v>40391</v>
      </c>
      <c r="F11">
        <v>1579848396</v>
      </c>
      <c r="I11" s="18">
        <v>40391</v>
      </c>
      <c r="J11">
        <v>631591538</v>
      </c>
      <c r="M11" s="18">
        <v>40391</v>
      </c>
      <c r="N11">
        <v>475791854</v>
      </c>
      <c r="Q11" s="18">
        <v>40391</v>
      </c>
      <c r="R11" s="33">
        <v>108449929</v>
      </c>
      <c r="S11" s="31">
        <f>VLOOKUP(CurrentMtgRatesDataTable8268459[[#This Row],[issueDate]],CurrentMtgRatesDataTable82684510[#All],2,0)</f>
        <v>17557679</v>
      </c>
      <c r="T11" s="31">
        <f>VLOOKUP(CurrentMtgRatesDataTable8268459[[#This Row],[issueDate]],CurrentMtgRatesDataTable82684511[#All],2,0)</f>
        <v>589264392</v>
      </c>
      <c r="U11" s="31">
        <f>VLOOKUP(CurrentMtgRatesDataTable8268459[[#This Row],[issueDate]],CurrentMtgRatesDataTable8262[#All],2,0)</f>
        <v>706795312</v>
      </c>
      <c r="V11" s="34">
        <f>VLOOKUP(CurrentMtgRatesDataTable8268459[[#This Row],[issueDate]],CurrentMtgRatesDataTable82673[#All],2,0)</f>
        <v>1579848396</v>
      </c>
      <c r="W11" s="34">
        <f>VLOOKUP(CurrentMtgRatesDataTable8268459[[#This Row],[issueDate]],CurrentMtgRatesDataTable82684[#All],2,0)</f>
        <v>631591538</v>
      </c>
      <c r="X11" s="34">
        <f>VLOOKUP(CurrentMtgRatesDataTable8268459[[#This Row],[issueDate]],CurrentMtgRatesDataTable826845[#All],2,0)</f>
        <v>475791854</v>
      </c>
      <c r="Y11" s="43">
        <f>VLOOKUP(CurrentMtgRatesDataTable8268459[[#This Row],[issueDate]],CurrentMtgRatesDataTable8268451112[#All],2,0)</f>
        <v>78908357</v>
      </c>
      <c r="AA11" s="18">
        <v>40391</v>
      </c>
      <c r="AB11">
        <v>17557679</v>
      </c>
      <c r="AE11" s="18">
        <v>40391</v>
      </c>
      <c r="AF11">
        <v>589264392</v>
      </c>
      <c r="AH11" s="18">
        <v>40391</v>
      </c>
      <c r="AI11">
        <v>78908357</v>
      </c>
    </row>
    <row r="12" spans="2:35">
      <c r="B12" s="18">
        <v>40422</v>
      </c>
      <c r="C12">
        <v>1015749063</v>
      </c>
      <c r="E12" s="18">
        <v>40422</v>
      </c>
      <c r="F12">
        <v>2474281305</v>
      </c>
      <c r="I12" s="18">
        <v>40422</v>
      </c>
      <c r="J12">
        <v>1082222219</v>
      </c>
      <c r="M12" s="18">
        <v>40422</v>
      </c>
      <c r="N12">
        <v>636914317</v>
      </c>
      <c r="Q12" s="18">
        <v>40422</v>
      </c>
      <c r="R12" s="33">
        <v>388369694</v>
      </c>
      <c r="S12" s="31">
        <f>VLOOKUP(CurrentMtgRatesDataTable8268459[[#This Row],[issueDate]],CurrentMtgRatesDataTable82684510[#All],2,0)</f>
        <v>1392289312</v>
      </c>
      <c r="T12" s="31">
        <f>VLOOKUP(CurrentMtgRatesDataTable8268459[[#This Row],[issueDate]],CurrentMtgRatesDataTable82684511[#All],2,0)</f>
        <v>856676323</v>
      </c>
      <c r="U12" s="31">
        <f>VLOOKUP(CurrentMtgRatesDataTable8268459[[#This Row],[issueDate]],CurrentMtgRatesDataTable8262[#All],2,0)</f>
        <v>1015749063</v>
      </c>
      <c r="V12" s="34">
        <f>VLOOKUP(CurrentMtgRatesDataTable8268459[[#This Row],[issueDate]],CurrentMtgRatesDataTable82673[#All],2,0)</f>
        <v>2474281305</v>
      </c>
      <c r="W12" s="34">
        <f>VLOOKUP(CurrentMtgRatesDataTable8268459[[#This Row],[issueDate]],CurrentMtgRatesDataTable82684[#All],2,0)</f>
        <v>1082222219</v>
      </c>
      <c r="X12" s="34">
        <f>VLOOKUP(CurrentMtgRatesDataTable8268459[[#This Row],[issueDate]],CurrentMtgRatesDataTable826845[#All],2,0)</f>
        <v>636914317</v>
      </c>
      <c r="Y12" s="43">
        <f>VLOOKUP(CurrentMtgRatesDataTable8268459[[#This Row],[issueDate]],CurrentMtgRatesDataTable8268451112[#All],2,0)</f>
        <v>153044119</v>
      </c>
      <c r="AA12" s="18">
        <v>40422</v>
      </c>
      <c r="AB12">
        <v>1392289312</v>
      </c>
      <c r="AE12" s="18">
        <v>40422</v>
      </c>
      <c r="AF12">
        <v>856676323</v>
      </c>
      <c r="AH12" s="18">
        <v>40422</v>
      </c>
      <c r="AI12">
        <v>153044119</v>
      </c>
    </row>
    <row r="13" spans="2:35">
      <c r="B13" s="18">
        <v>40452</v>
      </c>
      <c r="C13">
        <v>1345059250</v>
      </c>
      <c r="E13" s="18">
        <v>40452</v>
      </c>
      <c r="F13">
        <v>2154320687</v>
      </c>
      <c r="I13" s="18">
        <v>40452</v>
      </c>
      <c r="J13">
        <v>1037833437</v>
      </c>
      <c r="M13" s="18">
        <v>40452</v>
      </c>
      <c r="N13">
        <v>670466824</v>
      </c>
      <c r="Q13" s="18">
        <v>40452</v>
      </c>
      <c r="R13" s="33">
        <v>362554018</v>
      </c>
      <c r="S13" s="31">
        <f>VLOOKUP(CurrentMtgRatesDataTable8268459[[#This Row],[issueDate]],CurrentMtgRatesDataTable82684510[#All],2,0)</f>
        <v>1858405398</v>
      </c>
      <c r="T13" s="31">
        <f>VLOOKUP(CurrentMtgRatesDataTable8268459[[#This Row],[issueDate]],CurrentMtgRatesDataTable82684511[#All],2,0)</f>
        <v>1062405884</v>
      </c>
      <c r="U13" s="31">
        <f>VLOOKUP(CurrentMtgRatesDataTable8268459[[#This Row],[issueDate]],CurrentMtgRatesDataTable8262[#All],2,0)</f>
        <v>1345059250</v>
      </c>
      <c r="V13" s="34">
        <f>VLOOKUP(CurrentMtgRatesDataTable8268459[[#This Row],[issueDate]],CurrentMtgRatesDataTable82673[#All],2,0)</f>
        <v>2154320687</v>
      </c>
      <c r="W13" s="34">
        <f>VLOOKUP(CurrentMtgRatesDataTable8268459[[#This Row],[issueDate]],CurrentMtgRatesDataTable82684[#All],2,0)</f>
        <v>1037833437</v>
      </c>
      <c r="X13" s="34">
        <f>VLOOKUP(CurrentMtgRatesDataTable8268459[[#This Row],[issueDate]],CurrentMtgRatesDataTable826845[#All],2,0)</f>
        <v>670466824</v>
      </c>
      <c r="Y13" s="43">
        <f>VLOOKUP(CurrentMtgRatesDataTable8268459[[#This Row],[issueDate]],CurrentMtgRatesDataTable8268451112[#All],2,0)</f>
        <v>270875174</v>
      </c>
      <c r="AA13" s="18">
        <v>40452</v>
      </c>
      <c r="AB13">
        <v>1858405398</v>
      </c>
      <c r="AE13" s="18">
        <v>40452</v>
      </c>
      <c r="AF13">
        <v>1062405884</v>
      </c>
      <c r="AH13" s="18">
        <v>40452</v>
      </c>
      <c r="AI13">
        <v>270875174</v>
      </c>
    </row>
    <row r="14" spans="2:35">
      <c r="B14" s="18">
        <v>40483</v>
      </c>
      <c r="C14">
        <v>1010009248</v>
      </c>
      <c r="E14" s="18">
        <v>40483</v>
      </c>
      <c r="F14">
        <v>2633760172</v>
      </c>
      <c r="I14" s="18">
        <v>40483</v>
      </c>
      <c r="J14">
        <v>1198485232</v>
      </c>
      <c r="M14" s="18">
        <v>40483</v>
      </c>
      <c r="N14">
        <v>708663087</v>
      </c>
      <c r="Q14" s="18">
        <v>40483</v>
      </c>
      <c r="R14" s="33">
        <v>295484717</v>
      </c>
      <c r="S14" s="31">
        <f>VLOOKUP(CurrentMtgRatesDataTable8268459[[#This Row],[issueDate]],CurrentMtgRatesDataTable82684510[#All],2,0)</f>
        <v>1853939539</v>
      </c>
      <c r="T14" s="31">
        <f>VLOOKUP(CurrentMtgRatesDataTable8268459[[#This Row],[issueDate]],CurrentMtgRatesDataTable82684511[#All],2,0)</f>
        <v>1055657547</v>
      </c>
      <c r="U14" s="31">
        <f>VLOOKUP(CurrentMtgRatesDataTable8268459[[#This Row],[issueDate]],CurrentMtgRatesDataTable8262[#All],2,0)</f>
        <v>1010009248</v>
      </c>
      <c r="V14" s="34">
        <f>VLOOKUP(CurrentMtgRatesDataTable8268459[[#This Row],[issueDate]],CurrentMtgRatesDataTable82673[#All],2,0)</f>
        <v>2633760172</v>
      </c>
      <c r="W14" s="34">
        <f>VLOOKUP(CurrentMtgRatesDataTable8268459[[#This Row],[issueDate]],CurrentMtgRatesDataTable82684[#All],2,0)</f>
        <v>1198485232</v>
      </c>
      <c r="X14" s="34">
        <f>VLOOKUP(CurrentMtgRatesDataTable8268459[[#This Row],[issueDate]],CurrentMtgRatesDataTable826845[#All],2,0)</f>
        <v>708663087</v>
      </c>
      <c r="Y14" s="43">
        <f>VLOOKUP(CurrentMtgRatesDataTable8268459[[#This Row],[issueDate]],CurrentMtgRatesDataTable8268451112[#All],2,0)</f>
        <v>299215590</v>
      </c>
      <c r="AA14" s="18">
        <v>40483</v>
      </c>
      <c r="AB14">
        <v>1853939539</v>
      </c>
      <c r="AE14" s="18">
        <v>40483</v>
      </c>
      <c r="AF14">
        <v>1055657547</v>
      </c>
      <c r="AH14" s="18">
        <v>40483</v>
      </c>
      <c r="AI14">
        <v>299215590</v>
      </c>
    </row>
    <row r="15" spans="2:35">
      <c r="B15" s="18">
        <v>40513</v>
      </c>
      <c r="C15">
        <v>1684767935</v>
      </c>
      <c r="E15" s="18">
        <v>40513</v>
      </c>
      <c r="F15">
        <v>2681507110</v>
      </c>
      <c r="I15" s="18">
        <v>40513</v>
      </c>
      <c r="J15">
        <v>1285535232</v>
      </c>
      <c r="M15" s="18">
        <v>40513</v>
      </c>
      <c r="N15">
        <v>838347587</v>
      </c>
      <c r="Q15" s="18">
        <v>40513</v>
      </c>
      <c r="R15" s="33">
        <v>443445215</v>
      </c>
      <c r="S15" s="31">
        <f>VLOOKUP(CurrentMtgRatesDataTable8268459[[#This Row],[issueDate]],CurrentMtgRatesDataTable82684510[#All],2,0)</f>
        <v>1772179506</v>
      </c>
      <c r="T15" s="31">
        <f>VLOOKUP(CurrentMtgRatesDataTable8268459[[#This Row],[issueDate]],CurrentMtgRatesDataTable82684511[#All],2,0)</f>
        <v>1221699541</v>
      </c>
      <c r="U15" s="31">
        <f>VLOOKUP(CurrentMtgRatesDataTable8268459[[#This Row],[issueDate]],CurrentMtgRatesDataTable8262[#All],2,0)</f>
        <v>1684767935</v>
      </c>
      <c r="V15" s="34">
        <f>VLOOKUP(CurrentMtgRatesDataTable8268459[[#This Row],[issueDate]],CurrentMtgRatesDataTable82673[#All],2,0)</f>
        <v>2681507110</v>
      </c>
      <c r="W15" s="34">
        <f>VLOOKUP(CurrentMtgRatesDataTable8268459[[#This Row],[issueDate]],CurrentMtgRatesDataTable82684[#All],2,0)</f>
        <v>1285535232</v>
      </c>
      <c r="X15" s="34">
        <f>VLOOKUP(CurrentMtgRatesDataTable8268459[[#This Row],[issueDate]],CurrentMtgRatesDataTable826845[#All],2,0)</f>
        <v>838347587</v>
      </c>
      <c r="Y15" s="43">
        <f>VLOOKUP(CurrentMtgRatesDataTable8268459[[#This Row],[issueDate]],CurrentMtgRatesDataTable8268451112[#All],2,0)</f>
        <v>438822333</v>
      </c>
      <c r="AA15" s="18">
        <v>40513</v>
      </c>
      <c r="AB15">
        <v>1772179506</v>
      </c>
      <c r="AE15" s="18">
        <v>40513</v>
      </c>
      <c r="AF15">
        <v>1221699541</v>
      </c>
      <c r="AH15" s="18">
        <v>40513</v>
      </c>
      <c r="AI15">
        <v>438822333</v>
      </c>
    </row>
    <row r="16" spans="2:35">
      <c r="B16" s="18">
        <v>40544</v>
      </c>
      <c r="C16">
        <v>322833781</v>
      </c>
      <c r="E16" s="18">
        <v>40544</v>
      </c>
      <c r="F16">
        <v>1704890203</v>
      </c>
      <c r="I16" s="18">
        <v>40544</v>
      </c>
      <c r="J16">
        <v>964043991</v>
      </c>
      <c r="M16" s="18">
        <v>40544</v>
      </c>
      <c r="N16">
        <v>683367639</v>
      </c>
      <c r="Q16" s="18">
        <v>40544</v>
      </c>
      <c r="R16" s="33">
        <v>323106997</v>
      </c>
      <c r="S16" s="31">
        <f>VLOOKUP(CurrentMtgRatesDataTable8268459[[#This Row],[issueDate]],CurrentMtgRatesDataTable82684510[#All],2,0)</f>
        <v>1443648463</v>
      </c>
      <c r="T16" s="31">
        <f>VLOOKUP(CurrentMtgRatesDataTable8268459[[#This Row],[issueDate]],CurrentMtgRatesDataTable82684511[#All],2,0)</f>
        <v>1046242428</v>
      </c>
      <c r="U16" s="31">
        <f>VLOOKUP(CurrentMtgRatesDataTable8268459[[#This Row],[issueDate]],CurrentMtgRatesDataTable8262[#All],2,0)</f>
        <v>322833781</v>
      </c>
      <c r="V16" s="34">
        <f>VLOOKUP(CurrentMtgRatesDataTable8268459[[#This Row],[issueDate]],CurrentMtgRatesDataTable82673[#All],2,0)</f>
        <v>1704890203</v>
      </c>
      <c r="W16" s="34">
        <f>VLOOKUP(CurrentMtgRatesDataTable8268459[[#This Row],[issueDate]],CurrentMtgRatesDataTable82684[#All],2,0)</f>
        <v>964043991</v>
      </c>
      <c r="X16" s="34">
        <f>VLOOKUP(CurrentMtgRatesDataTable8268459[[#This Row],[issueDate]],CurrentMtgRatesDataTable826845[#All],2,0)</f>
        <v>683367639</v>
      </c>
      <c r="Y16" s="43">
        <f>VLOOKUP(CurrentMtgRatesDataTable8268459[[#This Row],[issueDate]],CurrentMtgRatesDataTable8268451112[#All],2,0)</f>
        <v>311103932</v>
      </c>
      <c r="AA16" s="18">
        <v>40544</v>
      </c>
      <c r="AB16">
        <v>1443648463</v>
      </c>
      <c r="AE16" s="18">
        <v>40544</v>
      </c>
      <c r="AF16">
        <v>1046242428</v>
      </c>
      <c r="AH16" s="18">
        <v>40544</v>
      </c>
      <c r="AI16">
        <v>311103932</v>
      </c>
    </row>
    <row r="17" spans="2:35">
      <c r="B17" s="18">
        <v>40575</v>
      </c>
      <c r="C17">
        <v>1199506943</v>
      </c>
      <c r="E17" s="18">
        <v>40575</v>
      </c>
      <c r="F17">
        <v>1942706819</v>
      </c>
      <c r="I17" s="18">
        <v>40575</v>
      </c>
      <c r="J17">
        <v>963213700</v>
      </c>
      <c r="M17" s="18">
        <v>40575</v>
      </c>
      <c r="N17">
        <v>597808712</v>
      </c>
      <c r="Q17" s="18">
        <v>40575</v>
      </c>
      <c r="R17" s="33">
        <v>273557809</v>
      </c>
      <c r="S17" s="31">
        <f>VLOOKUP(CurrentMtgRatesDataTable8268459[[#This Row],[issueDate]],CurrentMtgRatesDataTable82684510[#All],2,0)</f>
        <v>1464783621</v>
      </c>
      <c r="T17" s="31">
        <f>VLOOKUP(CurrentMtgRatesDataTable8268459[[#This Row],[issueDate]],CurrentMtgRatesDataTable82684511[#All],2,0)</f>
        <v>1083809913</v>
      </c>
      <c r="U17" s="31">
        <f>VLOOKUP(CurrentMtgRatesDataTable8268459[[#This Row],[issueDate]],CurrentMtgRatesDataTable8262[#All],2,0)</f>
        <v>1199506943</v>
      </c>
      <c r="V17" s="34">
        <f>VLOOKUP(CurrentMtgRatesDataTable8268459[[#This Row],[issueDate]],CurrentMtgRatesDataTable82673[#All],2,0)</f>
        <v>1942706819</v>
      </c>
      <c r="W17" s="34">
        <f>VLOOKUP(CurrentMtgRatesDataTable8268459[[#This Row],[issueDate]],CurrentMtgRatesDataTable82684[#All],2,0)</f>
        <v>963213700</v>
      </c>
      <c r="X17" s="34">
        <f>VLOOKUP(CurrentMtgRatesDataTable8268459[[#This Row],[issueDate]],CurrentMtgRatesDataTable826845[#All],2,0)</f>
        <v>597808712</v>
      </c>
      <c r="Y17" s="43">
        <f>VLOOKUP(CurrentMtgRatesDataTable8268459[[#This Row],[issueDate]],CurrentMtgRatesDataTable8268451112[#All],2,0)</f>
        <v>259067817</v>
      </c>
      <c r="AA17" s="18">
        <v>40575</v>
      </c>
      <c r="AB17">
        <v>1464783621</v>
      </c>
      <c r="AE17" s="18">
        <v>40575</v>
      </c>
      <c r="AF17">
        <v>1083809913</v>
      </c>
      <c r="AH17" s="18">
        <v>40575</v>
      </c>
      <c r="AI17">
        <v>259067817</v>
      </c>
    </row>
    <row r="18" spans="2:35">
      <c r="B18" s="18">
        <v>40603</v>
      </c>
      <c r="C18">
        <v>1154399548</v>
      </c>
      <c r="E18" s="18">
        <v>40603</v>
      </c>
      <c r="F18">
        <v>2631670575</v>
      </c>
      <c r="I18" s="18">
        <v>40603</v>
      </c>
      <c r="J18">
        <v>1313320276</v>
      </c>
      <c r="M18" s="18">
        <v>40603</v>
      </c>
      <c r="N18">
        <v>818916287</v>
      </c>
      <c r="Q18" s="18">
        <v>40603</v>
      </c>
      <c r="R18" s="33">
        <v>581436059</v>
      </c>
      <c r="S18" s="31">
        <f>VLOOKUP(CurrentMtgRatesDataTable8268459[[#This Row],[issueDate]],CurrentMtgRatesDataTable82684510[#All],2,0)</f>
        <v>1323749778</v>
      </c>
      <c r="T18" s="31">
        <f>VLOOKUP(CurrentMtgRatesDataTable8268459[[#This Row],[issueDate]],CurrentMtgRatesDataTable82684511[#All],2,0)</f>
        <v>1178373166</v>
      </c>
      <c r="U18" s="31">
        <f>VLOOKUP(CurrentMtgRatesDataTable8268459[[#This Row],[issueDate]],CurrentMtgRatesDataTable8262[#All],2,0)</f>
        <v>1154399548</v>
      </c>
      <c r="V18" s="34">
        <f>VLOOKUP(CurrentMtgRatesDataTable8268459[[#This Row],[issueDate]],CurrentMtgRatesDataTable82673[#All],2,0)</f>
        <v>2631670575</v>
      </c>
      <c r="W18" s="34">
        <f>VLOOKUP(CurrentMtgRatesDataTable8268459[[#This Row],[issueDate]],CurrentMtgRatesDataTable82684[#All],2,0)</f>
        <v>1313320276</v>
      </c>
      <c r="X18" s="34">
        <f>VLOOKUP(CurrentMtgRatesDataTable8268459[[#This Row],[issueDate]],CurrentMtgRatesDataTable826845[#All],2,0)</f>
        <v>818916287</v>
      </c>
      <c r="Y18" s="43">
        <f>VLOOKUP(CurrentMtgRatesDataTable8268459[[#This Row],[issueDate]],CurrentMtgRatesDataTable8268451112[#All],2,0)</f>
        <v>293812942</v>
      </c>
      <c r="AA18" s="18">
        <v>40603</v>
      </c>
      <c r="AB18">
        <v>1323749778</v>
      </c>
      <c r="AE18" s="18">
        <v>40603</v>
      </c>
      <c r="AF18">
        <v>1178373166</v>
      </c>
      <c r="AH18" s="18">
        <v>40603</v>
      </c>
      <c r="AI18">
        <v>293812942</v>
      </c>
    </row>
    <row r="19" spans="2:35">
      <c r="B19" s="18">
        <v>40634</v>
      </c>
      <c r="C19">
        <v>623375110</v>
      </c>
      <c r="E19" s="18">
        <v>40634</v>
      </c>
      <c r="F19">
        <v>1636847989</v>
      </c>
      <c r="I19" s="18">
        <v>40634</v>
      </c>
      <c r="J19">
        <v>835462650</v>
      </c>
      <c r="M19" s="18">
        <v>40634</v>
      </c>
      <c r="N19">
        <v>602284037</v>
      </c>
      <c r="Q19" s="18">
        <v>40634</v>
      </c>
      <c r="R19" s="33">
        <v>523138257</v>
      </c>
      <c r="S19" s="31">
        <f>VLOOKUP(CurrentMtgRatesDataTable8268459[[#This Row],[issueDate]],CurrentMtgRatesDataTable82684510[#All],2,0)</f>
        <v>1194947665</v>
      </c>
      <c r="T19" s="31">
        <f>VLOOKUP(CurrentMtgRatesDataTable8268459[[#This Row],[issueDate]],CurrentMtgRatesDataTable82684511[#All],2,0)</f>
        <v>1028063805</v>
      </c>
      <c r="U19" s="31">
        <f>VLOOKUP(CurrentMtgRatesDataTable8268459[[#This Row],[issueDate]],CurrentMtgRatesDataTable8262[#All],2,0)</f>
        <v>623375110</v>
      </c>
      <c r="V19" s="34">
        <f>VLOOKUP(CurrentMtgRatesDataTable8268459[[#This Row],[issueDate]],CurrentMtgRatesDataTable82673[#All],2,0)</f>
        <v>1636847989</v>
      </c>
      <c r="W19" s="34">
        <f>VLOOKUP(CurrentMtgRatesDataTable8268459[[#This Row],[issueDate]],CurrentMtgRatesDataTable82684[#All],2,0)</f>
        <v>835462650</v>
      </c>
      <c r="X19" s="34">
        <f>VLOOKUP(CurrentMtgRatesDataTable8268459[[#This Row],[issueDate]],CurrentMtgRatesDataTable826845[#All],2,0)</f>
        <v>602284037</v>
      </c>
      <c r="Y19" s="43">
        <f>VLOOKUP(CurrentMtgRatesDataTable8268459[[#This Row],[issueDate]],CurrentMtgRatesDataTable8268451112[#All],2,0)</f>
        <v>168857801</v>
      </c>
      <c r="AA19" s="18">
        <v>40634</v>
      </c>
      <c r="AB19">
        <v>1194947665</v>
      </c>
      <c r="AE19" s="18">
        <v>40634</v>
      </c>
      <c r="AF19">
        <v>1028063805</v>
      </c>
      <c r="AH19" s="18">
        <v>40634</v>
      </c>
      <c r="AI19">
        <v>168857801</v>
      </c>
    </row>
    <row r="20" spans="2:35">
      <c r="B20" s="18">
        <v>40664</v>
      </c>
      <c r="C20">
        <v>729687773</v>
      </c>
      <c r="E20" s="18">
        <v>40664</v>
      </c>
      <c r="F20">
        <v>1579035556</v>
      </c>
      <c r="I20" s="18">
        <v>40664</v>
      </c>
      <c r="J20">
        <v>868682209</v>
      </c>
      <c r="M20" s="18">
        <v>40664</v>
      </c>
      <c r="N20">
        <v>603596717</v>
      </c>
      <c r="Q20" s="18">
        <v>40664</v>
      </c>
      <c r="R20" s="33">
        <v>363321355</v>
      </c>
      <c r="S20" s="31">
        <f>VLOOKUP(CurrentMtgRatesDataTable8268459[[#This Row],[issueDate]],CurrentMtgRatesDataTable82684510[#All],2,0)</f>
        <v>1021482111</v>
      </c>
      <c r="T20" s="31">
        <f>VLOOKUP(CurrentMtgRatesDataTable8268459[[#This Row],[issueDate]],CurrentMtgRatesDataTable82684511[#All],2,0)</f>
        <v>865363758</v>
      </c>
      <c r="U20" s="31">
        <f>VLOOKUP(CurrentMtgRatesDataTable8268459[[#This Row],[issueDate]],CurrentMtgRatesDataTable8262[#All],2,0)</f>
        <v>729687773</v>
      </c>
      <c r="V20" s="34">
        <f>VLOOKUP(CurrentMtgRatesDataTable8268459[[#This Row],[issueDate]],CurrentMtgRatesDataTable82673[#All],2,0)</f>
        <v>1579035556</v>
      </c>
      <c r="W20" s="34">
        <f>VLOOKUP(CurrentMtgRatesDataTable8268459[[#This Row],[issueDate]],CurrentMtgRatesDataTable82684[#All],2,0)</f>
        <v>868682209</v>
      </c>
      <c r="X20" s="34">
        <f>VLOOKUP(CurrentMtgRatesDataTable8268459[[#This Row],[issueDate]],CurrentMtgRatesDataTable826845[#All],2,0)</f>
        <v>603596717</v>
      </c>
      <c r="Y20" s="43">
        <f>VLOOKUP(CurrentMtgRatesDataTable8268459[[#This Row],[issueDate]],CurrentMtgRatesDataTable8268451112[#All],2,0)</f>
        <v>134087507</v>
      </c>
      <c r="AA20" s="18">
        <v>40664</v>
      </c>
      <c r="AB20">
        <v>1021482111</v>
      </c>
      <c r="AE20" s="18">
        <v>40664</v>
      </c>
      <c r="AF20">
        <v>865363758</v>
      </c>
      <c r="AH20" s="18">
        <v>40664</v>
      </c>
      <c r="AI20">
        <v>134087507</v>
      </c>
    </row>
    <row r="21" spans="2:35">
      <c r="B21" s="18">
        <v>40695</v>
      </c>
      <c r="C21">
        <v>977103582</v>
      </c>
      <c r="E21" s="18">
        <v>40695</v>
      </c>
      <c r="F21">
        <v>2108513267</v>
      </c>
      <c r="I21" s="18">
        <v>40695</v>
      </c>
      <c r="J21">
        <v>1066364823</v>
      </c>
      <c r="M21" s="18">
        <v>40695</v>
      </c>
      <c r="N21">
        <v>716402801</v>
      </c>
      <c r="Q21" s="18">
        <v>40695</v>
      </c>
      <c r="R21" s="33">
        <v>670947560</v>
      </c>
      <c r="S21" s="31">
        <f>VLOOKUP(CurrentMtgRatesDataTable8268459[[#This Row],[issueDate]],CurrentMtgRatesDataTable82684510[#All],2,0)</f>
        <v>1250601934</v>
      </c>
      <c r="T21" s="31">
        <f>VLOOKUP(CurrentMtgRatesDataTable8268459[[#This Row],[issueDate]],CurrentMtgRatesDataTable82684511[#All],2,0)</f>
        <v>888524552</v>
      </c>
      <c r="U21" s="31">
        <f>VLOOKUP(CurrentMtgRatesDataTable8268459[[#This Row],[issueDate]],CurrentMtgRatesDataTable8262[#All],2,0)</f>
        <v>977103582</v>
      </c>
      <c r="V21" s="34">
        <f>VLOOKUP(CurrentMtgRatesDataTable8268459[[#This Row],[issueDate]],CurrentMtgRatesDataTable82673[#All],2,0)</f>
        <v>2108513267</v>
      </c>
      <c r="W21" s="34">
        <f>VLOOKUP(CurrentMtgRatesDataTable8268459[[#This Row],[issueDate]],CurrentMtgRatesDataTable82684[#All],2,0)</f>
        <v>1066364823</v>
      </c>
      <c r="X21" s="34">
        <f>VLOOKUP(CurrentMtgRatesDataTable8268459[[#This Row],[issueDate]],CurrentMtgRatesDataTable826845[#All],2,0)</f>
        <v>716402801</v>
      </c>
      <c r="Y21" s="43">
        <f>VLOOKUP(CurrentMtgRatesDataTable8268459[[#This Row],[issueDate]],CurrentMtgRatesDataTable8268451112[#All],2,0)</f>
        <v>116486264</v>
      </c>
      <c r="AA21" s="18">
        <v>40695</v>
      </c>
      <c r="AB21">
        <v>1250601934</v>
      </c>
      <c r="AE21" s="18">
        <v>40695</v>
      </c>
      <c r="AF21">
        <v>888524552</v>
      </c>
      <c r="AH21" s="18">
        <v>40695</v>
      </c>
      <c r="AI21">
        <v>116486264</v>
      </c>
    </row>
    <row r="22" spans="2:35">
      <c r="B22" s="18">
        <v>40725</v>
      </c>
      <c r="C22">
        <v>615931446</v>
      </c>
      <c r="E22" s="18">
        <v>40725</v>
      </c>
      <c r="F22">
        <v>1420152762</v>
      </c>
      <c r="I22" s="18">
        <v>40725</v>
      </c>
      <c r="J22">
        <v>709625001</v>
      </c>
      <c r="M22" s="18">
        <v>40725</v>
      </c>
      <c r="N22">
        <v>509527717</v>
      </c>
      <c r="Q22" s="18">
        <v>40725</v>
      </c>
      <c r="R22" s="33">
        <v>544504441</v>
      </c>
      <c r="S22" s="31">
        <f>VLOOKUP(CurrentMtgRatesDataTable8268459[[#This Row],[issueDate]],CurrentMtgRatesDataTable82684510[#All],2,0)</f>
        <v>1233481435</v>
      </c>
      <c r="T22" s="31">
        <f>VLOOKUP(CurrentMtgRatesDataTable8268459[[#This Row],[issueDate]],CurrentMtgRatesDataTable82684511[#All],2,0)</f>
        <v>661753657</v>
      </c>
      <c r="U22" s="31">
        <f>VLOOKUP(CurrentMtgRatesDataTable8268459[[#This Row],[issueDate]],CurrentMtgRatesDataTable8262[#All],2,0)</f>
        <v>615931446</v>
      </c>
      <c r="V22" s="34">
        <f>VLOOKUP(CurrentMtgRatesDataTable8268459[[#This Row],[issueDate]],CurrentMtgRatesDataTable82673[#All],2,0)</f>
        <v>1420152762</v>
      </c>
      <c r="W22" s="34">
        <f>VLOOKUP(CurrentMtgRatesDataTable8268459[[#This Row],[issueDate]],CurrentMtgRatesDataTable82684[#All],2,0)</f>
        <v>709625001</v>
      </c>
      <c r="X22" s="34">
        <f>VLOOKUP(CurrentMtgRatesDataTable8268459[[#This Row],[issueDate]],CurrentMtgRatesDataTable826845[#All],2,0)</f>
        <v>509527717</v>
      </c>
      <c r="Y22" s="43">
        <f>VLOOKUP(CurrentMtgRatesDataTable8268459[[#This Row],[issueDate]],CurrentMtgRatesDataTable8268451112[#All],2,0)</f>
        <v>80281746</v>
      </c>
      <c r="AA22" s="18">
        <v>40725</v>
      </c>
      <c r="AB22">
        <v>1233481435</v>
      </c>
      <c r="AE22" s="18">
        <v>40725</v>
      </c>
      <c r="AF22">
        <v>661753657</v>
      </c>
      <c r="AH22" s="18">
        <v>40725</v>
      </c>
      <c r="AI22">
        <v>80281746</v>
      </c>
    </row>
    <row r="23" spans="2:35">
      <c r="B23" s="18">
        <v>40756</v>
      </c>
      <c r="C23">
        <v>700196687</v>
      </c>
      <c r="E23" s="18">
        <v>40756</v>
      </c>
      <c r="F23">
        <v>1665304166</v>
      </c>
      <c r="I23" s="18">
        <v>40756</v>
      </c>
      <c r="J23">
        <v>849708760</v>
      </c>
      <c r="M23" s="18">
        <v>40756</v>
      </c>
      <c r="N23">
        <v>624435737</v>
      </c>
      <c r="Q23" s="18">
        <v>40756</v>
      </c>
      <c r="R23" s="33">
        <v>597220400</v>
      </c>
      <c r="S23" s="31">
        <f>VLOOKUP(CurrentMtgRatesDataTable8268459[[#This Row],[issueDate]],CurrentMtgRatesDataTable82684510[#All],2,0)</f>
        <v>1409668759</v>
      </c>
      <c r="T23" s="31">
        <f>VLOOKUP(CurrentMtgRatesDataTable8268459[[#This Row],[issueDate]],CurrentMtgRatesDataTable82684511[#All],2,0)</f>
        <v>618316676</v>
      </c>
      <c r="U23" s="31">
        <f>VLOOKUP(CurrentMtgRatesDataTable8268459[[#This Row],[issueDate]],CurrentMtgRatesDataTable8262[#All],2,0)</f>
        <v>700196687</v>
      </c>
      <c r="V23" s="34">
        <f>VLOOKUP(CurrentMtgRatesDataTable8268459[[#This Row],[issueDate]],CurrentMtgRatesDataTable82673[#All],2,0)</f>
        <v>1665304166</v>
      </c>
      <c r="W23" s="34">
        <f>VLOOKUP(CurrentMtgRatesDataTable8268459[[#This Row],[issueDate]],CurrentMtgRatesDataTable82684[#All],2,0)</f>
        <v>849708760</v>
      </c>
      <c r="X23" s="34">
        <f>VLOOKUP(CurrentMtgRatesDataTable8268459[[#This Row],[issueDate]],CurrentMtgRatesDataTable826845[#All],2,0)</f>
        <v>624435737</v>
      </c>
      <c r="Y23" s="43">
        <f>VLOOKUP(CurrentMtgRatesDataTable8268459[[#This Row],[issueDate]],CurrentMtgRatesDataTable8268451112[#All],2,0)</f>
        <v>161674738</v>
      </c>
      <c r="AA23" s="18">
        <v>40756</v>
      </c>
      <c r="AB23">
        <v>1409668759</v>
      </c>
      <c r="AE23" s="18">
        <v>40756</v>
      </c>
      <c r="AF23">
        <v>618316676</v>
      </c>
      <c r="AH23" s="18">
        <v>40756</v>
      </c>
      <c r="AI23">
        <v>161674738</v>
      </c>
    </row>
    <row r="24" spans="2:35">
      <c r="B24" s="18">
        <v>40787</v>
      </c>
      <c r="C24">
        <v>1172583154</v>
      </c>
      <c r="E24" s="18">
        <v>40787</v>
      </c>
      <c r="F24">
        <v>2089320127</v>
      </c>
      <c r="I24" s="18">
        <v>40787</v>
      </c>
      <c r="J24">
        <v>1075911404</v>
      </c>
      <c r="M24" s="18">
        <v>40787</v>
      </c>
      <c r="N24">
        <v>749319829</v>
      </c>
      <c r="Q24" s="18">
        <v>40787</v>
      </c>
      <c r="R24" s="33">
        <v>1142247145</v>
      </c>
      <c r="S24" s="31">
        <f>VLOOKUP(CurrentMtgRatesDataTable8268459[[#This Row],[issueDate]],CurrentMtgRatesDataTable82684510[#All],2,0)</f>
        <v>1373391430</v>
      </c>
      <c r="T24" s="31">
        <f>VLOOKUP(CurrentMtgRatesDataTable8268459[[#This Row],[issueDate]],CurrentMtgRatesDataTable82684511[#All],2,0)</f>
        <v>744658251</v>
      </c>
      <c r="U24" s="31">
        <f>VLOOKUP(CurrentMtgRatesDataTable8268459[[#This Row],[issueDate]],CurrentMtgRatesDataTable8262[#All],2,0)</f>
        <v>1172583154</v>
      </c>
      <c r="V24" s="34">
        <f>VLOOKUP(CurrentMtgRatesDataTable8268459[[#This Row],[issueDate]],CurrentMtgRatesDataTable82673[#All],2,0)</f>
        <v>2089320127</v>
      </c>
      <c r="W24" s="34">
        <f>VLOOKUP(CurrentMtgRatesDataTable8268459[[#This Row],[issueDate]],CurrentMtgRatesDataTable82684[#All],2,0)</f>
        <v>1075911404</v>
      </c>
      <c r="X24" s="34">
        <f>VLOOKUP(CurrentMtgRatesDataTable8268459[[#This Row],[issueDate]],CurrentMtgRatesDataTable826845[#All],2,0)</f>
        <v>749319829</v>
      </c>
      <c r="Y24" s="43">
        <f>VLOOKUP(CurrentMtgRatesDataTable8268459[[#This Row],[issueDate]],CurrentMtgRatesDataTable8268451112[#All],2,0)</f>
        <v>154433053</v>
      </c>
      <c r="AA24" s="18">
        <v>40787</v>
      </c>
      <c r="AB24">
        <v>1373391430</v>
      </c>
      <c r="AE24" s="18">
        <v>40787</v>
      </c>
      <c r="AF24">
        <v>744658251</v>
      </c>
      <c r="AH24" s="18">
        <v>40787</v>
      </c>
      <c r="AI24">
        <v>154433053</v>
      </c>
    </row>
    <row r="25" spans="2:35">
      <c r="B25" s="18">
        <v>40817</v>
      </c>
      <c r="C25">
        <v>1053422473</v>
      </c>
      <c r="E25" s="18">
        <v>40817</v>
      </c>
      <c r="F25">
        <v>1776001224</v>
      </c>
      <c r="I25" s="18">
        <v>40817</v>
      </c>
      <c r="J25">
        <v>857963060</v>
      </c>
      <c r="M25" s="18">
        <v>40817</v>
      </c>
      <c r="N25">
        <v>612680365</v>
      </c>
      <c r="Q25" s="18">
        <v>40817</v>
      </c>
      <c r="R25" s="33">
        <v>904649967</v>
      </c>
      <c r="S25" s="31">
        <f>VLOOKUP(CurrentMtgRatesDataTable8268459[[#This Row],[issueDate]],CurrentMtgRatesDataTable82684510[#All],2,0)</f>
        <v>1371675072</v>
      </c>
      <c r="T25" s="31">
        <f>VLOOKUP(CurrentMtgRatesDataTable8268459[[#This Row],[issueDate]],CurrentMtgRatesDataTable82684511[#All],2,0)</f>
        <v>707129963</v>
      </c>
      <c r="U25" s="31">
        <f>VLOOKUP(CurrentMtgRatesDataTable8268459[[#This Row],[issueDate]],CurrentMtgRatesDataTable8262[#All],2,0)</f>
        <v>1053422473</v>
      </c>
      <c r="V25" s="34">
        <f>VLOOKUP(CurrentMtgRatesDataTable8268459[[#This Row],[issueDate]],CurrentMtgRatesDataTable82673[#All],2,0)</f>
        <v>1776001224</v>
      </c>
      <c r="W25" s="34">
        <f>VLOOKUP(CurrentMtgRatesDataTable8268459[[#This Row],[issueDate]],CurrentMtgRatesDataTable82684[#All],2,0)</f>
        <v>857963060</v>
      </c>
      <c r="X25" s="34">
        <f>VLOOKUP(CurrentMtgRatesDataTable8268459[[#This Row],[issueDate]],CurrentMtgRatesDataTable826845[#All],2,0)</f>
        <v>612680365</v>
      </c>
      <c r="Y25" s="43">
        <f>VLOOKUP(CurrentMtgRatesDataTable8268459[[#This Row],[issueDate]],CurrentMtgRatesDataTable8268451112[#All],2,0)</f>
        <v>114706349</v>
      </c>
      <c r="AA25" s="18">
        <v>40817</v>
      </c>
      <c r="AB25">
        <v>1371675072</v>
      </c>
      <c r="AE25" s="18">
        <v>40817</v>
      </c>
      <c r="AF25">
        <v>707129963</v>
      </c>
      <c r="AH25" s="18">
        <v>40817</v>
      </c>
      <c r="AI25">
        <v>114706349</v>
      </c>
    </row>
    <row r="26" spans="2:35">
      <c r="B26" s="18">
        <v>40848</v>
      </c>
      <c r="C26">
        <v>883509763</v>
      </c>
      <c r="E26" s="18">
        <v>40848</v>
      </c>
      <c r="F26">
        <v>2048922712</v>
      </c>
      <c r="I26" s="18">
        <v>40848</v>
      </c>
      <c r="J26">
        <v>916843872</v>
      </c>
      <c r="M26" s="18">
        <v>40848</v>
      </c>
      <c r="N26">
        <v>660088356</v>
      </c>
      <c r="Q26" s="18">
        <v>40848</v>
      </c>
      <c r="R26" s="33">
        <v>746449328</v>
      </c>
      <c r="S26" s="31">
        <f>VLOOKUP(CurrentMtgRatesDataTable8268459[[#This Row],[issueDate]],CurrentMtgRatesDataTable82684510[#All],2,0)</f>
        <v>2069110953</v>
      </c>
      <c r="T26" s="31">
        <f>VLOOKUP(CurrentMtgRatesDataTable8268459[[#This Row],[issueDate]],CurrentMtgRatesDataTable82684511[#All],2,0)</f>
        <v>913700422</v>
      </c>
      <c r="U26" s="31">
        <f>VLOOKUP(CurrentMtgRatesDataTable8268459[[#This Row],[issueDate]],CurrentMtgRatesDataTable8262[#All],2,0)</f>
        <v>883509763</v>
      </c>
      <c r="V26" s="34">
        <f>VLOOKUP(CurrentMtgRatesDataTable8268459[[#This Row],[issueDate]],CurrentMtgRatesDataTable82673[#All],2,0)</f>
        <v>2048922712</v>
      </c>
      <c r="W26" s="34">
        <f>VLOOKUP(CurrentMtgRatesDataTable8268459[[#This Row],[issueDate]],CurrentMtgRatesDataTable82684[#All],2,0)</f>
        <v>916843872</v>
      </c>
      <c r="X26" s="34">
        <f>VLOOKUP(CurrentMtgRatesDataTable8268459[[#This Row],[issueDate]],CurrentMtgRatesDataTable826845[#All],2,0)</f>
        <v>660088356</v>
      </c>
      <c r="Y26" s="43">
        <f>VLOOKUP(CurrentMtgRatesDataTable8268459[[#This Row],[issueDate]],CurrentMtgRatesDataTable8268451112[#All],2,0)</f>
        <v>74499428</v>
      </c>
      <c r="AA26" s="18">
        <v>40848</v>
      </c>
      <c r="AB26">
        <v>2069110953</v>
      </c>
      <c r="AE26" s="18">
        <v>40848</v>
      </c>
      <c r="AF26">
        <v>913700422</v>
      </c>
      <c r="AH26" s="18">
        <v>40848</v>
      </c>
      <c r="AI26">
        <v>74499428</v>
      </c>
    </row>
    <row r="27" spans="2:35">
      <c r="B27" s="18">
        <v>40878</v>
      </c>
      <c r="C27">
        <v>927109718</v>
      </c>
      <c r="E27" s="18">
        <v>40878</v>
      </c>
      <c r="F27">
        <v>2351497218</v>
      </c>
      <c r="I27" s="18">
        <v>40878</v>
      </c>
      <c r="J27">
        <v>1268334918</v>
      </c>
      <c r="M27" s="18">
        <v>40878</v>
      </c>
      <c r="N27">
        <v>964804971</v>
      </c>
      <c r="Q27" s="18">
        <v>40878</v>
      </c>
      <c r="R27" s="33">
        <v>630958608</v>
      </c>
      <c r="S27" s="31">
        <f>VLOOKUP(CurrentMtgRatesDataTable8268459[[#This Row],[issueDate]],CurrentMtgRatesDataTable82684510[#All],2,0)</f>
        <v>1545506017</v>
      </c>
      <c r="T27" s="31">
        <f>VLOOKUP(CurrentMtgRatesDataTable8268459[[#This Row],[issueDate]],CurrentMtgRatesDataTable82684511[#All],2,0)</f>
        <v>814006032</v>
      </c>
      <c r="U27" s="31">
        <f>VLOOKUP(CurrentMtgRatesDataTable8268459[[#This Row],[issueDate]],CurrentMtgRatesDataTable8262[#All],2,0)</f>
        <v>927109718</v>
      </c>
      <c r="V27" s="34">
        <f>VLOOKUP(CurrentMtgRatesDataTable8268459[[#This Row],[issueDate]],CurrentMtgRatesDataTable82673[#All],2,0)</f>
        <v>2351497218</v>
      </c>
      <c r="W27" s="34">
        <f>VLOOKUP(CurrentMtgRatesDataTable8268459[[#This Row],[issueDate]],CurrentMtgRatesDataTable82684[#All],2,0)</f>
        <v>1268334918</v>
      </c>
      <c r="X27" s="34">
        <f>VLOOKUP(CurrentMtgRatesDataTable8268459[[#This Row],[issueDate]],CurrentMtgRatesDataTable826845[#All],2,0)</f>
        <v>964804971</v>
      </c>
      <c r="Y27" s="43">
        <f>VLOOKUP(CurrentMtgRatesDataTable8268459[[#This Row],[issueDate]],CurrentMtgRatesDataTable8268451112[#All],2,0)</f>
        <v>219232419</v>
      </c>
      <c r="AA27" s="18">
        <v>40878</v>
      </c>
      <c r="AB27">
        <v>1545506017</v>
      </c>
      <c r="AE27" s="18">
        <v>40878</v>
      </c>
      <c r="AF27">
        <v>814006032</v>
      </c>
      <c r="AH27" s="18">
        <v>40878</v>
      </c>
      <c r="AI27">
        <v>219232419</v>
      </c>
    </row>
    <row r="28" spans="2:35">
      <c r="B28" s="18">
        <v>40909</v>
      </c>
      <c r="C28">
        <v>895155203</v>
      </c>
      <c r="E28" s="18">
        <v>40909</v>
      </c>
      <c r="F28">
        <v>2301286099</v>
      </c>
      <c r="I28" s="18">
        <v>40909</v>
      </c>
      <c r="J28">
        <v>1022202205</v>
      </c>
      <c r="M28" s="18">
        <v>40909</v>
      </c>
      <c r="N28">
        <v>646001264</v>
      </c>
      <c r="Q28" s="18">
        <v>40909</v>
      </c>
      <c r="R28" s="33">
        <v>1199227914</v>
      </c>
      <c r="S28" s="31">
        <f>VLOOKUP(CurrentMtgRatesDataTable8268459[[#This Row],[issueDate]],CurrentMtgRatesDataTable82684510[#All],2,0)</f>
        <v>2618325359</v>
      </c>
      <c r="T28" s="31">
        <f>VLOOKUP(CurrentMtgRatesDataTable8268459[[#This Row],[issueDate]],CurrentMtgRatesDataTable82684511[#All],2,0)</f>
        <v>881297951</v>
      </c>
      <c r="U28" s="31">
        <f>VLOOKUP(CurrentMtgRatesDataTable8268459[[#This Row],[issueDate]],CurrentMtgRatesDataTable8262[#All],2,0)</f>
        <v>895155203</v>
      </c>
      <c r="V28" s="34">
        <f>VLOOKUP(CurrentMtgRatesDataTable8268459[[#This Row],[issueDate]],CurrentMtgRatesDataTable82673[#All],2,0)</f>
        <v>2301286099</v>
      </c>
      <c r="W28" s="34">
        <f>VLOOKUP(CurrentMtgRatesDataTable8268459[[#This Row],[issueDate]],CurrentMtgRatesDataTable82684[#All],2,0)</f>
        <v>1022202205</v>
      </c>
      <c r="X28" s="34">
        <f>VLOOKUP(CurrentMtgRatesDataTable8268459[[#This Row],[issueDate]],CurrentMtgRatesDataTable826845[#All],2,0)</f>
        <v>646001264</v>
      </c>
      <c r="Y28" s="43">
        <f>VLOOKUP(CurrentMtgRatesDataTable8268459[[#This Row],[issueDate]],CurrentMtgRatesDataTable8268451112[#All],2,0)</f>
        <v>237166995</v>
      </c>
      <c r="AA28" s="18">
        <v>40909</v>
      </c>
      <c r="AB28">
        <v>2618325359</v>
      </c>
      <c r="AE28" s="18">
        <v>40909</v>
      </c>
      <c r="AF28">
        <v>881297951</v>
      </c>
      <c r="AH28" s="18">
        <v>40909</v>
      </c>
      <c r="AI28">
        <v>237166995</v>
      </c>
    </row>
    <row r="29" spans="2:35">
      <c r="B29" s="18">
        <v>40940</v>
      </c>
      <c r="C29">
        <v>1119679733</v>
      </c>
      <c r="E29" s="18">
        <v>40940</v>
      </c>
      <c r="F29">
        <v>2674571746</v>
      </c>
      <c r="I29" s="18">
        <v>40940</v>
      </c>
      <c r="J29">
        <v>1284539858</v>
      </c>
      <c r="M29" s="18">
        <v>40940</v>
      </c>
      <c r="N29">
        <v>856472475</v>
      </c>
      <c r="Q29" s="18">
        <v>40940</v>
      </c>
      <c r="R29" s="33">
        <v>858544665</v>
      </c>
      <c r="S29" s="31">
        <f>VLOOKUP(CurrentMtgRatesDataTable8268459[[#This Row],[issueDate]],CurrentMtgRatesDataTable82684510[#All],2,0)</f>
        <v>2549140693</v>
      </c>
      <c r="T29" s="31">
        <f>VLOOKUP(CurrentMtgRatesDataTable8268459[[#This Row],[issueDate]],CurrentMtgRatesDataTable82684511[#All],2,0)</f>
        <v>1070710499</v>
      </c>
      <c r="U29" s="31">
        <f>VLOOKUP(CurrentMtgRatesDataTable8268459[[#This Row],[issueDate]],CurrentMtgRatesDataTable8262[#All],2,0)</f>
        <v>1119679733</v>
      </c>
      <c r="V29" s="34">
        <f>VLOOKUP(CurrentMtgRatesDataTable8268459[[#This Row],[issueDate]],CurrentMtgRatesDataTable82673[#All],2,0)</f>
        <v>2674571746</v>
      </c>
      <c r="W29" s="34">
        <f>VLOOKUP(CurrentMtgRatesDataTable8268459[[#This Row],[issueDate]],CurrentMtgRatesDataTable82684[#All],2,0)</f>
        <v>1284539858</v>
      </c>
      <c r="X29" s="34">
        <f>VLOOKUP(CurrentMtgRatesDataTable8268459[[#This Row],[issueDate]],CurrentMtgRatesDataTable826845[#All],2,0)</f>
        <v>856472475</v>
      </c>
      <c r="Y29" s="43">
        <f>VLOOKUP(CurrentMtgRatesDataTable8268459[[#This Row],[issueDate]],CurrentMtgRatesDataTable8268451112[#All],2,0)</f>
        <v>251956511</v>
      </c>
      <c r="AA29" s="18">
        <v>40940</v>
      </c>
      <c r="AB29">
        <v>2549140693</v>
      </c>
      <c r="AE29" s="18">
        <v>40940</v>
      </c>
      <c r="AF29">
        <v>1070710499</v>
      </c>
      <c r="AH29" s="18">
        <v>40940</v>
      </c>
      <c r="AI29">
        <v>251956511</v>
      </c>
    </row>
    <row r="30" spans="2:35">
      <c r="B30" s="18">
        <v>40969</v>
      </c>
      <c r="C30">
        <v>2071647847</v>
      </c>
      <c r="E30" s="18">
        <v>40969</v>
      </c>
      <c r="F30">
        <v>3841087144</v>
      </c>
      <c r="I30" s="18">
        <v>40969</v>
      </c>
      <c r="J30">
        <v>1735119323</v>
      </c>
      <c r="M30" s="18">
        <v>40969</v>
      </c>
      <c r="N30">
        <v>1094708047</v>
      </c>
      <c r="Q30" s="18">
        <v>40969</v>
      </c>
      <c r="R30" s="33">
        <v>1316407997</v>
      </c>
      <c r="S30" s="31">
        <f>VLOOKUP(CurrentMtgRatesDataTable8268459[[#This Row],[issueDate]],CurrentMtgRatesDataTable82684510[#All],2,0)</f>
        <v>4280168236</v>
      </c>
      <c r="T30" s="31">
        <f>VLOOKUP(CurrentMtgRatesDataTable8268459[[#This Row],[issueDate]],CurrentMtgRatesDataTable82684511[#All],2,0)</f>
        <v>1907637512</v>
      </c>
      <c r="U30" s="31">
        <f>VLOOKUP(CurrentMtgRatesDataTable8268459[[#This Row],[issueDate]],CurrentMtgRatesDataTable8262[#All],2,0)</f>
        <v>2071647847</v>
      </c>
      <c r="V30" s="34">
        <f>VLOOKUP(CurrentMtgRatesDataTable8268459[[#This Row],[issueDate]],CurrentMtgRatesDataTable82673[#All],2,0)</f>
        <v>3841087144</v>
      </c>
      <c r="W30" s="34">
        <f>VLOOKUP(CurrentMtgRatesDataTable8268459[[#This Row],[issueDate]],CurrentMtgRatesDataTable82684[#All],2,0)</f>
        <v>1735119323</v>
      </c>
      <c r="X30" s="34">
        <f>VLOOKUP(CurrentMtgRatesDataTable8268459[[#This Row],[issueDate]],CurrentMtgRatesDataTable826845[#All],2,0)</f>
        <v>1094708047</v>
      </c>
      <c r="Y30" s="43">
        <f>VLOOKUP(CurrentMtgRatesDataTable8268459[[#This Row],[issueDate]],CurrentMtgRatesDataTable8268451112[#All],2,0)</f>
        <v>232328653</v>
      </c>
      <c r="AA30" s="18">
        <v>40969</v>
      </c>
      <c r="AB30">
        <v>4280168236</v>
      </c>
      <c r="AE30" s="18">
        <v>40969</v>
      </c>
      <c r="AF30">
        <v>1907637512</v>
      </c>
      <c r="AH30" s="18">
        <v>40969</v>
      </c>
      <c r="AI30">
        <v>232328653</v>
      </c>
    </row>
    <row r="31" spans="2:35">
      <c r="B31" s="18">
        <v>41000</v>
      </c>
      <c r="C31">
        <v>1142559870</v>
      </c>
      <c r="E31" s="18">
        <v>41000</v>
      </c>
      <c r="F31">
        <v>2181147527</v>
      </c>
      <c r="I31" s="18">
        <v>41000</v>
      </c>
      <c r="J31">
        <v>987980929</v>
      </c>
      <c r="M31" s="18">
        <v>41000</v>
      </c>
      <c r="N31">
        <v>638284668</v>
      </c>
      <c r="Q31" s="18">
        <v>41000</v>
      </c>
      <c r="R31" s="33">
        <v>619429599</v>
      </c>
      <c r="S31" s="31">
        <f>VLOOKUP(CurrentMtgRatesDataTable8268459[[#This Row],[issueDate]],CurrentMtgRatesDataTable82684510[#All],2,0)</f>
        <v>2344147071</v>
      </c>
      <c r="T31" s="31">
        <f>VLOOKUP(CurrentMtgRatesDataTable8268459[[#This Row],[issueDate]],CurrentMtgRatesDataTable82684511[#All],2,0)</f>
        <v>924196729</v>
      </c>
      <c r="U31" s="31">
        <f>VLOOKUP(CurrentMtgRatesDataTable8268459[[#This Row],[issueDate]],CurrentMtgRatesDataTable8262[#All],2,0)</f>
        <v>1142559870</v>
      </c>
      <c r="V31" s="34">
        <f>VLOOKUP(CurrentMtgRatesDataTable8268459[[#This Row],[issueDate]],CurrentMtgRatesDataTable82673[#All],2,0)</f>
        <v>2181147527</v>
      </c>
      <c r="W31" s="34">
        <f>VLOOKUP(CurrentMtgRatesDataTable8268459[[#This Row],[issueDate]],CurrentMtgRatesDataTable82684[#All],2,0)</f>
        <v>987980929</v>
      </c>
      <c r="X31" s="34">
        <f>VLOOKUP(CurrentMtgRatesDataTable8268459[[#This Row],[issueDate]],CurrentMtgRatesDataTable826845[#All],2,0)</f>
        <v>638284668</v>
      </c>
      <c r="Y31" s="43">
        <f>VLOOKUP(CurrentMtgRatesDataTable8268459[[#This Row],[issueDate]],CurrentMtgRatesDataTable8268451112[#All],2,0)</f>
        <v>277398767</v>
      </c>
      <c r="AA31" s="18">
        <v>41000</v>
      </c>
      <c r="AB31">
        <v>2344147071</v>
      </c>
      <c r="AE31" s="18">
        <v>41000</v>
      </c>
      <c r="AF31">
        <v>924196729</v>
      </c>
      <c r="AH31" s="18">
        <v>41000</v>
      </c>
      <c r="AI31">
        <v>277398767</v>
      </c>
    </row>
    <row r="32" spans="2:35">
      <c r="B32" s="18">
        <v>41030</v>
      </c>
      <c r="C32">
        <v>1739950443</v>
      </c>
      <c r="E32" s="18">
        <v>41030</v>
      </c>
      <c r="F32">
        <v>3139002806</v>
      </c>
      <c r="I32" s="18">
        <v>41030</v>
      </c>
      <c r="J32">
        <v>1484383778</v>
      </c>
      <c r="M32" s="18">
        <v>41030</v>
      </c>
      <c r="N32">
        <v>965308651</v>
      </c>
      <c r="Q32" s="18">
        <v>41030</v>
      </c>
      <c r="R32" s="33">
        <v>1030015691</v>
      </c>
      <c r="S32" s="31">
        <f>VLOOKUP(CurrentMtgRatesDataTable8268459[[#This Row],[issueDate]],CurrentMtgRatesDataTable82684510[#All],2,0)</f>
        <v>3652827367</v>
      </c>
      <c r="T32" s="31">
        <f>VLOOKUP(CurrentMtgRatesDataTable8268459[[#This Row],[issueDate]],CurrentMtgRatesDataTable82684511[#All],2,0)</f>
        <v>1284353878</v>
      </c>
      <c r="U32" s="31">
        <f>VLOOKUP(CurrentMtgRatesDataTable8268459[[#This Row],[issueDate]],CurrentMtgRatesDataTable8262[#All],2,0)</f>
        <v>1739950443</v>
      </c>
      <c r="V32" s="34">
        <f>VLOOKUP(CurrentMtgRatesDataTable8268459[[#This Row],[issueDate]],CurrentMtgRatesDataTable82673[#All],2,0)</f>
        <v>3139002806</v>
      </c>
      <c r="W32" s="34">
        <f>VLOOKUP(CurrentMtgRatesDataTable8268459[[#This Row],[issueDate]],CurrentMtgRatesDataTable82684[#All],2,0)</f>
        <v>1484383778</v>
      </c>
      <c r="X32" s="34">
        <f>VLOOKUP(CurrentMtgRatesDataTable8268459[[#This Row],[issueDate]],CurrentMtgRatesDataTable826845[#All],2,0)</f>
        <v>965308651</v>
      </c>
      <c r="Y32" s="43">
        <f>VLOOKUP(CurrentMtgRatesDataTable8268459[[#This Row],[issueDate]],CurrentMtgRatesDataTable8268451112[#All],2,0)</f>
        <v>280166807</v>
      </c>
      <c r="AA32" s="18">
        <v>41030</v>
      </c>
      <c r="AB32">
        <v>3652827367</v>
      </c>
      <c r="AE32" s="18">
        <v>41030</v>
      </c>
      <c r="AF32">
        <v>1284353878</v>
      </c>
      <c r="AH32" s="18">
        <v>41030</v>
      </c>
      <c r="AI32">
        <v>280166807</v>
      </c>
    </row>
    <row r="33" spans="2:35">
      <c r="B33" s="18">
        <v>41061</v>
      </c>
      <c r="C33">
        <v>1341442478</v>
      </c>
      <c r="E33" s="18">
        <v>41061</v>
      </c>
      <c r="F33">
        <v>2589334638</v>
      </c>
      <c r="I33" s="18">
        <v>41061</v>
      </c>
      <c r="J33">
        <v>1316392694</v>
      </c>
      <c r="M33" s="18">
        <v>41061</v>
      </c>
      <c r="N33">
        <v>869933090</v>
      </c>
      <c r="Q33" s="18">
        <v>41061</v>
      </c>
      <c r="R33" s="33">
        <v>1023641491</v>
      </c>
      <c r="S33" s="31">
        <f>VLOOKUP(CurrentMtgRatesDataTable8268459[[#This Row],[issueDate]],CurrentMtgRatesDataTable82684510[#All],2,0)</f>
        <v>3645341345</v>
      </c>
      <c r="T33" s="31">
        <f>VLOOKUP(CurrentMtgRatesDataTable8268459[[#This Row],[issueDate]],CurrentMtgRatesDataTable82684511[#All],2,0)</f>
        <v>1249456220</v>
      </c>
      <c r="U33" s="31">
        <f>VLOOKUP(CurrentMtgRatesDataTable8268459[[#This Row],[issueDate]],CurrentMtgRatesDataTable8262[#All],2,0)</f>
        <v>1341442478</v>
      </c>
      <c r="V33" s="34">
        <f>VLOOKUP(CurrentMtgRatesDataTable8268459[[#This Row],[issueDate]],CurrentMtgRatesDataTable82673[#All],2,0)</f>
        <v>2589334638</v>
      </c>
      <c r="W33" s="34">
        <f>VLOOKUP(CurrentMtgRatesDataTable8268459[[#This Row],[issueDate]],CurrentMtgRatesDataTable82684[#All],2,0)</f>
        <v>1316392694</v>
      </c>
      <c r="X33" s="34">
        <f>VLOOKUP(CurrentMtgRatesDataTable8268459[[#This Row],[issueDate]],CurrentMtgRatesDataTable826845[#All],2,0)</f>
        <v>869933090</v>
      </c>
      <c r="Y33" s="43">
        <f>VLOOKUP(CurrentMtgRatesDataTable8268459[[#This Row],[issueDate]],CurrentMtgRatesDataTable8268451112[#All],2,0)</f>
        <v>329024965</v>
      </c>
      <c r="AA33" s="18">
        <v>41061</v>
      </c>
      <c r="AB33">
        <v>3645341345</v>
      </c>
      <c r="AE33" s="18">
        <v>41061</v>
      </c>
      <c r="AF33">
        <v>1249456220</v>
      </c>
      <c r="AH33" s="18">
        <v>41061</v>
      </c>
      <c r="AI33">
        <v>329024965</v>
      </c>
    </row>
    <row r="34" spans="2:35">
      <c r="B34" s="18">
        <v>41091</v>
      </c>
      <c r="C34">
        <v>1676373437</v>
      </c>
      <c r="E34" s="18">
        <v>41091</v>
      </c>
      <c r="F34">
        <v>3037145756</v>
      </c>
      <c r="I34" s="18">
        <v>41091</v>
      </c>
      <c r="J34">
        <v>1391950040</v>
      </c>
      <c r="M34" s="18">
        <v>41091</v>
      </c>
      <c r="N34">
        <v>916631007</v>
      </c>
      <c r="Q34" s="18">
        <v>41091</v>
      </c>
      <c r="R34" s="33">
        <v>1486802071</v>
      </c>
      <c r="S34" s="31">
        <f>VLOOKUP(CurrentMtgRatesDataTable8268459[[#This Row],[issueDate]],CurrentMtgRatesDataTable82684510[#All],2,0)</f>
        <v>3672143704</v>
      </c>
      <c r="T34" s="31">
        <f>VLOOKUP(CurrentMtgRatesDataTable8268459[[#This Row],[issueDate]],CurrentMtgRatesDataTable82684511[#All],2,0)</f>
        <v>1368636075</v>
      </c>
      <c r="U34" s="31">
        <f>VLOOKUP(CurrentMtgRatesDataTable8268459[[#This Row],[issueDate]],CurrentMtgRatesDataTable8262[#All],2,0)</f>
        <v>1676373437</v>
      </c>
      <c r="V34" s="34">
        <f>VLOOKUP(CurrentMtgRatesDataTable8268459[[#This Row],[issueDate]],CurrentMtgRatesDataTable82673[#All],2,0)</f>
        <v>3037145756</v>
      </c>
      <c r="W34" s="34">
        <f>VLOOKUP(CurrentMtgRatesDataTable8268459[[#This Row],[issueDate]],CurrentMtgRatesDataTable82684[#All],2,0)</f>
        <v>1391950040</v>
      </c>
      <c r="X34" s="34">
        <f>VLOOKUP(CurrentMtgRatesDataTable8268459[[#This Row],[issueDate]],CurrentMtgRatesDataTable826845[#All],2,0)</f>
        <v>916631007</v>
      </c>
      <c r="Y34" s="43">
        <f>VLOOKUP(CurrentMtgRatesDataTable8268459[[#This Row],[issueDate]],CurrentMtgRatesDataTable8268451112[#All],2,0)</f>
        <v>307965127</v>
      </c>
      <c r="AA34" s="18">
        <v>41091</v>
      </c>
      <c r="AB34">
        <v>3672143704</v>
      </c>
      <c r="AE34" s="18">
        <v>41091</v>
      </c>
      <c r="AF34">
        <v>1368636075</v>
      </c>
      <c r="AH34" s="18">
        <v>41091</v>
      </c>
      <c r="AI34">
        <v>307965127</v>
      </c>
    </row>
    <row r="35" spans="2:35">
      <c r="B35" s="18">
        <v>41122</v>
      </c>
      <c r="C35">
        <v>1740229937</v>
      </c>
      <c r="E35" s="18">
        <v>41122</v>
      </c>
      <c r="F35">
        <v>2800881284</v>
      </c>
      <c r="I35" s="18">
        <v>41122</v>
      </c>
      <c r="J35">
        <v>1332804528</v>
      </c>
      <c r="M35" s="18">
        <v>41122</v>
      </c>
      <c r="N35">
        <v>938861711</v>
      </c>
      <c r="Q35" s="18">
        <v>41122</v>
      </c>
      <c r="R35" s="33">
        <v>1507652848</v>
      </c>
      <c r="S35" s="31">
        <f>VLOOKUP(CurrentMtgRatesDataTable8268459[[#This Row],[issueDate]],CurrentMtgRatesDataTable82684510[#All],2,0)</f>
        <v>4005623745</v>
      </c>
      <c r="T35" s="31">
        <f>VLOOKUP(CurrentMtgRatesDataTable8268459[[#This Row],[issueDate]],CurrentMtgRatesDataTable82684511[#All],2,0)</f>
        <v>1427196427</v>
      </c>
      <c r="U35" s="31">
        <f>VLOOKUP(CurrentMtgRatesDataTable8268459[[#This Row],[issueDate]],CurrentMtgRatesDataTable8262[#All],2,0)</f>
        <v>1740229937</v>
      </c>
      <c r="V35" s="34">
        <f>VLOOKUP(CurrentMtgRatesDataTable8268459[[#This Row],[issueDate]],CurrentMtgRatesDataTable82673[#All],2,0)</f>
        <v>2800881284</v>
      </c>
      <c r="W35" s="34">
        <f>VLOOKUP(CurrentMtgRatesDataTable8268459[[#This Row],[issueDate]],CurrentMtgRatesDataTable82684[#All],2,0)</f>
        <v>1332804528</v>
      </c>
      <c r="X35" s="34">
        <f>VLOOKUP(CurrentMtgRatesDataTable8268459[[#This Row],[issueDate]],CurrentMtgRatesDataTable826845[#All],2,0)</f>
        <v>938861711</v>
      </c>
      <c r="Y35" s="43">
        <f>VLOOKUP(CurrentMtgRatesDataTable8268459[[#This Row],[issueDate]],CurrentMtgRatesDataTable8268451112[#All],2,0)</f>
        <v>484822953</v>
      </c>
      <c r="AA35" s="18">
        <v>41122</v>
      </c>
      <c r="AB35">
        <v>4005623745</v>
      </c>
      <c r="AE35" s="18">
        <v>41122</v>
      </c>
      <c r="AF35">
        <v>1427196427</v>
      </c>
      <c r="AH35" s="18">
        <v>41122</v>
      </c>
      <c r="AI35">
        <v>484822953</v>
      </c>
    </row>
    <row r="36" spans="2:35">
      <c r="B36" s="18">
        <v>41153</v>
      </c>
      <c r="C36">
        <v>1747467554</v>
      </c>
      <c r="E36" s="18">
        <v>41153</v>
      </c>
      <c r="F36">
        <v>3094496393</v>
      </c>
      <c r="I36" s="18">
        <v>41153</v>
      </c>
      <c r="J36">
        <v>1412162830</v>
      </c>
      <c r="M36" s="18">
        <v>41153</v>
      </c>
      <c r="N36">
        <v>866473910</v>
      </c>
      <c r="Q36" s="18">
        <v>41153</v>
      </c>
      <c r="R36" s="33">
        <v>1363121051</v>
      </c>
      <c r="S36" s="31">
        <f>VLOOKUP(CurrentMtgRatesDataTable8268459[[#This Row],[issueDate]],CurrentMtgRatesDataTable82684510[#All],2,0)</f>
        <v>3794875709</v>
      </c>
      <c r="T36" s="31">
        <f>VLOOKUP(CurrentMtgRatesDataTable8268459[[#This Row],[issueDate]],CurrentMtgRatesDataTable82684511[#All],2,0)</f>
        <v>1334351132</v>
      </c>
      <c r="U36" s="31">
        <f>VLOOKUP(CurrentMtgRatesDataTable8268459[[#This Row],[issueDate]],CurrentMtgRatesDataTable8262[#All],2,0)</f>
        <v>1747467554</v>
      </c>
      <c r="V36" s="34">
        <f>VLOOKUP(CurrentMtgRatesDataTable8268459[[#This Row],[issueDate]],CurrentMtgRatesDataTable82673[#All],2,0)</f>
        <v>3094496393</v>
      </c>
      <c r="W36" s="34">
        <f>VLOOKUP(CurrentMtgRatesDataTable8268459[[#This Row],[issueDate]],CurrentMtgRatesDataTable82684[#All],2,0)</f>
        <v>1412162830</v>
      </c>
      <c r="X36" s="34">
        <f>VLOOKUP(CurrentMtgRatesDataTable8268459[[#This Row],[issueDate]],CurrentMtgRatesDataTable826845[#All],2,0)</f>
        <v>866473910</v>
      </c>
      <c r="Y36" s="43">
        <f>VLOOKUP(CurrentMtgRatesDataTable8268459[[#This Row],[issueDate]],CurrentMtgRatesDataTable8268451112[#All],2,0)</f>
        <v>611475515</v>
      </c>
      <c r="AA36" s="18">
        <v>41153</v>
      </c>
      <c r="AB36">
        <v>3794875709</v>
      </c>
      <c r="AE36" s="18">
        <v>41153</v>
      </c>
      <c r="AF36">
        <v>1334351132</v>
      </c>
      <c r="AH36" s="18">
        <v>41153</v>
      </c>
      <c r="AI36">
        <v>611475515</v>
      </c>
    </row>
    <row r="37" spans="2:35">
      <c r="B37" s="18">
        <v>41183</v>
      </c>
      <c r="C37">
        <v>885767358</v>
      </c>
      <c r="E37" s="18">
        <v>41183</v>
      </c>
      <c r="F37">
        <v>1750544385</v>
      </c>
      <c r="I37" s="18">
        <v>41183</v>
      </c>
      <c r="J37">
        <v>1074934170</v>
      </c>
      <c r="M37" s="18">
        <v>41183</v>
      </c>
      <c r="N37">
        <v>674003513</v>
      </c>
      <c r="Q37" s="18">
        <v>41183</v>
      </c>
      <c r="R37" s="33">
        <v>741027528</v>
      </c>
      <c r="S37" s="31">
        <f>VLOOKUP(CurrentMtgRatesDataTable8268459[[#This Row],[issueDate]],CurrentMtgRatesDataTable82684510[#All],2,0)</f>
        <v>2866599095</v>
      </c>
      <c r="T37" s="31">
        <f>VLOOKUP(CurrentMtgRatesDataTable8268459[[#This Row],[issueDate]],CurrentMtgRatesDataTable82684511[#All],2,0)</f>
        <v>467542200</v>
      </c>
      <c r="U37" s="31">
        <f>VLOOKUP(CurrentMtgRatesDataTable8268459[[#This Row],[issueDate]],CurrentMtgRatesDataTable8262[#All],2,0)</f>
        <v>885767358</v>
      </c>
      <c r="V37" s="34">
        <f>VLOOKUP(CurrentMtgRatesDataTable8268459[[#This Row],[issueDate]],CurrentMtgRatesDataTable82673[#All],2,0)</f>
        <v>1750544385</v>
      </c>
      <c r="W37" s="34">
        <f>VLOOKUP(CurrentMtgRatesDataTable8268459[[#This Row],[issueDate]],CurrentMtgRatesDataTable82684[#All],2,0)</f>
        <v>1074934170</v>
      </c>
      <c r="X37" s="34">
        <f>VLOOKUP(CurrentMtgRatesDataTable8268459[[#This Row],[issueDate]],CurrentMtgRatesDataTable826845[#All],2,0)</f>
        <v>674003513</v>
      </c>
      <c r="Y37" s="43">
        <f>VLOOKUP(CurrentMtgRatesDataTable8268459[[#This Row],[issueDate]],CurrentMtgRatesDataTable8268451112[#All],2,0)</f>
        <v>283236297</v>
      </c>
      <c r="AA37" s="18">
        <v>41183</v>
      </c>
      <c r="AB37">
        <v>2866599095</v>
      </c>
      <c r="AE37" s="18">
        <v>41183</v>
      </c>
      <c r="AF37">
        <v>467542200</v>
      </c>
      <c r="AH37" s="18">
        <v>41183</v>
      </c>
      <c r="AI37">
        <v>283236297</v>
      </c>
    </row>
    <row r="38" spans="2:35">
      <c r="B38" s="18">
        <v>41214</v>
      </c>
      <c r="C38">
        <v>1351050040</v>
      </c>
      <c r="E38" s="18">
        <v>41214</v>
      </c>
      <c r="F38">
        <v>3750861223</v>
      </c>
      <c r="I38" s="18">
        <v>41214</v>
      </c>
      <c r="J38">
        <v>2092345448</v>
      </c>
      <c r="M38" s="18">
        <v>41214</v>
      </c>
      <c r="N38">
        <v>1360862416</v>
      </c>
      <c r="Q38" s="18">
        <v>41214</v>
      </c>
      <c r="R38" s="33">
        <v>1745418744</v>
      </c>
      <c r="S38" s="31">
        <f>VLOOKUP(CurrentMtgRatesDataTable8268459[[#This Row],[issueDate]],CurrentMtgRatesDataTable82684510[#All],2,0)</f>
        <v>4430765694</v>
      </c>
      <c r="T38" s="31">
        <f>VLOOKUP(CurrentMtgRatesDataTable8268459[[#This Row],[issueDate]],CurrentMtgRatesDataTable82684511[#All],2,0)</f>
        <v>2080610275</v>
      </c>
      <c r="U38" s="31">
        <f>VLOOKUP(CurrentMtgRatesDataTable8268459[[#This Row],[issueDate]],CurrentMtgRatesDataTable8262[#All],2,0)</f>
        <v>1351050040</v>
      </c>
      <c r="V38" s="34">
        <f>VLOOKUP(CurrentMtgRatesDataTable8268459[[#This Row],[issueDate]],CurrentMtgRatesDataTable82673[#All],2,0)</f>
        <v>3750861223</v>
      </c>
      <c r="W38" s="34">
        <f>VLOOKUP(CurrentMtgRatesDataTable8268459[[#This Row],[issueDate]],CurrentMtgRatesDataTable82684[#All],2,0)</f>
        <v>2092345448</v>
      </c>
      <c r="X38" s="34">
        <f>VLOOKUP(CurrentMtgRatesDataTable8268459[[#This Row],[issueDate]],CurrentMtgRatesDataTable826845[#All],2,0)</f>
        <v>1360862416</v>
      </c>
      <c r="Y38" s="43">
        <f>VLOOKUP(CurrentMtgRatesDataTable8268459[[#This Row],[issueDate]],CurrentMtgRatesDataTable8268451112[#All],2,0)</f>
        <v>361734364</v>
      </c>
      <c r="AA38" s="18">
        <v>41214</v>
      </c>
      <c r="AB38">
        <v>4430765694</v>
      </c>
      <c r="AE38" s="18">
        <v>41214</v>
      </c>
      <c r="AF38">
        <v>2080610275</v>
      </c>
      <c r="AH38" s="18">
        <v>41214</v>
      </c>
      <c r="AI38">
        <v>361734364</v>
      </c>
    </row>
    <row r="39" spans="2:35">
      <c r="B39" s="18">
        <v>41244</v>
      </c>
      <c r="C39">
        <v>1378219207</v>
      </c>
      <c r="E39" s="18">
        <v>41244</v>
      </c>
      <c r="F39">
        <v>2422434894</v>
      </c>
      <c r="I39" s="30">
        <v>41244</v>
      </c>
      <c r="J39" s="5">
        <v>1221012156</v>
      </c>
      <c r="M39" s="30">
        <v>41244</v>
      </c>
      <c r="N39" s="5">
        <v>763603729</v>
      </c>
      <c r="Q39" s="30">
        <v>41244</v>
      </c>
      <c r="R39" s="35">
        <v>779099080</v>
      </c>
      <c r="S39" s="31">
        <f>VLOOKUP(CurrentMtgRatesDataTable8268459[[#This Row],[issueDate]],CurrentMtgRatesDataTable82684510[#All],2,0)</f>
        <v>2825123329</v>
      </c>
      <c r="T39" s="31">
        <f>VLOOKUP(CurrentMtgRatesDataTable8268459[[#This Row],[issueDate]],CurrentMtgRatesDataTable82684511[#All],2,0)</f>
        <v>1077406635</v>
      </c>
      <c r="U39" s="31">
        <f>VLOOKUP(CurrentMtgRatesDataTable8268459[[#This Row],[issueDate]],CurrentMtgRatesDataTable8262[#All],2,0)</f>
        <v>1378219207</v>
      </c>
      <c r="V39" s="34">
        <f>VLOOKUP(CurrentMtgRatesDataTable8268459[[#This Row],[issueDate]],CurrentMtgRatesDataTable82673[#All],2,0)</f>
        <v>2422434894</v>
      </c>
      <c r="W39" s="34">
        <f>VLOOKUP(CurrentMtgRatesDataTable8268459[[#This Row],[issueDate]],CurrentMtgRatesDataTable82684[#All],2,0)</f>
        <v>1221012156</v>
      </c>
      <c r="X39" s="34">
        <f>VLOOKUP(CurrentMtgRatesDataTable8268459[[#This Row],[issueDate]],CurrentMtgRatesDataTable826845[#All],2,0)</f>
        <v>763603729</v>
      </c>
      <c r="Y39" s="43">
        <f>VLOOKUP(CurrentMtgRatesDataTable8268459[[#This Row],[issueDate]],CurrentMtgRatesDataTable8268451112[#All],2,0)</f>
        <v>426598011</v>
      </c>
      <c r="AA39" s="30">
        <v>41244</v>
      </c>
      <c r="AB39" s="5">
        <v>2825123329</v>
      </c>
      <c r="AC39" s="5"/>
      <c r="AE39" s="30">
        <v>41244</v>
      </c>
      <c r="AF39" s="5">
        <v>1077406635</v>
      </c>
      <c r="AH39" s="30">
        <v>41244</v>
      </c>
      <c r="AI39" s="5">
        <v>426598011</v>
      </c>
    </row>
    <row r="40" spans="2:35">
      <c r="B40" s="18">
        <v>41275</v>
      </c>
      <c r="C40" s="19">
        <v>1960322510</v>
      </c>
      <c r="E40" s="18">
        <v>41275</v>
      </c>
      <c r="F40" s="19">
        <v>3557232725</v>
      </c>
      <c r="I40" s="18">
        <v>41275</v>
      </c>
      <c r="J40" s="19">
        <v>1621872168</v>
      </c>
      <c r="M40" s="18">
        <v>41275</v>
      </c>
      <c r="N40" s="19">
        <v>1057109121</v>
      </c>
      <c r="Q40" s="18">
        <v>41275</v>
      </c>
      <c r="R40" s="33">
        <v>1631971933</v>
      </c>
      <c r="S40" s="31">
        <f>VLOOKUP(CurrentMtgRatesDataTable8268459[[#This Row],[issueDate]],CurrentMtgRatesDataTable82684510[#All],2,0)</f>
        <v>3545408567</v>
      </c>
      <c r="T40" s="31">
        <f>VLOOKUP(CurrentMtgRatesDataTable8268459[[#This Row],[issueDate]],CurrentMtgRatesDataTable82684511[#All],2,0)</f>
        <v>1485427177</v>
      </c>
      <c r="U40" s="31">
        <f>VLOOKUP(CurrentMtgRatesDataTable8268459[[#This Row],[issueDate]],CurrentMtgRatesDataTable8262[#All],2,0)</f>
        <v>1960322510</v>
      </c>
      <c r="V40" s="34">
        <f>VLOOKUP(CurrentMtgRatesDataTable8268459[[#This Row],[issueDate]],CurrentMtgRatesDataTable82673[#All],2,0)</f>
        <v>3557232725</v>
      </c>
      <c r="W40" s="34">
        <f>VLOOKUP(CurrentMtgRatesDataTable8268459[[#This Row],[issueDate]],CurrentMtgRatesDataTable82684[#All],2,0)</f>
        <v>1621872168</v>
      </c>
      <c r="X40" s="34">
        <f>VLOOKUP(CurrentMtgRatesDataTable8268459[[#This Row],[issueDate]],CurrentMtgRatesDataTable826845[#All],2,0)</f>
        <v>1057109121</v>
      </c>
      <c r="Y40" s="43">
        <f>VLOOKUP(CurrentMtgRatesDataTable8268459[[#This Row],[issueDate]],CurrentMtgRatesDataTable8268451112[#All],2,0)</f>
        <v>508263805</v>
      </c>
      <c r="AA40" s="18">
        <v>41275</v>
      </c>
      <c r="AB40" s="19">
        <v>3545408567</v>
      </c>
      <c r="AC40" s="19"/>
      <c r="AE40" s="18">
        <v>41275</v>
      </c>
      <c r="AF40" s="19">
        <v>1485427177</v>
      </c>
      <c r="AH40" s="18">
        <v>41275</v>
      </c>
      <c r="AI40" s="19">
        <v>508263805</v>
      </c>
    </row>
    <row r="41" spans="2:35">
      <c r="B41" s="18">
        <v>41306</v>
      </c>
      <c r="C41" s="19">
        <v>1424567527</v>
      </c>
      <c r="E41" s="18">
        <v>41306</v>
      </c>
      <c r="F41" s="19">
        <v>2559417623</v>
      </c>
      <c r="I41" s="18">
        <v>41306</v>
      </c>
      <c r="J41" s="19">
        <v>1326174750</v>
      </c>
      <c r="M41" s="18">
        <v>41306</v>
      </c>
      <c r="N41" s="19">
        <v>962399260</v>
      </c>
      <c r="Q41" s="18">
        <v>41306</v>
      </c>
      <c r="R41" s="33">
        <v>1473941813</v>
      </c>
      <c r="S41" s="31">
        <f>VLOOKUP(CurrentMtgRatesDataTable8268459[[#This Row],[issueDate]],CurrentMtgRatesDataTable82684510[#All],2,0)</f>
        <v>2993187224</v>
      </c>
      <c r="T41" s="31">
        <f>VLOOKUP(CurrentMtgRatesDataTable8268459[[#This Row],[issueDate]],CurrentMtgRatesDataTable82684511[#All],2,0)</f>
        <v>1331254497</v>
      </c>
      <c r="U41" s="31">
        <f>VLOOKUP(CurrentMtgRatesDataTable8268459[[#This Row],[issueDate]],CurrentMtgRatesDataTable8262[#All],2,0)</f>
        <v>1424567527</v>
      </c>
      <c r="V41" s="34">
        <f>VLOOKUP(CurrentMtgRatesDataTable8268459[[#This Row],[issueDate]],CurrentMtgRatesDataTable82673[#All],2,0)</f>
        <v>2559417623</v>
      </c>
      <c r="W41" s="34">
        <f>VLOOKUP(CurrentMtgRatesDataTable8268459[[#This Row],[issueDate]],CurrentMtgRatesDataTable82684[#All],2,0)</f>
        <v>1326174750</v>
      </c>
      <c r="X41" s="34">
        <f>VLOOKUP(CurrentMtgRatesDataTable8268459[[#This Row],[issueDate]],CurrentMtgRatesDataTable826845[#All],2,0)</f>
        <v>962399260</v>
      </c>
      <c r="Y41" s="43">
        <f>VLOOKUP(CurrentMtgRatesDataTable8268459[[#This Row],[issueDate]],CurrentMtgRatesDataTable8268451112[#All],2,0)</f>
        <v>471227780</v>
      </c>
      <c r="AA41" s="18">
        <v>41306</v>
      </c>
      <c r="AB41" s="19">
        <v>2993187224</v>
      </c>
      <c r="AC41" s="19"/>
      <c r="AE41" s="18">
        <v>41306</v>
      </c>
      <c r="AF41" s="19">
        <v>1331254497</v>
      </c>
      <c r="AH41" s="18">
        <v>41306</v>
      </c>
      <c r="AI41" s="19">
        <v>471227780</v>
      </c>
    </row>
    <row r="42" spans="2:35">
      <c r="B42" s="18">
        <v>41334</v>
      </c>
      <c r="C42" s="19">
        <v>1467961473</v>
      </c>
      <c r="E42" s="18">
        <v>41334</v>
      </c>
      <c r="F42" s="19">
        <v>2649041543</v>
      </c>
      <c r="I42" s="18">
        <v>41334</v>
      </c>
      <c r="J42" s="19">
        <v>1274631916</v>
      </c>
      <c r="M42" s="18">
        <v>41334</v>
      </c>
      <c r="N42" s="19">
        <v>871349067</v>
      </c>
      <c r="Q42" s="18">
        <v>41334</v>
      </c>
      <c r="R42" s="33">
        <v>1157795498</v>
      </c>
      <c r="S42" s="31">
        <f>VLOOKUP(CurrentMtgRatesDataTable8268459[[#This Row],[issueDate]],CurrentMtgRatesDataTable82684510[#All],2,0)</f>
        <v>2633670399</v>
      </c>
      <c r="T42" s="31">
        <f>VLOOKUP(CurrentMtgRatesDataTable8268459[[#This Row],[issueDate]],CurrentMtgRatesDataTable82684511[#All],2,0)</f>
        <v>1055385357</v>
      </c>
      <c r="U42" s="31">
        <f>VLOOKUP(CurrentMtgRatesDataTable8268459[[#This Row],[issueDate]],CurrentMtgRatesDataTable8262[#All],2,0)</f>
        <v>1467961473</v>
      </c>
      <c r="V42" s="34">
        <f>VLOOKUP(CurrentMtgRatesDataTable8268459[[#This Row],[issueDate]],CurrentMtgRatesDataTable82673[#All],2,0)</f>
        <v>2649041543</v>
      </c>
      <c r="W42" s="34">
        <f>VLOOKUP(CurrentMtgRatesDataTable8268459[[#This Row],[issueDate]],CurrentMtgRatesDataTable82684[#All],2,0)</f>
        <v>1274631916</v>
      </c>
      <c r="X42" s="34">
        <f>VLOOKUP(CurrentMtgRatesDataTable8268459[[#This Row],[issueDate]],CurrentMtgRatesDataTable826845[#All],2,0)</f>
        <v>871349067</v>
      </c>
      <c r="Y42" s="43">
        <f>VLOOKUP(CurrentMtgRatesDataTable8268459[[#This Row],[issueDate]],CurrentMtgRatesDataTable8268451112[#All],2,0)</f>
        <v>384876889</v>
      </c>
      <c r="AA42" s="18">
        <v>41334</v>
      </c>
      <c r="AB42" s="19">
        <v>2633670399</v>
      </c>
      <c r="AC42" s="19"/>
      <c r="AE42" s="18">
        <v>41334</v>
      </c>
      <c r="AF42" s="19">
        <v>1055385357</v>
      </c>
      <c r="AH42" s="18">
        <v>41334</v>
      </c>
      <c r="AI42" s="19">
        <v>384876889</v>
      </c>
    </row>
    <row r="43" spans="2:35">
      <c r="B43" s="18">
        <v>41365</v>
      </c>
      <c r="C43" s="19">
        <v>1543905672</v>
      </c>
      <c r="E43" s="18">
        <v>41365</v>
      </c>
      <c r="F43" s="19">
        <v>2788212008</v>
      </c>
      <c r="I43" s="18">
        <v>41365</v>
      </c>
      <c r="J43" s="19">
        <v>1489937515</v>
      </c>
      <c r="M43" s="18">
        <v>41365</v>
      </c>
      <c r="N43" s="19">
        <v>992634188</v>
      </c>
      <c r="Q43" s="18">
        <v>41365</v>
      </c>
      <c r="R43" s="33">
        <v>1492444337</v>
      </c>
      <c r="S43" s="31">
        <f>VLOOKUP(CurrentMtgRatesDataTable8268459[[#This Row],[issueDate]],CurrentMtgRatesDataTable82684510[#All],2,0)</f>
        <v>2852112763</v>
      </c>
      <c r="T43" s="31">
        <f>VLOOKUP(CurrentMtgRatesDataTable8268459[[#This Row],[issueDate]],CurrentMtgRatesDataTable82684511[#All],2,0)</f>
        <v>1291214195</v>
      </c>
      <c r="U43" s="31">
        <f>VLOOKUP(CurrentMtgRatesDataTable8268459[[#This Row],[issueDate]],CurrentMtgRatesDataTable8262[#All],2,0)</f>
        <v>1543905672</v>
      </c>
      <c r="V43" s="34">
        <f>VLOOKUP(CurrentMtgRatesDataTable8268459[[#This Row],[issueDate]],CurrentMtgRatesDataTable82673[#All],2,0)</f>
        <v>2788212008</v>
      </c>
      <c r="W43" s="34">
        <f>VLOOKUP(CurrentMtgRatesDataTable8268459[[#This Row],[issueDate]],CurrentMtgRatesDataTable82684[#All],2,0)</f>
        <v>1489937515</v>
      </c>
      <c r="X43" s="34">
        <f>VLOOKUP(CurrentMtgRatesDataTable8268459[[#This Row],[issueDate]],CurrentMtgRatesDataTable826845[#All],2,0)</f>
        <v>992634188</v>
      </c>
      <c r="Y43" s="43">
        <f>VLOOKUP(CurrentMtgRatesDataTable8268459[[#This Row],[issueDate]],CurrentMtgRatesDataTable8268451112[#All],2,0)</f>
        <v>566512539</v>
      </c>
      <c r="AA43" s="18">
        <v>41365</v>
      </c>
      <c r="AB43" s="19">
        <v>2852112763</v>
      </c>
      <c r="AC43" s="19"/>
      <c r="AE43" s="18">
        <v>41365</v>
      </c>
      <c r="AF43" s="19">
        <v>1291214195</v>
      </c>
      <c r="AH43" s="18">
        <v>41365</v>
      </c>
      <c r="AI43" s="19">
        <v>566512539</v>
      </c>
    </row>
    <row r="44" spans="2:35">
      <c r="B44" s="18">
        <v>41395</v>
      </c>
      <c r="C44" s="19">
        <v>2072685965</v>
      </c>
      <c r="E44" s="18">
        <v>41395</v>
      </c>
      <c r="F44" s="19">
        <v>3408933720</v>
      </c>
      <c r="I44" s="18">
        <v>41395</v>
      </c>
      <c r="J44" s="19">
        <v>1613997581</v>
      </c>
      <c r="M44" s="18">
        <v>41395</v>
      </c>
      <c r="N44" s="19">
        <v>1059208914</v>
      </c>
      <c r="Q44" s="18">
        <v>41395</v>
      </c>
      <c r="R44" s="33">
        <v>1148597953</v>
      </c>
      <c r="S44" s="31">
        <f>VLOOKUP(CurrentMtgRatesDataTable8268459[[#This Row],[issueDate]],CurrentMtgRatesDataTable82684510[#All],2,0)</f>
        <v>2055564409</v>
      </c>
      <c r="T44" s="31">
        <f>VLOOKUP(CurrentMtgRatesDataTable8268459[[#This Row],[issueDate]],CurrentMtgRatesDataTable82684511[#All],2,0)</f>
        <v>759951414</v>
      </c>
      <c r="U44" s="31">
        <f>VLOOKUP(CurrentMtgRatesDataTable8268459[[#This Row],[issueDate]],CurrentMtgRatesDataTable8262[#All],2,0)</f>
        <v>2072685965</v>
      </c>
      <c r="V44" s="34">
        <f>VLOOKUP(CurrentMtgRatesDataTable8268459[[#This Row],[issueDate]],CurrentMtgRatesDataTable82673[#All],2,0)</f>
        <v>3408933720</v>
      </c>
      <c r="W44" s="34">
        <f>VLOOKUP(CurrentMtgRatesDataTable8268459[[#This Row],[issueDate]],CurrentMtgRatesDataTable82684[#All],2,0)</f>
        <v>1613997581</v>
      </c>
      <c r="X44" s="34">
        <f>VLOOKUP(CurrentMtgRatesDataTable8268459[[#This Row],[issueDate]],CurrentMtgRatesDataTable826845[#All],2,0)</f>
        <v>1059208914</v>
      </c>
      <c r="Y44" s="43">
        <f>VLOOKUP(CurrentMtgRatesDataTable8268459[[#This Row],[issueDate]],CurrentMtgRatesDataTable8268451112[#All],2,0)</f>
        <v>613845982</v>
      </c>
      <c r="AA44" s="18">
        <v>41395</v>
      </c>
      <c r="AB44" s="19">
        <v>2055564409</v>
      </c>
      <c r="AC44" s="19"/>
      <c r="AE44" s="18">
        <v>41395</v>
      </c>
      <c r="AF44" s="19">
        <v>759951414</v>
      </c>
      <c r="AH44" s="18">
        <v>41395</v>
      </c>
      <c r="AI44" s="19">
        <v>613845982</v>
      </c>
    </row>
    <row r="45" spans="2:35">
      <c r="B45" s="18">
        <v>41426</v>
      </c>
      <c r="C45" s="19">
        <v>1781149410</v>
      </c>
      <c r="E45" s="18">
        <v>41426</v>
      </c>
      <c r="F45" s="19">
        <v>3451820960</v>
      </c>
      <c r="I45" s="18">
        <v>41426</v>
      </c>
      <c r="J45" s="19">
        <v>1488014533</v>
      </c>
      <c r="M45" s="18">
        <v>41426</v>
      </c>
      <c r="N45" s="19">
        <v>1017147311</v>
      </c>
      <c r="Q45" s="18">
        <v>41426</v>
      </c>
      <c r="R45" s="33">
        <v>1334786513</v>
      </c>
      <c r="S45" s="31">
        <f>VLOOKUP(CurrentMtgRatesDataTable8268459[[#This Row],[issueDate]],CurrentMtgRatesDataTable82684510[#All],2,0)</f>
        <v>1943388196</v>
      </c>
      <c r="T45" s="31">
        <f>VLOOKUP(CurrentMtgRatesDataTable8268459[[#This Row],[issueDate]],CurrentMtgRatesDataTable82684511[#All],2,0)</f>
        <v>952742573</v>
      </c>
      <c r="U45" s="31">
        <f>VLOOKUP(CurrentMtgRatesDataTable8268459[[#This Row],[issueDate]],CurrentMtgRatesDataTable8262[#All],2,0)</f>
        <v>1781149410</v>
      </c>
      <c r="V45" s="34">
        <f>VLOOKUP(CurrentMtgRatesDataTable8268459[[#This Row],[issueDate]],CurrentMtgRatesDataTable82673[#All],2,0)</f>
        <v>3451820960</v>
      </c>
      <c r="W45" s="34">
        <f>VLOOKUP(CurrentMtgRatesDataTable8268459[[#This Row],[issueDate]],CurrentMtgRatesDataTable82684[#All],2,0)</f>
        <v>1488014533</v>
      </c>
      <c r="X45" s="34">
        <f>VLOOKUP(CurrentMtgRatesDataTable8268459[[#This Row],[issueDate]],CurrentMtgRatesDataTable826845[#All],2,0)</f>
        <v>1017147311</v>
      </c>
      <c r="Y45" s="43">
        <f>VLOOKUP(CurrentMtgRatesDataTable8268459[[#This Row],[issueDate]],CurrentMtgRatesDataTable8268451112[#All],2,0)</f>
        <v>270565881</v>
      </c>
      <c r="AA45" s="18">
        <v>41426</v>
      </c>
      <c r="AB45" s="19">
        <v>1943388196</v>
      </c>
      <c r="AC45" s="19"/>
      <c r="AE45" s="18">
        <v>41426</v>
      </c>
      <c r="AF45" s="19">
        <v>952742573</v>
      </c>
      <c r="AH45" s="18">
        <v>41426</v>
      </c>
      <c r="AI45" s="19">
        <v>270565881</v>
      </c>
    </row>
    <row r="46" spans="2:35">
      <c r="B46" s="18">
        <v>41456</v>
      </c>
      <c r="C46" s="19">
        <v>1445312778</v>
      </c>
      <c r="E46" s="18">
        <v>41456</v>
      </c>
      <c r="F46" s="19">
        <v>2502466250</v>
      </c>
      <c r="I46" s="18">
        <v>41456</v>
      </c>
      <c r="J46" s="19">
        <v>1320498425</v>
      </c>
      <c r="M46" s="18">
        <v>41456</v>
      </c>
      <c r="N46" s="19">
        <v>848431617</v>
      </c>
      <c r="Q46" s="18">
        <v>41456</v>
      </c>
      <c r="R46" s="33">
        <v>1136852477</v>
      </c>
      <c r="S46" s="31">
        <f>VLOOKUP(CurrentMtgRatesDataTable8268459[[#This Row],[issueDate]],CurrentMtgRatesDataTable82684510[#All],2,0)</f>
        <v>1289489011</v>
      </c>
      <c r="T46" s="31">
        <f>VLOOKUP(CurrentMtgRatesDataTable8268459[[#This Row],[issueDate]],CurrentMtgRatesDataTable82684511[#All],2,0)</f>
        <v>744523722</v>
      </c>
      <c r="U46" s="31">
        <f>VLOOKUP(CurrentMtgRatesDataTable8268459[[#This Row],[issueDate]],CurrentMtgRatesDataTable8262[#All],2,0)</f>
        <v>1445312778</v>
      </c>
      <c r="V46" s="34">
        <f>VLOOKUP(CurrentMtgRatesDataTable8268459[[#This Row],[issueDate]],CurrentMtgRatesDataTable82673[#All],2,0)</f>
        <v>2502466250</v>
      </c>
      <c r="W46" s="34">
        <f>VLOOKUP(CurrentMtgRatesDataTable8268459[[#This Row],[issueDate]],CurrentMtgRatesDataTable82684[#All],2,0)</f>
        <v>1320498425</v>
      </c>
      <c r="X46" s="34">
        <f>VLOOKUP(CurrentMtgRatesDataTable8268459[[#This Row],[issueDate]],CurrentMtgRatesDataTable826845[#All],2,0)</f>
        <v>848431617</v>
      </c>
      <c r="Y46" s="43">
        <f>VLOOKUP(CurrentMtgRatesDataTable8268459[[#This Row],[issueDate]],CurrentMtgRatesDataTable8268451112[#All],2,0)</f>
        <v>367541109</v>
      </c>
      <c r="AA46" s="18">
        <v>41456</v>
      </c>
      <c r="AB46" s="19">
        <v>1289489011</v>
      </c>
      <c r="AC46" s="19"/>
      <c r="AE46" s="18">
        <v>41456</v>
      </c>
      <c r="AF46" s="19">
        <v>744523722</v>
      </c>
      <c r="AH46" s="18">
        <v>41456</v>
      </c>
      <c r="AI46" s="19">
        <v>367541109</v>
      </c>
    </row>
    <row r="47" spans="2:35">
      <c r="B47" s="18">
        <v>41487</v>
      </c>
      <c r="C47" s="19">
        <v>1246111687</v>
      </c>
      <c r="E47" s="18">
        <v>41487</v>
      </c>
      <c r="F47" s="19">
        <v>2334148457</v>
      </c>
      <c r="I47" s="18">
        <v>41487</v>
      </c>
      <c r="J47" s="19">
        <v>1276109957</v>
      </c>
      <c r="M47" s="18">
        <v>41487</v>
      </c>
      <c r="N47" s="19">
        <v>850030342</v>
      </c>
      <c r="Q47" s="18">
        <v>41487</v>
      </c>
      <c r="R47" s="33">
        <v>1693674201</v>
      </c>
      <c r="S47" s="31">
        <f>VLOOKUP(CurrentMtgRatesDataTable8268459[[#This Row],[issueDate]],CurrentMtgRatesDataTable82684510[#All],2,0)</f>
        <v>1100083337</v>
      </c>
      <c r="T47" s="31">
        <f>VLOOKUP(CurrentMtgRatesDataTable8268459[[#This Row],[issueDate]],CurrentMtgRatesDataTable82684511[#All],2,0)</f>
        <v>765859354</v>
      </c>
      <c r="U47" s="31">
        <f>VLOOKUP(CurrentMtgRatesDataTable8268459[[#This Row],[issueDate]],CurrentMtgRatesDataTable8262[#All],2,0)</f>
        <v>1246111687</v>
      </c>
      <c r="V47" s="34">
        <f>VLOOKUP(CurrentMtgRatesDataTable8268459[[#This Row],[issueDate]],CurrentMtgRatesDataTable82673[#All],2,0)</f>
        <v>2334148457</v>
      </c>
      <c r="W47" s="34">
        <f>VLOOKUP(CurrentMtgRatesDataTable8268459[[#This Row],[issueDate]],CurrentMtgRatesDataTable82684[#All],2,0)</f>
        <v>1276109957</v>
      </c>
      <c r="X47" s="34">
        <f>VLOOKUP(CurrentMtgRatesDataTable8268459[[#This Row],[issueDate]],CurrentMtgRatesDataTable826845[#All],2,0)</f>
        <v>850030342</v>
      </c>
      <c r="Y47" s="43">
        <f>VLOOKUP(CurrentMtgRatesDataTable8268459[[#This Row],[issueDate]],CurrentMtgRatesDataTable8268451112[#All],2,0)</f>
        <v>413955664</v>
      </c>
      <c r="AA47" s="18">
        <v>41487</v>
      </c>
      <c r="AB47" s="19">
        <v>1100083337</v>
      </c>
      <c r="AC47" s="19"/>
      <c r="AE47" s="18">
        <v>41487</v>
      </c>
      <c r="AF47" s="19">
        <v>765859354</v>
      </c>
      <c r="AH47" s="18">
        <v>41487</v>
      </c>
      <c r="AI47" s="19">
        <v>413955664</v>
      </c>
    </row>
    <row r="48" spans="2:35">
      <c r="B48" s="18">
        <v>41518</v>
      </c>
      <c r="C48" s="19">
        <v>1501130196</v>
      </c>
      <c r="E48" s="18">
        <v>41518</v>
      </c>
      <c r="F48" s="19">
        <v>2584814804</v>
      </c>
      <c r="I48" s="18">
        <v>41518</v>
      </c>
      <c r="J48" s="19">
        <v>1266093495</v>
      </c>
      <c r="M48" s="18">
        <v>41518</v>
      </c>
      <c r="N48" s="19">
        <v>814311406</v>
      </c>
      <c r="Q48" s="18">
        <v>41518</v>
      </c>
      <c r="R48" s="33">
        <v>1340563412</v>
      </c>
      <c r="S48" s="31">
        <f>VLOOKUP(CurrentMtgRatesDataTable8268459[[#This Row],[issueDate]],CurrentMtgRatesDataTable82684510[#All],2,0)</f>
        <v>870671088</v>
      </c>
      <c r="T48" s="31">
        <f>VLOOKUP(CurrentMtgRatesDataTable8268459[[#This Row],[issueDate]],CurrentMtgRatesDataTable82684511[#All],2,0)</f>
        <v>606944301</v>
      </c>
      <c r="U48" s="31">
        <f>VLOOKUP(CurrentMtgRatesDataTable8268459[[#This Row],[issueDate]],CurrentMtgRatesDataTable8262[#All],2,0)</f>
        <v>1501130196</v>
      </c>
      <c r="V48" s="34">
        <f>VLOOKUP(CurrentMtgRatesDataTable8268459[[#This Row],[issueDate]],CurrentMtgRatesDataTable82673[#All],2,0)</f>
        <v>2584814804</v>
      </c>
      <c r="W48" s="34">
        <f>VLOOKUP(CurrentMtgRatesDataTable8268459[[#This Row],[issueDate]],CurrentMtgRatesDataTable82684[#All],2,0)</f>
        <v>1266093495</v>
      </c>
      <c r="X48" s="34">
        <f>VLOOKUP(CurrentMtgRatesDataTable8268459[[#This Row],[issueDate]],CurrentMtgRatesDataTable826845[#All],2,0)</f>
        <v>814311406</v>
      </c>
      <c r="Y48" s="43">
        <f>VLOOKUP(CurrentMtgRatesDataTable8268459[[#This Row],[issueDate]],CurrentMtgRatesDataTable8268451112[#All],2,0)</f>
        <v>309971154</v>
      </c>
      <c r="AA48" s="18">
        <v>41518</v>
      </c>
      <c r="AB48" s="19">
        <v>870671088</v>
      </c>
      <c r="AC48" s="19"/>
      <c r="AE48" s="18">
        <v>41518</v>
      </c>
      <c r="AF48" s="19">
        <v>606944301</v>
      </c>
      <c r="AH48" s="18">
        <v>41518</v>
      </c>
      <c r="AI48" s="19">
        <v>309971154</v>
      </c>
    </row>
    <row r="49" spans="2:35">
      <c r="B49" s="18">
        <v>41548</v>
      </c>
      <c r="C49" s="19">
        <v>1456266951</v>
      </c>
      <c r="E49" s="18">
        <v>41548</v>
      </c>
      <c r="F49" s="19">
        <v>2717052166</v>
      </c>
      <c r="I49" s="18">
        <v>41548</v>
      </c>
      <c r="J49" s="19">
        <v>1245020429</v>
      </c>
      <c r="M49" s="18">
        <v>41548</v>
      </c>
      <c r="N49" s="19">
        <v>831380729</v>
      </c>
      <c r="Q49" s="18">
        <v>41548</v>
      </c>
      <c r="R49" s="33">
        <v>1306448482</v>
      </c>
      <c r="S49" s="31">
        <f>VLOOKUP(CurrentMtgRatesDataTable8268459[[#This Row],[issueDate]],CurrentMtgRatesDataTable82684510[#All],2,0)</f>
        <v>612902147</v>
      </c>
      <c r="T49" s="31">
        <f>VLOOKUP(CurrentMtgRatesDataTable8268459[[#This Row],[issueDate]],CurrentMtgRatesDataTable82684511[#All],2,0)</f>
        <v>542776506</v>
      </c>
      <c r="U49" s="31">
        <f>VLOOKUP(CurrentMtgRatesDataTable8268459[[#This Row],[issueDate]],CurrentMtgRatesDataTable8262[#All],2,0)</f>
        <v>1456266951</v>
      </c>
      <c r="V49" s="34">
        <f>VLOOKUP(CurrentMtgRatesDataTable8268459[[#This Row],[issueDate]],CurrentMtgRatesDataTable82673[#All],2,0)</f>
        <v>2717052166</v>
      </c>
      <c r="W49" s="34">
        <f>VLOOKUP(CurrentMtgRatesDataTable8268459[[#This Row],[issueDate]],CurrentMtgRatesDataTable82684[#All],2,0)</f>
        <v>1245020429</v>
      </c>
      <c r="X49" s="34">
        <f>VLOOKUP(CurrentMtgRatesDataTable8268459[[#This Row],[issueDate]],CurrentMtgRatesDataTable826845[#All],2,0)</f>
        <v>831380729</v>
      </c>
      <c r="Y49" s="43">
        <f>VLOOKUP(CurrentMtgRatesDataTable8268459[[#This Row],[issueDate]],CurrentMtgRatesDataTable8268451112[#All],2,0)</f>
        <v>350101226</v>
      </c>
      <c r="AA49" s="18">
        <v>41548</v>
      </c>
      <c r="AB49" s="19">
        <v>612902147</v>
      </c>
      <c r="AC49" s="19"/>
      <c r="AE49" s="18">
        <v>41548</v>
      </c>
      <c r="AF49" s="19">
        <v>542776506</v>
      </c>
      <c r="AH49" s="18">
        <v>41548</v>
      </c>
      <c r="AI49" s="19">
        <v>350101226</v>
      </c>
    </row>
    <row r="50" spans="2:35">
      <c r="B50" s="18">
        <v>41579</v>
      </c>
      <c r="C50" s="19">
        <v>1082707660</v>
      </c>
      <c r="E50" s="18">
        <v>41579</v>
      </c>
      <c r="F50" s="19">
        <v>2246188518</v>
      </c>
      <c r="I50" s="18">
        <v>41579</v>
      </c>
      <c r="J50" s="19">
        <v>1031662262</v>
      </c>
      <c r="M50" s="18">
        <v>41579</v>
      </c>
      <c r="N50" s="19">
        <v>739554790</v>
      </c>
      <c r="Q50" s="18">
        <v>41579</v>
      </c>
      <c r="R50" s="33">
        <v>1123781504</v>
      </c>
      <c r="S50" s="31">
        <f>VLOOKUP(CurrentMtgRatesDataTable8268459[[#This Row],[issueDate]],CurrentMtgRatesDataTable82684510[#All],2,0)</f>
        <v>461441626</v>
      </c>
      <c r="T50" s="31">
        <f>VLOOKUP(CurrentMtgRatesDataTable8268459[[#This Row],[issueDate]],CurrentMtgRatesDataTable82684511[#All],2,0)</f>
        <v>538507910</v>
      </c>
      <c r="U50" s="31">
        <f>VLOOKUP(CurrentMtgRatesDataTable8268459[[#This Row],[issueDate]],CurrentMtgRatesDataTable8262[#All],2,0)</f>
        <v>1082707660</v>
      </c>
      <c r="V50" s="34">
        <f>VLOOKUP(CurrentMtgRatesDataTable8268459[[#This Row],[issueDate]],CurrentMtgRatesDataTable82673[#All],2,0)</f>
        <v>2246188518</v>
      </c>
      <c r="W50" s="34">
        <f>VLOOKUP(CurrentMtgRatesDataTable8268459[[#This Row],[issueDate]],CurrentMtgRatesDataTable82684[#All],2,0)</f>
        <v>1031662262</v>
      </c>
      <c r="X50" s="34">
        <f>VLOOKUP(CurrentMtgRatesDataTable8268459[[#This Row],[issueDate]],CurrentMtgRatesDataTable826845[#All],2,0)</f>
        <v>739554790</v>
      </c>
      <c r="Y50" s="43">
        <f>VLOOKUP(CurrentMtgRatesDataTable8268459[[#This Row],[issueDate]],CurrentMtgRatesDataTable8268451112[#All],2,0)</f>
        <v>150582671</v>
      </c>
      <c r="AA50" s="18">
        <v>41579</v>
      </c>
      <c r="AB50" s="19">
        <v>461441626</v>
      </c>
      <c r="AC50" s="19"/>
      <c r="AE50" s="18">
        <v>41579</v>
      </c>
      <c r="AF50" s="19">
        <v>538507910</v>
      </c>
      <c r="AH50" s="18">
        <v>41579</v>
      </c>
      <c r="AI50" s="19">
        <v>150582671</v>
      </c>
    </row>
    <row r="51" spans="2:35">
      <c r="B51" s="18">
        <v>41609</v>
      </c>
      <c r="C51" s="19">
        <v>912715644</v>
      </c>
      <c r="E51" s="18">
        <v>41609</v>
      </c>
      <c r="F51" s="19">
        <v>1968902998</v>
      </c>
      <c r="I51" s="18">
        <v>41609</v>
      </c>
      <c r="J51" s="19">
        <v>927091459</v>
      </c>
      <c r="M51" s="18">
        <v>41609</v>
      </c>
      <c r="N51" s="19">
        <v>653400386</v>
      </c>
      <c r="Q51" s="18">
        <v>41609</v>
      </c>
      <c r="R51" s="33">
        <v>978325690</v>
      </c>
      <c r="S51" s="31">
        <f>VLOOKUP(CurrentMtgRatesDataTable8268459[[#This Row],[issueDate]],CurrentMtgRatesDataTable82684510[#All],2,0)</f>
        <v>391322877</v>
      </c>
      <c r="T51" s="31">
        <f>VLOOKUP(CurrentMtgRatesDataTable8268459[[#This Row],[issueDate]],CurrentMtgRatesDataTable82684511[#All],2,0)</f>
        <v>202710742</v>
      </c>
      <c r="U51" s="31">
        <f>VLOOKUP(CurrentMtgRatesDataTable8268459[[#This Row],[issueDate]],CurrentMtgRatesDataTable8262[#All],2,0)</f>
        <v>912715644</v>
      </c>
      <c r="V51" s="34">
        <f>VLOOKUP(CurrentMtgRatesDataTable8268459[[#This Row],[issueDate]],CurrentMtgRatesDataTable82673[#All],2,0)</f>
        <v>1968902998</v>
      </c>
      <c r="W51" s="34">
        <f>VLOOKUP(CurrentMtgRatesDataTable8268459[[#This Row],[issueDate]],CurrentMtgRatesDataTable82684[#All],2,0)</f>
        <v>927091459</v>
      </c>
      <c r="X51" s="34">
        <f>VLOOKUP(CurrentMtgRatesDataTable8268459[[#This Row],[issueDate]],CurrentMtgRatesDataTable826845[#All],2,0)</f>
        <v>653400386</v>
      </c>
      <c r="Y51" s="43">
        <f>VLOOKUP(CurrentMtgRatesDataTable8268459[[#This Row],[issueDate]],CurrentMtgRatesDataTable8268451112[#All],2,0)</f>
        <v>127556041</v>
      </c>
      <c r="AA51" s="18">
        <v>41609</v>
      </c>
      <c r="AB51" s="19">
        <v>391322877</v>
      </c>
      <c r="AC51" s="19"/>
      <c r="AE51" s="18">
        <v>41609</v>
      </c>
      <c r="AF51" s="19">
        <v>202710742</v>
      </c>
      <c r="AH51" s="18">
        <v>41609</v>
      </c>
      <c r="AI51" s="19">
        <v>127556041</v>
      </c>
    </row>
    <row r="52" spans="2:35">
      <c r="B52" s="18">
        <v>41640</v>
      </c>
      <c r="C52" s="19">
        <v>753233777</v>
      </c>
      <c r="E52" s="18">
        <v>41640</v>
      </c>
      <c r="F52" s="19">
        <v>1422002021</v>
      </c>
      <c r="I52" s="18">
        <v>41640</v>
      </c>
      <c r="J52" s="19">
        <v>774247579</v>
      </c>
      <c r="M52" s="18">
        <v>41640</v>
      </c>
      <c r="N52" s="19">
        <v>547635567</v>
      </c>
      <c r="Q52" s="18">
        <v>41640</v>
      </c>
      <c r="R52" s="33">
        <v>572432177</v>
      </c>
      <c r="S52" s="31">
        <f>VLOOKUP(CurrentMtgRatesDataTable8268459[[#This Row],[issueDate]],CurrentMtgRatesDataTable82684510[#All],2,0)</f>
        <v>416855275</v>
      </c>
      <c r="T52" s="31">
        <f>VLOOKUP(CurrentMtgRatesDataTable8268459[[#This Row],[issueDate]],CurrentMtgRatesDataTable82684511[#All],2,0)</f>
        <v>149971420</v>
      </c>
      <c r="U52" s="31">
        <f>VLOOKUP(CurrentMtgRatesDataTable8268459[[#This Row],[issueDate]],CurrentMtgRatesDataTable8262[#All],2,0)</f>
        <v>753233777</v>
      </c>
      <c r="V52" s="34">
        <f>VLOOKUP(CurrentMtgRatesDataTable8268459[[#This Row],[issueDate]],CurrentMtgRatesDataTable82673[#All],2,0)</f>
        <v>1422002021</v>
      </c>
      <c r="W52" s="34">
        <f>VLOOKUP(CurrentMtgRatesDataTable8268459[[#This Row],[issueDate]],CurrentMtgRatesDataTable82684[#All],2,0)</f>
        <v>774247579</v>
      </c>
      <c r="X52" s="34">
        <f>VLOOKUP(CurrentMtgRatesDataTable8268459[[#This Row],[issueDate]],CurrentMtgRatesDataTable826845[#All],2,0)</f>
        <v>547635567</v>
      </c>
      <c r="Y52" s="43">
        <f>VLOOKUP(CurrentMtgRatesDataTable8268459[[#This Row],[issueDate]],CurrentMtgRatesDataTable8268451112[#All],2,0)</f>
        <v>170746135</v>
      </c>
      <c r="AA52" s="18">
        <v>41640</v>
      </c>
      <c r="AB52" s="19">
        <v>416855275</v>
      </c>
      <c r="AC52" s="19"/>
      <c r="AE52" s="18">
        <v>41640</v>
      </c>
      <c r="AF52" s="19">
        <v>149971420</v>
      </c>
      <c r="AH52" s="18">
        <v>41640</v>
      </c>
      <c r="AI52" s="19">
        <v>170746135</v>
      </c>
    </row>
    <row r="53" spans="2:35">
      <c r="B53" s="18">
        <v>41671</v>
      </c>
      <c r="C53" s="19">
        <v>692698264</v>
      </c>
      <c r="E53" s="18">
        <v>41671</v>
      </c>
      <c r="F53" s="19">
        <v>1533737258</v>
      </c>
      <c r="I53" s="18">
        <v>41671</v>
      </c>
      <c r="J53" s="19">
        <v>762318805</v>
      </c>
      <c r="M53" s="18">
        <v>41671</v>
      </c>
      <c r="N53" s="19">
        <v>530622614</v>
      </c>
      <c r="Q53" s="18">
        <v>41671</v>
      </c>
      <c r="R53" s="33">
        <v>946386040</v>
      </c>
      <c r="S53" s="31">
        <f>VLOOKUP(CurrentMtgRatesDataTable8268459[[#This Row],[issueDate]],CurrentMtgRatesDataTable82684510[#All],2,0)</f>
        <v>241808690</v>
      </c>
      <c r="T53" s="31">
        <f>VLOOKUP(CurrentMtgRatesDataTable8268459[[#This Row],[issueDate]],CurrentMtgRatesDataTable82684511[#All],2,0)</f>
        <v>366698500</v>
      </c>
      <c r="U53" s="31">
        <f>VLOOKUP(CurrentMtgRatesDataTable8268459[[#This Row],[issueDate]],CurrentMtgRatesDataTable8262[#All],2,0)</f>
        <v>692698264</v>
      </c>
      <c r="V53" s="34">
        <f>VLOOKUP(CurrentMtgRatesDataTable8268459[[#This Row],[issueDate]],CurrentMtgRatesDataTable82673[#All],2,0)</f>
        <v>1533737258</v>
      </c>
      <c r="W53" s="34">
        <f>VLOOKUP(CurrentMtgRatesDataTable8268459[[#This Row],[issueDate]],CurrentMtgRatesDataTable82684[#All],2,0)</f>
        <v>762318805</v>
      </c>
      <c r="X53" s="34">
        <f>VLOOKUP(CurrentMtgRatesDataTable8268459[[#This Row],[issueDate]],CurrentMtgRatesDataTable826845[#All],2,0)</f>
        <v>530622614</v>
      </c>
      <c r="Y53" s="43">
        <f>VLOOKUP(CurrentMtgRatesDataTable8268459[[#This Row],[issueDate]],CurrentMtgRatesDataTable8268451112[#All],2,0)</f>
        <v>240141159</v>
      </c>
      <c r="AA53" s="18">
        <v>41671</v>
      </c>
      <c r="AB53" s="19">
        <v>241808690</v>
      </c>
      <c r="AC53" s="19"/>
      <c r="AE53" s="18">
        <v>41671</v>
      </c>
      <c r="AF53" s="19">
        <v>366698500</v>
      </c>
      <c r="AH53" s="18">
        <v>41671</v>
      </c>
      <c r="AI53" s="19">
        <v>240141159</v>
      </c>
    </row>
    <row r="54" spans="2:35">
      <c r="B54" s="18">
        <v>41699</v>
      </c>
      <c r="C54" s="19">
        <v>790379142</v>
      </c>
      <c r="E54" s="18">
        <v>41699</v>
      </c>
      <c r="F54" s="19">
        <v>1420307904</v>
      </c>
      <c r="I54" s="18">
        <v>41699</v>
      </c>
      <c r="J54" s="19">
        <v>640834869</v>
      </c>
      <c r="M54" s="18">
        <v>41699</v>
      </c>
      <c r="N54" s="19">
        <v>451781700</v>
      </c>
      <c r="Q54" s="18">
        <v>41699</v>
      </c>
      <c r="R54" s="33">
        <v>897364263</v>
      </c>
      <c r="S54" s="31">
        <f>VLOOKUP(CurrentMtgRatesDataTable8268459[[#This Row],[issueDate]],CurrentMtgRatesDataTable82684510[#All],2,0)</f>
        <v>170464932</v>
      </c>
      <c r="T54" s="31">
        <f>VLOOKUP(CurrentMtgRatesDataTable8268459[[#This Row],[issueDate]],CurrentMtgRatesDataTable82684511[#All],2,0)</f>
        <v>310202041</v>
      </c>
      <c r="U54" s="31">
        <f>VLOOKUP(CurrentMtgRatesDataTable8268459[[#This Row],[issueDate]],CurrentMtgRatesDataTable8262[#All],2,0)</f>
        <v>790379142</v>
      </c>
      <c r="V54" s="34">
        <f>VLOOKUP(CurrentMtgRatesDataTable8268459[[#This Row],[issueDate]],CurrentMtgRatesDataTable82673[#All],2,0)</f>
        <v>1420307904</v>
      </c>
      <c r="W54" s="34">
        <f>VLOOKUP(CurrentMtgRatesDataTable8268459[[#This Row],[issueDate]],CurrentMtgRatesDataTable82684[#All],2,0)</f>
        <v>640834869</v>
      </c>
      <c r="X54" s="34">
        <f>VLOOKUP(CurrentMtgRatesDataTable8268459[[#This Row],[issueDate]],CurrentMtgRatesDataTable826845[#All],2,0)</f>
        <v>451781700</v>
      </c>
      <c r="Y54" s="43">
        <f>VLOOKUP(CurrentMtgRatesDataTable8268459[[#This Row],[issueDate]],CurrentMtgRatesDataTable8268451112[#All],2,0)</f>
        <v>250520733</v>
      </c>
      <c r="AA54" s="18">
        <v>41699</v>
      </c>
      <c r="AB54" s="19">
        <v>170464932</v>
      </c>
      <c r="AC54" s="19"/>
      <c r="AE54" s="18">
        <v>41699</v>
      </c>
      <c r="AF54" s="19">
        <v>310202041</v>
      </c>
      <c r="AH54" s="18">
        <v>41699</v>
      </c>
      <c r="AI54" s="19">
        <v>250520733</v>
      </c>
    </row>
    <row r="55" spans="2:35">
      <c r="B55" s="18">
        <v>41730</v>
      </c>
      <c r="C55" s="19">
        <v>646472868</v>
      </c>
      <c r="E55" s="18">
        <v>41730</v>
      </c>
      <c r="F55" s="19">
        <v>1497603189</v>
      </c>
      <c r="I55" s="18">
        <v>41730</v>
      </c>
      <c r="J55" s="19">
        <v>691225048</v>
      </c>
      <c r="M55" s="18">
        <v>41730</v>
      </c>
      <c r="N55" s="19">
        <v>487340334</v>
      </c>
      <c r="Q55" s="18">
        <v>41730</v>
      </c>
      <c r="R55" s="33">
        <v>1001427874</v>
      </c>
      <c r="S55" s="31">
        <f>VLOOKUP(CurrentMtgRatesDataTable8268459[[#This Row],[issueDate]],CurrentMtgRatesDataTable82684510[#All],2,0)</f>
        <v>113376698</v>
      </c>
      <c r="T55" s="31">
        <f>VLOOKUP(CurrentMtgRatesDataTable8268459[[#This Row],[issueDate]],CurrentMtgRatesDataTable82684511[#All],2,0)</f>
        <v>120692903</v>
      </c>
      <c r="U55" s="31">
        <f>VLOOKUP(CurrentMtgRatesDataTable8268459[[#This Row],[issueDate]],CurrentMtgRatesDataTable8262[#All],2,0)</f>
        <v>646472868</v>
      </c>
      <c r="V55" s="34">
        <f>VLOOKUP(CurrentMtgRatesDataTable8268459[[#This Row],[issueDate]],CurrentMtgRatesDataTable82673[#All],2,0)</f>
        <v>1497603189</v>
      </c>
      <c r="W55" s="34">
        <f>VLOOKUP(CurrentMtgRatesDataTable8268459[[#This Row],[issueDate]],CurrentMtgRatesDataTable82684[#All],2,0)</f>
        <v>691225048</v>
      </c>
      <c r="X55" s="34">
        <f>VLOOKUP(CurrentMtgRatesDataTable8268459[[#This Row],[issueDate]],CurrentMtgRatesDataTable826845[#All],2,0)</f>
        <v>487340334</v>
      </c>
      <c r="Y55" s="43">
        <f>VLOOKUP(CurrentMtgRatesDataTable8268459[[#This Row],[issueDate]],CurrentMtgRatesDataTable8268451112[#All],2,0)</f>
        <v>202186828</v>
      </c>
      <c r="AA55" s="18">
        <v>41730</v>
      </c>
      <c r="AB55" s="19">
        <v>113376698</v>
      </c>
      <c r="AC55" s="19"/>
      <c r="AE55" s="18">
        <v>41730</v>
      </c>
      <c r="AF55" s="19">
        <v>120692903</v>
      </c>
      <c r="AH55" s="18">
        <v>41730</v>
      </c>
      <c r="AI55" s="19">
        <v>202186828</v>
      </c>
    </row>
    <row r="56" spans="2:35">
      <c r="B56" s="18">
        <v>41760</v>
      </c>
      <c r="C56" s="19">
        <v>948228084</v>
      </c>
      <c r="E56" s="18">
        <v>41760</v>
      </c>
      <c r="F56" s="19">
        <v>1628653688</v>
      </c>
      <c r="I56" s="18">
        <v>41760</v>
      </c>
      <c r="J56" s="19">
        <v>741338946</v>
      </c>
      <c r="M56" s="18">
        <v>41760</v>
      </c>
      <c r="N56" s="19">
        <v>509914149</v>
      </c>
      <c r="Q56" s="18">
        <v>41760</v>
      </c>
      <c r="R56" s="33">
        <v>1092791433</v>
      </c>
      <c r="S56" s="31">
        <f>VLOOKUP(CurrentMtgRatesDataTable8268459[[#This Row],[issueDate]],CurrentMtgRatesDataTable82684510[#All],2,0)</f>
        <v>129006135</v>
      </c>
      <c r="T56" s="31">
        <f>VLOOKUP(CurrentMtgRatesDataTable8268459[[#This Row],[issueDate]],CurrentMtgRatesDataTable82684511[#All],2,0)</f>
        <v>138342395</v>
      </c>
      <c r="U56" s="31">
        <f>VLOOKUP(CurrentMtgRatesDataTable8268459[[#This Row],[issueDate]],CurrentMtgRatesDataTable8262[#All],2,0)</f>
        <v>948228084</v>
      </c>
      <c r="V56" s="34">
        <f>VLOOKUP(CurrentMtgRatesDataTable8268459[[#This Row],[issueDate]],CurrentMtgRatesDataTable82673[#All],2,0)</f>
        <v>1628653688</v>
      </c>
      <c r="W56" s="34">
        <f>VLOOKUP(CurrentMtgRatesDataTable8268459[[#This Row],[issueDate]],CurrentMtgRatesDataTable82684[#All],2,0)</f>
        <v>741338946</v>
      </c>
      <c r="X56" s="34">
        <f>VLOOKUP(CurrentMtgRatesDataTable8268459[[#This Row],[issueDate]],CurrentMtgRatesDataTable826845[#All],2,0)</f>
        <v>509914149</v>
      </c>
      <c r="Y56" s="43">
        <f>VLOOKUP(CurrentMtgRatesDataTable8268459[[#This Row],[issueDate]],CurrentMtgRatesDataTable8268451112[#All],2,0)</f>
        <v>203658897</v>
      </c>
      <c r="AA56" s="18">
        <v>41760</v>
      </c>
      <c r="AB56" s="19">
        <v>129006135</v>
      </c>
      <c r="AC56" s="19"/>
      <c r="AE56" s="18">
        <v>41760</v>
      </c>
      <c r="AF56" s="19">
        <v>138342395</v>
      </c>
      <c r="AH56" s="18">
        <v>41760</v>
      </c>
      <c r="AI56" s="19">
        <v>203658897</v>
      </c>
    </row>
    <row r="57" spans="2:35">
      <c r="B57" s="18">
        <v>41791</v>
      </c>
      <c r="C57" s="19">
        <v>1098455565</v>
      </c>
      <c r="E57" s="18">
        <v>41791</v>
      </c>
      <c r="F57" s="19">
        <v>1825687394</v>
      </c>
      <c r="I57" s="18">
        <v>41791</v>
      </c>
      <c r="J57" s="19">
        <v>841543380</v>
      </c>
      <c r="M57" s="18">
        <v>41791</v>
      </c>
      <c r="N57" s="19">
        <v>536380498</v>
      </c>
      <c r="Q57" s="18">
        <v>41791</v>
      </c>
      <c r="R57" s="33">
        <v>1270617090</v>
      </c>
      <c r="S57" s="31">
        <f>VLOOKUP(CurrentMtgRatesDataTable8268459[[#This Row],[issueDate]],CurrentMtgRatesDataTable82684510[#All],2,0)</f>
        <v>154253949</v>
      </c>
      <c r="T57" s="31">
        <f>VLOOKUP(CurrentMtgRatesDataTable8268459[[#This Row],[issueDate]],CurrentMtgRatesDataTable82684511[#All],2,0)</f>
        <v>179699486</v>
      </c>
      <c r="U57" s="31">
        <f>VLOOKUP(CurrentMtgRatesDataTable8268459[[#This Row],[issueDate]],CurrentMtgRatesDataTable8262[#All],2,0)</f>
        <v>1098455565</v>
      </c>
      <c r="V57" s="34">
        <f>VLOOKUP(CurrentMtgRatesDataTable8268459[[#This Row],[issueDate]],CurrentMtgRatesDataTable82673[#All],2,0)</f>
        <v>1825687394</v>
      </c>
      <c r="W57" s="34">
        <f>VLOOKUP(CurrentMtgRatesDataTable8268459[[#This Row],[issueDate]],CurrentMtgRatesDataTable82684[#All],2,0)</f>
        <v>841543380</v>
      </c>
      <c r="X57" s="34">
        <f>VLOOKUP(CurrentMtgRatesDataTable8268459[[#This Row],[issueDate]],CurrentMtgRatesDataTable826845[#All],2,0)</f>
        <v>536380498</v>
      </c>
      <c r="Y57" s="43">
        <f>VLOOKUP(CurrentMtgRatesDataTable8268459[[#This Row],[issueDate]],CurrentMtgRatesDataTable8268451112[#All],2,0)</f>
        <v>246872778</v>
      </c>
      <c r="AA57" s="18">
        <v>41791</v>
      </c>
      <c r="AB57" s="19">
        <v>154253949</v>
      </c>
      <c r="AC57" s="19"/>
      <c r="AE57" s="18">
        <v>41791</v>
      </c>
      <c r="AF57" s="19">
        <v>179699486</v>
      </c>
      <c r="AH57" s="18">
        <v>41791</v>
      </c>
      <c r="AI57" s="19">
        <v>246872778</v>
      </c>
    </row>
    <row r="58" spans="2:35">
      <c r="B58" s="18">
        <v>41821</v>
      </c>
      <c r="C58" s="19">
        <v>1362312518</v>
      </c>
      <c r="E58" s="18">
        <v>41821</v>
      </c>
      <c r="F58" s="19">
        <v>1970336632</v>
      </c>
      <c r="I58" s="18">
        <v>41821</v>
      </c>
      <c r="J58" s="19">
        <v>948547505</v>
      </c>
      <c r="M58" s="18">
        <v>41821</v>
      </c>
      <c r="N58" s="19">
        <v>615297563</v>
      </c>
      <c r="Q58" s="18">
        <v>41821</v>
      </c>
      <c r="R58" s="33">
        <v>1750904626</v>
      </c>
      <c r="S58" s="31">
        <f>VLOOKUP(CurrentMtgRatesDataTable8268459[[#This Row],[issueDate]],CurrentMtgRatesDataTable82684510[#All],2,0)</f>
        <v>165894730</v>
      </c>
      <c r="T58" s="31">
        <f>VLOOKUP(CurrentMtgRatesDataTable8268459[[#This Row],[issueDate]],CurrentMtgRatesDataTable82684511[#All],2,0)</f>
        <v>257151893</v>
      </c>
      <c r="U58" s="31">
        <f>VLOOKUP(CurrentMtgRatesDataTable8268459[[#This Row],[issueDate]],CurrentMtgRatesDataTable8262[#All],2,0)</f>
        <v>1362312518</v>
      </c>
      <c r="V58" s="34">
        <f>VLOOKUP(CurrentMtgRatesDataTable8268459[[#This Row],[issueDate]],CurrentMtgRatesDataTable82673[#All],2,0)</f>
        <v>1970336632</v>
      </c>
      <c r="W58" s="34">
        <f>VLOOKUP(CurrentMtgRatesDataTable8268459[[#This Row],[issueDate]],CurrentMtgRatesDataTable82684[#All],2,0)</f>
        <v>948547505</v>
      </c>
      <c r="X58" s="34">
        <f>VLOOKUP(CurrentMtgRatesDataTable8268459[[#This Row],[issueDate]],CurrentMtgRatesDataTable826845[#All],2,0)</f>
        <v>615297563</v>
      </c>
      <c r="Y58" s="43">
        <f>VLOOKUP(CurrentMtgRatesDataTable8268459[[#This Row],[issueDate]],CurrentMtgRatesDataTable8268451112[#All],2,0)</f>
        <v>211430835</v>
      </c>
      <c r="AA58" s="18">
        <v>41821</v>
      </c>
      <c r="AB58" s="19">
        <v>165894730</v>
      </c>
      <c r="AC58" s="19"/>
      <c r="AE58" s="18">
        <v>41821</v>
      </c>
      <c r="AF58" s="19">
        <v>257151893</v>
      </c>
      <c r="AH58" s="18">
        <v>41821</v>
      </c>
      <c r="AI58" s="19">
        <v>211430835</v>
      </c>
    </row>
    <row r="59" spans="2:35">
      <c r="B59" s="18">
        <v>41852</v>
      </c>
      <c r="C59" s="19">
        <v>1177932387</v>
      </c>
      <c r="E59" s="18">
        <v>41852</v>
      </c>
      <c r="F59" s="19">
        <v>1859701155</v>
      </c>
      <c r="I59" s="18">
        <v>41852</v>
      </c>
      <c r="J59" s="19">
        <v>838626733</v>
      </c>
      <c r="M59" s="18">
        <v>41852</v>
      </c>
      <c r="N59" s="19">
        <v>539726383</v>
      </c>
      <c r="Q59" s="18">
        <v>41852</v>
      </c>
      <c r="R59" s="33">
        <v>1440447783</v>
      </c>
      <c r="S59" s="31">
        <f>VLOOKUP(CurrentMtgRatesDataTable8268459[[#This Row],[issueDate]],CurrentMtgRatesDataTable82684510[#All],2,0)</f>
        <v>139663674</v>
      </c>
      <c r="T59" s="31">
        <f>VLOOKUP(CurrentMtgRatesDataTable8268459[[#This Row],[issueDate]],CurrentMtgRatesDataTable82684511[#All],2,0)</f>
        <v>289485869</v>
      </c>
      <c r="U59" s="31">
        <f>VLOOKUP(CurrentMtgRatesDataTable8268459[[#This Row],[issueDate]],CurrentMtgRatesDataTable8262[#All],2,0)</f>
        <v>1177932387</v>
      </c>
      <c r="V59" s="34">
        <f>VLOOKUP(CurrentMtgRatesDataTable8268459[[#This Row],[issueDate]],CurrentMtgRatesDataTable82673[#All],2,0)</f>
        <v>1859701155</v>
      </c>
      <c r="W59" s="34">
        <f>VLOOKUP(CurrentMtgRatesDataTable8268459[[#This Row],[issueDate]],CurrentMtgRatesDataTable82684[#All],2,0)</f>
        <v>838626733</v>
      </c>
      <c r="X59" s="34">
        <f>VLOOKUP(CurrentMtgRatesDataTable8268459[[#This Row],[issueDate]],CurrentMtgRatesDataTable826845[#All],2,0)</f>
        <v>539726383</v>
      </c>
      <c r="Y59" s="43">
        <f>VLOOKUP(CurrentMtgRatesDataTable8268459[[#This Row],[issueDate]],CurrentMtgRatesDataTable8268451112[#All],2,0)</f>
        <v>276998174</v>
      </c>
      <c r="AA59" s="18">
        <v>41852</v>
      </c>
      <c r="AB59" s="19">
        <v>139663674</v>
      </c>
      <c r="AC59" s="19"/>
      <c r="AE59" s="18">
        <v>41852</v>
      </c>
      <c r="AF59" s="19">
        <v>289485869</v>
      </c>
      <c r="AH59" s="18">
        <v>41852</v>
      </c>
      <c r="AI59" s="19">
        <v>276998174</v>
      </c>
    </row>
    <row r="60" spans="2:35">
      <c r="B60" s="18">
        <v>41883</v>
      </c>
      <c r="C60" s="19">
        <v>1414370804</v>
      </c>
      <c r="E60" s="18">
        <v>41883</v>
      </c>
      <c r="F60" s="19">
        <v>2318704927</v>
      </c>
      <c r="I60" s="18">
        <v>41883</v>
      </c>
      <c r="J60" s="19">
        <v>1016058366</v>
      </c>
      <c r="M60" s="18">
        <v>41883</v>
      </c>
      <c r="N60" s="19">
        <v>606670934</v>
      </c>
      <c r="Q60" s="18">
        <v>41883</v>
      </c>
      <c r="R60" s="33">
        <v>1381851236</v>
      </c>
      <c r="S60" s="31">
        <f>VLOOKUP(CurrentMtgRatesDataTable8268459[[#This Row],[issueDate]],CurrentMtgRatesDataTable82684510[#All],2,0)</f>
        <v>178036037</v>
      </c>
      <c r="T60" s="31">
        <f>VLOOKUP(CurrentMtgRatesDataTable8268459[[#This Row],[issueDate]],CurrentMtgRatesDataTable82684511[#All],2,0)</f>
        <v>119562446</v>
      </c>
      <c r="U60" s="31">
        <f>VLOOKUP(CurrentMtgRatesDataTable8268459[[#This Row],[issueDate]],CurrentMtgRatesDataTable8262[#All],2,0)</f>
        <v>1414370804</v>
      </c>
      <c r="V60" s="34">
        <f>VLOOKUP(CurrentMtgRatesDataTable8268459[[#This Row],[issueDate]],CurrentMtgRatesDataTable82673[#All],2,0)</f>
        <v>2318704927</v>
      </c>
      <c r="W60" s="34">
        <f>VLOOKUP(CurrentMtgRatesDataTable8268459[[#This Row],[issueDate]],CurrentMtgRatesDataTable82684[#All],2,0)</f>
        <v>1016058366</v>
      </c>
      <c r="X60" s="34">
        <f>VLOOKUP(CurrentMtgRatesDataTable8268459[[#This Row],[issueDate]],CurrentMtgRatesDataTable826845[#All],2,0)</f>
        <v>606670934</v>
      </c>
      <c r="Y60" s="43">
        <f>VLOOKUP(CurrentMtgRatesDataTable8268459[[#This Row],[issueDate]],CurrentMtgRatesDataTable8268451112[#All],2,0)</f>
        <v>462313636</v>
      </c>
      <c r="AA60" s="18">
        <v>41883</v>
      </c>
      <c r="AB60" s="19">
        <v>178036037</v>
      </c>
      <c r="AC60" s="19"/>
      <c r="AE60" s="18">
        <v>41883</v>
      </c>
      <c r="AF60" s="19">
        <v>119562446</v>
      </c>
      <c r="AH60" s="18">
        <v>41883</v>
      </c>
      <c r="AI60" s="19">
        <v>462313636</v>
      </c>
    </row>
    <row r="61" spans="2:35">
      <c r="B61" s="18">
        <v>41913</v>
      </c>
      <c r="C61" s="19">
        <v>1266666906</v>
      </c>
      <c r="E61" s="18">
        <v>41913</v>
      </c>
      <c r="F61" s="19">
        <v>2160542217</v>
      </c>
      <c r="I61" s="18">
        <v>41913</v>
      </c>
      <c r="J61" s="19">
        <v>964288761</v>
      </c>
      <c r="M61" s="18">
        <v>41913</v>
      </c>
      <c r="N61" s="19">
        <v>684935689</v>
      </c>
      <c r="Q61" s="18">
        <v>41913</v>
      </c>
      <c r="R61" s="33">
        <v>1806383113</v>
      </c>
      <c r="S61" s="31">
        <f>VLOOKUP(CurrentMtgRatesDataTable8268459[[#This Row],[issueDate]],CurrentMtgRatesDataTable82684510[#All],2,0)</f>
        <v>191321043</v>
      </c>
      <c r="T61" s="31">
        <f>VLOOKUP(CurrentMtgRatesDataTable8268459[[#This Row],[issueDate]],CurrentMtgRatesDataTable82684511[#All],2,0)</f>
        <v>276556307</v>
      </c>
      <c r="U61" s="31">
        <f>VLOOKUP(CurrentMtgRatesDataTable8268459[[#This Row],[issueDate]],CurrentMtgRatesDataTable8262[#All],2,0)</f>
        <v>1266666906</v>
      </c>
      <c r="V61" s="34">
        <f>VLOOKUP(CurrentMtgRatesDataTable8268459[[#This Row],[issueDate]],CurrentMtgRatesDataTable82673[#All],2,0)</f>
        <v>2160542217</v>
      </c>
      <c r="W61" s="34">
        <f>VLOOKUP(CurrentMtgRatesDataTable8268459[[#This Row],[issueDate]],CurrentMtgRatesDataTable82684[#All],2,0)</f>
        <v>964288761</v>
      </c>
      <c r="X61" s="34">
        <f>VLOOKUP(CurrentMtgRatesDataTable8268459[[#This Row],[issueDate]],CurrentMtgRatesDataTable826845[#All],2,0)</f>
        <v>684935689</v>
      </c>
      <c r="Y61" s="43">
        <f>VLOOKUP(CurrentMtgRatesDataTable8268459[[#This Row],[issueDate]],CurrentMtgRatesDataTable8268451112[#All],2,0)</f>
        <v>379700201</v>
      </c>
      <c r="AA61" s="18">
        <v>41913</v>
      </c>
      <c r="AB61" s="19">
        <v>191321043</v>
      </c>
      <c r="AC61" s="19"/>
      <c r="AE61" s="18">
        <v>41913</v>
      </c>
      <c r="AF61" s="19">
        <v>276556307</v>
      </c>
      <c r="AH61" s="18">
        <v>41913</v>
      </c>
      <c r="AI61" s="19">
        <v>379700201</v>
      </c>
    </row>
    <row r="62" spans="2:35">
      <c r="B62" s="18">
        <v>41944</v>
      </c>
      <c r="C62" s="19">
        <v>1023640722</v>
      </c>
      <c r="E62" s="18">
        <v>41944</v>
      </c>
      <c r="F62" s="19">
        <v>1978634063</v>
      </c>
      <c r="I62" s="18">
        <v>41944</v>
      </c>
      <c r="J62" s="19">
        <v>899041301</v>
      </c>
      <c r="M62" s="18">
        <v>41944</v>
      </c>
      <c r="N62" s="19">
        <v>640024574</v>
      </c>
      <c r="Q62" s="18">
        <v>41944</v>
      </c>
      <c r="R62" s="33">
        <v>631309303</v>
      </c>
      <c r="S62" s="31">
        <f>VLOOKUP(CurrentMtgRatesDataTable8268459[[#This Row],[issueDate]],CurrentMtgRatesDataTable82684510[#All],2,0)</f>
        <v>146483603</v>
      </c>
      <c r="T62" s="31">
        <f>VLOOKUP(CurrentMtgRatesDataTable8268459[[#This Row],[issueDate]],CurrentMtgRatesDataTable82684511[#All],2,0)</f>
        <v>151604932</v>
      </c>
      <c r="U62" s="31">
        <f>VLOOKUP(CurrentMtgRatesDataTable8268459[[#This Row],[issueDate]],CurrentMtgRatesDataTable8262[#All],2,0)</f>
        <v>1023640722</v>
      </c>
      <c r="V62" s="34">
        <f>VLOOKUP(CurrentMtgRatesDataTable8268459[[#This Row],[issueDate]],CurrentMtgRatesDataTable82673[#All],2,0)</f>
        <v>1978634063</v>
      </c>
      <c r="W62" s="34">
        <f>VLOOKUP(CurrentMtgRatesDataTable8268459[[#This Row],[issueDate]],CurrentMtgRatesDataTable82684[#All],2,0)</f>
        <v>899041301</v>
      </c>
      <c r="X62" s="34">
        <f>VLOOKUP(CurrentMtgRatesDataTable8268459[[#This Row],[issueDate]],CurrentMtgRatesDataTable826845[#All],2,0)</f>
        <v>640024574</v>
      </c>
      <c r="Y62" s="43">
        <f>VLOOKUP(CurrentMtgRatesDataTable8268459[[#This Row],[issueDate]],CurrentMtgRatesDataTable8268451112[#All],2,0)</f>
        <v>194118752</v>
      </c>
      <c r="AA62" s="18">
        <v>41944</v>
      </c>
      <c r="AB62" s="19">
        <v>146483603</v>
      </c>
      <c r="AC62" s="19"/>
      <c r="AE62" s="18">
        <v>41944</v>
      </c>
      <c r="AF62" s="19">
        <v>151604932</v>
      </c>
      <c r="AH62" s="18">
        <v>41944</v>
      </c>
      <c r="AI62" s="19">
        <v>194118752</v>
      </c>
    </row>
    <row r="63" spans="2:35">
      <c r="B63" s="18">
        <v>41974</v>
      </c>
      <c r="C63" s="19">
        <v>1010410896</v>
      </c>
      <c r="E63" s="18">
        <v>41974</v>
      </c>
      <c r="F63" s="19">
        <v>2069052260</v>
      </c>
      <c r="I63" s="18">
        <v>41974</v>
      </c>
      <c r="J63" s="19">
        <v>997895137</v>
      </c>
      <c r="M63" s="18">
        <v>41974</v>
      </c>
      <c r="N63" s="19">
        <v>622883709</v>
      </c>
      <c r="Q63" s="18">
        <v>41974</v>
      </c>
      <c r="R63" s="33">
        <v>1487383145</v>
      </c>
      <c r="S63" s="31">
        <f>VLOOKUP(CurrentMtgRatesDataTable8268459[[#This Row],[issueDate]],CurrentMtgRatesDataTable82684510[#All],2,0)</f>
        <v>156006867</v>
      </c>
      <c r="T63" s="31">
        <f>VLOOKUP(CurrentMtgRatesDataTable8268459[[#This Row],[issueDate]],CurrentMtgRatesDataTable82684511[#All],2,0)</f>
        <v>523016982</v>
      </c>
      <c r="U63" s="31">
        <f>VLOOKUP(CurrentMtgRatesDataTable8268459[[#This Row],[issueDate]],CurrentMtgRatesDataTable8262[#All],2,0)</f>
        <v>1010410896</v>
      </c>
      <c r="V63" s="34">
        <f>VLOOKUP(CurrentMtgRatesDataTable8268459[[#This Row],[issueDate]],CurrentMtgRatesDataTable82673[#All],2,0)</f>
        <v>2069052260</v>
      </c>
      <c r="W63" s="34">
        <f>VLOOKUP(CurrentMtgRatesDataTable8268459[[#This Row],[issueDate]],CurrentMtgRatesDataTable82684[#All],2,0)</f>
        <v>997895137</v>
      </c>
      <c r="X63" s="34">
        <f>VLOOKUP(CurrentMtgRatesDataTable8268459[[#This Row],[issueDate]],CurrentMtgRatesDataTable826845[#All],2,0)</f>
        <v>622883709</v>
      </c>
      <c r="Y63" s="43">
        <f>VLOOKUP(CurrentMtgRatesDataTable8268459[[#This Row],[issueDate]],CurrentMtgRatesDataTable8268451112[#All],2,0)</f>
        <v>703716463</v>
      </c>
      <c r="AA63" s="18">
        <v>41974</v>
      </c>
      <c r="AB63" s="19">
        <v>156006867</v>
      </c>
      <c r="AC63" s="19"/>
      <c r="AE63" s="18">
        <v>41974</v>
      </c>
      <c r="AF63" s="19">
        <v>523016982</v>
      </c>
      <c r="AH63" s="18">
        <v>41974</v>
      </c>
      <c r="AI63" s="19">
        <v>703716463</v>
      </c>
    </row>
    <row r="64" spans="2:35">
      <c r="B64" s="18">
        <v>42005</v>
      </c>
      <c r="C64" s="19">
        <v>925240314</v>
      </c>
      <c r="E64" s="18">
        <v>42005</v>
      </c>
      <c r="F64" s="19">
        <v>1865203347</v>
      </c>
      <c r="I64" s="18">
        <v>42005</v>
      </c>
      <c r="J64" s="19">
        <v>800249464</v>
      </c>
      <c r="M64" s="18">
        <v>42005</v>
      </c>
      <c r="N64" s="19">
        <v>579122513</v>
      </c>
      <c r="Q64" s="18">
        <v>42005</v>
      </c>
      <c r="R64" s="33">
        <v>1351487033</v>
      </c>
      <c r="S64" s="31">
        <f>VLOOKUP(CurrentMtgRatesDataTable8268459[[#This Row],[issueDate]],CurrentMtgRatesDataTable82684510[#All],2,0)</f>
        <v>101114385</v>
      </c>
      <c r="T64" s="31">
        <f>VLOOKUP(CurrentMtgRatesDataTable8268459[[#This Row],[issueDate]],CurrentMtgRatesDataTable82684511[#All],2,0)</f>
        <v>116714969</v>
      </c>
      <c r="U64" s="31">
        <f>VLOOKUP(CurrentMtgRatesDataTable8268459[[#This Row],[issueDate]],CurrentMtgRatesDataTable8262[#All],2,0)</f>
        <v>925240314</v>
      </c>
      <c r="V64" s="34">
        <f>VLOOKUP(CurrentMtgRatesDataTable8268459[[#This Row],[issueDate]],CurrentMtgRatesDataTable82673[#All],2,0)</f>
        <v>1865203347</v>
      </c>
      <c r="W64" s="34">
        <f>VLOOKUP(CurrentMtgRatesDataTable8268459[[#This Row],[issueDate]],CurrentMtgRatesDataTable82684[#All],2,0)</f>
        <v>800249464</v>
      </c>
      <c r="X64" s="34">
        <f>VLOOKUP(CurrentMtgRatesDataTable8268459[[#This Row],[issueDate]],CurrentMtgRatesDataTable826845[#All],2,0)</f>
        <v>579122513</v>
      </c>
      <c r="Y64" s="43">
        <f>VLOOKUP(CurrentMtgRatesDataTable8268459[[#This Row],[issueDate]],CurrentMtgRatesDataTable8268451112[#All],2,0)</f>
        <v>407296377</v>
      </c>
      <c r="AA64" s="18">
        <v>42005</v>
      </c>
      <c r="AB64" s="19">
        <v>101114385</v>
      </c>
      <c r="AC64" s="19"/>
      <c r="AE64" s="18">
        <v>42005</v>
      </c>
      <c r="AF64" s="19">
        <v>116714969</v>
      </c>
      <c r="AH64" s="18">
        <v>42005</v>
      </c>
      <c r="AI64" s="19">
        <v>407296377</v>
      </c>
    </row>
    <row r="65" spans="2:35">
      <c r="B65" s="18">
        <v>42036</v>
      </c>
      <c r="C65" s="19">
        <v>1158064789</v>
      </c>
      <c r="E65" s="18">
        <v>42036</v>
      </c>
      <c r="F65" s="19">
        <v>1839649584</v>
      </c>
      <c r="I65" s="18">
        <v>42036</v>
      </c>
      <c r="J65" s="19">
        <v>820428248</v>
      </c>
      <c r="M65" s="18">
        <v>42036</v>
      </c>
      <c r="N65" s="19">
        <v>527566040</v>
      </c>
      <c r="Q65" s="18">
        <v>42036</v>
      </c>
      <c r="R65" s="33">
        <v>1869668083</v>
      </c>
      <c r="S65" s="31">
        <f>VLOOKUP(CurrentMtgRatesDataTable8268459[[#This Row],[issueDate]],CurrentMtgRatesDataTable82684510[#All],2,0)</f>
        <v>88755102</v>
      </c>
      <c r="T65" s="31">
        <f>VLOOKUP(CurrentMtgRatesDataTable8268459[[#This Row],[issueDate]],CurrentMtgRatesDataTable82684511[#All],2,0)</f>
        <v>100420654</v>
      </c>
      <c r="U65" s="31">
        <f>VLOOKUP(CurrentMtgRatesDataTable8268459[[#This Row],[issueDate]],CurrentMtgRatesDataTable8262[#All],2,0)</f>
        <v>1158064789</v>
      </c>
      <c r="V65" s="34">
        <f>VLOOKUP(CurrentMtgRatesDataTable8268459[[#This Row],[issueDate]],CurrentMtgRatesDataTable82673[#All],2,0)</f>
        <v>1839649584</v>
      </c>
      <c r="W65" s="34">
        <f>VLOOKUP(CurrentMtgRatesDataTable8268459[[#This Row],[issueDate]],CurrentMtgRatesDataTable82684[#All],2,0)</f>
        <v>820428248</v>
      </c>
      <c r="X65" s="34">
        <f>VLOOKUP(CurrentMtgRatesDataTable8268459[[#This Row],[issueDate]],CurrentMtgRatesDataTable826845[#All],2,0)</f>
        <v>527566040</v>
      </c>
      <c r="Y65" s="43">
        <f>VLOOKUP(CurrentMtgRatesDataTable8268459[[#This Row],[issueDate]],CurrentMtgRatesDataTable8268451112[#All],2,0)</f>
        <v>406480780</v>
      </c>
      <c r="AA65" s="18">
        <v>42036</v>
      </c>
      <c r="AB65" s="19">
        <v>88755102</v>
      </c>
      <c r="AC65" s="19"/>
      <c r="AE65" s="18">
        <v>42036</v>
      </c>
      <c r="AF65" s="19">
        <v>100420654</v>
      </c>
      <c r="AH65" s="18">
        <v>42036</v>
      </c>
      <c r="AI65" s="19">
        <v>406480780</v>
      </c>
    </row>
    <row r="66" spans="2:35">
      <c r="B66" s="18">
        <v>42064</v>
      </c>
      <c r="C66" s="19">
        <v>1132393996</v>
      </c>
      <c r="E66" s="18">
        <v>42064</v>
      </c>
      <c r="F66" s="19">
        <v>1671922926</v>
      </c>
      <c r="I66" s="18">
        <v>42064</v>
      </c>
      <c r="J66" s="19">
        <v>685802284</v>
      </c>
      <c r="M66" s="18">
        <v>42064</v>
      </c>
      <c r="N66" s="19">
        <v>399012806</v>
      </c>
      <c r="Q66" s="18">
        <v>42064</v>
      </c>
      <c r="R66" s="33">
        <v>1271901242</v>
      </c>
      <c r="S66" s="31">
        <f>VLOOKUP(CurrentMtgRatesDataTable8268459[[#This Row],[issueDate]],CurrentMtgRatesDataTable82684510[#All],2,0)</f>
        <v>126620545</v>
      </c>
      <c r="T66" s="31">
        <f>VLOOKUP(CurrentMtgRatesDataTable8268459[[#This Row],[issueDate]],CurrentMtgRatesDataTable82684511[#All],2,0)</f>
        <v>34611971</v>
      </c>
      <c r="U66" s="31">
        <f>VLOOKUP(CurrentMtgRatesDataTable8268459[[#This Row],[issueDate]],CurrentMtgRatesDataTable8262[#All],2,0)</f>
        <v>1132393996</v>
      </c>
      <c r="V66" s="34">
        <f>VLOOKUP(CurrentMtgRatesDataTable8268459[[#This Row],[issueDate]],CurrentMtgRatesDataTable82673[#All],2,0)</f>
        <v>1671922926</v>
      </c>
      <c r="W66" s="34">
        <f>VLOOKUP(CurrentMtgRatesDataTable8268459[[#This Row],[issueDate]],CurrentMtgRatesDataTable82684[#All],2,0)</f>
        <v>685802284</v>
      </c>
      <c r="X66" s="34">
        <f>VLOOKUP(CurrentMtgRatesDataTable8268459[[#This Row],[issueDate]],CurrentMtgRatesDataTable826845[#All],2,0)</f>
        <v>399012806</v>
      </c>
      <c r="Y66" s="43">
        <f>VLOOKUP(CurrentMtgRatesDataTable8268459[[#This Row],[issueDate]],CurrentMtgRatesDataTable8268451112[#All],2,0)</f>
        <v>364493346</v>
      </c>
      <c r="AA66" s="18">
        <v>42064</v>
      </c>
      <c r="AB66" s="19">
        <v>126620545</v>
      </c>
      <c r="AC66" s="19"/>
      <c r="AE66" s="18">
        <v>42064</v>
      </c>
      <c r="AF66" s="19">
        <v>34611971</v>
      </c>
      <c r="AH66" s="18">
        <v>42064</v>
      </c>
      <c r="AI66" s="19">
        <v>364493346</v>
      </c>
    </row>
    <row r="67" spans="2:35">
      <c r="B67" s="18">
        <v>42095</v>
      </c>
      <c r="C67" s="19">
        <v>431355535</v>
      </c>
      <c r="E67" s="18">
        <v>42095</v>
      </c>
      <c r="F67" s="19">
        <v>778031330</v>
      </c>
      <c r="I67" s="18">
        <v>42095</v>
      </c>
      <c r="J67" s="19">
        <v>324884826</v>
      </c>
      <c r="M67" s="18">
        <v>42095</v>
      </c>
      <c r="N67" s="19">
        <v>220409277</v>
      </c>
      <c r="Q67" s="18">
        <v>42095</v>
      </c>
      <c r="R67" s="33">
        <v>460921734</v>
      </c>
      <c r="S67" s="31">
        <f>VLOOKUP(CurrentMtgRatesDataTable8268459[[#This Row],[issueDate]],CurrentMtgRatesDataTable82684510[#All],2,0)</f>
        <v>69645492</v>
      </c>
      <c r="T67" s="31">
        <f>VLOOKUP(CurrentMtgRatesDataTable8268459[[#This Row],[issueDate]],CurrentMtgRatesDataTable82684511[#All],2,0)</f>
        <v>24804913</v>
      </c>
      <c r="U67" s="31">
        <f>VLOOKUP(CurrentMtgRatesDataTable8268459[[#This Row],[issueDate]],CurrentMtgRatesDataTable8262[#All],2,0)</f>
        <v>431355535</v>
      </c>
      <c r="V67" s="34">
        <f>VLOOKUP(CurrentMtgRatesDataTable8268459[[#This Row],[issueDate]],CurrentMtgRatesDataTable82673[#All],2,0)</f>
        <v>778031330</v>
      </c>
      <c r="W67" s="34">
        <f>VLOOKUP(CurrentMtgRatesDataTable8268459[[#This Row],[issueDate]],CurrentMtgRatesDataTable82684[#All],2,0)</f>
        <v>324884826</v>
      </c>
      <c r="X67" s="34">
        <f>VLOOKUP(CurrentMtgRatesDataTable8268459[[#This Row],[issueDate]],CurrentMtgRatesDataTable826845[#All],2,0)</f>
        <v>220409277</v>
      </c>
      <c r="Y67" s="43">
        <f>VLOOKUP(CurrentMtgRatesDataTable8268459[[#This Row],[issueDate]],CurrentMtgRatesDataTable8268451112[#All],2,0)</f>
        <v>100919263</v>
      </c>
      <c r="AA67" s="18">
        <v>42095</v>
      </c>
      <c r="AB67" s="19">
        <v>69645492</v>
      </c>
      <c r="AC67" s="19"/>
      <c r="AE67" s="18">
        <v>42095</v>
      </c>
      <c r="AF67" s="19">
        <v>24804913</v>
      </c>
      <c r="AH67" s="18">
        <v>42095</v>
      </c>
      <c r="AI67" s="19">
        <v>100919263</v>
      </c>
    </row>
  </sheetData>
  <pageMargins left="0.7" right="0.7" top="0.75" bottom="0.75" header="0.3" footer="0.3"/>
  <pageSetup orientation="portrait" horizontalDpi="1200" verticalDpi="1200" r:id="rId1"/>
  <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Report</vt:lpstr>
      <vt:lpstr>Report Page2</vt:lpstr>
      <vt:lpstr>Historical</vt:lpstr>
      <vt:lpstr>Input-Non TBA</vt:lpstr>
      <vt:lpstr>Input-TBA LS</vt:lpstr>
      <vt:lpstr>CurrentCloseDate</vt:lpstr>
      <vt:lpstr>CurrentMonth</vt:lpstr>
      <vt:lpstr>CurrentMonth2</vt:lpstr>
      <vt:lpstr>DatabaseEnv</vt:lpstr>
      <vt:lpstr>DateToChangeLag</vt:lpstr>
      <vt:lpstr>PDFReportDir</vt:lpstr>
      <vt:lpstr>PDFReportName</vt:lpstr>
      <vt:lpstr>Report!Print_Area</vt:lpstr>
      <vt:lpstr>'Report Page2'!Print_Area</vt:lpstr>
      <vt:lpstr>'Report Page2'!SaveRatesToDB</vt:lpstr>
      <vt:lpstr>SaveRatesToDB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2015-04-09T20:12:31Z</cp:lastPrinted>
  <dcterms:created xsi:type="dcterms:W3CDTF">2006-09-16T00:00:00Z</dcterms:created>
  <dcterms:modified xsi:type="dcterms:W3CDTF">2015-04-09T20:14:04Z</dcterms:modified>
</cp:coreProperties>
</file>