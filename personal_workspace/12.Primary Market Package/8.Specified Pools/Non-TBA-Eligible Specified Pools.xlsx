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heet2" sheetId="2" r:id="rId1"/>
    <sheet name="Sheet1" sheetId="1" r:id="rId2"/>
  </sheets>
  <definedNames>
    <definedName name="temp" localSheetId="1">Sheet1!$A$1:$D$185</definedName>
  </definedNames>
  <calcPr calcId="145621"/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" i="2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space="1" comma="1" consecutive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<sst xmlns="http://schemas.openxmlformats.org/spreadsheetml/2006/main" count="384" uniqueCount="12">
  <si>
    <t>marketTicker</t>
  </si>
  <si>
    <t>issueDate</t>
  </si>
  <si>
    <t>description</t>
  </si>
  <si>
    <t>IssueAmount</t>
  </si>
  <si>
    <t>FNCK</t>
  </si>
  <si>
    <t>Fannie Mae Single Family 30 Year Jumbo Conforming</t>
  </si>
  <si>
    <t>FNCQ30</t>
  </si>
  <si>
    <t>FNMA CONV LONG TERM 30YR OR LESS LTV &gt;105 &lt;=125</t>
  </si>
  <si>
    <t>FNCR</t>
  </si>
  <si>
    <t>FNMA CONV LONG TERM 30YR OR LESS LTV &gt;125</t>
  </si>
  <si>
    <t>30 Year Jumbo Conforming</t>
  </si>
  <si>
    <t>FNCR30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</si>
</sst>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30 Year Jumbo Conforming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numRef>
              <c:f>Sheet2!$B$4:$B$85</c:f>
              <c:numCache>
                <c:formatCode>m/d/yyyy</c:formatCode>
                <c:ptCount val="82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</c:numCache>
            </c:numRef>
          </c:cat>
          <c:val>
            <c:numRef>
              <c:f>Sheet2!$E$4:$E$85</c:f>
              <c:numCache>
                <c:formatCode>General</c:formatCode>
                <c:ptCount val="82"/>
                <c:pt idx="0">
                  <c:v>23663260</c:v>
                </c:pt>
                <c:pt idx="1">
                  <c:v>407983823</c:v>
                </c:pt>
                <c:pt idx="2">
                  <c:v>1750566475</c:v>
                </c:pt>
                <c:pt idx="3">
                  <c:v>1955300974</c:v>
                </c:pt>
                <c:pt idx="4">
                  <c:v>2407549009</c:v>
                </c:pt>
                <c:pt idx="5">
                  <c:v>1303092497</c:v>
                </c:pt>
                <c:pt idx="6">
                  <c:v>15472793</c:v>
                </c:pt>
                <c:pt idx="7">
                  <c:v>606866675</c:v>
                </c:pt>
                <c:pt idx="8">
                  <c:v>623061660</c:v>
                </c:pt>
                <c:pt idx="9">
                  <c:v>546074282</c:v>
                </c:pt>
                <c:pt idx="10">
                  <c:v>6652777952</c:v>
                </c:pt>
                <c:pt idx="11">
                  <c:v>2725053911</c:v>
                </c:pt>
                <c:pt idx="12">
                  <c:v>1624491993</c:v>
                </c:pt>
                <c:pt idx="13">
                  <c:v>2273648931</c:v>
                </c:pt>
                <c:pt idx="14">
                  <c:v>3730886516</c:v>
                </c:pt>
                <c:pt idx="15">
                  <c:v>4665758807</c:v>
                </c:pt>
                <c:pt idx="16">
                  <c:v>3150141035</c:v>
                </c:pt>
                <c:pt idx="17">
                  <c:v>2924169385</c:v>
                </c:pt>
                <c:pt idx="18">
                  <c:v>2634350684</c:v>
                </c:pt>
                <c:pt idx="19">
                  <c:v>2597549841</c:v>
                </c:pt>
                <c:pt idx="20">
                  <c:v>2808514374</c:v>
                </c:pt>
                <c:pt idx="21">
                  <c:v>1861900761</c:v>
                </c:pt>
                <c:pt idx="22">
                  <c:v>2084611821</c:v>
                </c:pt>
                <c:pt idx="23">
                  <c:v>1669648250</c:v>
                </c:pt>
                <c:pt idx="24">
                  <c:v>3407481735</c:v>
                </c:pt>
                <c:pt idx="25">
                  <c:v>3347514541</c:v>
                </c:pt>
                <c:pt idx="26">
                  <c:v>4534053251</c:v>
                </c:pt>
                <c:pt idx="27">
                  <c:v>4710788842</c:v>
                </c:pt>
                <c:pt idx="28">
                  <c:v>4435127896</c:v>
                </c:pt>
                <c:pt idx="29">
                  <c:v>5168634747</c:v>
                </c:pt>
                <c:pt idx="30">
                  <c:v>4772517239</c:v>
                </c:pt>
                <c:pt idx="31">
                  <c:v>3322794637</c:v>
                </c:pt>
                <c:pt idx="32">
                  <c:v>2879069981</c:v>
                </c:pt>
                <c:pt idx="33">
                  <c:v>1365959263</c:v>
                </c:pt>
                <c:pt idx="34">
                  <c:v>1679348065</c:v>
                </c:pt>
                <c:pt idx="35">
                  <c:v>1470720552</c:v>
                </c:pt>
                <c:pt idx="36">
                  <c:v>1755684824</c:v>
                </c:pt>
                <c:pt idx="37">
                  <c:v>2242690757</c:v>
                </c:pt>
                <c:pt idx="38">
                  <c:v>4005917312</c:v>
                </c:pt>
                <c:pt idx="39">
                  <c:v>4409005394</c:v>
                </c:pt>
                <c:pt idx="40">
                  <c:v>4642886367</c:v>
                </c:pt>
                <c:pt idx="41">
                  <c:v>2231440428</c:v>
                </c:pt>
                <c:pt idx="42">
                  <c:v>1557100159</c:v>
                </c:pt>
                <c:pt idx="43">
                  <c:v>1459805763</c:v>
                </c:pt>
                <c:pt idx="44">
                  <c:v>2893315869</c:v>
                </c:pt>
                <c:pt idx="45">
                  <c:v>853289366</c:v>
                </c:pt>
                <c:pt idx="46">
                  <c:v>1671001392</c:v>
                </c:pt>
                <c:pt idx="47">
                  <c:v>1932118315</c:v>
                </c:pt>
                <c:pt idx="48">
                  <c:v>2752296610</c:v>
                </c:pt>
                <c:pt idx="49">
                  <c:v>3126742934</c:v>
                </c:pt>
                <c:pt idx="50">
                  <c:v>3245152246</c:v>
                </c:pt>
                <c:pt idx="51">
                  <c:v>2054054786</c:v>
                </c:pt>
                <c:pt idx="52">
                  <c:v>3993010447</c:v>
                </c:pt>
                <c:pt idx="53">
                  <c:v>1214802344</c:v>
                </c:pt>
                <c:pt idx="54">
                  <c:v>3321638962</c:v>
                </c:pt>
                <c:pt idx="55">
                  <c:v>1888075582</c:v>
                </c:pt>
                <c:pt idx="56">
                  <c:v>2116389422</c:v>
                </c:pt>
                <c:pt idx="57">
                  <c:v>2271806082</c:v>
                </c:pt>
                <c:pt idx="58">
                  <c:v>2019206225</c:v>
                </c:pt>
                <c:pt idx="59">
                  <c:v>2418493907</c:v>
                </c:pt>
                <c:pt idx="60">
                  <c:v>1885265938</c:v>
                </c:pt>
                <c:pt idx="61">
                  <c:v>1634700327</c:v>
                </c:pt>
                <c:pt idx="62">
                  <c:v>971826383</c:v>
                </c:pt>
                <c:pt idx="63">
                  <c:v>841860222</c:v>
                </c:pt>
                <c:pt idx="64">
                  <c:v>773960857</c:v>
                </c:pt>
                <c:pt idx="65">
                  <c:v>647887853</c:v>
                </c:pt>
                <c:pt idx="66">
                  <c:v>392754952</c:v>
                </c:pt>
                <c:pt idx="67">
                  <c:v>362334810</c:v>
                </c:pt>
                <c:pt idx="68">
                  <c:v>230227055</c:v>
                </c:pt>
                <c:pt idx="69">
                  <c:v>278280577</c:v>
                </c:pt>
                <c:pt idx="70">
                  <c:v>337688908</c:v>
                </c:pt>
                <c:pt idx="71">
                  <c:v>319731336</c:v>
                </c:pt>
                <c:pt idx="72">
                  <c:v>562390222</c:v>
                </c:pt>
                <c:pt idx="73">
                  <c:v>449797295</c:v>
                </c:pt>
                <c:pt idx="74">
                  <c:v>746264105</c:v>
                </c:pt>
                <c:pt idx="75">
                  <c:v>639001193</c:v>
                </c:pt>
                <c:pt idx="76">
                  <c:v>549347202</c:v>
                </c:pt>
                <c:pt idx="77">
                  <c:v>771028754</c:v>
                </c:pt>
                <c:pt idx="78">
                  <c:v>667434711</c:v>
                </c:pt>
                <c:pt idx="79">
                  <c:v>821128260</c:v>
                </c:pt>
                <c:pt idx="80">
                  <c:v>1012026911</c:v>
                </c:pt>
                <c:pt idx="81">
                  <c:v>101487746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FNCR30</c:v>
                </c:pt>
              </c:strCache>
            </c:strRef>
          </c:tx>
          <c:invertIfNegative val="0"/>
          <c:cat>
            <c:numRef>
              <c:f>Sheet2!$B$4:$B$85</c:f>
              <c:numCache>
                <c:formatCode>m/d/yyyy</c:formatCode>
                <c:ptCount val="82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</c:numCache>
            </c:numRef>
          </c:cat>
          <c:val>
            <c:numRef>
              <c:f>Sheet2!$D$4:$D$85</c:f>
              <c:numCache>
                <c:formatCode>General</c:formatCode>
                <c:ptCount val="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5627164641</c:v>
                </c:pt>
                <c:pt idx="48">
                  <c:v>3713048773</c:v>
                </c:pt>
                <c:pt idx="49">
                  <c:v>3482283708</c:v>
                </c:pt>
                <c:pt idx="50">
                  <c:v>3393761631</c:v>
                </c:pt>
                <c:pt idx="51">
                  <c:v>2591936940</c:v>
                </c:pt>
                <c:pt idx="52">
                  <c:v>3531096335</c:v>
                </c:pt>
                <c:pt idx="53">
                  <c:v>2237392773</c:v>
                </c:pt>
                <c:pt idx="54">
                  <c:v>3299880097</c:v>
                </c:pt>
                <c:pt idx="55">
                  <c:v>2808516054</c:v>
                </c:pt>
                <c:pt idx="56">
                  <c:v>2186380753</c:v>
                </c:pt>
                <c:pt idx="57">
                  <c:v>2498076581</c:v>
                </c:pt>
                <c:pt idx="58">
                  <c:v>1858786075</c:v>
                </c:pt>
                <c:pt idx="59">
                  <c:v>1553402361</c:v>
                </c:pt>
                <c:pt idx="60">
                  <c:v>1434823555</c:v>
                </c:pt>
                <c:pt idx="61">
                  <c:v>1187325480</c:v>
                </c:pt>
                <c:pt idx="62">
                  <c:v>743460848</c:v>
                </c:pt>
                <c:pt idx="63">
                  <c:v>615254685</c:v>
                </c:pt>
                <c:pt idx="64">
                  <c:v>887067278</c:v>
                </c:pt>
                <c:pt idx="65">
                  <c:v>857597466</c:v>
                </c:pt>
                <c:pt idx="66">
                  <c:v>663943847</c:v>
                </c:pt>
                <c:pt idx="67">
                  <c:v>261049913</c:v>
                </c:pt>
                <c:pt idx="68">
                  <c:v>214559704</c:v>
                </c:pt>
                <c:pt idx="69">
                  <c:v>294932105</c:v>
                </c:pt>
                <c:pt idx="70">
                  <c:v>110770261</c:v>
                </c:pt>
                <c:pt idx="71">
                  <c:v>275221137</c:v>
                </c:pt>
                <c:pt idx="72">
                  <c:v>174927834</c:v>
                </c:pt>
                <c:pt idx="73">
                  <c:v>330911502</c:v>
                </c:pt>
                <c:pt idx="74">
                  <c:v>120745416</c:v>
                </c:pt>
                <c:pt idx="75">
                  <c:v>385881834</c:v>
                </c:pt>
                <c:pt idx="76">
                  <c:v>230866169</c:v>
                </c:pt>
                <c:pt idx="77">
                  <c:v>1261524465</c:v>
                </c:pt>
                <c:pt idx="78">
                  <c:v>143096287</c:v>
                </c:pt>
                <c:pt idx="79">
                  <c:v>127311006</c:v>
                </c:pt>
                <c:pt idx="80">
                  <c:v>155150153</c:v>
                </c:pt>
                <c:pt idx="81">
                  <c:v>91162697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FNCQ30</c:v>
                </c:pt>
              </c:strCache>
            </c:strRef>
          </c:tx>
          <c:invertIfNegative val="0"/>
          <c:cat>
            <c:numRef>
              <c:f>Sheet2!$B$4:$B$85</c:f>
              <c:numCache>
                <c:formatCode>m/d/yyyy</c:formatCode>
                <c:ptCount val="82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</c:numCache>
            </c:numRef>
          </c:cat>
          <c:val>
            <c:numRef>
              <c:f>Sheet2!$C$4:$C$85</c:f>
              <c:numCache>
                <c:formatCode>General</c:formatCode>
                <c:ptCount val="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15343058</c:v>
                </c:pt>
                <c:pt idx="16">
                  <c:v>91360480</c:v>
                </c:pt>
                <c:pt idx="17">
                  <c:v>128578512</c:v>
                </c:pt>
                <c:pt idx="18">
                  <c:v>172690172</c:v>
                </c:pt>
                <c:pt idx="19">
                  <c:v>191438050</c:v>
                </c:pt>
                <c:pt idx="20">
                  <c:v>214765657</c:v>
                </c:pt>
                <c:pt idx="21">
                  <c:v>276239169</c:v>
                </c:pt>
                <c:pt idx="22">
                  <c:v>515525281</c:v>
                </c:pt>
                <c:pt idx="23">
                  <c:v>268918822</c:v>
                </c:pt>
                <c:pt idx="24">
                  <c:v>208691302</c:v>
                </c:pt>
                <c:pt idx="25">
                  <c:v>355715456</c:v>
                </c:pt>
                <c:pt idx="26">
                  <c:v>352412504</c:v>
                </c:pt>
                <c:pt idx="27">
                  <c:v>319947067</c:v>
                </c:pt>
                <c:pt idx="28">
                  <c:v>369679660</c:v>
                </c:pt>
                <c:pt idx="29">
                  <c:v>504226385</c:v>
                </c:pt>
                <c:pt idx="30">
                  <c:v>481880967</c:v>
                </c:pt>
                <c:pt idx="31">
                  <c:v>511593118</c:v>
                </c:pt>
                <c:pt idx="32">
                  <c:v>618688301</c:v>
                </c:pt>
                <c:pt idx="33">
                  <c:v>668998347</c:v>
                </c:pt>
                <c:pt idx="34">
                  <c:v>436513565</c:v>
                </c:pt>
                <c:pt idx="35">
                  <c:v>714756687</c:v>
                </c:pt>
                <c:pt idx="36">
                  <c:v>450007317</c:v>
                </c:pt>
                <c:pt idx="37">
                  <c:v>544964112</c:v>
                </c:pt>
                <c:pt idx="38">
                  <c:v>632560564</c:v>
                </c:pt>
                <c:pt idx="39">
                  <c:v>575215946</c:v>
                </c:pt>
                <c:pt idx="40">
                  <c:v>570846520</c:v>
                </c:pt>
                <c:pt idx="41">
                  <c:v>363856997</c:v>
                </c:pt>
                <c:pt idx="42">
                  <c:v>964656975</c:v>
                </c:pt>
                <c:pt idx="43">
                  <c:v>935368647</c:v>
                </c:pt>
                <c:pt idx="44">
                  <c:v>1830004532</c:v>
                </c:pt>
                <c:pt idx="45">
                  <c:v>1283593895</c:v>
                </c:pt>
                <c:pt idx="46">
                  <c:v>2238872332</c:v>
                </c:pt>
                <c:pt idx="47">
                  <c:v>2674159779</c:v>
                </c:pt>
                <c:pt idx="48">
                  <c:v>2691500965</c:v>
                </c:pt>
                <c:pt idx="49">
                  <c:v>2705488507</c:v>
                </c:pt>
                <c:pt idx="50">
                  <c:v>2507345171</c:v>
                </c:pt>
                <c:pt idx="51">
                  <c:v>1886237333</c:v>
                </c:pt>
                <c:pt idx="52">
                  <c:v>3089976460</c:v>
                </c:pt>
                <c:pt idx="53">
                  <c:v>1925814668</c:v>
                </c:pt>
                <c:pt idx="54">
                  <c:v>2387371027</c:v>
                </c:pt>
                <c:pt idx="55">
                  <c:v>2217599892</c:v>
                </c:pt>
                <c:pt idx="56">
                  <c:v>2074956858</c:v>
                </c:pt>
                <c:pt idx="57">
                  <c:v>2243146531</c:v>
                </c:pt>
                <c:pt idx="58">
                  <c:v>1541931533</c:v>
                </c:pt>
                <c:pt idx="59">
                  <c:v>1758314749</c:v>
                </c:pt>
                <c:pt idx="60">
                  <c:v>1616623154</c:v>
                </c:pt>
                <c:pt idx="61">
                  <c:v>1373502996</c:v>
                </c:pt>
                <c:pt idx="62">
                  <c:v>960260689</c:v>
                </c:pt>
                <c:pt idx="63">
                  <c:v>817694911</c:v>
                </c:pt>
                <c:pt idx="64">
                  <c:v>650781591</c:v>
                </c:pt>
                <c:pt idx="65">
                  <c:v>755691585</c:v>
                </c:pt>
                <c:pt idx="66">
                  <c:v>438784911</c:v>
                </c:pt>
                <c:pt idx="67">
                  <c:v>399641559</c:v>
                </c:pt>
                <c:pt idx="68">
                  <c:v>313566996</c:v>
                </c:pt>
                <c:pt idx="69">
                  <c:v>255206728</c:v>
                </c:pt>
                <c:pt idx="70">
                  <c:v>186037636</c:v>
                </c:pt>
                <c:pt idx="71">
                  <c:v>244291451</c:v>
                </c:pt>
                <c:pt idx="72">
                  <c:v>206481264</c:v>
                </c:pt>
                <c:pt idx="73">
                  <c:v>346554888</c:v>
                </c:pt>
                <c:pt idx="74">
                  <c:v>187308272</c:v>
                </c:pt>
                <c:pt idx="75">
                  <c:v>169366238</c:v>
                </c:pt>
                <c:pt idx="76">
                  <c:v>371096000</c:v>
                </c:pt>
                <c:pt idx="77">
                  <c:v>145992266</c:v>
                </c:pt>
                <c:pt idx="78">
                  <c:v>120675652</c:v>
                </c:pt>
                <c:pt idx="79">
                  <c:v>469334257</c:v>
                </c:pt>
                <c:pt idx="80">
                  <c:v>104946942</c:v>
                </c:pt>
                <c:pt idx="81">
                  <c:v>96354706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5787264"/>
        <c:axId val="265788800"/>
      </c:barChart>
      <c:dateAx>
        <c:axId val="265787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5788800"/>
        <c:crosses val="autoZero"/>
        <c:auto val="1"/>
        <c:lblOffset val="100"/>
        <c:baseTimeUnit val="months"/>
      </c:dateAx>
      <c:valAx>
        <c:axId val="265788800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65787264"/>
        <c:crosses val="autoZero"/>
        <c:crossBetween val="between"/>
        <c:dispUnits>
          <c:builtInUnit val="b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Sheet2!$C$3</c:f>
              <c:strCache>
                <c:ptCount val="1"/>
                <c:pt idx="0">
                  <c:v>FNCQ30</c:v>
                </c:pt>
              </c:strCache>
            </c:strRef>
          </c:tx>
          <c:invertIfNegative val="0"/>
          <c:cat>
            <c:numRef>
              <c:f>Sheet2!$B$46:$B$56</c:f>
              <c:numCache>
                <c:formatCode>m/d/yyyy</c:formatCode>
                <c:ptCount val="1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</c:numCache>
            </c:numRef>
          </c:cat>
          <c:val>
            <c:numRef>
              <c:f>Sheet2!$C$46:$C$56</c:f>
              <c:numCache>
                <c:formatCode>General</c:formatCode>
                <c:ptCount val="11"/>
                <c:pt idx="0">
                  <c:v>964656975</c:v>
                </c:pt>
                <c:pt idx="1">
                  <c:v>935368647</c:v>
                </c:pt>
                <c:pt idx="2">
                  <c:v>1830004532</c:v>
                </c:pt>
                <c:pt idx="3">
                  <c:v>1283593895</c:v>
                </c:pt>
                <c:pt idx="4">
                  <c:v>2238872332</c:v>
                </c:pt>
                <c:pt idx="5">
                  <c:v>2674159779</c:v>
                </c:pt>
                <c:pt idx="6">
                  <c:v>2691500965</c:v>
                </c:pt>
                <c:pt idx="7">
                  <c:v>2705488507</c:v>
                </c:pt>
                <c:pt idx="8">
                  <c:v>2507345171</c:v>
                </c:pt>
                <c:pt idx="9">
                  <c:v>1886237333</c:v>
                </c:pt>
                <c:pt idx="10">
                  <c:v>3089976460</c:v>
                </c:pt>
              </c:numCache>
            </c:numRef>
          </c:val>
        </c:ser>
        <c:ser>
          <c:idx val="2"/>
          <c:order val="1"/>
          <c:tx>
            <c:strRef>
              <c:f>Sheet2!$D$3</c:f>
              <c:strCache>
                <c:ptCount val="1"/>
                <c:pt idx="0">
                  <c:v>FNCR30</c:v>
                </c:pt>
              </c:strCache>
            </c:strRef>
          </c:tx>
          <c:invertIfNegative val="0"/>
          <c:cat>
            <c:numRef>
              <c:f>Sheet2!$B$46:$B$56</c:f>
              <c:numCache>
                <c:formatCode>m/d/yyyy</c:formatCode>
                <c:ptCount val="1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</c:numCache>
            </c:numRef>
          </c:cat>
          <c:val>
            <c:numRef>
              <c:f>Sheet2!$D$46:$D$56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5627164641</c:v>
                </c:pt>
                <c:pt idx="6">
                  <c:v>3713048773</c:v>
                </c:pt>
                <c:pt idx="7">
                  <c:v>3482283708</c:v>
                </c:pt>
                <c:pt idx="8">
                  <c:v>3393761631</c:v>
                </c:pt>
                <c:pt idx="9">
                  <c:v>2591936940</c:v>
                </c:pt>
                <c:pt idx="10">
                  <c:v>3531096335</c:v>
                </c:pt>
              </c:numCache>
            </c:numRef>
          </c:val>
        </c:ser>
        <c:ser>
          <c:idx val="0"/>
          <c:order val="2"/>
          <c:tx>
            <c:strRef>
              <c:f>Sheet2!$E$3</c:f>
              <c:strCache>
                <c:ptCount val="1"/>
                <c:pt idx="0">
                  <c:v>30 Year Jumbo Conforming</c:v>
                </c:pt>
              </c:strCache>
            </c:strRef>
          </c:tx>
          <c:invertIfNegative val="0"/>
          <c:cat>
            <c:numRef>
              <c:f>Sheet2!$B$46:$B$56</c:f>
              <c:numCache>
                <c:formatCode>m/d/yyyy</c:formatCode>
                <c:ptCount val="1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</c:numCache>
            </c:numRef>
          </c:cat>
          <c:val>
            <c:numRef>
              <c:f>Sheet2!$E$46:$E$56</c:f>
              <c:numCache>
                <c:formatCode>General</c:formatCode>
                <c:ptCount val="11"/>
                <c:pt idx="0">
                  <c:v>1557100159</c:v>
                </c:pt>
                <c:pt idx="1">
                  <c:v>1459805763</c:v>
                </c:pt>
                <c:pt idx="2">
                  <c:v>2893315869</c:v>
                </c:pt>
                <c:pt idx="3">
                  <c:v>853289366</c:v>
                </c:pt>
                <c:pt idx="4">
                  <c:v>1671001392</c:v>
                </c:pt>
                <c:pt idx="5">
                  <c:v>1932118315</c:v>
                </c:pt>
                <c:pt idx="6">
                  <c:v>2752296610</c:v>
                </c:pt>
                <c:pt idx="7">
                  <c:v>3126742934</c:v>
                </c:pt>
                <c:pt idx="8">
                  <c:v>3245152246</c:v>
                </c:pt>
                <c:pt idx="9">
                  <c:v>2054054786</c:v>
                </c:pt>
                <c:pt idx="10">
                  <c:v>3993010447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351040"/>
        <c:axId val="265806208"/>
      </c:barChart>
      <c:dateAx>
        <c:axId val="149351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5806208"/>
        <c:crosses val="autoZero"/>
        <c:auto val="1"/>
        <c:lblOffset val="100"/>
        <c:baseTimeUnit val="months"/>
      </c:dateAx>
      <c:valAx>
        <c:axId val="26580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51040"/>
        <c:crosses val="autoZero"/>
        <c:crossBetween val="between"/>
        <c:dispUnits>
          <c:builtInUnit val="b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23</xdr:row>
      <xdr:rowOff>9524</xdr:rowOff>
    </xdr:from>
    <xdr:to>
      <xdr:col>25</xdr:col>
      <xdr:colOff>485776</xdr:colOff>
      <xdr:row>40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6</xdr:row>
      <xdr:rowOff>104775</xdr:rowOff>
    </xdr:from>
    <xdr:to>
      <xdr:col>25</xdr:col>
      <xdr:colOff>447675</xdr:colOff>
      <xdr:row>20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85"/>
  <sheetViews>
    <sheetView tabSelected="1" workbookViewId="0">
      <selection activeCell="G35" sqref="G35"/>
    </sheetView>
  </sheetViews>
  <sheetFormatPr defaultRowHeight="15" x14ac:dyDescent="0.25"/>
  <cols>
    <col min="2" max="2" width="9.7109375" bestFit="1" customWidth="1"/>
    <col min="3" max="4" width="11" bestFit="1" customWidth="1"/>
    <col min="5" max="5" width="24.85546875" bestFit="1" customWidth="1"/>
  </cols>
  <sheetData>
    <row r="3" spans="2:5" x14ac:dyDescent="0.25">
      <c r="B3" t="s">
        <v>1</v>
      </c>
      <c r="C3" t="s">
        <v>6</v>
      </c>
      <c r="D3" t="s">
        <v>11</v>
      </c>
      <c r="E3" t="s">
        <v>10</v>
      </c>
    </row>
    <row r="4" spans="2:5" x14ac:dyDescent="0.25">
      <c r="B4" s="1">
        <v>39569</v>
      </c>
      <c r="C4" t="e">
        <f>VLOOKUP(B4,Sheet1!$H$2:$J$68,3,0)</f>
        <v>#N/A</v>
      </c>
      <c r="D4" t="e">
        <f>VLOOKUP(B4,Sheet1!$N$2:$P$36,3,0)</f>
        <v>#N/A</v>
      </c>
      <c r="E4">
        <f>VLOOKUP(B4,Sheet1!$B$2:$D$83,3,0)</f>
        <v>23663260</v>
      </c>
    </row>
    <row r="5" spans="2:5" x14ac:dyDescent="0.25">
      <c r="B5" s="1">
        <v>39600</v>
      </c>
      <c r="C5" t="e">
        <f>VLOOKUP(B5,Sheet1!$H$2:$J$68,3,0)</f>
        <v>#N/A</v>
      </c>
      <c r="D5" t="e">
        <f>VLOOKUP(B5,Sheet1!$N$2:$P$36,3,0)</f>
        <v>#N/A</v>
      </c>
      <c r="E5">
        <f>VLOOKUP(B5,Sheet1!$B$2:$D$83,3,0)</f>
        <v>407983823</v>
      </c>
    </row>
    <row r="6" spans="2:5" x14ac:dyDescent="0.25">
      <c r="B6" s="1">
        <v>39630</v>
      </c>
      <c r="C6" t="e">
        <f>VLOOKUP(B6,Sheet1!$H$2:$J$68,3,0)</f>
        <v>#N/A</v>
      </c>
      <c r="D6" t="e">
        <f>VLOOKUP(B6,Sheet1!$N$2:$P$36,3,0)</f>
        <v>#N/A</v>
      </c>
      <c r="E6">
        <f>VLOOKUP(B6,Sheet1!$B$2:$D$83,3,0)</f>
        <v>1750566475</v>
      </c>
    </row>
    <row r="7" spans="2:5" x14ac:dyDescent="0.25">
      <c r="B7" s="1">
        <v>39661</v>
      </c>
      <c r="C7" t="e">
        <f>VLOOKUP(B7,Sheet1!$H$2:$J$68,3,0)</f>
        <v>#N/A</v>
      </c>
      <c r="D7" t="e">
        <f>VLOOKUP(B7,Sheet1!$N$2:$P$36,3,0)</f>
        <v>#N/A</v>
      </c>
      <c r="E7">
        <f>VLOOKUP(B7,Sheet1!$B$2:$D$83,3,0)</f>
        <v>1955300974</v>
      </c>
    </row>
    <row r="8" spans="2:5" x14ac:dyDescent="0.25">
      <c r="B8" s="1">
        <v>39692</v>
      </c>
      <c r="C8" t="e">
        <f>VLOOKUP(B8,Sheet1!$H$2:$J$68,3,0)</f>
        <v>#N/A</v>
      </c>
      <c r="D8" t="e">
        <f>VLOOKUP(B8,Sheet1!$N$2:$P$36,3,0)</f>
        <v>#N/A</v>
      </c>
      <c r="E8">
        <f>VLOOKUP(B8,Sheet1!$B$2:$D$83,3,0)</f>
        <v>2407549009</v>
      </c>
    </row>
    <row r="9" spans="2:5" x14ac:dyDescent="0.25">
      <c r="B9" s="1">
        <v>39722</v>
      </c>
      <c r="C9" t="e">
        <f>VLOOKUP(B9,Sheet1!$H$2:$J$68,3,0)</f>
        <v>#N/A</v>
      </c>
      <c r="D9" t="e">
        <f>VLOOKUP(B9,Sheet1!$N$2:$P$36,3,0)</f>
        <v>#N/A</v>
      </c>
      <c r="E9">
        <f>VLOOKUP(B9,Sheet1!$B$2:$D$83,3,0)</f>
        <v>1303092497</v>
      </c>
    </row>
    <row r="10" spans="2:5" x14ac:dyDescent="0.25">
      <c r="B10" s="1">
        <v>39783</v>
      </c>
      <c r="C10" t="e">
        <f>VLOOKUP(B10,Sheet1!$H$2:$J$68,3,0)</f>
        <v>#N/A</v>
      </c>
      <c r="D10" t="e">
        <f>VLOOKUP(B10,Sheet1!$N$2:$P$36,3,0)</f>
        <v>#N/A</v>
      </c>
      <c r="E10">
        <f>VLOOKUP(B10,Sheet1!$B$2:$D$83,3,0)</f>
        <v>15472793</v>
      </c>
    </row>
    <row r="11" spans="2:5" x14ac:dyDescent="0.25">
      <c r="B11" s="1">
        <v>39845</v>
      </c>
      <c r="C11" t="e">
        <f>VLOOKUP(B11,Sheet1!$H$2:$J$68,3,0)</f>
        <v>#N/A</v>
      </c>
      <c r="D11" t="e">
        <f>VLOOKUP(B11,Sheet1!$N$2:$P$36,3,0)</f>
        <v>#N/A</v>
      </c>
      <c r="E11">
        <f>VLOOKUP(B11,Sheet1!$B$2:$D$83,3,0)</f>
        <v>606866675</v>
      </c>
    </row>
    <row r="12" spans="2:5" x14ac:dyDescent="0.25">
      <c r="B12" s="1">
        <v>39873</v>
      </c>
      <c r="C12" t="e">
        <f>VLOOKUP(B12,Sheet1!$H$2:$J$68,3,0)</f>
        <v>#N/A</v>
      </c>
      <c r="D12" t="e">
        <f>VLOOKUP(B12,Sheet1!$N$2:$P$36,3,0)</f>
        <v>#N/A</v>
      </c>
      <c r="E12">
        <f>VLOOKUP(B12,Sheet1!$B$2:$D$83,3,0)</f>
        <v>623061660</v>
      </c>
    </row>
    <row r="13" spans="2:5" x14ac:dyDescent="0.25">
      <c r="B13" s="1">
        <v>39904</v>
      </c>
      <c r="C13" t="e">
        <f>VLOOKUP(B13,Sheet1!$H$2:$J$68,3,0)</f>
        <v>#N/A</v>
      </c>
      <c r="D13" t="e">
        <f>VLOOKUP(B13,Sheet1!$N$2:$P$36,3,0)</f>
        <v>#N/A</v>
      </c>
      <c r="E13">
        <f>VLOOKUP(B13,Sheet1!$B$2:$D$83,3,0)</f>
        <v>546074282</v>
      </c>
    </row>
    <row r="14" spans="2:5" x14ac:dyDescent="0.25">
      <c r="B14" s="1">
        <v>39934</v>
      </c>
      <c r="C14" t="e">
        <f>VLOOKUP(B14,Sheet1!$H$2:$J$68,3,0)</f>
        <v>#N/A</v>
      </c>
      <c r="D14" t="e">
        <f>VLOOKUP(B14,Sheet1!$N$2:$P$36,3,0)</f>
        <v>#N/A</v>
      </c>
      <c r="E14">
        <f>VLOOKUP(B14,Sheet1!$B$2:$D$83,3,0)</f>
        <v>6652777952</v>
      </c>
    </row>
    <row r="15" spans="2:5" x14ac:dyDescent="0.25">
      <c r="B15" s="1">
        <v>39965</v>
      </c>
      <c r="C15" t="e">
        <f>VLOOKUP(B15,Sheet1!$H$2:$J$68,3,0)</f>
        <v>#N/A</v>
      </c>
      <c r="D15" t="e">
        <f>VLOOKUP(B15,Sheet1!$N$2:$P$36,3,0)</f>
        <v>#N/A</v>
      </c>
      <c r="E15">
        <f>VLOOKUP(B15,Sheet1!$B$2:$D$83,3,0)</f>
        <v>2725053911</v>
      </c>
    </row>
    <row r="16" spans="2:5" x14ac:dyDescent="0.25">
      <c r="B16" s="1">
        <v>39995</v>
      </c>
      <c r="C16" t="e">
        <f>VLOOKUP(B16,Sheet1!$H$2:$J$68,3,0)</f>
        <v>#N/A</v>
      </c>
      <c r="D16" t="e">
        <f>VLOOKUP(B16,Sheet1!$N$2:$P$36,3,0)</f>
        <v>#N/A</v>
      </c>
      <c r="E16">
        <f>VLOOKUP(B16,Sheet1!$B$2:$D$83,3,0)</f>
        <v>1624491993</v>
      </c>
    </row>
    <row r="17" spans="2:5" x14ac:dyDescent="0.25">
      <c r="B17" s="1">
        <v>40026</v>
      </c>
      <c r="C17" t="e">
        <f>VLOOKUP(B17,Sheet1!$H$2:$J$68,3,0)</f>
        <v>#N/A</v>
      </c>
      <c r="D17" t="e">
        <f>VLOOKUP(B17,Sheet1!$N$2:$P$36,3,0)</f>
        <v>#N/A</v>
      </c>
      <c r="E17">
        <f>VLOOKUP(B17,Sheet1!$B$2:$D$83,3,0)</f>
        <v>2273648931</v>
      </c>
    </row>
    <row r="18" spans="2:5" x14ac:dyDescent="0.25">
      <c r="B18" s="1">
        <v>40057</v>
      </c>
      <c r="C18" t="e">
        <f>VLOOKUP(B18,Sheet1!$H$2:$J$68,3,0)</f>
        <v>#N/A</v>
      </c>
      <c r="D18" t="e">
        <f>VLOOKUP(B18,Sheet1!$N$2:$P$36,3,0)</f>
        <v>#N/A</v>
      </c>
      <c r="E18">
        <f>VLOOKUP(B18,Sheet1!$B$2:$D$83,3,0)</f>
        <v>3730886516</v>
      </c>
    </row>
    <row r="19" spans="2:5" x14ac:dyDescent="0.25">
      <c r="B19" s="1">
        <v>40087</v>
      </c>
      <c r="C19">
        <f>VLOOKUP(B19,Sheet1!$H$2:$J$68,3,0)</f>
        <v>15343058</v>
      </c>
      <c r="D19" t="e">
        <f>VLOOKUP(B19,Sheet1!$N$2:$P$36,3,0)</f>
        <v>#N/A</v>
      </c>
      <c r="E19">
        <f>VLOOKUP(B19,Sheet1!$B$2:$D$83,3,0)</f>
        <v>4665758807</v>
      </c>
    </row>
    <row r="20" spans="2:5" x14ac:dyDescent="0.25">
      <c r="B20" s="1">
        <v>40118</v>
      </c>
      <c r="C20">
        <f>VLOOKUP(B20,Sheet1!$H$2:$J$68,3,0)</f>
        <v>91360480</v>
      </c>
      <c r="D20" t="e">
        <f>VLOOKUP(B20,Sheet1!$N$2:$P$36,3,0)</f>
        <v>#N/A</v>
      </c>
      <c r="E20">
        <f>VLOOKUP(B20,Sheet1!$B$2:$D$83,3,0)</f>
        <v>3150141035</v>
      </c>
    </row>
    <row r="21" spans="2:5" x14ac:dyDescent="0.25">
      <c r="B21" s="1">
        <v>40148</v>
      </c>
      <c r="C21">
        <f>VLOOKUP(B21,Sheet1!$H$2:$J$68,3,0)</f>
        <v>128578512</v>
      </c>
      <c r="D21" t="e">
        <f>VLOOKUP(B21,Sheet1!$N$2:$P$36,3,0)</f>
        <v>#N/A</v>
      </c>
      <c r="E21">
        <f>VLOOKUP(B21,Sheet1!$B$2:$D$83,3,0)</f>
        <v>2924169385</v>
      </c>
    </row>
    <row r="22" spans="2:5" x14ac:dyDescent="0.25">
      <c r="B22" s="1">
        <v>40179</v>
      </c>
      <c r="C22">
        <f>VLOOKUP(B22,Sheet1!$H$2:$J$68,3,0)</f>
        <v>172690172</v>
      </c>
      <c r="D22" t="e">
        <f>VLOOKUP(B22,Sheet1!$N$2:$P$36,3,0)</f>
        <v>#N/A</v>
      </c>
      <c r="E22">
        <f>VLOOKUP(B22,Sheet1!$B$2:$D$83,3,0)</f>
        <v>2634350684</v>
      </c>
    </row>
    <row r="23" spans="2:5" x14ac:dyDescent="0.25">
      <c r="B23" s="1">
        <v>40210</v>
      </c>
      <c r="C23">
        <f>VLOOKUP(B23,Sheet1!$H$2:$J$68,3,0)</f>
        <v>191438050</v>
      </c>
      <c r="D23" t="e">
        <f>VLOOKUP(B23,Sheet1!$N$2:$P$36,3,0)</f>
        <v>#N/A</v>
      </c>
      <c r="E23">
        <f>VLOOKUP(B23,Sheet1!$B$2:$D$83,3,0)</f>
        <v>2597549841</v>
      </c>
    </row>
    <row r="24" spans="2:5" x14ac:dyDescent="0.25">
      <c r="B24" s="1">
        <v>40238</v>
      </c>
      <c r="C24">
        <f>VLOOKUP(B24,Sheet1!$H$2:$J$68,3,0)</f>
        <v>214765657</v>
      </c>
      <c r="D24" t="e">
        <f>VLOOKUP(B24,Sheet1!$N$2:$P$36,3,0)</f>
        <v>#N/A</v>
      </c>
      <c r="E24">
        <f>VLOOKUP(B24,Sheet1!$B$2:$D$83,3,0)</f>
        <v>2808514374</v>
      </c>
    </row>
    <row r="25" spans="2:5" x14ac:dyDescent="0.25">
      <c r="B25" s="1">
        <v>40269</v>
      </c>
      <c r="C25">
        <f>VLOOKUP(B25,Sheet1!$H$2:$J$68,3,0)</f>
        <v>276239169</v>
      </c>
      <c r="D25" t="e">
        <f>VLOOKUP(B25,Sheet1!$N$2:$P$36,3,0)</f>
        <v>#N/A</v>
      </c>
      <c r="E25">
        <f>VLOOKUP(B25,Sheet1!$B$2:$D$83,3,0)</f>
        <v>1861900761</v>
      </c>
    </row>
    <row r="26" spans="2:5" x14ac:dyDescent="0.25">
      <c r="B26" s="1">
        <v>40299</v>
      </c>
      <c r="C26">
        <f>VLOOKUP(B26,Sheet1!$H$2:$J$68,3,0)</f>
        <v>515525281</v>
      </c>
      <c r="D26" t="e">
        <f>VLOOKUP(B26,Sheet1!$N$2:$P$36,3,0)</f>
        <v>#N/A</v>
      </c>
      <c r="E26">
        <f>VLOOKUP(B26,Sheet1!$B$2:$D$83,3,0)</f>
        <v>2084611821</v>
      </c>
    </row>
    <row r="27" spans="2:5" x14ac:dyDescent="0.25">
      <c r="B27" s="1">
        <v>40330</v>
      </c>
      <c r="C27">
        <f>VLOOKUP(B27,Sheet1!$H$2:$J$68,3,0)</f>
        <v>268918822</v>
      </c>
      <c r="D27" t="e">
        <f>VLOOKUP(B27,Sheet1!$N$2:$P$36,3,0)</f>
        <v>#N/A</v>
      </c>
      <c r="E27">
        <f>VLOOKUP(B27,Sheet1!$B$2:$D$83,3,0)</f>
        <v>1669648250</v>
      </c>
    </row>
    <row r="28" spans="2:5" x14ac:dyDescent="0.25">
      <c r="B28" s="1">
        <v>40360</v>
      </c>
      <c r="C28">
        <f>VLOOKUP(B28,Sheet1!$H$2:$J$68,3,0)</f>
        <v>208691302</v>
      </c>
      <c r="D28" t="e">
        <f>VLOOKUP(B28,Sheet1!$N$2:$P$36,3,0)</f>
        <v>#N/A</v>
      </c>
      <c r="E28">
        <f>VLOOKUP(B28,Sheet1!$B$2:$D$83,3,0)</f>
        <v>3407481735</v>
      </c>
    </row>
    <row r="29" spans="2:5" x14ac:dyDescent="0.25">
      <c r="B29" s="1">
        <v>40391</v>
      </c>
      <c r="C29">
        <f>VLOOKUP(B29,Sheet1!$H$2:$J$68,3,0)</f>
        <v>355715456</v>
      </c>
      <c r="D29" t="e">
        <f>VLOOKUP(B29,Sheet1!$N$2:$P$36,3,0)</f>
        <v>#N/A</v>
      </c>
      <c r="E29">
        <f>VLOOKUP(B29,Sheet1!$B$2:$D$83,3,0)</f>
        <v>3347514541</v>
      </c>
    </row>
    <row r="30" spans="2:5" x14ac:dyDescent="0.25">
      <c r="B30" s="1">
        <v>40422</v>
      </c>
      <c r="C30">
        <f>VLOOKUP(B30,Sheet1!$H$2:$J$68,3,0)</f>
        <v>352412504</v>
      </c>
      <c r="D30" t="e">
        <f>VLOOKUP(B30,Sheet1!$N$2:$P$36,3,0)</f>
        <v>#N/A</v>
      </c>
      <c r="E30">
        <f>VLOOKUP(B30,Sheet1!$B$2:$D$83,3,0)</f>
        <v>4534053251</v>
      </c>
    </row>
    <row r="31" spans="2:5" x14ac:dyDescent="0.25">
      <c r="B31" s="1">
        <v>40452</v>
      </c>
      <c r="C31">
        <f>VLOOKUP(B31,Sheet1!$H$2:$J$68,3,0)</f>
        <v>319947067</v>
      </c>
      <c r="D31" t="e">
        <f>VLOOKUP(B31,Sheet1!$N$2:$P$36,3,0)</f>
        <v>#N/A</v>
      </c>
      <c r="E31">
        <f>VLOOKUP(B31,Sheet1!$B$2:$D$83,3,0)</f>
        <v>4710788842</v>
      </c>
    </row>
    <row r="32" spans="2:5" x14ac:dyDescent="0.25">
      <c r="B32" s="1">
        <v>40483</v>
      </c>
      <c r="C32">
        <f>VLOOKUP(B32,Sheet1!$H$2:$J$68,3,0)</f>
        <v>369679660</v>
      </c>
      <c r="D32" t="e">
        <f>VLOOKUP(B32,Sheet1!$N$2:$P$36,3,0)</f>
        <v>#N/A</v>
      </c>
      <c r="E32">
        <f>VLOOKUP(B32,Sheet1!$B$2:$D$83,3,0)</f>
        <v>4435127896</v>
      </c>
    </row>
    <row r="33" spans="2:5" x14ac:dyDescent="0.25">
      <c r="B33" s="1">
        <v>40513</v>
      </c>
      <c r="C33">
        <f>VLOOKUP(B33,Sheet1!$H$2:$J$68,3,0)</f>
        <v>504226385</v>
      </c>
      <c r="D33" t="e">
        <f>VLOOKUP(B33,Sheet1!$N$2:$P$36,3,0)</f>
        <v>#N/A</v>
      </c>
      <c r="E33">
        <f>VLOOKUP(B33,Sheet1!$B$2:$D$83,3,0)</f>
        <v>5168634747</v>
      </c>
    </row>
    <row r="34" spans="2:5" x14ac:dyDescent="0.25">
      <c r="B34" s="1">
        <v>40544</v>
      </c>
      <c r="C34">
        <f>VLOOKUP(B34,Sheet1!$H$2:$J$68,3,0)</f>
        <v>481880967</v>
      </c>
      <c r="D34" t="e">
        <f>VLOOKUP(B34,Sheet1!$N$2:$P$36,3,0)</f>
        <v>#N/A</v>
      </c>
      <c r="E34">
        <f>VLOOKUP(B34,Sheet1!$B$2:$D$83,3,0)</f>
        <v>4772517239</v>
      </c>
    </row>
    <row r="35" spans="2:5" x14ac:dyDescent="0.25">
      <c r="B35" s="1">
        <v>40575</v>
      </c>
      <c r="C35">
        <f>VLOOKUP(B35,Sheet1!$H$2:$J$68,3,0)</f>
        <v>511593118</v>
      </c>
      <c r="D35" t="e">
        <f>VLOOKUP(B35,Sheet1!$N$2:$P$36,3,0)</f>
        <v>#N/A</v>
      </c>
      <c r="E35">
        <f>VLOOKUP(B35,Sheet1!$B$2:$D$83,3,0)</f>
        <v>3322794637</v>
      </c>
    </row>
    <row r="36" spans="2:5" x14ac:dyDescent="0.25">
      <c r="B36" s="1">
        <v>40603</v>
      </c>
      <c r="C36">
        <f>VLOOKUP(B36,Sheet1!$H$2:$J$68,3,0)</f>
        <v>618688301</v>
      </c>
      <c r="D36" t="e">
        <f>VLOOKUP(B36,Sheet1!$N$2:$P$36,3,0)</f>
        <v>#N/A</v>
      </c>
      <c r="E36">
        <f>VLOOKUP(B36,Sheet1!$B$2:$D$83,3,0)</f>
        <v>2879069981</v>
      </c>
    </row>
    <row r="37" spans="2:5" x14ac:dyDescent="0.25">
      <c r="B37" s="1">
        <v>40634</v>
      </c>
      <c r="C37">
        <f>VLOOKUP(B37,Sheet1!$H$2:$J$68,3,0)</f>
        <v>668998347</v>
      </c>
      <c r="D37" t="e">
        <f>VLOOKUP(B37,Sheet1!$N$2:$P$36,3,0)</f>
        <v>#N/A</v>
      </c>
      <c r="E37">
        <f>VLOOKUP(B37,Sheet1!$B$2:$D$83,3,0)</f>
        <v>1365959263</v>
      </c>
    </row>
    <row r="38" spans="2:5" x14ac:dyDescent="0.25">
      <c r="B38" s="1">
        <v>40664</v>
      </c>
      <c r="C38">
        <f>VLOOKUP(B38,Sheet1!$H$2:$J$68,3,0)</f>
        <v>436513565</v>
      </c>
      <c r="D38" t="e">
        <f>VLOOKUP(B38,Sheet1!$N$2:$P$36,3,0)</f>
        <v>#N/A</v>
      </c>
      <c r="E38">
        <f>VLOOKUP(B38,Sheet1!$B$2:$D$83,3,0)</f>
        <v>1679348065</v>
      </c>
    </row>
    <row r="39" spans="2:5" x14ac:dyDescent="0.25">
      <c r="B39" s="1">
        <v>40695</v>
      </c>
      <c r="C39">
        <f>VLOOKUP(B39,Sheet1!$H$2:$J$68,3,0)</f>
        <v>714756687</v>
      </c>
      <c r="D39" t="e">
        <f>VLOOKUP(B39,Sheet1!$N$2:$P$36,3,0)</f>
        <v>#N/A</v>
      </c>
      <c r="E39">
        <f>VLOOKUP(B39,Sheet1!$B$2:$D$83,3,0)</f>
        <v>1470720552</v>
      </c>
    </row>
    <row r="40" spans="2:5" x14ac:dyDescent="0.25">
      <c r="B40" s="1">
        <v>40725</v>
      </c>
      <c r="C40">
        <f>VLOOKUP(B40,Sheet1!$H$2:$J$68,3,0)</f>
        <v>450007317</v>
      </c>
      <c r="D40" t="e">
        <f>VLOOKUP(B40,Sheet1!$N$2:$P$36,3,0)</f>
        <v>#N/A</v>
      </c>
      <c r="E40">
        <f>VLOOKUP(B40,Sheet1!$B$2:$D$83,3,0)</f>
        <v>1755684824</v>
      </c>
    </row>
    <row r="41" spans="2:5" x14ac:dyDescent="0.25">
      <c r="B41" s="1">
        <v>40756</v>
      </c>
      <c r="C41">
        <f>VLOOKUP(B41,Sheet1!$H$2:$J$68,3,0)</f>
        <v>544964112</v>
      </c>
      <c r="D41" t="e">
        <f>VLOOKUP(B41,Sheet1!$N$2:$P$36,3,0)</f>
        <v>#N/A</v>
      </c>
      <c r="E41">
        <f>VLOOKUP(B41,Sheet1!$B$2:$D$83,3,0)</f>
        <v>2242690757</v>
      </c>
    </row>
    <row r="42" spans="2:5" x14ac:dyDescent="0.25">
      <c r="B42" s="1">
        <v>40787</v>
      </c>
      <c r="C42">
        <f>VLOOKUP(B42,Sheet1!$H$2:$J$68,3,0)</f>
        <v>632560564</v>
      </c>
      <c r="D42" t="e">
        <f>VLOOKUP(B42,Sheet1!$N$2:$P$36,3,0)</f>
        <v>#N/A</v>
      </c>
      <c r="E42">
        <f>VLOOKUP(B42,Sheet1!$B$2:$D$83,3,0)</f>
        <v>4005917312</v>
      </c>
    </row>
    <row r="43" spans="2:5" x14ac:dyDescent="0.25">
      <c r="B43" s="1">
        <v>40817</v>
      </c>
      <c r="C43">
        <f>VLOOKUP(B43,Sheet1!$H$2:$J$68,3,0)</f>
        <v>575215946</v>
      </c>
      <c r="D43" t="e">
        <f>VLOOKUP(B43,Sheet1!$N$2:$P$36,3,0)</f>
        <v>#N/A</v>
      </c>
      <c r="E43">
        <f>VLOOKUP(B43,Sheet1!$B$2:$D$83,3,0)</f>
        <v>4409005394</v>
      </c>
    </row>
    <row r="44" spans="2:5" x14ac:dyDescent="0.25">
      <c r="B44" s="1">
        <v>40848</v>
      </c>
      <c r="C44">
        <f>VLOOKUP(B44,Sheet1!$H$2:$J$68,3,0)</f>
        <v>570846520</v>
      </c>
      <c r="D44" t="e">
        <f>VLOOKUP(B44,Sheet1!$N$2:$P$36,3,0)</f>
        <v>#N/A</v>
      </c>
      <c r="E44">
        <f>VLOOKUP(B44,Sheet1!$B$2:$D$83,3,0)</f>
        <v>4642886367</v>
      </c>
    </row>
    <row r="45" spans="2:5" x14ac:dyDescent="0.25">
      <c r="B45" s="1">
        <v>40878</v>
      </c>
      <c r="C45">
        <f>VLOOKUP(B45,Sheet1!$H$2:$J$68,3,0)</f>
        <v>363856997</v>
      </c>
      <c r="D45" t="e">
        <f>VLOOKUP(B45,Sheet1!$N$2:$P$36,3,0)</f>
        <v>#N/A</v>
      </c>
      <c r="E45">
        <f>VLOOKUP(B45,Sheet1!$B$2:$D$83,3,0)</f>
        <v>2231440428</v>
      </c>
    </row>
    <row r="46" spans="2:5" x14ac:dyDescent="0.25">
      <c r="B46" s="1">
        <v>40909</v>
      </c>
      <c r="C46">
        <f>VLOOKUP(B46,Sheet1!$H$2:$J$68,3,0)</f>
        <v>964656975</v>
      </c>
      <c r="D46" t="e">
        <f>VLOOKUP(B46,Sheet1!$N$2:$P$36,3,0)</f>
        <v>#N/A</v>
      </c>
      <c r="E46">
        <f>VLOOKUP(B46,Sheet1!$B$2:$D$83,3,0)</f>
        <v>1557100159</v>
      </c>
    </row>
    <row r="47" spans="2:5" x14ac:dyDescent="0.25">
      <c r="B47" s="1">
        <v>40940</v>
      </c>
      <c r="C47">
        <f>VLOOKUP(B47,Sheet1!$H$2:$J$68,3,0)</f>
        <v>935368647</v>
      </c>
      <c r="D47" t="e">
        <f>VLOOKUP(B47,Sheet1!$N$2:$P$36,3,0)</f>
        <v>#N/A</v>
      </c>
      <c r="E47">
        <f>VLOOKUP(B47,Sheet1!$B$2:$D$83,3,0)</f>
        <v>1459805763</v>
      </c>
    </row>
    <row r="48" spans="2:5" x14ac:dyDescent="0.25">
      <c r="B48" s="1">
        <v>40969</v>
      </c>
      <c r="C48">
        <f>VLOOKUP(B48,Sheet1!$H$2:$J$68,3,0)</f>
        <v>1830004532</v>
      </c>
      <c r="D48" t="e">
        <f>VLOOKUP(B48,Sheet1!$N$2:$P$36,3,0)</f>
        <v>#N/A</v>
      </c>
      <c r="E48">
        <f>VLOOKUP(B48,Sheet1!$B$2:$D$83,3,0)</f>
        <v>2893315869</v>
      </c>
    </row>
    <row r="49" spans="2:5" x14ac:dyDescent="0.25">
      <c r="B49" s="1">
        <v>41000</v>
      </c>
      <c r="C49">
        <f>VLOOKUP(B49,Sheet1!$H$2:$J$68,3,0)</f>
        <v>1283593895</v>
      </c>
      <c r="D49" t="e">
        <f>VLOOKUP(B49,Sheet1!$N$2:$P$36,3,0)</f>
        <v>#N/A</v>
      </c>
      <c r="E49">
        <f>VLOOKUP(B49,Sheet1!$B$2:$D$83,3,0)</f>
        <v>853289366</v>
      </c>
    </row>
    <row r="50" spans="2:5" x14ac:dyDescent="0.25">
      <c r="B50" s="1">
        <v>41030</v>
      </c>
      <c r="C50">
        <f>VLOOKUP(B50,Sheet1!$H$2:$J$68,3,0)</f>
        <v>2238872332</v>
      </c>
      <c r="D50" t="e">
        <f>VLOOKUP(B50,Sheet1!$N$2:$P$36,3,0)</f>
        <v>#N/A</v>
      </c>
      <c r="E50">
        <f>VLOOKUP(B50,Sheet1!$B$2:$D$83,3,0)</f>
        <v>1671001392</v>
      </c>
    </row>
    <row r="51" spans="2:5" x14ac:dyDescent="0.25">
      <c r="B51" s="1">
        <v>41061</v>
      </c>
      <c r="C51">
        <f>VLOOKUP(B51,Sheet1!$H$2:$J$68,3,0)</f>
        <v>2674159779</v>
      </c>
      <c r="D51">
        <f>VLOOKUP(B51,Sheet1!$N$2:$P$36,3,0)</f>
        <v>5627164641</v>
      </c>
      <c r="E51">
        <f>VLOOKUP(B51,Sheet1!$B$2:$D$83,3,0)</f>
        <v>1932118315</v>
      </c>
    </row>
    <row r="52" spans="2:5" x14ac:dyDescent="0.25">
      <c r="B52" s="1">
        <v>41091</v>
      </c>
      <c r="C52">
        <f>VLOOKUP(B52,Sheet1!$H$2:$J$68,3,0)</f>
        <v>2691500965</v>
      </c>
      <c r="D52">
        <f>VLOOKUP(B52,Sheet1!$N$2:$P$36,3,0)</f>
        <v>3713048773</v>
      </c>
      <c r="E52">
        <f>VLOOKUP(B52,Sheet1!$B$2:$D$83,3,0)</f>
        <v>2752296610</v>
      </c>
    </row>
    <row r="53" spans="2:5" x14ac:dyDescent="0.25">
      <c r="B53" s="1">
        <v>41122</v>
      </c>
      <c r="C53">
        <f>VLOOKUP(B53,Sheet1!$H$2:$J$68,3,0)</f>
        <v>2705488507</v>
      </c>
      <c r="D53">
        <f>VLOOKUP(B53,Sheet1!$N$2:$P$36,3,0)</f>
        <v>3482283708</v>
      </c>
      <c r="E53">
        <f>VLOOKUP(B53,Sheet1!$B$2:$D$83,3,0)</f>
        <v>3126742934</v>
      </c>
    </row>
    <row r="54" spans="2:5" x14ac:dyDescent="0.25">
      <c r="B54" s="1">
        <v>41153</v>
      </c>
      <c r="C54">
        <f>VLOOKUP(B54,Sheet1!$H$2:$J$68,3,0)</f>
        <v>2507345171</v>
      </c>
      <c r="D54">
        <f>VLOOKUP(B54,Sheet1!$N$2:$P$36,3,0)</f>
        <v>3393761631</v>
      </c>
      <c r="E54">
        <f>VLOOKUP(B54,Sheet1!$B$2:$D$83,3,0)</f>
        <v>3245152246</v>
      </c>
    </row>
    <row r="55" spans="2:5" x14ac:dyDescent="0.25">
      <c r="B55" s="1">
        <v>41183</v>
      </c>
      <c r="C55">
        <f>VLOOKUP(B55,Sheet1!$H$2:$J$68,3,0)</f>
        <v>1886237333</v>
      </c>
      <c r="D55">
        <f>VLOOKUP(B55,Sheet1!$N$2:$P$36,3,0)</f>
        <v>2591936940</v>
      </c>
      <c r="E55">
        <f>VLOOKUP(B55,Sheet1!$B$2:$D$83,3,0)</f>
        <v>2054054786</v>
      </c>
    </row>
    <row r="56" spans="2:5" x14ac:dyDescent="0.25">
      <c r="B56" s="1">
        <v>41214</v>
      </c>
      <c r="C56">
        <f>VLOOKUP(B56,Sheet1!$H$2:$J$68,3,0)</f>
        <v>3089976460</v>
      </c>
      <c r="D56">
        <f>VLOOKUP(B56,Sheet1!$N$2:$P$36,3,0)</f>
        <v>3531096335</v>
      </c>
      <c r="E56">
        <f>VLOOKUP(B56,Sheet1!$B$2:$D$83,3,0)</f>
        <v>3993010447</v>
      </c>
    </row>
    <row r="57" spans="2:5" x14ac:dyDescent="0.25">
      <c r="B57" s="1">
        <v>41244</v>
      </c>
      <c r="C57">
        <f>VLOOKUP(B57,Sheet1!$H$2:$J$68,3,0)</f>
        <v>1925814668</v>
      </c>
      <c r="D57">
        <f>VLOOKUP(B57,Sheet1!$N$2:$P$36,3,0)</f>
        <v>2237392773</v>
      </c>
      <c r="E57">
        <f>VLOOKUP(B57,Sheet1!$B$2:$D$83,3,0)</f>
        <v>1214802344</v>
      </c>
    </row>
    <row r="58" spans="2:5" x14ac:dyDescent="0.25">
      <c r="B58" s="1">
        <v>41275</v>
      </c>
      <c r="C58">
        <f>VLOOKUP(B58,Sheet1!$H$2:$J$68,3,0)</f>
        <v>2387371027</v>
      </c>
      <c r="D58">
        <f>VLOOKUP(B58,Sheet1!$N$2:$P$36,3,0)</f>
        <v>3299880097</v>
      </c>
      <c r="E58">
        <f>VLOOKUP(B58,Sheet1!$B$2:$D$83,3,0)</f>
        <v>3321638962</v>
      </c>
    </row>
    <row r="59" spans="2:5" x14ac:dyDescent="0.25">
      <c r="B59" s="1">
        <v>41306</v>
      </c>
      <c r="C59">
        <f>VLOOKUP(B59,Sheet1!$H$2:$J$68,3,0)</f>
        <v>2217599892</v>
      </c>
      <c r="D59">
        <f>VLOOKUP(B59,Sheet1!$N$2:$P$36,3,0)</f>
        <v>2808516054</v>
      </c>
      <c r="E59">
        <f>VLOOKUP(B59,Sheet1!$B$2:$D$83,3,0)</f>
        <v>1888075582</v>
      </c>
    </row>
    <row r="60" spans="2:5" x14ac:dyDescent="0.25">
      <c r="B60" s="1">
        <v>41334</v>
      </c>
      <c r="C60">
        <f>VLOOKUP(B60,Sheet1!$H$2:$J$68,3,0)</f>
        <v>2074956858</v>
      </c>
      <c r="D60">
        <f>VLOOKUP(B60,Sheet1!$N$2:$P$36,3,0)</f>
        <v>2186380753</v>
      </c>
      <c r="E60">
        <f>VLOOKUP(B60,Sheet1!$B$2:$D$83,3,0)</f>
        <v>2116389422</v>
      </c>
    </row>
    <row r="61" spans="2:5" x14ac:dyDescent="0.25">
      <c r="B61" s="1">
        <v>41365</v>
      </c>
      <c r="C61">
        <f>VLOOKUP(B61,Sheet1!$H$2:$J$68,3,0)</f>
        <v>2243146531</v>
      </c>
      <c r="D61">
        <f>VLOOKUP(B61,Sheet1!$N$2:$P$36,3,0)</f>
        <v>2498076581</v>
      </c>
      <c r="E61">
        <f>VLOOKUP(B61,Sheet1!$B$2:$D$83,3,0)</f>
        <v>2271806082</v>
      </c>
    </row>
    <row r="62" spans="2:5" x14ac:dyDescent="0.25">
      <c r="B62" s="1">
        <v>41395</v>
      </c>
      <c r="C62">
        <f>VLOOKUP(B62,Sheet1!$H$2:$J$68,3,0)</f>
        <v>1541931533</v>
      </c>
      <c r="D62">
        <f>VLOOKUP(B62,Sheet1!$N$2:$P$36,3,0)</f>
        <v>1858786075</v>
      </c>
      <c r="E62">
        <f>VLOOKUP(B62,Sheet1!$B$2:$D$83,3,0)</f>
        <v>2019206225</v>
      </c>
    </row>
    <row r="63" spans="2:5" x14ac:dyDescent="0.25">
      <c r="B63" s="1">
        <v>41426</v>
      </c>
      <c r="C63">
        <f>VLOOKUP(B63,Sheet1!$H$2:$J$68,3,0)</f>
        <v>1758314749</v>
      </c>
      <c r="D63">
        <f>VLOOKUP(B63,Sheet1!$N$2:$P$36,3,0)</f>
        <v>1553402361</v>
      </c>
      <c r="E63">
        <f>VLOOKUP(B63,Sheet1!$B$2:$D$83,3,0)</f>
        <v>2418493907</v>
      </c>
    </row>
    <row r="64" spans="2:5" x14ac:dyDescent="0.25">
      <c r="B64" s="1">
        <v>41456</v>
      </c>
      <c r="C64">
        <f>VLOOKUP(B64,Sheet1!$H$2:$J$68,3,0)</f>
        <v>1616623154</v>
      </c>
      <c r="D64">
        <f>VLOOKUP(B64,Sheet1!$N$2:$P$36,3,0)</f>
        <v>1434823555</v>
      </c>
      <c r="E64">
        <f>VLOOKUP(B64,Sheet1!$B$2:$D$83,3,0)</f>
        <v>1885265938</v>
      </c>
    </row>
    <row r="65" spans="2:5" x14ac:dyDescent="0.25">
      <c r="B65" s="1">
        <v>41487</v>
      </c>
      <c r="C65">
        <f>VLOOKUP(B65,Sheet1!$H$2:$J$68,3,0)</f>
        <v>1373502996</v>
      </c>
      <c r="D65">
        <f>VLOOKUP(B65,Sheet1!$N$2:$P$36,3,0)</f>
        <v>1187325480</v>
      </c>
      <c r="E65">
        <f>VLOOKUP(B65,Sheet1!$B$2:$D$83,3,0)</f>
        <v>1634700327</v>
      </c>
    </row>
    <row r="66" spans="2:5" x14ac:dyDescent="0.25">
      <c r="B66" s="1">
        <v>41518</v>
      </c>
      <c r="C66">
        <f>VLOOKUP(B66,Sheet1!$H$2:$J$68,3,0)</f>
        <v>960260689</v>
      </c>
      <c r="D66">
        <f>VLOOKUP(B66,Sheet1!$N$2:$P$36,3,0)</f>
        <v>743460848</v>
      </c>
      <c r="E66">
        <f>VLOOKUP(B66,Sheet1!$B$2:$D$83,3,0)</f>
        <v>971826383</v>
      </c>
    </row>
    <row r="67" spans="2:5" x14ac:dyDescent="0.25">
      <c r="B67" s="1">
        <v>41548</v>
      </c>
      <c r="C67">
        <f>VLOOKUP(B67,Sheet1!$H$2:$J$68,3,0)</f>
        <v>817694911</v>
      </c>
      <c r="D67">
        <f>VLOOKUP(B67,Sheet1!$N$2:$P$36,3,0)</f>
        <v>615254685</v>
      </c>
      <c r="E67">
        <f>VLOOKUP(B67,Sheet1!$B$2:$D$83,3,0)</f>
        <v>841860222</v>
      </c>
    </row>
    <row r="68" spans="2:5" x14ac:dyDescent="0.25">
      <c r="B68" s="1">
        <v>41579</v>
      </c>
      <c r="C68">
        <f>VLOOKUP(B68,Sheet1!$H$2:$J$68,3,0)</f>
        <v>650781591</v>
      </c>
      <c r="D68">
        <f>VLOOKUP(B68,Sheet1!$N$2:$P$36,3,0)</f>
        <v>887067278</v>
      </c>
      <c r="E68">
        <f>VLOOKUP(B68,Sheet1!$B$2:$D$83,3,0)</f>
        <v>773960857</v>
      </c>
    </row>
    <row r="69" spans="2:5" x14ac:dyDescent="0.25">
      <c r="B69" s="1">
        <v>41609</v>
      </c>
      <c r="C69">
        <f>VLOOKUP(B69,Sheet1!$H$2:$J$68,3,0)</f>
        <v>755691585</v>
      </c>
      <c r="D69">
        <f>VLOOKUP(B69,Sheet1!$N$2:$P$36,3,0)</f>
        <v>857597466</v>
      </c>
      <c r="E69">
        <f>VLOOKUP(B69,Sheet1!$B$2:$D$83,3,0)</f>
        <v>647887853</v>
      </c>
    </row>
    <row r="70" spans="2:5" x14ac:dyDescent="0.25">
      <c r="B70" s="1">
        <v>41640</v>
      </c>
      <c r="C70">
        <f>VLOOKUP(B70,Sheet1!$H$2:$J$68,3,0)</f>
        <v>438784911</v>
      </c>
      <c r="D70">
        <f>VLOOKUP(B70,Sheet1!$N$2:$P$36,3,0)</f>
        <v>663943847</v>
      </c>
      <c r="E70">
        <f>VLOOKUP(B70,Sheet1!$B$2:$D$83,3,0)</f>
        <v>392754952</v>
      </c>
    </row>
    <row r="71" spans="2:5" x14ac:dyDescent="0.25">
      <c r="B71" s="1">
        <v>41671</v>
      </c>
      <c r="C71">
        <f>VLOOKUP(B71,Sheet1!$H$2:$J$68,3,0)</f>
        <v>399641559</v>
      </c>
      <c r="D71">
        <f>VLOOKUP(B71,Sheet1!$N$2:$P$36,3,0)</f>
        <v>261049913</v>
      </c>
      <c r="E71">
        <f>VLOOKUP(B71,Sheet1!$B$2:$D$83,3,0)</f>
        <v>362334810</v>
      </c>
    </row>
    <row r="72" spans="2:5" x14ac:dyDescent="0.25">
      <c r="B72" s="1">
        <v>41699</v>
      </c>
      <c r="C72">
        <f>VLOOKUP(B72,Sheet1!$H$2:$J$68,3,0)</f>
        <v>313566996</v>
      </c>
      <c r="D72">
        <f>VLOOKUP(B72,Sheet1!$N$2:$P$36,3,0)</f>
        <v>214559704</v>
      </c>
      <c r="E72">
        <f>VLOOKUP(B72,Sheet1!$B$2:$D$83,3,0)</f>
        <v>230227055</v>
      </c>
    </row>
    <row r="73" spans="2:5" x14ac:dyDescent="0.25">
      <c r="B73" s="1">
        <v>41730</v>
      </c>
      <c r="C73">
        <f>VLOOKUP(B73,Sheet1!$H$2:$J$68,3,0)</f>
        <v>255206728</v>
      </c>
      <c r="D73">
        <f>VLOOKUP(B73,Sheet1!$N$2:$P$36,3,0)</f>
        <v>294932105</v>
      </c>
      <c r="E73">
        <f>VLOOKUP(B73,Sheet1!$B$2:$D$83,3,0)</f>
        <v>278280577</v>
      </c>
    </row>
    <row r="74" spans="2:5" x14ac:dyDescent="0.25">
      <c r="B74" s="1">
        <v>41760</v>
      </c>
      <c r="C74">
        <f>VLOOKUP(B74,Sheet1!$H$2:$J$68,3,0)</f>
        <v>186037636</v>
      </c>
      <c r="D74">
        <f>VLOOKUP(B74,Sheet1!$N$2:$P$36,3,0)</f>
        <v>110770261</v>
      </c>
      <c r="E74">
        <f>VLOOKUP(B74,Sheet1!$B$2:$D$83,3,0)</f>
        <v>337688908</v>
      </c>
    </row>
    <row r="75" spans="2:5" x14ac:dyDescent="0.25">
      <c r="B75" s="1">
        <v>41791</v>
      </c>
      <c r="C75">
        <f>VLOOKUP(B75,Sheet1!$H$2:$J$68,3,0)</f>
        <v>244291451</v>
      </c>
      <c r="D75">
        <f>VLOOKUP(B75,Sheet1!$N$2:$P$36,3,0)</f>
        <v>275221137</v>
      </c>
      <c r="E75">
        <f>VLOOKUP(B75,Sheet1!$B$2:$D$83,3,0)</f>
        <v>319731336</v>
      </c>
    </row>
    <row r="76" spans="2:5" x14ac:dyDescent="0.25">
      <c r="B76" s="1">
        <v>41821</v>
      </c>
      <c r="C76">
        <f>VLOOKUP(B76,Sheet1!$H$2:$J$68,3,0)</f>
        <v>206481264</v>
      </c>
      <c r="D76">
        <f>VLOOKUP(B76,Sheet1!$N$2:$P$36,3,0)</f>
        <v>174927834</v>
      </c>
      <c r="E76">
        <f>VLOOKUP(B76,Sheet1!$B$2:$D$83,3,0)</f>
        <v>562390222</v>
      </c>
    </row>
    <row r="77" spans="2:5" x14ac:dyDescent="0.25">
      <c r="B77" s="1">
        <v>41852</v>
      </c>
      <c r="C77">
        <f>VLOOKUP(B77,Sheet1!$H$2:$J$68,3,0)</f>
        <v>346554888</v>
      </c>
      <c r="D77">
        <f>VLOOKUP(B77,Sheet1!$N$2:$P$36,3,0)</f>
        <v>330911502</v>
      </c>
      <c r="E77">
        <f>VLOOKUP(B77,Sheet1!$B$2:$D$83,3,0)</f>
        <v>449797295</v>
      </c>
    </row>
    <row r="78" spans="2:5" x14ac:dyDescent="0.25">
      <c r="B78" s="1">
        <v>41883</v>
      </c>
      <c r="C78">
        <f>VLOOKUP(B78,Sheet1!$H$2:$J$68,3,0)</f>
        <v>187308272</v>
      </c>
      <c r="D78">
        <f>VLOOKUP(B78,Sheet1!$N$2:$P$36,3,0)</f>
        <v>120745416</v>
      </c>
      <c r="E78">
        <f>VLOOKUP(B78,Sheet1!$B$2:$D$83,3,0)</f>
        <v>746264105</v>
      </c>
    </row>
    <row r="79" spans="2:5" x14ac:dyDescent="0.25">
      <c r="B79" s="1">
        <v>41913</v>
      </c>
      <c r="C79">
        <f>VLOOKUP(B79,Sheet1!$H$2:$J$68,3,0)</f>
        <v>169366238</v>
      </c>
      <c r="D79">
        <f>VLOOKUP(B79,Sheet1!$N$2:$P$36,3,0)</f>
        <v>385881834</v>
      </c>
      <c r="E79">
        <f>VLOOKUP(B79,Sheet1!$B$2:$D$83,3,0)</f>
        <v>639001193</v>
      </c>
    </row>
    <row r="80" spans="2:5" x14ac:dyDescent="0.25">
      <c r="B80" s="1">
        <v>41944</v>
      </c>
      <c r="C80">
        <f>VLOOKUP(B80,Sheet1!$H$2:$J$68,3,0)</f>
        <v>371096000</v>
      </c>
      <c r="D80">
        <f>VLOOKUP(B80,Sheet1!$N$2:$P$36,3,0)</f>
        <v>230866169</v>
      </c>
      <c r="E80">
        <f>VLOOKUP(B80,Sheet1!$B$2:$D$83,3,0)</f>
        <v>549347202</v>
      </c>
    </row>
    <row r="81" spans="2:5" x14ac:dyDescent="0.25">
      <c r="B81" s="1">
        <v>41974</v>
      </c>
      <c r="C81">
        <f>VLOOKUP(B81,Sheet1!$H$2:$J$68,3,0)</f>
        <v>145992266</v>
      </c>
      <c r="D81">
        <f>VLOOKUP(B81,Sheet1!$N$2:$P$36,3,0)</f>
        <v>1261524465</v>
      </c>
      <c r="E81">
        <f>VLOOKUP(B81,Sheet1!$B$2:$D$83,3,0)</f>
        <v>771028754</v>
      </c>
    </row>
    <row r="82" spans="2:5" x14ac:dyDescent="0.25">
      <c r="B82" s="1">
        <v>42005</v>
      </c>
      <c r="C82">
        <f>VLOOKUP(B82,Sheet1!$H$2:$J$68,3,0)</f>
        <v>120675652</v>
      </c>
      <c r="D82">
        <f>VLOOKUP(B82,Sheet1!$N$2:$P$36,3,0)</f>
        <v>143096287</v>
      </c>
      <c r="E82">
        <f>VLOOKUP(B82,Sheet1!$B$2:$D$83,3,0)</f>
        <v>667434711</v>
      </c>
    </row>
    <row r="83" spans="2:5" x14ac:dyDescent="0.25">
      <c r="B83" s="1">
        <v>42036</v>
      </c>
      <c r="C83">
        <f>VLOOKUP(B83,Sheet1!$H$2:$J$68,3,0)</f>
        <v>469334257</v>
      </c>
      <c r="D83">
        <f>VLOOKUP(B83,Sheet1!$N$2:$P$36,3,0)</f>
        <v>127311006</v>
      </c>
      <c r="E83">
        <f>VLOOKUP(B83,Sheet1!$B$2:$D$83,3,0)</f>
        <v>821128260</v>
      </c>
    </row>
    <row r="84" spans="2:5" x14ac:dyDescent="0.25">
      <c r="B84" s="1">
        <v>42064</v>
      </c>
      <c r="C84">
        <f>VLOOKUP(B84,Sheet1!$H$2:$J$68,3,0)</f>
        <v>104946942</v>
      </c>
      <c r="D84">
        <f>VLOOKUP(B84,Sheet1!$N$2:$P$36,3,0)</f>
        <v>155150153</v>
      </c>
      <c r="E84">
        <f>VLOOKUP(B84,Sheet1!$B$2:$D$83,3,0)</f>
        <v>1012026911</v>
      </c>
    </row>
    <row r="85" spans="2:5" x14ac:dyDescent="0.25">
      <c r="B85" s="1">
        <v>42095</v>
      </c>
      <c r="C85">
        <f>VLOOKUP(B85,Sheet1!$H$2:$J$68,3,0)</f>
        <v>96354706</v>
      </c>
      <c r="D85">
        <f>VLOOKUP(B85,Sheet1!$N$2:$P$36,3,0)</f>
        <v>91162697</v>
      </c>
      <c r="E85">
        <f>VLOOKUP(B85,Sheet1!$B$2:$D$83,3,0)</f>
        <v>101487746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83"/>
  <sheetViews>
    <sheetView topLeftCell="C1" workbookViewId="0">
      <selection activeCell="G2" sqref="G2"/>
    </sheetView>
  </sheetViews>
  <sheetFormatPr defaultRowHeight="15" x14ac:dyDescent="0.25"/>
  <cols>
    <col min="1" max="1" width="12.5703125" bestFit="1" customWidth="1"/>
    <col min="2" max="2" width="9.7109375" bestFit="1" customWidth="1"/>
    <col min="3" max="3" width="49.42578125" bestFit="1" customWidth="1"/>
    <col min="4" max="4" width="12.7109375" bestFit="1" customWidth="1"/>
    <col min="7" max="7" width="8" bestFit="1" customWidth="1"/>
    <col min="8" max="8" width="9.7109375" bestFit="1" customWidth="1"/>
    <col min="9" max="9" width="49.42578125" bestFit="1" customWidth="1"/>
    <col min="10" max="10" width="11" bestFit="1" customWidth="1"/>
    <col min="13" max="13" width="5.7109375" bestFit="1" customWidth="1"/>
    <col min="14" max="14" width="9.7109375" bestFit="1" customWidth="1"/>
    <col min="15" max="15" width="43.85546875" bestFit="1" customWidth="1"/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  <c r="M1" t="s">
        <v>0</v>
      </c>
      <c r="N1" t="s">
        <v>1</v>
      </c>
      <c r="O1" t="s">
        <v>2</v>
      </c>
      <c r="P1" t="s">
        <v>3</v>
      </c>
    </row>
    <row r="2" spans="1:16" x14ac:dyDescent="0.25">
      <c r="A2" t="s">
        <v>4</v>
      </c>
      <c r="B2" s="1">
        <v>39569</v>
      </c>
      <c r="C2" t="s">
        <v>5</v>
      </c>
      <c r="D2">
        <v>23663260</v>
      </c>
      <c r="G2" t="s">
        <v>6</v>
      </c>
      <c r="H2" s="1">
        <v>40087</v>
      </c>
      <c r="I2" t="s">
        <v>7</v>
      </c>
      <c r="J2">
        <v>15343058</v>
      </c>
      <c r="M2" t="s">
        <v>8</v>
      </c>
      <c r="N2" s="1">
        <v>41061</v>
      </c>
      <c r="O2" t="s">
        <v>9</v>
      </c>
      <c r="P2">
        <v>5627164641</v>
      </c>
    </row>
    <row r="3" spans="1:16" x14ac:dyDescent="0.25">
      <c r="A3" t="s">
        <v>4</v>
      </c>
      <c r="B3" s="1">
        <v>39600</v>
      </c>
      <c r="C3" t="s">
        <v>5</v>
      </c>
      <c r="D3">
        <v>407983823</v>
      </c>
      <c r="G3" t="s">
        <v>6</v>
      </c>
      <c r="H3" s="1">
        <v>40118</v>
      </c>
      <c r="I3" t="s">
        <v>7</v>
      </c>
      <c r="J3">
        <v>91360480</v>
      </c>
      <c r="M3" t="s">
        <v>8</v>
      </c>
      <c r="N3" s="1">
        <v>41091</v>
      </c>
      <c r="O3" t="s">
        <v>9</v>
      </c>
      <c r="P3">
        <v>3713048773</v>
      </c>
    </row>
    <row r="4" spans="1:16" x14ac:dyDescent="0.25">
      <c r="A4" t="s">
        <v>4</v>
      </c>
      <c r="B4" s="1">
        <v>39630</v>
      </c>
      <c r="C4" t="s">
        <v>5</v>
      </c>
      <c r="D4">
        <v>1750566475</v>
      </c>
      <c r="G4" t="s">
        <v>6</v>
      </c>
      <c r="H4" s="1">
        <v>40148</v>
      </c>
      <c r="I4" t="s">
        <v>7</v>
      </c>
      <c r="J4">
        <v>128578512</v>
      </c>
      <c r="M4" t="s">
        <v>8</v>
      </c>
      <c r="N4" s="1">
        <v>41122</v>
      </c>
      <c r="O4" t="s">
        <v>9</v>
      </c>
      <c r="P4">
        <v>3482283708</v>
      </c>
    </row>
    <row r="5" spans="1:16" x14ac:dyDescent="0.25">
      <c r="A5" t="s">
        <v>4</v>
      </c>
      <c r="B5" s="1">
        <v>39661</v>
      </c>
      <c r="C5" t="s">
        <v>5</v>
      </c>
      <c r="D5">
        <v>1955300974</v>
      </c>
      <c r="G5" t="s">
        <v>6</v>
      </c>
      <c r="H5" s="1">
        <v>40179</v>
      </c>
      <c r="I5" t="s">
        <v>7</v>
      </c>
      <c r="J5">
        <v>172690172</v>
      </c>
      <c r="M5" t="s">
        <v>8</v>
      </c>
      <c r="N5" s="1">
        <v>41153</v>
      </c>
      <c r="O5" t="s">
        <v>9</v>
      </c>
      <c r="P5">
        <v>3393761631</v>
      </c>
    </row>
    <row r="6" spans="1:16" x14ac:dyDescent="0.25">
      <c r="A6" t="s">
        <v>4</v>
      </c>
      <c r="B6" s="1">
        <v>39692</v>
      </c>
      <c r="C6" t="s">
        <v>5</v>
      </c>
      <c r="D6">
        <v>2407549009</v>
      </c>
      <c r="G6" t="s">
        <v>6</v>
      </c>
      <c r="H6" s="1">
        <v>40210</v>
      </c>
      <c r="I6" t="s">
        <v>7</v>
      </c>
      <c r="J6">
        <v>191438050</v>
      </c>
      <c r="M6" t="s">
        <v>8</v>
      </c>
      <c r="N6" s="1">
        <v>41183</v>
      </c>
      <c r="O6" t="s">
        <v>9</v>
      </c>
      <c r="P6">
        <v>2591936940</v>
      </c>
    </row>
    <row r="7" spans="1:16" x14ac:dyDescent="0.25">
      <c r="A7" t="s">
        <v>4</v>
      </c>
      <c r="B7" s="1">
        <v>39722</v>
      </c>
      <c r="C7" t="s">
        <v>5</v>
      </c>
      <c r="D7">
        <v>1303092497</v>
      </c>
      <c r="G7" t="s">
        <v>6</v>
      </c>
      <c r="H7" s="1">
        <v>40238</v>
      </c>
      <c r="I7" t="s">
        <v>7</v>
      </c>
      <c r="J7">
        <v>214765657</v>
      </c>
      <c r="M7" t="s">
        <v>8</v>
      </c>
      <c r="N7" s="1">
        <v>41214</v>
      </c>
      <c r="O7" t="s">
        <v>9</v>
      </c>
      <c r="P7">
        <v>3531096335</v>
      </c>
    </row>
    <row r="8" spans="1:16" x14ac:dyDescent="0.25">
      <c r="A8" t="s">
        <v>4</v>
      </c>
      <c r="B8" s="1">
        <v>39783</v>
      </c>
      <c r="C8" t="s">
        <v>5</v>
      </c>
      <c r="D8">
        <v>15472793</v>
      </c>
      <c r="G8" t="s">
        <v>6</v>
      </c>
      <c r="H8" s="1">
        <v>40269</v>
      </c>
      <c r="I8" t="s">
        <v>7</v>
      </c>
      <c r="J8">
        <v>276239169</v>
      </c>
      <c r="M8" t="s">
        <v>8</v>
      </c>
      <c r="N8" s="1">
        <v>41244</v>
      </c>
      <c r="O8" t="s">
        <v>9</v>
      </c>
      <c r="P8">
        <v>2237392773</v>
      </c>
    </row>
    <row r="9" spans="1:16" x14ac:dyDescent="0.25">
      <c r="A9" t="s">
        <v>4</v>
      </c>
      <c r="B9" s="1">
        <v>39845</v>
      </c>
      <c r="C9" t="s">
        <v>5</v>
      </c>
      <c r="D9">
        <v>606866675</v>
      </c>
      <c r="G9" t="s">
        <v>6</v>
      </c>
      <c r="H9" s="1">
        <v>40299</v>
      </c>
      <c r="I9" t="s">
        <v>7</v>
      </c>
      <c r="J9">
        <v>515525281</v>
      </c>
      <c r="M9" t="s">
        <v>8</v>
      </c>
      <c r="N9" s="1">
        <v>41275</v>
      </c>
      <c r="O9" t="s">
        <v>9</v>
      </c>
      <c r="P9">
        <v>3299880097</v>
      </c>
    </row>
    <row r="10" spans="1:16" x14ac:dyDescent="0.25">
      <c r="A10" t="s">
        <v>4</v>
      </c>
      <c r="B10" s="1">
        <v>39873</v>
      </c>
      <c r="C10" t="s">
        <v>5</v>
      </c>
      <c r="D10">
        <v>623061660</v>
      </c>
      <c r="G10" t="s">
        <v>6</v>
      </c>
      <c r="H10" s="1">
        <v>40330</v>
      </c>
      <c r="I10" t="s">
        <v>7</v>
      </c>
      <c r="J10">
        <v>268918822</v>
      </c>
      <c r="M10" t="s">
        <v>8</v>
      </c>
      <c r="N10" s="1">
        <v>41306</v>
      </c>
      <c r="O10" t="s">
        <v>9</v>
      </c>
      <c r="P10">
        <v>2808516054</v>
      </c>
    </row>
    <row r="11" spans="1:16" x14ac:dyDescent="0.25">
      <c r="A11" t="s">
        <v>4</v>
      </c>
      <c r="B11" s="1">
        <v>39904</v>
      </c>
      <c r="C11" t="s">
        <v>5</v>
      </c>
      <c r="D11">
        <v>546074282</v>
      </c>
      <c r="G11" t="s">
        <v>6</v>
      </c>
      <c r="H11" s="1">
        <v>40360</v>
      </c>
      <c r="I11" t="s">
        <v>7</v>
      </c>
      <c r="J11">
        <v>208691302</v>
      </c>
      <c r="M11" t="s">
        <v>8</v>
      </c>
      <c r="N11" s="1">
        <v>41334</v>
      </c>
      <c r="O11" t="s">
        <v>9</v>
      </c>
      <c r="P11">
        <v>2186380753</v>
      </c>
    </row>
    <row r="12" spans="1:16" x14ac:dyDescent="0.25">
      <c r="A12" t="s">
        <v>4</v>
      </c>
      <c r="B12" s="1">
        <v>39934</v>
      </c>
      <c r="C12" t="s">
        <v>5</v>
      </c>
      <c r="D12">
        <v>6652777952</v>
      </c>
      <c r="G12" t="s">
        <v>6</v>
      </c>
      <c r="H12" s="1">
        <v>40391</v>
      </c>
      <c r="I12" t="s">
        <v>7</v>
      </c>
      <c r="J12">
        <v>355715456</v>
      </c>
      <c r="M12" t="s">
        <v>8</v>
      </c>
      <c r="N12" s="1">
        <v>41365</v>
      </c>
      <c r="O12" t="s">
        <v>9</v>
      </c>
      <c r="P12">
        <v>2498076581</v>
      </c>
    </row>
    <row r="13" spans="1:16" x14ac:dyDescent="0.25">
      <c r="A13" t="s">
        <v>4</v>
      </c>
      <c r="B13" s="1">
        <v>39965</v>
      </c>
      <c r="C13" t="s">
        <v>5</v>
      </c>
      <c r="D13">
        <v>2725053911</v>
      </c>
      <c r="G13" t="s">
        <v>6</v>
      </c>
      <c r="H13" s="1">
        <v>40422</v>
      </c>
      <c r="I13" t="s">
        <v>7</v>
      </c>
      <c r="J13">
        <v>352412504</v>
      </c>
      <c r="M13" t="s">
        <v>8</v>
      </c>
      <c r="N13" s="1">
        <v>41395</v>
      </c>
      <c r="O13" t="s">
        <v>9</v>
      </c>
      <c r="P13">
        <v>1858786075</v>
      </c>
    </row>
    <row r="14" spans="1:16" x14ac:dyDescent="0.25">
      <c r="A14" t="s">
        <v>4</v>
      </c>
      <c r="B14" s="1">
        <v>39995</v>
      </c>
      <c r="C14" t="s">
        <v>5</v>
      </c>
      <c r="D14">
        <v>1624491993</v>
      </c>
      <c r="G14" t="s">
        <v>6</v>
      </c>
      <c r="H14" s="1">
        <v>40452</v>
      </c>
      <c r="I14" t="s">
        <v>7</v>
      </c>
      <c r="J14">
        <v>319947067</v>
      </c>
      <c r="M14" t="s">
        <v>8</v>
      </c>
      <c r="N14" s="1">
        <v>41426</v>
      </c>
      <c r="O14" t="s">
        <v>9</v>
      </c>
      <c r="P14">
        <v>1553402361</v>
      </c>
    </row>
    <row r="15" spans="1:16" x14ac:dyDescent="0.25">
      <c r="A15" t="s">
        <v>4</v>
      </c>
      <c r="B15" s="1">
        <v>40026</v>
      </c>
      <c r="C15" t="s">
        <v>5</v>
      </c>
      <c r="D15">
        <v>2273648931</v>
      </c>
      <c r="G15" t="s">
        <v>6</v>
      </c>
      <c r="H15" s="1">
        <v>40483</v>
      </c>
      <c r="I15" t="s">
        <v>7</v>
      </c>
      <c r="J15">
        <v>369679660</v>
      </c>
      <c r="M15" t="s">
        <v>8</v>
      </c>
      <c r="N15" s="1">
        <v>41456</v>
      </c>
      <c r="O15" t="s">
        <v>9</v>
      </c>
      <c r="P15">
        <v>1434823555</v>
      </c>
    </row>
    <row r="16" spans="1:16" x14ac:dyDescent="0.25">
      <c r="A16" t="s">
        <v>4</v>
      </c>
      <c r="B16" s="1">
        <v>40057</v>
      </c>
      <c r="C16" t="s">
        <v>5</v>
      </c>
      <c r="D16">
        <v>3730886516</v>
      </c>
      <c r="G16" t="s">
        <v>6</v>
      </c>
      <c r="H16" s="1">
        <v>40513</v>
      </c>
      <c r="I16" t="s">
        <v>7</v>
      </c>
      <c r="J16">
        <v>504226385</v>
      </c>
      <c r="M16" t="s">
        <v>8</v>
      </c>
      <c r="N16" s="1">
        <v>41487</v>
      </c>
      <c r="O16" t="s">
        <v>9</v>
      </c>
      <c r="P16">
        <v>1187325480</v>
      </c>
    </row>
    <row r="17" spans="1:16" x14ac:dyDescent="0.25">
      <c r="A17" t="s">
        <v>4</v>
      </c>
      <c r="B17" s="1">
        <v>40087</v>
      </c>
      <c r="C17" t="s">
        <v>5</v>
      </c>
      <c r="D17">
        <v>4665758807</v>
      </c>
      <c r="G17" t="s">
        <v>6</v>
      </c>
      <c r="H17" s="1">
        <v>40544</v>
      </c>
      <c r="I17" t="s">
        <v>7</v>
      </c>
      <c r="J17">
        <v>481880967</v>
      </c>
      <c r="M17" t="s">
        <v>8</v>
      </c>
      <c r="N17" s="1">
        <v>41518</v>
      </c>
      <c r="O17" t="s">
        <v>9</v>
      </c>
      <c r="P17">
        <v>743460848</v>
      </c>
    </row>
    <row r="18" spans="1:16" x14ac:dyDescent="0.25">
      <c r="A18" t="s">
        <v>4</v>
      </c>
      <c r="B18" s="1">
        <v>40118</v>
      </c>
      <c r="C18" t="s">
        <v>5</v>
      </c>
      <c r="D18">
        <v>3150141035</v>
      </c>
      <c r="G18" t="s">
        <v>6</v>
      </c>
      <c r="H18" s="1">
        <v>40575</v>
      </c>
      <c r="I18" t="s">
        <v>7</v>
      </c>
      <c r="J18">
        <v>511593118</v>
      </c>
      <c r="M18" t="s">
        <v>8</v>
      </c>
      <c r="N18" s="1">
        <v>41548</v>
      </c>
      <c r="O18" t="s">
        <v>9</v>
      </c>
      <c r="P18">
        <v>615254685</v>
      </c>
    </row>
    <row r="19" spans="1:16" x14ac:dyDescent="0.25">
      <c r="A19" t="s">
        <v>4</v>
      </c>
      <c r="B19" s="1">
        <v>40148</v>
      </c>
      <c r="C19" t="s">
        <v>5</v>
      </c>
      <c r="D19">
        <v>2924169385</v>
      </c>
      <c r="G19" t="s">
        <v>6</v>
      </c>
      <c r="H19" s="1">
        <v>40603</v>
      </c>
      <c r="I19" t="s">
        <v>7</v>
      </c>
      <c r="J19">
        <v>618688301</v>
      </c>
      <c r="M19" t="s">
        <v>8</v>
      </c>
      <c r="N19" s="1">
        <v>41579</v>
      </c>
      <c r="O19" t="s">
        <v>9</v>
      </c>
      <c r="P19">
        <v>887067278</v>
      </c>
    </row>
    <row r="20" spans="1:16" x14ac:dyDescent="0.25">
      <c r="A20" t="s">
        <v>4</v>
      </c>
      <c r="B20" s="1">
        <v>40179</v>
      </c>
      <c r="C20" t="s">
        <v>5</v>
      </c>
      <c r="D20">
        <v>2634350684</v>
      </c>
      <c r="G20" t="s">
        <v>6</v>
      </c>
      <c r="H20" s="1">
        <v>40634</v>
      </c>
      <c r="I20" t="s">
        <v>7</v>
      </c>
      <c r="J20">
        <v>668998347</v>
      </c>
      <c r="M20" t="s">
        <v>8</v>
      </c>
      <c r="N20" s="1">
        <v>41609</v>
      </c>
      <c r="O20" t="s">
        <v>9</v>
      </c>
      <c r="P20">
        <v>857597466</v>
      </c>
    </row>
    <row r="21" spans="1:16" x14ac:dyDescent="0.25">
      <c r="A21" t="s">
        <v>4</v>
      </c>
      <c r="B21" s="1">
        <v>40210</v>
      </c>
      <c r="C21" t="s">
        <v>5</v>
      </c>
      <c r="D21">
        <v>2597549841</v>
      </c>
      <c r="G21" t="s">
        <v>6</v>
      </c>
      <c r="H21" s="1">
        <v>40664</v>
      </c>
      <c r="I21" t="s">
        <v>7</v>
      </c>
      <c r="J21">
        <v>436513565</v>
      </c>
      <c r="M21" t="s">
        <v>8</v>
      </c>
      <c r="N21" s="1">
        <v>41640</v>
      </c>
      <c r="O21" t="s">
        <v>9</v>
      </c>
      <c r="P21">
        <v>663943847</v>
      </c>
    </row>
    <row r="22" spans="1:16" x14ac:dyDescent="0.25">
      <c r="A22" t="s">
        <v>4</v>
      </c>
      <c r="B22" s="1">
        <v>40238</v>
      </c>
      <c r="C22" t="s">
        <v>5</v>
      </c>
      <c r="D22">
        <v>2808514374</v>
      </c>
      <c r="G22" t="s">
        <v>6</v>
      </c>
      <c r="H22" s="1">
        <v>40695</v>
      </c>
      <c r="I22" t="s">
        <v>7</v>
      </c>
      <c r="J22">
        <v>714756687</v>
      </c>
      <c r="M22" t="s">
        <v>8</v>
      </c>
      <c r="N22" s="1">
        <v>41671</v>
      </c>
      <c r="O22" t="s">
        <v>9</v>
      </c>
      <c r="P22">
        <v>261049913</v>
      </c>
    </row>
    <row r="23" spans="1:16" x14ac:dyDescent="0.25">
      <c r="A23" t="s">
        <v>4</v>
      </c>
      <c r="B23" s="1">
        <v>40269</v>
      </c>
      <c r="C23" t="s">
        <v>5</v>
      </c>
      <c r="D23">
        <v>1861900761</v>
      </c>
      <c r="G23" t="s">
        <v>6</v>
      </c>
      <c r="H23" s="1">
        <v>40725</v>
      </c>
      <c r="I23" t="s">
        <v>7</v>
      </c>
      <c r="J23">
        <v>450007317</v>
      </c>
      <c r="M23" t="s">
        <v>8</v>
      </c>
      <c r="N23" s="1">
        <v>41699</v>
      </c>
      <c r="O23" t="s">
        <v>9</v>
      </c>
      <c r="P23">
        <v>214559704</v>
      </c>
    </row>
    <row r="24" spans="1:16" x14ac:dyDescent="0.25">
      <c r="A24" t="s">
        <v>4</v>
      </c>
      <c r="B24" s="1">
        <v>40299</v>
      </c>
      <c r="C24" t="s">
        <v>5</v>
      </c>
      <c r="D24">
        <v>2084611821</v>
      </c>
      <c r="G24" t="s">
        <v>6</v>
      </c>
      <c r="H24" s="1">
        <v>40756</v>
      </c>
      <c r="I24" t="s">
        <v>7</v>
      </c>
      <c r="J24">
        <v>544964112</v>
      </c>
      <c r="M24" t="s">
        <v>8</v>
      </c>
      <c r="N24" s="1">
        <v>41730</v>
      </c>
      <c r="O24" t="s">
        <v>9</v>
      </c>
      <c r="P24">
        <v>294932105</v>
      </c>
    </row>
    <row r="25" spans="1:16" x14ac:dyDescent="0.25">
      <c r="A25" t="s">
        <v>4</v>
      </c>
      <c r="B25" s="1">
        <v>40330</v>
      </c>
      <c r="C25" t="s">
        <v>5</v>
      </c>
      <c r="D25">
        <v>1669648250</v>
      </c>
      <c r="G25" t="s">
        <v>6</v>
      </c>
      <c r="H25" s="1">
        <v>40787</v>
      </c>
      <c r="I25" t="s">
        <v>7</v>
      </c>
      <c r="J25">
        <v>632560564</v>
      </c>
      <c r="M25" t="s">
        <v>8</v>
      </c>
      <c r="N25" s="1">
        <v>41760</v>
      </c>
      <c r="O25" t="s">
        <v>9</v>
      </c>
      <c r="P25">
        <v>110770261</v>
      </c>
    </row>
    <row r="26" spans="1:16" x14ac:dyDescent="0.25">
      <c r="A26" t="s">
        <v>4</v>
      </c>
      <c r="B26" s="1">
        <v>40360</v>
      </c>
      <c r="C26" t="s">
        <v>5</v>
      </c>
      <c r="D26">
        <v>3407481735</v>
      </c>
      <c r="G26" t="s">
        <v>6</v>
      </c>
      <c r="H26" s="1">
        <v>40817</v>
      </c>
      <c r="I26" t="s">
        <v>7</v>
      </c>
      <c r="J26">
        <v>575215946</v>
      </c>
      <c r="M26" t="s">
        <v>8</v>
      </c>
      <c r="N26" s="1">
        <v>41791</v>
      </c>
      <c r="O26" t="s">
        <v>9</v>
      </c>
      <c r="P26">
        <v>275221137</v>
      </c>
    </row>
    <row r="27" spans="1:16" x14ac:dyDescent="0.25">
      <c r="A27" t="s">
        <v>4</v>
      </c>
      <c r="B27" s="1">
        <v>40391</v>
      </c>
      <c r="C27" t="s">
        <v>5</v>
      </c>
      <c r="D27">
        <v>3347514541</v>
      </c>
      <c r="G27" t="s">
        <v>6</v>
      </c>
      <c r="H27" s="1">
        <v>40848</v>
      </c>
      <c r="I27" t="s">
        <v>7</v>
      </c>
      <c r="J27">
        <v>570846520</v>
      </c>
      <c r="M27" t="s">
        <v>8</v>
      </c>
      <c r="N27" s="1">
        <v>41821</v>
      </c>
      <c r="O27" t="s">
        <v>9</v>
      </c>
      <c r="P27">
        <v>174927834</v>
      </c>
    </row>
    <row r="28" spans="1:16" x14ac:dyDescent="0.25">
      <c r="A28" t="s">
        <v>4</v>
      </c>
      <c r="B28" s="1">
        <v>40422</v>
      </c>
      <c r="C28" t="s">
        <v>5</v>
      </c>
      <c r="D28">
        <v>4534053251</v>
      </c>
      <c r="G28" t="s">
        <v>6</v>
      </c>
      <c r="H28" s="1">
        <v>40878</v>
      </c>
      <c r="I28" t="s">
        <v>7</v>
      </c>
      <c r="J28">
        <v>363856997</v>
      </c>
      <c r="M28" t="s">
        <v>8</v>
      </c>
      <c r="N28" s="1">
        <v>41852</v>
      </c>
      <c r="O28" t="s">
        <v>9</v>
      </c>
      <c r="P28">
        <v>330911502</v>
      </c>
    </row>
    <row r="29" spans="1:16" x14ac:dyDescent="0.25">
      <c r="A29" t="s">
        <v>4</v>
      </c>
      <c r="B29" s="1">
        <v>40452</v>
      </c>
      <c r="C29" t="s">
        <v>5</v>
      </c>
      <c r="D29">
        <v>4710788842</v>
      </c>
      <c r="G29" t="s">
        <v>6</v>
      </c>
      <c r="H29" s="1">
        <v>40909</v>
      </c>
      <c r="I29" t="s">
        <v>7</v>
      </c>
      <c r="J29">
        <v>964656975</v>
      </c>
      <c r="M29" t="s">
        <v>8</v>
      </c>
      <c r="N29" s="1">
        <v>41883</v>
      </c>
      <c r="O29" t="s">
        <v>9</v>
      </c>
      <c r="P29">
        <v>120745416</v>
      </c>
    </row>
    <row r="30" spans="1:16" x14ac:dyDescent="0.25">
      <c r="A30" t="s">
        <v>4</v>
      </c>
      <c r="B30" s="1">
        <v>40483</v>
      </c>
      <c r="C30" t="s">
        <v>5</v>
      </c>
      <c r="D30">
        <v>4435127896</v>
      </c>
      <c r="G30" t="s">
        <v>6</v>
      </c>
      <c r="H30" s="1">
        <v>40940</v>
      </c>
      <c r="I30" t="s">
        <v>7</v>
      </c>
      <c r="J30">
        <v>935368647</v>
      </c>
      <c r="M30" t="s">
        <v>8</v>
      </c>
      <c r="N30" s="1">
        <v>41913</v>
      </c>
      <c r="O30" t="s">
        <v>9</v>
      </c>
      <c r="P30">
        <v>385881834</v>
      </c>
    </row>
    <row r="31" spans="1:16" x14ac:dyDescent="0.25">
      <c r="A31" t="s">
        <v>4</v>
      </c>
      <c r="B31" s="1">
        <v>40513</v>
      </c>
      <c r="C31" t="s">
        <v>5</v>
      </c>
      <c r="D31">
        <v>5168634747</v>
      </c>
      <c r="G31" t="s">
        <v>6</v>
      </c>
      <c r="H31" s="1">
        <v>40969</v>
      </c>
      <c r="I31" t="s">
        <v>7</v>
      </c>
      <c r="J31">
        <v>1830004532</v>
      </c>
      <c r="M31" t="s">
        <v>8</v>
      </c>
      <c r="N31" s="1">
        <v>41944</v>
      </c>
      <c r="O31" t="s">
        <v>9</v>
      </c>
      <c r="P31">
        <v>230866169</v>
      </c>
    </row>
    <row r="32" spans="1:16" x14ac:dyDescent="0.25">
      <c r="A32" t="s">
        <v>4</v>
      </c>
      <c r="B32" s="1">
        <v>40544</v>
      </c>
      <c r="C32" t="s">
        <v>5</v>
      </c>
      <c r="D32">
        <v>4772517239</v>
      </c>
      <c r="G32" t="s">
        <v>6</v>
      </c>
      <c r="H32" s="1">
        <v>41000</v>
      </c>
      <c r="I32" t="s">
        <v>7</v>
      </c>
      <c r="J32">
        <v>1283593895</v>
      </c>
      <c r="M32" t="s">
        <v>8</v>
      </c>
      <c r="N32" s="1">
        <v>41974</v>
      </c>
      <c r="O32" t="s">
        <v>9</v>
      </c>
      <c r="P32">
        <v>1261524465</v>
      </c>
    </row>
    <row r="33" spans="1:16" x14ac:dyDescent="0.25">
      <c r="A33" t="s">
        <v>4</v>
      </c>
      <c r="B33" s="1">
        <v>40575</v>
      </c>
      <c r="C33" t="s">
        <v>5</v>
      </c>
      <c r="D33">
        <v>3322794637</v>
      </c>
      <c r="G33" t="s">
        <v>6</v>
      </c>
      <c r="H33" s="1">
        <v>41030</v>
      </c>
      <c r="I33" t="s">
        <v>7</v>
      </c>
      <c r="J33">
        <v>2238872332</v>
      </c>
      <c r="M33" t="s">
        <v>8</v>
      </c>
      <c r="N33" s="1">
        <v>42005</v>
      </c>
      <c r="O33" t="s">
        <v>9</v>
      </c>
      <c r="P33">
        <v>143096287</v>
      </c>
    </row>
    <row r="34" spans="1:16" x14ac:dyDescent="0.25">
      <c r="A34" t="s">
        <v>4</v>
      </c>
      <c r="B34" s="1">
        <v>40603</v>
      </c>
      <c r="C34" t="s">
        <v>5</v>
      </c>
      <c r="D34">
        <v>2879069981</v>
      </c>
      <c r="G34" t="s">
        <v>6</v>
      </c>
      <c r="H34" s="1">
        <v>41061</v>
      </c>
      <c r="I34" t="s">
        <v>7</v>
      </c>
      <c r="J34">
        <v>2674159779</v>
      </c>
      <c r="M34" t="s">
        <v>8</v>
      </c>
      <c r="N34" s="1">
        <v>42036</v>
      </c>
      <c r="O34" t="s">
        <v>9</v>
      </c>
      <c r="P34">
        <v>127311006</v>
      </c>
    </row>
    <row r="35" spans="1:16" x14ac:dyDescent="0.25">
      <c r="A35" t="s">
        <v>4</v>
      </c>
      <c r="B35" s="1">
        <v>40634</v>
      </c>
      <c r="C35" t="s">
        <v>5</v>
      </c>
      <c r="D35">
        <v>1365959263</v>
      </c>
      <c r="G35" t="s">
        <v>6</v>
      </c>
      <c r="H35" s="1">
        <v>41091</v>
      </c>
      <c r="I35" t="s">
        <v>7</v>
      </c>
      <c r="J35">
        <v>2691500965</v>
      </c>
      <c r="M35" t="s">
        <v>8</v>
      </c>
      <c r="N35" s="1">
        <v>42064</v>
      </c>
      <c r="O35" t="s">
        <v>9</v>
      </c>
      <c r="P35">
        <v>155150153</v>
      </c>
    </row>
    <row r="36" spans="1:16" x14ac:dyDescent="0.25">
      <c r="A36" t="s">
        <v>4</v>
      </c>
      <c r="B36" s="1">
        <v>40664</v>
      </c>
      <c r="C36" t="s">
        <v>5</v>
      </c>
      <c r="D36">
        <v>1679348065</v>
      </c>
      <c r="G36" t="s">
        <v>6</v>
      </c>
      <c r="H36" s="1">
        <v>41122</v>
      </c>
      <c r="I36" t="s">
        <v>7</v>
      </c>
      <c r="J36">
        <v>2705488507</v>
      </c>
      <c r="M36" t="s">
        <v>8</v>
      </c>
      <c r="N36" s="1">
        <v>42095</v>
      </c>
      <c r="O36" t="s">
        <v>9</v>
      </c>
      <c r="P36">
        <v>91162697</v>
      </c>
    </row>
    <row r="37" spans="1:16" x14ac:dyDescent="0.25">
      <c r="A37" t="s">
        <v>4</v>
      </c>
      <c r="B37" s="1">
        <v>40695</v>
      </c>
      <c r="C37" t="s">
        <v>5</v>
      </c>
      <c r="D37">
        <v>1470720552</v>
      </c>
      <c r="G37" t="s">
        <v>6</v>
      </c>
      <c r="H37" s="1">
        <v>41153</v>
      </c>
      <c r="I37" t="s">
        <v>7</v>
      </c>
      <c r="J37">
        <v>2507345171</v>
      </c>
    </row>
    <row r="38" spans="1:16" x14ac:dyDescent="0.25">
      <c r="A38" t="s">
        <v>4</v>
      </c>
      <c r="B38" s="1">
        <v>40725</v>
      </c>
      <c r="C38" t="s">
        <v>5</v>
      </c>
      <c r="D38">
        <v>1755684824</v>
      </c>
      <c r="G38" t="s">
        <v>6</v>
      </c>
      <c r="H38" s="1">
        <v>41183</v>
      </c>
      <c r="I38" t="s">
        <v>7</v>
      </c>
      <c r="J38">
        <v>1886237333</v>
      </c>
    </row>
    <row r="39" spans="1:16" x14ac:dyDescent="0.25">
      <c r="A39" t="s">
        <v>4</v>
      </c>
      <c r="B39" s="1">
        <v>40756</v>
      </c>
      <c r="C39" t="s">
        <v>5</v>
      </c>
      <c r="D39">
        <v>2242690757</v>
      </c>
      <c r="G39" t="s">
        <v>6</v>
      </c>
      <c r="H39" s="1">
        <v>41214</v>
      </c>
      <c r="I39" t="s">
        <v>7</v>
      </c>
      <c r="J39">
        <v>3089976460</v>
      </c>
    </row>
    <row r="40" spans="1:16" x14ac:dyDescent="0.25">
      <c r="A40" t="s">
        <v>4</v>
      </c>
      <c r="B40" s="1">
        <v>40787</v>
      </c>
      <c r="C40" t="s">
        <v>5</v>
      </c>
      <c r="D40">
        <v>4005917312</v>
      </c>
      <c r="G40" t="s">
        <v>6</v>
      </c>
      <c r="H40" s="1">
        <v>41244</v>
      </c>
      <c r="I40" t="s">
        <v>7</v>
      </c>
      <c r="J40">
        <v>1925814668</v>
      </c>
    </row>
    <row r="41" spans="1:16" x14ac:dyDescent="0.25">
      <c r="A41" t="s">
        <v>4</v>
      </c>
      <c r="B41" s="1">
        <v>40817</v>
      </c>
      <c r="C41" t="s">
        <v>5</v>
      </c>
      <c r="D41">
        <v>4409005394</v>
      </c>
      <c r="G41" t="s">
        <v>6</v>
      </c>
      <c r="H41" s="1">
        <v>41275</v>
      </c>
      <c r="I41" t="s">
        <v>7</v>
      </c>
      <c r="J41">
        <v>2387371027</v>
      </c>
    </row>
    <row r="42" spans="1:16" x14ac:dyDescent="0.25">
      <c r="A42" t="s">
        <v>4</v>
      </c>
      <c r="B42" s="1">
        <v>40848</v>
      </c>
      <c r="C42" t="s">
        <v>5</v>
      </c>
      <c r="D42">
        <v>4642886367</v>
      </c>
      <c r="G42" t="s">
        <v>6</v>
      </c>
      <c r="H42" s="1">
        <v>41306</v>
      </c>
      <c r="I42" t="s">
        <v>7</v>
      </c>
      <c r="J42">
        <v>2217599892</v>
      </c>
    </row>
    <row r="43" spans="1:16" x14ac:dyDescent="0.25">
      <c r="A43" t="s">
        <v>4</v>
      </c>
      <c r="B43" s="1">
        <v>40878</v>
      </c>
      <c r="C43" t="s">
        <v>5</v>
      </c>
      <c r="D43">
        <v>2231440428</v>
      </c>
      <c r="G43" t="s">
        <v>6</v>
      </c>
      <c r="H43" s="1">
        <v>41334</v>
      </c>
      <c r="I43" t="s">
        <v>7</v>
      </c>
      <c r="J43">
        <v>2074956858</v>
      </c>
    </row>
    <row r="44" spans="1:16" x14ac:dyDescent="0.25">
      <c r="A44" t="s">
        <v>4</v>
      </c>
      <c r="B44" s="1">
        <v>40909</v>
      </c>
      <c r="C44" t="s">
        <v>5</v>
      </c>
      <c r="D44">
        <v>1557100159</v>
      </c>
      <c r="G44" t="s">
        <v>6</v>
      </c>
      <c r="H44" s="1">
        <v>41365</v>
      </c>
      <c r="I44" t="s">
        <v>7</v>
      </c>
      <c r="J44">
        <v>2243146531</v>
      </c>
    </row>
    <row r="45" spans="1:16" x14ac:dyDescent="0.25">
      <c r="A45" t="s">
        <v>4</v>
      </c>
      <c r="B45" s="1">
        <v>40940</v>
      </c>
      <c r="C45" t="s">
        <v>5</v>
      </c>
      <c r="D45">
        <v>1459805763</v>
      </c>
      <c r="G45" t="s">
        <v>6</v>
      </c>
      <c r="H45" s="1">
        <v>41395</v>
      </c>
      <c r="I45" t="s">
        <v>7</v>
      </c>
      <c r="J45">
        <v>1541931533</v>
      </c>
    </row>
    <row r="46" spans="1:16" x14ac:dyDescent="0.25">
      <c r="A46" t="s">
        <v>4</v>
      </c>
      <c r="B46" s="1">
        <v>40969</v>
      </c>
      <c r="C46" t="s">
        <v>5</v>
      </c>
      <c r="D46">
        <v>2893315869</v>
      </c>
      <c r="G46" t="s">
        <v>6</v>
      </c>
      <c r="H46" s="1">
        <v>41426</v>
      </c>
      <c r="I46" t="s">
        <v>7</v>
      </c>
      <c r="J46">
        <v>1758314749</v>
      </c>
    </row>
    <row r="47" spans="1:16" x14ac:dyDescent="0.25">
      <c r="A47" t="s">
        <v>4</v>
      </c>
      <c r="B47" s="1">
        <v>41000</v>
      </c>
      <c r="C47" t="s">
        <v>5</v>
      </c>
      <c r="D47">
        <v>853289366</v>
      </c>
      <c r="G47" t="s">
        <v>6</v>
      </c>
      <c r="H47" s="1">
        <v>41456</v>
      </c>
      <c r="I47" t="s">
        <v>7</v>
      </c>
      <c r="J47">
        <v>1616623154</v>
      </c>
    </row>
    <row r="48" spans="1:16" x14ac:dyDescent="0.25">
      <c r="A48" t="s">
        <v>4</v>
      </c>
      <c r="B48" s="1">
        <v>41030</v>
      </c>
      <c r="C48" t="s">
        <v>5</v>
      </c>
      <c r="D48">
        <v>1671001392</v>
      </c>
      <c r="G48" t="s">
        <v>6</v>
      </c>
      <c r="H48" s="1">
        <v>41487</v>
      </c>
      <c r="I48" t="s">
        <v>7</v>
      </c>
      <c r="J48">
        <v>1373502996</v>
      </c>
    </row>
    <row r="49" spans="1:10" x14ac:dyDescent="0.25">
      <c r="A49" t="s">
        <v>4</v>
      </c>
      <c r="B49" s="1">
        <v>41061</v>
      </c>
      <c r="C49" t="s">
        <v>5</v>
      </c>
      <c r="D49">
        <v>1932118315</v>
      </c>
      <c r="G49" t="s">
        <v>6</v>
      </c>
      <c r="H49" s="1">
        <v>41518</v>
      </c>
      <c r="I49" t="s">
        <v>7</v>
      </c>
      <c r="J49">
        <v>960260689</v>
      </c>
    </row>
    <row r="50" spans="1:10" x14ac:dyDescent="0.25">
      <c r="A50" t="s">
        <v>4</v>
      </c>
      <c r="B50" s="1">
        <v>41091</v>
      </c>
      <c r="C50" t="s">
        <v>5</v>
      </c>
      <c r="D50">
        <v>2752296610</v>
      </c>
      <c r="G50" t="s">
        <v>6</v>
      </c>
      <c r="H50" s="1">
        <v>41548</v>
      </c>
      <c r="I50" t="s">
        <v>7</v>
      </c>
      <c r="J50">
        <v>817694911</v>
      </c>
    </row>
    <row r="51" spans="1:10" x14ac:dyDescent="0.25">
      <c r="A51" t="s">
        <v>4</v>
      </c>
      <c r="B51" s="1">
        <v>41122</v>
      </c>
      <c r="C51" t="s">
        <v>5</v>
      </c>
      <c r="D51">
        <v>3126742934</v>
      </c>
      <c r="G51" t="s">
        <v>6</v>
      </c>
      <c r="H51" s="1">
        <v>41579</v>
      </c>
      <c r="I51" t="s">
        <v>7</v>
      </c>
      <c r="J51">
        <v>650781591</v>
      </c>
    </row>
    <row r="52" spans="1:10" x14ac:dyDescent="0.25">
      <c r="A52" t="s">
        <v>4</v>
      </c>
      <c r="B52" s="1">
        <v>41153</v>
      </c>
      <c r="C52" t="s">
        <v>5</v>
      </c>
      <c r="D52">
        <v>3245152246</v>
      </c>
      <c r="G52" t="s">
        <v>6</v>
      </c>
      <c r="H52" s="1">
        <v>41609</v>
      </c>
      <c r="I52" t="s">
        <v>7</v>
      </c>
      <c r="J52">
        <v>755691585</v>
      </c>
    </row>
    <row r="53" spans="1:10" x14ac:dyDescent="0.25">
      <c r="A53" t="s">
        <v>4</v>
      </c>
      <c r="B53" s="1">
        <v>41183</v>
      </c>
      <c r="C53" t="s">
        <v>5</v>
      </c>
      <c r="D53">
        <v>2054054786</v>
      </c>
      <c r="G53" t="s">
        <v>6</v>
      </c>
      <c r="H53" s="1">
        <v>41640</v>
      </c>
      <c r="I53" t="s">
        <v>7</v>
      </c>
      <c r="J53">
        <v>438784911</v>
      </c>
    </row>
    <row r="54" spans="1:10" x14ac:dyDescent="0.25">
      <c r="A54" t="s">
        <v>4</v>
      </c>
      <c r="B54" s="1">
        <v>41214</v>
      </c>
      <c r="C54" t="s">
        <v>5</v>
      </c>
      <c r="D54">
        <v>3993010447</v>
      </c>
      <c r="G54" t="s">
        <v>6</v>
      </c>
      <c r="H54" s="1">
        <v>41671</v>
      </c>
      <c r="I54" t="s">
        <v>7</v>
      </c>
      <c r="J54">
        <v>399641559</v>
      </c>
    </row>
    <row r="55" spans="1:10" x14ac:dyDescent="0.25">
      <c r="A55" t="s">
        <v>4</v>
      </c>
      <c r="B55" s="1">
        <v>41244</v>
      </c>
      <c r="C55" t="s">
        <v>5</v>
      </c>
      <c r="D55">
        <v>1214802344</v>
      </c>
      <c r="G55" t="s">
        <v>6</v>
      </c>
      <c r="H55" s="1">
        <v>41699</v>
      </c>
      <c r="I55" t="s">
        <v>7</v>
      </c>
      <c r="J55">
        <v>313566996</v>
      </c>
    </row>
    <row r="56" spans="1:10" x14ac:dyDescent="0.25">
      <c r="A56" t="s">
        <v>4</v>
      </c>
      <c r="B56" s="1">
        <v>41275</v>
      </c>
      <c r="C56" t="s">
        <v>5</v>
      </c>
      <c r="D56">
        <v>3321638962</v>
      </c>
      <c r="G56" t="s">
        <v>6</v>
      </c>
      <c r="H56" s="1">
        <v>41730</v>
      </c>
      <c r="I56" t="s">
        <v>7</v>
      </c>
      <c r="J56">
        <v>255206728</v>
      </c>
    </row>
    <row r="57" spans="1:10" x14ac:dyDescent="0.25">
      <c r="A57" t="s">
        <v>4</v>
      </c>
      <c r="B57" s="1">
        <v>41306</v>
      </c>
      <c r="C57" t="s">
        <v>5</v>
      </c>
      <c r="D57">
        <v>1888075582</v>
      </c>
      <c r="G57" t="s">
        <v>6</v>
      </c>
      <c r="H57" s="1">
        <v>41760</v>
      </c>
      <c r="I57" t="s">
        <v>7</v>
      </c>
      <c r="J57">
        <v>186037636</v>
      </c>
    </row>
    <row r="58" spans="1:10" x14ac:dyDescent="0.25">
      <c r="A58" t="s">
        <v>4</v>
      </c>
      <c r="B58" s="1">
        <v>41334</v>
      </c>
      <c r="C58" t="s">
        <v>5</v>
      </c>
      <c r="D58">
        <v>2116389422</v>
      </c>
      <c r="G58" t="s">
        <v>6</v>
      </c>
      <c r="H58" s="1">
        <v>41791</v>
      </c>
      <c r="I58" t="s">
        <v>7</v>
      </c>
      <c r="J58">
        <v>244291451</v>
      </c>
    </row>
    <row r="59" spans="1:10" x14ac:dyDescent="0.25">
      <c r="A59" t="s">
        <v>4</v>
      </c>
      <c r="B59" s="1">
        <v>41365</v>
      </c>
      <c r="C59" t="s">
        <v>5</v>
      </c>
      <c r="D59">
        <v>2271806082</v>
      </c>
      <c r="G59" t="s">
        <v>6</v>
      </c>
      <c r="H59" s="1">
        <v>41821</v>
      </c>
      <c r="I59" t="s">
        <v>7</v>
      </c>
      <c r="J59">
        <v>206481264</v>
      </c>
    </row>
    <row r="60" spans="1:10" x14ac:dyDescent="0.25">
      <c r="A60" t="s">
        <v>4</v>
      </c>
      <c r="B60" s="1">
        <v>41395</v>
      </c>
      <c r="C60" t="s">
        <v>5</v>
      </c>
      <c r="D60">
        <v>2019206225</v>
      </c>
      <c r="G60" t="s">
        <v>6</v>
      </c>
      <c r="H60" s="1">
        <v>41852</v>
      </c>
      <c r="I60" t="s">
        <v>7</v>
      </c>
      <c r="J60">
        <v>346554888</v>
      </c>
    </row>
    <row r="61" spans="1:10" x14ac:dyDescent="0.25">
      <c r="A61" t="s">
        <v>4</v>
      </c>
      <c r="B61" s="1">
        <v>41426</v>
      </c>
      <c r="C61" t="s">
        <v>5</v>
      </c>
      <c r="D61">
        <v>2418493907</v>
      </c>
      <c r="G61" t="s">
        <v>6</v>
      </c>
      <c r="H61" s="1">
        <v>41883</v>
      </c>
      <c r="I61" t="s">
        <v>7</v>
      </c>
      <c r="J61">
        <v>187308272</v>
      </c>
    </row>
    <row r="62" spans="1:10" x14ac:dyDescent="0.25">
      <c r="A62" t="s">
        <v>4</v>
      </c>
      <c r="B62" s="1">
        <v>41456</v>
      </c>
      <c r="C62" t="s">
        <v>5</v>
      </c>
      <c r="D62">
        <v>1885265938</v>
      </c>
      <c r="G62" t="s">
        <v>6</v>
      </c>
      <c r="H62" s="1">
        <v>41913</v>
      </c>
      <c r="I62" t="s">
        <v>7</v>
      </c>
      <c r="J62">
        <v>169366238</v>
      </c>
    </row>
    <row r="63" spans="1:10" x14ac:dyDescent="0.25">
      <c r="A63" t="s">
        <v>4</v>
      </c>
      <c r="B63" s="1">
        <v>41487</v>
      </c>
      <c r="C63" t="s">
        <v>5</v>
      </c>
      <c r="D63">
        <v>1634700327</v>
      </c>
      <c r="G63" t="s">
        <v>6</v>
      </c>
      <c r="H63" s="1">
        <v>41944</v>
      </c>
      <c r="I63" t="s">
        <v>7</v>
      </c>
      <c r="J63">
        <v>371096000</v>
      </c>
    </row>
    <row r="64" spans="1:10" x14ac:dyDescent="0.25">
      <c r="A64" t="s">
        <v>4</v>
      </c>
      <c r="B64" s="1">
        <v>41518</v>
      </c>
      <c r="C64" t="s">
        <v>5</v>
      </c>
      <c r="D64">
        <v>971826383</v>
      </c>
      <c r="G64" t="s">
        <v>6</v>
      </c>
      <c r="H64" s="1">
        <v>41974</v>
      </c>
      <c r="I64" t="s">
        <v>7</v>
      </c>
      <c r="J64">
        <v>145992266</v>
      </c>
    </row>
    <row r="65" spans="1:10" x14ac:dyDescent="0.25">
      <c r="A65" t="s">
        <v>4</v>
      </c>
      <c r="B65" s="1">
        <v>41548</v>
      </c>
      <c r="C65" t="s">
        <v>5</v>
      </c>
      <c r="D65">
        <v>841860222</v>
      </c>
      <c r="G65" t="s">
        <v>6</v>
      </c>
      <c r="H65" s="1">
        <v>42005</v>
      </c>
      <c r="I65" t="s">
        <v>7</v>
      </c>
      <c r="J65">
        <v>120675652</v>
      </c>
    </row>
    <row r="66" spans="1:10" x14ac:dyDescent="0.25">
      <c r="A66" t="s">
        <v>4</v>
      </c>
      <c r="B66" s="1">
        <v>41579</v>
      </c>
      <c r="C66" t="s">
        <v>5</v>
      </c>
      <c r="D66">
        <v>773960857</v>
      </c>
      <c r="G66" t="s">
        <v>6</v>
      </c>
      <c r="H66" s="1">
        <v>42036</v>
      </c>
      <c r="I66" t="s">
        <v>7</v>
      </c>
      <c r="J66">
        <v>469334257</v>
      </c>
    </row>
    <row r="67" spans="1:10" x14ac:dyDescent="0.25">
      <c r="A67" t="s">
        <v>4</v>
      </c>
      <c r="B67" s="1">
        <v>41609</v>
      </c>
      <c r="C67" t="s">
        <v>5</v>
      </c>
      <c r="D67">
        <v>647887853</v>
      </c>
      <c r="G67" t="s">
        <v>6</v>
      </c>
      <c r="H67" s="1">
        <v>42064</v>
      </c>
      <c r="I67" t="s">
        <v>7</v>
      </c>
      <c r="J67">
        <v>104946942</v>
      </c>
    </row>
    <row r="68" spans="1:10" x14ac:dyDescent="0.25">
      <c r="A68" t="s">
        <v>4</v>
      </c>
      <c r="B68" s="1">
        <v>41640</v>
      </c>
      <c r="C68" t="s">
        <v>5</v>
      </c>
      <c r="D68">
        <v>392754952</v>
      </c>
      <c r="G68" t="s">
        <v>6</v>
      </c>
      <c r="H68" s="1">
        <v>42095</v>
      </c>
      <c r="I68" t="s">
        <v>7</v>
      </c>
      <c r="J68">
        <v>96354706</v>
      </c>
    </row>
    <row r="69" spans="1:10" x14ac:dyDescent="0.25">
      <c r="A69" t="s">
        <v>4</v>
      </c>
      <c r="B69" s="1">
        <v>41671</v>
      </c>
      <c r="C69" t="s">
        <v>5</v>
      </c>
      <c r="D69">
        <v>362334810</v>
      </c>
    </row>
    <row r="70" spans="1:10" x14ac:dyDescent="0.25">
      <c r="A70" t="s">
        <v>4</v>
      </c>
      <c r="B70" s="1">
        <v>41699</v>
      </c>
      <c r="C70" t="s">
        <v>5</v>
      </c>
      <c r="D70">
        <v>230227055</v>
      </c>
    </row>
    <row r="71" spans="1:10" x14ac:dyDescent="0.25">
      <c r="A71" t="s">
        <v>4</v>
      </c>
      <c r="B71" s="1">
        <v>41730</v>
      </c>
      <c r="C71" t="s">
        <v>5</v>
      </c>
      <c r="D71">
        <v>278280577</v>
      </c>
    </row>
    <row r="72" spans="1:10" x14ac:dyDescent="0.25">
      <c r="A72" t="s">
        <v>4</v>
      </c>
      <c r="B72" s="1">
        <v>41760</v>
      </c>
      <c r="C72" t="s">
        <v>5</v>
      </c>
      <c r="D72">
        <v>337688908</v>
      </c>
    </row>
    <row r="73" spans="1:10" x14ac:dyDescent="0.25">
      <c r="A73" t="s">
        <v>4</v>
      </c>
      <c r="B73" s="1">
        <v>41791</v>
      </c>
      <c r="C73" t="s">
        <v>5</v>
      </c>
      <c r="D73">
        <v>319731336</v>
      </c>
    </row>
    <row r="74" spans="1:10" x14ac:dyDescent="0.25">
      <c r="A74" t="s">
        <v>4</v>
      </c>
      <c r="B74" s="1">
        <v>41821</v>
      </c>
      <c r="C74" t="s">
        <v>5</v>
      </c>
      <c r="D74">
        <v>562390222</v>
      </c>
    </row>
    <row r="75" spans="1:10" x14ac:dyDescent="0.25">
      <c r="A75" t="s">
        <v>4</v>
      </c>
      <c r="B75" s="1">
        <v>41852</v>
      </c>
      <c r="C75" t="s">
        <v>5</v>
      </c>
      <c r="D75">
        <v>449797295</v>
      </c>
    </row>
    <row r="76" spans="1:10" x14ac:dyDescent="0.25">
      <c r="A76" t="s">
        <v>4</v>
      </c>
      <c r="B76" s="1">
        <v>41883</v>
      </c>
      <c r="C76" t="s">
        <v>5</v>
      </c>
      <c r="D76">
        <v>746264105</v>
      </c>
    </row>
    <row r="77" spans="1:10" x14ac:dyDescent="0.25">
      <c r="A77" t="s">
        <v>4</v>
      </c>
      <c r="B77" s="1">
        <v>41913</v>
      </c>
      <c r="C77" t="s">
        <v>5</v>
      </c>
      <c r="D77">
        <v>639001193</v>
      </c>
    </row>
    <row r="78" spans="1:10" x14ac:dyDescent="0.25">
      <c r="A78" t="s">
        <v>4</v>
      </c>
      <c r="B78" s="1">
        <v>41944</v>
      </c>
      <c r="C78" t="s">
        <v>5</v>
      </c>
      <c r="D78">
        <v>549347202</v>
      </c>
    </row>
    <row r="79" spans="1:10" x14ac:dyDescent="0.25">
      <c r="A79" t="s">
        <v>4</v>
      </c>
      <c r="B79" s="1">
        <v>41974</v>
      </c>
      <c r="C79" t="s">
        <v>5</v>
      </c>
      <c r="D79">
        <v>771028754</v>
      </c>
    </row>
    <row r="80" spans="1:10" x14ac:dyDescent="0.25">
      <c r="A80" t="s">
        <v>4</v>
      </c>
      <c r="B80" s="1">
        <v>42005</v>
      </c>
      <c r="C80" t="s">
        <v>5</v>
      </c>
      <c r="D80">
        <v>667434711</v>
      </c>
    </row>
    <row r="81" spans="1:4" x14ac:dyDescent="0.25">
      <c r="A81" t="s">
        <v>4</v>
      </c>
      <c r="B81" s="1">
        <v>42036</v>
      </c>
      <c r="C81" t="s">
        <v>5</v>
      </c>
      <c r="D81">
        <v>821128260</v>
      </c>
    </row>
    <row r="82" spans="1:4" x14ac:dyDescent="0.25">
      <c r="A82" t="s">
        <v>4</v>
      </c>
      <c r="B82" s="1">
        <v>42064</v>
      </c>
      <c r="C82" t="s">
        <v>5</v>
      </c>
      <c r="D82">
        <v>1012026911</v>
      </c>
    </row>
    <row r="83" spans="1:4" x14ac:dyDescent="0.25">
      <c r="A83" t="s">
        <v>4</v>
      </c>
      <c r="B83" s="1">
        <v>42095</v>
      </c>
      <c r="C83" t="s">
        <v>5</v>
      </c>
      <c r="D83">
        <v>101487746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Sheet1!temp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2015-04-06T15:25:33Z</dcterms:modified>
</cp:coreProperties>
</file>