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390" windowWidth="30435" windowHeight="1740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Query_from_Agency_12" localSheetId="0" hidden="1">Sheet1!$B$3:$C$67</definedName>
  </definedNames>
  <calcPr calcId="145621"/>
</workbook>
</file>

<file path=xl/calcChain.xml><?xml version="1.0" encoding="utf-8"?>
<calcChain xmlns="http://schemas.openxmlformats.org/spreadsheetml/2006/main">
  <c r="I67" i="1" l="1"/>
  <c r="H67" i="1"/>
  <c r="G67" i="1"/>
  <c r="F67" i="1"/>
  <c r="E67" i="1"/>
  <c r="D67" i="1"/>
  <c r="I66" i="1"/>
  <c r="H66" i="1"/>
  <c r="G66" i="1"/>
  <c r="F66" i="1"/>
  <c r="E66" i="1"/>
  <c r="D66" i="1"/>
  <c r="I65" i="1"/>
  <c r="H65" i="1"/>
  <c r="G65" i="1"/>
  <c r="F65" i="1"/>
  <c r="E65" i="1"/>
  <c r="D65" i="1"/>
  <c r="I64" i="1"/>
  <c r="H64" i="1"/>
  <c r="G64" i="1"/>
  <c r="F64" i="1"/>
  <c r="E64" i="1"/>
  <c r="D64" i="1"/>
  <c r="I63" i="1"/>
  <c r="H63" i="1"/>
  <c r="G63" i="1"/>
  <c r="F63" i="1"/>
  <c r="E63" i="1"/>
  <c r="D63" i="1"/>
  <c r="I62" i="1"/>
  <c r="H62" i="1"/>
  <c r="G62" i="1"/>
  <c r="F62" i="1"/>
  <c r="E62" i="1"/>
  <c r="D62" i="1"/>
  <c r="I61" i="1"/>
  <c r="H61" i="1"/>
  <c r="G61" i="1"/>
  <c r="F61" i="1"/>
  <c r="E61" i="1"/>
  <c r="D61" i="1"/>
  <c r="I60" i="1"/>
  <c r="H60" i="1"/>
  <c r="G60" i="1"/>
  <c r="F60" i="1"/>
  <c r="E60" i="1"/>
  <c r="D60" i="1"/>
  <c r="I59" i="1"/>
  <c r="H59" i="1"/>
  <c r="G59" i="1"/>
  <c r="F59" i="1"/>
  <c r="E59" i="1"/>
  <c r="D59" i="1"/>
  <c r="I58" i="1"/>
  <c r="H58" i="1"/>
  <c r="G58" i="1"/>
  <c r="F58" i="1"/>
  <c r="E58" i="1"/>
  <c r="D58" i="1"/>
  <c r="I57" i="1"/>
  <c r="H57" i="1"/>
  <c r="G57" i="1"/>
  <c r="F57" i="1"/>
  <c r="E57" i="1"/>
  <c r="D57" i="1"/>
  <c r="I56" i="1"/>
  <c r="H56" i="1"/>
  <c r="G56" i="1"/>
  <c r="F56" i="1"/>
  <c r="E56" i="1"/>
  <c r="D56" i="1"/>
  <c r="I55" i="1"/>
  <c r="H55" i="1"/>
  <c r="G55" i="1"/>
  <c r="F55" i="1"/>
  <c r="E55" i="1"/>
  <c r="D55" i="1"/>
  <c r="I54" i="1"/>
  <c r="H54" i="1"/>
  <c r="G54" i="1"/>
  <c r="F54" i="1"/>
  <c r="E54" i="1"/>
  <c r="D54" i="1"/>
  <c r="I53" i="1"/>
  <c r="H53" i="1"/>
  <c r="G53" i="1"/>
  <c r="F53" i="1"/>
  <c r="E53" i="1"/>
  <c r="D53" i="1"/>
  <c r="I52" i="1"/>
  <c r="H52" i="1"/>
  <c r="G52" i="1"/>
  <c r="F52" i="1"/>
  <c r="E52" i="1"/>
  <c r="D52" i="1"/>
  <c r="I51" i="1"/>
  <c r="H51" i="1"/>
  <c r="G51" i="1"/>
  <c r="F51" i="1"/>
  <c r="E51" i="1"/>
  <c r="D51" i="1"/>
  <c r="I50" i="1"/>
  <c r="H50" i="1"/>
  <c r="G50" i="1"/>
  <c r="F50" i="1"/>
  <c r="E50" i="1"/>
  <c r="D50" i="1"/>
  <c r="I49" i="1"/>
  <c r="H49" i="1"/>
  <c r="G49" i="1"/>
  <c r="F49" i="1"/>
  <c r="E49" i="1"/>
  <c r="D49" i="1"/>
  <c r="I48" i="1"/>
  <c r="H48" i="1"/>
  <c r="G48" i="1"/>
  <c r="F48" i="1"/>
  <c r="E48" i="1"/>
  <c r="D48" i="1"/>
  <c r="I47" i="1"/>
  <c r="H47" i="1"/>
  <c r="G47" i="1"/>
  <c r="F47" i="1"/>
  <c r="E47" i="1"/>
  <c r="D47" i="1"/>
  <c r="I46" i="1"/>
  <c r="H46" i="1"/>
  <c r="G46" i="1"/>
  <c r="F46" i="1"/>
  <c r="E46" i="1"/>
  <c r="D46" i="1"/>
  <c r="I45" i="1"/>
  <c r="H45" i="1"/>
  <c r="G45" i="1"/>
  <c r="F45" i="1"/>
  <c r="E45" i="1"/>
  <c r="D45" i="1"/>
  <c r="I44" i="1"/>
  <c r="H44" i="1"/>
  <c r="G44" i="1"/>
  <c r="F44" i="1"/>
  <c r="E44" i="1"/>
  <c r="D44" i="1"/>
  <c r="I43" i="1"/>
  <c r="H43" i="1"/>
  <c r="G43" i="1"/>
  <c r="F43" i="1"/>
  <c r="E43" i="1"/>
  <c r="D43" i="1"/>
  <c r="I42" i="1"/>
  <c r="H42" i="1"/>
  <c r="G42" i="1"/>
  <c r="F42" i="1"/>
  <c r="E42" i="1"/>
  <c r="D42" i="1"/>
  <c r="I41" i="1"/>
  <c r="H41" i="1"/>
  <c r="G41" i="1"/>
  <c r="F41" i="1"/>
  <c r="E41" i="1"/>
  <c r="D41" i="1"/>
  <c r="I40" i="1"/>
  <c r="H40" i="1"/>
  <c r="G40" i="1"/>
  <c r="F40" i="1"/>
  <c r="E40" i="1"/>
  <c r="D40" i="1"/>
  <c r="I39" i="1"/>
  <c r="H39" i="1"/>
  <c r="G39" i="1"/>
  <c r="F39" i="1"/>
  <c r="E39" i="1"/>
  <c r="D39" i="1"/>
  <c r="I38" i="1"/>
  <c r="H38" i="1"/>
  <c r="G38" i="1"/>
  <c r="F38" i="1"/>
  <c r="E38" i="1"/>
  <c r="D38" i="1"/>
  <c r="I37" i="1"/>
  <c r="H37" i="1"/>
  <c r="G37" i="1"/>
  <c r="F37" i="1"/>
  <c r="E37" i="1"/>
  <c r="D37" i="1"/>
  <c r="I36" i="1"/>
  <c r="H36" i="1"/>
  <c r="G36" i="1"/>
  <c r="F36" i="1"/>
  <c r="E36" i="1"/>
  <c r="D36" i="1"/>
  <c r="I35" i="1"/>
  <c r="H35" i="1"/>
  <c r="G35" i="1"/>
  <c r="F35" i="1"/>
  <c r="E35" i="1"/>
  <c r="D35" i="1"/>
  <c r="I34" i="1"/>
  <c r="H34" i="1"/>
  <c r="G34" i="1"/>
  <c r="F34" i="1"/>
  <c r="E34" i="1"/>
  <c r="D34" i="1"/>
  <c r="I33" i="1"/>
  <c r="H33" i="1"/>
  <c r="G33" i="1"/>
  <c r="F33" i="1"/>
  <c r="E33" i="1"/>
  <c r="D33" i="1"/>
  <c r="I32" i="1"/>
  <c r="H32" i="1"/>
  <c r="G32" i="1"/>
  <c r="F32" i="1"/>
  <c r="E32" i="1"/>
  <c r="D32" i="1"/>
  <c r="I31" i="1"/>
  <c r="H31" i="1"/>
  <c r="G31" i="1"/>
  <c r="F31" i="1"/>
  <c r="E31" i="1"/>
  <c r="D31" i="1"/>
  <c r="I30" i="1"/>
  <c r="H30" i="1"/>
  <c r="G30" i="1"/>
  <c r="F30" i="1"/>
  <c r="E30" i="1"/>
  <c r="D30" i="1"/>
  <c r="I29" i="1"/>
  <c r="H29" i="1"/>
  <c r="G29" i="1"/>
  <c r="F29" i="1"/>
  <c r="E29" i="1"/>
  <c r="D29" i="1"/>
  <c r="I28" i="1"/>
  <c r="H28" i="1"/>
  <c r="G28" i="1"/>
  <c r="F28" i="1"/>
  <c r="E28" i="1"/>
  <c r="D28" i="1"/>
  <c r="I27" i="1"/>
  <c r="H27" i="1"/>
  <c r="G27" i="1"/>
  <c r="F27" i="1"/>
  <c r="E27" i="1"/>
  <c r="D27" i="1"/>
  <c r="I26" i="1"/>
  <c r="H26" i="1"/>
  <c r="G26" i="1"/>
  <c r="F26" i="1"/>
  <c r="E26" i="1"/>
  <c r="D26" i="1"/>
  <c r="I25" i="1"/>
  <c r="H25" i="1"/>
  <c r="G25" i="1"/>
  <c r="F25" i="1"/>
  <c r="E25" i="1"/>
  <c r="D25" i="1"/>
  <c r="I24" i="1"/>
  <c r="H24" i="1"/>
  <c r="G24" i="1"/>
  <c r="F24" i="1"/>
  <c r="E24" i="1"/>
  <c r="D24" i="1"/>
  <c r="I23" i="1"/>
  <c r="H23" i="1"/>
  <c r="G23" i="1"/>
  <c r="F23" i="1"/>
  <c r="E23" i="1"/>
  <c r="D23" i="1"/>
  <c r="I22" i="1"/>
  <c r="H22" i="1"/>
  <c r="G22" i="1"/>
  <c r="F22" i="1"/>
  <c r="E22" i="1"/>
  <c r="D22" i="1"/>
  <c r="I21" i="1"/>
  <c r="H21" i="1"/>
  <c r="G21" i="1"/>
  <c r="F21" i="1"/>
  <c r="E21" i="1"/>
  <c r="D21" i="1"/>
  <c r="I20" i="1"/>
  <c r="H20" i="1"/>
  <c r="G20" i="1"/>
  <c r="F20" i="1"/>
  <c r="E20" i="1"/>
  <c r="D20" i="1"/>
  <c r="I19" i="1"/>
  <c r="H19" i="1"/>
  <c r="G19" i="1"/>
  <c r="F19" i="1"/>
  <c r="E19" i="1"/>
  <c r="D19" i="1"/>
  <c r="I18" i="1"/>
  <c r="H18" i="1"/>
  <c r="G18" i="1"/>
  <c r="F18" i="1"/>
  <c r="E18" i="1"/>
  <c r="D18" i="1"/>
  <c r="I17" i="1"/>
  <c r="H17" i="1"/>
  <c r="G17" i="1"/>
  <c r="F17" i="1"/>
  <c r="E17" i="1"/>
  <c r="D17" i="1"/>
  <c r="I16" i="1"/>
  <c r="H16" i="1"/>
  <c r="G16" i="1"/>
  <c r="F16" i="1"/>
  <c r="E16" i="1"/>
  <c r="D16" i="1"/>
  <c r="I15" i="1"/>
  <c r="H15" i="1"/>
  <c r="G15" i="1"/>
  <c r="F15" i="1"/>
  <c r="E15" i="1"/>
  <c r="D15" i="1"/>
  <c r="I14" i="1"/>
  <c r="H14" i="1"/>
  <c r="G14" i="1"/>
  <c r="F14" i="1"/>
  <c r="E14" i="1"/>
  <c r="D14" i="1"/>
  <c r="I13" i="1"/>
  <c r="H13" i="1"/>
  <c r="G13" i="1"/>
  <c r="F13" i="1"/>
  <c r="E13" i="1"/>
  <c r="D13" i="1"/>
  <c r="I12" i="1"/>
  <c r="H12" i="1"/>
  <c r="G12" i="1"/>
  <c r="F12" i="1"/>
  <c r="E12" i="1"/>
  <c r="D12" i="1"/>
  <c r="I11" i="1"/>
  <c r="H11" i="1"/>
  <c r="G11" i="1"/>
  <c r="F11" i="1"/>
  <c r="E11" i="1"/>
  <c r="D11" i="1"/>
  <c r="I10" i="1"/>
  <c r="H10" i="1"/>
  <c r="G10" i="1"/>
  <c r="F10" i="1"/>
  <c r="E10" i="1"/>
  <c r="D10" i="1"/>
  <c r="I9" i="1"/>
  <c r="H9" i="1"/>
  <c r="G9" i="1"/>
  <c r="F9" i="1"/>
  <c r="E9" i="1"/>
  <c r="D9" i="1"/>
  <c r="I8" i="1"/>
  <c r="H8" i="1"/>
  <c r="G8" i="1"/>
  <c r="F8" i="1"/>
  <c r="E8" i="1"/>
  <c r="D8" i="1"/>
  <c r="I7" i="1"/>
  <c r="H7" i="1"/>
  <c r="G7" i="1"/>
  <c r="F7" i="1"/>
  <c r="E7" i="1"/>
  <c r="D7" i="1"/>
  <c r="I6" i="1"/>
  <c r="H6" i="1"/>
  <c r="G6" i="1"/>
  <c r="F6" i="1"/>
  <c r="E6" i="1"/>
  <c r="D6" i="1"/>
  <c r="I5" i="1"/>
  <c r="H5" i="1"/>
  <c r="G5" i="1"/>
  <c r="F5" i="1"/>
  <c r="E5" i="1"/>
  <c r="D5" i="1"/>
  <c r="I4" i="1"/>
  <c r="H4" i="1"/>
  <c r="G4" i="1"/>
  <c r="F4" i="1"/>
  <c r="E4" i="1"/>
  <c r="D4" i="1"/>
</calcChain>
</file>

<file path=xl/connections.xml><?xml version="1.0" encoding="utf-8"?>
<connections xmlns="http://schemas.openxmlformats.org/spreadsheetml/2006/main">
  <connection id="1" name="LowFICOQuery1" type="1" refreshedVersion="4" savePassword="1" saveData="1">
    <dbPr connection="DSN=Agency" command="select b.issueDate, LowFICO = sum(b.issueAmount) from fnm.sec b,  fnm.WAOCSQuartile cs where b.issueid = cs.issueid And cs.asOf = b.issueDate  and b.Collateraltype = 'LOAN' and b.marketTicker = 'FNCL' and cs.q4Max &lt; 700 and cs.q4Max &gt; 350 and b.issueDate &gt;= '20100101' group by b.issueDate order by issuedate "/>
  </connection>
</connections>
</file>

<file path=xl/sharedStrings.xml><?xml version="1.0" encoding="utf-8"?>
<sst xmlns="http://schemas.openxmlformats.org/spreadsheetml/2006/main" count="8" uniqueCount="8">
  <si>
    <t>issueDate</t>
  </si>
  <si>
    <t>LowFICO</t>
  </si>
  <si>
    <t>MHA</t>
  </si>
  <si>
    <t>Investor</t>
  </si>
  <si>
    <t>175K</t>
  </si>
  <si>
    <t>HLB</t>
  </si>
  <si>
    <t>MLB</t>
  </si>
  <si>
    <t>LLB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</si>
</sst>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/>
    <xf numFmtId="0" fontId="1" fillId="0" borderId="0" xfId="0" applyNumberFormat="1" applyFont="1"/>
    <xf numFmtId="0" fontId="2" fillId="0" borderId="0" xfId="0" applyFont="1"/>
    <xf numFmtId="0" fontId="2" fillId="0" borderId="0" xfId="0" applyNumberFormat="1" applyFont="1"/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6"/>
          <c:order val="0"/>
          <c:tx>
            <c:strRef>
              <c:f>'[1]Input-TBA LS'!$X$3</c:f>
              <c:strCache>
                <c:ptCount val="1"/>
                <c:pt idx="0">
                  <c:v>LLB</c:v>
                </c:pt>
              </c:strCache>
            </c:strRef>
          </c:tx>
          <c:invertIfNegative val="0"/>
          <c:cat>
            <c:numRef>
              <c:f>'[1]Input-TBA LS'!$Q$28:$Q$39</c:f>
              <c:numCache>
                <c:formatCode>m/d/yyyy</c:formatCode>
                <c:ptCount val="12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</c:numCache>
            </c:numRef>
          </c:cat>
          <c:val>
            <c:numRef>
              <c:f>'[1]Input-TBA LS'!$X$28:$X$39</c:f>
              <c:numCache>
                <c:formatCode>General</c:formatCode>
                <c:ptCount val="12"/>
                <c:pt idx="0">
                  <c:v>646001264</c:v>
                </c:pt>
                <c:pt idx="1">
                  <c:v>856472475</c:v>
                </c:pt>
                <c:pt idx="2">
                  <c:v>1094708047</c:v>
                </c:pt>
                <c:pt idx="3">
                  <c:v>638284668</c:v>
                </c:pt>
                <c:pt idx="4">
                  <c:v>965308651</c:v>
                </c:pt>
                <c:pt idx="5">
                  <c:v>869933090</c:v>
                </c:pt>
                <c:pt idx="6">
                  <c:v>916631007</c:v>
                </c:pt>
                <c:pt idx="7">
                  <c:v>938861711</c:v>
                </c:pt>
                <c:pt idx="8">
                  <c:v>866473910</c:v>
                </c:pt>
                <c:pt idx="9">
                  <c:v>674003513</c:v>
                </c:pt>
                <c:pt idx="10">
                  <c:v>1360862416</c:v>
                </c:pt>
                <c:pt idx="11">
                  <c:v>763603729</c:v>
                </c:pt>
              </c:numCache>
            </c:numRef>
          </c:val>
        </c:ser>
        <c:ser>
          <c:idx val="5"/>
          <c:order val="1"/>
          <c:tx>
            <c:strRef>
              <c:f>'[1]Input-TBA LS'!$W$3</c:f>
              <c:strCache>
                <c:ptCount val="1"/>
                <c:pt idx="0">
                  <c:v>MLB</c:v>
                </c:pt>
              </c:strCache>
            </c:strRef>
          </c:tx>
          <c:invertIfNegative val="0"/>
          <c:cat>
            <c:numRef>
              <c:f>'[1]Input-TBA LS'!$Q$28:$Q$39</c:f>
              <c:numCache>
                <c:formatCode>m/d/yyyy</c:formatCode>
                <c:ptCount val="12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</c:numCache>
            </c:numRef>
          </c:cat>
          <c:val>
            <c:numRef>
              <c:f>'[1]Input-TBA LS'!$W$28:$W$39</c:f>
              <c:numCache>
                <c:formatCode>General</c:formatCode>
                <c:ptCount val="12"/>
                <c:pt idx="0">
                  <c:v>1022202205</c:v>
                </c:pt>
                <c:pt idx="1">
                  <c:v>1284539858</c:v>
                </c:pt>
                <c:pt idx="2">
                  <c:v>1735119323</c:v>
                </c:pt>
                <c:pt idx="3">
                  <c:v>987980929</c:v>
                </c:pt>
                <c:pt idx="4">
                  <c:v>1484383778</c:v>
                </c:pt>
                <c:pt idx="5">
                  <c:v>1316392694</c:v>
                </c:pt>
                <c:pt idx="6">
                  <c:v>1391950040</c:v>
                </c:pt>
                <c:pt idx="7">
                  <c:v>1332804528</c:v>
                </c:pt>
                <c:pt idx="8">
                  <c:v>1412162830</c:v>
                </c:pt>
                <c:pt idx="9">
                  <c:v>1074934170</c:v>
                </c:pt>
                <c:pt idx="10">
                  <c:v>2092345448</c:v>
                </c:pt>
                <c:pt idx="11">
                  <c:v>1221012156</c:v>
                </c:pt>
              </c:numCache>
            </c:numRef>
          </c:val>
        </c:ser>
        <c:ser>
          <c:idx val="4"/>
          <c:order val="2"/>
          <c:tx>
            <c:strRef>
              <c:f>'[1]Input-TBA LS'!$V$3</c:f>
              <c:strCache>
                <c:ptCount val="1"/>
                <c:pt idx="0">
                  <c:v>HLB</c:v>
                </c:pt>
              </c:strCache>
            </c:strRef>
          </c:tx>
          <c:invertIfNegative val="0"/>
          <c:cat>
            <c:numRef>
              <c:f>'[1]Input-TBA LS'!$Q$28:$Q$39</c:f>
              <c:numCache>
                <c:formatCode>m/d/yyyy</c:formatCode>
                <c:ptCount val="12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</c:numCache>
            </c:numRef>
          </c:cat>
          <c:val>
            <c:numRef>
              <c:f>'[1]Input-TBA LS'!$V$28:$V$39</c:f>
              <c:numCache>
                <c:formatCode>General</c:formatCode>
                <c:ptCount val="12"/>
                <c:pt idx="0">
                  <c:v>2301286099</c:v>
                </c:pt>
                <c:pt idx="1">
                  <c:v>2674571746</c:v>
                </c:pt>
                <c:pt idx="2">
                  <c:v>3841087144</c:v>
                </c:pt>
                <c:pt idx="3">
                  <c:v>2181147527</c:v>
                </c:pt>
                <c:pt idx="4">
                  <c:v>3139002806</c:v>
                </c:pt>
                <c:pt idx="5">
                  <c:v>2589334638</c:v>
                </c:pt>
                <c:pt idx="6">
                  <c:v>3037145756</c:v>
                </c:pt>
                <c:pt idx="7">
                  <c:v>2800881284</c:v>
                </c:pt>
                <c:pt idx="8">
                  <c:v>3094496393</c:v>
                </c:pt>
                <c:pt idx="9">
                  <c:v>1750544385</c:v>
                </c:pt>
                <c:pt idx="10">
                  <c:v>3750861223</c:v>
                </c:pt>
                <c:pt idx="11">
                  <c:v>2422434894</c:v>
                </c:pt>
              </c:numCache>
            </c:numRef>
          </c:val>
        </c:ser>
        <c:ser>
          <c:idx val="3"/>
          <c:order val="3"/>
          <c:tx>
            <c:strRef>
              <c:f>'[1]Input-TBA LS'!$U$3</c:f>
              <c:strCache>
                <c:ptCount val="1"/>
                <c:pt idx="0">
                  <c:v>175K</c:v>
                </c:pt>
              </c:strCache>
            </c:strRef>
          </c:tx>
          <c:invertIfNegative val="0"/>
          <c:cat>
            <c:numRef>
              <c:f>'[1]Input-TBA LS'!$Q$28:$Q$39</c:f>
              <c:numCache>
                <c:formatCode>m/d/yyyy</c:formatCode>
                <c:ptCount val="12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</c:numCache>
            </c:numRef>
          </c:cat>
          <c:val>
            <c:numRef>
              <c:f>'[1]Input-TBA LS'!$U$28:$U$39</c:f>
              <c:numCache>
                <c:formatCode>General</c:formatCode>
                <c:ptCount val="12"/>
                <c:pt idx="0">
                  <c:v>895155203</c:v>
                </c:pt>
                <c:pt idx="1">
                  <c:v>1119679733</c:v>
                </c:pt>
                <c:pt idx="2">
                  <c:v>2071647847</c:v>
                </c:pt>
                <c:pt idx="3">
                  <c:v>1142559870</c:v>
                </c:pt>
                <c:pt idx="4">
                  <c:v>1739950443</c:v>
                </c:pt>
                <c:pt idx="5">
                  <c:v>1341442478</c:v>
                </c:pt>
                <c:pt idx="6">
                  <c:v>1676373437</c:v>
                </c:pt>
                <c:pt idx="7">
                  <c:v>1740229937</c:v>
                </c:pt>
                <c:pt idx="8">
                  <c:v>1747467554</c:v>
                </c:pt>
                <c:pt idx="9">
                  <c:v>885767358</c:v>
                </c:pt>
                <c:pt idx="10">
                  <c:v>1351050040</c:v>
                </c:pt>
                <c:pt idx="11">
                  <c:v>1378219207</c:v>
                </c:pt>
              </c:numCache>
            </c:numRef>
          </c:val>
        </c:ser>
        <c:ser>
          <c:idx val="2"/>
          <c:order val="4"/>
          <c:tx>
            <c:strRef>
              <c:f>'[1]Input-TBA LS'!$T$3</c:f>
              <c:strCache>
                <c:ptCount val="1"/>
                <c:pt idx="0">
                  <c:v>Investor</c:v>
                </c:pt>
              </c:strCache>
            </c:strRef>
          </c:tx>
          <c:invertIfNegative val="0"/>
          <c:cat>
            <c:numRef>
              <c:f>'[1]Input-TBA LS'!$Q$28:$Q$39</c:f>
              <c:numCache>
                <c:formatCode>m/d/yyyy</c:formatCode>
                <c:ptCount val="12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</c:numCache>
            </c:numRef>
          </c:cat>
          <c:val>
            <c:numRef>
              <c:f>'[1]Input-TBA LS'!$T$28:$T$39</c:f>
              <c:numCache>
                <c:formatCode>General</c:formatCode>
                <c:ptCount val="12"/>
                <c:pt idx="0">
                  <c:v>881297951</c:v>
                </c:pt>
                <c:pt idx="1">
                  <c:v>1070710499</c:v>
                </c:pt>
                <c:pt idx="2">
                  <c:v>1907637512</c:v>
                </c:pt>
                <c:pt idx="3">
                  <c:v>924196729</c:v>
                </c:pt>
                <c:pt idx="4">
                  <c:v>1284353878</c:v>
                </c:pt>
                <c:pt idx="5">
                  <c:v>1249456220</c:v>
                </c:pt>
                <c:pt idx="6">
                  <c:v>1368636075</c:v>
                </c:pt>
                <c:pt idx="7">
                  <c:v>1427196427</c:v>
                </c:pt>
                <c:pt idx="8">
                  <c:v>1334351132</c:v>
                </c:pt>
                <c:pt idx="9">
                  <c:v>467542200</c:v>
                </c:pt>
                <c:pt idx="10">
                  <c:v>2080610275</c:v>
                </c:pt>
                <c:pt idx="11">
                  <c:v>1077406635</c:v>
                </c:pt>
              </c:numCache>
            </c:numRef>
          </c:val>
        </c:ser>
        <c:ser>
          <c:idx val="1"/>
          <c:order val="5"/>
          <c:tx>
            <c:strRef>
              <c:f>'[1]Input-TBA LS'!$S$3</c:f>
              <c:strCache>
                <c:ptCount val="1"/>
                <c:pt idx="0">
                  <c:v>MHA</c:v>
                </c:pt>
              </c:strCache>
            </c:strRef>
          </c:tx>
          <c:invertIfNegative val="0"/>
          <c:cat>
            <c:numRef>
              <c:f>'[1]Input-TBA LS'!$Q$28:$Q$39</c:f>
              <c:numCache>
                <c:formatCode>m/d/yyyy</c:formatCode>
                <c:ptCount val="12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</c:numCache>
            </c:numRef>
          </c:cat>
          <c:val>
            <c:numRef>
              <c:f>'[1]Input-TBA LS'!$S$28:$S$39</c:f>
              <c:numCache>
                <c:formatCode>General</c:formatCode>
                <c:ptCount val="12"/>
                <c:pt idx="0">
                  <c:v>2618325359</c:v>
                </c:pt>
                <c:pt idx="1">
                  <c:v>2549140693</c:v>
                </c:pt>
                <c:pt idx="2">
                  <c:v>4280168236</c:v>
                </c:pt>
                <c:pt idx="3">
                  <c:v>2344147071</c:v>
                </c:pt>
                <c:pt idx="4">
                  <c:v>3652827367</c:v>
                </c:pt>
                <c:pt idx="5">
                  <c:v>3645341345</c:v>
                </c:pt>
                <c:pt idx="6">
                  <c:v>3672143704</c:v>
                </c:pt>
                <c:pt idx="7">
                  <c:v>4005623745</c:v>
                </c:pt>
                <c:pt idx="8">
                  <c:v>3794875709</c:v>
                </c:pt>
                <c:pt idx="9">
                  <c:v>2866599095</c:v>
                </c:pt>
                <c:pt idx="10">
                  <c:v>4430765694</c:v>
                </c:pt>
                <c:pt idx="11">
                  <c:v>2825123329</c:v>
                </c:pt>
              </c:numCache>
            </c:numRef>
          </c:val>
        </c:ser>
        <c:ser>
          <c:idx val="0"/>
          <c:order val="6"/>
          <c:tx>
            <c:strRef>
              <c:f>'[1]Input-TBA LS'!$R$3</c:f>
              <c:strCache>
                <c:ptCount val="1"/>
                <c:pt idx="0">
                  <c:v>LowFICO</c:v>
                </c:pt>
              </c:strCache>
            </c:strRef>
          </c:tx>
          <c:invertIfNegative val="0"/>
          <c:cat>
            <c:numRef>
              <c:f>'[1]Input-TBA LS'!$Q$28:$Q$39</c:f>
              <c:numCache>
                <c:formatCode>m/d/yyyy</c:formatCode>
                <c:ptCount val="12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</c:numCache>
            </c:numRef>
          </c:cat>
          <c:val>
            <c:numRef>
              <c:f>'[1]Input-TBA LS'!$R$28:$R$39</c:f>
              <c:numCache>
                <c:formatCode>General</c:formatCode>
                <c:ptCount val="12"/>
                <c:pt idx="0">
                  <c:v>1199227914</c:v>
                </c:pt>
                <c:pt idx="1">
                  <c:v>858544665</c:v>
                </c:pt>
                <c:pt idx="2">
                  <c:v>1316407997</c:v>
                </c:pt>
                <c:pt idx="3">
                  <c:v>619429599</c:v>
                </c:pt>
                <c:pt idx="4">
                  <c:v>1030015691</c:v>
                </c:pt>
                <c:pt idx="5">
                  <c:v>1023641491</c:v>
                </c:pt>
                <c:pt idx="6">
                  <c:v>1486802071</c:v>
                </c:pt>
                <c:pt idx="7">
                  <c:v>1507652848</c:v>
                </c:pt>
                <c:pt idx="8">
                  <c:v>1363121051</c:v>
                </c:pt>
                <c:pt idx="9">
                  <c:v>741027528</c:v>
                </c:pt>
                <c:pt idx="10">
                  <c:v>1745418744</c:v>
                </c:pt>
                <c:pt idx="11">
                  <c:v>779099080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4175104"/>
        <c:axId val="424176640"/>
      </c:barChart>
      <c:dateAx>
        <c:axId val="4241751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24176640"/>
        <c:crosses val="autoZero"/>
        <c:auto val="1"/>
        <c:lblOffset val="100"/>
        <c:baseTimeUnit val="months"/>
      </c:dateAx>
      <c:valAx>
        <c:axId val="424176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4175104"/>
        <c:crosses val="autoZero"/>
        <c:crossBetween val="between"/>
        <c:dispUnits>
          <c:builtInUnit val="billions"/>
          <c:dispUnitsLbl>
            <c:layout/>
          </c:dispUnitsLbl>
        </c:dispUnits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23</xdr:col>
      <xdr:colOff>95251</xdr:colOff>
      <xdr:row>25</xdr:row>
      <xdr:rowOff>119064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pecified%20Pools%20Master%20201504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Report Page2"/>
      <sheetName val="Historical"/>
      <sheetName val="Input-Non TBA"/>
      <sheetName val="Input-TBA LS"/>
    </sheetNames>
    <sheetDataSet>
      <sheetData sheetId="0"/>
      <sheetData sheetId="1"/>
      <sheetData sheetId="2"/>
      <sheetData sheetId="3"/>
      <sheetData sheetId="4">
        <row r="3">
          <cell r="R3" t="str">
            <v>LowFICO</v>
          </cell>
          <cell r="S3" t="str">
            <v>MHA</v>
          </cell>
          <cell r="T3" t="str">
            <v>Investor</v>
          </cell>
          <cell r="U3" t="str">
            <v>175K</v>
          </cell>
          <cell r="V3" t="str">
            <v>HLB</v>
          </cell>
          <cell r="W3" t="str">
            <v>MLB</v>
          </cell>
          <cell r="X3" t="str">
            <v>LLB</v>
          </cell>
        </row>
        <row r="28">
          <cell r="Q28">
            <v>40909</v>
          </cell>
          <cell r="R28">
            <v>1199227914</v>
          </cell>
          <cell r="S28">
            <v>2618325359</v>
          </cell>
          <cell r="T28">
            <v>881297951</v>
          </cell>
          <cell r="U28">
            <v>895155203</v>
          </cell>
          <cell r="V28">
            <v>2301286099</v>
          </cell>
          <cell r="W28">
            <v>1022202205</v>
          </cell>
          <cell r="X28">
            <v>646001264</v>
          </cell>
        </row>
        <row r="29">
          <cell r="Q29">
            <v>40940</v>
          </cell>
          <cell r="R29">
            <v>858544665</v>
          </cell>
          <cell r="S29">
            <v>2549140693</v>
          </cell>
          <cell r="T29">
            <v>1070710499</v>
          </cell>
          <cell r="U29">
            <v>1119679733</v>
          </cell>
          <cell r="V29">
            <v>2674571746</v>
          </cell>
          <cell r="W29">
            <v>1284539858</v>
          </cell>
          <cell r="X29">
            <v>856472475</v>
          </cell>
        </row>
        <row r="30">
          <cell r="Q30">
            <v>40969</v>
          </cell>
          <cell r="R30">
            <v>1316407997</v>
          </cell>
          <cell r="S30">
            <v>4280168236</v>
          </cell>
          <cell r="T30">
            <v>1907637512</v>
          </cell>
          <cell r="U30">
            <v>2071647847</v>
          </cell>
          <cell r="V30">
            <v>3841087144</v>
          </cell>
          <cell r="W30">
            <v>1735119323</v>
          </cell>
          <cell r="X30">
            <v>1094708047</v>
          </cell>
        </row>
        <row r="31">
          <cell r="Q31">
            <v>41000</v>
          </cell>
          <cell r="R31">
            <v>619429599</v>
          </cell>
          <cell r="S31">
            <v>2344147071</v>
          </cell>
          <cell r="T31">
            <v>924196729</v>
          </cell>
          <cell r="U31">
            <v>1142559870</v>
          </cell>
          <cell r="V31">
            <v>2181147527</v>
          </cell>
          <cell r="W31">
            <v>987980929</v>
          </cell>
          <cell r="X31">
            <v>638284668</v>
          </cell>
        </row>
        <row r="32">
          <cell r="Q32">
            <v>41030</v>
          </cell>
          <cell r="R32">
            <v>1030015691</v>
          </cell>
          <cell r="S32">
            <v>3652827367</v>
          </cell>
          <cell r="T32">
            <v>1284353878</v>
          </cell>
          <cell r="U32">
            <v>1739950443</v>
          </cell>
          <cell r="V32">
            <v>3139002806</v>
          </cell>
          <cell r="W32">
            <v>1484383778</v>
          </cell>
          <cell r="X32">
            <v>965308651</v>
          </cell>
        </row>
        <row r="33">
          <cell r="Q33">
            <v>41061</v>
          </cell>
          <cell r="R33">
            <v>1023641491</v>
          </cell>
          <cell r="S33">
            <v>3645341345</v>
          </cell>
          <cell r="T33">
            <v>1249456220</v>
          </cell>
          <cell r="U33">
            <v>1341442478</v>
          </cell>
          <cell r="V33">
            <v>2589334638</v>
          </cell>
          <cell r="W33">
            <v>1316392694</v>
          </cell>
          <cell r="X33">
            <v>869933090</v>
          </cell>
        </row>
        <row r="34">
          <cell r="Q34">
            <v>41091</v>
          </cell>
          <cell r="R34">
            <v>1486802071</v>
          </cell>
          <cell r="S34">
            <v>3672143704</v>
          </cell>
          <cell r="T34">
            <v>1368636075</v>
          </cell>
          <cell r="U34">
            <v>1676373437</v>
          </cell>
          <cell r="V34">
            <v>3037145756</v>
          </cell>
          <cell r="W34">
            <v>1391950040</v>
          </cell>
          <cell r="X34">
            <v>916631007</v>
          </cell>
        </row>
        <row r="35">
          <cell r="Q35">
            <v>41122</v>
          </cell>
          <cell r="R35">
            <v>1507652848</v>
          </cell>
          <cell r="S35">
            <v>4005623745</v>
          </cell>
          <cell r="T35">
            <v>1427196427</v>
          </cell>
          <cell r="U35">
            <v>1740229937</v>
          </cell>
          <cell r="V35">
            <v>2800881284</v>
          </cell>
          <cell r="W35">
            <v>1332804528</v>
          </cell>
          <cell r="X35">
            <v>938861711</v>
          </cell>
        </row>
        <row r="36">
          <cell r="Q36">
            <v>41153</v>
          </cell>
          <cell r="R36">
            <v>1363121051</v>
          </cell>
          <cell r="S36">
            <v>3794875709</v>
          </cell>
          <cell r="T36">
            <v>1334351132</v>
          </cell>
          <cell r="U36">
            <v>1747467554</v>
          </cell>
          <cell r="V36">
            <v>3094496393</v>
          </cell>
          <cell r="W36">
            <v>1412162830</v>
          </cell>
          <cell r="X36">
            <v>866473910</v>
          </cell>
        </row>
        <row r="37">
          <cell r="Q37">
            <v>41183</v>
          </cell>
          <cell r="R37">
            <v>741027528</v>
          </cell>
          <cell r="S37">
            <v>2866599095</v>
          </cell>
          <cell r="T37">
            <v>467542200</v>
          </cell>
          <cell r="U37">
            <v>885767358</v>
          </cell>
          <cell r="V37">
            <v>1750544385</v>
          </cell>
          <cell r="W37">
            <v>1074934170</v>
          </cell>
          <cell r="X37">
            <v>674003513</v>
          </cell>
        </row>
        <row r="38">
          <cell r="Q38">
            <v>41214</v>
          </cell>
          <cell r="R38">
            <v>1745418744</v>
          </cell>
          <cell r="S38">
            <v>4430765694</v>
          </cell>
          <cell r="T38">
            <v>2080610275</v>
          </cell>
          <cell r="U38">
            <v>1351050040</v>
          </cell>
          <cell r="V38">
            <v>3750861223</v>
          </cell>
          <cell r="W38">
            <v>2092345448</v>
          </cell>
          <cell r="X38">
            <v>1360862416</v>
          </cell>
        </row>
        <row r="39">
          <cell r="Q39">
            <v>41244</v>
          </cell>
          <cell r="R39">
            <v>779099080</v>
          </cell>
          <cell r="S39">
            <v>2825123329</v>
          </cell>
          <cell r="T39">
            <v>1077406635</v>
          </cell>
          <cell r="U39">
            <v>1378219207</v>
          </cell>
          <cell r="V39">
            <v>2422434894</v>
          </cell>
          <cell r="W39">
            <v>1221012156</v>
          </cell>
          <cell r="X39">
            <v>763603729</v>
          </cell>
        </row>
      </sheetData>
    </sheetDataSet>
  </externalBook>
</externalLink>
</file>

<file path=xl/queryTables/queryTable1.xml><?xml version="1.0" encoding="utf-8"?>
<queryTable xmlns="http://schemas.openxmlformats.org/spreadsheetml/2006/main" name="Query from Agency_12" backgroundRefresh="0" adjustColumnWidth="0" connectionId="1" autoFormatId="16" applyNumberFormats="0" applyBorderFormats="0" applyFontFormats="0" applyPatternFormats="0" applyAlignmentFormats="0" applyWidthHeightFormats="0">
  <queryTableRefresh nextId="73" unboundColumnsRight="6">
    <queryTableFields count="8">
      <queryTableField id="63" name="issueDate" tableColumnId="2"/>
      <queryTableField id="72" name="LowFICO" tableColumnId="9"/>
      <queryTableField id="66" dataBound="0" tableColumnId="1"/>
      <queryTableField id="67" dataBound="0" tableColumnId="3"/>
      <queryTableField id="68" dataBound="0" tableColumnId="5"/>
      <queryTableField id="69" dataBound="0" tableColumnId="6"/>
      <queryTableField id="70" dataBound="0" tableColumnId="7"/>
      <queryTableField id="71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CurrentMtgRatesDataTable8268459" displayName="CurrentMtgRatesDataTable8268459" ref="B3:I67" tableType="queryTable" totalsRowShown="0" headerRowDxfId="9" dataDxfId="8">
  <tableColumns count="8">
    <tableColumn id="2" uniqueName="2" name="issueDate" queryTableFieldId="63" dataDxfId="7"/>
    <tableColumn id="9" uniqueName="9" name="LowFICO" queryTableFieldId="72" dataDxfId="6"/>
    <tableColumn id="1" uniqueName="1" name="MHA" queryTableFieldId="66" dataDxfId="5">
      <calculatedColumnFormula>VLOOKUP(CurrentMtgRatesDataTable8268459[[#This Row],[issueDate]],[1]!CurrentMtgRatesDataTable82684510[#All],2,0)</calculatedColumnFormula>
    </tableColumn>
    <tableColumn id="3" uniqueName="3" name="Investor" queryTableFieldId="67" dataDxfId="4">
      <calculatedColumnFormula>VLOOKUP(CurrentMtgRatesDataTable8268459[[#This Row],[issueDate]],[1]!CurrentMtgRatesDataTable82684511[#All],2,0)</calculatedColumnFormula>
    </tableColumn>
    <tableColumn id="5" uniqueName="5" name="175K" queryTableFieldId="68" dataDxfId="3">
      <calculatedColumnFormula>VLOOKUP(CurrentMtgRatesDataTable8268459[[#This Row],[issueDate]],[1]!CurrentMtgRatesDataTable8262[#All],2,0)</calculatedColumnFormula>
    </tableColumn>
    <tableColumn id="6" uniqueName="6" name="HLB" queryTableFieldId="69" dataDxfId="2">
      <calculatedColumnFormula>VLOOKUP(CurrentMtgRatesDataTable8268459[[#This Row],[issueDate]],[1]!CurrentMtgRatesDataTable82673[#All],2,0)</calculatedColumnFormula>
    </tableColumn>
    <tableColumn id="7" uniqueName="7" name="MLB" queryTableFieldId="70" dataDxfId="1">
      <calculatedColumnFormula>VLOOKUP(CurrentMtgRatesDataTable8268459[[#This Row],[issueDate]],[1]!CurrentMtgRatesDataTable82684[#All],2,0)</calculatedColumnFormula>
    </tableColumn>
    <tableColumn id="8" uniqueName="8" name="LLB" queryTableFieldId="71" dataDxfId="0">
      <calculatedColumnFormula>VLOOKUP(CurrentMtgRatesDataTable8268459[[#This Row],[issueDate]],[1]!CurrentMtgRatesDataTable826845[#All],2,0)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I67"/>
  <sheetViews>
    <sheetView tabSelected="1" workbookViewId="0">
      <selection activeCell="C66" sqref="C66"/>
    </sheetView>
  </sheetViews>
  <sheetFormatPr defaultRowHeight="15" x14ac:dyDescent="0.25"/>
  <sheetData>
    <row r="3" spans="2:9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2:9" x14ac:dyDescent="0.25">
      <c r="B4" s="2">
        <v>40179</v>
      </c>
      <c r="C4" s="3">
        <v>119399158</v>
      </c>
      <c r="D4" s="4">
        <f>VLOOKUP(CurrentMtgRatesDataTable8268459[[#This Row],[issueDate]],[1]!CurrentMtgRatesDataTable82684510[#All],2,0)</f>
        <v>43988975</v>
      </c>
      <c r="E4" s="4">
        <f>VLOOKUP(CurrentMtgRatesDataTable8268459[[#This Row],[issueDate]],[1]!CurrentMtgRatesDataTable82684511[#All],2,0)</f>
        <v>570518848</v>
      </c>
      <c r="F4" s="4">
        <f>VLOOKUP(CurrentMtgRatesDataTable8268459[[#This Row],[issueDate]],[1]!CurrentMtgRatesDataTable8262[#All],2,0)</f>
        <v>169535996</v>
      </c>
      <c r="G4" s="5">
        <f>VLOOKUP(CurrentMtgRatesDataTable8268459[[#This Row],[issueDate]],[1]!CurrentMtgRatesDataTable82673[#All],2,0)</f>
        <v>1365321947</v>
      </c>
      <c r="H4" s="5">
        <f>VLOOKUP(CurrentMtgRatesDataTable8268459[[#This Row],[issueDate]],[1]!CurrentMtgRatesDataTable82684[#All],2,0)</f>
        <v>767852730</v>
      </c>
      <c r="I4" s="5">
        <f>VLOOKUP(CurrentMtgRatesDataTable8268459[[#This Row],[issueDate]],[1]!CurrentMtgRatesDataTable826845[#All],2,0)</f>
        <v>560342765</v>
      </c>
    </row>
    <row r="5" spans="2:9" x14ac:dyDescent="0.25">
      <c r="B5" s="2">
        <v>40210</v>
      </c>
      <c r="C5" s="3">
        <v>26179775</v>
      </c>
      <c r="D5" s="4">
        <f>VLOOKUP(CurrentMtgRatesDataTable8268459[[#This Row],[issueDate]],[1]!CurrentMtgRatesDataTable82684510[#All],2,0)</f>
        <v>38886021</v>
      </c>
      <c r="E5" s="4">
        <f>VLOOKUP(CurrentMtgRatesDataTable8268459[[#This Row],[issueDate]],[1]!CurrentMtgRatesDataTable82684511[#All],2,0)</f>
        <v>420159382</v>
      </c>
      <c r="F5" s="4">
        <f>VLOOKUP(CurrentMtgRatesDataTable8268459[[#This Row],[issueDate]],[1]!CurrentMtgRatesDataTable8262[#All],2,0)</f>
        <v>161846381</v>
      </c>
      <c r="G5" s="5">
        <f>VLOOKUP(CurrentMtgRatesDataTable8268459[[#This Row],[issueDate]],[1]!CurrentMtgRatesDataTable82673[#All],2,0)</f>
        <v>978028064</v>
      </c>
      <c r="H5" s="5">
        <f>VLOOKUP(CurrentMtgRatesDataTable8268459[[#This Row],[issueDate]],[1]!CurrentMtgRatesDataTable82684[#All],2,0)</f>
        <v>593049112</v>
      </c>
      <c r="I5" s="5">
        <f>VLOOKUP(CurrentMtgRatesDataTable8268459[[#This Row],[issueDate]],[1]!CurrentMtgRatesDataTable826845[#All],2,0)</f>
        <v>471267497</v>
      </c>
    </row>
    <row r="6" spans="2:9" x14ac:dyDescent="0.25">
      <c r="B6" s="2">
        <v>40238</v>
      </c>
      <c r="C6" s="3">
        <v>106256227</v>
      </c>
      <c r="D6" s="4">
        <f>VLOOKUP(CurrentMtgRatesDataTable8268459[[#This Row],[issueDate]],[1]!CurrentMtgRatesDataTable82684510[#All],2,0)</f>
        <v>36557898</v>
      </c>
      <c r="E6" s="4">
        <f>VLOOKUP(CurrentMtgRatesDataTable8268459[[#This Row],[issueDate]],[1]!CurrentMtgRatesDataTable82684511[#All],2,0)</f>
        <v>523304286</v>
      </c>
      <c r="F6" s="4">
        <f>VLOOKUP(CurrentMtgRatesDataTable8268459[[#This Row],[issueDate]],[1]!CurrentMtgRatesDataTable8262[#All],2,0)</f>
        <v>50626909</v>
      </c>
      <c r="G6" s="5">
        <f>VLOOKUP(CurrentMtgRatesDataTable8268459[[#This Row],[issueDate]],[1]!CurrentMtgRatesDataTable82673[#All],2,0)</f>
        <v>911158551</v>
      </c>
      <c r="H6" s="5">
        <f>VLOOKUP(CurrentMtgRatesDataTable8268459[[#This Row],[issueDate]],[1]!CurrentMtgRatesDataTable82684[#All],2,0)</f>
        <v>574453990</v>
      </c>
      <c r="I6" s="5">
        <f>VLOOKUP(CurrentMtgRatesDataTable8268459[[#This Row],[issueDate]],[1]!CurrentMtgRatesDataTable826845[#All],2,0)</f>
        <v>390874043</v>
      </c>
    </row>
    <row r="7" spans="2:9" x14ac:dyDescent="0.25">
      <c r="B7" s="2">
        <v>40269</v>
      </c>
      <c r="C7" s="3">
        <v>167598113</v>
      </c>
      <c r="D7" s="4">
        <f>VLOOKUP(CurrentMtgRatesDataTable8268459[[#This Row],[issueDate]],[1]!CurrentMtgRatesDataTable82684510[#All],2,0)</f>
        <v>34433071</v>
      </c>
      <c r="E7" s="4">
        <f>VLOOKUP(CurrentMtgRatesDataTable8268459[[#This Row],[issueDate]],[1]!CurrentMtgRatesDataTable82684511[#All],2,0)</f>
        <v>646786714</v>
      </c>
      <c r="F7" s="4">
        <f>VLOOKUP(CurrentMtgRatesDataTable8268459[[#This Row],[issueDate]],[1]!CurrentMtgRatesDataTable8262[#All],2,0)</f>
        <v>245956078</v>
      </c>
      <c r="G7" s="5">
        <f>VLOOKUP(CurrentMtgRatesDataTable8268459[[#This Row],[issueDate]],[1]!CurrentMtgRatesDataTable82673[#All],2,0)</f>
        <v>955059555</v>
      </c>
      <c r="H7" s="5">
        <f>VLOOKUP(CurrentMtgRatesDataTable8268459[[#This Row],[issueDate]],[1]!CurrentMtgRatesDataTable82684[#All],2,0)</f>
        <v>618192458</v>
      </c>
      <c r="I7" s="5">
        <f>VLOOKUP(CurrentMtgRatesDataTable8268459[[#This Row],[issueDate]],[1]!CurrentMtgRatesDataTable826845[#All],2,0)</f>
        <v>420391835</v>
      </c>
    </row>
    <row r="8" spans="2:9" x14ac:dyDescent="0.25">
      <c r="B8" s="2">
        <v>40299</v>
      </c>
      <c r="C8" s="3">
        <v>204284829</v>
      </c>
      <c r="D8" s="4">
        <f>VLOOKUP(CurrentMtgRatesDataTable8268459[[#This Row],[issueDate]],[1]!CurrentMtgRatesDataTable82684510[#All],2,0)</f>
        <v>6008573</v>
      </c>
      <c r="E8" s="4">
        <f>VLOOKUP(CurrentMtgRatesDataTable8268459[[#This Row],[issueDate]],[1]!CurrentMtgRatesDataTable82684511[#All],2,0)</f>
        <v>878896429</v>
      </c>
      <c r="F8" s="4">
        <f>VLOOKUP(CurrentMtgRatesDataTable8268459[[#This Row],[issueDate]],[1]!CurrentMtgRatesDataTable8262[#All],2,0)</f>
        <v>340451671</v>
      </c>
      <c r="G8" s="5">
        <f>VLOOKUP(CurrentMtgRatesDataTable8268459[[#This Row],[issueDate]],[1]!CurrentMtgRatesDataTable82673[#All],2,0)</f>
        <v>1463386120</v>
      </c>
      <c r="H8" s="5">
        <f>VLOOKUP(CurrentMtgRatesDataTable8268459[[#This Row],[issueDate]],[1]!CurrentMtgRatesDataTable82684[#All],2,0)</f>
        <v>682984991</v>
      </c>
      <c r="I8" s="5">
        <f>VLOOKUP(CurrentMtgRatesDataTable8268459[[#This Row],[issueDate]],[1]!CurrentMtgRatesDataTable826845[#All],2,0)</f>
        <v>440038446</v>
      </c>
    </row>
    <row r="9" spans="2:9" x14ac:dyDescent="0.25">
      <c r="B9" s="2">
        <v>40330</v>
      </c>
      <c r="C9" s="3">
        <v>28244320</v>
      </c>
      <c r="D9" s="4">
        <f>VLOOKUP(CurrentMtgRatesDataTable8268459[[#This Row],[issueDate]],[1]!CurrentMtgRatesDataTable82684510[#All],2,0)</f>
        <v>9331120</v>
      </c>
      <c r="E9" s="4">
        <f>VLOOKUP(CurrentMtgRatesDataTable8268459[[#This Row],[issueDate]],[1]!CurrentMtgRatesDataTable82684511[#All],2,0)</f>
        <v>674236460</v>
      </c>
      <c r="F9" s="4">
        <f>VLOOKUP(CurrentMtgRatesDataTable8268459[[#This Row],[issueDate]],[1]!CurrentMtgRatesDataTable8262[#All],2,0)</f>
        <v>143564480</v>
      </c>
      <c r="G9" s="5">
        <f>VLOOKUP(CurrentMtgRatesDataTable8268459[[#This Row],[issueDate]],[1]!CurrentMtgRatesDataTable82673[#All],2,0)</f>
        <v>1598769768</v>
      </c>
      <c r="H9" s="5">
        <f>VLOOKUP(CurrentMtgRatesDataTable8268459[[#This Row],[issueDate]],[1]!CurrentMtgRatesDataTable82684[#All],2,0)</f>
        <v>901618030</v>
      </c>
      <c r="I9" s="5">
        <f>VLOOKUP(CurrentMtgRatesDataTable8268459[[#This Row],[issueDate]],[1]!CurrentMtgRatesDataTable826845[#All],2,0)</f>
        <v>681015464</v>
      </c>
    </row>
    <row r="10" spans="2:9" x14ac:dyDescent="0.25">
      <c r="B10" s="2">
        <v>40360</v>
      </c>
      <c r="C10" s="3">
        <v>20941144</v>
      </c>
      <c r="D10" s="4">
        <f>VLOOKUP(CurrentMtgRatesDataTable8268459[[#This Row],[issueDate]],[1]!CurrentMtgRatesDataTable82684510[#All],2,0)</f>
        <v>4193196</v>
      </c>
      <c r="E10" s="4">
        <f>VLOOKUP(CurrentMtgRatesDataTable8268459[[#This Row],[issueDate]],[1]!CurrentMtgRatesDataTable82684511[#All],2,0)</f>
        <v>645132298</v>
      </c>
      <c r="F10" s="4">
        <f>VLOOKUP(CurrentMtgRatesDataTable8268459[[#This Row],[issueDate]],[1]!CurrentMtgRatesDataTable8262[#All],2,0)</f>
        <v>481309246</v>
      </c>
      <c r="G10" s="5">
        <f>VLOOKUP(CurrentMtgRatesDataTable8268459[[#This Row],[issueDate]],[1]!CurrentMtgRatesDataTable82673[#All],2,0)</f>
        <v>1420628889</v>
      </c>
      <c r="H10" s="5">
        <f>VLOOKUP(CurrentMtgRatesDataTable8268459[[#This Row],[issueDate]],[1]!CurrentMtgRatesDataTable82684[#All],2,0)</f>
        <v>854783449</v>
      </c>
      <c r="I10" s="5">
        <f>VLOOKUP(CurrentMtgRatesDataTable8268459[[#This Row],[issueDate]],[1]!CurrentMtgRatesDataTable826845[#All],2,0)</f>
        <v>598809116</v>
      </c>
    </row>
    <row r="11" spans="2:9" x14ac:dyDescent="0.25">
      <c r="B11" s="2">
        <v>40391</v>
      </c>
      <c r="C11" s="3">
        <v>108449929</v>
      </c>
      <c r="D11" s="4">
        <f>VLOOKUP(CurrentMtgRatesDataTable8268459[[#This Row],[issueDate]],[1]!CurrentMtgRatesDataTable82684510[#All],2,0)</f>
        <v>17557679</v>
      </c>
      <c r="E11" s="4">
        <f>VLOOKUP(CurrentMtgRatesDataTable8268459[[#This Row],[issueDate]],[1]!CurrentMtgRatesDataTable82684511[#All],2,0)</f>
        <v>589264392</v>
      </c>
      <c r="F11" s="4">
        <f>VLOOKUP(CurrentMtgRatesDataTable8268459[[#This Row],[issueDate]],[1]!CurrentMtgRatesDataTable8262[#All],2,0)</f>
        <v>706795312</v>
      </c>
      <c r="G11" s="5">
        <f>VLOOKUP(CurrentMtgRatesDataTable8268459[[#This Row],[issueDate]],[1]!CurrentMtgRatesDataTable82673[#All],2,0)</f>
        <v>1579848396</v>
      </c>
      <c r="H11" s="5">
        <f>VLOOKUP(CurrentMtgRatesDataTable8268459[[#This Row],[issueDate]],[1]!CurrentMtgRatesDataTable82684[#All],2,0)</f>
        <v>631591538</v>
      </c>
      <c r="I11" s="5">
        <f>VLOOKUP(CurrentMtgRatesDataTable8268459[[#This Row],[issueDate]],[1]!CurrentMtgRatesDataTable826845[#All],2,0)</f>
        <v>475791854</v>
      </c>
    </row>
    <row r="12" spans="2:9" x14ac:dyDescent="0.25">
      <c r="B12" s="2">
        <v>40422</v>
      </c>
      <c r="C12" s="3">
        <v>388369694</v>
      </c>
      <c r="D12" s="4">
        <f>VLOOKUP(CurrentMtgRatesDataTable8268459[[#This Row],[issueDate]],[1]!CurrentMtgRatesDataTable82684510[#All],2,0)</f>
        <v>1392289312</v>
      </c>
      <c r="E12" s="4">
        <f>VLOOKUP(CurrentMtgRatesDataTable8268459[[#This Row],[issueDate]],[1]!CurrentMtgRatesDataTable82684511[#All],2,0)</f>
        <v>856676323</v>
      </c>
      <c r="F12" s="4">
        <f>VLOOKUP(CurrentMtgRatesDataTable8268459[[#This Row],[issueDate]],[1]!CurrentMtgRatesDataTable8262[#All],2,0)</f>
        <v>1015749063</v>
      </c>
      <c r="G12" s="5">
        <f>VLOOKUP(CurrentMtgRatesDataTable8268459[[#This Row],[issueDate]],[1]!CurrentMtgRatesDataTable82673[#All],2,0)</f>
        <v>2474281305</v>
      </c>
      <c r="H12" s="5">
        <f>VLOOKUP(CurrentMtgRatesDataTable8268459[[#This Row],[issueDate]],[1]!CurrentMtgRatesDataTable82684[#All],2,0)</f>
        <v>1082222219</v>
      </c>
      <c r="I12" s="5">
        <f>VLOOKUP(CurrentMtgRatesDataTable8268459[[#This Row],[issueDate]],[1]!CurrentMtgRatesDataTable826845[#All],2,0)</f>
        <v>636914317</v>
      </c>
    </row>
    <row r="13" spans="2:9" x14ac:dyDescent="0.25">
      <c r="B13" s="2">
        <v>40452</v>
      </c>
      <c r="C13" s="3">
        <v>362554018</v>
      </c>
      <c r="D13" s="4">
        <f>VLOOKUP(CurrentMtgRatesDataTable8268459[[#This Row],[issueDate]],[1]!CurrentMtgRatesDataTable82684510[#All],2,0)</f>
        <v>1858405398</v>
      </c>
      <c r="E13" s="4">
        <f>VLOOKUP(CurrentMtgRatesDataTable8268459[[#This Row],[issueDate]],[1]!CurrentMtgRatesDataTable82684511[#All],2,0)</f>
        <v>1062405884</v>
      </c>
      <c r="F13" s="4">
        <f>VLOOKUP(CurrentMtgRatesDataTable8268459[[#This Row],[issueDate]],[1]!CurrentMtgRatesDataTable8262[#All],2,0)</f>
        <v>1345059250</v>
      </c>
      <c r="G13" s="5">
        <f>VLOOKUP(CurrentMtgRatesDataTable8268459[[#This Row],[issueDate]],[1]!CurrentMtgRatesDataTable82673[#All],2,0)</f>
        <v>2154320687</v>
      </c>
      <c r="H13" s="5">
        <f>VLOOKUP(CurrentMtgRatesDataTable8268459[[#This Row],[issueDate]],[1]!CurrentMtgRatesDataTable82684[#All],2,0)</f>
        <v>1037833437</v>
      </c>
      <c r="I13" s="5">
        <f>VLOOKUP(CurrentMtgRatesDataTable8268459[[#This Row],[issueDate]],[1]!CurrentMtgRatesDataTable826845[#All],2,0)</f>
        <v>670466824</v>
      </c>
    </row>
    <row r="14" spans="2:9" x14ac:dyDescent="0.25">
      <c r="B14" s="2">
        <v>40483</v>
      </c>
      <c r="C14" s="3">
        <v>295484717</v>
      </c>
      <c r="D14" s="4">
        <f>VLOOKUP(CurrentMtgRatesDataTable8268459[[#This Row],[issueDate]],[1]!CurrentMtgRatesDataTable82684510[#All],2,0)</f>
        <v>1853939539</v>
      </c>
      <c r="E14" s="4">
        <f>VLOOKUP(CurrentMtgRatesDataTable8268459[[#This Row],[issueDate]],[1]!CurrentMtgRatesDataTable82684511[#All],2,0)</f>
        <v>1055657547</v>
      </c>
      <c r="F14" s="4">
        <f>VLOOKUP(CurrentMtgRatesDataTable8268459[[#This Row],[issueDate]],[1]!CurrentMtgRatesDataTable8262[#All],2,0)</f>
        <v>1010009248</v>
      </c>
      <c r="G14" s="5">
        <f>VLOOKUP(CurrentMtgRatesDataTable8268459[[#This Row],[issueDate]],[1]!CurrentMtgRatesDataTable82673[#All],2,0)</f>
        <v>2633760172</v>
      </c>
      <c r="H14" s="5">
        <f>VLOOKUP(CurrentMtgRatesDataTable8268459[[#This Row],[issueDate]],[1]!CurrentMtgRatesDataTable82684[#All],2,0)</f>
        <v>1198485232</v>
      </c>
      <c r="I14" s="5">
        <f>VLOOKUP(CurrentMtgRatesDataTable8268459[[#This Row],[issueDate]],[1]!CurrentMtgRatesDataTable826845[#All],2,0)</f>
        <v>708663087</v>
      </c>
    </row>
    <row r="15" spans="2:9" x14ac:dyDescent="0.25">
      <c r="B15" s="2">
        <v>40513</v>
      </c>
      <c r="C15" s="3">
        <v>443445215</v>
      </c>
      <c r="D15" s="4">
        <f>VLOOKUP(CurrentMtgRatesDataTable8268459[[#This Row],[issueDate]],[1]!CurrentMtgRatesDataTable82684510[#All],2,0)</f>
        <v>1772179506</v>
      </c>
      <c r="E15" s="4">
        <f>VLOOKUP(CurrentMtgRatesDataTable8268459[[#This Row],[issueDate]],[1]!CurrentMtgRatesDataTable82684511[#All],2,0)</f>
        <v>1221699541</v>
      </c>
      <c r="F15" s="4">
        <f>VLOOKUP(CurrentMtgRatesDataTable8268459[[#This Row],[issueDate]],[1]!CurrentMtgRatesDataTable8262[#All],2,0)</f>
        <v>1684767935</v>
      </c>
      <c r="G15" s="5">
        <f>VLOOKUP(CurrentMtgRatesDataTable8268459[[#This Row],[issueDate]],[1]!CurrentMtgRatesDataTable82673[#All],2,0)</f>
        <v>2681507110</v>
      </c>
      <c r="H15" s="5">
        <f>VLOOKUP(CurrentMtgRatesDataTable8268459[[#This Row],[issueDate]],[1]!CurrentMtgRatesDataTable82684[#All],2,0)</f>
        <v>1285535232</v>
      </c>
      <c r="I15" s="5">
        <f>VLOOKUP(CurrentMtgRatesDataTable8268459[[#This Row],[issueDate]],[1]!CurrentMtgRatesDataTable826845[#All],2,0)</f>
        <v>838347587</v>
      </c>
    </row>
    <row r="16" spans="2:9" x14ac:dyDescent="0.25">
      <c r="B16" s="2">
        <v>40544</v>
      </c>
      <c r="C16" s="3">
        <v>323106997</v>
      </c>
      <c r="D16" s="4">
        <f>VLOOKUP(CurrentMtgRatesDataTable8268459[[#This Row],[issueDate]],[1]!CurrentMtgRatesDataTable82684510[#All],2,0)</f>
        <v>1443648463</v>
      </c>
      <c r="E16" s="4">
        <f>VLOOKUP(CurrentMtgRatesDataTable8268459[[#This Row],[issueDate]],[1]!CurrentMtgRatesDataTable82684511[#All],2,0)</f>
        <v>1046242428</v>
      </c>
      <c r="F16" s="4">
        <f>VLOOKUP(CurrentMtgRatesDataTable8268459[[#This Row],[issueDate]],[1]!CurrentMtgRatesDataTable8262[#All],2,0)</f>
        <v>322833781</v>
      </c>
      <c r="G16" s="5">
        <f>VLOOKUP(CurrentMtgRatesDataTable8268459[[#This Row],[issueDate]],[1]!CurrentMtgRatesDataTable82673[#All],2,0)</f>
        <v>1704890203</v>
      </c>
      <c r="H16" s="5">
        <f>VLOOKUP(CurrentMtgRatesDataTable8268459[[#This Row],[issueDate]],[1]!CurrentMtgRatesDataTable82684[#All],2,0)</f>
        <v>964043991</v>
      </c>
      <c r="I16" s="5">
        <f>VLOOKUP(CurrentMtgRatesDataTable8268459[[#This Row],[issueDate]],[1]!CurrentMtgRatesDataTable826845[#All],2,0)</f>
        <v>683367639</v>
      </c>
    </row>
    <row r="17" spans="2:9" x14ac:dyDescent="0.25">
      <c r="B17" s="2">
        <v>40575</v>
      </c>
      <c r="C17" s="3">
        <v>273557809</v>
      </c>
      <c r="D17" s="4">
        <f>VLOOKUP(CurrentMtgRatesDataTable8268459[[#This Row],[issueDate]],[1]!CurrentMtgRatesDataTable82684510[#All],2,0)</f>
        <v>1464783621</v>
      </c>
      <c r="E17" s="4">
        <f>VLOOKUP(CurrentMtgRatesDataTable8268459[[#This Row],[issueDate]],[1]!CurrentMtgRatesDataTable82684511[#All],2,0)</f>
        <v>1083809913</v>
      </c>
      <c r="F17" s="4">
        <f>VLOOKUP(CurrentMtgRatesDataTable8268459[[#This Row],[issueDate]],[1]!CurrentMtgRatesDataTable8262[#All],2,0)</f>
        <v>1199506943</v>
      </c>
      <c r="G17" s="5">
        <f>VLOOKUP(CurrentMtgRatesDataTable8268459[[#This Row],[issueDate]],[1]!CurrentMtgRatesDataTable82673[#All],2,0)</f>
        <v>1942706819</v>
      </c>
      <c r="H17" s="5">
        <f>VLOOKUP(CurrentMtgRatesDataTable8268459[[#This Row],[issueDate]],[1]!CurrentMtgRatesDataTable82684[#All],2,0)</f>
        <v>963213700</v>
      </c>
      <c r="I17" s="5">
        <f>VLOOKUP(CurrentMtgRatesDataTable8268459[[#This Row],[issueDate]],[1]!CurrentMtgRatesDataTable826845[#All],2,0)</f>
        <v>597808712</v>
      </c>
    </row>
    <row r="18" spans="2:9" x14ac:dyDescent="0.25">
      <c r="B18" s="2">
        <v>40603</v>
      </c>
      <c r="C18" s="3">
        <v>581436059</v>
      </c>
      <c r="D18" s="4">
        <f>VLOOKUP(CurrentMtgRatesDataTable8268459[[#This Row],[issueDate]],[1]!CurrentMtgRatesDataTable82684510[#All],2,0)</f>
        <v>1323749778</v>
      </c>
      <c r="E18" s="4">
        <f>VLOOKUP(CurrentMtgRatesDataTable8268459[[#This Row],[issueDate]],[1]!CurrentMtgRatesDataTable82684511[#All],2,0)</f>
        <v>1178373166</v>
      </c>
      <c r="F18" s="4">
        <f>VLOOKUP(CurrentMtgRatesDataTable8268459[[#This Row],[issueDate]],[1]!CurrentMtgRatesDataTable8262[#All],2,0)</f>
        <v>1154399548</v>
      </c>
      <c r="G18" s="5">
        <f>VLOOKUP(CurrentMtgRatesDataTable8268459[[#This Row],[issueDate]],[1]!CurrentMtgRatesDataTable82673[#All],2,0)</f>
        <v>2631670575</v>
      </c>
      <c r="H18" s="5">
        <f>VLOOKUP(CurrentMtgRatesDataTable8268459[[#This Row],[issueDate]],[1]!CurrentMtgRatesDataTable82684[#All],2,0)</f>
        <v>1313320276</v>
      </c>
      <c r="I18" s="5">
        <f>VLOOKUP(CurrentMtgRatesDataTable8268459[[#This Row],[issueDate]],[1]!CurrentMtgRatesDataTable826845[#All],2,0)</f>
        <v>818916287</v>
      </c>
    </row>
    <row r="19" spans="2:9" x14ac:dyDescent="0.25">
      <c r="B19" s="2">
        <v>40634</v>
      </c>
      <c r="C19" s="3">
        <v>523138257</v>
      </c>
      <c r="D19" s="4">
        <f>VLOOKUP(CurrentMtgRatesDataTable8268459[[#This Row],[issueDate]],[1]!CurrentMtgRatesDataTable82684510[#All],2,0)</f>
        <v>1194947665</v>
      </c>
      <c r="E19" s="4">
        <f>VLOOKUP(CurrentMtgRatesDataTable8268459[[#This Row],[issueDate]],[1]!CurrentMtgRatesDataTable82684511[#All],2,0)</f>
        <v>1028063805</v>
      </c>
      <c r="F19" s="4">
        <f>VLOOKUP(CurrentMtgRatesDataTable8268459[[#This Row],[issueDate]],[1]!CurrentMtgRatesDataTable8262[#All],2,0)</f>
        <v>623375110</v>
      </c>
      <c r="G19" s="5">
        <f>VLOOKUP(CurrentMtgRatesDataTable8268459[[#This Row],[issueDate]],[1]!CurrentMtgRatesDataTable82673[#All],2,0)</f>
        <v>1636847989</v>
      </c>
      <c r="H19" s="5">
        <f>VLOOKUP(CurrentMtgRatesDataTable8268459[[#This Row],[issueDate]],[1]!CurrentMtgRatesDataTable82684[#All],2,0)</f>
        <v>835462650</v>
      </c>
      <c r="I19" s="5">
        <f>VLOOKUP(CurrentMtgRatesDataTable8268459[[#This Row],[issueDate]],[1]!CurrentMtgRatesDataTable826845[#All],2,0)</f>
        <v>602284037</v>
      </c>
    </row>
    <row r="20" spans="2:9" x14ac:dyDescent="0.25">
      <c r="B20" s="2">
        <v>40664</v>
      </c>
      <c r="C20" s="3">
        <v>363321355</v>
      </c>
      <c r="D20" s="4">
        <f>VLOOKUP(CurrentMtgRatesDataTable8268459[[#This Row],[issueDate]],[1]!CurrentMtgRatesDataTable82684510[#All],2,0)</f>
        <v>1021482111</v>
      </c>
      <c r="E20" s="4">
        <f>VLOOKUP(CurrentMtgRatesDataTable8268459[[#This Row],[issueDate]],[1]!CurrentMtgRatesDataTable82684511[#All],2,0)</f>
        <v>865363758</v>
      </c>
      <c r="F20" s="4">
        <f>VLOOKUP(CurrentMtgRatesDataTable8268459[[#This Row],[issueDate]],[1]!CurrentMtgRatesDataTable8262[#All],2,0)</f>
        <v>729687773</v>
      </c>
      <c r="G20" s="5">
        <f>VLOOKUP(CurrentMtgRatesDataTable8268459[[#This Row],[issueDate]],[1]!CurrentMtgRatesDataTable82673[#All],2,0)</f>
        <v>1579035556</v>
      </c>
      <c r="H20" s="5">
        <f>VLOOKUP(CurrentMtgRatesDataTable8268459[[#This Row],[issueDate]],[1]!CurrentMtgRatesDataTable82684[#All],2,0)</f>
        <v>868682209</v>
      </c>
      <c r="I20" s="5">
        <f>VLOOKUP(CurrentMtgRatesDataTable8268459[[#This Row],[issueDate]],[1]!CurrentMtgRatesDataTable826845[#All],2,0)</f>
        <v>603596717</v>
      </c>
    </row>
    <row r="21" spans="2:9" x14ac:dyDescent="0.25">
      <c r="B21" s="2">
        <v>40695</v>
      </c>
      <c r="C21" s="3">
        <v>670947560</v>
      </c>
      <c r="D21" s="4">
        <f>VLOOKUP(CurrentMtgRatesDataTable8268459[[#This Row],[issueDate]],[1]!CurrentMtgRatesDataTable82684510[#All],2,0)</f>
        <v>1250601934</v>
      </c>
      <c r="E21" s="4">
        <f>VLOOKUP(CurrentMtgRatesDataTable8268459[[#This Row],[issueDate]],[1]!CurrentMtgRatesDataTable82684511[#All],2,0)</f>
        <v>888524552</v>
      </c>
      <c r="F21" s="4">
        <f>VLOOKUP(CurrentMtgRatesDataTable8268459[[#This Row],[issueDate]],[1]!CurrentMtgRatesDataTable8262[#All],2,0)</f>
        <v>977103582</v>
      </c>
      <c r="G21" s="5">
        <f>VLOOKUP(CurrentMtgRatesDataTable8268459[[#This Row],[issueDate]],[1]!CurrentMtgRatesDataTable82673[#All],2,0)</f>
        <v>2108513267</v>
      </c>
      <c r="H21" s="5">
        <f>VLOOKUP(CurrentMtgRatesDataTable8268459[[#This Row],[issueDate]],[1]!CurrentMtgRatesDataTable82684[#All],2,0)</f>
        <v>1066364823</v>
      </c>
      <c r="I21" s="5">
        <f>VLOOKUP(CurrentMtgRatesDataTable8268459[[#This Row],[issueDate]],[1]!CurrentMtgRatesDataTable826845[#All],2,0)</f>
        <v>716402801</v>
      </c>
    </row>
    <row r="22" spans="2:9" x14ac:dyDescent="0.25">
      <c r="B22" s="2">
        <v>40725</v>
      </c>
      <c r="C22" s="3">
        <v>544504441</v>
      </c>
      <c r="D22" s="4">
        <f>VLOOKUP(CurrentMtgRatesDataTable8268459[[#This Row],[issueDate]],[1]!CurrentMtgRatesDataTable82684510[#All],2,0)</f>
        <v>1233481435</v>
      </c>
      <c r="E22" s="4">
        <f>VLOOKUP(CurrentMtgRatesDataTable8268459[[#This Row],[issueDate]],[1]!CurrentMtgRatesDataTable82684511[#All],2,0)</f>
        <v>661753657</v>
      </c>
      <c r="F22" s="4">
        <f>VLOOKUP(CurrentMtgRatesDataTable8268459[[#This Row],[issueDate]],[1]!CurrentMtgRatesDataTable8262[#All],2,0)</f>
        <v>615931446</v>
      </c>
      <c r="G22" s="5">
        <f>VLOOKUP(CurrentMtgRatesDataTable8268459[[#This Row],[issueDate]],[1]!CurrentMtgRatesDataTable82673[#All],2,0)</f>
        <v>1420152762</v>
      </c>
      <c r="H22" s="5">
        <f>VLOOKUP(CurrentMtgRatesDataTable8268459[[#This Row],[issueDate]],[1]!CurrentMtgRatesDataTable82684[#All],2,0)</f>
        <v>709625001</v>
      </c>
      <c r="I22" s="5">
        <f>VLOOKUP(CurrentMtgRatesDataTable8268459[[#This Row],[issueDate]],[1]!CurrentMtgRatesDataTable826845[#All],2,0)</f>
        <v>509527717</v>
      </c>
    </row>
    <row r="23" spans="2:9" x14ac:dyDescent="0.25">
      <c r="B23" s="2">
        <v>40756</v>
      </c>
      <c r="C23" s="3">
        <v>597220400</v>
      </c>
      <c r="D23" s="4">
        <f>VLOOKUP(CurrentMtgRatesDataTable8268459[[#This Row],[issueDate]],[1]!CurrentMtgRatesDataTable82684510[#All],2,0)</f>
        <v>1409668759</v>
      </c>
      <c r="E23" s="4">
        <f>VLOOKUP(CurrentMtgRatesDataTable8268459[[#This Row],[issueDate]],[1]!CurrentMtgRatesDataTable82684511[#All],2,0)</f>
        <v>618316676</v>
      </c>
      <c r="F23" s="4">
        <f>VLOOKUP(CurrentMtgRatesDataTable8268459[[#This Row],[issueDate]],[1]!CurrentMtgRatesDataTable8262[#All],2,0)</f>
        <v>700196687</v>
      </c>
      <c r="G23" s="5">
        <f>VLOOKUP(CurrentMtgRatesDataTable8268459[[#This Row],[issueDate]],[1]!CurrentMtgRatesDataTable82673[#All],2,0)</f>
        <v>1665304166</v>
      </c>
      <c r="H23" s="5">
        <f>VLOOKUP(CurrentMtgRatesDataTable8268459[[#This Row],[issueDate]],[1]!CurrentMtgRatesDataTable82684[#All],2,0)</f>
        <v>849708760</v>
      </c>
      <c r="I23" s="5">
        <f>VLOOKUP(CurrentMtgRatesDataTable8268459[[#This Row],[issueDate]],[1]!CurrentMtgRatesDataTable826845[#All],2,0)</f>
        <v>624435737</v>
      </c>
    </row>
    <row r="24" spans="2:9" x14ac:dyDescent="0.25">
      <c r="B24" s="2">
        <v>40787</v>
      </c>
      <c r="C24" s="3">
        <v>1142247145</v>
      </c>
      <c r="D24" s="4">
        <f>VLOOKUP(CurrentMtgRatesDataTable8268459[[#This Row],[issueDate]],[1]!CurrentMtgRatesDataTable82684510[#All],2,0)</f>
        <v>1373391430</v>
      </c>
      <c r="E24" s="4">
        <f>VLOOKUP(CurrentMtgRatesDataTable8268459[[#This Row],[issueDate]],[1]!CurrentMtgRatesDataTable82684511[#All],2,0)</f>
        <v>744658251</v>
      </c>
      <c r="F24" s="4">
        <f>VLOOKUP(CurrentMtgRatesDataTable8268459[[#This Row],[issueDate]],[1]!CurrentMtgRatesDataTable8262[#All],2,0)</f>
        <v>1172583154</v>
      </c>
      <c r="G24" s="5">
        <f>VLOOKUP(CurrentMtgRatesDataTable8268459[[#This Row],[issueDate]],[1]!CurrentMtgRatesDataTable82673[#All],2,0)</f>
        <v>2089320127</v>
      </c>
      <c r="H24" s="5">
        <f>VLOOKUP(CurrentMtgRatesDataTable8268459[[#This Row],[issueDate]],[1]!CurrentMtgRatesDataTable82684[#All],2,0)</f>
        <v>1075911404</v>
      </c>
      <c r="I24" s="5">
        <f>VLOOKUP(CurrentMtgRatesDataTable8268459[[#This Row],[issueDate]],[1]!CurrentMtgRatesDataTable826845[#All],2,0)</f>
        <v>749319829</v>
      </c>
    </row>
    <row r="25" spans="2:9" x14ac:dyDescent="0.25">
      <c r="B25" s="2">
        <v>40817</v>
      </c>
      <c r="C25" s="3">
        <v>904649967</v>
      </c>
      <c r="D25" s="4">
        <f>VLOOKUP(CurrentMtgRatesDataTable8268459[[#This Row],[issueDate]],[1]!CurrentMtgRatesDataTable82684510[#All],2,0)</f>
        <v>1371675072</v>
      </c>
      <c r="E25" s="4">
        <f>VLOOKUP(CurrentMtgRatesDataTable8268459[[#This Row],[issueDate]],[1]!CurrentMtgRatesDataTable82684511[#All],2,0)</f>
        <v>707129963</v>
      </c>
      <c r="F25" s="4">
        <f>VLOOKUP(CurrentMtgRatesDataTable8268459[[#This Row],[issueDate]],[1]!CurrentMtgRatesDataTable8262[#All],2,0)</f>
        <v>1053422473</v>
      </c>
      <c r="G25" s="5">
        <f>VLOOKUP(CurrentMtgRatesDataTable8268459[[#This Row],[issueDate]],[1]!CurrentMtgRatesDataTable82673[#All],2,0)</f>
        <v>1776001224</v>
      </c>
      <c r="H25" s="5">
        <f>VLOOKUP(CurrentMtgRatesDataTable8268459[[#This Row],[issueDate]],[1]!CurrentMtgRatesDataTable82684[#All],2,0)</f>
        <v>857963060</v>
      </c>
      <c r="I25" s="5">
        <f>VLOOKUP(CurrentMtgRatesDataTable8268459[[#This Row],[issueDate]],[1]!CurrentMtgRatesDataTable826845[#All],2,0)</f>
        <v>612680365</v>
      </c>
    </row>
    <row r="26" spans="2:9" x14ac:dyDescent="0.25">
      <c r="B26" s="2">
        <v>40848</v>
      </c>
      <c r="C26" s="3">
        <v>746449328</v>
      </c>
      <c r="D26" s="4">
        <f>VLOOKUP(CurrentMtgRatesDataTable8268459[[#This Row],[issueDate]],[1]!CurrentMtgRatesDataTable82684510[#All],2,0)</f>
        <v>2069110953</v>
      </c>
      <c r="E26" s="4">
        <f>VLOOKUP(CurrentMtgRatesDataTable8268459[[#This Row],[issueDate]],[1]!CurrentMtgRatesDataTable82684511[#All],2,0)</f>
        <v>913700422</v>
      </c>
      <c r="F26" s="4">
        <f>VLOOKUP(CurrentMtgRatesDataTable8268459[[#This Row],[issueDate]],[1]!CurrentMtgRatesDataTable8262[#All],2,0)</f>
        <v>883509763</v>
      </c>
      <c r="G26" s="5">
        <f>VLOOKUP(CurrentMtgRatesDataTable8268459[[#This Row],[issueDate]],[1]!CurrentMtgRatesDataTable82673[#All],2,0)</f>
        <v>2048922712</v>
      </c>
      <c r="H26" s="5">
        <f>VLOOKUP(CurrentMtgRatesDataTable8268459[[#This Row],[issueDate]],[1]!CurrentMtgRatesDataTable82684[#All],2,0)</f>
        <v>916843872</v>
      </c>
      <c r="I26" s="5">
        <f>VLOOKUP(CurrentMtgRatesDataTable8268459[[#This Row],[issueDate]],[1]!CurrentMtgRatesDataTable826845[#All],2,0)</f>
        <v>660088356</v>
      </c>
    </row>
    <row r="27" spans="2:9" x14ac:dyDescent="0.25">
      <c r="B27" s="2">
        <v>40878</v>
      </c>
      <c r="C27" s="3">
        <v>630958608</v>
      </c>
      <c r="D27" s="4">
        <f>VLOOKUP(CurrentMtgRatesDataTable8268459[[#This Row],[issueDate]],[1]!CurrentMtgRatesDataTable82684510[#All],2,0)</f>
        <v>1545506017</v>
      </c>
      <c r="E27" s="4">
        <f>VLOOKUP(CurrentMtgRatesDataTable8268459[[#This Row],[issueDate]],[1]!CurrentMtgRatesDataTable82684511[#All],2,0)</f>
        <v>814006032</v>
      </c>
      <c r="F27" s="4">
        <f>VLOOKUP(CurrentMtgRatesDataTable8268459[[#This Row],[issueDate]],[1]!CurrentMtgRatesDataTable8262[#All],2,0)</f>
        <v>927109718</v>
      </c>
      <c r="G27" s="5">
        <f>VLOOKUP(CurrentMtgRatesDataTable8268459[[#This Row],[issueDate]],[1]!CurrentMtgRatesDataTable82673[#All],2,0)</f>
        <v>2351497218</v>
      </c>
      <c r="H27" s="5">
        <f>VLOOKUP(CurrentMtgRatesDataTable8268459[[#This Row],[issueDate]],[1]!CurrentMtgRatesDataTable82684[#All],2,0)</f>
        <v>1268334918</v>
      </c>
      <c r="I27" s="5">
        <f>VLOOKUP(CurrentMtgRatesDataTable8268459[[#This Row],[issueDate]],[1]!CurrentMtgRatesDataTable826845[#All],2,0)</f>
        <v>964804971</v>
      </c>
    </row>
    <row r="28" spans="2:9" x14ac:dyDescent="0.25">
      <c r="B28" s="2">
        <v>40909</v>
      </c>
      <c r="C28" s="3">
        <v>1199227914</v>
      </c>
      <c r="D28" s="4">
        <f>VLOOKUP(CurrentMtgRatesDataTable8268459[[#This Row],[issueDate]],[1]!CurrentMtgRatesDataTable82684510[#All],2,0)</f>
        <v>2618325359</v>
      </c>
      <c r="E28" s="4">
        <f>VLOOKUP(CurrentMtgRatesDataTable8268459[[#This Row],[issueDate]],[1]!CurrentMtgRatesDataTable82684511[#All],2,0)</f>
        <v>881297951</v>
      </c>
      <c r="F28" s="4">
        <f>VLOOKUP(CurrentMtgRatesDataTable8268459[[#This Row],[issueDate]],[1]!CurrentMtgRatesDataTable8262[#All],2,0)</f>
        <v>895155203</v>
      </c>
      <c r="G28" s="5">
        <f>VLOOKUP(CurrentMtgRatesDataTable8268459[[#This Row],[issueDate]],[1]!CurrentMtgRatesDataTable82673[#All],2,0)</f>
        <v>2301286099</v>
      </c>
      <c r="H28" s="5">
        <f>VLOOKUP(CurrentMtgRatesDataTable8268459[[#This Row],[issueDate]],[1]!CurrentMtgRatesDataTable82684[#All],2,0)</f>
        <v>1022202205</v>
      </c>
      <c r="I28" s="5">
        <f>VLOOKUP(CurrentMtgRatesDataTable8268459[[#This Row],[issueDate]],[1]!CurrentMtgRatesDataTable826845[#All],2,0)</f>
        <v>646001264</v>
      </c>
    </row>
    <row r="29" spans="2:9" x14ac:dyDescent="0.25">
      <c r="B29" s="2">
        <v>40940</v>
      </c>
      <c r="C29" s="3">
        <v>858544665</v>
      </c>
      <c r="D29" s="4">
        <f>VLOOKUP(CurrentMtgRatesDataTable8268459[[#This Row],[issueDate]],[1]!CurrentMtgRatesDataTable82684510[#All],2,0)</f>
        <v>2549140693</v>
      </c>
      <c r="E29" s="4">
        <f>VLOOKUP(CurrentMtgRatesDataTable8268459[[#This Row],[issueDate]],[1]!CurrentMtgRatesDataTable82684511[#All],2,0)</f>
        <v>1070710499</v>
      </c>
      <c r="F29" s="4">
        <f>VLOOKUP(CurrentMtgRatesDataTable8268459[[#This Row],[issueDate]],[1]!CurrentMtgRatesDataTable8262[#All],2,0)</f>
        <v>1119679733</v>
      </c>
      <c r="G29" s="5">
        <f>VLOOKUP(CurrentMtgRatesDataTable8268459[[#This Row],[issueDate]],[1]!CurrentMtgRatesDataTable82673[#All],2,0)</f>
        <v>2674571746</v>
      </c>
      <c r="H29" s="5">
        <f>VLOOKUP(CurrentMtgRatesDataTable8268459[[#This Row],[issueDate]],[1]!CurrentMtgRatesDataTable82684[#All],2,0)</f>
        <v>1284539858</v>
      </c>
      <c r="I29" s="5">
        <f>VLOOKUP(CurrentMtgRatesDataTable8268459[[#This Row],[issueDate]],[1]!CurrentMtgRatesDataTable826845[#All],2,0)</f>
        <v>856472475</v>
      </c>
    </row>
    <row r="30" spans="2:9" x14ac:dyDescent="0.25">
      <c r="B30" s="2">
        <v>40969</v>
      </c>
      <c r="C30" s="3">
        <v>1316407997</v>
      </c>
      <c r="D30" s="4">
        <f>VLOOKUP(CurrentMtgRatesDataTable8268459[[#This Row],[issueDate]],[1]!CurrentMtgRatesDataTable82684510[#All],2,0)</f>
        <v>4280168236</v>
      </c>
      <c r="E30" s="4">
        <f>VLOOKUP(CurrentMtgRatesDataTable8268459[[#This Row],[issueDate]],[1]!CurrentMtgRatesDataTable82684511[#All],2,0)</f>
        <v>1907637512</v>
      </c>
      <c r="F30" s="4">
        <f>VLOOKUP(CurrentMtgRatesDataTable8268459[[#This Row],[issueDate]],[1]!CurrentMtgRatesDataTable8262[#All],2,0)</f>
        <v>2071647847</v>
      </c>
      <c r="G30" s="5">
        <f>VLOOKUP(CurrentMtgRatesDataTable8268459[[#This Row],[issueDate]],[1]!CurrentMtgRatesDataTable82673[#All],2,0)</f>
        <v>3841087144</v>
      </c>
      <c r="H30" s="5">
        <f>VLOOKUP(CurrentMtgRatesDataTable8268459[[#This Row],[issueDate]],[1]!CurrentMtgRatesDataTable82684[#All],2,0)</f>
        <v>1735119323</v>
      </c>
      <c r="I30" s="5">
        <f>VLOOKUP(CurrentMtgRatesDataTable8268459[[#This Row],[issueDate]],[1]!CurrentMtgRatesDataTable826845[#All],2,0)</f>
        <v>1094708047</v>
      </c>
    </row>
    <row r="31" spans="2:9" x14ac:dyDescent="0.25">
      <c r="B31" s="2">
        <v>41000</v>
      </c>
      <c r="C31" s="3">
        <v>619429599</v>
      </c>
      <c r="D31" s="4">
        <f>VLOOKUP(CurrentMtgRatesDataTable8268459[[#This Row],[issueDate]],[1]!CurrentMtgRatesDataTable82684510[#All],2,0)</f>
        <v>2344147071</v>
      </c>
      <c r="E31" s="4">
        <f>VLOOKUP(CurrentMtgRatesDataTable8268459[[#This Row],[issueDate]],[1]!CurrentMtgRatesDataTable82684511[#All],2,0)</f>
        <v>924196729</v>
      </c>
      <c r="F31" s="4">
        <f>VLOOKUP(CurrentMtgRatesDataTable8268459[[#This Row],[issueDate]],[1]!CurrentMtgRatesDataTable8262[#All],2,0)</f>
        <v>1142559870</v>
      </c>
      <c r="G31" s="5">
        <f>VLOOKUP(CurrentMtgRatesDataTable8268459[[#This Row],[issueDate]],[1]!CurrentMtgRatesDataTable82673[#All],2,0)</f>
        <v>2181147527</v>
      </c>
      <c r="H31" s="5">
        <f>VLOOKUP(CurrentMtgRatesDataTable8268459[[#This Row],[issueDate]],[1]!CurrentMtgRatesDataTable82684[#All],2,0)</f>
        <v>987980929</v>
      </c>
      <c r="I31" s="5">
        <f>VLOOKUP(CurrentMtgRatesDataTable8268459[[#This Row],[issueDate]],[1]!CurrentMtgRatesDataTable826845[#All],2,0)</f>
        <v>638284668</v>
      </c>
    </row>
    <row r="32" spans="2:9" x14ac:dyDescent="0.25">
      <c r="B32" s="2">
        <v>41030</v>
      </c>
      <c r="C32" s="3">
        <v>1030015691</v>
      </c>
      <c r="D32" s="4">
        <f>VLOOKUP(CurrentMtgRatesDataTable8268459[[#This Row],[issueDate]],[1]!CurrentMtgRatesDataTable82684510[#All],2,0)</f>
        <v>3652827367</v>
      </c>
      <c r="E32" s="4">
        <f>VLOOKUP(CurrentMtgRatesDataTable8268459[[#This Row],[issueDate]],[1]!CurrentMtgRatesDataTable82684511[#All],2,0)</f>
        <v>1284353878</v>
      </c>
      <c r="F32" s="4">
        <f>VLOOKUP(CurrentMtgRatesDataTable8268459[[#This Row],[issueDate]],[1]!CurrentMtgRatesDataTable8262[#All],2,0)</f>
        <v>1739950443</v>
      </c>
      <c r="G32" s="5">
        <f>VLOOKUP(CurrentMtgRatesDataTable8268459[[#This Row],[issueDate]],[1]!CurrentMtgRatesDataTable82673[#All],2,0)</f>
        <v>3139002806</v>
      </c>
      <c r="H32" s="5">
        <f>VLOOKUP(CurrentMtgRatesDataTable8268459[[#This Row],[issueDate]],[1]!CurrentMtgRatesDataTable82684[#All],2,0)</f>
        <v>1484383778</v>
      </c>
      <c r="I32" s="5">
        <f>VLOOKUP(CurrentMtgRatesDataTable8268459[[#This Row],[issueDate]],[1]!CurrentMtgRatesDataTable826845[#All],2,0)</f>
        <v>965308651</v>
      </c>
    </row>
    <row r="33" spans="2:9" x14ac:dyDescent="0.25">
      <c r="B33" s="2">
        <v>41061</v>
      </c>
      <c r="C33" s="3">
        <v>1023641491</v>
      </c>
      <c r="D33" s="4">
        <f>VLOOKUP(CurrentMtgRatesDataTable8268459[[#This Row],[issueDate]],[1]!CurrentMtgRatesDataTable82684510[#All],2,0)</f>
        <v>3645341345</v>
      </c>
      <c r="E33" s="4">
        <f>VLOOKUP(CurrentMtgRatesDataTable8268459[[#This Row],[issueDate]],[1]!CurrentMtgRatesDataTable82684511[#All],2,0)</f>
        <v>1249456220</v>
      </c>
      <c r="F33" s="4">
        <f>VLOOKUP(CurrentMtgRatesDataTable8268459[[#This Row],[issueDate]],[1]!CurrentMtgRatesDataTable8262[#All],2,0)</f>
        <v>1341442478</v>
      </c>
      <c r="G33" s="5">
        <f>VLOOKUP(CurrentMtgRatesDataTable8268459[[#This Row],[issueDate]],[1]!CurrentMtgRatesDataTable82673[#All],2,0)</f>
        <v>2589334638</v>
      </c>
      <c r="H33" s="5">
        <f>VLOOKUP(CurrentMtgRatesDataTable8268459[[#This Row],[issueDate]],[1]!CurrentMtgRatesDataTable82684[#All],2,0)</f>
        <v>1316392694</v>
      </c>
      <c r="I33" s="5">
        <f>VLOOKUP(CurrentMtgRatesDataTable8268459[[#This Row],[issueDate]],[1]!CurrentMtgRatesDataTable826845[#All],2,0)</f>
        <v>869933090</v>
      </c>
    </row>
    <row r="34" spans="2:9" x14ac:dyDescent="0.25">
      <c r="B34" s="2">
        <v>41091</v>
      </c>
      <c r="C34" s="3">
        <v>1486802071</v>
      </c>
      <c r="D34" s="4">
        <f>VLOOKUP(CurrentMtgRatesDataTable8268459[[#This Row],[issueDate]],[1]!CurrentMtgRatesDataTable82684510[#All],2,0)</f>
        <v>3672143704</v>
      </c>
      <c r="E34" s="4">
        <f>VLOOKUP(CurrentMtgRatesDataTable8268459[[#This Row],[issueDate]],[1]!CurrentMtgRatesDataTable82684511[#All],2,0)</f>
        <v>1368636075</v>
      </c>
      <c r="F34" s="4">
        <f>VLOOKUP(CurrentMtgRatesDataTable8268459[[#This Row],[issueDate]],[1]!CurrentMtgRatesDataTable8262[#All],2,0)</f>
        <v>1676373437</v>
      </c>
      <c r="G34" s="5">
        <f>VLOOKUP(CurrentMtgRatesDataTable8268459[[#This Row],[issueDate]],[1]!CurrentMtgRatesDataTable82673[#All],2,0)</f>
        <v>3037145756</v>
      </c>
      <c r="H34" s="5">
        <f>VLOOKUP(CurrentMtgRatesDataTable8268459[[#This Row],[issueDate]],[1]!CurrentMtgRatesDataTable82684[#All],2,0)</f>
        <v>1391950040</v>
      </c>
      <c r="I34" s="5">
        <f>VLOOKUP(CurrentMtgRatesDataTable8268459[[#This Row],[issueDate]],[1]!CurrentMtgRatesDataTable826845[#All],2,0)</f>
        <v>916631007</v>
      </c>
    </row>
    <row r="35" spans="2:9" x14ac:dyDescent="0.25">
      <c r="B35" s="2">
        <v>41122</v>
      </c>
      <c r="C35" s="3">
        <v>1507652848</v>
      </c>
      <c r="D35" s="4">
        <f>VLOOKUP(CurrentMtgRatesDataTable8268459[[#This Row],[issueDate]],[1]!CurrentMtgRatesDataTable82684510[#All],2,0)</f>
        <v>4005623745</v>
      </c>
      <c r="E35" s="4">
        <f>VLOOKUP(CurrentMtgRatesDataTable8268459[[#This Row],[issueDate]],[1]!CurrentMtgRatesDataTable82684511[#All],2,0)</f>
        <v>1427196427</v>
      </c>
      <c r="F35" s="4">
        <f>VLOOKUP(CurrentMtgRatesDataTable8268459[[#This Row],[issueDate]],[1]!CurrentMtgRatesDataTable8262[#All],2,0)</f>
        <v>1740229937</v>
      </c>
      <c r="G35" s="5">
        <f>VLOOKUP(CurrentMtgRatesDataTable8268459[[#This Row],[issueDate]],[1]!CurrentMtgRatesDataTable82673[#All],2,0)</f>
        <v>2800881284</v>
      </c>
      <c r="H35" s="5">
        <f>VLOOKUP(CurrentMtgRatesDataTable8268459[[#This Row],[issueDate]],[1]!CurrentMtgRatesDataTable82684[#All],2,0)</f>
        <v>1332804528</v>
      </c>
      <c r="I35" s="5">
        <f>VLOOKUP(CurrentMtgRatesDataTable8268459[[#This Row],[issueDate]],[1]!CurrentMtgRatesDataTable826845[#All],2,0)</f>
        <v>938861711</v>
      </c>
    </row>
    <row r="36" spans="2:9" x14ac:dyDescent="0.25">
      <c r="B36" s="2">
        <v>41153</v>
      </c>
      <c r="C36" s="3">
        <v>1363121051</v>
      </c>
      <c r="D36" s="4">
        <f>VLOOKUP(CurrentMtgRatesDataTable8268459[[#This Row],[issueDate]],[1]!CurrentMtgRatesDataTable82684510[#All],2,0)</f>
        <v>3794875709</v>
      </c>
      <c r="E36" s="4">
        <f>VLOOKUP(CurrentMtgRatesDataTable8268459[[#This Row],[issueDate]],[1]!CurrentMtgRatesDataTable82684511[#All],2,0)</f>
        <v>1334351132</v>
      </c>
      <c r="F36" s="4">
        <f>VLOOKUP(CurrentMtgRatesDataTable8268459[[#This Row],[issueDate]],[1]!CurrentMtgRatesDataTable8262[#All],2,0)</f>
        <v>1747467554</v>
      </c>
      <c r="G36" s="5">
        <f>VLOOKUP(CurrentMtgRatesDataTable8268459[[#This Row],[issueDate]],[1]!CurrentMtgRatesDataTable82673[#All],2,0)</f>
        <v>3094496393</v>
      </c>
      <c r="H36" s="5">
        <f>VLOOKUP(CurrentMtgRatesDataTable8268459[[#This Row],[issueDate]],[1]!CurrentMtgRatesDataTable82684[#All],2,0)</f>
        <v>1412162830</v>
      </c>
      <c r="I36" s="5">
        <f>VLOOKUP(CurrentMtgRatesDataTable8268459[[#This Row],[issueDate]],[1]!CurrentMtgRatesDataTable826845[#All],2,0)</f>
        <v>866473910</v>
      </c>
    </row>
    <row r="37" spans="2:9" x14ac:dyDescent="0.25">
      <c r="B37" s="2">
        <v>41183</v>
      </c>
      <c r="C37" s="3">
        <v>741027528</v>
      </c>
      <c r="D37" s="4">
        <f>VLOOKUP(CurrentMtgRatesDataTable8268459[[#This Row],[issueDate]],[1]!CurrentMtgRatesDataTable82684510[#All],2,0)</f>
        <v>2866599095</v>
      </c>
      <c r="E37" s="4">
        <f>VLOOKUP(CurrentMtgRatesDataTable8268459[[#This Row],[issueDate]],[1]!CurrentMtgRatesDataTable82684511[#All],2,0)</f>
        <v>467542200</v>
      </c>
      <c r="F37" s="4">
        <f>VLOOKUP(CurrentMtgRatesDataTable8268459[[#This Row],[issueDate]],[1]!CurrentMtgRatesDataTable8262[#All],2,0)</f>
        <v>885767358</v>
      </c>
      <c r="G37" s="5">
        <f>VLOOKUP(CurrentMtgRatesDataTable8268459[[#This Row],[issueDate]],[1]!CurrentMtgRatesDataTable82673[#All],2,0)</f>
        <v>1750544385</v>
      </c>
      <c r="H37" s="5">
        <f>VLOOKUP(CurrentMtgRatesDataTable8268459[[#This Row],[issueDate]],[1]!CurrentMtgRatesDataTable82684[#All],2,0)</f>
        <v>1074934170</v>
      </c>
      <c r="I37" s="5">
        <f>VLOOKUP(CurrentMtgRatesDataTable8268459[[#This Row],[issueDate]],[1]!CurrentMtgRatesDataTable826845[#All],2,0)</f>
        <v>674003513</v>
      </c>
    </row>
    <row r="38" spans="2:9" x14ac:dyDescent="0.25">
      <c r="B38" s="2">
        <v>41214</v>
      </c>
      <c r="C38" s="3">
        <v>1745418744</v>
      </c>
      <c r="D38" s="4">
        <f>VLOOKUP(CurrentMtgRatesDataTable8268459[[#This Row],[issueDate]],[1]!CurrentMtgRatesDataTable82684510[#All],2,0)</f>
        <v>4430765694</v>
      </c>
      <c r="E38" s="4">
        <f>VLOOKUP(CurrentMtgRatesDataTable8268459[[#This Row],[issueDate]],[1]!CurrentMtgRatesDataTable82684511[#All],2,0)</f>
        <v>2080610275</v>
      </c>
      <c r="F38" s="4">
        <f>VLOOKUP(CurrentMtgRatesDataTable8268459[[#This Row],[issueDate]],[1]!CurrentMtgRatesDataTable8262[#All],2,0)</f>
        <v>1351050040</v>
      </c>
      <c r="G38" s="5">
        <f>VLOOKUP(CurrentMtgRatesDataTable8268459[[#This Row],[issueDate]],[1]!CurrentMtgRatesDataTable82673[#All],2,0)</f>
        <v>3750861223</v>
      </c>
      <c r="H38" s="5">
        <f>VLOOKUP(CurrentMtgRatesDataTable8268459[[#This Row],[issueDate]],[1]!CurrentMtgRatesDataTable82684[#All],2,0)</f>
        <v>2092345448</v>
      </c>
      <c r="I38" s="5">
        <f>VLOOKUP(CurrentMtgRatesDataTable8268459[[#This Row],[issueDate]],[1]!CurrentMtgRatesDataTable826845[#All],2,0)</f>
        <v>1360862416</v>
      </c>
    </row>
    <row r="39" spans="2:9" x14ac:dyDescent="0.25">
      <c r="B39" s="2">
        <v>41244</v>
      </c>
      <c r="C39" s="3">
        <v>779099080</v>
      </c>
      <c r="D39" s="4">
        <f>VLOOKUP(CurrentMtgRatesDataTable8268459[[#This Row],[issueDate]],[1]!CurrentMtgRatesDataTable82684510[#All],2,0)</f>
        <v>2825123329</v>
      </c>
      <c r="E39" s="4">
        <f>VLOOKUP(CurrentMtgRatesDataTable8268459[[#This Row],[issueDate]],[1]!CurrentMtgRatesDataTable82684511[#All],2,0)</f>
        <v>1077406635</v>
      </c>
      <c r="F39" s="4">
        <f>VLOOKUP(CurrentMtgRatesDataTable8268459[[#This Row],[issueDate]],[1]!CurrentMtgRatesDataTable8262[#All],2,0)</f>
        <v>1378219207</v>
      </c>
      <c r="G39" s="5">
        <f>VLOOKUP(CurrentMtgRatesDataTable8268459[[#This Row],[issueDate]],[1]!CurrentMtgRatesDataTable82673[#All],2,0)</f>
        <v>2422434894</v>
      </c>
      <c r="H39" s="5">
        <f>VLOOKUP(CurrentMtgRatesDataTable8268459[[#This Row],[issueDate]],[1]!CurrentMtgRatesDataTable82684[#All],2,0)</f>
        <v>1221012156</v>
      </c>
      <c r="I39" s="5">
        <f>VLOOKUP(CurrentMtgRatesDataTable8268459[[#This Row],[issueDate]],[1]!CurrentMtgRatesDataTable826845[#All],2,0)</f>
        <v>763603729</v>
      </c>
    </row>
    <row r="40" spans="2:9" x14ac:dyDescent="0.25">
      <c r="B40" s="2">
        <v>41275</v>
      </c>
      <c r="C40" s="3">
        <v>1631971933</v>
      </c>
      <c r="D40" s="4">
        <f>VLOOKUP(CurrentMtgRatesDataTable8268459[[#This Row],[issueDate]],[1]!CurrentMtgRatesDataTable82684510[#All],2,0)</f>
        <v>3545408567</v>
      </c>
      <c r="E40" s="4">
        <f>VLOOKUP(CurrentMtgRatesDataTable8268459[[#This Row],[issueDate]],[1]!CurrentMtgRatesDataTable82684511[#All],2,0)</f>
        <v>1485427177</v>
      </c>
      <c r="F40" s="4">
        <f>VLOOKUP(CurrentMtgRatesDataTable8268459[[#This Row],[issueDate]],[1]!CurrentMtgRatesDataTable8262[#All],2,0)</f>
        <v>1960322510</v>
      </c>
      <c r="G40" s="5">
        <f>VLOOKUP(CurrentMtgRatesDataTable8268459[[#This Row],[issueDate]],[1]!CurrentMtgRatesDataTable82673[#All],2,0)</f>
        <v>3557232725</v>
      </c>
      <c r="H40" s="5">
        <f>VLOOKUP(CurrentMtgRatesDataTable8268459[[#This Row],[issueDate]],[1]!CurrentMtgRatesDataTable82684[#All],2,0)</f>
        <v>1621872168</v>
      </c>
      <c r="I40" s="5">
        <f>VLOOKUP(CurrentMtgRatesDataTable8268459[[#This Row],[issueDate]],[1]!CurrentMtgRatesDataTable826845[#All],2,0)</f>
        <v>1057109121</v>
      </c>
    </row>
    <row r="41" spans="2:9" x14ac:dyDescent="0.25">
      <c r="B41" s="2">
        <v>41306</v>
      </c>
      <c r="C41" s="3">
        <v>1473941813</v>
      </c>
      <c r="D41" s="4">
        <f>VLOOKUP(CurrentMtgRatesDataTable8268459[[#This Row],[issueDate]],[1]!CurrentMtgRatesDataTable82684510[#All],2,0)</f>
        <v>2993187224</v>
      </c>
      <c r="E41" s="4">
        <f>VLOOKUP(CurrentMtgRatesDataTable8268459[[#This Row],[issueDate]],[1]!CurrentMtgRatesDataTable82684511[#All],2,0)</f>
        <v>1331254497</v>
      </c>
      <c r="F41" s="4">
        <f>VLOOKUP(CurrentMtgRatesDataTable8268459[[#This Row],[issueDate]],[1]!CurrentMtgRatesDataTable8262[#All],2,0)</f>
        <v>1424567527</v>
      </c>
      <c r="G41" s="5">
        <f>VLOOKUP(CurrentMtgRatesDataTable8268459[[#This Row],[issueDate]],[1]!CurrentMtgRatesDataTable82673[#All],2,0)</f>
        <v>2559417623</v>
      </c>
      <c r="H41" s="5">
        <f>VLOOKUP(CurrentMtgRatesDataTable8268459[[#This Row],[issueDate]],[1]!CurrentMtgRatesDataTable82684[#All],2,0)</f>
        <v>1326174750</v>
      </c>
      <c r="I41" s="5">
        <f>VLOOKUP(CurrentMtgRatesDataTable8268459[[#This Row],[issueDate]],[1]!CurrentMtgRatesDataTable826845[#All],2,0)</f>
        <v>962399260</v>
      </c>
    </row>
    <row r="42" spans="2:9" x14ac:dyDescent="0.25">
      <c r="B42" s="2">
        <v>41334</v>
      </c>
      <c r="C42" s="3">
        <v>1157795498</v>
      </c>
      <c r="D42" s="4">
        <f>VLOOKUP(CurrentMtgRatesDataTable8268459[[#This Row],[issueDate]],[1]!CurrentMtgRatesDataTable82684510[#All],2,0)</f>
        <v>2633670399</v>
      </c>
      <c r="E42" s="4">
        <f>VLOOKUP(CurrentMtgRatesDataTable8268459[[#This Row],[issueDate]],[1]!CurrentMtgRatesDataTable82684511[#All],2,0)</f>
        <v>1055385357</v>
      </c>
      <c r="F42" s="4">
        <f>VLOOKUP(CurrentMtgRatesDataTable8268459[[#This Row],[issueDate]],[1]!CurrentMtgRatesDataTable8262[#All],2,0)</f>
        <v>1467961473</v>
      </c>
      <c r="G42" s="5">
        <f>VLOOKUP(CurrentMtgRatesDataTable8268459[[#This Row],[issueDate]],[1]!CurrentMtgRatesDataTable82673[#All],2,0)</f>
        <v>2649041543</v>
      </c>
      <c r="H42" s="5">
        <f>VLOOKUP(CurrentMtgRatesDataTable8268459[[#This Row],[issueDate]],[1]!CurrentMtgRatesDataTable82684[#All],2,0)</f>
        <v>1274631916</v>
      </c>
      <c r="I42" s="5">
        <f>VLOOKUP(CurrentMtgRatesDataTable8268459[[#This Row],[issueDate]],[1]!CurrentMtgRatesDataTable826845[#All],2,0)</f>
        <v>871349067</v>
      </c>
    </row>
    <row r="43" spans="2:9" x14ac:dyDescent="0.25">
      <c r="B43" s="2">
        <v>41365</v>
      </c>
      <c r="C43" s="3">
        <v>1492444337</v>
      </c>
      <c r="D43" s="4">
        <f>VLOOKUP(CurrentMtgRatesDataTable8268459[[#This Row],[issueDate]],[1]!CurrentMtgRatesDataTable82684510[#All],2,0)</f>
        <v>2852112763</v>
      </c>
      <c r="E43" s="4">
        <f>VLOOKUP(CurrentMtgRatesDataTable8268459[[#This Row],[issueDate]],[1]!CurrentMtgRatesDataTable82684511[#All],2,0)</f>
        <v>1291214195</v>
      </c>
      <c r="F43" s="4">
        <f>VLOOKUP(CurrentMtgRatesDataTable8268459[[#This Row],[issueDate]],[1]!CurrentMtgRatesDataTable8262[#All],2,0)</f>
        <v>1543905672</v>
      </c>
      <c r="G43" s="5">
        <f>VLOOKUP(CurrentMtgRatesDataTable8268459[[#This Row],[issueDate]],[1]!CurrentMtgRatesDataTable82673[#All],2,0)</f>
        <v>2788212008</v>
      </c>
      <c r="H43" s="5">
        <f>VLOOKUP(CurrentMtgRatesDataTable8268459[[#This Row],[issueDate]],[1]!CurrentMtgRatesDataTable82684[#All],2,0)</f>
        <v>1489937515</v>
      </c>
      <c r="I43" s="5">
        <f>VLOOKUP(CurrentMtgRatesDataTable8268459[[#This Row],[issueDate]],[1]!CurrentMtgRatesDataTable826845[#All],2,0)</f>
        <v>992634188</v>
      </c>
    </row>
    <row r="44" spans="2:9" x14ac:dyDescent="0.25">
      <c r="B44" s="2">
        <v>41395</v>
      </c>
      <c r="C44" s="3">
        <v>1148597953</v>
      </c>
      <c r="D44" s="4">
        <f>VLOOKUP(CurrentMtgRatesDataTable8268459[[#This Row],[issueDate]],[1]!CurrentMtgRatesDataTable82684510[#All],2,0)</f>
        <v>2055564409</v>
      </c>
      <c r="E44" s="4">
        <f>VLOOKUP(CurrentMtgRatesDataTable8268459[[#This Row],[issueDate]],[1]!CurrentMtgRatesDataTable82684511[#All],2,0)</f>
        <v>759951414</v>
      </c>
      <c r="F44" s="4">
        <f>VLOOKUP(CurrentMtgRatesDataTable8268459[[#This Row],[issueDate]],[1]!CurrentMtgRatesDataTable8262[#All],2,0)</f>
        <v>2072685965</v>
      </c>
      <c r="G44" s="5">
        <f>VLOOKUP(CurrentMtgRatesDataTable8268459[[#This Row],[issueDate]],[1]!CurrentMtgRatesDataTable82673[#All],2,0)</f>
        <v>3408933720</v>
      </c>
      <c r="H44" s="5">
        <f>VLOOKUP(CurrentMtgRatesDataTable8268459[[#This Row],[issueDate]],[1]!CurrentMtgRatesDataTable82684[#All],2,0)</f>
        <v>1613997581</v>
      </c>
      <c r="I44" s="5">
        <f>VLOOKUP(CurrentMtgRatesDataTable8268459[[#This Row],[issueDate]],[1]!CurrentMtgRatesDataTable826845[#All],2,0)</f>
        <v>1059208914</v>
      </c>
    </row>
    <row r="45" spans="2:9" x14ac:dyDescent="0.25">
      <c r="B45" s="2">
        <v>41426</v>
      </c>
      <c r="C45" s="3">
        <v>1334786513</v>
      </c>
      <c r="D45" s="4">
        <f>VLOOKUP(CurrentMtgRatesDataTable8268459[[#This Row],[issueDate]],[1]!CurrentMtgRatesDataTable82684510[#All],2,0)</f>
        <v>1943388196</v>
      </c>
      <c r="E45" s="4">
        <f>VLOOKUP(CurrentMtgRatesDataTable8268459[[#This Row],[issueDate]],[1]!CurrentMtgRatesDataTable82684511[#All],2,0)</f>
        <v>952742573</v>
      </c>
      <c r="F45" s="4">
        <f>VLOOKUP(CurrentMtgRatesDataTable8268459[[#This Row],[issueDate]],[1]!CurrentMtgRatesDataTable8262[#All],2,0)</f>
        <v>1781149410</v>
      </c>
      <c r="G45" s="5">
        <f>VLOOKUP(CurrentMtgRatesDataTable8268459[[#This Row],[issueDate]],[1]!CurrentMtgRatesDataTable82673[#All],2,0)</f>
        <v>3451820960</v>
      </c>
      <c r="H45" s="5">
        <f>VLOOKUP(CurrentMtgRatesDataTable8268459[[#This Row],[issueDate]],[1]!CurrentMtgRatesDataTable82684[#All],2,0)</f>
        <v>1488014533</v>
      </c>
      <c r="I45" s="5">
        <f>VLOOKUP(CurrentMtgRatesDataTable8268459[[#This Row],[issueDate]],[1]!CurrentMtgRatesDataTable826845[#All],2,0)</f>
        <v>1017147311</v>
      </c>
    </row>
    <row r="46" spans="2:9" x14ac:dyDescent="0.25">
      <c r="B46" s="2">
        <v>41456</v>
      </c>
      <c r="C46" s="3">
        <v>1136852477</v>
      </c>
      <c r="D46" s="4">
        <f>VLOOKUP(CurrentMtgRatesDataTable8268459[[#This Row],[issueDate]],[1]!CurrentMtgRatesDataTable82684510[#All],2,0)</f>
        <v>1289489011</v>
      </c>
      <c r="E46" s="4">
        <f>VLOOKUP(CurrentMtgRatesDataTable8268459[[#This Row],[issueDate]],[1]!CurrentMtgRatesDataTable82684511[#All],2,0)</f>
        <v>744523722</v>
      </c>
      <c r="F46" s="4">
        <f>VLOOKUP(CurrentMtgRatesDataTable8268459[[#This Row],[issueDate]],[1]!CurrentMtgRatesDataTable8262[#All],2,0)</f>
        <v>1445312778</v>
      </c>
      <c r="G46" s="5">
        <f>VLOOKUP(CurrentMtgRatesDataTable8268459[[#This Row],[issueDate]],[1]!CurrentMtgRatesDataTable82673[#All],2,0)</f>
        <v>2502466250</v>
      </c>
      <c r="H46" s="5">
        <f>VLOOKUP(CurrentMtgRatesDataTable8268459[[#This Row],[issueDate]],[1]!CurrentMtgRatesDataTable82684[#All],2,0)</f>
        <v>1320498425</v>
      </c>
      <c r="I46" s="5">
        <f>VLOOKUP(CurrentMtgRatesDataTable8268459[[#This Row],[issueDate]],[1]!CurrentMtgRatesDataTable826845[#All],2,0)</f>
        <v>848431617</v>
      </c>
    </row>
    <row r="47" spans="2:9" x14ac:dyDescent="0.25">
      <c r="B47" s="2">
        <v>41487</v>
      </c>
      <c r="C47" s="3">
        <v>1693674201</v>
      </c>
      <c r="D47" s="4">
        <f>VLOOKUP(CurrentMtgRatesDataTable8268459[[#This Row],[issueDate]],[1]!CurrentMtgRatesDataTable82684510[#All],2,0)</f>
        <v>1100083337</v>
      </c>
      <c r="E47" s="4">
        <f>VLOOKUP(CurrentMtgRatesDataTable8268459[[#This Row],[issueDate]],[1]!CurrentMtgRatesDataTable82684511[#All],2,0)</f>
        <v>765859354</v>
      </c>
      <c r="F47" s="4">
        <f>VLOOKUP(CurrentMtgRatesDataTable8268459[[#This Row],[issueDate]],[1]!CurrentMtgRatesDataTable8262[#All],2,0)</f>
        <v>1246111687</v>
      </c>
      <c r="G47" s="5">
        <f>VLOOKUP(CurrentMtgRatesDataTable8268459[[#This Row],[issueDate]],[1]!CurrentMtgRatesDataTable82673[#All],2,0)</f>
        <v>2334148457</v>
      </c>
      <c r="H47" s="5">
        <f>VLOOKUP(CurrentMtgRatesDataTable8268459[[#This Row],[issueDate]],[1]!CurrentMtgRatesDataTable82684[#All],2,0)</f>
        <v>1276109957</v>
      </c>
      <c r="I47" s="5">
        <f>VLOOKUP(CurrentMtgRatesDataTable8268459[[#This Row],[issueDate]],[1]!CurrentMtgRatesDataTable826845[#All],2,0)</f>
        <v>850030342</v>
      </c>
    </row>
    <row r="48" spans="2:9" x14ac:dyDescent="0.25">
      <c r="B48" s="2">
        <v>41518</v>
      </c>
      <c r="C48" s="3">
        <v>1340563412</v>
      </c>
      <c r="D48" s="4">
        <f>VLOOKUP(CurrentMtgRatesDataTable8268459[[#This Row],[issueDate]],[1]!CurrentMtgRatesDataTable82684510[#All],2,0)</f>
        <v>870671088</v>
      </c>
      <c r="E48" s="4">
        <f>VLOOKUP(CurrentMtgRatesDataTable8268459[[#This Row],[issueDate]],[1]!CurrentMtgRatesDataTable82684511[#All],2,0)</f>
        <v>606944301</v>
      </c>
      <c r="F48" s="4">
        <f>VLOOKUP(CurrentMtgRatesDataTable8268459[[#This Row],[issueDate]],[1]!CurrentMtgRatesDataTable8262[#All],2,0)</f>
        <v>1501130196</v>
      </c>
      <c r="G48" s="5">
        <f>VLOOKUP(CurrentMtgRatesDataTable8268459[[#This Row],[issueDate]],[1]!CurrentMtgRatesDataTable82673[#All],2,0)</f>
        <v>2584814804</v>
      </c>
      <c r="H48" s="5">
        <f>VLOOKUP(CurrentMtgRatesDataTable8268459[[#This Row],[issueDate]],[1]!CurrentMtgRatesDataTable82684[#All],2,0)</f>
        <v>1266093495</v>
      </c>
      <c r="I48" s="5">
        <f>VLOOKUP(CurrentMtgRatesDataTable8268459[[#This Row],[issueDate]],[1]!CurrentMtgRatesDataTable826845[#All],2,0)</f>
        <v>814311406</v>
      </c>
    </row>
    <row r="49" spans="2:9" x14ac:dyDescent="0.25">
      <c r="B49" s="2">
        <v>41548</v>
      </c>
      <c r="C49" s="3">
        <v>1306448482</v>
      </c>
      <c r="D49" s="4">
        <f>VLOOKUP(CurrentMtgRatesDataTable8268459[[#This Row],[issueDate]],[1]!CurrentMtgRatesDataTable82684510[#All],2,0)</f>
        <v>612902147</v>
      </c>
      <c r="E49" s="4">
        <f>VLOOKUP(CurrentMtgRatesDataTable8268459[[#This Row],[issueDate]],[1]!CurrentMtgRatesDataTable82684511[#All],2,0)</f>
        <v>542776506</v>
      </c>
      <c r="F49" s="4">
        <f>VLOOKUP(CurrentMtgRatesDataTable8268459[[#This Row],[issueDate]],[1]!CurrentMtgRatesDataTable8262[#All],2,0)</f>
        <v>1456266951</v>
      </c>
      <c r="G49" s="5">
        <f>VLOOKUP(CurrentMtgRatesDataTable8268459[[#This Row],[issueDate]],[1]!CurrentMtgRatesDataTable82673[#All],2,0)</f>
        <v>2717052166</v>
      </c>
      <c r="H49" s="5">
        <f>VLOOKUP(CurrentMtgRatesDataTable8268459[[#This Row],[issueDate]],[1]!CurrentMtgRatesDataTable82684[#All],2,0)</f>
        <v>1245020429</v>
      </c>
      <c r="I49" s="5">
        <f>VLOOKUP(CurrentMtgRatesDataTable8268459[[#This Row],[issueDate]],[1]!CurrentMtgRatesDataTable826845[#All],2,0)</f>
        <v>831380729</v>
      </c>
    </row>
    <row r="50" spans="2:9" x14ac:dyDescent="0.25">
      <c r="B50" s="2">
        <v>41579</v>
      </c>
      <c r="C50" s="3">
        <v>1123781504</v>
      </c>
      <c r="D50" s="4">
        <f>VLOOKUP(CurrentMtgRatesDataTable8268459[[#This Row],[issueDate]],[1]!CurrentMtgRatesDataTable82684510[#All],2,0)</f>
        <v>461441626</v>
      </c>
      <c r="E50" s="4">
        <f>VLOOKUP(CurrentMtgRatesDataTable8268459[[#This Row],[issueDate]],[1]!CurrentMtgRatesDataTable82684511[#All],2,0)</f>
        <v>538507910</v>
      </c>
      <c r="F50" s="4">
        <f>VLOOKUP(CurrentMtgRatesDataTable8268459[[#This Row],[issueDate]],[1]!CurrentMtgRatesDataTable8262[#All],2,0)</f>
        <v>1082707660</v>
      </c>
      <c r="G50" s="5">
        <f>VLOOKUP(CurrentMtgRatesDataTable8268459[[#This Row],[issueDate]],[1]!CurrentMtgRatesDataTable82673[#All],2,0)</f>
        <v>2246188518</v>
      </c>
      <c r="H50" s="5">
        <f>VLOOKUP(CurrentMtgRatesDataTable8268459[[#This Row],[issueDate]],[1]!CurrentMtgRatesDataTable82684[#All],2,0)</f>
        <v>1031662262</v>
      </c>
      <c r="I50" s="5">
        <f>VLOOKUP(CurrentMtgRatesDataTable8268459[[#This Row],[issueDate]],[1]!CurrentMtgRatesDataTable826845[#All],2,0)</f>
        <v>739554790</v>
      </c>
    </row>
    <row r="51" spans="2:9" x14ac:dyDescent="0.25">
      <c r="B51" s="2">
        <v>41609</v>
      </c>
      <c r="C51" s="3">
        <v>978325690</v>
      </c>
      <c r="D51" s="4">
        <f>VLOOKUP(CurrentMtgRatesDataTable8268459[[#This Row],[issueDate]],[1]!CurrentMtgRatesDataTable82684510[#All],2,0)</f>
        <v>391322877</v>
      </c>
      <c r="E51" s="4">
        <f>VLOOKUP(CurrentMtgRatesDataTable8268459[[#This Row],[issueDate]],[1]!CurrentMtgRatesDataTable82684511[#All],2,0)</f>
        <v>202710742</v>
      </c>
      <c r="F51" s="4">
        <f>VLOOKUP(CurrentMtgRatesDataTable8268459[[#This Row],[issueDate]],[1]!CurrentMtgRatesDataTable8262[#All],2,0)</f>
        <v>912715644</v>
      </c>
      <c r="G51" s="5">
        <f>VLOOKUP(CurrentMtgRatesDataTable8268459[[#This Row],[issueDate]],[1]!CurrentMtgRatesDataTable82673[#All],2,0)</f>
        <v>1968902998</v>
      </c>
      <c r="H51" s="5">
        <f>VLOOKUP(CurrentMtgRatesDataTable8268459[[#This Row],[issueDate]],[1]!CurrentMtgRatesDataTable82684[#All],2,0)</f>
        <v>927091459</v>
      </c>
      <c r="I51" s="5">
        <f>VLOOKUP(CurrentMtgRatesDataTable8268459[[#This Row],[issueDate]],[1]!CurrentMtgRatesDataTable826845[#All],2,0)</f>
        <v>653400386</v>
      </c>
    </row>
    <row r="52" spans="2:9" x14ac:dyDescent="0.25">
      <c r="B52" s="2">
        <v>41640</v>
      </c>
      <c r="C52" s="3">
        <v>572432177</v>
      </c>
      <c r="D52" s="4">
        <f>VLOOKUP(CurrentMtgRatesDataTable8268459[[#This Row],[issueDate]],[1]!CurrentMtgRatesDataTable82684510[#All],2,0)</f>
        <v>416855275</v>
      </c>
      <c r="E52" s="4">
        <f>VLOOKUP(CurrentMtgRatesDataTable8268459[[#This Row],[issueDate]],[1]!CurrentMtgRatesDataTable82684511[#All],2,0)</f>
        <v>149971420</v>
      </c>
      <c r="F52" s="4">
        <f>VLOOKUP(CurrentMtgRatesDataTable8268459[[#This Row],[issueDate]],[1]!CurrentMtgRatesDataTable8262[#All],2,0)</f>
        <v>753233777</v>
      </c>
      <c r="G52" s="5">
        <f>VLOOKUP(CurrentMtgRatesDataTable8268459[[#This Row],[issueDate]],[1]!CurrentMtgRatesDataTable82673[#All],2,0)</f>
        <v>1422002021</v>
      </c>
      <c r="H52" s="5">
        <f>VLOOKUP(CurrentMtgRatesDataTable8268459[[#This Row],[issueDate]],[1]!CurrentMtgRatesDataTable82684[#All],2,0)</f>
        <v>774247579</v>
      </c>
      <c r="I52" s="5">
        <f>VLOOKUP(CurrentMtgRatesDataTable8268459[[#This Row],[issueDate]],[1]!CurrentMtgRatesDataTable826845[#All],2,0)</f>
        <v>547635567</v>
      </c>
    </row>
    <row r="53" spans="2:9" x14ac:dyDescent="0.25">
      <c r="B53" s="2">
        <v>41671</v>
      </c>
      <c r="C53" s="3">
        <v>946386040</v>
      </c>
      <c r="D53" s="4">
        <f>VLOOKUP(CurrentMtgRatesDataTable8268459[[#This Row],[issueDate]],[1]!CurrentMtgRatesDataTable82684510[#All],2,0)</f>
        <v>241808690</v>
      </c>
      <c r="E53" s="4">
        <f>VLOOKUP(CurrentMtgRatesDataTable8268459[[#This Row],[issueDate]],[1]!CurrentMtgRatesDataTable82684511[#All],2,0)</f>
        <v>366698500</v>
      </c>
      <c r="F53" s="4">
        <f>VLOOKUP(CurrentMtgRatesDataTable8268459[[#This Row],[issueDate]],[1]!CurrentMtgRatesDataTable8262[#All],2,0)</f>
        <v>692698264</v>
      </c>
      <c r="G53" s="5">
        <f>VLOOKUP(CurrentMtgRatesDataTable8268459[[#This Row],[issueDate]],[1]!CurrentMtgRatesDataTable82673[#All],2,0)</f>
        <v>1533737258</v>
      </c>
      <c r="H53" s="5">
        <f>VLOOKUP(CurrentMtgRatesDataTable8268459[[#This Row],[issueDate]],[1]!CurrentMtgRatesDataTable82684[#All],2,0)</f>
        <v>762318805</v>
      </c>
      <c r="I53" s="5">
        <f>VLOOKUP(CurrentMtgRatesDataTable8268459[[#This Row],[issueDate]],[1]!CurrentMtgRatesDataTable826845[#All],2,0)</f>
        <v>530622614</v>
      </c>
    </row>
    <row r="54" spans="2:9" x14ac:dyDescent="0.25">
      <c r="B54" s="2">
        <v>41699</v>
      </c>
      <c r="C54" s="3">
        <v>897364263</v>
      </c>
      <c r="D54" s="4">
        <f>VLOOKUP(CurrentMtgRatesDataTable8268459[[#This Row],[issueDate]],[1]!CurrentMtgRatesDataTable82684510[#All],2,0)</f>
        <v>170464932</v>
      </c>
      <c r="E54" s="4">
        <f>VLOOKUP(CurrentMtgRatesDataTable8268459[[#This Row],[issueDate]],[1]!CurrentMtgRatesDataTable82684511[#All],2,0)</f>
        <v>310202041</v>
      </c>
      <c r="F54" s="4">
        <f>VLOOKUP(CurrentMtgRatesDataTable8268459[[#This Row],[issueDate]],[1]!CurrentMtgRatesDataTable8262[#All],2,0)</f>
        <v>790379142</v>
      </c>
      <c r="G54" s="5">
        <f>VLOOKUP(CurrentMtgRatesDataTable8268459[[#This Row],[issueDate]],[1]!CurrentMtgRatesDataTable82673[#All],2,0)</f>
        <v>1420307904</v>
      </c>
      <c r="H54" s="5">
        <f>VLOOKUP(CurrentMtgRatesDataTable8268459[[#This Row],[issueDate]],[1]!CurrentMtgRatesDataTable82684[#All],2,0)</f>
        <v>640834869</v>
      </c>
      <c r="I54" s="5">
        <f>VLOOKUP(CurrentMtgRatesDataTable8268459[[#This Row],[issueDate]],[1]!CurrentMtgRatesDataTable826845[#All],2,0)</f>
        <v>451781700</v>
      </c>
    </row>
    <row r="55" spans="2:9" x14ac:dyDescent="0.25">
      <c r="B55" s="2">
        <v>41730</v>
      </c>
      <c r="C55" s="3">
        <v>1001427874</v>
      </c>
      <c r="D55" s="4">
        <f>VLOOKUP(CurrentMtgRatesDataTable8268459[[#This Row],[issueDate]],[1]!CurrentMtgRatesDataTable82684510[#All],2,0)</f>
        <v>113376698</v>
      </c>
      <c r="E55" s="4">
        <f>VLOOKUP(CurrentMtgRatesDataTable8268459[[#This Row],[issueDate]],[1]!CurrentMtgRatesDataTable82684511[#All],2,0)</f>
        <v>120692903</v>
      </c>
      <c r="F55" s="4">
        <f>VLOOKUP(CurrentMtgRatesDataTable8268459[[#This Row],[issueDate]],[1]!CurrentMtgRatesDataTable8262[#All],2,0)</f>
        <v>646472868</v>
      </c>
      <c r="G55" s="5">
        <f>VLOOKUP(CurrentMtgRatesDataTable8268459[[#This Row],[issueDate]],[1]!CurrentMtgRatesDataTable82673[#All],2,0)</f>
        <v>1497603189</v>
      </c>
      <c r="H55" s="5">
        <f>VLOOKUP(CurrentMtgRatesDataTable8268459[[#This Row],[issueDate]],[1]!CurrentMtgRatesDataTable82684[#All],2,0)</f>
        <v>691225048</v>
      </c>
      <c r="I55" s="5">
        <f>VLOOKUP(CurrentMtgRatesDataTable8268459[[#This Row],[issueDate]],[1]!CurrentMtgRatesDataTable826845[#All],2,0)</f>
        <v>487340334</v>
      </c>
    </row>
    <row r="56" spans="2:9" x14ac:dyDescent="0.25">
      <c r="B56" s="2">
        <v>41760</v>
      </c>
      <c r="C56" s="3">
        <v>1092791433</v>
      </c>
      <c r="D56" s="4">
        <f>VLOOKUP(CurrentMtgRatesDataTable8268459[[#This Row],[issueDate]],[1]!CurrentMtgRatesDataTable82684510[#All],2,0)</f>
        <v>129006135</v>
      </c>
      <c r="E56" s="4">
        <f>VLOOKUP(CurrentMtgRatesDataTable8268459[[#This Row],[issueDate]],[1]!CurrentMtgRatesDataTable82684511[#All],2,0)</f>
        <v>138342395</v>
      </c>
      <c r="F56" s="4">
        <f>VLOOKUP(CurrentMtgRatesDataTable8268459[[#This Row],[issueDate]],[1]!CurrentMtgRatesDataTable8262[#All],2,0)</f>
        <v>948228084</v>
      </c>
      <c r="G56" s="5">
        <f>VLOOKUP(CurrentMtgRatesDataTable8268459[[#This Row],[issueDate]],[1]!CurrentMtgRatesDataTable82673[#All],2,0)</f>
        <v>1628653688</v>
      </c>
      <c r="H56" s="5">
        <f>VLOOKUP(CurrentMtgRatesDataTable8268459[[#This Row],[issueDate]],[1]!CurrentMtgRatesDataTable82684[#All],2,0)</f>
        <v>741338946</v>
      </c>
      <c r="I56" s="5">
        <f>VLOOKUP(CurrentMtgRatesDataTable8268459[[#This Row],[issueDate]],[1]!CurrentMtgRatesDataTable826845[#All],2,0)</f>
        <v>509914149</v>
      </c>
    </row>
    <row r="57" spans="2:9" x14ac:dyDescent="0.25">
      <c r="B57" s="2">
        <v>41791</v>
      </c>
      <c r="C57" s="3">
        <v>1270617090</v>
      </c>
      <c r="D57" s="4">
        <f>VLOOKUP(CurrentMtgRatesDataTable8268459[[#This Row],[issueDate]],[1]!CurrentMtgRatesDataTable82684510[#All],2,0)</f>
        <v>154253949</v>
      </c>
      <c r="E57" s="4">
        <f>VLOOKUP(CurrentMtgRatesDataTable8268459[[#This Row],[issueDate]],[1]!CurrentMtgRatesDataTable82684511[#All],2,0)</f>
        <v>179699486</v>
      </c>
      <c r="F57" s="4">
        <f>VLOOKUP(CurrentMtgRatesDataTable8268459[[#This Row],[issueDate]],[1]!CurrentMtgRatesDataTable8262[#All],2,0)</f>
        <v>1098455565</v>
      </c>
      <c r="G57" s="5">
        <f>VLOOKUP(CurrentMtgRatesDataTable8268459[[#This Row],[issueDate]],[1]!CurrentMtgRatesDataTable82673[#All],2,0)</f>
        <v>1825687394</v>
      </c>
      <c r="H57" s="5">
        <f>VLOOKUP(CurrentMtgRatesDataTable8268459[[#This Row],[issueDate]],[1]!CurrentMtgRatesDataTable82684[#All],2,0)</f>
        <v>841543380</v>
      </c>
      <c r="I57" s="5">
        <f>VLOOKUP(CurrentMtgRatesDataTable8268459[[#This Row],[issueDate]],[1]!CurrentMtgRatesDataTable826845[#All],2,0)</f>
        <v>536380498</v>
      </c>
    </row>
    <row r="58" spans="2:9" x14ac:dyDescent="0.25">
      <c r="B58" s="2">
        <v>41821</v>
      </c>
      <c r="C58" s="3">
        <v>1750904626</v>
      </c>
      <c r="D58" s="4">
        <f>VLOOKUP(CurrentMtgRatesDataTable8268459[[#This Row],[issueDate]],[1]!CurrentMtgRatesDataTable82684510[#All],2,0)</f>
        <v>165894730</v>
      </c>
      <c r="E58" s="4">
        <f>VLOOKUP(CurrentMtgRatesDataTable8268459[[#This Row],[issueDate]],[1]!CurrentMtgRatesDataTable82684511[#All],2,0)</f>
        <v>257151893</v>
      </c>
      <c r="F58" s="4">
        <f>VLOOKUP(CurrentMtgRatesDataTable8268459[[#This Row],[issueDate]],[1]!CurrentMtgRatesDataTable8262[#All],2,0)</f>
        <v>1362312518</v>
      </c>
      <c r="G58" s="5">
        <f>VLOOKUP(CurrentMtgRatesDataTable8268459[[#This Row],[issueDate]],[1]!CurrentMtgRatesDataTable82673[#All],2,0)</f>
        <v>1970336632</v>
      </c>
      <c r="H58" s="5">
        <f>VLOOKUP(CurrentMtgRatesDataTable8268459[[#This Row],[issueDate]],[1]!CurrentMtgRatesDataTable82684[#All],2,0)</f>
        <v>948547505</v>
      </c>
      <c r="I58" s="5">
        <f>VLOOKUP(CurrentMtgRatesDataTable8268459[[#This Row],[issueDate]],[1]!CurrentMtgRatesDataTable826845[#All],2,0)</f>
        <v>615297563</v>
      </c>
    </row>
    <row r="59" spans="2:9" x14ac:dyDescent="0.25">
      <c r="B59" s="2">
        <v>41852</v>
      </c>
      <c r="C59" s="3">
        <v>1440447783</v>
      </c>
      <c r="D59" s="4">
        <f>VLOOKUP(CurrentMtgRatesDataTable8268459[[#This Row],[issueDate]],[1]!CurrentMtgRatesDataTable82684510[#All],2,0)</f>
        <v>139663674</v>
      </c>
      <c r="E59" s="4">
        <f>VLOOKUP(CurrentMtgRatesDataTable8268459[[#This Row],[issueDate]],[1]!CurrentMtgRatesDataTable82684511[#All],2,0)</f>
        <v>289485869</v>
      </c>
      <c r="F59" s="4">
        <f>VLOOKUP(CurrentMtgRatesDataTable8268459[[#This Row],[issueDate]],[1]!CurrentMtgRatesDataTable8262[#All],2,0)</f>
        <v>1177932387</v>
      </c>
      <c r="G59" s="5">
        <f>VLOOKUP(CurrentMtgRatesDataTable8268459[[#This Row],[issueDate]],[1]!CurrentMtgRatesDataTable82673[#All],2,0)</f>
        <v>1859701155</v>
      </c>
      <c r="H59" s="5">
        <f>VLOOKUP(CurrentMtgRatesDataTable8268459[[#This Row],[issueDate]],[1]!CurrentMtgRatesDataTable82684[#All],2,0)</f>
        <v>838626733</v>
      </c>
      <c r="I59" s="5">
        <f>VLOOKUP(CurrentMtgRatesDataTable8268459[[#This Row],[issueDate]],[1]!CurrentMtgRatesDataTable826845[#All],2,0)</f>
        <v>539726383</v>
      </c>
    </row>
    <row r="60" spans="2:9" x14ac:dyDescent="0.25">
      <c r="B60" s="2">
        <v>41883</v>
      </c>
      <c r="C60" s="3">
        <v>1381851236</v>
      </c>
      <c r="D60" s="4">
        <f>VLOOKUP(CurrentMtgRatesDataTable8268459[[#This Row],[issueDate]],[1]!CurrentMtgRatesDataTable82684510[#All],2,0)</f>
        <v>178036037</v>
      </c>
      <c r="E60" s="4">
        <f>VLOOKUP(CurrentMtgRatesDataTable8268459[[#This Row],[issueDate]],[1]!CurrentMtgRatesDataTable82684511[#All],2,0)</f>
        <v>119562446</v>
      </c>
      <c r="F60" s="4">
        <f>VLOOKUP(CurrentMtgRatesDataTable8268459[[#This Row],[issueDate]],[1]!CurrentMtgRatesDataTable8262[#All],2,0)</f>
        <v>1414370804</v>
      </c>
      <c r="G60" s="5">
        <f>VLOOKUP(CurrentMtgRatesDataTable8268459[[#This Row],[issueDate]],[1]!CurrentMtgRatesDataTable82673[#All],2,0)</f>
        <v>2318704927</v>
      </c>
      <c r="H60" s="5">
        <f>VLOOKUP(CurrentMtgRatesDataTable8268459[[#This Row],[issueDate]],[1]!CurrentMtgRatesDataTable82684[#All],2,0)</f>
        <v>1016058366</v>
      </c>
      <c r="I60" s="5">
        <f>VLOOKUP(CurrentMtgRatesDataTable8268459[[#This Row],[issueDate]],[1]!CurrentMtgRatesDataTable826845[#All],2,0)</f>
        <v>606670934</v>
      </c>
    </row>
    <row r="61" spans="2:9" x14ac:dyDescent="0.25">
      <c r="B61" s="2">
        <v>41913</v>
      </c>
      <c r="C61" s="3">
        <v>1806383113</v>
      </c>
      <c r="D61" s="4">
        <f>VLOOKUP(CurrentMtgRatesDataTable8268459[[#This Row],[issueDate]],[1]!CurrentMtgRatesDataTable82684510[#All],2,0)</f>
        <v>191321043</v>
      </c>
      <c r="E61" s="4">
        <f>VLOOKUP(CurrentMtgRatesDataTable8268459[[#This Row],[issueDate]],[1]!CurrentMtgRatesDataTable82684511[#All],2,0)</f>
        <v>276556307</v>
      </c>
      <c r="F61" s="4">
        <f>VLOOKUP(CurrentMtgRatesDataTable8268459[[#This Row],[issueDate]],[1]!CurrentMtgRatesDataTable8262[#All],2,0)</f>
        <v>1266666906</v>
      </c>
      <c r="G61" s="5">
        <f>VLOOKUP(CurrentMtgRatesDataTable8268459[[#This Row],[issueDate]],[1]!CurrentMtgRatesDataTable82673[#All],2,0)</f>
        <v>2160542217</v>
      </c>
      <c r="H61" s="5">
        <f>VLOOKUP(CurrentMtgRatesDataTable8268459[[#This Row],[issueDate]],[1]!CurrentMtgRatesDataTable82684[#All],2,0)</f>
        <v>964288761</v>
      </c>
      <c r="I61" s="5">
        <f>VLOOKUP(CurrentMtgRatesDataTable8268459[[#This Row],[issueDate]],[1]!CurrentMtgRatesDataTable826845[#All],2,0)</f>
        <v>684935689</v>
      </c>
    </row>
    <row r="62" spans="2:9" x14ac:dyDescent="0.25">
      <c r="B62" s="2">
        <v>41944</v>
      </c>
      <c r="C62" s="3">
        <v>631309303</v>
      </c>
      <c r="D62" s="4">
        <f>VLOOKUP(CurrentMtgRatesDataTable8268459[[#This Row],[issueDate]],[1]!CurrentMtgRatesDataTable82684510[#All],2,0)</f>
        <v>146483603</v>
      </c>
      <c r="E62" s="4">
        <f>VLOOKUP(CurrentMtgRatesDataTable8268459[[#This Row],[issueDate]],[1]!CurrentMtgRatesDataTable82684511[#All],2,0)</f>
        <v>151604932</v>
      </c>
      <c r="F62" s="4">
        <f>VLOOKUP(CurrentMtgRatesDataTable8268459[[#This Row],[issueDate]],[1]!CurrentMtgRatesDataTable8262[#All],2,0)</f>
        <v>1023640722</v>
      </c>
      <c r="G62" s="5">
        <f>VLOOKUP(CurrentMtgRatesDataTable8268459[[#This Row],[issueDate]],[1]!CurrentMtgRatesDataTable82673[#All],2,0)</f>
        <v>1978634063</v>
      </c>
      <c r="H62" s="5">
        <f>VLOOKUP(CurrentMtgRatesDataTable8268459[[#This Row],[issueDate]],[1]!CurrentMtgRatesDataTable82684[#All],2,0)</f>
        <v>899041301</v>
      </c>
      <c r="I62" s="5">
        <f>VLOOKUP(CurrentMtgRatesDataTable8268459[[#This Row],[issueDate]],[1]!CurrentMtgRatesDataTable826845[#All],2,0)</f>
        <v>640024574</v>
      </c>
    </row>
    <row r="63" spans="2:9" x14ac:dyDescent="0.25">
      <c r="B63" s="2">
        <v>41974</v>
      </c>
      <c r="C63" s="3">
        <v>1487383145</v>
      </c>
      <c r="D63" s="4">
        <f>VLOOKUP(CurrentMtgRatesDataTable8268459[[#This Row],[issueDate]],[1]!CurrentMtgRatesDataTable82684510[#All],2,0)</f>
        <v>156006867</v>
      </c>
      <c r="E63" s="4">
        <f>VLOOKUP(CurrentMtgRatesDataTable8268459[[#This Row],[issueDate]],[1]!CurrentMtgRatesDataTable82684511[#All],2,0)</f>
        <v>523016982</v>
      </c>
      <c r="F63" s="4">
        <f>VLOOKUP(CurrentMtgRatesDataTable8268459[[#This Row],[issueDate]],[1]!CurrentMtgRatesDataTable8262[#All],2,0)</f>
        <v>1010410896</v>
      </c>
      <c r="G63" s="5">
        <f>VLOOKUP(CurrentMtgRatesDataTable8268459[[#This Row],[issueDate]],[1]!CurrentMtgRatesDataTable82673[#All],2,0)</f>
        <v>2069052260</v>
      </c>
      <c r="H63" s="5">
        <f>VLOOKUP(CurrentMtgRatesDataTable8268459[[#This Row],[issueDate]],[1]!CurrentMtgRatesDataTable82684[#All],2,0)</f>
        <v>997895137</v>
      </c>
      <c r="I63" s="5">
        <f>VLOOKUP(CurrentMtgRatesDataTable8268459[[#This Row],[issueDate]],[1]!CurrentMtgRatesDataTable826845[#All],2,0)</f>
        <v>622883709</v>
      </c>
    </row>
    <row r="64" spans="2:9" x14ac:dyDescent="0.25">
      <c r="B64" s="2">
        <v>42005</v>
      </c>
      <c r="C64" s="3">
        <v>1351487033</v>
      </c>
      <c r="D64" s="4">
        <f>VLOOKUP(CurrentMtgRatesDataTable8268459[[#This Row],[issueDate]],[1]!CurrentMtgRatesDataTable82684510[#All],2,0)</f>
        <v>101114385</v>
      </c>
      <c r="E64" s="4">
        <f>VLOOKUP(CurrentMtgRatesDataTable8268459[[#This Row],[issueDate]],[1]!CurrentMtgRatesDataTable82684511[#All],2,0)</f>
        <v>116714969</v>
      </c>
      <c r="F64" s="4">
        <f>VLOOKUP(CurrentMtgRatesDataTable8268459[[#This Row],[issueDate]],[1]!CurrentMtgRatesDataTable8262[#All],2,0)</f>
        <v>925240314</v>
      </c>
      <c r="G64" s="5">
        <f>VLOOKUP(CurrentMtgRatesDataTable8268459[[#This Row],[issueDate]],[1]!CurrentMtgRatesDataTable82673[#All],2,0)</f>
        <v>1865203347</v>
      </c>
      <c r="H64" s="5">
        <f>VLOOKUP(CurrentMtgRatesDataTable8268459[[#This Row],[issueDate]],[1]!CurrentMtgRatesDataTable82684[#All],2,0)</f>
        <v>800249464</v>
      </c>
      <c r="I64" s="5">
        <f>VLOOKUP(CurrentMtgRatesDataTable8268459[[#This Row],[issueDate]],[1]!CurrentMtgRatesDataTable826845[#All],2,0)</f>
        <v>579122513</v>
      </c>
    </row>
    <row r="65" spans="2:9" x14ac:dyDescent="0.25">
      <c r="B65" s="2">
        <v>42036</v>
      </c>
      <c r="C65" s="3">
        <v>1869668083</v>
      </c>
      <c r="D65" s="4">
        <f>VLOOKUP(CurrentMtgRatesDataTable8268459[[#This Row],[issueDate]],[1]!CurrentMtgRatesDataTable82684510[#All],2,0)</f>
        <v>88755102</v>
      </c>
      <c r="E65" s="4">
        <f>VLOOKUP(CurrentMtgRatesDataTable8268459[[#This Row],[issueDate]],[1]!CurrentMtgRatesDataTable82684511[#All],2,0)</f>
        <v>100420654</v>
      </c>
      <c r="F65" s="4">
        <f>VLOOKUP(CurrentMtgRatesDataTable8268459[[#This Row],[issueDate]],[1]!CurrentMtgRatesDataTable8262[#All],2,0)</f>
        <v>1158064789</v>
      </c>
      <c r="G65" s="5">
        <f>VLOOKUP(CurrentMtgRatesDataTable8268459[[#This Row],[issueDate]],[1]!CurrentMtgRatesDataTable82673[#All],2,0)</f>
        <v>1839649584</v>
      </c>
      <c r="H65" s="5">
        <f>VLOOKUP(CurrentMtgRatesDataTable8268459[[#This Row],[issueDate]],[1]!CurrentMtgRatesDataTable82684[#All],2,0)</f>
        <v>820428248</v>
      </c>
      <c r="I65" s="5">
        <f>VLOOKUP(CurrentMtgRatesDataTable8268459[[#This Row],[issueDate]],[1]!CurrentMtgRatesDataTable826845[#All],2,0)</f>
        <v>527566040</v>
      </c>
    </row>
    <row r="66" spans="2:9" x14ac:dyDescent="0.25">
      <c r="B66" s="2">
        <v>42064</v>
      </c>
      <c r="C66" s="3">
        <v>1271901242</v>
      </c>
      <c r="D66" s="4">
        <f>VLOOKUP(CurrentMtgRatesDataTable8268459[[#This Row],[issueDate]],[1]!CurrentMtgRatesDataTable82684510[#All],2,0)</f>
        <v>126620545</v>
      </c>
      <c r="E66" s="4">
        <f>VLOOKUP(CurrentMtgRatesDataTable8268459[[#This Row],[issueDate]],[1]!CurrentMtgRatesDataTable82684511[#All],2,0)</f>
        <v>34611971</v>
      </c>
      <c r="F66" s="4">
        <f>VLOOKUP(CurrentMtgRatesDataTable8268459[[#This Row],[issueDate]],[1]!CurrentMtgRatesDataTable8262[#All],2,0)</f>
        <v>1132393996</v>
      </c>
      <c r="G66" s="5">
        <f>VLOOKUP(CurrentMtgRatesDataTable8268459[[#This Row],[issueDate]],[1]!CurrentMtgRatesDataTable82673[#All],2,0)</f>
        <v>1671922926</v>
      </c>
      <c r="H66" s="5">
        <f>VLOOKUP(CurrentMtgRatesDataTable8268459[[#This Row],[issueDate]],[1]!CurrentMtgRatesDataTable82684[#All],2,0)</f>
        <v>685802284</v>
      </c>
      <c r="I66" s="5">
        <f>VLOOKUP(CurrentMtgRatesDataTable8268459[[#This Row],[issueDate]],[1]!CurrentMtgRatesDataTable826845[#All],2,0)</f>
        <v>399012806</v>
      </c>
    </row>
    <row r="67" spans="2:9" x14ac:dyDescent="0.25">
      <c r="B67" s="2">
        <v>42095</v>
      </c>
      <c r="C67" s="3">
        <v>460921734</v>
      </c>
      <c r="D67" s="4">
        <f>VLOOKUP(CurrentMtgRatesDataTable8268459[[#This Row],[issueDate]],[1]!CurrentMtgRatesDataTable82684510[#All],2,0)</f>
        <v>69645492</v>
      </c>
      <c r="E67" s="4">
        <f>VLOOKUP(CurrentMtgRatesDataTable8268459[[#This Row],[issueDate]],[1]!CurrentMtgRatesDataTable82684511[#All],2,0)</f>
        <v>24804913</v>
      </c>
      <c r="F67" s="4">
        <f>VLOOKUP(CurrentMtgRatesDataTable8268459[[#This Row],[issueDate]],[1]!CurrentMtgRatesDataTable8262[#All],2,0)</f>
        <v>431355535</v>
      </c>
      <c r="G67" s="5">
        <f>VLOOKUP(CurrentMtgRatesDataTable8268459[[#This Row],[issueDate]],[1]!CurrentMtgRatesDataTable82673[#All],2,0)</f>
        <v>778031330</v>
      </c>
      <c r="H67" s="5">
        <f>VLOOKUP(CurrentMtgRatesDataTable8268459[[#This Row],[issueDate]],[1]!CurrentMtgRatesDataTable82684[#All],2,0)</f>
        <v>324884826</v>
      </c>
      <c r="I67" s="5">
        <f>VLOOKUP(CurrentMtgRatesDataTable8268459[[#This Row],[issueDate]],[1]!CurrentMtgRatesDataTable826845[#All],2,0)</f>
        <v>220409277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2015-04-09T18:39:21Z</dcterms:created>
  <dcterms:modified xsi:type="dcterms:W3CDTF">2015-04-09T19:31:19Z</dcterms:modified>
</cp:coreProperties>
</file>