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3"/>
  </bookViews>
  <sheets>
    <sheet name="Report" sheetId="7" r:id="rId1"/>
    <sheet name="Report Page1" sheetId="4" state="hidden" r:id="rId2"/>
    <sheet name="Report Page2" sheetId="6" state="hidden" r:id="rId3"/>
    <sheet name="Input" sheetId="1" r:id="rId4"/>
    <sheet name="Purchase" sheetId="3" r:id="rId5"/>
    <sheet name="Refinance" sheetId="5" r:id="rId6"/>
  </sheets>
  <functionGroups builtInGroupCount="17"/>
  <externalReferences>
    <externalReference r:id="rId7"/>
    <externalReference r:id="rId8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0">Report!$W$2</definedName>
    <definedName name="CurrentCloseDate" localSheetId="2">'Report Page2'!$W$2</definedName>
    <definedName name="CurrentCloseDate">'Report Page1'!$W$2</definedName>
    <definedName name="DatabaseEnv" localSheetId="0">Report!$W$1</definedName>
    <definedName name="DatabaseEnv" localSheetId="2">'Report Page2'!$W$1</definedName>
    <definedName name="DatabaseEnv">'Report Page1'!$W$1</definedName>
    <definedName name="HistoricalMtgRatesDataTable">[1]!OneWeekMtgRatesDataTable9[#Data]</definedName>
    <definedName name="IR" localSheetId="0">#REF!</definedName>
    <definedName name="IR" localSheetId="2">#REF!</definedName>
    <definedName name="IR">#REF!</definedName>
    <definedName name="MmExcelLinker_D5EFE7B8_A5AE_4CC6_B628_05FDC84CBEA4" localSheetId="0">Early Market [2]Data!$C$44:$C$44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 localSheetId="0">Report!$W$3</definedName>
    <definedName name="PDFReportDir" localSheetId="2">'Report Page2'!$W$3</definedName>
    <definedName name="PDFReportDir">'Report Page1'!$W$3</definedName>
    <definedName name="PDFReportName" localSheetId="0">Report!$W$4</definedName>
    <definedName name="PDFReportName" localSheetId="2">'Report Page2'!$W$4</definedName>
    <definedName name="PDFReportName">'Report Page1'!$W$4</definedName>
    <definedName name="_xlnm.Print_Area" localSheetId="0">Report!$A$1:$S$59</definedName>
    <definedName name="_xlnm.Print_Area" localSheetId="1">'Report Page1'!$C$1:$U$59</definedName>
    <definedName name="_xlnm.Print_Area" localSheetId="2">'Report Page2'!$B$1:$L$37</definedName>
    <definedName name="SaveRatesToDB" localSheetId="0">Report!$Y$1</definedName>
    <definedName name="SaveRatesToDB" localSheetId="2">'Report Page2'!$Y$1</definedName>
    <definedName name="SaveRatesToDB">'Report Page1'!$Y$1</definedName>
  </definedNames>
  <calcPr calcId="145621"/>
  <fileRecoveryPr repairLoad="1"/>
</workbook>
</file>

<file path=xl/calcChain.xml><?xml version="1.0" encoding="utf-8"?>
<calcChain xmlns="http://schemas.openxmlformats.org/spreadsheetml/2006/main">
  <c r="W4" i="7" l="1"/>
  <c r="F8" i="3"/>
  <c r="F9" i="3"/>
  <c r="F10" i="3"/>
  <c r="F11" i="3"/>
  <c r="F12" i="3"/>
  <c r="F13" i="3"/>
  <c r="F14" i="3"/>
  <c r="F15" i="3"/>
  <c r="F16" i="3"/>
  <c r="F17" i="3"/>
  <c r="F7" i="3"/>
  <c r="E8" i="3"/>
  <c r="E9" i="3"/>
  <c r="E10" i="3"/>
  <c r="E11" i="3"/>
  <c r="E12" i="3"/>
  <c r="E13" i="3"/>
  <c r="E14" i="3"/>
  <c r="E15" i="3"/>
  <c r="E16" i="3"/>
  <c r="E17" i="3"/>
  <c r="E7" i="3"/>
  <c r="F6" i="3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F6" i="1"/>
  <c r="G6" i="1"/>
  <c r="H6" i="1"/>
  <c r="I6" i="1"/>
  <c r="J6" i="1"/>
  <c r="K6" i="1"/>
  <c r="E6" i="1"/>
  <c r="E5" i="1"/>
  <c r="F5" i="1"/>
  <c r="G5" i="1"/>
  <c r="H5" i="1"/>
  <c r="I5" i="1"/>
  <c r="J5" i="1"/>
  <c r="K5" i="1"/>
  <c r="D5" i="1"/>
  <c r="W4" i="6"/>
  <c r="G6" i="3"/>
  <c r="E6" i="3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6" i="1"/>
  <c r="W4" i="4"/>
</calcChain>
</file>

<file path=xl/sharedStrings.xml><?xml version="1.0" encoding="utf-8"?>
<sst xmlns="http://schemas.openxmlformats.org/spreadsheetml/2006/main" count="143" uniqueCount="37">
  <si>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</si>
  <si>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</si>
  <si>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</si>
  <si>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</si>
  <si>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</si>
  <si>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</si>
  <si>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</si>
  <si>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</si>
  <si>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</si>
  <si>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</si>
  <si>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</si>
  <si>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</si>
  <si>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</si>
  <si>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</si>
  <si>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</si>
  <si>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</si>
  <si>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</si>
  <si>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Time To Close (Days)</t>
  </si>
  <si>
    <t>Report Folder</t>
  </si>
  <si>
    <t>PROD</t>
  </si>
  <si>
    <t>S:\IT\Production\Daily Reports\Primary Market\tmp\</t>
  </si>
  <si>
    <t>calender Year</t>
  </si>
  <si>
    <t>Month</t>
  </si>
  <si>
    <t>Home Purchase</t>
  </si>
  <si>
    <t>Conventionla-to-FHA Refinance</t>
  </si>
  <si>
    <t>FHA Non-Streamline Refinance</t>
  </si>
  <si>
    <t>FHA Streamline Standard MIP</t>
  </si>
  <si>
    <t>FHA Streamline Low MIP</t>
  </si>
  <si>
    <t>Refinance</t>
  </si>
  <si>
    <t xml:space="preserve">Total Application Received </t>
  </si>
  <si>
    <t>Check Update:</t>
  </si>
  <si>
    <t>http://portal.hud.gov/hudportal/HUD?src=/program_offices/housing/hsgrroom/fhaprodrpt</t>
  </si>
  <si>
    <t>Appication Received Volume</t>
  </si>
  <si>
    <t>Note:</t>
  </si>
  <si>
    <t>Does not include Home Equity Conversion Mortgage (HECM)</t>
  </si>
  <si>
    <t>Calender Year</t>
  </si>
  <si>
    <t>MIP decreased on June 11, 2012 for targeted streamline refinance loans to 1/55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</si>
</sst>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</borders>
  <cellStyleXfs count="526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132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3" fontId="0" fillId="0" borderId="0" xfId="0" applyNumberFormat="1"/>
    <xf numFmtId="0" fontId="7" fillId="6" borderId="38" xfId="0" applyFont="1" applyFill="1" applyBorder="1" applyAlignment="1">
      <alignment wrapText="1"/>
    </xf>
    <xf numFmtId="0" fontId="7" fillId="6" borderId="39" xfId="0" applyFont="1" applyFill="1" applyBorder="1" applyAlignment="1">
      <alignment horizontal="right" vertical="center"/>
    </xf>
    <xf numFmtId="0" fontId="7" fillId="6" borderId="40" xfId="0" applyFont="1" applyFill="1" applyBorder="1" applyAlignment="1">
      <alignment horizontal="right" vertical="center"/>
    </xf>
    <xf numFmtId="0" fontId="7" fillId="6" borderId="41" xfId="0" applyFont="1" applyFill="1" applyBorder="1" applyAlignment="1">
      <alignment horizontal="right" vertical="center"/>
    </xf>
    <xf numFmtId="0" fontId="7" fillId="6" borderId="38" xfId="0" applyFont="1" applyFill="1" applyBorder="1" applyAlignment="1">
      <alignment vertical="center"/>
    </xf>
    <xf numFmtId="3" fontId="0" fillId="0" borderId="38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9" fillId="0" borderId="0" xfId="2"/>
    <xf numFmtId="0" fontId="7" fillId="6" borderId="38" xfId="0" applyFont="1" applyFill="1" applyBorder="1" applyAlignment="1">
      <alignment horizontal="center" vertical="center" wrapText="1"/>
    </xf>
    <xf numFmtId="3" fontId="7" fillId="0" borderId="38" xfId="0" applyNumberFormat="1" applyFont="1" applyBorder="1" applyAlignment="1">
      <alignment vertical="center"/>
    </xf>
    <xf numFmtId="0" fontId="133" fillId="0" borderId="0" xfId="0" applyFont="1"/>
    <xf numFmtId="0" fontId="7" fillId="51" borderId="39" xfId="0" applyFont="1" applyFill="1" applyBorder="1" applyAlignment="1">
      <alignment horizontal="right" vertical="center"/>
    </xf>
    <xf numFmtId="0" fontId="7" fillId="51" borderId="38" xfId="0" applyFont="1" applyFill="1" applyBorder="1" applyAlignment="1">
      <alignment vertical="center"/>
    </xf>
    <xf numFmtId="0" fontId="7" fillId="51" borderId="40" xfId="0" applyFont="1" applyFill="1" applyBorder="1" applyAlignment="1">
      <alignment horizontal="right" vertical="center"/>
    </xf>
    <xf numFmtId="0" fontId="7" fillId="51" borderId="41" xfId="0" applyFont="1" applyFill="1" applyBorder="1" applyAlignment="1">
      <alignment horizontal="right" vertical="center"/>
    </xf>
    <xf numFmtId="0" fontId="5" fillId="0" borderId="0" xfId="0" applyFont="1" applyAlignment="1">
      <alignment horizontal="right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0"/>
  <tableStyles count="0" defaultTableStyle="TableStyleMedium2" defaultPivotStyle="PivotStyleLight16"/>
  <colors>
    <mruColors>
      <color rgb="FFFFFFFF"/>
      <color rgb="FFF6F4F0"/>
      <color rgb="FFC7732D"/>
      <color rgb="FF1B7A76"/>
      <color rgb="FFB3275C"/>
      <color rgb="FF2E398A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Total Application Received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Input!$G$5</c:f>
              <c:strCache>
                <c:ptCount val="1"/>
                <c:pt idx="0">
                  <c:v>Home Purchase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Input!$G$6:$G$30</c:f>
              <c:numCache>
                <c:formatCode>General</c:formatCode>
                <c:ptCount val="25"/>
                <c:pt idx="0">
                  <c:v>58933</c:v>
                </c:pt>
                <c:pt idx="1">
                  <c:v>66498</c:v>
                </c:pt>
                <c:pt idx="2">
                  <c:v>113900</c:v>
                </c:pt>
                <c:pt idx="3">
                  <c:v>62897</c:v>
                </c:pt>
                <c:pt idx="4">
                  <c:v>101178</c:v>
                </c:pt>
                <c:pt idx="5">
                  <c:v>57633</c:v>
                </c:pt>
                <c:pt idx="6">
                  <c:v>68994</c:v>
                </c:pt>
                <c:pt idx="7">
                  <c:v>64203</c:v>
                </c:pt>
                <c:pt idx="8">
                  <c:v>58541</c:v>
                </c:pt>
                <c:pt idx="9">
                  <c:v>62332</c:v>
                </c:pt>
                <c:pt idx="10">
                  <c:v>49838</c:v>
                </c:pt>
                <c:pt idx="11">
                  <c:v>46331</c:v>
                </c:pt>
                <c:pt idx="12">
                  <c:v>45860</c:v>
                </c:pt>
                <c:pt idx="13">
                  <c:v>51701</c:v>
                </c:pt>
                <c:pt idx="14">
                  <c:v>66273</c:v>
                </c:pt>
                <c:pt idx="15">
                  <c:v>74816</c:v>
                </c:pt>
                <c:pt idx="16">
                  <c:v>73371</c:v>
                </c:pt>
                <c:pt idx="17">
                  <c:v>72450</c:v>
                </c:pt>
                <c:pt idx="18">
                  <c:v>71543</c:v>
                </c:pt>
                <c:pt idx="19">
                  <c:v>63962</c:v>
                </c:pt>
                <c:pt idx="20">
                  <c:v>62210</c:v>
                </c:pt>
                <c:pt idx="21">
                  <c:v>64344</c:v>
                </c:pt>
                <c:pt idx="22">
                  <c:v>50489</c:v>
                </c:pt>
                <c:pt idx="23">
                  <c:v>48105</c:v>
                </c:pt>
                <c:pt idx="24">
                  <c:v>71254</c:v>
                </c:pt>
              </c:numCache>
            </c:numRef>
          </c:val>
        </c:ser>
        <c:ser>
          <c:idx val="2"/>
          <c:order val="1"/>
          <c:tx>
            <c:strRef>
              <c:f>Input!$L$5</c:f>
              <c:strCache>
                <c:ptCount val="1"/>
                <c:pt idx="0">
                  <c:v>Refinance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Input!$L$6:$L$30</c:f>
              <c:numCache>
                <c:formatCode>#,##0</c:formatCode>
                <c:ptCount val="25"/>
                <c:pt idx="0">
                  <c:v>79996</c:v>
                </c:pt>
                <c:pt idx="1">
                  <c:v>71427</c:v>
                </c:pt>
                <c:pt idx="2">
                  <c:v>107698</c:v>
                </c:pt>
                <c:pt idx="3">
                  <c:v>55276</c:v>
                </c:pt>
                <c:pt idx="4">
                  <c:v>81253</c:v>
                </c:pt>
                <c:pt idx="5">
                  <c:v>36113</c:v>
                </c:pt>
                <c:pt idx="6">
                  <c:v>39202</c:v>
                </c:pt>
                <c:pt idx="7">
                  <c:v>33120</c:v>
                </c:pt>
                <c:pt idx="8">
                  <c:v>24904</c:v>
                </c:pt>
                <c:pt idx="9">
                  <c:v>31184</c:v>
                </c:pt>
                <c:pt idx="10">
                  <c:v>25533</c:v>
                </c:pt>
                <c:pt idx="11">
                  <c:v>22108</c:v>
                </c:pt>
                <c:pt idx="12">
                  <c:v>25270</c:v>
                </c:pt>
                <c:pt idx="13">
                  <c:v>25162</c:v>
                </c:pt>
                <c:pt idx="14">
                  <c:v>28355</c:v>
                </c:pt>
                <c:pt idx="15">
                  <c:v>28279</c:v>
                </c:pt>
                <c:pt idx="16">
                  <c:v>26075</c:v>
                </c:pt>
                <c:pt idx="17">
                  <c:v>27001</c:v>
                </c:pt>
                <c:pt idx="18">
                  <c:v>26350</c:v>
                </c:pt>
                <c:pt idx="19">
                  <c:v>25313</c:v>
                </c:pt>
                <c:pt idx="20">
                  <c:v>24956</c:v>
                </c:pt>
                <c:pt idx="21">
                  <c:v>28862</c:v>
                </c:pt>
                <c:pt idx="22">
                  <c:v>23797</c:v>
                </c:pt>
                <c:pt idx="23">
                  <c:v>23649</c:v>
                </c:pt>
                <c:pt idx="24">
                  <c:v>56879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07200"/>
        <c:axId val="345908736"/>
      </c:areaChart>
      <c:catAx>
        <c:axId val="345907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5908736"/>
        <c:crosses val="autoZero"/>
        <c:auto val="1"/>
        <c:lblAlgn val="ctr"/>
        <c:lblOffset val="100"/>
        <c:noMultiLvlLbl val="0"/>
      </c:catAx>
      <c:valAx>
        <c:axId val="34590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907200"/>
        <c:crosses val="autoZero"/>
        <c:crossBetween val="midCat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Purchase Application - Annual Cumulative Volume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Purchase!$E$5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Purchase!$E$6:$E$17</c:f>
              <c:numCache>
                <c:formatCode>#,##0</c:formatCode>
                <c:ptCount val="12"/>
                <c:pt idx="0">
                  <c:v>58933</c:v>
                </c:pt>
                <c:pt idx="1">
                  <c:v>125431</c:v>
                </c:pt>
                <c:pt idx="2">
                  <c:v>239331</c:v>
                </c:pt>
                <c:pt idx="3">
                  <c:v>302228</c:v>
                </c:pt>
                <c:pt idx="4">
                  <c:v>403406</c:v>
                </c:pt>
                <c:pt idx="5">
                  <c:v>461039</c:v>
                </c:pt>
                <c:pt idx="6">
                  <c:v>530033</c:v>
                </c:pt>
                <c:pt idx="7">
                  <c:v>594236</c:v>
                </c:pt>
                <c:pt idx="8">
                  <c:v>652777</c:v>
                </c:pt>
                <c:pt idx="9">
                  <c:v>715109</c:v>
                </c:pt>
                <c:pt idx="10">
                  <c:v>764947</c:v>
                </c:pt>
                <c:pt idx="11">
                  <c:v>811278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Purchase!$F$5</c:f>
              <c:strCache>
                <c:ptCount val="1"/>
                <c:pt idx="0">
                  <c:v>2014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pPr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Purchase!$F$6:$F$17</c:f>
              <c:numCache>
                <c:formatCode>#,##0</c:formatCode>
                <c:ptCount val="12"/>
                <c:pt idx="0">
                  <c:v>45860</c:v>
                </c:pt>
                <c:pt idx="1">
                  <c:v>97561</c:v>
                </c:pt>
                <c:pt idx="2">
                  <c:v>163834</c:v>
                </c:pt>
                <c:pt idx="3">
                  <c:v>238650</c:v>
                </c:pt>
                <c:pt idx="4">
                  <c:v>312021</c:v>
                </c:pt>
                <c:pt idx="5">
                  <c:v>384471</c:v>
                </c:pt>
                <c:pt idx="6">
                  <c:v>456014</c:v>
                </c:pt>
                <c:pt idx="7">
                  <c:v>519976</c:v>
                </c:pt>
                <c:pt idx="8">
                  <c:v>582186</c:v>
                </c:pt>
                <c:pt idx="9">
                  <c:v>646530</c:v>
                </c:pt>
                <c:pt idx="10">
                  <c:v>697019</c:v>
                </c:pt>
                <c:pt idx="11">
                  <c:v>745124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Purchase!$G$5</c:f>
              <c:strCache>
                <c:ptCount val="1"/>
                <c:pt idx="0">
                  <c:v>2015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pPr>
              <a:solidFill>
                <a:srgbClr val="1B7A76"/>
              </a:solidFill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Purchase!$G$6:$G$17</c:f>
              <c:numCache>
                <c:formatCode>General</c:formatCode>
                <c:ptCount val="12"/>
                <c:pt idx="0" formatCode="#,##0">
                  <c:v>128133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67648"/>
        <c:axId val="346269184"/>
      </c:lineChart>
      <c:catAx>
        <c:axId val="346267648"/>
        <c:scaling>
          <c:orientation val="minMax"/>
        </c:scaling>
        <c:delete val="0"/>
        <c:axPos val="b"/>
        <c:majorTickMark val="out"/>
        <c:minorTickMark val="none"/>
        <c:tickLblPos val="nextTo"/>
        <c:crossAx val="346269184"/>
        <c:crosses val="autoZero"/>
        <c:auto val="1"/>
        <c:lblAlgn val="ctr"/>
        <c:lblOffset val="100"/>
        <c:noMultiLvlLbl val="0"/>
      </c:catAx>
      <c:valAx>
        <c:axId val="34626918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46267648"/>
        <c:crosses val="autoZero"/>
        <c:crossBetween val="between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Refinance Application Volume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Refinance!$F$5</c:f>
              <c:strCache>
                <c:ptCount val="1"/>
                <c:pt idx="0">
                  <c:v>Conventionla-to-FHA Refinance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Refinance!$F$6:$F$30</c:f>
              <c:numCache>
                <c:formatCode>#,##0</c:formatCode>
                <c:ptCount val="25"/>
                <c:pt idx="0">
                  <c:v>16039</c:v>
                </c:pt>
                <c:pt idx="1">
                  <c:v>15393</c:v>
                </c:pt>
                <c:pt idx="2">
                  <c:v>25683</c:v>
                </c:pt>
                <c:pt idx="3">
                  <c:v>12675</c:v>
                </c:pt>
                <c:pt idx="4">
                  <c:v>18957</c:v>
                </c:pt>
                <c:pt idx="5">
                  <c:v>9929</c:v>
                </c:pt>
                <c:pt idx="6">
                  <c:v>11085</c:v>
                </c:pt>
                <c:pt idx="7">
                  <c:v>10916</c:v>
                </c:pt>
                <c:pt idx="8">
                  <c:v>9743</c:v>
                </c:pt>
                <c:pt idx="9">
                  <c:v>12131</c:v>
                </c:pt>
                <c:pt idx="10">
                  <c:v>9664</c:v>
                </c:pt>
                <c:pt idx="11">
                  <c:v>8534</c:v>
                </c:pt>
                <c:pt idx="12">
                  <c:v>9609</c:v>
                </c:pt>
                <c:pt idx="13">
                  <c:v>9287</c:v>
                </c:pt>
                <c:pt idx="14">
                  <c:v>10910</c:v>
                </c:pt>
                <c:pt idx="15">
                  <c:v>11511</c:v>
                </c:pt>
                <c:pt idx="16">
                  <c:v>10850</c:v>
                </c:pt>
                <c:pt idx="17">
                  <c:v>10225</c:v>
                </c:pt>
                <c:pt idx="18">
                  <c:v>10370</c:v>
                </c:pt>
                <c:pt idx="19">
                  <c:v>10419</c:v>
                </c:pt>
                <c:pt idx="20">
                  <c:v>10474</c:v>
                </c:pt>
                <c:pt idx="21">
                  <c:v>11776</c:v>
                </c:pt>
                <c:pt idx="22">
                  <c:v>9428</c:v>
                </c:pt>
                <c:pt idx="23">
                  <c:v>9516</c:v>
                </c:pt>
                <c:pt idx="24">
                  <c:v>16889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Refinance!$G$5</c:f>
              <c:strCache>
                <c:ptCount val="1"/>
                <c:pt idx="0">
                  <c:v>FHA Non-Streamline Refinance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Refinance!$G$6:$G$30</c:f>
              <c:numCache>
                <c:formatCode>#,##0</c:formatCode>
                <c:ptCount val="25"/>
                <c:pt idx="0">
                  <c:v>5044</c:v>
                </c:pt>
                <c:pt idx="1">
                  <c:v>4646</c:v>
                </c:pt>
                <c:pt idx="2">
                  <c:v>7274</c:v>
                </c:pt>
                <c:pt idx="3">
                  <c:v>3468</c:v>
                </c:pt>
                <c:pt idx="4">
                  <c:v>5219</c:v>
                </c:pt>
                <c:pt idx="5">
                  <c:v>2279</c:v>
                </c:pt>
                <c:pt idx="6">
                  <c:v>2229</c:v>
                </c:pt>
                <c:pt idx="7">
                  <c:v>2286</c:v>
                </c:pt>
                <c:pt idx="8">
                  <c:v>2083</c:v>
                </c:pt>
                <c:pt idx="9">
                  <c:v>2664</c:v>
                </c:pt>
                <c:pt idx="10">
                  <c:v>2340</c:v>
                </c:pt>
                <c:pt idx="11">
                  <c:v>2168</c:v>
                </c:pt>
                <c:pt idx="12">
                  <c:v>2376</c:v>
                </c:pt>
                <c:pt idx="13">
                  <c:v>2329</c:v>
                </c:pt>
                <c:pt idx="14">
                  <c:v>2833</c:v>
                </c:pt>
                <c:pt idx="15">
                  <c:v>3018</c:v>
                </c:pt>
                <c:pt idx="16">
                  <c:v>3207</c:v>
                </c:pt>
                <c:pt idx="17">
                  <c:v>3349</c:v>
                </c:pt>
                <c:pt idx="18">
                  <c:v>3178</c:v>
                </c:pt>
                <c:pt idx="19">
                  <c:v>3318</c:v>
                </c:pt>
                <c:pt idx="20">
                  <c:v>3405</c:v>
                </c:pt>
                <c:pt idx="21">
                  <c:v>4130</c:v>
                </c:pt>
                <c:pt idx="22">
                  <c:v>3128</c:v>
                </c:pt>
                <c:pt idx="23">
                  <c:v>3084</c:v>
                </c:pt>
                <c:pt idx="24">
                  <c:v>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Refinance!$H$5</c:f>
              <c:strCache>
                <c:ptCount val="1"/>
                <c:pt idx="0">
                  <c:v>FHA Streamline Standard MIP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Refinance!$H$6:$H$30</c:f>
              <c:numCache>
                <c:formatCode>#,##0</c:formatCode>
                <c:ptCount val="25"/>
                <c:pt idx="0">
                  <c:v>28274</c:v>
                </c:pt>
                <c:pt idx="1">
                  <c:v>22521</c:v>
                </c:pt>
                <c:pt idx="2">
                  <c:v>38948</c:v>
                </c:pt>
                <c:pt idx="3">
                  <c:v>14106</c:v>
                </c:pt>
                <c:pt idx="4">
                  <c:v>22913</c:v>
                </c:pt>
                <c:pt idx="5">
                  <c:v>4798</c:v>
                </c:pt>
                <c:pt idx="6">
                  <c:v>3478</c:v>
                </c:pt>
                <c:pt idx="7">
                  <c:v>3227</c:v>
                </c:pt>
                <c:pt idx="8">
                  <c:v>1767</c:v>
                </c:pt>
                <c:pt idx="9">
                  <c:v>2260</c:v>
                </c:pt>
                <c:pt idx="10">
                  <c:v>2696</c:v>
                </c:pt>
                <c:pt idx="11">
                  <c:v>2156</c:v>
                </c:pt>
                <c:pt idx="12">
                  <c:v>1941</c:v>
                </c:pt>
                <c:pt idx="13">
                  <c:v>2595</c:v>
                </c:pt>
                <c:pt idx="14">
                  <c:v>3726</c:v>
                </c:pt>
                <c:pt idx="15">
                  <c:v>2503</c:v>
                </c:pt>
                <c:pt idx="16">
                  <c:v>2922</c:v>
                </c:pt>
                <c:pt idx="17">
                  <c:v>3464</c:v>
                </c:pt>
                <c:pt idx="18">
                  <c:v>3424</c:v>
                </c:pt>
                <c:pt idx="19">
                  <c:v>3806</c:v>
                </c:pt>
                <c:pt idx="20">
                  <c:v>3012</c:v>
                </c:pt>
                <c:pt idx="21">
                  <c:v>5273</c:v>
                </c:pt>
                <c:pt idx="22">
                  <c:v>5621</c:v>
                </c:pt>
                <c:pt idx="23">
                  <c:v>5796</c:v>
                </c:pt>
                <c:pt idx="24">
                  <c:v>27779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Refinance!$I$5</c:f>
              <c:strCache>
                <c:ptCount val="1"/>
                <c:pt idx="0">
                  <c:v>FHA Streamline Low MIP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Refinance!$I$6:$I$30</c:f>
              <c:numCache>
                <c:formatCode>#,##0</c:formatCode>
                <c:ptCount val="25"/>
                <c:pt idx="0">
                  <c:v>30639</c:v>
                </c:pt>
                <c:pt idx="1">
                  <c:v>28867</c:v>
                </c:pt>
                <c:pt idx="2">
                  <c:v>35793</c:v>
                </c:pt>
                <c:pt idx="3">
                  <c:v>25027</c:v>
                </c:pt>
                <c:pt idx="4">
                  <c:v>34164</c:v>
                </c:pt>
                <c:pt idx="5">
                  <c:v>19107</c:v>
                </c:pt>
                <c:pt idx="6">
                  <c:v>22410</c:v>
                </c:pt>
                <c:pt idx="7">
                  <c:v>16691</c:v>
                </c:pt>
                <c:pt idx="8">
                  <c:v>11311</c:v>
                </c:pt>
                <c:pt idx="9">
                  <c:v>14129</c:v>
                </c:pt>
                <c:pt idx="10">
                  <c:v>10833</c:v>
                </c:pt>
                <c:pt idx="11">
                  <c:v>9250</c:v>
                </c:pt>
                <c:pt idx="12">
                  <c:v>11344</c:v>
                </c:pt>
                <c:pt idx="13">
                  <c:v>10951</c:v>
                </c:pt>
                <c:pt idx="14">
                  <c:v>10886</c:v>
                </c:pt>
                <c:pt idx="15">
                  <c:v>11247</c:v>
                </c:pt>
                <c:pt idx="16">
                  <c:v>9096</c:v>
                </c:pt>
                <c:pt idx="17">
                  <c:v>9963</c:v>
                </c:pt>
                <c:pt idx="18">
                  <c:v>9378</c:v>
                </c:pt>
                <c:pt idx="19">
                  <c:v>7770</c:v>
                </c:pt>
                <c:pt idx="20">
                  <c:v>8065</c:v>
                </c:pt>
                <c:pt idx="21">
                  <c:v>7683</c:v>
                </c:pt>
                <c:pt idx="22">
                  <c:v>5620</c:v>
                </c:pt>
                <c:pt idx="23">
                  <c:v>5253</c:v>
                </c:pt>
                <c:pt idx="24">
                  <c:v>5336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60960"/>
        <c:axId val="347162496"/>
      </c:lineChart>
      <c:catAx>
        <c:axId val="34716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347162496"/>
        <c:crosses val="autoZero"/>
        <c:auto val="1"/>
        <c:lblAlgn val="ctr"/>
        <c:lblOffset val="100"/>
        <c:noMultiLvlLbl val="0"/>
      </c:catAx>
      <c:valAx>
        <c:axId val="3471624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47160960"/>
        <c:crosses val="autoZero"/>
        <c:crossBetween val="between"/>
        <c:majorUnit val="10000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Total Application Received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Input!$G$5</c:f>
              <c:strCache>
                <c:ptCount val="1"/>
                <c:pt idx="0">
                  <c:v>Home Purchase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Input!$G$6:$G$30</c:f>
              <c:numCache>
                <c:formatCode>General</c:formatCode>
                <c:ptCount val="25"/>
                <c:pt idx="0">
                  <c:v>58933</c:v>
                </c:pt>
                <c:pt idx="1">
                  <c:v>66498</c:v>
                </c:pt>
                <c:pt idx="2">
                  <c:v>113900</c:v>
                </c:pt>
                <c:pt idx="3">
                  <c:v>62897</c:v>
                </c:pt>
                <c:pt idx="4">
                  <c:v>101178</c:v>
                </c:pt>
                <c:pt idx="5">
                  <c:v>57633</c:v>
                </c:pt>
                <c:pt idx="6">
                  <c:v>68994</c:v>
                </c:pt>
                <c:pt idx="7">
                  <c:v>64203</c:v>
                </c:pt>
                <c:pt idx="8">
                  <c:v>58541</c:v>
                </c:pt>
                <c:pt idx="9">
                  <c:v>62332</c:v>
                </c:pt>
                <c:pt idx="10">
                  <c:v>49838</c:v>
                </c:pt>
                <c:pt idx="11">
                  <c:v>46331</c:v>
                </c:pt>
                <c:pt idx="12">
                  <c:v>45860</c:v>
                </c:pt>
                <c:pt idx="13">
                  <c:v>51701</c:v>
                </c:pt>
                <c:pt idx="14">
                  <c:v>66273</c:v>
                </c:pt>
                <c:pt idx="15">
                  <c:v>74816</c:v>
                </c:pt>
                <c:pt idx="16">
                  <c:v>73371</c:v>
                </c:pt>
                <c:pt idx="17">
                  <c:v>72450</c:v>
                </c:pt>
                <c:pt idx="18">
                  <c:v>71543</c:v>
                </c:pt>
                <c:pt idx="19">
                  <c:v>63962</c:v>
                </c:pt>
                <c:pt idx="20">
                  <c:v>62210</c:v>
                </c:pt>
                <c:pt idx="21">
                  <c:v>64344</c:v>
                </c:pt>
                <c:pt idx="22">
                  <c:v>50489</c:v>
                </c:pt>
                <c:pt idx="23">
                  <c:v>48105</c:v>
                </c:pt>
                <c:pt idx="24">
                  <c:v>71254</c:v>
                </c:pt>
              </c:numCache>
            </c:numRef>
          </c:val>
        </c:ser>
        <c:ser>
          <c:idx val="2"/>
          <c:order val="1"/>
          <c:tx>
            <c:strRef>
              <c:f>Input!$L$5</c:f>
              <c:strCache>
                <c:ptCount val="1"/>
                <c:pt idx="0">
                  <c:v>Refinance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Input!$L$6:$L$30</c:f>
              <c:numCache>
                <c:formatCode>#,##0</c:formatCode>
                <c:ptCount val="25"/>
                <c:pt idx="0">
                  <c:v>79996</c:v>
                </c:pt>
                <c:pt idx="1">
                  <c:v>71427</c:v>
                </c:pt>
                <c:pt idx="2">
                  <c:v>107698</c:v>
                </c:pt>
                <c:pt idx="3">
                  <c:v>55276</c:v>
                </c:pt>
                <c:pt idx="4">
                  <c:v>81253</c:v>
                </c:pt>
                <c:pt idx="5">
                  <c:v>36113</c:v>
                </c:pt>
                <c:pt idx="6">
                  <c:v>39202</c:v>
                </c:pt>
                <c:pt idx="7">
                  <c:v>33120</c:v>
                </c:pt>
                <c:pt idx="8">
                  <c:v>24904</c:v>
                </c:pt>
                <c:pt idx="9">
                  <c:v>31184</c:v>
                </c:pt>
                <c:pt idx="10">
                  <c:v>25533</c:v>
                </c:pt>
                <c:pt idx="11">
                  <c:v>22108</c:v>
                </c:pt>
                <c:pt idx="12">
                  <c:v>25270</c:v>
                </c:pt>
                <c:pt idx="13">
                  <c:v>25162</c:v>
                </c:pt>
                <c:pt idx="14">
                  <c:v>28355</c:v>
                </c:pt>
                <c:pt idx="15">
                  <c:v>28279</c:v>
                </c:pt>
                <c:pt idx="16">
                  <c:v>26075</c:v>
                </c:pt>
                <c:pt idx="17">
                  <c:v>27001</c:v>
                </c:pt>
                <c:pt idx="18">
                  <c:v>26350</c:v>
                </c:pt>
                <c:pt idx="19">
                  <c:v>25313</c:v>
                </c:pt>
                <c:pt idx="20">
                  <c:v>24956</c:v>
                </c:pt>
                <c:pt idx="21">
                  <c:v>28862</c:v>
                </c:pt>
                <c:pt idx="22">
                  <c:v>23797</c:v>
                </c:pt>
                <c:pt idx="23">
                  <c:v>23649</c:v>
                </c:pt>
                <c:pt idx="24">
                  <c:v>56879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32224"/>
        <c:axId val="252533760"/>
      </c:areaChart>
      <c:catAx>
        <c:axId val="252532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2533760"/>
        <c:crosses val="autoZero"/>
        <c:auto val="1"/>
        <c:lblAlgn val="ctr"/>
        <c:lblOffset val="100"/>
        <c:noMultiLvlLbl val="0"/>
      </c:catAx>
      <c:valAx>
        <c:axId val="25253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532224"/>
        <c:crosses val="autoZero"/>
        <c:crossBetween val="midCat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Purchase Application Volume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Purchase!$E$5</c:f>
              <c:strCache>
                <c:ptCount val="1"/>
                <c:pt idx="0">
                  <c:v>2013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Purchase!$E$6:$E$17</c:f>
              <c:numCache>
                <c:formatCode>#,##0</c:formatCode>
                <c:ptCount val="12"/>
                <c:pt idx="0">
                  <c:v>58933</c:v>
                </c:pt>
                <c:pt idx="1">
                  <c:v>125431</c:v>
                </c:pt>
                <c:pt idx="2">
                  <c:v>239331</c:v>
                </c:pt>
                <c:pt idx="3">
                  <c:v>302228</c:v>
                </c:pt>
                <c:pt idx="4">
                  <c:v>403406</c:v>
                </c:pt>
                <c:pt idx="5">
                  <c:v>461039</c:v>
                </c:pt>
                <c:pt idx="6">
                  <c:v>530033</c:v>
                </c:pt>
                <c:pt idx="7">
                  <c:v>594236</c:v>
                </c:pt>
                <c:pt idx="8">
                  <c:v>652777</c:v>
                </c:pt>
                <c:pt idx="9">
                  <c:v>715109</c:v>
                </c:pt>
                <c:pt idx="10">
                  <c:v>764947</c:v>
                </c:pt>
                <c:pt idx="11">
                  <c:v>811278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Purchase!$F$5</c:f>
              <c:strCache>
                <c:ptCount val="1"/>
                <c:pt idx="0">
                  <c:v>2014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Purchase!$F$6:$F$17</c:f>
              <c:numCache>
                <c:formatCode>#,##0</c:formatCode>
                <c:ptCount val="12"/>
                <c:pt idx="0">
                  <c:v>45860</c:v>
                </c:pt>
                <c:pt idx="1">
                  <c:v>97561</c:v>
                </c:pt>
                <c:pt idx="2">
                  <c:v>163834</c:v>
                </c:pt>
                <c:pt idx="3">
                  <c:v>238650</c:v>
                </c:pt>
                <c:pt idx="4">
                  <c:v>312021</c:v>
                </c:pt>
                <c:pt idx="5">
                  <c:v>384471</c:v>
                </c:pt>
                <c:pt idx="6">
                  <c:v>456014</c:v>
                </c:pt>
                <c:pt idx="7">
                  <c:v>519976</c:v>
                </c:pt>
                <c:pt idx="8">
                  <c:v>582186</c:v>
                </c:pt>
                <c:pt idx="9">
                  <c:v>646530</c:v>
                </c:pt>
                <c:pt idx="10">
                  <c:v>697019</c:v>
                </c:pt>
                <c:pt idx="11">
                  <c:v>745124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Purchase!$G$5</c:f>
              <c:strCache>
                <c:ptCount val="1"/>
                <c:pt idx="0">
                  <c:v>2015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Purchase!$G$6:$G$17</c:f>
              <c:numCache>
                <c:formatCode>General</c:formatCode>
                <c:ptCount val="12"/>
                <c:pt idx="0" formatCode="#,##0">
                  <c:v>128133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6720"/>
        <c:axId val="347221376"/>
      </c:lineChart>
      <c:catAx>
        <c:axId val="28796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7221376"/>
        <c:crosses val="autoZero"/>
        <c:auto val="1"/>
        <c:lblAlgn val="ctr"/>
        <c:lblOffset val="100"/>
        <c:noMultiLvlLbl val="0"/>
      </c:catAx>
      <c:valAx>
        <c:axId val="3472213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87966720"/>
        <c:crosses val="autoZero"/>
        <c:crossBetween val="between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Refinance Application Volume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Refinance!$F$5</c:f>
              <c:strCache>
                <c:ptCount val="1"/>
                <c:pt idx="0">
                  <c:v>Conventionla-to-FHA Refinance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Refinance!$F$6:$F$30</c:f>
              <c:numCache>
                <c:formatCode>#,##0</c:formatCode>
                <c:ptCount val="25"/>
                <c:pt idx="0">
                  <c:v>16039</c:v>
                </c:pt>
                <c:pt idx="1">
                  <c:v>15393</c:v>
                </c:pt>
                <c:pt idx="2">
                  <c:v>25683</c:v>
                </c:pt>
                <c:pt idx="3">
                  <c:v>12675</c:v>
                </c:pt>
                <c:pt idx="4">
                  <c:v>18957</c:v>
                </c:pt>
                <c:pt idx="5">
                  <c:v>9929</c:v>
                </c:pt>
                <c:pt idx="6">
                  <c:v>11085</c:v>
                </c:pt>
                <c:pt idx="7">
                  <c:v>10916</c:v>
                </c:pt>
                <c:pt idx="8">
                  <c:v>9743</c:v>
                </c:pt>
                <c:pt idx="9">
                  <c:v>12131</c:v>
                </c:pt>
                <c:pt idx="10">
                  <c:v>9664</c:v>
                </c:pt>
                <c:pt idx="11">
                  <c:v>8534</c:v>
                </c:pt>
                <c:pt idx="12">
                  <c:v>9609</c:v>
                </c:pt>
                <c:pt idx="13">
                  <c:v>9287</c:v>
                </c:pt>
                <c:pt idx="14">
                  <c:v>10910</c:v>
                </c:pt>
                <c:pt idx="15">
                  <c:v>11511</c:v>
                </c:pt>
                <c:pt idx="16">
                  <c:v>10850</c:v>
                </c:pt>
                <c:pt idx="17">
                  <c:v>10225</c:v>
                </c:pt>
                <c:pt idx="18">
                  <c:v>10370</c:v>
                </c:pt>
                <c:pt idx="19">
                  <c:v>10419</c:v>
                </c:pt>
                <c:pt idx="20">
                  <c:v>10474</c:v>
                </c:pt>
                <c:pt idx="21">
                  <c:v>11776</c:v>
                </c:pt>
                <c:pt idx="22">
                  <c:v>9428</c:v>
                </c:pt>
                <c:pt idx="23">
                  <c:v>9516</c:v>
                </c:pt>
                <c:pt idx="24">
                  <c:v>16889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Refinance!$G$5</c:f>
              <c:strCache>
                <c:ptCount val="1"/>
                <c:pt idx="0">
                  <c:v>FHA Non-Streamline Refinance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Refinance!$G$6:$G$30</c:f>
              <c:numCache>
                <c:formatCode>#,##0</c:formatCode>
                <c:ptCount val="25"/>
                <c:pt idx="0">
                  <c:v>5044</c:v>
                </c:pt>
                <c:pt idx="1">
                  <c:v>4646</c:v>
                </c:pt>
                <c:pt idx="2">
                  <c:v>7274</c:v>
                </c:pt>
                <c:pt idx="3">
                  <c:v>3468</c:v>
                </c:pt>
                <c:pt idx="4">
                  <c:v>5219</c:v>
                </c:pt>
                <c:pt idx="5">
                  <c:v>2279</c:v>
                </c:pt>
                <c:pt idx="6">
                  <c:v>2229</c:v>
                </c:pt>
                <c:pt idx="7">
                  <c:v>2286</c:v>
                </c:pt>
                <c:pt idx="8">
                  <c:v>2083</c:v>
                </c:pt>
                <c:pt idx="9">
                  <c:v>2664</c:v>
                </c:pt>
                <c:pt idx="10">
                  <c:v>2340</c:v>
                </c:pt>
                <c:pt idx="11">
                  <c:v>2168</c:v>
                </c:pt>
                <c:pt idx="12">
                  <c:v>2376</c:v>
                </c:pt>
                <c:pt idx="13">
                  <c:v>2329</c:v>
                </c:pt>
                <c:pt idx="14">
                  <c:v>2833</c:v>
                </c:pt>
                <c:pt idx="15">
                  <c:v>3018</c:v>
                </c:pt>
                <c:pt idx="16">
                  <c:v>3207</c:v>
                </c:pt>
                <c:pt idx="17">
                  <c:v>3349</c:v>
                </c:pt>
                <c:pt idx="18">
                  <c:v>3178</c:v>
                </c:pt>
                <c:pt idx="19">
                  <c:v>3318</c:v>
                </c:pt>
                <c:pt idx="20">
                  <c:v>3405</c:v>
                </c:pt>
                <c:pt idx="21">
                  <c:v>4130</c:v>
                </c:pt>
                <c:pt idx="22">
                  <c:v>3128</c:v>
                </c:pt>
                <c:pt idx="23">
                  <c:v>3084</c:v>
                </c:pt>
                <c:pt idx="24">
                  <c:v>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Refinance!$H$5</c:f>
              <c:strCache>
                <c:ptCount val="1"/>
                <c:pt idx="0">
                  <c:v>FHA Streamline Standard MIP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Refinance!$H$6:$H$30</c:f>
              <c:numCache>
                <c:formatCode>#,##0</c:formatCode>
                <c:ptCount val="25"/>
                <c:pt idx="0">
                  <c:v>28274</c:v>
                </c:pt>
                <c:pt idx="1">
                  <c:v>22521</c:v>
                </c:pt>
                <c:pt idx="2">
                  <c:v>38948</c:v>
                </c:pt>
                <c:pt idx="3">
                  <c:v>14106</c:v>
                </c:pt>
                <c:pt idx="4">
                  <c:v>22913</c:v>
                </c:pt>
                <c:pt idx="5">
                  <c:v>4798</c:v>
                </c:pt>
                <c:pt idx="6">
                  <c:v>3478</c:v>
                </c:pt>
                <c:pt idx="7">
                  <c:v>3227</c:v>
                </c:pt>
                <c:pt idx="8">
                  <c:v>1767</c:v>
                </c:pt>
                <c:pt idx="9">
                  <c:v>2260</c:v>
                </c:pt>
                <c:pt idx="10">
                  <c:v>2696</c:v>
                </c:pt>
                <c:pt idx="11">
                  <c:v>2156</c:v>
                </c:pt>
                <c:pt idx="12">
                  <c:v>1941</c:v>
                </c:pt>
                <c:pt idx="13">
                  <c:v>2595</c:v>
                </c:pt>
                <c:pt idx="14">
                  <c:v>3726</c:v>
                </c:pt>
                <c:pt idx="15">
                  <c:v>2503</c:v>
                </c:pt>
                <c:pt idx="16">
                  <c:v>2922</c:v>
                </c:pt>
                <c:pt idx="17">
                  <c:v>3464</c:v>
                </c:pt>
                <c:pt idx="18">
                  <c:v>3424</c:v>
                </c:pt>
                <c:pt idx="19">
                  <c:v>3806</c:v>
                </c:pt>
                <c:pt idx="20">
                  <c:v>3012</c:v>
                </c:pt>
                <c:pt idx="21">
                  <c:v>5273</c:v>
                </c:pt>
                <c:pt idx="22">
                  <c:v>5621</c:v>
                </c:pt>
                <c:pt idx="23">
                  <c:v>5796</c:v>
                </c:pt>
                <c:pt idx="24">
                  <c:v>27779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Refinance!$I$5</c:f>
              <c:strCache>
                <c:ptCount val="1"/>
                <c:pt idx="0">
                  <c:v>FHA Streamline Low MIP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Refinance!$I$6:$I$30</c:f>
              <c:numCache>
                <c:formatCode>#,##0</c:formatCode>
                <c:ptCount val="25"/>
                <c:pt idx="0">
                  <c:v>30639</c:v>
                </c:pt>
                <c:pt idx="1">
                  <c:v>28867</c:v>
                </c:pt>
                <c:pt idx="2">
                  <c:v>35793</c:v>
                </c:pt>
                <c:pt idx="3">
                  <c:v>25027</c:v>
                </c:pt>
                <c:pt idx="4">
                  <c:v>34164</c:v>
                </c:pt>
                <c:pt idx="5">
                  <c:v>19107</c:v>
                </c:pt>
                <c:pt idx="6">
                  <c:v>22410</c:v>
                </c:pt>
                <c:pt idx="7">
                  <c:v>16691</c:v>
                </c:pt>
                <c:pt idx="8">
                  <c:v>11311</c:v>
                </c:pt>
                <c:pt idx="9">
                  <c:v>14129</c:v>
                </c:pt>
                <c:pt idx="10">
                  <c:v>10833</c:v>
                </c:pt>
                <c:pt idx="11">
                  <c:v>9250</c:v>
                </c:pt>
                <c:pt idx="12">
                  <c:v>11344</c:v>
                </c:pt>
                <c:pt idx="13">
                  <c:v>10951</c:v>
                </c:pt>
                <c:pt idx="14">
                  <c:v>10886</c:v>
                </c:pt>
                <c:pt idx="15">
                  <c:v>11247</c:v>
                </c:pt>
                <c:pt idx="16">
                  <c:v>9096</c:v>
                </c:pt>
                <c:pt idx="17">
                  <c:v>9963</c:v>
                </c:pt>
                <c:pt idx="18">
                  <c:v>9378</c:v>
                </c:pt>
                <c:pt idx="19">
                  <c:v>7770</c:v>
                </c:pt>
                <c:pt idx="20">
                  <c:v>8065</c:v>
                </c:pt>
                <c:pt idx="21">
                  <c:v>7683</c:v>
                </c:pt>
                <c:pt idx="22">
                  <c:v>5620</c:v>
                </c:pt>
                <c:pt idx="23">
                  <c:v>5253</c:v>
                </c:pt>
                <c:pt idx="24">
                  <c:v>5336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30976"/>
        <c:axId val="347232512"/>
      </c:lineChart>
      <c:catAx>
        <c:axId val="34723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347232512"/>
        <c:crosses val="autoZero"/>
        <c:auto val="1"/>
        <c:lblAlgn val="ctr"/>
        <c:lblOffset val="100"/>
        <c:noMultiLvlLbl val="0"/>
      </c:catAx>
      <c:valAx>
        <c:axId val="34723251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47230976"/>
        <c:crosses val="autoZero"/>
        <c:crossBetween val="between"/>
        <c:majorUnit val="10000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190500</xdr:colOff>
      <xdr:row>9</xdr:row>
      <xdr:rowOff>190497</xdr:rowOff>
    </xdr:from>
    <xdr:to>
      <xdr:col>17</xdr:col>
      <xdr:colOff>821532</xdr:colOff>
      <xdr:row>25</xdr:row>
      <xdr:rowOff>142874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127001</xdr:colOff>
      <xdr:row>25</xdr:row>
      <xdr:rowOff>121046</xdr:rowOff>
    </xdr:from>
    <xdr:to>
      <xdr:col>9</xdr:col>
      <xdr:colOff>464344</xdr:colOff>
      <xdr:row>40</xdr:row>
      <xdr:rowOff>177720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127001</xdr:colOff>
      <xdr:row>41</xdr:row>
      <xdr:rowOff>47625</xdr:rowOff>
    </xdr:from>
    <xdr:to>
      <xdr:col>9</xdr:col>
      <xdr:colOff>464344</xdr:colOff>
      <xdr:row>57</xdr:row>
      <xdr:rowOff>79375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FundingTimeWeekly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3</xdr:col>
      <xdr:colOff>0</xdr:colOff>
      <xdr:row>9</xdr:row>
      <xdr:rowOff>190498</xdr:rowOff>
    </xdr:from>
    <xdr:to>
      <xdr:col>18</xdr:col>
      <xdr:colOff>521493</xdr:colOff>
      <xdr:row>24</xdr:row>
      <xdr:rowOff>187640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</xdr:row>
      <xdr:rowOff>89296</xdr:rowOff>
    </xdr:from>
    <xdr:to>
      <xdr:col>18</xdr:col>
      <xdr:colOff>521493</xdr:colOff>
      <xdr:row>40</xdr:row>
      <xdr:rowOff>145970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47625</xdr:rowOff>
    </xdr:from>
    <xdr:to>
      <xdr:col>18</xdr:col>
      <xdr:colOff>521493</xdr:colOff>
      <xdr:row>56</xdr:row>
      <xdr:rowOff>116205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0</xdr:rowOff>
    </xdr:to>
    <xdr:sp macro="[0]!RunFundingTimeWeekl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0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I1:Y60"/>
  <sheetViews>
    <sheetView showGridLines="0" topLeftCell="A16" zoomScale="80" zoomScaleNormal="80" workbookViewId="0">
      <selection activeCell="V49" sqref="V49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0" width="11" customWidth="1"/>
    <col min="11" max="18" width="12.85546875" customWidth="1"/>
    <col min="19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12</v>
      </c>
      <c r="W1" s="14" t="s">
        <v>19</v>
      </c>
      <c r="X1" t="s">
        <v>13</v>
      </c>
      <c r="Y1" s="4" t="s">
        <v>16</v>
      </c>
    </row>
    <row r="2" spans="9:25">
      <c r="V2" s="3" t="s">
        <v>14</v>
      </c>
      <c r="W2" s="5">
        <v>42081</v>
      </c>
    </row>
    <row r="3" spans="9:25">
      <c r="V3" s="3" t="s">
        <v>18</v>
      </c>
      <c r="W3" s="14" t="s">
        <v>20</v>
      </c>
    </row>
    <row r="4" spans="9:25">
      <c r="V4" s="3" t="s">
        <v>15</v>
      </c>
      <c r="W4" s="14" t="str">
        <f>PDFReportDir &amp; "\Application Activity " &amp; TEXT(CurrentCloseDate, "yyyy-mm-dd") &amp; ".pdf"</f>
        <v>S:\IT\Production\Daily Reports\Primary Market\tmp\\Application Activity 2015-03-18.pdf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1" spans="9:25">
      <c r="W11" t="s">
        <v>30</v>
      </c>
      <c r="X11" s="24" t="s">
        <v>31</v>
      </c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28" spans="9:19">
      <c r="K28" s="27" t="s">
        <v>32</v>
      </c>
    </row>
    <row r="29" spans="9:19" ht="42" customHeight="1">
      <c r="K29" s="25" t="s">
        <v>35</v>
      </c>
      <c r="L29" s="25" t="s">
        <v>22</v>
      </c>
      <c r="M29" s="25" t="s">
        <v>29</v>
      </c>
      <c r="N29" s="25" t="s">
        <v>23</v>
      </c>
      <c r="O29" s="25" t="s">
        <v>24</v>
      </c>
      <c r="P29" s="25" t="s">
        <v>25</v>
      </c>
      <c r="Q29" s="25" t="s">
        <v>26</v>
      </c>
      <c r="R29" s="25" t="s">
        <v>27</v>
      </c>
    </row>
    <row r="30" spans="9:19" ht="17.25" customHeight="1">
      <c r="K30" s="28">
        <v>2013</v>
      </c>
      <c r="L30" s="29" t="s">
        <v>0</v>
      </c>
      <c r="M30" s="26">
        <v>138929</v>
      </c>
      <c r="N30" s="26">
        <v>58933</v>
      </c>
      <c r="O30" s="26">
        <v>16039</v>
      </c>
      <c r="P30" s="26">
        <v>5044</v>
      </c>
      <c r="Q30" s="26">
        <v>28274</v>
      </c>
      <c r="R30" s="26">
        <v>30639</v>
      </c>
    </row>
    <row r="31" spans="9:19" ht="17.25" customHeight="1">
      <c r="K31" s="30"/>
      <c r="L31" s="29" t="s">
        <v>11</v>
      </c>
      <c r="M31" s="26">
        <v>137925</v>
      </c>
      <c r="N31" s="26">
        <v>66498</v>
      </c>
      <c r="O31" s="26">
        <v>15393</v>
      </c>
      <c r="P31" s="26">
        <v>4646</v>
      </c>
      <c r="Q31" s="26">
        <v>22521</v>
      </c>
      <c r="R31" s="26">
        <v>28867</v>
      </c>
    </row>
    <row r="32" spans="9:19" ht="17.25" customHeight="1">
      <c r="K32" s="30"/>
      <c r="L32" s="29" t="s">
        <v>10</v>
      </c>
      <c r="M32" s="26">
        <v>221598</v>
      </c>
      <c r="N32" s="26">
        <v>113900</v>
      </c>
      <c r="O32" s="26">
        <v>25683</v>
      </c>
      <c r="P32" s="26">
        <v>7274</v>
      </c>
      <c r="Q32" s="26">
        <v>38948</v>
      </c>
      <c r="R32" s="26">
        <v>35793</v>
      </c>
    </row>
    <row r="33" spans="11:19" ht="17.25" customHeight="1">
      <c r="K33" s="30"/>
      <c r="L33" s="29" t="s">
        <v>9</v>
      </c>
      <c r="M33" s="26">
        <v>118173</v>
      </c>
      <c r="N33" s="26">
        <v>62897</v>
      </c>
      <c r="O33" s="26">
        <v>12675</v>
      </c>
      <c r="P33" s="26">
        <v>3468</v>
      </c>
      <c r="Q33" s="26">
        <v>14106</v>
      </c>
      <c r="R33" s="26">
        <v>25027</v>
      </c>
    </row>
    <row r="34" spans="11:19" ht="17.25" customHeight="1">
      <c r="K34" s="30"/>
      <c r="L34" s="29" t="s">
        <v>8</v>
      </c>
      <c r="M34" s="26">
        <v>182431</v>
      </c>
      <c r="N34" s="26">
        <v>101178</v>
      </c>
      <c r="O34" s="26">
        <v>18957</v>
      </c>
      <c r="P34" s="26">
        <v>5219</v>
      </c>
      <c r="Q34" s="26">
        <v>22913</v>
      </c>
      <c r="R34" s="26">
        <v>34164</v>
      </c>
    </row>
    <row r="35" spans="11:19" ht="17.25" customHeight="1">
      <c r="K35" s="30"/>
      <c r="L35" s="29" t="s">
        <v>7</v>
      </c>
      <c r="M35" s="26">
        <v>93746</v>
      </c>
      <c r="N35" s="26">
        <v>57633</v>
      </c>
      <c r="O35" s="26">
        <v>9929</v>
      </c>
      <c r="P35" s="26">
        <v>2279</v>
      </c>
      <c r="Q35" s="26">
        <v>4798</v>
      </c>
      <c r="R35" s="26">
        <v>19107</v>
      </c>
    </row>
    <row r="36" spans="11:19" ht="17.25" customHeight="1">
      <c r="K36" s="30"/>
      <c r="L36" s="29" t="s">
        <v>6</v>
      </c>
      <c r="M36" s="26">
        <v>108196</v>
      </c>
      <c r="N36" s="26">
        <v>68994</v>
      </c>
      <c r="O36" s="26">
        <v>11085</v>
      </c>
      <c r="P36" s="26">
        <v>2229</v>
      </c>
      <c r="Q36" s="26">
        <v>3478</v>
      </c>
      <c r="R36" s="26">
        <v>22410</v>
      </c>
    </row>
    <row r="37" spans="11:19" ht="17.25" customHeight="1">
      <c r="K37" s="30"/>
      <c r="L37" s="29" t="s">
        <v>5</v>
      </c>
      <c r="M37" s="26">
        <v>97323</v>
      </c>
      <c r="N37" s="26">
        <v>64203</v>
      </c>
      <c r="O37" s="26">
        <v>10916</v>
      </c>
      <c r="P37" s="26">
        <v>2286</v>
      </c>
      <c r="Q37" s="26">
        <v>3227</v>
      </c>
      <c r="R37" s="26">
        <v>16691</v>
      </c>
    </row>
    <row r="38" spans="11:19" ht="17.25" customHeight="1">
      <c r="K38" s="30"/>
      <c r="L38" s="29" t="s">
        <v>4</v>
      </c>
      <c r="M38" s="26">
        <v>83445</v>
      </c>
      <c r="N38" s="26">
        <v>58541</v>
      </c>
      <c r="O38" s="26">
        <v>9743</v>
      </c>
      <c r="P38" s="26">
        <v>2083</v>
      </c>
      <c r="Q38" s="26">
        <v>1767</v>
      </c>
      <c r="R38" s="26">
        <v>11311</v>
      </c>
      <c r="S38" s="11"/>
    </row>
    <row r="39" spans="11:19" ht="17.25" customHeight="1">
      <c r="K39" s="30"/>
      <c r="L39" s="29" t="s">
        <v>3</v>
      </c>
      <c r="M39" s="26">
        <v>93516</v>
      </c>
      <c r="N39" s="26">
        <v>62332</v>
      </c>
      <c r="O39" s="26">
        <v>12131</v>
      </c>
      <c r="P39" s="26">
        <v>2664</v>
      </c>
      <c r="Q39" s="26">
        <v>2260</v>
      </c>
      <c r="R39" s="26">
        <v>14129</v>
      </c>
    </row>
    <row r="40" spans="11:19" ht="17.25" customHeight="1">
      <c r="K40" s="30"/>
      <c r="L40" s="29" t="s">
        <v>2</v>
      </c>
      <c r="M40" s="26">
        <v>75371</v>
      </c>
      <c r="N40" s="26">
        <v>49838</v>
      </c>
      <c r="O40" s="26">
        <v>9664</v>
      </c>
      <c r="P40" s="26">
        <v>2340</v>
      </c>
      <c r="Q40" s="26">
        <v>2696</v>
      </c>
      <c r="R40" s="26">
        <v>10833</v>
      </c>
    </row>
    <row r="41" spans="11:19" ht="17.25" customHeight="1">
      <c r="K41" s="31"/>
      <c r="L41" s="29" t="s">
        <v>1</v>
      </c>
      <c r="M41" s="26">
        <v>68439</v>
      </c>
      <c r="N41" s="26">
        <v>46331</v>
      </c>
      <c r="O41" s="26">
        <v>8534</v>
      </c>
      <c r="P41" s="26">
        <v>2168</v>
      </c>
      <c r="Q41" s="26">
        <v>2156</v>
      </c>
      <c r="R41" s="26">
        <v>9250</v>
      </c>
    </row>
    <row r="42" spans="11:19" ht="17.25" customHeight="1">
      <c r="K42" s="28">
        <v>2014</v>
      </c>
      <c r="L42" s="29" t="s">
        <v>0</v>
      </c>
      <c r="M42" s="26">
        <v>71130</v>
      </c>
      <c r="N42" s="26">
        <v>45860</v>
      </c>
      <c r="O42" s="26">
        <v>9609</v>
      </c>
      <c r="P42" s="26">
        <v>2376</v>
      </c>
      <c r="Q42" s="26">
        <v>1941</v>
      </c>
      <c r="R42" s="26">
        <v>11344</v>
      </c>
    </row>
    <row r="43" spans="11:19" ht="17.25" customHeight="1">
      <c r="K43" s="30"/>
      <c r="L43" s="29" t="s">
        <v>11</v>
      </c>
      <c r="M43" s="26">
        <v>76863</v>
      </c>
      <c r="N43" s="26">
        <v>51701</v>
      </c>
      <c r="O43" s="26">
        <v>9287</v>
      </c>
      <c r="P43" s="26">
        <v>2329</v>
      </c>
      <c r="Q43" s="26">
        <v>2595</v>
      </c>
      <c r="R43" s="26">
        <v>10951</v>
      </c>
    </row>
    <row r="44" spans="11:19" ht="17.25" customHeight="1">
      <c r="K44" s="30"/>
      <c r="L44" s="29" t="s">
        <v>10</v>
      </c>
      <c r="M44" s="26">
        <v>94628</v>
      </c>
      <c r="N44" s="26">
        <v>66273</v>
      </c>
      <c r="O44" s="26">
        <v>10910</v>
      </c>
      <c r="P44" s="26">
        <v>2833</v>
      </c>
      <c r="Q44" s="26">
        <v>3726</v>
      </c>
      <c r="R44" s="26">
        <v>10886</v>
      </c>
    </row>
    <row r="45" spans="11:19" ht="17.25" customHeight="1">
      <c r="K45" s="30"/>
      <c r="L45" s="29" t="s">
        <v>9</v>
      </c>
      <c r="M45" s="26">
        <v>103095</v>
      </c>
      <c r="N45" s="26">
        <v>74816</v>
      </c>
      <c r="O45" s="26">
        <v>11511</v>
      </c>
      <c r="P45" s="26">
        <v>3018</v>
      </c>
      <c r="Q45" s="26">
        <v>2503</v>
      </c>
      <c r="R45" s="26">
        <v>11247</v>
      </c>
    </row>
    <row r="46" spans="11:19" ht="17.25" customHeight="1">
      <c r="K46" s="30"/>
      <c r="L46" s="29" t="s">
        <v>8</v>
      </c>
      <c r="M46" s="26">
        <v>99446</v>
      </c>
      <c r="N46" s="26">
        <v>73371</v>
      </c>
      <c r="O46" s="26">
        <v>10850</v>
      </c>
      <c r="P46" s="26">
        <v>3207</v>
      </c>
      <c r="Q46" s="26">
        <v>2922</v>
      </c>
      <c r="R46" s="26">
        <v>9096</v>
      </c>
    </row>
    <row r="47" spans="11:19" ht="17.25" customHeight="1">
      <c r="K47" s="30"/>
      <c r="L47" s="29" t="s">
        <v>7</v>
      </c>
      <c r="M47" s="26">
        <v>99451</v>
      </c>
      <c r="N47" s="26">
        <v>72450</v>
      </c>
      <c r="O47" s="26">
        <v>10225</v>
      </c>
      <c r="P47" s="26">
        <v>3349</v>
      </c>
      <c r="Q47" s="26">
        <v>3464</v>
      </c>
      <c r="R47" s="26">
        <v>9963</v>
      </c>
    </row>
    <row r="48" spans="11:19" ht="17.25" customHeight="1">
      <c r="K48" s="30"/>
      <c r="L48" s="29" t="s">
        <v>6</v>
      </c>
      <c r="M48" s="26">
        <v>97893</v>
      </c>
      <c r="N48" s="26">
        <v>71543</v>
      </c>
      <c r="O48" s="26">
        <v>10370</v>
      </c>
      <c r="P48" s="26">
        <v>3178</v>
      </c>
      <c r="Q48" s="26">
        <v>3424</v>
      </c>
      <c r="R48" s="26">
        <v>9378</v>
      </c>
    </row>
    <row r="49" spans="11:20" ht="17.25" customHeight="1">
      <c r="K49" s="30"/>
      <c r="L49" s="29" t="s">
        <v>5</v>
      </c>
      <c r="M49" s="26">
        <v>89275</v>
      </c>
      <c r="N49" s="26">
        <v>63962</v>
      </c>
      <c r="O49" s="26">
        <v>10419</v>
      </c>
      <c r="P49" s="26">
        <v>3318</v>
      </c>
      <c r="Q49" s="26">
        <v>3806</v>
      </c>
      <c r="R49" s="26">
        <v>7770</v>
      </c>
    </row>
    <row r="50" spans="11:20" ht="17.25" customHeight="1">
      <c r="K50" s="30"/>
      <c r="L50" s="29" t="s">
        <v>4</v>
      </c>
      <c r="M50" s="26">
        <v>87166</v>
      </c>
      <c r="N50" s="26">
        <v>62210</v>
      </c>
      <c r="O50" s="26">
        <v>10474</v>
      </c>
      <c r="P50" s="26">
        <v>3405</v>
      </c>
      <c r="Q50" s="26">
        <v>3012</v>
      </c>
      <c r="R50" s="26">
        <v>8065</v>
      </c>
    </row>
    <row r="51" spans="11:20" ht="17.25" customHeight="1">
      <c r="K51" s="30"/>
      <c r="L51" s="29" t="s">
        <v>3</v>
      </c>
      <c r="M51" s="26">
        <v>93206</v>
      </c>
      <c r="N51" s="26">
        <v>64344</v>
      </c>
      <c r="O51" s="26">
        <v>11776</v>
      </c>
      <c r="P51" s="26">
        <v>4130</v>
      </c>
      <c r="Q51" s="26">
        <v>5273</v>
      </c>
      <c r="R51" s="26">
        <v>7683</v>
      </c>
    </row>
    <row r="52" spans="11:20" ht="17.25" customHeight="1">
      <c r="K52" s="30"/>
      <c r="L52" s="29" t="s">
        <v>2</v>
      </c>
      <c r="M52" s="26">
        <v>74286</v>
      </c>
      <c r="N52" s="26">
        <v>50489</v>
      </c>
      <c r="O52" s="26">
        <v>9428</v>
      </c>
      <c r="P52" s="26">
        <v>3128</v>
      </c>
      <c r="Q52" s="26">
        <v>5621</v>
      </c>
      <c r="R52" s="26">
        <v>5620</v>
      </c>
    </row>
    <row r="53" spans="11:20" ht="17.25" customHeight="1">
      <c r="K53" s="31"/>
      <c r="L53" s="29" t="s">
        <v>1</v>
      </c>
      <c r="M53" s="26">
        <v>71754</v>
      </c>
      <c r="N53" s="26">
        <v>48105</v>
      </c>
      <c r="O53" s="26">
        <v>9516</v>
      </c>
      <c r="P53" s="26">
        <v>3084</v>
      </c>
      <c r="Q53" s="26">
        <v>5796</v>
      </c>
      <c r="R53" s="26">
        <v>5253</v>
      </c>
    </row>
    <row r="54" spans="11:20" ht="17.25" customHeight="1">
      <c r="K54" s="29">
        <v>2015</v>
      </c>
      <c r="L54" s="29" t="s">
        <v>0</v>
      </c>
      <c r="M54" s="26">
        <v>128133</v>
      </c>
      <c r="N54" s="26">
        <v>71254</v>
      </c>
      <c r="O54" s="26">
        <v>16889</v>
      </c>
      <c r="P54" s="26">
        <v>6875</v>
      </c>
      <c r="Q54" s="26">
        <v>27779</v>
      </c>
      <c r="R54" s="26">
        <v>5336</v>
      </c>
    </row>
    <row r="55" spans="11:20">
      <c r="K55" s="32" t="s">
        <v>33</v>
      </c>
      <c r="L55" s="13" t="s">
        <v>34</v>
      </c>
      <c r="M55" s="13"/>
      <c r="N55" s="13"/>
      <c r="O55" s="13"/>
      <c r="P55" s="13"/>
      <c r="Q55" s="13"/>
      <c r="R55" s="13"/>
    </row>
    <row r="56" spans="11:20">
      <c r="K56" s="13"/>
      <c r="L56" s="13" t="s">
        <v>36</v>
      </c>
      <c r="M56" s="13"/>
      <c r="N56" s="13"/>
      <c r="O56" s="13"/>
      <c r="P56" s="13"/>
      <c r="Q56" s="13"/>
      <c r="R56" s="13"/>
    </row>
    <row r="57" spans="11:20">
      <c r="R57" s="7"/>
      <c r="S57" s="8"/>
    </row>
    <row r="58" spans="11:20">
      <c r="S58" s="9"/>
      <c r="T58" s="8"/>
    </row>
    <row r="59" spans="11:20">
      <c r="S59" s="9"/>
      <c r="T59" s="8"/>
    </row>
    <row r="60" spans="11:20">
      <c r="S60" s="9"/>
      <c r="T60" s="10"/>
    </row>
  </sheetData>
  <mergeCells count="2">
    <mergeCell ref="K30:K41"/>
    <mergeCell ref="K42:K53"/>
  </mergeCells>
  <conditionalFormatting sqref="M30:M54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N30:N54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O30:O54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P30:P54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Q30:Q54"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R30:R54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W1">
      <formula1>"PROD, DEV"</formula1>
    </dataValidation>
    <dataValidation type="list" allowBlank="1" showInputMessage="1" showErrorMessage="1" sqref="Y1">
      <formula1>"Yes, No"</formula1>
    </dataValidation>
  </dataValidations>
  <hyperlinks>
    <hyperlink ref="X11" r:id="rId1"/>
  </hyperlinks>
  <pageMargins left="0.25" right="0.25" top="0.255" bottom="0.25" header="0.1" footer="0.1"/>
  <pageSetup scale="58" orientation="landscape" horizontalDpi="1200" verticalDpi="1200" r:id="rId2"/>
  <headerFooter scaleWithDoc="0">
    <oddHeader>&amp;L&amp;G&amp;C&amp;"-,Bold"&amp;10&amp;K2E398A
&amp;15FHA Single-Family Application Activity&amp;R&amp;"-,Bold"&amp;10&amp;K2E398A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I1:Y60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12</v>
      </c>
      <c r="W1" s="14" t="s">
        <v>19</v>
      </c>
      <c r="X1" t="s">
        <v>13</v>
      </c>
      <c r="Y1" s="4" t="s">
        <v>16</v>
      </c>
    </row>
    <row r="2" spans="9:25">
      <c r="V2" s="3" t="s">
        <v>14</v>
      </c>
      <c r="W2" s="5">
        <v>42081</v>
      </c>
    </row>
    <row r="3" spans="9:25">
      <c r="V3" s="3" t="s">
        <v>18</v>
      </c>
      <c r="W3" s="14" t="s">
        <v>20</v>
      </c>
    </row>
    <row r="4" spans="9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38" spans="11:19">
      <c r="K38" s="11"/>
      <c r="P38" s="11"/>
      <c r="S38" s="11"/>
    </row>
    <row r="40" spans="11:19" ht="15.75" customHeight="1"/>
    <row r="57" spans="18:20">
      <c r="R57" s="7"/>
      <c r="S57" s="8"/>
    </row>
    <row r="58" spans="18:20">
      <c r="S58" s="9"/>
      <c r="T58" s="8"/>
    </row>
    <row r="59" spans="18:20">
      <c r="S59" s="9"/>
      <c r="T59" s="8"/>
    </row>
    <row r="60" spans="18:20">
      <c r="S60" s="9"/>
      <c r="T60" s="10"/>
    </row>
  </sheetData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61"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D1:Y42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2" max="2" width="12" customWidth="1"/>
    <col min="3" max="3" width="9.140625" customWidth="1"/>
    <col min="4" max="11" width="12.140625" customWidth="1"/>
    <col min="12" max="12" width="11.85546875" customWidth="1"/>
    <col min="13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4:25">
      <c r="V1" s="3" t="s">
        <v>12</v>
      </c>
      <c r="W1" s="14" t="s">
        <v>19</v>
      </c>
      <c r="X1" t="s">
        <v>13</v>
      </c>
      <c r="Y1" s="4" t="s">
        <v>16</v>
      </c>
    </row>
    <row r="2" spans="4:25">
      <c r="V2" s="3" t="s">
        <v>14</v>
      </c>
      <c r="W2" s="5">
        <v>42081</v>
      </c>
    </row>
    <row r="3" spans="4:25">
      <c r="V3" s="3" t="s">
        <v>18</v>
      </c>
      <c r="W3" s="14" t="s">
        <v>20</v>
      </c>
    </row>
    <row r="4" spans="4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4:25">
      <c r="V5" s="6"/>
    </row>
    <row r="6" spans="4:25">
      <c r="V6" s="6"/>
    </row>
    <row r="7" spans="4:25">
      <c r="V7" s="6"/>
    </row>
    <row r="8" spans="4:25">
      <c r="D8" s="12" t="s">
        <v>17</v>
      </c>
    </row>
    <row r="9" spans="4:25" ht="39">
      <c r="D9" s="16" t="s">
        <v>21</v>
      </c>
      <c r="E9" s="16" t="s">
        <v>22</v>
      </c>
      <c r="F9" s="16" t="s">
        <v>29</v>
      </c>
      <c r="G9" s="16" t="s">
        <v>23</v>
      </c>
      <c r="H9" s="16" t="s">
        <v>24</v>
      </c>
      <c r="I9" s="16" t="s">
        <v>25</v>
      </c>
      <c r="J9" s="16" t="s">
        <v>26</v>
      </c>
      <c r="K9" s="16" t="s">
        <v>27</v>
      </c>
      <c r="L9" s="1"/>
    </row>
    <row r="10" spans="4:25" s="22" customFormat="1" ht="15.75" customHeight="1">
      <c r="D10" s="17">
        <v>2013</v>
      </c>
      <c r="E10" s="20" t="s">
        <v>0</v>
      </c>
      <c r="F10" s="21">
        <v>138929</v>
      </c>
      <c r="G10" s="21">
        <v>58933</v>
      </c>
      <c r="H10" s="21">
        <v>16039</v>
      </c>
      <c r="I10" s="21">
        <v>5044</v>
      </c>
      <c r="J10" s="21">
        <v>28274</v>
      </c>
      <c r="K10" s="21">
        <v>30639</v>
      </c>
    </row>
    <row r="11" spans="4:25" s="23" customFormat="1" ht="15.75" customHeight="1">
      <c r="D11" s="18"/>
      <c r="E11" s="20" t="s">
        <v>11</v>
      </c>
      <c r="F11" s="21">
        <v>137925</v>
      </c>
      <c r="G11" s="21">
        <v>66498</v>
      </c>
      <c r="H11" s="21">
        <v>15393</v>
      </c>
      <c r="I11" s="21">
        <v>4646</v>
      </c>
      <c r="J11" s="21">
        <v>22521</v>
      </c>
      <c r="K11" s="21">
        <v>28867</v>
      </c>
      <c r="L11" s="22"/>
      <c r="M11" s="22"/>
      <c r="N11" s="22"/>
      <c r="O11" s="22"/>
      <c r="P11" s="22"/>
      <c r="Q11" s="22"/>
      <c r="R11" s="22"/>
      <c r="S11" s="22"/>
    </row>
    <row r="12" spans="4:25" s="22" customFormat="1" ht="15.75" customHeight="1">
      <c r="D12" s="18"/>
      <c r="E12" s="20" t="s">
        <v>10</v>
      </c>
      <c r="F12" s="21">
        <v>221598</v>
      </c>
      <c r="G12" s="21">
        <v>113900</v>
      </c>
      <c r="H12" s="21">
        <v>25683</v>
      </c>
      <c r="I12" s="21">
        <v>7274</v>
      </c>
      <c r="J12" s="21">
        <v>38948</v>
      </c>
      <c r="K12" s="21">
        <v>35793</v>
      </c>
    </row>
    <row r="13" spans="4:25" s="22" customFormat="1" ht="15.75" customHeight="1">
      <c r="D13" s="18"/>
      <c r="E13" s="20" t="s">
        <v>9</v>
      </c>
      <c r="F13" s="21">
        <v>118173</v>
      </c>
      <c r="G13" s="21">
        <v>62897</v>
      </c>
      <c r="H13" s="21">
        <v>12675</v>
      </c>
      <c r="I13" s="21">
        <v>3468</v>
      </c>
      <c r="J13" s="21">
        <v>14106</v>
      </c>
      <c r="K13" s="21">
        <v>25027</v>
      </c>
    </row>
    <row r="14" spans="4:25" s="22" customFormat="1" ht="15.75" customHeight="1">
      <c r="D14" s="18"/>
      <c r="E14" s="20" t="s">
        <v>8</v>
      </c>
      <c r="F14" s="21">
        <v>182431</v>
      </c>
      <c r="G14" s="21">
        <v>101178</v>
      </c>
      <c r="H14" s="21">
        <v>18957</v>
      </c>
      <c r="I14" s="21">
        <v>5219</v>
      </c>
      <c r="J14" s="21">
        <v>22913</v>
      </c>
      <c r="K14" s="21">
        <v>34164</v>
      </c>
    </row>
    <row r="15" spans="4:25" s="22" customFormat="1" ht="15.75" customHeight="1">
      <c r="D15" s="18"/>
      <c r="E15" s="20" t="s">
        <v>7</v>
      </c>
      <c r="F15" s="21">
        <v>93746</v>
      </c>
      <c r="G15" s="21">
        <v>57633</v>
      </c>
      <c r="H15" s="21">
        <v>9929</v>
      </c>
      <c r="I15" s="21">
        <v>2279</v>
      </c>
      <c r="J15" s="21">
        <v>4798</v>
      </c>
      <c r="K15" s="21">
        <v>19107</v>
      </c>
    </row>
    <row r="16" spans="4:25" s="22" customFormat="1" ht="15.75" customHeight="1">
      <c r="D16" s="18"/>
      <c r="E16" s="20" t="s">
        <v>6</v>
      </c>
      <c r="F16" s="21">
        <v>108196</v>
      </c>
      <c r="G16" s="21">
        <v>68994</v>
      </c>
      <c r="H16" s="21">
        <v>11085</v>
      </c>
      <c r="I16" s="21">
        <v>2229</v>
      </c>
      <c r="J16" s="21">
        <v>3478</v>
      </c>
      <c r="K16" s="21">
        <v>22410</v>
      </c>
    </row>
    <row r="17" spans="4:11" s="22" customFormat="1" ht="15.75" customHeight="1">
      <c r="D17" s="18"/>
      <c r="E17" s="20" t="s">
        <v>5</v>
      </c>
      <c r="F17" s="21">
        <v>97323</v>
      </c>
      <c r="G17" s="21">
        <v>64203</v>
      </c>
      <c r="H17" s="21">
        <v>10916</v>
      </c>
      <c r="I17" s="21">
        <v>2286</v>
      </c>
      <c r="J17" s="21">
        <v>3227</v>
      </c>
      <c r="K17" s="21">
        <v>16691</v>
      </c>
    </row>
    <row r="18" spans="4:11" s="22" customFormat="1" ht="15.75" customHeight="1">
      <c r="D18" s="18"/>
      <c r="E18" s="20" t="s">
        <v>4</v>
      </c>
      <c r="F18" s="21">
        <v>83445</v>
      </c>
      <c r="G18" s="21">
        <v>58541</v>
      </c>
      <c r="H18" s="21">
        <v>9743</v>
      </c>
      <c r="I18" s="21">
        <v>2083</v>
      </c>
      <c r="J18" s="21">
        <v>1767</v>
      </c>
      <c r="K18" s="21">
        <v>11311</v>
      </c>
    </row>
    <row r="19" spans="4:11" s="22" customFormat="1" ht="15.75" customHeight="1">
      <c r="D19" s="18"/>
      <c r="E19" s="20" t="s">
        <v>3</v>
      </c>
      <c r="F19" s="21">
        <v>93516</v>
      </c>
      <c r="G19" s="21">
        <v>62332</v>
      </c>
      <c r="H19" s="21">
        <v>12131</v>
      </c>
      <c r="I19" s="21">
        <v>2664</v>
      </c>
      <c r="J19" s="21">
        <v>2260</v>
      </c>
      <c r="K19" s="21">
        <v>14129</v>
      </c>
    </row>
    <row r="20" spans="4:11" s="22" customFormat="1" ht="15.75" customHeight="1">
      <c r="D20" s="18"/>
      <c r="E20" s="20" t="s">
        <v>2</v>
      </c>
      <c r="F20" s="21">
        <v>75371</v>
      </c>
      <c r="G20" s="21">
        <v>49838</v>
      </c>
      <c r="H20" s="21">
        <v>9664</v>
      </c>
      <c r="I20" s="21">
        <v>2340</v>
      </c>
      <c r="J20" s="21">
        <v>2696</v>
      </c>
      <c r="K20" s="21">
        <v>10833</v>
      </c>
    </row>
    <row r="21" spans="4:11" s="22" customFormat="1" ht="15.75" customHeight="1">
      <c r="D21" s="19"/>
      <c r="E21" s="20" t="s">
        <v>1</v>
      </c>
      <c r="F21" s="21">
        <v>68439</v>
      </c>
      <c r="G21" s="21">
        <v>46331</v>
      </c>
      <c r="H21" s="21">
        <v>8534</v>
      </c>
      <c r="I21" s="21">
        <v>2168</v>
      </c>
      <c r="J21" s="21">
        <v>2156</v>
      </c>
      <c r="K21" s="21">
        <v>9250</v>
      </c>
    </row>
    <row r="22" spans="4:11" s="22" customFormat="1" ht="15.75" customHeight="1">
      <c r="D22" s="17">
        <v>2014</v>
      </c>
      <c r="E22" s="20" t="s">
        <v>0</v>
      </c>
      <c r="F22" s="21">
        <v>71130</v>
      </c>
      <c r="G22" s="21">
        <v>45860</v>
      </c>
      <c r="H22" s="21">
        <v>9609</v>
      </c>
      <c r="I22" s="21">
        <v>2376</v>
      </c>
      <c r="J22" s="21">
        <v>1941</v>
      </c>
      <c r="K22" s="21">
        <v>11344</v>
      </c>
    </row>
    <row r="23" spans="4:11" s="22" customFormat="1" ht="15.75" customHeight="1">
      <c r="D23" s="18"/>
      <c r="E23" s="20" t="s">
        <v>11</v>
      </c>
      <c r="F23" s="21">
        <v>76863</v>
      </c>
      <c r="G23" s="21">
        <v>51701</v>
      </c>
      <c r="H23" s="21">
        <v>9287</v>
      </c>
      <c r="I23" s="21">
        <v>2329</v>
      </c>
      <c r="J23" s="21">
        <v>2595</v>
      </c>
      <c r="K23" s="21">
        <v>10951</v>
      </c>
    </row>
    <row r="24" spans="4:11" s="22" customFormat="1" ht="15.75" customHeight="1">
      <c r="D24" s="18"/>
      <c r="E24" s="20" t="s">
        <v>10</v>
      </c>
      <c r="F24" s="21">
        <v>94628</v>
      </c>
      <c r="G24" s="21">
        <v>66273</v>
      </c>
      <c r="H24" s="21">
        <v>10910</v>
      </c>
      <c r="I24" s="21">
        <v>2833</v>
      </c>
      <c r="J24" s="21">
        <v>3726</v>
      </c>
      <c r="K24" s="21">
        <v>10886</v>
      </c>
    </row>
    <row r="25" spans="4:11" s="22" customFormat="1" ht="15.75" customHeight="1">
      <c r="D25" s="18"/>
      <c r="E25" s="20" t="s">
        <v>9</v>
      </c>
      <c r="F25" s="21">
        <v>103095</v>
      </c>
      <c r="G25" s="21">
        <v>74816</v>
      </c>
      <c r="H25" s="21">
        <v>11511</v>
      </c>
      <c r="I25" s="21">
        <v>3018</v>
      </c>
      <c r="J25" s="21">
        <v>2503</v>
      </c>
      <c r="K25" s="21">
        <v>11247</v>
      </c>
    </row>
    <row r="26" spans="4:11" s="22" customFormat="1" ht="15.75" customHeight="1">
      <c r="D26" s="18"/>
      <c r="E26" s="20" t="s">
        <v>8</v>
      </c>
      <c r="F26" s="21">
        <v>99446</v>
      </c>
      <c r="G26" s="21">
        <v>73371</v>
      </c>
      <c r="H26" s="21">
        <v>10850</v>
      </c>
      <c r="I26" s="21">
        <v>3207</v>
      </c>
      <c r="J26" s="21">
        <v>2922</v>
      </c>
      <c r="K26" s="21">
        <v>9096</v>
      </c>
    </row>
    <row r="27" spans="4:11" s="22" customFormat="1" ht="15.75" customHeight="1">
      <c r="D27" s="18"/>
      <c r="E27" s="20" t="s">
        <v>7</v>
      </c>
      <c r="F27" s="21">
        <v>99451</v>
      </c>
      <c r="G27" s="21">
        <v>72450</v>
      </c>
      <c r="H27" s="21">
        <v>10225</v>
      </c>
      <c r="I27" s="21">
        <v>3349</v>
      </c>
      <c r="J27" s="21">
        <v>3464</v>
      </c>
      <c r="K27" s="21">
        <v>9963</v>
      </c>
    </row>
    <row r="28" spans="4:11" s="22" customFormat="1" ht="15.75" customHeight="1">
      <c r="D28" s="18"/>
      <c r="E28" s="20" t="s">
        <v>6</v>
      </c>
      <c r="F28" s="21">
        <v>97893</v>
      </c>
      <c r="G28" s="21">
        <v>71543</v>
      </c>
      <c r="H28" s="21">
        <v>10370</v>
      </c>
      <c r="I28" s="21">
        <v>3178</v>
      </c>
      <c r="J28" s="21">
        <v>3424</v>
      </c>
      <c r="K28" s="21">
        <v>9378</v>
      </c>
    </row>
    <row r="29" spans="4:11" s="22" customFormat="1" ht="15.75" customHeight="1">
      <c r="D29" s="18"/>
      <c r="E29" s="20" t="s">
        <v>5</v>
      </c>
      <c r="F29" s="21">
        <v>89275</v>
      </c>
      <c r="G29" s="21">
        <v>63962</v>
      </c>
      <c r="H29" s="21">
        <v>10419</v>
      </c>
      <c r="I29" s="21">
        <v>3318</v>
      </c>
      <c r="J29" s="21">
        <v>3806</v>
      </c>
      <c r="K29" s="21">
        <v>7770</v>
      </c>
    </row>
    <row r="30" spans="4:11" s="22" customFormat="1" ht="15.75" customHeight="1">
      <c r="D30" s="18"/>
      <c r="E30" s="20" t="s">
        <v>4</v>
      </c>
      <c r="F30" s="21">
        <v>87166</v>
      </c>
      <c r="G30" s="21">
        <v>62210</v>
      </c>
      <c r="H30" s="21">
        <v>10474</v>
      </c>
      <c r="I30" s="21">
        <v>3405</v>
      </c>
      <c r="J30" s="21">
        <v>3012</v>
      </c>
      <c r="K30" s="21">
        <v>8065</v>
      </c>
    </row>
    <row r="31" spans="4:11" s="22" customFormat="1" ht="15.75" customHeight="1">
      <c r="D31" s="18"/>
      <c r="E31" s="20" t="s">
        <v>3</v>
      </c>
      <c r="F31" s="21">
        <v>93206</v>
      </c>
      <c r="G31" s="21">
        <v>64344</v>
      </c>
      <c r="H31" s="21">
        <v>11776</v>
      </c>
      <c r="I31" s="21">
        <v>4130</v>
      </c>
      <c r="J31" s="21">
        <v>5273</v>
      </c>
      <c r="K31" s="21">
        <v>7683</v>
      </c>
    </row>
    <row r="32" spans="4:11" s="22" customFormat="1" ht="15.75" customHeight="1">
      <c r="D32" s="18"/>
      <c r="E32" s="20" t="s">
        <v>2</v>
      </c>
      <c r="F32" s="21">
        <v>74286</v>
      </c>
      <c r="G32" s="21">
        <v>50489</v>
      </c>
      <c r="H32" s="21">
        <v>9428</v>
      </c>
      <c r="I32" s="21">
        <v>3128</v>
      </c>
      <c r="J32" s="21">
        <v>5621</v>
      </c>
      <c r="K32" s="21">
        <v>5620</v>
      </c>
    </row>
    <row r="33" spans="4:20" s="22" customFormat="1" ht="15.75" customHeight="1">
      <c r="D33" s="19"/>
      <c r="E33" s="20" t="s">
        <v>1</v>
      </c>
      <c r="F33" s="21">
        <v>71754</v>
      </c>
      <c r="G33" s="21">
        <v>48105</v>
      </c>
      <c r="H33" s="21">
        <v>9516</v>
      </c>
      <c r="I33" s="21">
        <v>3084</v>
      </c>
      <c r="J33" s="21">
        <v>5796</v>
      </c>
      <c r="K33" s="21">
        <v>5253</v>
      </c>
    </row>
    <row r="34" spans="4:20" s="22" customFormat="1" ht="15.75" customHeight="1">
      <c r="D34" s="20">
        <v>2015</v>
      </c>
      <c r="E34" s="20" t="s">
        <v>0</v>
      </c>
      <c r="F34" s="21">
        <v>128133</v>
      </c>
      <c r="G34" s="21">
        <v>71254</v>
      </c>
      <c r="H34" s="21">
        <v>16889</v>
      </c>
      <c r="I34" s="21">
        <v>6875</v>
      </c>
      <c r="J34" s="21">
        <v>27779</v>
      </c>
      <c r="K34" s="21">
        <v>5336</v>
      </c>
    </row>
    <row r="35" spans="4:20">
      <c r="K35" s="11"/>
      <c r="P35" s="11"/>
      <c r="S35" s="11"/>
    </row>
    <row r="39" spans="4:20">
      <c r="R39" s="7"/>
      <c r="S39" s="8"/>
    </row>
    <row r="40" spans="4:20">
      <c r="S40" s="9"/>
      <c r="T40" s="8"/>
    </row>
    <row r="41" spans="4:20">
      <c r="S41" s="9"/>
      <c r="T41" s="8"/>
    </row>
    <row r="42" spans="4:20">
      <c r="S42" s="9"/>
      <c r="T42" s="10"/>
    </row>
  </sheetData>
  <mergeCells count="2">
    <mergeCell ref="D10:D21"/>
    <mergeCell ref="D22:D33"/>
  </mergeCells>
  <conditionalFormatting sqref="F10:F34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G10:G34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H10:H34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I10:I34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J10:J34"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K10:K34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W1">
      <formula1>"PROD, DEV"</formula1>
    </dataValidation>
    <dataValidation type="list" allowBlank="1" showInputMessage="1" showErrorMessage="1" sqref="Y1">
      <formula1>"Yes, No"</formula1>
    </dataValidation>
  </dataValidations>
  <pageMargins left="0.25" right="0.25" top="0.255" bottom="0.25" header="0.1" footer="0.1"/>
  <pageSetup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5:L30"/>
  <sheetViews>
    <sheetView tabSelected="1" workbookViewId="0">
      <selection activeCell="V37" sqref="V37"/>
    </sheetView>
  </sheetViews>
  <sheetFormatPr defaultRowHeight="15"/>
  <cols>
    <col min="2" max="2" width="10.28515625" customWidth="1"/>
    <col min="4" max="11" width="12.28515625" customWidth="1"/>
    <col min="12" max="12" width="11.5703125" customWidth="1"/>
  </cols>
  <sheetData>
    <row r="5" spans="4:12" ht="30">
      <c r="D5" s="1" t="str">
        <f>Report!K29</f>
        <v>Calender Year</v>
      </c>
      <c r="E5" s="1" t="str">
        <f>Report!L29</f>
        <v>Month</v>
      </c>
      <c r="F5" s="1" t="str">
        <f>Report!M29</f>
        <v xml:space="preserve">Total Application Received </v>
      </c>
      <c r="G5" s="1" t="str">
        <f>Report!N29</f>
        <v>Home Purchase</v>
      </c>
      <c r="H5" s="1" t="str">
        <f>Report!O29</f>
        <v>Conventionla-to-FHA Refinance</v>
      </c>
      <c r="I5" s="1" t="str">
        <f>Report!P29</f>
        <v>FHA Non-Streamline Refinance</v>
      </c>
      <c r="J5" s="1" t="str">
        <f>Report!Q29</f>
        <v>FHA Streamline Standard MIP</v>
      </c>
      <c r="K5" s="1" t="str">
        <f>Report!R29</f>
        <v>FHA Streamline Low MIP</v>
      </c>
      <c r="L5" s="1" t="s">
        <v>28</v>
      </c>
    </row>
    <row r="6" spans="4:12">
      <c r="D6">
        <v>2013</v>
      </c>
      <c r="E6" t="str">
        <f>Report!L30</f>
        <v>Jan</v>
      </c>
      <c r="F6">
        <f>Report!M30</f>
        <v>138929</v>
      </c>
      <c r="G6">
        <f>Report!N30</f>
        <v>58933</v>
      </c>
      <c r="H6">
        <f>Report!O30</f>
        <v>16039</v>
      </c>
      <c r="I6">
        <f>Report!P30</f>
        <v>5044</v>
      </c>
      <c r="J6">
        <f>Report!Q30</f>
        <v>28274</v>
      </c>
      <c r="K6">
        <f>Report!R30</f>
        <v>30639</v>
      </c>
      <c r="L6" s="15">
        <f t="shared" ref="L6:L30" si="0">SUM(H6:K6)</f>
        <v>79996</v>
      </c>
    </row>
    <row r="7" spans="4:12">
      <c r="E7" t="str">
        <f>Report!L31</f>
        <v>Feb</v>
      </c>
      <c r="F7">
        <f>Report!M31</f>
        <v>137925</v>
      </c>
      <c r="G7">
        <f>Report!N31</f>
        <v>66498</v>
      </c>
      <c r="H7">
        <f>Report!O31</f>
        <v>15393</v>
      </c>
      <c r="I7">
        <f>Report!P31</f>
        <v>4646</v>
      </c>
      <c r="J7">
        <f>Report!Q31</f>
        <v>22521</v>
      </c>
      <c r="K7">
        <f>Report!R31</f>
        <v>28867</v>
      </c>
      <c r="L7" s="15">
        <f t="shared" si="0"/>
        <v>71427</v>
      </c>
    </row>
    <row r="8" spans="4:12">
      <c r="E8" t="str">
        <f>Report!L32</f>
        <v>Mar</v>
      </c>
      <c r="F8">
        <f>Report!M32</f>
        <v>221598</v>
      </c>
      <c r="G8">
        <f>Report!N32</f>
        <v>113900</v>
      </c>
      <c r="H8">
        <f>Report!O32</f>
        <v>25683</v>
      </c>
      <c r="I8">
        <f>Report!P32</f>
        <v>7274</v>
      </c>
      <c r="J8">
        <f>Report!Q32</f>
        <v>38948</v>
      </c>
      <c r="K8">
        <f>Report!R32</f>
        <v>35793</v>
      </c>
      <c r="L8" s="15">
        <f t="shared" si="0"/>
        <v>107698</v>
      </c>
    </row>
    <row r="9" spans="4:12">
      <c r="E9" t="str">
        <f>Report!L33</f>
        <v>Apr</v>
      </c>
      <c r="F9">
        <f>Report!M33</f>
        <v>118173</v>
      </c>
      <c r="G9">
        <f>Report!N33</f>
        <v>62897</v>
      </c>
      <c r="H9">
        <f>Report!O33</f>
        <v>12675</v>
      </c>
      <c r="I9">
        <f>Report!P33</f>
        <v>3468</v>
      </c>
      <c r="J9">
        <f>Report!Q33</f>
        <v>14106</v>
      </c>
      <c r="K9">
        <f>Report!R33</f>
        <v>25027</v>
      </c>
      <c r="L9" s="15">
        <f t="shared" si="0"/>
        <v>55276</v>
      </c>
    </row>
    <row r="10" spans="4:12">
      <c r="E10" t="str">
        <f>Report!L34</f>
        <v>May</v>
      </c>
      <c r="F10">
        <f>Report!M34</f>
        <v>182431</v>
      </c>
      <c r="G10">
        <f>Report!N34</f>
        <v>101178</v>
      </c>
      <c r="H10">
        <f>Report!O34</f>
        <v>18957</v>
      </c>
      <c r="I10">
        <f>Report!P34</f>
        <v>5219</v>
      </c>
      <c r="J10">
        <f>Report!Q34</f>
        <v>22913</v>
      </c>
      <c r="K10">
        <f>Report!R34</f>
        <v>34164</v>
      </c>
      <c r="L10" s="15">
        <f t="shared" si="0"/>
        <v>81253</v>
      </c>
    </row>
    <row r="11" spans="4:12">
      <c r="E11" t="str">
        <f>Report!L35</f>
        <v>Jun</v>
      </c>
      <c r="F11">
        <f>Report!M35</f>
        <v>93746</v>
      </c>
      <c r="G11">
        <f>Report!N35</f>
        <v>57633</v>
      </c>
      <c r="H11">
        <f>Report!O35</f>
        <v>9929</v>
      </c>
      <c r="I11">
        <f>Report!P35</f>
        <v>2279</v>
      </c>
      <c r="J11">
        <f>Report!Q35</f>
        <v>4798</v>
      </c>
      <c r="K11">
        <f>Report!R35</f>
        <v>19107</v>
      </c>
      <c r="L11" s="15">
        <f t="shared" si="0"/>
        <v>36113</v>
      </c>
    </row>
    <row r="12" spans="4:12">
      <c r="E12" t="str">
        <f>Report!L36</f>
        <v>Jul</v>
      </c>
      <c r="F12">
        <f>Report!M36</f>
        <v>108196</v>
      </c>
      <c r="G12">
        <f>Report!N36</f>
        <v>68994</v>
      </c>
      <c r="H12">
        <f>Report!O36</f>
        <v>11085</v>
      </c>
      <c r="I12">
        <f>Report!P36</f>
        <v>2229</v>
      </c>
      <c r="J12">
        <f>Report!Q36</f>
        <v>3478</v>
      </c>
      <c r="K12">
        <f>Report!R36</f>
        <v>22410</v>
      </c>
      <c r="L12" s="15">
        <f t="shared" si="0"/>
        <v>39202</v>
      </c>
    </row>
    <row r="13" spans="4:12">
      <c r="E13" t="str">
        <f>Report!L37</f>
        <v>Aug</v>
      </c>
      <c r="F13">
        <f>Report!M37</f>
        <v>97323</v>
      </c>
      <c r="G13">
        <f>Report!N37</f>
        <v>64203</v>
      </c>
      <c r="H13">
        <f>Report!O37</f>
        <v>10916</v>
      </c>
      <c r="I13">
        <f>Report!P37</f>
        <v>2286</v>
      </c>
      <c r="J13">
        <f>Report!Q37</f>
        <v>3227</v>
      </c>
      <c r="K13">
        <f>Report!R37</f>
        <v>16691</v>
      </c>
      <c r="L13" s="15">
        <f t="shared" si="0"/>
        <v>33120</v>
      </c>
    </row>
    <row r="14" spans="4:12">
      <c r="E14" t="str">
        <f>Report!L38</f>
        <v>Sep</v>
      </c>
      <c r="F14">
        <f>Report!M38</f>
        <v>83445</v>
      </c>
      <c r="G14">
        <f>Report!N38</f>
        <v>58541</v>
      </c>
      <c r="H14">
        <f>Report!O38</f>
        <v>9743</v>
      </c>
      <c r="I14">
        <f>Report!P38</f>
        <v>2083</v>
      </c>
      <c r="J14">
        <f>Report!Q38</f>
        <v>1767</v>
      </c>
      <c r="K14">
        <f>Report!R38</f>
        <v>11311</v>
      </c>
      <c r="L14" s="15">
        <f t="shared" si="0"/>
        <v>24904</v>
      </c>
    </row>
    <row r="15" spans="4:12">
      <c r="E15" t="str">
        <f>Report!L39</f>
        <v>Oct</v>
      </c>
      <c r="F15">
        <f>Report!M39</f>
        <v>93516</v>
      </c>
      <c r="G15">
        <f>Report!N39</f>
        <v>62332</v>
      </c>
      <c r="H15">
        <f>Report!O39</f>
        <v>12131</v>
      </c>
      <c r="I15">
        <f>Report!P39</f>
        <v>2664</v>
      </c>
      <c r="J15">
        <f>Report!Q39</f>
        <v>2260</v>
      </c>
      <c r="K15">
        <f>Report!R39</f>
        <v>14129</v>
      </c>
      <c r="L15" s="15">
        <f t="shared" si="0"/>
        <v>31184</v>
      </c>
    </row>
    <row r="16" spans="4:12">
      <c r="E16" t="str">
        <f>Report!L40</f>
        <v>Nov</v>
      </c>
      <c r="F16">
        <f>Report!M40</f>
        <v>75371</v>
      </c>
      <c r="G16">
        <f>Report!N40</f>
        <v>49838</v>
      </c>
      <c r="H16">
        <f>Report!O40</f>
        <v>9664</v>
      </c>
      <c r="I16">
        <f>Report!P40</f>
        <v>2340</v>
      </c>
      <c r="J16">
        <f>Report!Q40</f>
        <v>2696</v>
      </c>
      <c r="K16">
        <f>Report!R40</f>
        <v>10833</v>
      </c>
      <c r="L16" s="15">
        <f t="shared" si="0"/>
        <v>25533</v>
      </c>
    </row>
    <row r="17" spans="4:12">
      <c r="E17" t="str">
        <f>Report!L41</f>
        <v>Dec</v>
      </c>
      <c r="F17">
        <f>Report!M41</f>
        <v>68439</v>
      </c>
      <c r="G17">
        <f>Report!N41</f>
        <v>46331</v>
      </c>
      <c r="H17">
        <f>Report!O41</f>
        <v>8534</v>
      </c>
      <c r="I17">
        <f>Report!P41</f>
        <v>2168</v>
      </c>
      <c r="J17">
        <f>Report!Q41</f>
        <v>2156</v>
      </c>
      <c r="K17">
        <f>Report!R41</f>
        <v>9250</v>
      </c>
      <c r="L17" s="15">
        <f t="shared" si="0"/>
        <v>22108</v>
      </c>
    </row>
    <row r="18" spans="4:12">
      <c r="D18">
        <v>2014</v>
      </c>
      <c r="E18" t="str">
        <f>Report!L42</f>
        <v>Jan</v>
      </c>
      <c r="F18">
        <f>Report!M42</f>
        <v>71130</v>
      </c>
      <c r="G18">
        <f>Report!N42</f>
        <v>45860</v>
      </c>
      <c r="H18">
        <f>Report!O42</f>
        <v>9609</v>
      </c>
      <c r="I18">
        <f>Report!P42</f>
        <v>2376</v>
      </c>
      <c r="J18">
        <f>Report!Q42</f>
        <v>1941</v>
      </c>
      <c r="K18">
        <f>Report!R42</f>
        <v>11344</v>
      </c>
      <c r="L18" s="15">
        <f t="shared" si="0"/>
        <v>25270</v>
      </c>
    </row>
    <row r="19" spans="4:12">
      <c r="E19" t="str">
        <f>Report!L43</f>
        <v>Feb</v>
      </c>
      <c r="F19">
        <f>Report!M43</f>
        <v>76863</v>
      </c>
      <c r="G19">
        <f>Report!N43</f>
        <v>51701</v>
      </c>
      <c r="H19">
        <f>Report!O43</f>
        <v>9287</v>
      </c>
      <c r="I19">
        <f>Report!P43</f>
        <v>2329</v>
      </c>
      <c r="J19">
        <f>Report!Q43</f>
        <v>2595</v>
      </c>
      <c r="K19">
        <f>Report!R43</f>
        <v>10951</v>
      </c>
      <c r="L19" s="15">
        <f t="shared" si="0"/>
        <v>25162</v>
      </c>
    </row>
    <row r="20" spans="4:12">
      <c r="E20" t="str">
        <f>Report!L44</f>
        <v>Mar</v>
      </c>
      <c r="F20">
        <f>Report!M44</f>
        <v>94628</v>
      </c>
      <c r="G20">
        <f>Report!N44</f>
        <v>66273</v>
      </c>
      <c r="H20">
        <f>Report!O44</f>
        <v>10910</v>
      </c>
      <c r="I20">
        <f>Report!P44</f>
        <v>2833</v>
      </c>
      <c r="J20">
        <f>Report!Q44</f>
        <v>3726</v>
      </c>
      <c r="K20">
        <f>Report!R44</f>
        <v>10886</v>
      </c>
      <c r="L20" s="15">
        <f t="shared" si="0"/>
        <v>28355</v>
      </c>
    </row>
    <row r="21" spans="4:12">
      <c r="E21" t="str">
        <f>Report!L45</f>
        <v>Apr</v>
      </c>
      <c r="F21">
        <f>Report!M45</f>
        <v>103095</v>
      </c>
      <c r="G21">
        <f>Report!N45</f>
        <v>74816</v>
      </c>
      <c r="H21">
        <f>Report!O45</f>
        <v>11511</v>
      </c>
      <c r="I21">
        <f>Report!P45</f>
        <v>3018</v>
      </c>
      <c r="J21">
        <f>Report!Q45</f>
        <v>2503</v>
      </c>
      <c r="K21">
        <f>Report!R45</f>
        <v>11247</v>
      </c>
      <c r="L21" s="15">
        <f t="shared" si="0"/>
        <v>28279</v>
      </c>
    </row>
    <row r="22" spans="4:12">
      <c r="E22" t="str">
        <f>Report!L46</f>
        <v>May</v>
      </c>
      <c r="F22">
        <f>Report!M46</f>
        <v>99446</v>
      </c>
      <c r="G22">
        <f>Report!N46</f>
        <v>73371</v>
      </c>
      <c r="H22">
        <f>Report!O46</f>
        <v>10850</v>
      </c>
      <c r="I22">
        <f>Report!P46</f>
        <v>3207</v>
      </c>
      <c r="J22">
        <f>Report!Q46</f>
        <v>2922</v>
      </c>
      <c r="K22">
        <f>Report!R46</f>
        <v>9096</v>
      </c>
      <c r="L22" s="15">
        <f t="shared" si="0"/>
        <v>26075</v>
      </c>
    </row>
    <row r="23" spans="4:12">
      <c r="E23" t="str">
        <f>Report!L47</f>
        <v>Jun</v>
      </c>
      <c r="F23">
        <f>Report!M47</f>
        <v>99451</v>
      </c>
      <c r="G23">
        <f>Report!N47</f>
        <v>72450</v>
      </c>
      <c r="H23">
        <f>Report!O47</f>
        <v>10225</v>
      </c>
      <c r="I23">
        <f>Report!P47</f>
        <v>3349</v>
      </c>
      <c r="J23">
        <f>Report!Q47</f>
        <v>3464</v>
      </c>
      <c r="K23">
        <f>Report!R47</f>
        <v>9963</v>
      </c>
      <c r="L23" s="15">
        <f t="shared" si="0"/>
        <v>27001</v>
      </c>
    </row>
    <row r="24" spans="4:12">
      <c r="E24" t="str">
        <f>Report!L48</f>
        <v>Jul</v>
      </c>
      <c r="F24">
        <f>Report!M48</f>
        <v>97893</v>
      </c>
      <c r="G24">
        <f>Report!N48</f>
        <v>71543</v>
      </c>
      <c r="H24">
        <f>Report!O48</f>
        <v>10370</v>
      </c>
      <c r="I24">
        <f>Report!P48</f>
        <v>3178</v>
      </c>
      <c r="J24">
        <f>Report!Q48</f>
        <v>3424</v>
      </c>
      <c r="K24">
        <f>Report!R48</f>
        <v>9378</v>
      </c>
      <c r="L24" s="15">
        <f t="shared" si="0"/>
        <v>26350</v>
      </c>
    </row>
    <row r="25" spans="4:12">
      <c r="E25" t="str">
        <f>Report!L49</f>
        <v>Aug</v>
      </c>
      <c r="F25">
        <f>Report!M49</f>
        <v>89275</v>
      </c>
      <c r="G25">
        <f>Report!N49</f>
        <v>63962</v>
      </c>
      <c r="H25">
        <f>Report!O49</f>
        <v>10419</v>
      </c>
      <c r="I25">
        <f>Report!P49</f>
        <v>3318</v>
      </c>
      <c r="J25">
        <f>Report!Q49</f>
        <v>3806</v>
      </c>
      <c r="K25">
        <f>Report!R49</f>
        <v>7770</v>
      </c>
      <c r="L25" s="15">
        <f t="shared" si="0"/>
        <v>25313</v>
      </c>
    </row>
    <row r="26" spans="4:12">
      <c r="E26" t="str">
        <f>Report!L50</f>
        <v>Sep</v>
      </c>
      <c r="F26">
        <f>Report!M50</f>
        <v>87166</v>
      </c>
      <c r="G26">
        <f>Report!N50</f>
        <v>62210</v>
      </c>
      <c r="H26">
        <f>Report!O50</f>
        <v>10474</v>
      </c>
      <c r="I26">
        <f>Report!P50</f>
        <v>3405</v>
      </c>
      <c r="J26">
        <f>Report!Q50</f>
        <v>3012</v>
      </c>
      <c r="K26">
        <f>Report!R50</f>
        <v>8065</v>
      </c>
      <c r="L26" s="15">
        <f t="shared" si="0"/>
        <v>24956</v>
      </c>
    </row>
    <row r="27" spans="4:12">
      <c r="E27" t="str">
        <f>Report!L51</f>
        <v>Oct</v>
      </c>
      <c r="F27">
        <f>Report!M51</f>
        <v>93206</v>
      </c>
      <c r="G27">
        <f>Report!N51</f>
        <v>64344</v>
      </c>
      <c r="H27">
        <f>Report!O51</f>
        <v>11776</v>
      </c>
      <c r="I27">
        <f>Report!P51</f>
        <v>4130</v>
      </c>
      <c r="J27">
        <f>Report!Q51</f>
        <v>5273</v>
      </c>
      <c r="K27">
        <f>Report!R51</f>
        <v>7683</v>
      </c>
      <c r="L27" s="15">
        <f t="shared" si="0"/>
        <v>28862</v>
      </c>
    </row>
    <row r="28" spans="4:12">
      <c r="E28" t="str">
        <f>Report!L52</f>
        <v>Nov</v>
      </c>
      <c r="F28">
        <f>Report!M52</f>
        <v>74286</v>
      </c>
      <c r="G28">
        <f>Report!N52</f>
        <v>50489</v>
      </c>
      <c r="H28">
        <f>Report!O52</f>
        <v>9428</v>
      </c>
      <c r="I28">
        <f>Report!P52</f>
        <v>3128</v>
      </c>
      <c r="J28">
        <f>Report!Q52</f>
        <v>5621</v>
      </c>
      <c r="K28">
        <f>Report!R52</f>
        <v>5620</v>
      </c>
      <c r="L28" s="15">
        <f t="shared" si="0"/>
        <v>23797</v>
      </c>
    </row>
    <row r="29" spans="4:12">
      <c r="E29" t="str">
        <f>Report!L53</f>
        <v>Dec</v>
      </c>
      <c r="F29">
        <f>Report!M53</f>
        <v>71754</v>
      </c>
      <c r="G29">
        <f>Report!N53</f>
        <v>48105</v>
      </c>
      <c r="H29">
        <f>Report!O53</f>
        <v>9516</v>
      </c>
      <c r="I29">
        <f>Report!P53</f>
        <v>3084</v>
      </c>
      <c r="J29">
        <f>Report!Q53</f>
        <v>5796</v>
      </c>
      <c r="K29">
        <f>Report!R53</f>
        <v>5253</v>
      </c>
      <c r="L29" s="15">
        <f t="shared" si="0"/>
        <v>23649</v>
      </c>
    </row>
    <row r="30" spans="4:12">
      <c r="D30">
        <v>2015</v>
      </c>
      <c r="E30" t="str">
        <f>Report!L54</f>
        <v>Jan</v>
      </c>
      <c r="F30">
        <f>Report!M54</f>
        <v>128133</v>
      </c>
      <c r="G30">
        <f>Report!N54</f>
        <v>71254</v>
      </c>
      <c r="H30">
        <f>Report!O54</f>
        <v>16889</v>
      </c>
      <c r="I30">
        <f>Report!P54</f>
        <v>6875</v>
      </c>
      <c r="J30">
        <f>Report!Q54</f>
        <v>27779</v>
      </c>
      <c r="K30">
        <f>Report!R54</f>
        <v>5336</v>
      </c>
      <c r="L30" s="15">
        <f t="shared" si="0"/>
        <v>56879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4:G17"/>
  <sheetViews>
    <sheetView workbookViewId="0">
      <selection activeCell="F7" sqref="F7:F17"/>
    </sheetView>
  </sheetViews>
  <sheetFormatPr defaultRowHeight="15"/>
  <sheetData>
    <row r="4" spans="4:7">
      <c r="D4" s="2" t="s">
        <v>23</v>
      </c>
    </row>
    <row r="5" spans="4:7">
      <c r="D5" s="1" t="s">
        <v>22</v>
      </c>
      <c r="E5">
        <v>2013</v>
      </c>
      <c r="F5">
        <v>2014</v>
      </c>
      <c r="G5">
        <v>2015</v>
      </c>
    </row>
    <row r="6" spans="4:7">
      <c r="D6" t="s">
        <v>0</v>
      </c>
      <c r="E6" s="15">
        <f>Input!G6</f>
        <v>58933</v>
      </c>
      <c r="F6" s="15">
        <f>Input!G18</f>
        <v>45860</v>
      </c>
      <c r="G6" s="15">
        <f>Input!F30</f>
        <v>128133</v>
      </c>
    </row>
    <row r="7" spans="4:7">
      <c r="D7" t="s">
        <v>11</v>
      </c>
      <c r="E7" s="15">
        <f>Input!G7+E6</f>
        <v>125431</v>
      </c>
      <c r="F7" s="15">
        <f>Input!G19+F6</f>
        <v>97561</v>
      </c>
    </row>
    <row r="8" spans="4:7">
      <c r="D8" t="s">
        <v>10</v>
      </c>
      <c r="E8" s="15">
        <f>Input!G8+E7</f>
        <v>239331</v>
      </c>
      <c r="F8" s="15">
        <f>Input!G20+F7</f>
        <v>163834</v>
      </c>
    </row>
    <row r="9" spans="4:7">
      <c r="D9" t="s">
        <v>9</v>
      </c>
      <c r="E9" s="15">
        <f>Input!G9+E8</f>
        <v>302228</v>
      </c>
      <c r="F9" s="15">
        <f>Input!G21+F8</f>
        <v>238650</v>
      </c>
    </row>
    <row r="10" spans="4:7">
      <c r="D10" t="s">
        <v>8</v>
      </c>
      <c r="E10" s="15">
        <f>Input!G10+E9</f>
        <v>403406</v>
      </c>
      <c r="F10" s="15">
        <f>Input!G22+F9</f>
        <v>312021</v>
      </c>
    </row>
    <row r="11" spans="4:7">
      <c r="D11" t="s">
        <v>7</v>
      </c>
      <c r="E11" s="15">
        <f>Input!G11+E10</f>
        <v>461039</v>
      </c>
      <c r="F11" s="15">
        <f>Input!G23+F10</f>
        <v>384471</v>
      </c>
    </row>
    <row r="12" spans="4:7">
      <c r="D12" t="s">
        <v>6</v>
      </c>
      <c r="E12" s="15">
        <f>Input!G12+E11</f>
        <v>530033</v>
      </c>
      <c r="F12" s="15">
        <f>Input!G24+F11</f>
        <v>456014</v>
      </c>
    </row>
    <row r="13" spans="4:7">
      <c r="D13" t="s">
        <v>5</v>
      </c>
      <c r="E13" s="15">
        <f>Input!G13+E12</f>
        <v>594236</v>
      </c>
      <c r="F13" s="15">
        <f>Input!G25+F12</f>
        <v>519976</v>
      </c>
    </row>
    <row r="14" spans="4:7">
      <c r="D14" t="s">
        <v>4</v>
      </c>
      <c r="E14" s="15">
        <f>Input!G14+E13</f>
        <v>652777</v>
      </c>
      <c r="F14" s="15">
        <f>Input!G26+F13</f>
        <v>582186</v>
      </c>
    </row>
    <row r="15" spans="4:7">
      <c r="D15" t="s">
        <v>3</v>
      </c>
      <c r="E15" s="15">
        <f>Input!G15+E14</f>
        <v>715109</v>
      </c>
      <c r="F15" s="15">
        <f>Input!G27+F14</f>
        <v>646530</v>
      </c>
    </row>
    <row r="16" spans="4:7">
      <c r="D16" t="s">
        <v>2</v>
      </c>
      <c r="E16" s="15">
        <f>Input!G16+E15</f>
        <v>764947</v>
      </c>
      <c r="F16" s="15">
        <f>Input!G28+F15</f>
        <v>697019</v>
      </c>
    </row>
    <row r="17" spans="4:6">
      <c r="D17" t="s">
        <v>1</v>
      </c>
      <c r="E17" s="15">
        <f>Input!G17+E16</f>
        <v>811278</v>
      </c>
      <c r="F17" s="15">
        <f>Input!G29+F16</f>
        <v>745124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I30"/>
  <sheetViews>
    <sheetView topLeftCell="A7" workbookViewId="0">
      <selection activeCell="X24" sqref="X24"/>
    </sheetView>
  </sheetViews>
  <sheetFormatPr defaultRowHeight="15"/>
  <sheetData>
    <row r="5" spans="4:9" ht="75">
      <c r="D5" s="1" t="s">
        <v>21</v>
      </c>
      <c r="E5" s="1" t="s">
        <v>22</v>
      </c>
      <c r="F5" s="1" t="s">
        <v>24</v>
      </c>
      <c r="G5" s="1" t="s">
        <v>25</v>
      </c>
      <c r="H5" s="1" t="s">
        <v>26</v>
      </c>
      <c r="I5" s="1" t="s">
        <v>27</v>
      </c>
    </row>
    <row r="6" spans="4:9">
      <c r="D6">
        <v>2013</v>
      </c>
      <c r="E6" t="s">
        <v>0</v>
      </c>
      <c r="F6" s="15">
        <v>16039</v>
      </c>
      <c r="G6" s="15">
        <v>5044</v>
      </c>
      <c r="H6" s="15">
        <v>28274</v>
      </c>
      <c r="I6" s="15">
        <v>30639</v>
      </c>
    </row>
    <row r="7" spans="4:9">
      <c r="E7" t="s">
        <v>11</v>
      </c>
      <c r="F7" s="15">
        <v>15393</v>
      </c>
      <c r="G7" s="15">
        <v>4646</v>
      </c>
      <c r="H7" s="15">
        <v>22521</v>
      </c>
      <c r="I7" s="15">
        <v>28867</v>
      </c>
    </row>
    <row r="8" spans="4:9">
      <c r="E8" t="s">
        <v>10</v>
      </c>
      <c r="F8" s="15">
        <v>25683</v>
      </c>
      <c r="G8" s="15">
        <v>7274</v>
      </c>
      <c r="H8" s="15">
        <v>38948</v>
      </c>
      <c r="I8" s="15">
        <v>35793</v>
      </c>
    </row>
    <row r="9" spans="4:9">
      <c r="E9" t="s">
        <v>9</v>
      </c>
      <c r="F9" s="15">
        <v>12675</v>
      </c>
      <c r="G9" s="15">
        <v>3468</v>
      </c>
      <c r="H9" s="15">
        <v>14106</v>
      </c>
      <c r="I9" s="15">
        <v>25027</v>
      </c>
    </row>
    <row r="10" spans="4:9">
      <c r="E10" t="s">
        <v>8</v>
      </c>
      <c r="F10" s="15">
        <v>18957</v>
      </c>
      <c r="G10" s="15">
        <v>5219</v>
      </c>
      <c r="H10" s="15">
        <v>22913</v>
      </c>
      <c r="I10" s="15">
        <v>34164</v>
      </c>
    </row>
    <row r="11" spans="4:9">
      <c r="E11" t="s">
        <v>7</v>
      </c>
      <c r="F11" s="15">
        <v>9929</v>
      </c>
      <c r="G11" s="15">
        <v>2279</v>
      </c>
      <c r="H11" s="15">
        <v>4798</v>
      </c>
      <c r="I11" s="15">
        <v>19107</v>
      </c>
    </row>
    <row r="12" spans="4:9">
      <c r="E12" t="s">
        <v>6</v>
      </c>
      <c r="F12" s="15">
        <v>11085</v>
      </c>
      <c r="G12" s="15">
        <v>2229</v>
      </c>
      <c r="H12" s="15">
        <v>3478</v>
      </c>
      <c r="I12" s="15">
        <v>22410</v>
      </c>
    </row>
    <row r="13" spans="4:9">
      <c r="E13" t="s">
        <v>5</v>
      </c>
      <c r="F13" s="15">
        <v>10916</v>
      </c>
      <c r="G13" s="15">
        <v>2286</v>
      </c>
      <c r="H13" s="15">
        <v>3227</v>
      </c>
      <c r="I13" s="15">
        <v>16691</v>
      </c>
    </row>
    <row r="14" spans="4:9">
      <c r="E14" t="s">
        <v>4</v>
      </c>
      <c r="F14" s="15">
        <v>9743</v>
      </c>
      <c r="G14" s="15">
        <v>2083</v>
      </c>
      <c r="H14" s="15">
        <v>1767</v>
      </c>
      <c r="I14" s="15">
        <v>11311</v>
      </c>
    </row>
    <row r="15" spans="4:9">
      <c r="E15" t="s">
        <v>3</v>
      </c>
      <c r="F15" s="15">
        <v>12131</v>
      </c>
      <c r="G15" s="15">
        <v>2664</v>
      </c>
      <c r="H15" s="15">
        <v>2260</v>
      </c>
      <c r="I15" s="15">
        <v>14129</v>
      </c>
    </row>
    <row r="16" spans="4:9">
      <c r="E16" t="s">
        <v>2</v>
      </c>
      <c r="F16" s="15">
        <v>9664</v>
      </c>
      <c r="G16" s="15">
        <v>2340</v>
      </c>
      <c r="H16" s="15">
        <v>2696</v>
      </c>
      <c r="I16" s="15">
        <v>10833</v>
      </c>
    </row>
    <row r="17" spans="4:9">
      <c r="E17" t="s">
        <v>1</v>
      </c>
      <c r="F17" s="15">
        <v>8534</v>
      </c>
      <c r="G17" s="15">
        <v>2168</v>
      </c>
      <c r="H17" s="15">
        <v>2156</v>
      </c>
      <c r="I17" s="15">
        <v>9250</v>
      </c>
    </row>
    <row r="18" spans="4:9">
      <c r="D18">
        <v>2014</v>
      </c>
      <c r="E18" t="s">
        <v>0</v>
      </c>
      <c r="F18" s="15">
        <v>9609</v>
      </c>
      <c r="G18" s="15">
        <v>2376</v>
      </c>
      <c r="H18" s="15">
        <v>1941</v>
      </c>
      <c r="I18" s="15">
        <v>11344</v>
      </c>
    </row>
    <row r="19" spans="4:9">
      <c r="E19" t="s">
        <v>11</v>
      </c>
      <c r="F19" s="15">
        <v>9287</v>
      </c>
      <c r="G19" s="15">
        <v>2329</v>
      </c>
      <c r="H19" s="15">
        <v>2595</v>
      </c>
      <c r="I19" s="15">
        <v>10951</v>
      </c>
    </row>
    <row r="20" spans="4:9">
      <c r="E20" t="s">
        <v>10</v>
      </c>
      <c r="F20" s="15">
        <v>10910</v>
      </c>
      <c r="G20" s="15">
        <v>2833</v>
      </c>
      <c r="H20" s="15">
        <v>3726</v>
      </c>
      <c r="I20" s="15">
        <v>10886</v>
      </c>
    </row>
    <row r="21" spans="4:9">
      <c r="E21" t="s">
        <v>9</v>
      </c>
      <c r="F21" s="15">
        <v>11511</v>
      </c>
      <c r="G21" s="15">
        <v>3018</v>
      </c>
      <c r="H21" s="15">
        <v>2503</v>
      </c>
      <c r="I21" s="15">
        <v>11247</v>
      </c>
    </row>
    <row r="22" spans="4:9">
      <c r="E22" t="s">
        <v>8</v>
      </c>
      <c r="F22" s="15">
        <v>10850</v>
      </c>
      <c r="G22" s="15">
        <v>3207</v>
      </c>
      <c r="H22" s="15">
        <v>2922</v>
      </c>
      <c r="I22" s="15">
        <v>9096</v>
      </c>
    </row>
    <row r="23" spans="4:9">
      <c r="E23" t="s">
        <v>7</v>
      </c>
      <c r="F23" s="15">
        <v>10225</v>
      </c>
      <c r="G23" s="15">
        <v>3349</v>
      </c>
      <c r="H23" s="15">
        <v>3464</v>
      </c>
      <c r="I23" s="15">
        <v>9963</v>
      </c>
    </row>
    <row r="24" spans="4:9">
      <c r="E24" t="s">
        <v>6</v>
      </c>
      <c r="F24" s="15">
        <v>10370</v>
      </c>
      <c r="G24" s="15">
        <v>3178</v>
      </c>
      <c r="H24" s="15">
        <v>3424</v>
      </c>
      <c r="I24" s="15">
        <v>9378</v>
      </c>
    </row>
    <row r="25" spans="4:9">
      <c r="E25" t="s">
        <v>5</v>
      </c>
      <c r="F25" s="15">
        <v>10419</v>
      </c>
      <c r="G25" s="15">
        <v>3318</v>
      </c>
      <c r="H25" s="15">
        <v>3806</v>
      </c>
      <c r="I25" s="15">
        <v>7770</v>
      </c>
    </row>
    <row r="26" spans="4:9">
      <c r="E26" t="s">
        <v>4</v>
      </c>
      <c r="F26" s="15">
        <v>10474</v>
      </c>
      <c r="G26" s="15">
        <v>3405</v>
      </c>
      <c r="H26" s="15">
        <v>3012</v>
      </c>
      <c r="I26" s="15">
        <v>8065</v>
      </c>
    </row>
    <row r="27" spans="4:9">
      <c r="E27" t="s">
        <v>3</v>
      </c>
      <c r="F27" s="15">
        <v>11776</v>
      </c>
      <c r="G27" s="15">
        <v>4130</v>
      </c>
      <c r="H27" s="15">
        <v>5273</v>
      </c>
      <c r="I27" s="15">
        <v>7683</v>
      </c>
    </row>
    <row r="28" spans="4:9">
      <c r="E28" t="s">
        <v>2</v>
      </c>
      <c r="F28" s="15">
        <v>9428</v>
      </c>
      <c r="G28" s="15">
        <v>3128</v>
      </c>
      <c r="H28" s="15">
        <v>5621</v>
      </c>
      <c r="I28" s="15">
        <v>5620</v>
      </c>
    </row>
    <row r="29" spans="4:9">
      <c r="E29" t="s">
        <v>1</v>
      </c>
      <c r="F29" s="15">
        <v>9516</v>
      </c>
      <c r="G29" s="15">
        <v>3084</v>
      </c>
      <c r="H29" s="15">
        <v>5796</v>
      </c>
      <c r="I29" s="15">
        <v>5253</v>
      </c>
    </row>
    <row r="30" spans="4:9">
      <c r="D30">
        <v>2015</v>
      </c>
      <c r="E30" t="s">
        <v>0</v>
      </c>
      <c r="F30" s="15">
        <v>16889</v>
      </c>
      <c r="G30" s="15">
        <v>6875</v>
      </c>
      <c r="H30" s="15">
        <v>27779</v>
      </c>
      <c r="I30" s="15">
        <v>5336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Report</vt:lpstr>
      <vt:lpstr>Report Page1</vt:lpstr>
      <vt:lpstr>Report Page2</vt:lpstr>
      <vt:lpstr>Input</vt:lpstr>
      <vt:lpstr>Purchase</vt:lpstr>
      <vt:lpstr>Refinance</vt:lpstr>
      <vt:lpstr>Report!CurrentCloseDate</vt:lpstr>
      <vt:lpstr>'Report Page2'!CurrentCloseDate</vt:lpstr>
      <vt:lpstr>CurrentCloseDate</vt:lpstr>
      <vt:lpstr>Report!DatabaseEnv</vt:lpstr>
      <vt:lpstr>'Report Page2'!DatabaseEnv</vt:lpstr>
      <vt:lpstr>DatabaseEnv</vt:lpstr>
      <vt:lpstr>Report!PDFReportDir</vt:lpstr>
      <vt:lpstr>'Report Page2'!PDFReportDir</vt:lpstr>
      <vt:lpstr>PDFReportDir</vt:lpstr>
      <vt:lpstr>Report!PDFReportName</vt:lpstr>
      <vt:lpstr>'Report Page2'!PDFReportName</vt:lpstr>
      <vt:lpstr>PDFReportName</vt:lpstr>
      <vt:lpstr>Report!Print_Area</vt:lpstr>
      <vt:lpstr>'Report Page1'!Print_Area</vt:lpstr>
      <vt:lpstr>'Report Page2'!Print_Area</vt:lpstr>
      <vt:lpstr>Report!SaveRatesToDB</vt:lpstr>
      <vt:lpstr>'Report Page2'!SaveRatesToDB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2015-04-13T19:38:58Z</cp:lastPrinted>
  <dcterms:created xsi:type="dcterms:W3CDTF">2015-03-12T13:39:23Z</dcterms:created>
  <dcterms:modified xsi:type="dcterms:W3CDTF">2015-04-14T13:25:35Z</dcterms:modified>
</cp:coreProperties>
</file>